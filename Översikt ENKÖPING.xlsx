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45968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45968</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45968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45968</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45968</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45968</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26043-2025</t>
        </is>
      </c>
      <c r="B12" s="1" t="n">
        <v>45804.70207175926</v>
      </c>
      <c r="C12" s="1" t="n">
        <v>45968</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31552-2023</t>
        </is>
      </c>
      <c r="B13" s="1" t="n">
        <v>45104</v>
      </c>
      <c r="C13" s="1" t="n">
        <v>45968</v>
      </c>
      <c r="D13" t="inlineStr">
        <is>
          <t>UPPSALA LÄN</t>
        </is>
      </c>
      <c r="E13" t="inlineStr">
        <is>
          <t>ENKÖPING</t>
        </is>
      </c>
      <c r="G13" t="n">
        <v>2.6</v>
      </c>
      <c r="H13" t="n">
        <v>1</v>
      </c>
      <c r="I13" t="n">
        <v>1</v>
      </c>
      <c r="J13" t="n">
        <v>1</v>
      </c>
      <c r="K13" t="n">
        <v>1</v>
      </c>
      <c r="L13" t="n">
        <v>0</v>
      </c>
      <c r="M13" t="n">
        <v>0</v>
      </c>
      <c r="N13" t="n">
        <v>0</v>
      </c>
      <c r="O13" t="n">
        <v>2</v>
      </c>
      <c r="P13" t="n">
        <v>1</v>
      </c>
      <c r="Q13" t="n">
        <v>3</v>
      </c>
      <c r="R13" s="2" t="inlineStr">
        <is>
          <t>Bombmurkla
Fyrflikig jordstjärna
Grönpyrola</t>
        </is>
      </c>
      <c r="S13">
        <f>HYPERLINK("https://klasma.github.io/Logging_0381/artfynd/A 31552-2023 artfynd.xlsx", "A 31552-2023")</f>
        <v/>
      </c>
      <c r="T13">
        <f>HYPERLINK("https://klasma.github.io/Logging_0381/kartor/A 31552-2023 karta.png", "A 31552-2023")</f>
        <v/>
      </c>
      <c r="V13">
        <f>HYPERLINK("https://klasma.github.io/Logging_0381/klagomål/A 31552-2023 FSC-klagomål.docx", "A 31552-2023")</f>
        <v/>
      </c>
      <c r="W13">
        <f>HYPERLINK("https://klasma.github.io/Logging_0381/klagomålsmail/A 31552-2023 FSC-klagomål mail.docx", "A 31552-2023")</f>
        <v/>
      </c>
      <c r="X13">
        <f>HYPERLINK("https://klasma.github.io/Logging_0381/tillsyn/A 31552-2023 tillsynsbegäran.docx", "A 31552-2023")</f>
        <v/>
      </c>
      <c r="Y13">
        <f>HYPERLINK("https://klasma.github.io/Logging_0381/tillsynsmail/A 31552-2023 tillsynsbegäran mail.docx", "A 31552-2023")</f>
        <v/>
      </c>
    </row>
    <row r="14" ht="15" customHeight="1">
      <c r="A14" t="inlineStr">
        <is>
          <t>A 34150-2021</t>
        </is>
      </c>
      <c r="B14" s="1" t="n">
        <v>44379</v>
      </c>
      <c r="C14" s="1" t="n">
        <v>45968</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45968</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45968</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45968</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45968</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21970-2025</t>
        </is>
      </c>
      <c r="B19" s="1" t="n">
        <v>45784.63335648148</v>
      </c>
      <c r="C19" s="1" t="n">
        <v>45968</v>
      </c>
      <c r="D19" t="inlineStr">
        <is>
          <t>UPPSALA LÄN</t>
        </is>
      </c>
      <c r="E19" t="inlineStr">
        <is>
          <t>ENKÖPING</t>
        </is>
      </c>
      <c r="G19" t="n">
        <v>5.3</v>
      </c>
      <c r="H19" t="n">
        <v>1</v>
      </c>
      <c r="I19" t="n">
        <v>0</v>
      </c>
      <c r="J19" t="n">
        <v>1</v>
      </c>
      <c r="K19" t="n">
        <v>0</v>
      </c>
      <c r="L19" t="n">
        <v>0</v>
      </c>
      <c r="M19" t="n">
        <v>0</v>
      </c>
      <c r="N19" t="n">
        <v>0</v>
      </c>
      <c r="O19" t="n">
        <v>1</v>
      </c>
      <c r="P19" t="n">
        <v>0</v>
      </c>
      <c r="Q19" t="n">
        <v>2</v>
      </c>
      <c r="R19" s="2" t="inlineStr">
        <is>
          <t>Flattoppad klubbsvamp
Blåsippa</t>
        </is>
      </c>
      <c r="S19">
        <f>HYPERLINK("https://klasma.github.io/Logging_0381/artfynd/A 21970-2025 artfynd.xlsx", "A 21970-2025")</f>
        <v/>
      </c>
      <c r="T19">
        <f>HYPERLINK("https://klasma.github.io/Logging_0381/kartor/A 21970-2025 karta.png", "A 21970-2025")</f>
        <v/>
      </c>
      <c r="V19">
        <f>HYPERLINK("https://klasma.github.io/Logging_0381/klagomål/A 21970-2025 FSC-klagomål.docx", "A 21970-2025")</f>
        <v/>
      </c>
      <c r="W19">
        <f>HYPERLINK("https://klasma.github.io/Logging_0381/klagomålsmail/A 21970-2025 FSC-klagomål mail.docx", "A 21970-2025")</f>
        <v/>
      </c>
      <c r="X19">
        <f>HYPERLINK("https://klasma.github.io/Logging_0381/tillsyn/A 21970-2025 tillsynsbegäran.docx", "A 21970-2025")</f>
        <v/>
      </c>
      <c r="Y19">
        <f>HYPERLINK("https://klasma.github.io/Logging_0381/tillsynsmail/A 21970-2025 tillsynsbegäran mail.docx", "A 21970-2025")</f>
        <v/>
      </c>
    </row>
    <row r="20" ht="15" customHeight="1">
      <c r="A20" t="inlineStr">
        <is>
          <t>A 36523-2021</t>
        </is>
      </c>
      <c r="B20" s="1" t="n">
        <v>44391</v>
      </c>
      <c r="C20" s="1" t="n">
        <v>45968</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45968</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45968</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45116-2023</t>
        </is>
      </c>
      <c r="B23" s="1" t="n">
        <v>45191</v>
      </c>
      <c r="C23" s="1" t="n">
        <v>45968</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26347-2025</t>
        </is>
      </c>
      <c r="B24" s="1" t="n">
        <v>45805.7403125</v>
      </c>
      <c r="C24" s="1" t="n">
        <v>45968</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27060-2025</t>
        </is>
      </c>
      <c r="B25" s="1" t="n">
        <v>45811.63590277778</v>
      </c>
      <c r="C25" s="1" t="n">
        <v>45968</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1524-2023</t>
        </is>
      </c>
      <c r="B26" s="1" t="n">
        <v>44935</v>
      </c>
      <c r="C26" s="1" t="n">
        <v>45968</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23961-2022</t>
        </is>
      </c>
      <c r="B27" s="1" t="n">
        <v>44722</v>
      </c>
      <c r="C27" s="1" t="n">
        <v>45968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17942-2024</t>
        </is>
      </c>
      <c r="B28" s="1" t="n">
        <v>45419</v>
      </c>
      <c r="C28" s="1" t="n">
        <v>45968</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33339-2024</t>
        </is>
      </c>
      <c r="B29" s="1" t="n">
        <v>45519</v>
      </c>
      <c r="C29" s="1" t="n">
        <v>45968</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28900-2024</t>
        </is>
      </c>
      <c r="B30" s="1" t="n">
        <v>45480</v>
      </c>
      <c r="C30" s="1" t="n">
        <v>45968</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29510-2025</t>
        </is>
      </c>
      <c r="B31" s="1" t="n">
        <v>45825</v>
      </c>
      <c r="C31" s="1" t="n">
        <v>45968</v>
      </c>
      <c r="D31" t="inlineStr">
        <is>
          <t>UPPSALA LÄN</t>
        </is>
      </c>
      <c r="E31" t="inlineStr">
        <is>
          <t>ENKÖPING</t>
        </is>
      </c>
      <c r="G31" t="n">
        <v>2.4</v>
      </c>
      <c r="H31" t="n">
        <v>0</v>
      </c>
      <c r="I31" t="n">
        <v>0</v>
      </c>
      <c r="J31" t="n">
        <v>0</v>
      </c>
      <c r="K31" t="n">
        <v>1</v>
      </c>
      <c r="L31" t="n">
        <v>0</v>
      </c>
      <c r="M31" t="n">
        <v>0</v>
      </c>
      <c r="N31" t="n">
        <v>0</v>
      </c>
      <c r="O31" t="n">
        <v>1</v>
      </c>
      <c r="P31" t="n">
        <v>1</v>
      </c>
      <c r="Q31" t="n">
        <v>1</v>
      </c>
      <c r="R31" s="2" t="inlineStr">
        <is>
          <t>Toppjungfrulin</t>
        </is>
      </c>
      <c r="S31">
        <f>HYPERLINK("https://klasma.github.io/Logging_0381/artfynd/A 29510-2025 artfynd.xlsx", "A 29510-2025")</f>
        <v/>
      </c>
      <c r="T31">
        <f>HYPERLINK("https://klasma.github.io/Logging_0381/kartor/A 29510-2025 karta.png", "A 29510-2025")</f>
        <v/>
      </c>
      <c r="V31">
        <f>HYPERLINK("https://klasma.github.io/Logging_0381/klagomål/A 29510-2025 FSC-klagomål.docx", "A 29510-2025")</f>
        <v/>
      </c>
      <c r="W31">
        <f>HYPERLINK("https://klasma.github.io/Logging_0381/klagomålsmail/A 29510-2025 FSC-klagomål mail.docx", "A 29510-2025")</f>
        <v/>
      </c>
      <c r="X31">
        <f>HYPERLINK("https://klasma.github.io/Logging_0381/tillsyn/A 29510-2025 tillsynsbegäran.docx", "A 29510-2025")</f>
        <v/>
      </c>
      <c r="Y31">
        <f>HYPERLINK("https://klasma.github.io/Logging_0381/tillsynsmail/A 29510-2025 tillsynsbegäran mail.docx", "A 29510-2025")</f>
        <v/>
      </c>
    </row>
    <row r="32" ht="15" customHeight="1">
      <c r="A32" t="inlineStr">
        <is>
          <t>A 46749-2024</t>
        </is>
      </c>
      <c r="B32" s="1" t="n">
        <v>45583.48347222222</v>
      </c>
      <c r="C32" s="1" t="n">
        <v>45968</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Leptoporus erubescens</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52439-2025</t>
        </is>
      </c>
      <c r="B33" s="1" t="n">
        <v>45954.40697916667</v>
      </c>
      <c r="C33" s="1" t="n">
        <v>45968</v>
      </c>
      <c r="D33" t="inlineStr">
        <is>
          <t>UPPSALA LÄN</t>
        </is>
      </c>
      <c r="E33" t="inlineStr">
        <is>
          <t>ENKÖPING</t>
        </is>
      </c>
      <c r="F33" t="inlineStr">
        <is>
          <t>Allmännings- och besparingsskogar</t>
        </is>
      </c>
      <c r="G33" t="n">
        <v>2.2</v>
      </c>
      <c r="H33" t="n">
        <v>0</v>
      </c>
      <c r="I33" t="n">
        <v>0</v>
      </c>
      <c r="J33" t="n">
        <v>1</v>
      </c>
      <c r="K33" t="n">
        <v>0</v>
      </c>
      <c r="L33" t="n">
        <v>0</v>
      </c>
      <c r="M33" t="n">
        <v>0</v>
      </c>
      <c r="N33" t="n">
        <v>0</v>
      </c>
      <c r="O33" t="n">
        <v>1</v>
      </c>
      <c r="P33" t="n">
        <v>0</v>
      </c>
      <c r="Q33" t="n">
        <v>1</v>
      </c>
      <c r="R33" s="2" t="inlineStr">
        <is>
          <t>Igelkott</t>
        </is>
      </c>
      <c r="S33">
        <f>HYPERLINK("https://klasma.github.io/Logging_0381/artfynd/A 52439-2025 artfynd.xlsx", "A 52439-2025")</f>
        <v/>
      </c>
      <c r="T33">
        <f>HYPERLINK("https://klasma.github.io/Logging_0381/kartor/A 52439-2025 karta.png", "A 52439-2025")</f>
        <v/>
      </c>
      <c r="V33">
        <f>HYPERLINK("https://klasma.github.io/Logging_0381/klagomål/A 52439-2025 FSC-klagomål.docx", "A 52439-2025")</f>
        <v/>
      </c>
      <c r="W33">
        <f>HYPERLINK("https://klasma.github.io/Logging_0381/klagomålsmail/A 52439-2025 FSC-klagomål mail.docx", "A 52439-2025")</f>
        <v/>
      </c>
      <c r="X33">
        <f>HYPERLINK("https://klasma.github.io/Logging_0381/tillsyn/A 52439-2025 tillsynsbegäran.docx", "A 52439-2025")</f>
        <v/>
      </c>
      <c r="Y33">
        <f>HYPERLINK("https://klasma.github.io/Logging_0381/tillsynsmail/A 52439-2025 tillsynsbegäran mail.docx", "A 52439-2025")</f>
        <v/>
      </c>
    </row>
    <row r="34" ht="15" customHeight="1">
      <c r="A34" t="inlineStr">
        <is>
          <t>A 16683-2021</t>
        </is>
      </c>
      <c r="B34" s="1" t="n">
        <v>44294.58495370371</v>
      </c>
      <c r="C34" s="1" t="n">
        <v>45968</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45968</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45968</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45968</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45968</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45968</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45968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45968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45968</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45968</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45968</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45968</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45968</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45968</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45968</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45968</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45968</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45968</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17704-2022</t>
        </is>
      </c>
      <c r="B53" s="1" t="n">
        <v>44680.61315972222</v>
      </c>
      <c r="C53" s="1" t="n">
        <v>45968</v>
      </c>
      <c r="D53" t="inlineStr">
        <is>
          <t>UPPSALA LÄN</t>
        </is>
      </c>
      <c r="E53" t="inlineStr">
        <is>
          <t>ENKÖPING</t>
        </is>
      </c>
      <c r="G53" t="n">
        <v>0.8</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45968</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45968</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45968</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39473-2021</t>
        </is>
      </c>
      <c r="B66" s="1" t="n">
        <v>44414</v>
      </c>
      <c r="C66" s="1" t="n">
        <v>45968</v>
      </c>
      <c r="D66" t="inlineStr">
        <is>
          <t>UPPSALA LÄN</t>
        </is>
      </c>
      <c r="E66" t="inlineStr">
        <is>
          <t>ENKÖPING</t>
        </is>
      </c>
      <c r="G66" t="n">
        <v>3.2</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45968</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45968</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45968</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45968</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45968</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45968</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45968</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45968</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45968</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45968</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45968</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45968</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45968</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12732-2021</t>
        </is>
      </c>
      <c r="B80" s="1" t="n">
        <v>44270.62864583333</v>
      </c>
      <c r="C80" s="1" t="n">
        <v>45968</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45968</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45968</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45968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45968</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45968</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45968</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45968</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45968</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49375-2021</t>
        </is>
      </c>
      <c r="B89" s="1" t="n">
        <v>44454</v>
      </c>
      <c r="C89" s="1" t="n">
        <v>45968</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45968</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45968</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45968</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45968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24815-2022</t>
        </is>
      </c>
      <c r="B94" s="1" t="n">
        <v>44728</v>
      </c>
      <c r="C94" s="1" t="n">
        <v>45968</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57078-2021</t>
        </is>
      </c>
      <c r="B95" s="1" t="n">
        <v>44482.57855324074</v>
      </c>
      <c r="C95" s="1" t="n">
        <v>45968</v>
      </c>
      <c r="D95" t="inlineStr">
        <is>
          <t>UPPSALA LÄN</t>
        </is>
      </c>
      <c r="E95" t="inlineStr">
        <is>
          <t>ENKÖPING</t>
        </is>
      </c>
      <c r="G95" t="n">
        <v>3</v>
      </c>
      <c r="H95" t="n">
        <v>0</v>
      </c>
      <c r="I95" t="n">
        <v>0</v>
      </c>
      <c r="J95" t="n">
        <v>0</v>
      </c>
      <c r="K95" t="n">
        <v>0</v>
      </c>
      <c r="L95" t="n">
        <v>0</v>
      </c>
      <c r="M95" t="n">
        <v>0</v>
      </c>
      <c r="N95" t="n">
        <v>0</v>
      </c>
      <c r="O95" t="n">
        <v>0</v>
      </c>
      <c r="P95" t="n">
        <v>0</v>
      </c>
      <c r="Q95" t="n">
        <v>0</v>
      </c>
      <c r="R95" s="2" t="inlineStr"/>
    </row>
    <row r="96" ht="15" customHeight="1">
      <c r="A96" t="inlineStr">
        <is>
          <t>A 57043-2021</t>
        </is>
      </c>
      <c r="B96" s="1" t="n">
        <v>44482.53399305556</v>
      </c>
      <c r="C96" s="1" t="n">
        <v>45968</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15021-2022</t>
        </is>
      </c>
      <c r="B97" s="1" t="n">
        <v>44657</v>
      </c>
      <c r="C97" s="1" t="n">
        <v>45968</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42021-2021</t>
        </is>
      </c>
      <c r="B98" s="1" t="n">
        <v>44426</v>
      </c>
      <c r="C98" s="1" t="n">
        <v>45968</v>
      </c>
      <c r="D98" t="inlineStr">
        <is>
          <t>UPPSALA LÄN</t>
        </is>
      </c>
      <c r="E98" t="inlineStr">
        <is>
          <t>ENKÖPING</t>
        </is>
      </c>
      <c r="G98" t="n">
        <v>2.2</v>
      </c>
      <c r="H98" t="n">
        <v>0</v>
      </c>
      <c r="I98" t="n">
        <v>0</v>
      </c>
      <c r="J98" t="n">
        <v>0</v>
      </c>
      <c r="K98" t="n">
        <v>0</v>
      </c>
      <c r="L98" t="n">
        <v>0</v>
      </c>
      <c r="M98" t="n">
        <v>0</v>
      </c>
      <c r="N98" t="n">
        <v>0</v>
      </c>
      <c r="O98" t="n">
        <v>0</v>
      </c>
      <c r="P98" t="n">
        <v>0</v>
      </c>
      <c r="Q98" t="n">
        <v>0</v>
      </c>
      <c r="R98" s="2" t="inlineStr"/>
    </row>
    <row r="99" ht="15" customHeight="1">
      <c r="A99" t="inlineStr">
        <is>
          <t>A 58798-2020</t>
        </is>
      </c>
      <c r="B99" s="1" t="n">
        <v>44146</v>
      </c>
      <c r="C99" s="1" t="n">
        <v>45968</v>
      </c>
      <c r="D99" t="inlineStr">
        <is>
          <t>UPPSALA LÄN</t>
        </is>
      </c>
      <c r="E99" t="inlineStr">
        <is>
          <t>ENKÖPING</t>
        </is>
      </c>
      <c r="G99" t="n">
        <v>1.8</v>
      </c>
      <c r="H99" t="n">
        <v>0</v>
      </c>
      <c r="I99" t="n">
        <v>0</v>
      </c>
      <c r="J99" t="n">
        <v>0</v>
      </c>
      <c r="K99" t="n">
        <v>0</v>
      </c>
      <c r="L99" t="n">
        <v>0</v>
      </c>
      <c r="M99" t="n">
        <v>0</v>
      </c>
      <c r="N99" t="n">
        <v>0</v>
      </c>
      <c r="O99" t="n">
        <v>0</v>
      </c>
      <c r="P99" t="n">
        <v>0</v>
      </c>
      <c r="Q99" t="n">
        <v>0</v>
      </c>
      <c r="R99" s="2" t="inlineStr"/>
    </row>
    <row r="100" ht="15" customHeight="1">
      <c r="A100" t="inlineStr">
        <is>
          <t>A 17467-2022</t>
        </is>
      </c>
      <c r="B100" s="1" t="n">
        <v>44679</v>
      </c>
      <c r="C100" s="1" t="n">
        <v>45968</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29983-2021</t>
        </is>
      </c>
      <c r="B101" s="1" t="n">
        <v>44363</v>
      </c>
      <c r="C101" s="1" t="n">
        <v>45968</v>
      </c>
      <c r="D101" t="inlineStr">
        <is>
          <t>UPPSALA LÄN</t>
        </is>
      </c>
      <c r="E101" t="inlineStr">
        <is>
          <t>ENKÖPING</t>
        </is>
      </c>
      <c r="F101" t="inlineStr">
        <is>
          <t>Kommuner</t>
        </is>
      </c>
      <c r="G101" t="n">
        <v>3.1</v>
      </c>
      <c r="H101" t="n">
        <v>0</v>
      </c>
      <c r="I101" t="n">
        <v>0</v>
      </c>
      <c r="J101" t="n">
        <v>0</v>
      </c>
      <c r="K101" t="n">
        <v>0</v>
      </c>
      <c r="L101" t="n">
        <v>0</v>
      </c>
      <c r="M101" t="n">
        <v>0</v>
      </c>
      <c r="N101" t="n">
        <v>0</v>
      </c>
      <c r="O101" t="n">
        <v>0</v>
      </c>
      <c r="P101" t="n">
        <v>0</v>
      </c>
      <c r="Q101" t="n">
        <v>0</v>
      </c>
      <c r="R101" s="2" t="inlineStr"/>
    </row>
    <row r="102" ht="15" customHeight="1">
      <c r="A102" t="inlineStr">
        <is>
          <t>A 49063-2024</t>
        </is>
      </c>
      <c r="B102" s="1" t="n">
        <v>45594.59869212963</v>
      </c>
      <c r="C102" s="1" t="n">
        <v>45968</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13853-2023</t>
        </is>
      </c>
      <c r="B103" s="1" t="n">
        <v>45007</v>
      </c>
      <c r="C103" s="1" t="n">
        <v>45968</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31013-2022</t>
        </is>
      </c>
      <c r="B104" s="1" t="n">
        <v>44768</v>
      </c>
      <c r="C104" s="1" t="n">
        <v>45968</v>
      </c>
      <c r="D104" t="inlineStr">
        <is>
          <t>UPPSALA LÄN</t>
        </is>
      </c>
      <c r="E104" t="inlineStr">
        <is>
          <t>ENKÖPING</t>
        </is>
      </c>
      <c r="F104" t="inlineStr">
        <is>
          <t>Allmännings- och besparingsskogar</t>
        </is>
      </c>
      <c r="G104" t="n">
        <v>0.5</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45968</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24883-2022</t>
        </is>
      </c>
      <c r="B106" s="1" t="n">
        <v>44728</v>
      </c>
      <c r="C106" s="1" t="n">
        <v>45968</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42029-2021</t>
        </is>
      </c>
      <c r="B107" s="1" t="n">
        <v>44426</v>
      </c>
      <c r="C107" s="1" t="n">
        <v>45968</v>
      </c>
      <c r="D107" t="inlineStr">
        <is>
          <t>UPPSALA LÄN</t>
        </is>
      </c>
      <c r="E107" t="inlineStr">
        <is>
          <t>ENKÖPING</t>
        </is>
      </c>
      <c r="G107" t="n">
        <v>5.3</v>
      </c>
      <c r="H107" t="n">
        <v>0</v>
      </c>
      <c r="I107" t="n">
        <v>0</v>
      </c>
      <c r="J107" t="n">
        <v>0</v>
      </c>
      <c r="K107" t="n">
        <v>0</v>
      </c>
      <c r="L107" t="n">
        <v>0</v>
      </c>
      <c r="M107" t="n">
        <v>0</v>
      </c>
      <c r="N107" t="n">
        <v>0</v>
      </c>
      <c r="O107" t="n">
        <v>0</v>
      </c>
      <c r="P107" t="n">
        <v>0</v>
      </c>
      <c r="Q107" t="n">
        <v>0</v>
      </c>
      <c r="R107" s="2" t="inlineStr"/>
    </row>
    <row r="108" ht="15" customHeight="1">
      <c r="A108" t="inlineStr">
        <is>
          <t>A 19630-2021</t>
        </is>
      </c>
      <c r="B108" s="1" t="n">
        <v>44312.61876157407</v>
      </c>
      <c r="C108" s="1" t="n">
        <v>45968</v>
      </c>
      <c r="D108" t="inlineStr">
        <is>
          <t>UPPSALA LÄN</t>
        </is>
      </c>
      <c r="E108" t="inlineStr">
        <is>
          <t>ENKÖPING</t>
        </is>
      </c>
      <c r="G108" t="n">
        <v>2.7</v>
      </c>
      <c r="H108" t="n">
        <v>0</v>
      </c>
      <c r="I108" t="n">
        <v>0</v>
      </c>
      <c r="J108" t="n">
        <v>0</v>
      </c>
      <c r="K108" t="n">
        <v>0</v>
      </c>
      <c r="L108" t="n">
        <v>0</v>
      </c>
      <c r="M108" t="n">
        <v>0</v>
      </c>
      <c r="N108" t="n">
        <v>0</v>
      </c>
      <c r="O108" t="n">
        <v>0</v>
      </c>
      <c r="P108" t="n">
        <v>0</v>
      </c>
      <c r="Q108" t="n">
        <v>0</v>
      </c>
      <c r="R108" s="2" t="inlineStr"/>
    </row>
    <row r="109" ht="15" customHeight="1">
      <c r="A109" t="inlineStr">
        <is>
          <t>A 845-2025</t>
        </is>
      </c>
      <c r="B109" s="1" t="n">
        <v>45665</v>
      </c>
      <c r="C109" s="1" t="n">
        <v>45968</v>
      </c>
      <c r="D109" t="inlineStr">
        <is>
          <t>UPPSALA LÄN</t>
        </is>
      </c>
      <c r="E109" t="inlineStr">
        <is>
          <t>ENKÖPING</t>
        </is>
      </c>
      <c r="G109" t="n">
        <v>0.7</v>
      </c>
      <c r="H109" t="n">
        <v>0</v>
      </c>
      <c r="I109" t="n">
        <v>0</v>
      </c>
      <c r="J109" t="n">
        <v>0</v>
      </c>
      <c r="K109" t="n">
        <v>0</v>
      </c>
      <c r="L109" t="n">
        <v>0</v>
      </c>
      <c r="M109" t="n">
        <v>0</v>
      </c>
      <c r="N109" t="n">
        <v>0</v>
      </c>
      <c r="O109" t="n">
        <v>0</v>
      </c>
      <c r="P109" t="n">
        <v>0</v>
      </c>
      <c r="Q109" t="n">
        <v>0</v>
      </c>
      <c r="R109" s="2" t="inlineStr"/>
    </row>
    <row r="110" ht="15" customHeight="1">
      <c r="A110" t="inlineStr">
        <is>
          <t>A 849-2025</t>
        </is>
      </c>
      <c r="B110" s="1" t="n">
        <v>45665</v>
      </c>
      <c r="C110" s="1" t="n">
        <v>45968</v>
      </c>
      <c r="D110" t="inlineStr">
        <is>
          <t>UPPSALA LÄN</t>
        </is>
      </c>
      <c r="E110" t="inlineStr">
        <is>
          <t>ENKÖPING</t>
        </is>
      </c>
      <c r="G110" t="n">
        <v>0.6</v>
      </c>
      <c r="H110" t="n">
        <v>0</v>
      </c>
      <c r="I110" t="n">
        <v>0</v>
      </c>
      <c r="J110" t="n">
        <v>0</v>
      </c>
      <c r="K110" t="n">
        <v>0</v>
      </c>
      <c r="L110" t="n">
        <v>0</v>
      </c>
      <c r="M110" t="n">
        <v>0</v>
      </c>
      <c r="N110" t="n">
        <v>0</v>
      </c>
      <c r="O110" t="n">
        <v>0</v>
      </c>
      <c r="P110" t="n">
        <v>0</v>
      </c>
      <c r="Q110" t="n">
        <v>0</v>
      </c>
      <c r="R110" s="2" t="inlineStr"/>
    </row>
    <row r="111" ht="15" customHeight="1">
      <c r="A111" t="inlineStr">
        <is>
          <t>A 1971-2022</t>
        </is>
      </c>
      <c r="B111" s="1" t="n">
        <v>44575</v>
      </c>
      <c r="C111" s="1" t="n">
        <v>45968</v>
      </c>
      <c r="D111" t="inlineStr">
        <is>
          <t>UPPSALA LÄN</t>
        </is>
      </c>
      <c r="E111" t="inlineStr">
        <is>
          <t>ENKÖPING</t>
        </is>
      </c>
      <c r="G111" t="n">
        <v>1.4</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45968</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20067-2021</t>
        </is>
      </c>
      <c r="B113" s="1" t="n">
        <v>44314</v>
      </c>
      <c r="C113" s="1" t="n">
        <v>45968</v>
      </c>
      <c r="D113" t="inlineStr">
        <is>
          <t>UPPSALA LÄN</t>
        </is>
      </c>
      <c r="E113" t="inlineStr">
        <is>
          <t>ENKÖPING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15924-2022</t>
        </is>
      </c>
      <c r="B114" s="1" t="n">
        <v>44664</v>
      </c>
      <c r="C114" s="1" t="n">
        <v>45968</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15943-2022</t>
        </is>
      </c>
      <c r="B115" s="1" t="n">
        <v>44664.66428240741</v>
      </c>
      <c r="C115" s="1" t="n">
        <v>45968</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47106-2021</t>
        </is>
      </c>
      <c r="B116" s="1" t="n">
        <v>44446</v>
      </c>
      <c r="C116" s="1" t="n">
        <v>45968</v>
      </c>
      <c r="D116" t="inlineStr">
        <is>
          <t>UPPSALA LÄN</t>
        </is>
      </c>
      <c r="E116" t="inlineStr">
        <is>
          <t>ENKÖPING</t>
        </is>
      </c>
      <c r="G116" t="n">
        <v>7.6</v>
      </c>
      <c r="H116" t="n">
        <v>0</v>
      </c>
      <c r="I116" t="n">
        <v>0</v>
      </c>
      <c r="J116" t="n">
        <v>0</v>
      </c>
      <c r="K116" t="n">
        <v>0</v>
      </c>
      <c r="L116" t="n">
        <v>0</v>
      </c>
      <c r="M116" t="n">
        <v>0</v>
      </c>
      <c r="N116" t="n">
        <v>0</v>
      </c>
      <c r="O116" t="n">
        <v>0</v>
      </c>
      <c r="P116" t="n">
        <v>0</v>
      </c>
      <c r="Q116" t="n">
        <v>0</v>
      </c>
      <c r="R116" s="2" t="inlineStr"/>
    </row>
    <row r="117" ht="15" customHeight="1">
      <c r="A117" t="inlineStr">
        <is>
          <t>A 19731-2022</t>
        </is>
      </c>
      <c r="B117" s="1" t="n">
        <v>44694</v>
      </c>
      <c r="C117" s="1" t="n">
        <v>45968</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2968-2025</t>
        </is>
      </c>
      <c r="B118" s="1" t="n">
        <v>45678</v>
      </c>
      <c r="C118" s="1" t="n">
        <v>45968</v>
      </c>
      <c r="D118" t="inlineStr">
        <is>
          <t>UPPSALA LÄN</t>
        </is>
      </c>
      <c r="E118" t="inlineStr">
        <is>
          <t>ENKÖPING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49525-2021</t>
        </is>
      </c>
      <c r="B119" s="1" t="n">
        <v>44455</v>
      </c>
      <c r="C119" s="1" t="n">
        <v>45968</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6959-2025</t>
        </is>
      </c>
      <c r="B120" s="1" t="n">
        <v>45701.49315972222</v>
      </c>
      <c r="C120" s="1" t="n">
        <v>45968</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22981-2025</t>
        </is>
      </c>
      <c r="B121" s="1" t="n">
        <v>45790.56964120371</v>
      </c>
      <c r="C121" s="1" t="n">
        <v>45968</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50747-2022</t>
        </is>
      </c>
      <c r="B122" s="1" t="n">
        <v>44867.40162037037</v>
      </c>
      <c r="C122" s="1" t="n">
        <v>45968</v>
      </c>
      <c r="D122" t="inlineStr">
        <is>
          <t>UPPSALA LÄN</t>
        </is>
      </c>
      <c r="E122" t="inlineStr">
        <is>
          <t>ENKÖPING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62158-2023</t>
        </is>
      </c>
      <c r="B123" s="1" t="n">
        <v>45267</v>
      </c>
      <c r="C123" s="1" t="n">
        <v>45968</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60350-2022</t>
        </is>
      </c>
      <c r="B124" s="1" t="n">
        <v>44910</v>
      </c>
      <c r="C124" s="1" t="n">
        <v>45968</v>
      </c>
      <c r="D124" t="inlineStr">
        <is>
          <t>UPPSALA LÄN</t>
        </is>
      </c>
      <c r="E124" t="inlineStr">
        <is>
          <t>ENKÖPING</t>
        </is>
      </c>
      <c r="F124" t="inlineStr">
        <is>
          <t>Allmännings- och besparingsskogar</t>
        </is>
      </c>
      <c r="G124" t="n">
        <v>3.5</v>
      </c>
      <c r="H124" t="n">
        <v>0</v>
      </c>
      <c r="I124" t="n">
        <v>0</v>
      </c>
      <c r="J124" t="n">
        <v>0</v>
      </c>
      <c r="K124" t="n">
        <v>0</v>
      </c>
      <c r="L124" t="n">
        <v>0</v>
      </c>
      <c r="M124" t="n">
        <v>0</v>
      </c>
      <c r="N124" t="n">
        <v>0</v>
      </c>
      <c r="O124" t="n">
        <v>0</v>
      </c>
      <c r="P124" t="n">
        <v>0</v>
      </c>
      <c r="Q124" t="n">
        <v>0</v>
      </c>
      <c r="R124" s="2" t="inlineStr"/>
    </row>
    <row r="125" ht="15" customHeight="1">
      <c r="A125" t="inlineStr">
        <is>
          <t>A 2850-2025</t>
        </is>
      </c>
      <c r="B125" s="1" t="n">
        <v>45677</v>
      </c>
      <c r="C125" s="1" t="n">
        <v>45968</v>
      </c>
      <c r="D125" t="inlineStr">
        <is>
          <t>UPPSALA LÄN</t>
        </is>
      </c>
      <c r="E125" t="inlineStr">
        <is>
          <t>ENKÖPING</t>
        </is>
      </c>
      <c r="G125" t="n">
        <v>0.3</v>
      </c>
      <c r="H125" t="n">
        <v>0</v>
      </c>
      <c r="I125" t="n">
        <v>0</v>
      </c>
      <c r="J125" t="n">
        <v>0</v>
      </c>
      <c r="K125" t="n">
        <v>0</v>
      </c>
      <c r="L125" t="n">
        <v>0</v>
      </c>
      <c r="M125" t="n">
        <v>0</v>
      </c>
      <c r="N125" t="n">
        <v>0</v>
      </c>
      <c r="O125" t="n">
        <v>0</v>
      </c>
      <c r="P125" t="n">
        <v>0</v>
      </c>
      <c r="Q125" t="n">
        <v>0</v>
      </c>
      <c r="R125" s="2" t="inlineStr"/>
    </row>
    <row r="126" ht="15" customHeight="1">
      <c r="A126" t="inlineStr">
        <is>
          <t>A 45956-2024</t>
        </is>
      </c>
      <c r="B126" s="1" t="n">
        <v>45580</v>
      </c>
      <c r="C126" s="1" t="n">
        <v>45968</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10831-2024</t>
        </is>
      </c>
      <c r="B127" s="1" t="n">
        <v>45369</v>
      </c>
      <c r="C127" s="1" t="n">
        <v>45968</v>
      </c>
      <c r="D127" t="inlineStr">
        <is>
          <t>UPPSALA LÄN</t>
        </is>
      </c>
      <c r="E127" t="inlineStr">
        <is>
          <t>ENKÖPING</t>
        </is>
      </c>
      <c r="G127" t="n">
        <v>2.9</v>
      </c>
      <c r="H127" t="n">
        <v>0</v>
      </c>
      <c r="I127" t="n">
        <v>0</v>
      </c>
      <c r="J127" t="n">
        <v>0</v>
      </c>
      <c r="K127" t="n">
        <v>0</v>
      </c>
      <c r="L127" t="n">
        <v>0</v>
      </c>
      <c r="M127" t="n">
        <v>0</v>
      </c>
      <c r="N127" t="n">
        <v>0</v>
      </c>
      <c r="O127" t="n">
        <v>0</v>
      </c>
      <c r="P127" t="n">
        <v>0</v>
      </c>
      <c r="Q127" t="n">
        <v>0</v>
      </c>
      <c r="R127" s="2" t="inlineStr"/>
    </row>
    <row r="128" ht="15" customHeight="1">
      <c r="A128" t="inlineStr">
        <is>
          <t>A 30437-2022</t>
        </is>
      </c>
      <c r="B128" s="1" t="n">
        <v>44761</v>
      </c>
      <c r="C128" s="1" t="n">
        <v>45968</v>
      </c>
      <c r="D128" t="inlineStr">
        <is>
          <t>UPPSALA LÄN</t>
        </is>
      </c>
      <c r="E128" t="inlineStr">
        <is>
          <t>ENKÖPING</t>
        </is>
      </c>
      <c r="G128" t="n">
        <v>3.4</v>
      </c>
      <c r="H128" t="n">
        <v>0</v>
      </c>
      <c r="I128" t="n">
        <v>0</v>
      </c>
      <c r="J128" t="n">
        <v>0</v>
      </c>
      <c r="K128" t="n">
        <v>0</v>
      </c>
      <c r="L128" t="n">
        <v>0</v>
      </c>
      <c r="M128" t="n">
        <v>0</v>
      </c>
      <c r="N128" t="n">
        <v>0</v>
      </c>
      <c r="O128" t="n">
        <v>0</v>
      </c>
      <c r="P128" t="n">
        <v>0</v>
      </c>
      <c r="Q128" t="n">
        <v>0</v>
      </c>
      <c r="R128" s="2" t="inlineStr"/>
    </row>
    <row r="129" ht="15" customHeight="1">
      <c r="A129" t="inlineStr">
        <is>
          <t>A 51011-2024</t>
        </is>
      </c>
      <c r="B129" s="1" t="n">
        <v>45603.39427083333</v>
      </c>
      <c r="C129" s="1" t="n">
        <v>45968</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26319-2022</t>
        </is>
      </c>
      <c r="B130" s="1" t="n">
        <v>44735</v>
      </c>
      <c r="C130" s="1" t="n">
        <v>45968</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8020-2022</t>
        </is>
      </c>
      <c r="B131" s="1" t="n">
        <v>44609</v>
      </c>
      <c r="C131" s="1" t="n">
        <v>45968</v>
      </c>
      <c r="D131" t="inlineStr">
        <is>
          <t>UPPSALA LÄN</t>
        </is>
      </c>
      <c r="E131" t="inlineStr">
        <is>
          <t>ENKÖPING</t>
        </is>
      </c>
      <c r="G131" t="n">
        <v>6</v>
      </c>
      <c r="H131" t="n">
        <v>0</v>
      </c>
      <c r="I131" t="n">
        <v>0</v>
      </c>
      <c r="J131" t="n">
        <v>0</v>
      </c>
      <c r="K131" t="n">
        <v>0</v>
      </c>
      <c r="L131" t="n">
        <v>0</v>
      </c>
      <c r="M131" t="n">
        <v>0</v>
      </c>
      <c r="N131" t="n">
        <v>0</v>
      </c>
      <c r="O131" t="n">
        <v>0</v>
      </c>
      <c r="P131" t="n">
        <v>0</v>
      </c>
      <c r="Q131" t="n">
        <v>0</v>
      </c>
      <c r="R131" s="2" t="inlineStr"/>
    </row>
    <row r="132" ht="15" customHeight="1">
      <c r="A132" t="inlineStr">
        <is>
          <t>A 74090-2021</t>
        </is>
      </c>
      <c r="B132" s="1" t="n">
        <v>44557</v>
      </c>
      <c r="C132" s="1" t="n">
        <v>45968</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35647-2021</t>
        </is>
      </c>
      <c r="B133" s="1" t="n">
        <v>44386</v>
      </c>
      <c r="C133" s="1" t="n">
        <v>45968</v>
      </c>
      <c r="D133" t="inlineStr">
        <is>
          <t>UPPSALA LÄN</t>
        </is>
      </c>
      <c r="E133" t="inlineStr">
        <is>
          <t>ENKÖPING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34805-2024</t>
        </is>
      </c>
      <c r="B134" s="1" t="n">
        <v>45526</v>
      </c>
      <c r="C134" s="1" t="n">
        <v>45968</v>
      </c>
      <c r="D134" t="inlineStr">
        <is>
          <t>UPPSALA LÄN</t>
        </is>
      </c>
      <c r="E134" t="inlineStr">
        <is>
          <t>ENKÖPING</t>
        </is>
      </c>
      <c r="G134" t="n">
        <v>3.6</v>
      </c>
      <c r="H134" t="n">
        <v>0</v>
      </c>
      <c r="I134" t="n">
        <v>0</v>
      </c>
      <c r="J134" t="n">
        <v>0</v>
      </c>
      <c r="K134" t="n">
        <v>0</v>
      </c>
      <c r="L134" t="n">
        <v>0</v>
      </c>
      <c r="M134" t="n">
        <v>0</v>
      </c>
      <c r="N134" t="n">
        <v>0</v>
      </c>
      <c r="O134" t="n">
        <v>0</v>
      </c>
      <c r="P134" t="n">
        <v>0</v>
      </c>
      <c r="Q134" t="n">
        <v>0</v>
      </c>
      <c r="R134" s="2" t="inlineStr"/>
    </row>
    <row r="135" ht="15" customHeight="1">
      <c r="A135" t="inlineStr">
        <is>
          <t>A 17729-2023</t>
        </is>
      </c>
      <c r="B135" s="1" t="n">
        <v>45037</v>
      </c>
      <c r="C135" s="1" t="n">
        <v>45968</v>
      </c>
      <c r="D135" t="inlineStr">
        <is>
          <t>UPPSALA LÄN</t>
        </is>
      </c>
      <c r="E135" t="inlineStr">
        <is>
          <t>ENKÖPING</t>
        </is>
      </c>
      <c r="G135" t="n">
        <v>10.2</v>
      </c>
      <c r="H135" t="n">
        <v>0</v>
      </c>
      <c r="I135" t="n">
        <v>0</v>
      </c>
      <c r="J135" t="n">
        <v>0</v>
      </c>
      <c r="K135" t="n">
        <v>0</v>
      </c>
      <c r="L135" t="n">
        <v>0</v>
      </c>
      <c r="M135" t="n">
        <v>0</v>
      </c>
      <c r="N135" t="n">
        <v>0</v>
      </c>
      <c r="O135" t="n">
        <v>0</v>
      </c>
      <c r="P135" t="n">
        <v>0</v>
      </c>
      <c r="Q135" t="n">
        <v>0</v>
      </c>
      <c r="R135" s="2" t="inlineStr"/>
    </row>
    <row r="136" ht="15" customHeight="1">
      <c r="A136" t="inlineStr">
        <is>
          <t>A 17657-2025</t>
        </is>
      </c>
      <c r="B136" s="1" t="n">
        <v>45758.35006944444</v>
      </c>
      <c r="C136" s="1" t="n">
        <v>45968</v>
      </c>
      <c r="D136" t="inlineStr">
        <is>
          <t>UPPSALA LÄN</t>
        </is>
      </c>
      <c r="E136" t="inlineStr">
        <is>
          <t>ENKÖPING</t>
        </is>
      </c>
      <c r="G136" t="n">
        <v>3</v>
      </c>
      <c r="H136" t="n">
        <v>0</v>
      </c>
      <c r="I136" t="n">
        <v>0</v>
      </c>
      <c r="J136" t="n">
        <v>0</v>
      </c>
      <c r="K136" t="n">
        <v>0</v>
      </c>
      <c r="L136" t="n">
        <v>0</v>
      </c>
      <c r="M136" t="n">
        <v>0</v>
      </c>
      <c r="N136" t="n">
        <v>0</v>
      </c>
      <c r="O136" t="n">
        <v>0</v>
      </c>
      <c r="P136" t="n">
        <v>0</v>
      </c>
      <c r="Q136" t="n">
        <v>0</v>
      </c>
      <c r="R136" s="2" t="inlineStr"/>
    </row>
    <row r="137" ht="15" customHeight="1">
      <c r="A137" t="inlineStr">
        <is>
          <t>A 29918-2023</t>
        </is>
      </c>
      <c r="B137" s="1" t="n">
        <v>45099</v>
      </c>
      <c r="C137" s="1" t="n">
        <v>45968</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49568-2022</t>
        </is>
      </c>
      <c r="B138" s="1" t="n">
        <v>44862.32791666667</v>
      </c>
      <c r="C138" s="1" t="n">
        <v>45968</v>
      </c>
      <c r="D138" t="inlineStr">
        <is>
          <t>UPPSALA LÄN</t>
        </is>
      </c>
      <c r="E138" t="inlineStr">
        <is>
          <t>ENKÖPING</t>
        </is>
      </c>
      <c r="G138" t="n">
        <v>0.9</v>
      </c>
      <c r="H138" t="n">
        <v>0</v>
      </c>
      <c r="I138" t="n">
        <v>0</v>
      </c>
      <c r="J138" t="n">
        <v>0</v>
      </c>
      <c r="K138" t="n">
        <v>0</v>
      </c>
      <c r="L138" t="n">
        <v>0</v>
      </c>
      <c r="M138" t="n">
        <v>0</v>
      </c>
      <c r="N138" t="n">
        <v>0</v>
      </c>
      <c r="O138" t="n">
        <v>0</v>
      </c>
      <c r="P138" t="n">
        <v>0</v>
      </c>
      <c r="Q138" t="n">
        <v>0</v>
      </c>
      <c r="R138" s="2" t="inlineStr"/>
    </row>
    <row r="139" ht="15" customHeight="1">
      <c r="A139" t="inlineStr">
        <is>
          <t>A 69567-2020</t>
        </is>
      </c>
      <c r="B139" s="1" t="n">
        <v>44194</v>
      </c>
      <c r="C139" s="1" t="n">
        <v>45968</v>
      </c>
      <c r="D139" t="inlineStr">
        <is>
          <t>UPPSALA LÄN</t>
        </is>
      </c>
      <c r="E139" t="inlineStr">
        <is>
          <t>ENKÖPING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5712-2025</t>
        </is>
      </c>
      <c r="B140" s="1" t="n">
        <v>45694</v>
      </c>
      <c r="C140" s="1" t="n">
        <v>45968</v>
      </c>
      <c r="D140" t="inlineStr">
        <is>
          <t>UPPSALA LÄN</t>
        </is>
      </c>
      <c r="E140" t="inlineStr">
        <is>
          <t>ENKÖPING</t>
        </is>
      </c>
      <c r="G140" t="n">
        <v>5.1</v>
      </c>
      <c r="H140" t="n">
        <v>0</v>
      </c>
      <c r="I140" t="n">
        <v>0</v>
      </c>
      <c r="J140" t="n">
        <v>0</v>
      </c>
      <c r="K140" t="n">
        <v>0</v>
      </c>
      <c r="L140" t="n">
        <v>0</v>
      </c>
      <c r="M140" t="n">
        <v>0</v>
      </c>
      <c r="N140" t="n">
        <v>0</v>
      </c>
      <c r="O140" t="n">
        <v>0</v>
      </c>
      <c r="P140" t="n">
        <v>0</v>
      </c>
      <c r="Q140" t="n">
        <v>0</v>
      </c>
      <c r="R140" s="2" t="inlineStr"/>
    </row>
    <row r="141" ht="15" customHeight="1">
      <c r="A141" t="inlineStr">
        <is>
          <t>A 5749-2025</t>
        </is>
      </c>
      <c r="B141" s="1" t="n">
        <v>45694</v>
      </c>
      <c r="C141" s="1" t="n">
        <v>45968</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24291-2024</t>
        </is>
      </c>
      <c r="B142" s="1" t="n">
        <v>45457.4584837963</v>
      </c>
      <c r="C142" s="1" t="n">
        <v>45968</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314-2025</t>
        </is>
      </c>
      <c r="B143" s="1" t="n">
        <v>45656</v>
      </c>
      <c r="C143" s="1" t="n">
        <v>45968</v>
      </c>
      <c r="D143" t="inlineStr">
        <is>
          <t>UPPSALA LÄN</t>
        </is>
      </c>
      <c r="E143" t="inlineStr">
        <is>
          <t>ENKÖPING</t>
        </is>
      </c>
      <c r="G143" t="n">
        <v>9</v>
      </c>
      <c r="H143" t="n">
        <v>0</v>
      </c>
      <c r="I143" t="n">
        <v>0</v>
      </c>
      <c r="J143" t="n">
        <v>0</v>
      </c>
      <c r="K143" t="n">
        <v>0</v>
      </c>
      <c r="L143" t="n">
        <v>0</v>
      </c>
      <c r="M143" t="n">
        <v>0</v>
      </c>
      <c r="N143" t="n">
        <v>0</v>
      </c>
      <c r="O143" t="n">
        <v>0</v>
      </c>
      <c r="P143" t="n">
        <v>0</v>
      </c>
      <c r="Q143" t="n">
        <v>0</v>
      </c>
      <c r="R143" s="2" t="inlineStr"/>
    </row>
    <row r="144" ht="15" customHeight="1">
      <c r="A144" t="inlineStr">
        <is>
          <t>A 11627-2025</t>
        </is>
      </c>
      <c r="B144" s="1" t="n">
        <v>45727</v>
      </c>
      <c r="C144" s="1" t="n">
        <v>45968</v>
      </c>
      <c r="D144" t="inlineStr">
        <is>
          <t>UPPSALA LÄN</t>
        </is>
      </c>
      <c r="E144" t="inlineStr">
        <is>
          <t>ENKÖPING</t>
        </is>
      </c>
      <c r="G144" t="n">
        <v>5.5</v>
      </c>
      <c r="H144" t="n">
        <v>0</v>
      </c>
      <c r="I144" t="n">
        <v>0</v>
      </c>
      <c r="J144" t="n">
        <v>0</v>
      </c>
      <c r="K144" t="n">
        <v>0</v>
      </c>
      <c r="L144" t="n">
        <v>0</v>
      </c>
      <c r="M144" t="n">
        <v>0</v>
      </c>
      <c r="N144" t="n">
        <v>0</v>
      </c>
      <c r="O144" t="n">
        <v>0</v>
      </c>
      <c r="P144" t="n">
        <v>0</v>
      </c>
      <c r="Q144" t="n">
        <v>0</v>
      </c>
      <c r="R144" s="2" t="inlineStr"/>
    </row>
    <row r="145" ht="15" customHeight="1">
      <c r="A145" t="inlineStr">
        <is>
          <t>A 24411-2024</t>
        </is>
      </c>
      <c r="B145" s="1" t="n">
        <v>45457</v>
      </c>
      <c r="C145" s="1" t="n">
        <v>45968</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10458-2022</t>
        </is>
      </c>
      <c r="B146" s="1" t="n">
        <v>44623.56711805556</v>
      </c>
      <c r="C146" s="1" t="n">
        <v>45968</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44115-2024</t>
        </is>
      </c>
      <c r="B147" s="1" t="n">
        <v>45572</v>
      </c>
      <c r="C147" s="1" t="n">
        <v>45968</v>
      </c>
      <c r="D147" t="inlineStr">
        <is>
          <t>UPPSALA LÄN</t>
        </is>
      </c>
      <c r="E147" t="inlineStr">
        <is>
          <t>ENKÖPING</t>
        </is>
      </c>
      <c r="G147" t="n">
        <v>0.8</v>
      </c>
      <c r="H147" t="n">
        <v>0</v>
      </c>
      <c r="I147" t="n">
        <v>0</v>
      </c>
      <c r="J147" t="n">
        <v>0</v>
      </c>
      <c r="K147" t="n">
        <v>0</v>
      </c>
      <c r="L147" t="n">
        <v>0</v>
      </c>
      <c r="M147" t="n">
        <v>0</v>
      </c>
      <c r="N147" t="n">
        <v>0</v>
      </c>
      <c r="O147" t="n">
        <v>0</v>
      </c>
      <c r="P147" t="n">
        <v>0</v>
      </c>
      <c r="Q147" t="n">
        <v>0</v>
      </c>
      <c r="R147" s="2" t="inlineStr"/>
    </row>
    <row r="148" ht="15" customHeight="1">
      <c r="A148" t="inlineStr">
        <is>
          <t>A 47681-2024</t>
        </is>
      </c>
      <c r="B148" s="1" t="n">
        <v>45588</v>
      </c>
      <c r="C148" s="1" t="n">
        <v>45968</v>
      </c>
      <c r="D148" t="inlineStr">
        <is>
          <t>UPPSALA LÄN</t>
        </is>
      </c>
      <c r="E148" t="inlineStr">
        <is>
          <t>ENKÖPING</t>
        </is>
      </c>
      <c r="G148" t="n">
        <v>4.2</v>
      </c>
      <c r="H148" t="n">
        <v>0</v>
      </c>
      <c r="I148" t="n">
        <v>0</v>
      </c>
      <c r="J148" t="n">
        <v>0</v>
      </c>
      <c r="K148" t="n">
        <v>0</v>
      </c>
      <c r="L148" t="n">
        <v>0</v>
      </c>
      <c r="M148" t="n">
        <v>0</v>
      </c>
      <c r="N148" t="n">
        <v>0</v>
      </c>
      <c r="O148" t="n">
        <v>0</v>
      </c>
      <c r="P148" t="n">
        <v>0</v>
      </c>
      <c r="Q148" t="n">
        <v>0</v>
      </c>
      <c r="R148" s="2" t="inlineStr"/>
    </row>
    <row r="149" ht="15" customHeight="1">
      <c r="A149" t="inlineStr">
        <is>
          <t>A 9957-2023</t>
        </is>
      </c>
      <c r="B149" s="1" t="n">
        <v>44978</v>
      </c>
      <c r="C149" s="1" t="n">
        <v>45968</v>
      </c>
      <c r="D149" t="inlineStr">
        <is>
          <t>UPPSALA LÄN</t>
        </is>
      </c>
      <c r="E149" t="inlineStr">
        <is>
          <t>ENKÖPING</t>
        </is>
      </c>
      <c r="G149" t="n">
        <v>5.9</v>
      </c>
      <c r="H149" t="n">
        <v>0</v>
      </c>
      <c r="I149" t="n">
        <v>0</v>
      </c>
      <c r="J149" t="n">
        <v>0</v>
      </c>
      <c r="K149" t="n">
        <v>0</v>
      </c>
      <c r="L149" t="n">
        <v>0</v>
      </c>
      <c r="M149" t="n">
        <v>0</v>
      </c>
      <c r="N149" t="n">
        <v>0</v>
      </c>
      <c r="O149" t="n">
        <v>0</v>
      </c>
      <c r="P149" t="n">
        <v>0</v>
      </c>
      <c r="Q149" t="n">
        <v>0</v>
      </c>
      <c r="R149" s="2" t="inlineStr"/>
    </row>
    <row r="150" ht="15" customHeight="1">
      <c r="A150" t="inlineStr">
        <is>
          <t>A 2833-2025</t>
        </is>
      </c>
      <c r="B150" s="1" t="n">
        <v>45677.63206018518</v>
      </c>
      <c r="C150" s="1" t="n">
        <v>45968</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63402-2023</t>
        </is>
      </c>
      <c r="B151" s="1" t="n">
        <v>45274.50646990741</v>
      </c>
      <c r="C151" s="1" t="n">
        <v>45968</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58092-2024</t>
        </is>
      </c>
      <c r="B152" s="1" t="n">
        <v>45632</v>
      </c>
      <c r="C152" s="1" t="n">
        <v>45968</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50006-2023</t>
        </is>
      </c>
      <c r="B153" s="1" t="n">
        <v>45215</v>
      </c>
      <c r="C153" s="1" t="n">
        <v>45968</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16916-2023</t>
        </is>
      </c>
      <c r="B154" s="1" t="n">
        <v>45033.58347222222</v>
      </c>
      <c r="C154" s="1" t="n">
        <v>45968</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56886-2023</t>
        </is>
      </c>
      <c r="B155" s="1" t="n">
        <v>45239</v>
      </c>
      <c r="C155" s="1" t="n">
        <v>45968</v>
      </c>
      <c r="D155" t="inlineStr">
        <is>
          <t>UPPSALA LÄN</t>
        </is>
      </c>
      <c r="E155" t="inlineStr">
        <is>
          <t>ENKÖPING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26017-2025</t>
        </is>
      </c>
      <c r="B156" s="1" t="n">
        <v>45804</v>
      </c>
      <c r="C156" s="1" t="n">
        <v>45968</v>
      </c>
      <c r="D156" t="inlineStr">
        <is>
          <t>UPPSALA LÄN</t>
        </is>
      </c>
      <c r="E156" t="inlineStr">
        <is>
          <t>ENKÖPING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26024-2025</t>
        </is>
      </c>
      <c r="B157" s="1" t="n">
        <v>45804.6831712963</v>
      </c>
      <c r="C157" s="1" t="n">
        <v>45968</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26042-2025</t>
        </is>
      </c>
      <c r="B158" s="1" t="n">
        <v>45804.70018518518</v>
      </c>
      <c r="C158" s="1" t="n">
        <v>45968</v>
      </c>
      <c r="D158" t="inlineStr">
        <is>
          <t>UPPSALA LÄN</t>
        </is>
      </c>
      <c r="E158" t="inlineStr">
        <is>
          <t>ENKÖPING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26005-2025</t>
        </is>
      </c>
      <c r="B159" s="1" t="n">
        <v>45804.67055555555</v>
      </c>
      <c r="C159" s="1" t="n">
        <v>45968</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26026-2025</t>
        </is>
      </c>
      <c r="B160" s="1" t="n">
        <v>45804.68510416667</v>
      </c>
      <c r="C160" s="1" t="n">
        <v>45968</v>
      </c>
      <c r="D160" t="inlineStr">
        <is>
          <t>UPPSALA LÄN</t>
        </is>
      </c>
      <c r="E160" t="inlineStr">
        <is>
          <t>ENKÖPING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26030-2025</t>
        </is>
      </c>
      <c r="B161" s="1" t="n">
        <v>45804.68815972222</v>
      </c>
      <c r="C161" s="1" t="n">
        <v>45968</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56526-2022</t>
        </is>
      </c>
      <c r="B162" s="1" t="n">
        <v>44893</v>
      </c>
      <c r="C162" s="1" t="n">
        <v>45968</v>
      </c>
      <c r="D162" t="inlineStr">
        <is>
          <t>UPPSALA LÄN</t>
        </is>
      </c>
      <c r="E162" t="inlineStr">
        <is>
          <t>ENKÖPING</t>
        </is>
      </c>
      <c r="G162" t="n">
        <v>3.8</v>
      </c>
      <c r="H162" t="n">
        <v>0</v>
      </c>
      <c r="I162" t="n">
        <v>0</v>
      </c>
      <c r="J162" t="n">
        <v>0</v>
      </c>
      <c r="K162" t="n">
        <v>0</v>
      </c>
      <c r="L162" t="n">
        <v>0</v>
      </c>
      <c r="M162" t="n">
        <v>0</v>
      </c>
      <c r="N162" t="n">
        <v>0</v>
      </c>
      <c r="O162" t="n">
        <v>0</v>
      </c>
      <c r="P162" t="n">
        <v>0</v>
      </c>
      <c r="Q162" t="n">
        <v>0</v>
      </c>
      <c r="R162" s="2" t="inlineStr"/>
    </row>
    <row r="163" ht="15" customHeight="1">
      <c r="A163" t="inlineStr">
        <is>
          <t>A 26022-2025</t>
        </is>
      </c>
      <c r="B163" s="1" t="n">
        <v>45804.68006944445</v>
      </c>
      <c r="C163" s="1" t="n">
        <v>45968</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25988-2025</t>
        </is>
      </c>
      <c r="B164" s="1" t="n">
        <v>45804.64814814815</v>
      </c>
      <c r="C164" s="1" t="n">
        <v>45968</v>
      </c>
      <c r="D164" t="inlineStr">
        <is>
          <t>UPPSALA LÄN</t>
        </is>
      </c>
      <c r="E164" t="inlineStr">
        <is>
          <t>ENKÖPING</t>
        </is>
      </c>
      <c r="G164" t="n">
        <v>4.7</v>
      </c>
      <c r="H164" t="n">
        <v>0</v>
      </c>
      <c r="I164" t="n">
        <v>0</v>
      </c>
      <c r="J164" t="n">
        <v>0</v>
      </c>
      <c r="K164" t="n">
        <v>0</v>
      </c>
      <c r="L164" t="n">
        <v>0</v>
      </c>
      <c r="M164" t="n">
        <v>0</v>
      </c>
      <c r="N164" t="n">
        <v>0</v>
      </c>
      <c r="O164" t="n">
        <v>0</v>
      </c>
      <c r="P164" t="n">
        <v>0</v>
      </c>
      <c r="Q164" t="n">
        <v>0</v>
      </c>
      <c r="R164" s="2" t="inlineStr"/>
    </row>
    <row r="165" ht="15" customHeight="1">
      <c r="A165" t="inlineStr">
        <is>
          <t>A 26031-2025</t>
        </is>
      </c>
      <c r="B165" s="1" t="n">
        <v>45804.69050925926</v>
      </c>
      <c r="C165" s="1" t="n">
        <v>45968</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39858-2024</t>
        </is>
      </c>
      <c r="B166" s="1" t="n">
        <v>45553</v>
      </c>
      <c r="C166" s="1" t="n">
        <v>45968</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26011-2025</t>
        </is>
      </c>
      <c r="B167" s="1" t="n">
        <v>45804.67412037037</v>
      </c>
      <c r="C167" s="1" t="n">
        <v>45968</v>
      </c>
      <c r="D167" t="inlineStr">
        <is>
          <t>UPPSALA LÄN</t>
        </is>
      </c>
      <c r="E167" t="inlineStr">
        <is>
          <t>ENKÖPING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26041-2025</t>
        </is>
      </c>
      <c r="B168" s="1" t="n">
        <v>45804.69883101852</v>
      </c>
      <c r="C168" s="1" t="n">
        <v>45968</v>
      </c>
      <c r="D168" t="inlineStr">
        <is>
          <t>UPPSALA LÄN</t>
        </is>
      </c>
      <c r="E168" t="inlineStr">
        <is>
          <t>ENKÖPING</t>
        </is>
      </c>
      <c r="G168" t="n">
        <v>0.8</v>
      </c>
      <c r="H168" t="n">
        <v>0</v>
      </c>
      <c r="I168" t="n">
        <v>0</v>
      </c>
      <c r="J168" t="n">
        <v>0</v>
      </c>
      <c r="K168" t="n">
        <v>0</v>
      </c>
      <c r="L168" t="n">
        <v>0</v>
      </c>
      <c r="M168" t="n">
        <v>0</v>
      </c>
      <c r="N168" t="n">
        <v>0</v>
      </c>
      <c r="O168" t="n">
        <v>0</v>
      </c>
      <c r="P168" t="n">
        <v>0</v>
      </c>
      <c r="Q168" t="n">
        <v>0</v>
      </c>
      <c r="R168" s="2" t="inlineStr"/>
    </row>
    <row r="169" ht="15" customHeight="1">
      <c r="A169" t="inlineStr">
        <is>
          <t>A 25990-2025</t>
        </is>
      </c>
      <c r="B169" s="1" t="n">
        <v>45804.65229166667</v>
      </c>
      <c r="C169" s="1" t="n">
        <v>45968</v>
      </c>
      <c r="D169" t="inlineStr">
        <is>
          <t>UPPSALA LÄN</t>
        </is>
      </c>
      <c r="E169" t="inlineStr">
        <is>
          <t>ENKÖPING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60289-2022</t>
        </is>
      </c>
      <c r="B170" s="1" t="n">
        <v>44910.53026620371</v>
      </c>
      <c r="C170" s="1" t="n">
        <v>45968</v>
      </c>
      <c r="D170" t="inlineStr">
        <is>
          <t>UPPSALA LÄN</t>
        </is>
      </c>
      <c r="E170" t="inlineStr">
        <is>
          <t>ENKÖPING</t>
        </is>
      </c>
      <c r="G170" t="n">
        <v>3.2</v>
      </c>
      <c r="H170" t="n">
        <v>0</v>
      </c>
      <c r="I170" t="n">
        <v>0</v>
      </c>
      <c r="J170" t="n">
        <v>0</v>
      </c>
      <c r="K170" t="n">
        <v>0</v>
      </c>
      <c r="L170" t="n">
        <v>0</v>
      </c>
      <c r="M170" t="n">
        <v>0</v>
      </c>
      <c r="N170" t="n">
        <v>0</v>
      </c>
      <c r="O170" t="n">
        <v>0</v>
      </c>
      <c r="P170" t="n">
        <v>0</v>
      </c>
      <c r="Q170" t="n">
        <v>0</v>
      </c>
      <c r="R170" s="2" t="inlineStr"/>
    </row>
    <row r="171" ht="15" customHeight="1">
      <c r="A171" t="inlineStr">
        <is>
          <t>A 25847-2025</t>
        </is>
      </c>
      <c r="B171" s="1" t="n">
        <v>45804</v>
      </c>
      <c r="C171" s="1" t="n">
        <v>45968</v>
      </c>
      <c r="D171" t="inlineStr">
        <is>
          <t>UPPSALA LÄN</t>
        </is>
      </c>
      <c r="E171" t="inlineStr">
        <is>
          <t>ENKÖPING</t>
        </is>
      </c>
      <c r="G171" t="n">
        <v>3.6</v>
      </c>
      <c r="H171" t="n">
        <v>0</v>
      </c>
      <c r="I171" t="n">
        <v>0</v>
      </c>
      <c r="J171" t="n">
        <v>0</v>
      </c>
      <c r="K171" t="n">
        <v>0</v>
      </c>
      <c r="L171" t="n">
        <v>0</v>
      </c>
      <c r="M171" t="n">
        <v>0</v>
      </c>
      <c r="N171" t="n">
        <v>0</v>
      </c>
      <c r="O171" t="n">
        <v>0</v>
      </c>
      <c r="P171" t="n">
        <v>0</v>
      </c>
      <c r="Q171" t="n">
        <v>0</v>
      </c>
      <c r="R171" s="2" t="inlineStr"/>
    </row>
    <row r="172" ht="15" customHeight="1">
      <c r="A172" t="inlineStr">
        <is>
          <t>A 13110-2023</t>
        </is>
      </c>
      <c r="B172" s="1" t="n">
        <v>45001</v>
      </c>
      <c r="C172" s="1" t="n">
        <v>45968</v>
      </c>
      <c r="D172" t="inlineStr">
        <is>
          <t>UPPSALA LÄN</t>
        </is>
      </c>
      <c r="E172" t="inlineStr">
        <is>
          <t>ENKÖPING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53496-2022</t>
        </is>
      </c>
      <c r="B173" s="1" t="n">
        <v>44879.57217592592</v>
      </c>
      <c r="C173" s="1" t="n">
        <v>45968</v>
      </c>
      <c r="D173" t="inlineStr">
        <is>
          <t>UPPSALA LÄN</t>
        </is>
      </c>
      <c r="E173" t="inlineStr">
        <is>
          <t>ENKÖPING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58384-2022</t>
        </is>
      </c>
      <c r="B174" s="1" t="n">
        <v>44901</v>
      </c>
      <c r="C174" s="1" t="n">
        <v>45968</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59602-2022</t>
        </is>
      </c>
      <c r="B175" s="1" t="n">
        <v>44907.72241898148</v>
      </c>
      <c r="C175" s="1" t="n">
        <v>45968</v>
      </c>
      <c r="D175" t="inlineStr">
        <is>
          <t>UPPSALA LÄN</t>
        </is>
      </c>
      <c r="E175" t="inlineStr">
        <is>
          <t>ENKÖPING</t>
        </is>
      </c>
      <c r="G175" t="n">
        <v>14.2</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45968</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31965-2021</t>
        </is>
      </c>
      <c r="B177" s="1" t="n">
        <v>44370.56901620371</v>
      </c>
      <c r="C177" s="1" t="n">
        <v>45968</v>
      </c>
      <c r="D177" t="inlineStr">
        <is>
          <t>UPPSALA LÄN</t>
        </is>
      </c>
      <c r="E177" t="inlineStr">
        <is>
          <t>ENKÖPING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15942-2022</t>
        </is>
      </c>
      <c r="B178" s="1" t="n">
        <v>44664</v>
      </c>
      <c r="C178" s="1" t="n">
        <v>45968</v>
      </c>
      <c r="D178" t="inlineStr">
        <is>
          <t>UPPSALA LÄN</t>
        </is>
      </c>
      <c r="E178" t="inlineStr">
        <is>
          <t>ENKÖPING</t>
        </is>
      </c>
      <c r="G178" t="n">
        <v>6.6</v>
      </c>
      <c r="H178" t="n">
        <v>0</v>
      </c>
      <c r="I178" t="n">
        <v>0</v>
      </c>
      <c r="J178" t="n">
        <v>0</v>
      </c>
      <c r="K178" t="n">
        <v>0</v>
      </c>
      <c r="L178" t="n">
        <v>0</v>
      </c>
      <c r="M178" t="n">
        <v>0</v>
      </c>
      <c r="N178" t="n">
        <v>0</v>
      </c>
      <c r="O178" t="n">
        <v>0</v>
      </c>
      <c r="P178" t="n">
        <v>0</v>
      </c>
      <c r="Q178" t="n">
        <v>0</v>
      </c>
      <c r="R178" s="2" t="inlineStr"/>
    </row>
    <row r="179" ht="15" customHeight="1">
      <c r="A179" t="inlineStr">
        <is>
          <t>A 2974-2025</t>
        </is>
      </c>
      <c r="B179" s="1" t="n">
        <v>45678.47168981482</v>
      </c>
      <c r="C179" s="1" t="n">
        <v>45968</v>
      </c>
      <c r="D179" t="inlineStr">
        <is>
          <t>UPPSALA LÄN</t>
        </is>
      </c>
      <c r="E179" t="inlineStr">
        <is>
          <t>ENKÖPING</t>
        </is>
      </c>
      <c r="G179" t="n">
        <v>1.6</v>
      </c>
      <c r="H179" t="n">
        <v>0</v>
      </c>
      <c r="I179" t="n">
        <v>0</v>
      </c>
      <c r="J179" t="n">
        <v>0</v>
      </c>
      <c r="K179" t="n">
        <v>0</v>
      </c>
      <c r="L179" t="n">
        <v>0</v>
      </c>
      <c r="M179" t="n">
        <v>0</v>
      </c>
      <c r="N179" t="n">
        <v>0</v>
      </c>
      <c r="O179" t="n">
        <v>0</v>
      </c>
      <c r="P179" t="n">
        <v>0</v>
      </c>
      <c r="Q179" t="n">
        <v>0</v>
      </c>
      <c r="R179" s="2" t="inlineStr"/>
    </row>
    <row r="180" ht="15" customHeight="1">
      <c r="A180" t="inlineStr">
        <is>
          <t>A 67984-2021</t>
        </is>
      </c>
      <c r="B180" s="1" t="n">
        <v>44525.70237268518</v>
      </c>
      <c r="C180" s="1" t="n">
        <v>45968</v>
      </c>
      <c r="D180" t="inlineStr">
        <is>
          <t>UPPSALA LÄN</t>
        </is>
      </c>
      <c r="E180" t="inlineStr">
        <is>
          <t>ENKÖPING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18592-2021</t>
        </is>
      </c>
      <c r="B181" s="1" t="n">
        <v>44306</v>
      </c>
      <c r="C181" s="1" t="n">
        <v>45968</v>
      </c>
      <c r="D181" t="inlineStr">
        <is>
          <t>UPPSALA LÄN</t>
        </is>
      </c>
      <c r="E181" t="inlineStr">
        <is>
          <t>ENKÖPING</t>
        </is>
      </c>
      <c r="G181" t="n">
        <v>0.5</v>
      </c>
      <c r="H181" t="n">
        <v>0</v>
      </c>
      <c r="I181" t="n">
        <v>0</v>
      </c>
      <c r="J181" t="n">
        <v>0</v>
      </c>
      <c r="K181" t="n">
        <v>0</v>
      </c>
      <c r="L181" t="n">
        <v>0</v>
      </c>
      <c r="M181" t="n">
        <v>0</v>
      </c>
      <c r="N181" t="n">
        <v>0</v>
      </c>
      <c r="O181" t="n">
        <v>0</v>
      </c>
      <c r="P181" t="n">
        <v>0</v>
      </c>
      <c r="Q181" t="n">
        <v>0</v>
      </c>
      <c r="R181" s="2" t="inlineStr"/>
    </row>
    <row r="182" ht="15" customHeight="1">
      <c r="A182" t="inlineStr">
        <is>
          <t>A 27786-2023</t>
        </is>
      </c>
      <c r="B182" s="1" t="n">
        <v>45098</v>
      </c>
      <c r="C182" s="1" t="n">
        <v>45968</v>
      </c>
      <c r="D182" t="inlineStr">
        <is>
          <t>UPPSALA LÄN</t>
        </is>
      </c>
      <c r="E182" t="inlineStr">
        <is>
          <t>ENKÖPING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35067-2024</t>
        </is>
      </c>
      <c r="B183" s="1" t="n">
        <v>45527.66153935185</v>
      </c>
      <c r="C183" s="1" t="n">
        <v>45968</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6356-2022</t>
        </is>
      </c>
      <c r="B184" s="1" t="n">
        <v>44600</v>
      </c>
      <c r="C184" s="1" t="n">
        <v>45968</v>
      </c>
      <c r="D184" t="inlineStr">
        <is>
          <t>UPPSALA LÄN</t>
        </is>
      </c>
      <c r="E184" t="inlineStr">
        <is>
          <t>ENKÖPING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48864-2022</t>
        </is>
      </c>
      <c r="B185" s="1" t="n">
        <v>44859</v>
      </c>
      <c r="C185" s="1" t="n">
        <v>45968</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33619-2022</t>
        </is>
      </c>
      <c r="B186" s="1" t="n">
        <v>44789</v>
      </c>
      <c r="C186" s="1" t="n">
        <v>45968</v>
      </c>
      <c r="D186" t="inlineStr">
        <is>
          <t>UPPSALA LÄN</t>
        </is>
      </c>
      <c r="E186" t="inlineStr">
        <is>
          <t>ENKÖPING</t>
        </is>
      </c>
      <c r="F186" t="inlineStr">
        <is>
          <t>Allmännings- och besparingsskogar</t>
        </is>
      </c>
      <c r="G186" t="n">
        <v>4.5</v>
      </c>
      <c r="H186" t="n">
        <v>0</v>
      </c>
      <c r="I186" t="n">
        <v>0</v>
      </c>
      <c r="J186" t="n">
        <v>0</v>
      </c>
      <c r="K186" t="n">
        <v>0</v>
      </c>
      <c r="L186" t="n">
        <v>0</v>
      </c>
      <c r="M186" t="n">
        <v>0</v>
      </c>
      <c r="N186" t="n">
        <v>0</v>
      </c>
      <c r="O186" t="n">
        <v>0</v>
      </c>
      <c r="P186" t="n">
        <v>0</v>
      </c>
      <c r="Q186" t="n">
        <v>0</v>
      </c>
      <c r="R186" s="2" t="inlineStr"/>
    </row>
    <row r="187" ht="15" customHeight="1">
      <c r="A187" t="inlineStr">
        <is>
          <t>A 6242-2025</t>
        </is>
      </c>
      <c r="B187" s="1" t="n">
        <v>45697</v>
      </c>
      <c r="C187" s="1" t="n">
        <v>45968</v>
      </c>
      <c r="D187" t="inlineStr">
        <is>
          <t>UPPSALA LÄN</t>
        </is>
      </c>
      <c r="E187" t="inlineStr">
        <is>
          <t>ENKÖPING</t>
        </is>
      </c>
      <c r="G187" t="n">
        <v>17.9</v>
      </c>
      <c r="H187" t="n">
        <v>0</v>
      </c>
      <c r="I187" t="n">
        <v>0</v>
      </c>
      <c r="J187" t="n">
        <v>0</v>
      </c>
      <c r="K187" t="n">
        <v>0</v>
      </c>
      <c r="L187" t="n">
        <v>0</v>
      </c>
      <c r="M187" t="n">
        <v>0</v>
      </c>
      <c r="N187" t="n">
        <v>0</v>
      </c>
      <c r="O187" t="n">
        <v>0</v>
      </c>
      <c r="P187" t="n">
        <v>0</v>
      </c>
      <c r="Q187" t="n">
        <v>0</v>
      </c>
      <c r="R187" s="2" t="inlineStr"/>
    </row>
    <row r="188" ht="15" customHeight="1">
      <c r="A188" t="inlineStr">
        <is>
          <t>A 10829-2024</t>
        </is>
      </c>
      <c r="B188" s="1" t="n">
        <v>45369</v>
      </c>
      <c r="C188" s="1" t="n">
        <v>45968</v>
      </c>
      <c r="D188" t="inlineStr">
        <is>
          <t>UPPSALA LÄN</t>
        </is>
      </c>
      <c r="E188" t="inlineStr">
        <is>
          <t>ENKÖPING</t>
        </is>
      </c>
      <c r="G188" t="n">
        <v>2.1</v>
      </c>
      <c r="H188" t="n">
        <v>0</v>
      </c>
      <c r="I188" t="n">
        <v>0</v>
      </c>
      <c r="J188" t="n">
        <v>0</v>
      </c>
      <c r="K188" t="n">
        <v>0</v>
      </c>
      <c r="L188" t="n">
        <v>0</v>
      </c>
      <c r="M188" t="n">
        <v>0</v>
      </c>
      <c r="N188" t="n">
        <v>0</v>
      </c>
      <c r="O188" t="n">
        <v>0</v>
      </c>
      <c r="P188" t="n">
        <v>0</v>
      </c>
      <c r="Q188" t="n">
        <v>0</v>
      </c>
      <c r="R188" s="2" t="inlineStr"/>
    </row>
    <row r="189" ht="15" customHeight="1">
      <c r="A189" t="inlineStr">
        <is>
          <t>A 13816-2021</t>
        </is>
      </c>
      <c r="B189" s="1" t="n">
        <v>44276</v>
      </c>
      <c r="C189" s="1" t="n">
        <v>45968</v>
      </c>
      <c r="D189" t="inlineStr">
        <is>
          <t>UPPSALA LÄN</t>
        </is>
      </c>
      <c r="E189" t="inlineStr">
        <is>
          <t>ENKÖPING</t>
        </is>
      </c>
      <c r="G189" t="n">
        <v>0.4</v>
      </c>
      <c r="H189" t="n">
        <v>0</v>
      </c>
      <c r="I189" t="n">
        <v>0</v>
      </c>
      <c r="J189" t="n">
        <v>0</v>
      </c>
      <c r="K189" t="n">
        <v>0</v>
      </c>
      <c r="L189" t="n">
        <v>0</v>
      </c>
      <c r="M189" t="n">
        <v>0</v>
      </c>
      <c r="N189" t="n">
        <v>0</v>
      </c>
      <c r="O189" t="n">
        <v>0</v>
      </c>
      <c r="P189" t="n">
        <v>0</v>
      </c>
      <c r="Q189" t="n">
        <v>0</v>
      </c>
      <c r="R189" s="2" t="inlineStr"/>
    </row>
    <row r="190" ht="15" customHeight="1">
      <c r="A190" t="inlineStr">
        <is>
          <t>A 42459-2024</t>
        </is>
      </c>
      <c r="B190" s="1" t="n">
        <v>45565</v>
      </c>
      <c r="C190" s="1" t="n">
        <v>45968</v>
      </c>
      <c r="D190" t="inlineStr">
        <is>
          <t>UPPSALA LÄN</t>
        </is>
      </c>
      <c r="E190" t="inlineStr">
        <is>
          <t>ENKÖPING</t>
        </is>
      </c>
      <c r="G190" t="n">
        <v>3.6</v>
      </c>
      <c r="H190" t="n">
        <v>0</v>
      </c>
      <c r="I190" t="n">
        <v>0</v>
      </c>
      <c r="J190" t="n">
        <v>0</v>
      </c>
      <c r="K190" t="n">
        <v>0</v>
      </c>
      <c r="L190" t="n">
        <v>0</v>
      </c>
      <c r="M190" t="n">
        <v>0</v>
      </c>
      <c r="N190" t="n">
        <v>0</v>
      </c>
      <c r="O190" t="n">
        <v>0</v>
      </c>
      <c r="P190" t="n">
        <v>0</v>
      </c>
      <c r="Q190" t="n">
        <v>0</v>
      </c>
      <c r="R190" s="2" t="inlineStr"/>
    </row>
    <row r="191" ht="15" customHeight="1">
      <c r="A191" t="inlineStr">
        <is>
          <t>A 67982-2021</t>
        </is>
      </c>
      <c r="B191" s="1" t="n">
        <v>44525</v>
      </c>
      <c r="C191" s="1" t="n">
        <v>45968</v>
      </c>
      <c r="D191" t="inlineStr">
        <is>
          <t>UPPSALA LÄN</t>
        </is>
      </c>
      <c r="E191" t="inlineStr">
        <is>
          <t>ENKÖPING</t>
        </is>
      </c>
      <c r="G191" t="n">
        <v>1.7</v>
      </c>
      <c r="H191" t="n">
        <v>0</v>
      </c>
      <c r="I191" t="n">
        <v>0</v>
      </c>
      <c r="J191" t="n">
        <v>0</v>
      </c>
      <c r="K191" t="n">
        <v>0</v>
      </c>
      <c r="L191" t="n">
        <v>0</v>
      </c>
      <c r="M191" t="n">
        <v>0</v>
      </c>
      <c r="N191" t="n">
        <v>0</v>
      </c>
      <c r="O191" t="n">
        <v>0</v>
      </c>
      <c r="P191" t="n">
        <v>0</v>
      </c>
      <c r="Q191" t="n">
        <v>0</v>
      </c>
      <c r="R191" s="2" t="inlineStr"/>
    </row>
    <row r="192" ht="15" customHeight="1">
      <c r="A192" t="inlineStr">
        <is>
          <t>A 60125-2024</t>
        </is>
      </c>
      <c r="B192" s="1" t="n">
        <v>45642</v>
      </c>
      <c r="C192" s="1" t="n">
        <v>45968</v>
      </c>
      <c r="D192" t="inlineStr">
        <is>
          <t>UPPSALA LÄN</t>
        </is>
      </c>
      <c r="E192" t="inlineStr">
        <is>
          <t>ENKÖPING</t>
        </is>
      </c>
      <c r="G192" t="n">
        <v>2.1</v>
      </c>
      <c r="H192" t="n">
        <v>0</v>
      </c>
      <c r="I192" t="n">
        <v>0</v>
      </c>
      <c r="J192" t="n">
        <v>0</v>
      </c>
      <c r="K192" t="n">
        <v>0</v>
      </c>
      <c r="L192" t="n">
        <v>0</v>
      </c>
      <c r="M192" t="n">
        <v>0</v>
      </c>
      <c r="N192" t="n">
        <v>0</v>
      </c>
      <c r="O192" t="n">
        <v>0</v>
      </c>
      <c r="P192" t="n">
        <v>0</v>
      </c>
      <c r="Q192" t="n">
        <v>0</v>
      </c>
      <c r="R192" s="2" t="inlineStr"/>
    </row>
    <row r="193" ht="15" customHeight="1">
      <c r="A193" t="inlineStr">
        <is>
          <t>A 51034-2024</t>
        </is>
      </c>
      <c r="B193" s="1" t="n">
        <v>45603.4262037037</v>
      </c>
      <c r="C193" s="1" t="n">
        <v>45968</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51036-2024</t>
        </is>
      </c>
      <c r="B194" s="1" t="n">
        <v>45603.42839120371</v>
      </c>
      <c r="C194" s="1" t="n">
        <v>45968</v>
      </c>
      <c r="D194" t="inlineStr">
        <is>
          <t>UPPSALA LÄN</t>
        </is>
      </c>
      <c r="E194" t="inlineStr">
        <is>
          <t>ENKÖPING</t>
        </is>
      </c>
      <c r="G194" t="n">
        <v>2.6</v>
      </c>
      <c r="H194" t="n">
        <v>0</v>
      </c>
      <c r="I194" t="n">
        <v>0</v>
      </c>
      <c r="J194" t="n">
        <v>0</v>
      </c>
      <c r="K194" t="n">
        <v>0</v>
      </c>
      <c r="L194" t="n">
        <v>0</v>
      </c>
      <c r="M194" t="n">
        <v>0</v>
      </c>
      <c r="N194" t="n">
        <v>0</v>
      </c>
      <c r="O194" t="n">
        <v>0</v>
      </c>
      <c r="P194" t="n">
        <v>0</v>
      </c>
      <c r="Q194" t="n">
        <v>0</v>
      </c>
      <c r="R194" s="2" t="inlineStr"/>
    </row>
    <row r="195" ht="15" customHeight="1">
      <c r="A195" t="inlineStr">
        <is>
          <t>A 55876-2024</t>
        </is>
      </c>
      <c r="B195" s="1" t="n">
        <v>45623.5546412037</v>
      </c>
      <c r="C195" s="1" t="n">
        <v>45968</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27829-2025</t>
        </is>
      </c>
      <c r="B196" s="1" t="n">
        <v>45817</v>
      </c>
      <c r="C196" s="1" t="n">
        <v>45968</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11005-2023</t>
        </is>
      </c>
      <c r="B197" s="1" t="n">
        <v>44991</v>
      </c>
      <c r="C197" s="1" t="n">
        <v>45968</v>
      </c>
      <c r="D197" t="inlineStr">
        <is>
          <t>UPPSALA LÄN</t>
        </is>
      </c>
      <c r="E197" t="inlineStr">
        <is>
          <t>ENKÖPING</t>
        </is>
      </c>
      <c r="G197" t="n">
        <v>1.1</v>
      </c>
      <c r="H197" t="n">
        <v>0</v>
      </c>
      <c r="I197" t="n">
        <v>0</v>
      </c>
      <c r="J197" t="n">
        <v>0</v>
      </c>
      <c r="K197" t="n">
        <v>0</v>
      </c>
      <c r="L197" t="n">
        <v>0</v>
      </c>
      <c r="M197" t="n">
        <v>0</v>
      </c>
      <c r="N197" t="n">
        <v>0</v>
      </c>
      <c r="O197" t="n">
        <v>0</v>
      </c>
      <c r="P197" t="n">
        <v>0</v>
      </c>
      <c r="Q197" t="n">
        <v>0</v>
      </c>
      <c r="R197" s="2" t="inlineStr"/>
    </row>
    <row r="198" ht="15" customHeight="1">
      <c r="A198" t="inlineStr">
        <is>
          <t>A 10468-2025</t>
        </is>
      </c>
      <c r="B198" s="1" t="n">
        <v>45720</v>
      </c>
      <c r="C198" s="1" t="n">
        <v>45968</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39009-2024</t>
        </is>
      </c>
      <c r="B199" s="1" t="n">
        <v>45548</v>
      </c>
      <c r="C199" s="1" t="n">
        <v>45968</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8537-2025</t>
        </is>
      </c>
      <c r="B200" s="1" t="n">
        <v>45709</v>
      </c>
      <c r="C200" s="1" t="n">
        <v>45968</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57142-2021</t>
        </is>
      </c>
      <c r="B201" s="1" t="n">
        <v>44482</v>
      </c>
      <c r="C201" s="1" t="n">
        <v>45968</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57147-2021</t>
        </is>
      </c>
      <c r="B202" s="1" t="n">
        <v>44482</v>
      </c>
      <c r="C202" s="1" t="n">
        <v>45968</v>
      </c>
      <c r="D202" t="inlineStr">
        <is>
          <t>UPPSALA LÄN</t>
        </is>
      </c>
      <c r="E202" t="inlineStr">
        <is>
          <t>ENKÖPING</t>
        </is>
      </c>
      <c r="G202" t="n">
        <v>5.7</v>
      </c>
      <c r="H202" t="n">
        <v>0</v>
      </c>
      <c r="I202" t="n">
        <v>0</v>
      </c>
      <c r="J202" t="n">
        <v>0</v>
      </c>
      <c r="K202" t="n">
        <v>0</v>
      </c>
      <c r="L202" t="n">
        <v>0</v>
      </c>
      <c r="M202" t="n">
        <v>0</v>
      </c>
      <c r="N202" t="n">
        <v>0</v>
      </c>
      <c r="O202" t="n">
        <v>0</v>
      </c>
      <c r="P202" t="n">
        <v>0</v>
      </c>
      <c r="Q202" t="n">
        <v>0</v>
      </c>
      <c r="R202" s="2" t="inlineStr"/>
    </row>
    <row r="203" ht="15" customHeight="1">
      <c r="A203" t="inlineStr">
        <is>
          <t>A 12434-2021</t>
        </is>
      </c>
      <c r="B203" s="1" t="n">
        <v>44267</v>
      </c>
      <c r="C203" s="1" t="n">
        <v>45968</v>
      </c>
      <c r="D203" t="inlineStr">
        <is>
          <t>UPPSALA LÄN</t>
        </is>
      </c>
      <c r="E203" t="inlineStr">
        <is>
          <t>ENKÖPING</t>
        </is>
      </c>
      <c r="G203" t="n">
        <v>5.3</v>
      </c>
      <c r="H203" t="n">
        <v>0</v>
      </c>
      <c r="I203" t="n">
        <v>0</v>
      </c>
      <c r="J203" t="n">
        <v>0</v>
      </c>
      <c r="K203" t="n">
        <v>0</v>
      </c>
      <c r="L203" t="n">
        <v>0</v>
      </c>
      <c r="M203" t="n">
        <v>0</v>
      </c>
      <c r="N203" t="n">
        <v>0</v>
      </c>
      <c r="O203" t="n">
        <v>0</v>
      </c>
      <c r="P203" t="n">
        <v>0</v>
      </c>
      <c r="Q203" t="n">
        <v>0</v>
      </c>
      <c r="R203" s="2" t="inlineStr"/>
    </row>
    <row r="204" ht="15" customHeight="1">
      <c r="A204" t="inlineStr">
        <is>
          <t>A 49614-2024</t>
        </is>
      </c>
      <c r="B204" s="1" t="n">
        <v>45596.57716435185</v>
      </c>
      <c r="C204" s="1" t="n">
        <v>45968</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49632-2024</t>
        </is>
      </c>
      <c r="B205" s="1" t="n">
        <v>45596</v>
      </c>
      <c r="C205" s="1" t="n">
        <v>45968</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7868-2024</t>
        </is>
      </c>
      <c r="B206" s="1" t="n">
        <v>45350.33020833333</v>
      </c>
      <c r="C206" s="1" t="n">
        <v>45968</v>
      </c>
      <c r="D206" t="inlineStr">
        <is>
          <t>UPPSALA LÄN</t>
        </is>
      </c>
      <c r="E206" t="inlineStr">
        <is>
          <t>ENKÖPING</t>
        </is>
      </c>
      <c r="G206" t="n">
        <v>0.3</v>
      </c>
      <c r="H206" t="n">
        <v>0</v>
      </c>
      <c r="I206" t="n">
        <v>0</v>
      </c>
      <c r="J206" t="n">
        <v>0</v>
      </c>
      <c r="K206" t="n">
        <v>0</v>
      </c>
      <c r="L206" t="n">
        <v>0</v>
      </c>
      <c r="M206" t="n">
        <v>0</v>
      </c>
      <c r="N206" t="n">
        <v>0</v>
      </c>
      <c r="O206" t="n">
        <v>0</v>
      </c>
      <c r="P206" t="n">
        <v>0</v>
      </c>
      <c r="Q206" t="n">
        <v>0</v>
      </c>
      <c r="R206" s="2" t="inlineStr"/>
    </row>
    <row r="207" ht="15" customHeight="1">
      <c r="A207" t="inlineStr">
        <is>
          <t>A 7870-2024</t>
        </is>
      </c>
      <c r="B207" s="1" t="n">
        <v>45350.33349537037</v>
      </c>
      <c r="C207" s="1" t="n">
        <v>45968</v>
      </c>
      <c r="D207" t="inlineStr">
        <is>
          <t>UPPSALA LÄN</t>
        </is>
      </c>
      <c r="E207" t="inlineStr">
        <is>
          <t>ENKÖPING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9231-2023</t>
        </is>
      </c>
      <c r="B208" s="1" t="n">
        <v>44980</v>
      </c>
      <c r="C208" s="1" t="n">
        <v>45968</v>
      </c>
      <c r="D208" t="inlineStr">
        <is>
          <t>UPPSALA LÄN</t>
        </is>
      </c>
      <c r="E208" t="inlineStr">
        <is>
          <t>ENKÖPING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29479-2022</t>
        </is>
      </c>
      <c r="B209" s="1" t="n">
        <v>44753.57265046296</v>
      </c>
      <c r="C209" s="1" t="n">
        <v>45968</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28758-2025</t>
        </is>
      </c>
      <c r="B210" s="1" t="n">
        <v>45820.41212962963</v>
      </c>
      <c r="C210" s="1" t="n">
        <v>45968</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28862-2025</t>
        </is>
      </c>
      <c r="B211" s="1" t="n">
        <v>45820.59189814814</v>
      </c>
      <c r="C211" s="1" t="n">
        <v>45968</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28855-2025</t>
        </is>
      </c>
      <c r="B212" s="1" t="n">
        <v>45820.58274305556</v>
      </c>
      <c r="C212" s="1" t="n">
        <v>45968</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16916-2022</t>
        </is>
      </c>
      <c r="B213" s="1" t="n">
        <v>44676</v>
      </c>
      <c r="C213" s="1" t="n">
        <v>45968</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29093-2025</t>
        </is>
      </c>
      <c r="B214" s="1" t="n">
        <v>45821.55743055556</v>
      </c>
      <c r="C214" s="1" t="n">
        <v>45968</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29477-2025</t>
        </is>
      </c>
      <c r="B215" s="1" t="n">
        <v>45824.71537037037</v>
      </c>
      <c r="C215" s="1" t="n">
        <v>45968</v>
      </c>
      <c r="D215" t="inlineStr">
        <is>
          <t>UPPSALA LÄN</t>
        </is>
      </c>
      <c r="E215" t="inlineStr">
        <is>
          <t>ENKÖPING</t>
        </is>
      </c>
      <c r="G215" t="n">
        <v>13.4</v>
      </c>
      <c r="H215" t="n">
        <v>0</v>
      </c>
      <c r="I215" t="n">
        <v>0</v>
      </c>
      <c r="J215" t="n">
        <v>0</v>
      </c>
      <c r="K215" t="n">
        <v>0</v>
      </c>
      <c r="L215" t="n">
        <v>0</v>
      </c>
      <c r="M215" t="n">
        <v>0</v>
      </c>
      <c r="N215" t="n">
        <v>0</v>
      </c>
      <c r="O215" t="n">
        <v>0</v>
      </c>
      <c r="P215" t="n">
        <v>0</v>
      </c>
      <c r="Q215" t="n">
        <v>0</v>
      </c>
      <c r="R215" s="2" t="inlineStr"/>
    </row>
    <row r="216" ht="15" customHeight="1">
      <c r="A216" t="inlineStr">
        <is>
          <t>A 30514-2021</t>
        </is>
      </c>
      <c r="B216" s="1" t="n">
        <v>44364</v>
      </c>
      <c r="C216" s="1" t="n">
        <v>45968</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31604-2023</t>
        </is>
      </c>
      <c r="B217" s="1" t="n">
        <v>45117.50368055556</v>
      </c>
      <c r="C217" s="1" t="n">
        <v>45968</v>
      </c>
      <c r="D217" t="inlineStr">
        <is>
          <t>UPPSALA LÄN</t>
        </is>
      </c>
      <c r="E217" t="inlineStr">
        <is>
          <t>ENKÖPING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27538-2023</t>
        </is>
      </c>
      <c r="B218" s="1" t="n">
        <v>45097</v>
      </c>
      <c r="C218" s="1" t="n">
        <v>45968</v>
      </c>
      <c r="D218" t="inlineStr">
        <is>
          <t>UPPSALA LÄN</t>
        </is>
      </c>
      <c r="E218" t="inlineStr">
        <is>
          <t>ENKÖPING</t>
        </is>
      </c>
      <c r="G218" t="n">
        <v>5.8</v>
      </c>
      <c r="H218" t="n">
        <v>0</v>
      </c>
      <c r="I218" t="n">
        <v>0</v>
      </c>
      <c r="J218" t="n">
        <v>0</v>
      </c>
      <c r="K218" t="n">
        <v>0</v>
      </c>
      <c r="L218" t="n">
        <v>0</v>
      </c>
      <c r="M218" t="n">
        <v>0</v>
      </c>
      <c r="N218" t="n">
        <v>0</v>
      </c>
      <c r="O218" t="n">
        <v>0</v>
      </c>
      <c r="P218" t="n">
        <v>0</v>
      </c>
      <c r="Q218" t="n">
        <v>0</v>
      </c>
      <c r="R218" s="2" t="inlineStr"/>
    </row>
    <row r="219" ht="15" customHeight="1">
      <c r="A219" t="inlineStr">
        <is>
          <t>A 25598-2021</t>
        </is>
      </c>
      <c r="B219" s="1" t="n">
        <v>44343.4558912037</v>
      </c>
      <c r="C219" s="1" t="n">
        <v>45968</v>
      </c>
      <c r="D219" t="inlineStr">
        <is>
          <t>UPPSALA LÄN</t>
        </is>
      </c>
      <c r="E219" t="inlineStr">
        <is>
          <t>ENKÖPING</t>
        </is>
      </c>
      <c r="G219" t="n">
        <v>0.7</v>
      </c>
      <c r="H219" t="n">
        <v>0</v>
      </c>
      <c r="I219" t="n">
        <v>0</v>
      </c>
      <c r="J219" t="n">
        <v>0</v>
      </c>
      <c r="K219" t="n">
        <v>0</v>
      </c>
      <c r="L219" t="n">
        <v>0</v>
      </c>
      <c r="M219" t="n">
        <v>0</v>
      </c>
      <c r="N219" t="n">
        <v>0</v>
      </c>
      <c r="O219" t="n">
        <v>0</v>
      </c>
      <c r="P219" t="n">
        <v>0</v>
      </c>
      <c r="Q219" t="n">
        <v>0</v>
      </c>
      <c r="R219" s="2" t="inlineStr"/>
    </row>
    <row r="220" ht="15" customHeight="1">
      <c r="A220" t="inlineStr">
        <is>
          <t>A 15162-2025</t>
        </is>
      </c>
      <c r="B220" s="1" t="n">
        <v>45744</v>
      </c>
      <c r="C220" s="1" t="n">
        <v>45968</v>
      </c>
      <c r="D220" t="inlineStr">
        <is>
          <t>UPPSALA LÄN</t>
        </is>
      </c>
      <c r="E220" t="inlineStr">
        <is>
          <t>ENKÖPING</t>
        </is>
      </c>
      <c r="G220" t="n">
        <v>4.2</v>
      </c>
      <c r="H220" t="n">
        <v>0</v>
      </c>
      <c r="I220" t="n">
        <v>0</v>
      </c>
      <c r="J220" t="n">
        <v>0</v>
      </c>
      <c r="K220" t="n">
        <v>0</v>
      </c>
      <c r="L220" t="n">
        <v>0</v>
      </c>
      <c r="M220" t="n">
        <v>0</v>
      </c>
      <c r="N220" t="n">
        <v>0</v>
      </c>
      <c r="O220" t="n">
        <v>0</v>
      </c>
      <c r="P220" t="n">
        <v>0</v>
      </c>
      <c r="Q220" t="n">
        <v>0</v>
      </c>
      <c r="R220" s="2" t="inlineStr"/>
    </row>
    <row r="221" ht="15" customHeight="1">
      <c r="A221" t="inlineStr">
        <is>
          <t>A 15409-2025</t>
        </is>
      </c>
      <c r="B221" s="1" t="n">
        <v>45747</v>
      </c>
      <c r="C221" s="1" t="n">
        <v>45968</v>
      </c>
      <c r="D221" t="inlineStr">
        <is>
          <t>UPPSALA LÄN</t>
        </is>
      </c>
      <c r="E221" t="inlineStr">
        <is>
          <t>ENKÖPING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60874-2023</t>
        </is>
      </c>
      <c r="B222" s="1" t="n">
        <v>45261.06280092592</v>
      </c>
      <c r="C222" s="1" t="n">
        <v>45968</v>
      </c>
      <c r="D222" t="inlineStr">
        <is>
          <t>UPPSALA LÄN</t>
        </is>
      </c>
      <c r="E222" t="inlineStr">
        <is>
          <t>ENKÖPING</t>
        </is>
      </c>
      <c r="G222" t="n">
        <v>1.5</v>
      </c>
      <c r="H222" t="n">
        <v>0</v>
      </c>
      <c r="I222" t="n">
        <v>0</v>
      </c>
      <c r="J222" t="n">
        <v>0</v>
      </c>
      <c r="K222" t="n">
        <v>0</v>
      </c>
      <c r="L222" t="n">
        <v>0</v>
      </c>
      <c r="M222" t="n">
        <v>0</v>
      </c>
      <c r="N222" t="n">
        <v>0</v>
      </c>
      <c r="O222" t="n">
        <v>0</v>
      </c>
      <c r="P222" t="n">
        <v>0</v>
      </c>
      <c r="Q222" t="n">
        <v>0</v>
      </c>
      <c r="R222" s="2" t="inlineStr"/>
    </row>
    <row r="223" ht="15" customHeight="1">
      <c r="A223" t="inlineStr">
        <is>
          <t>A 50394-2024</t>
        </is>
      </c>
      <c r="B223" s="1" t="n">
        <v>45600</v>
      </c>
      <c r="C223" s="1" t="n">
        <v>45968</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51010-2024</t>
        </is>
      </c>
      <c r="B224" s="1" t="n">
        <v>45603.39285879629</v>
      </c>
      <c r="C224" s="1" t="n">
        <v>45968</v>
      </c>
      <c r="D224" t="inlineStr">
        <is>
          <t>UPPSALA LÄN</t>
        </is>
      </c>
      <c r="E224" t="inlineStr">
        <is>
          <t>ENKÖPING</t>
        </is>
      </c>
      <c r="G224" t="n">
        <v>1.7</v>
      </c>
      <c r="H224" t="n">
        <v>0</v>
      </c>
      <c r="I224" t="n">
        <v>0</v>
      </c>
      <c r="J224" t="n">
        <v>0</v>
      </c>
      <c r="K224" t="n">
        <v>0</v>
      </c>
      <c r="L224" t="n">
        <v>0</v>
      </c>
      <c r="M224" t="n">
        <v>0</v>
      </c>
      <c r="N224" t="n">
        <v>0</v>
      </c>
      <c r="O224" t="n">
        <v>0</v>
      </c>
      <c r="P224" t="n">
        <v>0</v>
      </c>
      <c r="Q224" t="n">
        <v>0</v>
      </c>
      <c r="R224" s="2" t="inlineStr"/>
    </row>
    <row r="225" ht="15" customHeight="1">
      <c r="A225" t="inlineStr">
        <is>
          <t>A 43016-2021</t>
        </is>
      </c>
      <c r="B225" s="1" t="n">
        <v>44431</v>
      </c>
      <c r="C225" s="1" t="n">
        <v>45968</v>
      </c>
      <c r="D225" t="inlineStr">
        <is>
          <t>UPPSALA LÄN</t>
        </is>
      </c>
      <c r="E225" t="inlineStr">
        <is>
          <t>ENKÖPING</t>
        </is>
      </c>
      <c r="G225" t="n">
        <v>1.5</v>
      </c>
      <c r="H225" t="n">
        <v>0</v>
      </c>
      <c r="I225" t="n">
        <v>0</v>
      </c>
      <c r="J225" t="n">
        <v>0</v>
      </c>
      <c r="K225" t="n">
        <v>0</v>
      </c>
      <c r="L225" t="n">
        <v>0</v>
      </c>
      <c r="M225" t="n">
        <v>0</v>
      </c>
      <c r="N225" t="n">
        <v>0</v>
      </c>
      <c r="O225" t="n">
        <v>0</v>
      </c>
      <c r="P225" t="n">
        <v>0</v>
      </c>
      <c r="Q225" t="n">
        <v>0</v>
      </c>
      <c r="R225" s="2" t="inlineStr"/>
    </row>
    <row r="226" ht="15" customHeight="1">
      <c r="A226" t="inlineStr">
        <is>
          <t>A 5211-2024</t>
        </is>
      </c>
      <c r="B226" s="1" t="n">
        <v>45330</v>
      </c>
      <c r="C226" s="1" t="n">
        <v>45968</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52388-2024</t>
        </is>
      </c>
      <c r="B227" s="1" t="n">
        <v>45609.42939814815</v>
      </c>
      <c r="C227" s="1" t="n">
        <v>45968</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53607-2023</t>
        </is>
      </c>
      <c r="B228" s="1" t="n">
        <v>45230</v>
      </c>
      <c r="C228" s="1" t="n">
        <v>45968</v>
      </c>
      <c r="D228" t="inlineStr">
        <is>
          <t>UPPSALA LÄN</t>
        </is>
      </c>
      <c r="E228" t="inlineStr">
        <is>
          <t>ENKÖPING</t>
        </is>
      </c>
      <c r="F228" t="inlineStr">
        <is>
          <t>Allmännings- och besparingsskogar</t>
        </is>
      </c>
      <c r="G228" t="n">
        <v>6.3</v>
      </c>
      <c r="H228" t="n">
        <v>0</v>
      </c>
      <c r="I228" t="n">
        <v>0</v>
      </c>
      <c r="J228" t="n">
        <v>0</v>
      </c>
      <c r="K228" t="n">
        <v>0</v>
      </c>
      <c r="L228" t="n">
        <v>0</v>
      </c>
      <c r="M228" t="n">
        <v>0</v>
      </c>
      <c r="N228" t="n">
        <v>0</v>
      </c>
      <c r="O228" t="n">
        <v>0</v>
      </c>
      <c r="P228" t="n">
        <v>0</v>
      </c>
      <c r="Q228" t="n">
        <v>0</v>
      </c>
      <c r="R228" s="2" t="inlineStr"/>
    </row>
    <row r="229" ht="15" customHeight="1">
      <c r="A229" t="inlineStr">
        <is>
          <t>A 30837-2025</t>
        </is>
      </c>
      <c r="B229" s="1" t="n">
        <v>45831.7063425926</v>
      </c>
      <c r="C229" s="1" t="n">
        <v>45968</v>
      </c>
      <c r="D229" t="inlineStr">
        <is>
          <t>UPPSALA LÄN</t>
        </is>
      </c>
      <c r="E229" t="inlineStr">
        <is>
          <t>ENKÖPING</t>
        </is>
      </c>
      <c r="G229" t="n">
        <v>3.8</v>
      </c>
      <c r="H229" t="n">
        <v>0</v>
      </c>
      <c r="I229" t="n">
        <v>0</v>
      </c>
      <c r="J229" t="n">
        <v>0</v>
      </c>
      <c r="K229" t="n">
        <v>0</v>
      </c>
      <c r="L229" t="n">
        <v>0</v>
      </c>
      <c r="M229" t="n">
        <v>0</v>
      </c>
      <c r="N229" t="n">
        <v>0</v>
      </c>
      <c r="O229" t="n">
        <v>0</v>
      </c>
      <c r="P229" t="n">
        <v>0</v>
      </c>
      <c r="Q229" t="n">
        <v>0</v>
      </c>
      <c r="R229" s="2" t="inlineStr"/>
    </row>
    <row r="230" ht="15" customHeight="1">
      <c r="A230" t="inlineStr">
        <is>
          <t>A 40202-2024</t>
        </is>
      </c>
      <c r="B230" s="1" t="n">
        <v>45554</v>
      </c>
      <c r="C230" s="1" t="n">
        <v>45968</v>
      </c>
      <c r="D230" t="inlineStr">
        <is>
          <t>UPPSALA LÄN</t>
        </is>
      </c>
      <c r="E230" t="inlineStr">
        <is>
          <t>ENKÖPING</t>
        </is>
      </c>
      <c r="G230" t="n">
        <v>6.2</v>
      </c>
      <c r="H230" t="n">
        <v>0</v>
      </c>
      <c r="I230" t="n">
        <v>0</v>
      </c>
      <c r="J230" t="n">
        <v>0</v>
      </c>
      <c r="K230" t="n">
        <v>0</v>
      </c>
      <c r="L230" t="n">
        <v>0</v>
      </c>
      <c r="M230" t="n">
        <v>0</v>
      </c>
      <c r="N230" t="n">
        <v>0</v>
      </c>
      <c r="O230" t="n">
        <v>0</v>
      </c>
      <c r="P230" t="n">
        <v>0</v>
      </c>
      <c r="Q230" t="n">
        <v>0</v>
      </c>
      <c r="R230" s="2" t="inlineStr"/>
    </row>
    <row r="231" ht="15" customHeight="1">
      <c r="A231" t="inlineStr">
        <is>
          <t>A 19147-2024</t>
        </is>
      </c>
      <c r="B231" s="1" t="n">
        <v>45428</v>
      </c>
      <c r="C231" s="1" t="n">
        <v>45968</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10409-2025</t>
        </is>
      </c>
      <c r="B232" s="1" t="n">
        <v>45720.631875</v>
      </c>
      <c r="C232" s="1" t="n">
        <v>45968</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57209-2024</t>
        </is>
      </c>
      <c r="B233" s="1" t="n">
        <v>45629.49311342592</v>
      </c>
      <c r="C233" s="1" t="n">
        <v>45968</v>
      </c>
      <c r="D233" t="inlineStr">
        <is>
          <t>UPPSALA LÄN</t>
        </is>
      </c>
      <c r="E233" t="inlineStr">
        <is>
          <t>ENKÖPING</t>
        </is>
      </c>
      <c r="G233" t="n">
        <v>3.2</v>
      </c>
      <c r="H233" t="n">
        <v>0</v>
      </c>
      <c r="I233" t="n">
        <v>0</v>
      </c>
      <c r="J233" t="n">
        <v>0</v>
      </c>
      <c r="K233" t="n">
        <v>0</v>
      </c>
      <c r="L233" t="n">
        <v>0</v>
      </c>
      <c r="M233" t="n">
        <v>0</v>
      </c>
      <c r="N233" t="n">
        <v>0</v>
      </c>
      <c r="O233" t="n">
        <v>0</v>
      </c>
      <c r="P233" t="n">
        <v>0</v>
      </c>
      <c r="Q233" t="n">
        <v>0</v>
      </c>
      <c r="R233" s="2" t="inlineStr"/>
    </row>
    <row r="234" ht="15" customHeight="1">
      <c r="A234" t="inlineStr">
        <is>
          <t>A 51120-2023</t>
        </is>
      </c>
      <c r="B234" s="1" t="n">
        <v>45219.3088425926</v>
      </c>
      <c r="C234" s="1" t="n">
        <v>45968</v>
      </c>
      <c r="D234" t="inlineStr">
        <is>
          <t>UPPSALA LÄN</t>
        </is>
      </c>
      <c r="E234" t="inlineStr">
        <is>
          <t>ENKÖPING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12878-2025</t>
        </is>
      </c>
      <c r="B235" s="1" t="n">
        <v>45733.68571759259</v>
      </c>
      <c r="C235" s="1" t="n">
        <v>45968</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8306-2021</t>
        </is>
      </c>
      <c r="B236" s="1" t="n">
        <v>44244</v>
      </c>
      <c r="C236" s="1" t="n">
        <v>45968</v>
      </c>
      <c r="D236" t="inlineStr">
        <is>
          <t>UPPSALA LÄN</t>
        </is>
      </c>
      <c r="E236" t="inlineStr">
        <is>
          <t>ENKÖPING</t>
        </is>
      </c>
      <c r="G236" t="n">
        <v>14.9</v>
      </c>
      <c r="H236" t="n">
        <v>0</v>
      </c>
      <c r="I236" t="n">
        <v>0</v>
      </c>
      <c r="J236" t="n">
        <v>0</v>
      </c>
      <c r="K236" t="n">
        <v>0</v>
      </c>
      <c r="L236" t="n">
        <v>0</v>
      </c>
      <c r="M236" t="n">
        <v>0</v>
      </c>
      <c r="N236" t="n">
        <v>0</v>
      </c>
      <c r="O236" t="n">
        <v>0</v>
      </c>
      <c r="P236" t="n">
        <v>0</v>
      </c>
      <c r="Q236" t="n">
        <v>0</v>
      </c>
      <c r="R236" s="2" t="inlineStr"/>
    </row>
    <row r="237" ht="15" customHeight="1">
      <c r="A237" t="inlineStr">
        <is>
          <t>A 57152-2021</t>
        </is>
      </c>
      <c r="B237" s="1" t="n">
        <v>44482</v>
      </c>
      <c r="C237" s="1" t="n">
        <v>45968</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43896-2022</t>
        </is>
      </c>
      <c r="B238" s="1" t="n">
        <v>44838</v>
      </c>
      <c r="C238" s="1" t="n">
        <v>45968</v>
      </c>
      <c r="D238" t="inlineStr">
        <is>
          <t>UPPSALA LÄN</t>
        </is>
      </c>
      <c r="E238" t="inlineStr">
        <is>
          <t>ENKÖPING</t>
        </is>
      </c>
      <c r="G238" t="n">
        <v>5.3</v>
      </c>
      <c r="H238" t="n">
        <v>0</v>
      </c>
      <c r="I238" t="n">
        <v>0</v>
      </c>
      <c r="J238" t="n">
        <v>0</v>
      </c>
      <c r="K238" t="n">
        <v>0</v>
      </c>
      <c r="L238" t="n">
        <v>0</v>
      </c>
      <c r="M238" t="n">
        <v>0</v>
      </c>
      <c r="N238" t="n">
        <v>0</v>
      </c>
      <c r="O238" t="n">
        <v>0</v>
      </c>
      <c r="P238" t="n">
        <v>0</v>
      </c>
      <c r="Q238" t="n">
        <v>0</v>
      </c>
      <c r="R238" s="2" t="inlineStr"/>
    </row>
    <row r="239" ht="15" customHeight="1">
      <c r="A239" t="inlineStr">
        <is>
          <t>A 32111-2025</t>
        </is>
      </c>
      <c r="B239" s="1" t="n">
        <v>45835</v>
      </c>
      <c r="C239" s="1" t="n">
        <v>45968</v>
      </c>
      <c r="D239" t="inlineStr">
        <is>
          <t>UPPSALA LÄN</t>
        </is>
      </c>
      <c r="E239" t="inlineStr">
        <is>
          <t>ENKÖPING</t>
        </is>
      </c>
      <c r="G239" t="n">
        <v>1.7</v>
      </c>
      <c r="H239" t="n">
        <v>0</v>
      </c>
      <c r="I239" t="n">
        <v>0</v>
      </c>
      <c r="J239" t="n">
        <v>0</v>
      </c>
      <c r="K239" t="n">
        <v>0</v>
      </c>
      <c r="L239" t="n">
        <v>0</v>
      </c>
      <c r="M239" t="n">
        <v>0</v>
      </c>
      <c r="N239" t="n">
        <v>0</v>
      </c>
      <c r="O239" t="n">
        <v>0</v>
      </c>
      <c r="P239" t="n">
        <v>0</v>
      </c>
      <c r="Q239" t="n">
        <v>0</v>
      </c>
      <c r="R239" s="2" t="inlineStr"/>
    </row>
    <row r="240" ht="15" customHeight="1">
      <c r="A240" t="inlineStr">
        <is>
          <t>A 32031-2025</t>
        </is>
      </c>
      <c r="B240" s="1" t="n">
        <v>45835.41712962963</v>
      </c>
      <c r="C240" s="1" t="n">
        <v>45968</v>
      </c>
      <c r="D240" t="inlineStr">
        <is>
          <t>UPPSALA LÄN</t>
        </is>
      </c>
      <c r="E240" t="inlineStr">
        <is>
          <t>ENKÖPING</t>
        </is>
      </c>
      <c r="G240" t="n">
        <v>2.7</v>
      </c>
      <c r="H240" t="n">
        <v>0</v>
      </c>
      <c r="I240" t="n">
        <v>0</v>
      </c>
      <c r="J240" t="n">
        <v>0</v>
      </c>
      <c r="K240" t="n">
        <v>0</v>
      </c>
      <c r="L240" t="n">
        <v>0</v>
      </c>
      <c r="M240" t="n">
        <v>0</v>
      </c>
      <c r="N240" t="n">
        <v>0</v>
      </c>
      <c r="O240" t="n">
        <v>0</v>
      </c>
      <c r="P240" t="n">
        <v>0</v>
      </c>
      <c r="Q240" t="n">
        <v>0</v>
      </c>
      <c r="R240" s="2" t="inlineStr"/>
    </row>
    <row r="241" ht="15" customHeight="1">
      <c r="A241" t="inlineStr">
        <is>
          <t>A 4203-2021</t>
        </is>
      </c>
      <c r="B241" s="1" t="n">
        <v>44223</v>
      </c>
      <c r="C241" s="1" t="n">
        <v>45968</v>
      </c>
      <c r="D241" t="inlineStr">
        <is>
          <t>UPPSALA LÄN</t>
        </is>
      </c>
      <c r="E241" t="inlineStr">
        <is>
          <t>ENKÖPING</t>
        </is>
      </c>
      <c r="G241" t="n">
        <v>11.6</v>
      </c>
      <c r="H241" t="n">
        <v>0</v>
      </c>
      <c r="I241" t="n">
        <v>0</v>
      </c>
      <c r="J241" t="n">
        <v>0</v>
      </c>
      <c r="K241" t="n">
        <v>0</v>
      </c>
      <c r="L241" t="n">
        <v>0</v>
      </c>
      <c r="M241" t="n">
        <v>0</v>
      </c>
      <c r="N241" t="n">
        <v>0</v>
      </c>
      <c r="O241" t="n">
        <v>0</v>
      </c>
      <c r="P241" t="n">
        <v>0</v>
      </c>
      <c r="Q241" t="n">
        <v>0</v>
      </c>
      <c r="R241" s="2" t="inlineStr"/>
    </row>
    <row r="242" ht="15" customHeight="1">
      <c r="A242" t="inlineStr">
        <is>
          <t>A 18299-2025</t>
        </is>
      </c>
      <c r="B242" s="1" t="n">
        <v>45762</v>
      </c>
      <c r="C242" s="1" t="n">
        <v>45968</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34124-2021</t>
        </is>
      </c>
      <c r="B243" s="1" t="n">
        <v>44379</v>
      </c>
      <c r="C243" s="1" t="n">
        <v>45968</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28518-2024</t>
        </is>
      </c>
      <c r="B244" s="1" t="n">
        <v>45477</v>
      </c>
      <c r="C244" s="1" t="n">
        <v>45968</v>
      </c>
      <c r="D244" t="inlineStr">
        <is>
          <t>UPPSALA LÄN</t>
        </is>
      </c>
      <c r="E244" t="inlineStr">
        <is>
          <t>ENKÖPING</t>
        </is>
      </c>
      <c r="G244" t="n">
        <v>3.4</v>
      </c>
      <c r="H244" t="n">
        <v>0</v>
      </c>
      <c r="I244" t="n">
        <v>0</v>
      </c>
      <c r="J244" t="n">
        <v>0</v>
      </c>
      <c r="K244" t="n">
        <v>0</v>
      </c>
      <c r="L244" t="n">
        <v>0</v>
      </c>
      <c r="M244" t="n">
        <v>0</v>
      </c>
      <c r="N244" t="n">
        <v>0</v>
      </c>
      <c r="O244" t="n">
        <v>0</v>
      </c>
      <c r="P244" t="n">
        <v>0</v>
      </c>
      <c r="Q244" t="n">
        <v>0</v>
      </c>
      <c r="R244" s="2" t="inlineStr"/>
    </row>
    <row r="245" ht="15" customHeight="1">
      <c r="A245" t="inlineStr">
        <is>
          <t>A 52299-2023</t>
        </is>
      </c>
      <c r="B245" s="1" t="n">
        <v>45224.61636574074</v>
      </c>
      <c r="C245" s="1" t="n">
        <v>45968</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7090-2022</t>
        </is>
      </c>
      <c r="B246" s="1" t="n">
        <v>44603.59520833333</v>
      </c>
      <c r="C246" s="1" t="n">
        <v>45968</v>
      </c>
      <c r="D246" t="inlineStr">
        <is>
          <t>UPPSALA LÄN</t>
        </is>
      </c>
      <c r="E246" t="inlineStr">
        <is>
          <t>ENKÖPING</t>
        </is>
      </c>
      <c r="G246" t="n">
        <v>2.8</v>
      </c>
      <c r="H246" t="n">
        <v>0</v>
      </c>
      <c r="I246" t="n">
        <v>0</v>
      </c>
      <c r="J246" t="n">
        <v>0</v>
      </c>
      <c r="K246" t="n">
        <v>0</v>
      </c>
      <c r="L246" t="n">
        <v>0</v>
      </c>
      <c r="M246" t="n">
        <v>0</v>
      </c>
      <c r="N246" t="n">
        <v>0</v>
      </c>
      <c r="O246" t="n">
        <v>0</v>
      </c>
      <c r="P246" t="n">
        <v>0</v>
      </c>
      <c r="Q246" t="n">
        <v>0</v>
      </c>
      <c r="R246" s="2" t="inlineStr"/>
    </row>
    <row r="247" ht="15" customHeight="1">
      <c r="A247" t="inlineStr">
        <is>
          <t>A 9487-2025</t>
        </is>
      </c>
      <c r="B247" s="1" t="n">
        <v>45715.49331018519</v>
      </c>
      <c r="C247" s="1" t="n">
        <v>45968</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6144-2024</t>
        </is>
      </c>
      <c r="B248" s="1" t="n">
        <v>45337.4684837963</v>
      </c>
      <c r="C248" s="1" t="n">
        <v>45968</v>
      </c>
      <c r="D248" t="inlineStr">
        <is>
          <t>UPPSALA LÄN</t>
        </is>
      </c>
      <c r="E248" t="inlineStr">
        <is>
          <t>ENKÖPING</t>
        </is>
      </c>
      <c r="G248" t="n">
        <v>13.8</v>
      </c>
      <c r="H248" t="n">
        <v>0</v>
      </c>
      <c r="I248" t="n">
        <v>0</v>
      </c>
      <c r="J248" t="n">
        <v>0</v>
      </c>
      <c r="K248" t="n">
        <v>0</v>
      </c>
      <c r="L248" t="n">
        <v>0</v>
      </c>
      <c r="M248" t="n">
        <v>0</v>
      </c>
      <c r="N248" t="n">
        <v>0</v>
      </c>
      <c r="O248" t="n">
        <v>0</v>
      </c>
      <c r="P248" t="n">
        <v>0</v>
      </c>
      <c r="Q248" t="n">
        <v>0</v>
      </c>
      <c r="R248" s="2" t="inlineStr"/>
    </row>
    <row r="249" ht="15" customHeight="1">
      <c r="A249" t="inlineStr">
        <is>
          <t>A 33955-2024</t>
        </is>
      </c>
      <c r="B249" s="1" t="n">
        <v>45523.46952546296</v>
      </c>
      <c r="C249" s="1" t="n">
        <v>45968</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30634-2022</t>
        </is>
      </c>
      <c r="B250" s="1" t="n">
        <v>44763.45711805556</v>
      </c>
      <c r="C250" s="1" t="n">
        <v>45968</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21686-2022</t>
        </is>
      </c>
      <c r="B251" s="1" t="n">
        <v>44707</v>
      </c>
      <c r="C251" s="1" t="n">
        <v>45968</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18831-2023</t>
        </is>
      </c>
      <c r="B252" s="1" t="n">
        <v>45044.40798611111</v>
      </c>
      <c r="C252" s="1" t="n">
        <v>45968</v>
      </c>
      <c r="D252" t="inlineStr">
        <is>
          <t>UPPSALA LÄN</t>
        </is>
      </c>
      <c r="E252" t="inlineStr">
        <is>
          <t>ENKÖPING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18259-2025</t>
        </is>
      </c>
      <c r="B253" s="1" t="n">
        <v>45762</v>
      </c>
      <c r="C253" s="1" t="n">
        <v>45968</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45968</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15740-2025</t>
        </is>
      </c>
      <c r="B255" s="1" t="n">
        <v>45748</v>
      </c>
      <c r="C255" s="1" t="n">
        <v>45968</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14004-2023</t>
        </is>
      </c>
      <c r="B256" s="1" t="n">
        <v>45008</v>
      </c>
      <c r="C256" s="1" t="n">
        <v>45968</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6172-2023</t>
        </is>
      </c>
      <c r="B257" s="1" t="n">
        <v>44964.68663194445</v>
      </c>
      <c r="C257" s="1" t="n">
        <v>45968</v>
      </c>
      <c r="D257" t="inlineStr">
        <is>
          <t>UPPSALA LÄN</t>
        </is>
      </c>
      <c r="E257" t="inlineStr">
        <is>
          <t>ENKÖPING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14402-2023</t>
        </is>
      </c>
      <c r="B258" s="1" t="n">
        <v>45012</v>
      </c>
      <c r="C258" s="1" t="n">
        <v>45968</v>
      </c>
      <c r="D258" t="inlineStr">
        <is>
          <t>UPPSALA LÄN</t>
        </is>
      </c>
      <c r="E258" t="inlineStr">
        <is>
          <t>ENKÖPING</t>
        </is>
      </c>
      <c r="G258" t="n">
        <v>9.5</v>
      </c>
      <c r="H258" t="n">
        <v>0</v>
      </c>
      <c r="I258" t="n">
        <v>0</v>
      </c>
      <c r="J258" t="n">
        <v>0</v>
      </c>
      <c r="K258" t="n">
        <v>0</v>
      </c>
      <c r="L258" t="n">
        <v>0</v>
      </c>
      <c r="M258" t="n">
        <v>0</v>
      </c>
      <c r="N258" t="n">
        <v>0</v>
      </c>
      <c r="O258" t="n">
        <v>0</v>
      </c>
      <c r="P258" t="n">
        <v>0</v>
      </c>
      <c r="Q258" t="n">
        <v>0</v>
      </c>
      <c r="R258" s="2" t="inlineStr"/>
    </row>
    <row r="259" ht="15" customHeight="1">
      <c r="A259" t="inlineStr">
        <is>
          <t>A 52005-2024</t>
        </is>
      </c>
      <c r="B259" s="1" t="n">
        <v>45607.7627662037</v>
      </c>
      <c r="C259" s="1" t="n">
        <v>45968</v>
      </c>
      <c r="D259" t="inlineStr">
        <is>
          <t>UPPSALA LÄN</t>
        </is>
      </c>
      <c r="E259" t="inlineStr">
        <is>
          <t>ENKÖPING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1960-2022</t>
        </is>
      </c>
      <c r="B260" s="1" t="n">
        <v>44575</v>
      </c>
      <c r="C260" s="1" t="n">
        <v>45968</v>
      </c>
      <c r="D260" t="inlineStr">
        <is>
          <t>UPPSALA LÄN</t>
        </is>
      </c>
      <c r="E260" t="inlineStr">
        <is>
          <t>ENKÖPING</t>
        </is>
      </c>
      <c r="G260" t="n">
        <v>1.3</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45968</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16920-2023</t>
        </is>
      </c>
      <c r="B262" s="1" t="n">
        <v>45033.59030092593</v>
      </c>
      <c r="C262" s="1" t="n">
        <v>45968</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27983-2024</t>
        </is>
      </c>
      <c r="B263" s="1" t="n">
        <v>45476</v>
      </c>
      <c r="C263" s="1" t="n">
        <v>45968</v>
      </c>
      <c r="D263" t="inlineStr">
        <is>
          <t>UPPSALA LÄN</t>
        </is>
      </c>
      <c r="E263" t="inlineStr">
        <is>
          <t>ENKÖPING</t>
        </is>
      </c>
      <c r="G263" t="n">
        <v>3.2</v>
      </c>
      <c r="H263" t="n">
        <v>0</v>
      </c>
      <c r="I263" t="n">
        <v>0</v>
      </c>
      <c r="J263" t="n">
        <v>0</v>
      </c>
      <c r="K263" t="n">
        <v>0</v>
      </c>
      <c r="L263" t="n">
        <v>0</v>
      </c>
      <c r="M263" t="n">
        <v>0</v>
      </c>
      <c r="N263" t="n">
        <v>0</v>
      </c>
      <c r="O263" t="n">
        <v>0</v>
      </c>
      <c r="P263" t="n">
        <v>0</v>
      </c>
      <c r="Q263" t="n">
        <v>0</v>
      </c>
      <c r="R263" s="2" t="inlineStr"/>
    </row>
    <row r="264" ht="15" customHeight="1">
      <c r="A264" t="inlineStr">
        <is>
          <t>A 18994-2025</t>
        </is>
      </c>
      <c r="B264" s="1" t="n">
        <v>45764.57350694444</v>
      </c>
      <c r="C264" s="1" t="n">
        <v>45968</v>
      </c>
      <c r="D264" t="inlineStr">
        <is>
          <t>UPPSALA LÄN</t>
        </is>
      </c>
      <c r="E264" t="inlineStr">
        <is>
          <t>ENKÖPING</t>
        </is>
      </c>
      <c r="G264" t="n">
        <v>3.8</v>
      </c>
      <c r="H264" t="n">
        <v>0</v>
      </c>
      <c r="I264" t="n">
        <v>0</v>
      </c>
      <c r="J264" t="n">
        <v>0</v>
      </c>
      <c r="K264" t="n">
        <v>0</v>
      </c>
      <c r="L264" t="n">
        <v>0</v>
      </c>
      <c r="M264" t="n">
        <v>0</v>
      </c>
      <c r="N264" t="n">
        <v>0</v>
      </c>
      <c r="O264" t="n">
        <v>0</v>
      </c>
      <c r="P264" t="n">
        <v>0</v>
      </c>
      <c r="Q264" t="n">
        <v>0</v>
      </c>
      <c r="R264" s="2" t="inlineStr"/>
    </row>
    <row r="265" ht="15" customHeight="1">
      <c r="A265" t="inlineStr">
        <is>
          <t>A 53586-2024</t>
        </is>
      </c>
      <c r="B265" s="1" t="n">
        <v>45614</v>
      </c>
      <c r="C265" s="1" t="n">
        <v>45968</v>
      </c>
      <c r="D265" t="inlineStr">
        <is>
          <t>UPPSALA LÄN</t>
        </is>
      </c>
      <c r="E265" t="inlineStr">
        <is>
          <t>ENKÖPING</t>
        </is>
      </c>
      <c r="G265" t="n">
        <v>6.6</v>
      </c>
      <c r="H265" t="n">
        <v>0</v>
      </c>
      <c r="I265" t="n">
        <v>0</v>
      </c>
      <c r="J265" t="n">
        <v>0</v>
      </c>
      <c r="K265" t="n">
        <v>0</v>
      </c>
      <c r="L265" t="n">
        <v>0</v>
      </c>
      <c r="M265" t="n">
        <v>0</v>
      </c>
      <c r="N265" t="n">
        <v>0</v>
      </c>
      <c r="O265" t="n">
        <v>0</v>
      </c>
      <c r="P265" t="n">
        <v>0</v>
      </c>
      <c r="Q265" t="n">
        <v>0</v>
      </c>
      <c r="R265" s="2" t="inlineStr"/>
    </row>
    <row r="266" ht="15" customHeight="1">
      <c r="A266" t="inlineStr">
        <is>
          <t>A 49627-2024</t>
        </is>
      </c>
      <c r="B266" s="1" t="n">
        <v>45596.59140046296</v>
      </c>
      <c r="C266" s="1" t="n">
        <v>45968</v>
      </c>
      <c r="D266" t="inlineStr">
        <is>
          <t>UPPSALA LÄN</t>
        </is>
      </c>
      <c r="E266" t="inlineStr">
        <is>
          <t>ENKÖPING</t>
        </is>
      </c>
      <c r="G266" t="n">
        <v>0.4</v>
      </c>
      <c r="H266" t="n">
        <v>0</v>
      </c>
      <c r="I266" t="n">
        <v>0</v>
      </c>
      <c r="J266" t="n">
        <v>0</v>
      </c>
      <c r="K266" t="n">
        <v>0</v>
      </c>
      <c r="L266" t="n">
        <v>0</v>
      </c>
      <c r="M266" t="n">
        <v>0</v>
      </c>
      <c r="N266" t="n">
        <v>0</v>
      </c>
      <c r="O266" t="n">
        <v>0</v>
      </c>
      <c r="P266" t="n">
        <v>0</v>
      </c>
      <c r="Q266" t="n">
        <v>0</v>
      </c>
      <c r="R266" s="2" t="inlineStr"/>
    </row>
    <row r="267" ht="15" customHeight="1">
      <c r="A267" t="inlineStr">
        <is>
          <t>A 57848-2024</t>
        </is>
      </c>
      <c r="B267" s="1" t="n">
        <v>45631.40947916666</v>
      </c>
      <c r="C267" s="1" t="n">
        <v>45968</v>
      </c>
      <c r="D267" t="inlineStr">
        <is>
          <t>UPPSALA LÄN</t>
        </is>
      </c>
      <c r="E267" t="inlineStr">
        <is>
          <t>ENKÖPING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57998-2024</t>
        </is>
      </c>
      <c r="B268" s="1" t="n">
        <v>45631</v>
      </c>
      <c r="C268" s="1" t="n">
        <v>45968</v>
      </c>
      <c r="D268" t="inlineStr">
        <is>
          <t>UPPSALA LÄN</t>
        </is>
      </c>
      <c r="E268" t="inlineStr">
        <is>
          <t>ENKÖPING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49601-2024</t>
        </is>
      </c>
      <c r="B269" s="1" t="n">
        <v>45596.56288194445</v>
      </c>
      <c r="C269" s="1" t="n">
        <v>45968</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9667-2024</t>
        </is>
      </c>
      <c r="B270" s="1" t="n">
        <v>45362.45130787037</v>
      </c>
      <c r="C270" s="1" t="n">
        <v>45968</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35645-2021</t>
        </is>
      </c>
      <c r="B271" s="1" t="n">
        <v>44386.42</v>
      </c>
      <c r="C271" s="1" t="n">
        <v>45968</v>
      </c>
      <c r="D271" t="inlineStr">
        <is>
          <t>UPPSALA LÄN</t>
        </is>
      </c>
      <c r="E271" t="inlineStr">
        <is>
          <t>ENKÖPING</t>
        </is>
      </c>
      <c r="G271" t="n">
        <v>2.7</v>
      </c>
      <c r="H271" t="n">
        <v>0</v>
      </c>
      <c r="I271" t="n">
        <v>0</v>
      </c>
      <c r="J271" t="n">
        <v>0</v>
      </c>
      <c r="K271" t="n">
        <v>0</v>
      </c>
      <c r="L271" t="n">
        <v>0</v>
      </c>
      <c r="M271" t="n">
        <v>0</v>
      </c>
      <c r="N271" t="n">
        <v>0</v>
      </c>
      <c r="O271" t="n">
        <v>0</v>
      </c>
      <c r="P271" t="n">
        <v>0</v>
      </c>
      <c r="Q271" t="n">
        <v>0</v>
      </c>
      <c r="R271" s="2" t="inlineStr"/>
    </row>
    <row r="272" ht="15" customHeight="1">
      <c r="A272" t="inlineStr">
        <is>
          <t>A 15711-2025</t>
        </is>
      </c>
      <c r="B272" s="1" t="n">
        <v>45748</v>
      </c>
      <c r="C272" s="1" t="n">
        <v>45968</v>
      </c>
      <c r="D272" t="inlineStr">
        <is>
          <t>UPPSALA LÄN</t>
        </is>
      </c>
      <c r="E272" t="inlineStr">
        <is>
          <t>ENKÖPING</t>
        </is>
      </c>
      <c r="G272" t="n">
        <v>1.3</v>
      </c>
      <c r="H272" t="n">
        <v>0</v>
      </c>
      <c r="I272" t="n">
        <v>0</v>
      </c>
      <c r="J272" t="n">
        <v>0</v>
      </c>
      <c r="K272" t="n">
        <v>0</v>
      </c>
      <c r="L272" t="n">
        <v>0</v>
      </c>
      <c r="M272" t="n">
        <v>0</v>
      </c>
      <c r="N272" t="n">
        <v>0</v>
      </c>
      <c r="O272" t="n">
        <v>0</v>
      </c>
      <c r="P272" t="n">
        <v>0</v>
      </c>
      <c r="Q272" t="n">
        <v>0</v>
      </c>
      <c r="R272" s="2" t="inlineStr"/>
    </row>
    <row r="273" ht="15" customHeight="1">
      <c r="A273" t="inlineStr">
        <is>
          <t>A 43506-2023</t>
        </is>
      </c>
      <c r="B273" s="1" t="n">
        <v>45181</v>
      </c>
      <c r="C273" s="1" t="n">
        <v>45968</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29513-2025</t>
        </is>
      </c>
      <c r="B274" s="1" t="n">
        <v>45825</v>
      </c>
      <c r="C274" s="1" t="n">
        <v>45968</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28318-2024</t>
        </is>
      </c>
      <c r="B275" s="1" t="n">
        <v>45477</v>
      </c>
      <c r="C275" s="1" t="n">
        <v>45968</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17844-2025</t>
        </is>
      </c>
      <c r="B276" s="1" t="n">
        <v>45758.59920138889</v>
      </c>
      <c r="C276" s="1" t="n">
        <v>45968</v>
      </c>
      <c r="D276" t="inlineStr">
        <is>
          <t>UPPSALA LÄN</t>
        </is>
      </c>
      <c r="E276" t="inlineStr">
        <is>
          <t>ENKÖPING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46186-2023</t>
        </is>
      </c>
      <c r="B277" s="1" t="n">
        <v>45196</v>
      </c>
      <c r="C277" s="1" t="n">
        <v>45968</v>
      </c>
      <c r="D277" t="inlineStr">
        <is>
          <t>UPPSALA LÄN</t>
        </is>
      </c>
      <c r="E277" t="inlineStr">
        <is>
          <t>ENKÖPING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54595-2021</t>
        </is>
      </c>
      <c r="B278" s="1" t="n">
        <v>44473.58824074074</v>
      </c>
      <c r="C278" s="1" t="n">
        <v>45968</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27837-2025</t>
        </is>
      </c>
      <c r="B279" s="1" t="n">
        <v>45817.37207175926</v>
      </c>
      <c r="C279" s="1" t="n">
        <v>45968</v>
      </c>
      <c r="D279" t="inlineStr">
        <is>
          <t>UPPSALA LÄN</t>
        </is>
      </c>
      <c r="E279" t="inlineStr">
        <is>
          <t>ENKÖPING</t>
        </is>
      </c>
      <c r="G279" t="n">
        <v>7.3</v>
      </c>
      <c r="H279" t="n">
        <v>0</v>
      </c>
      <c r="I279" t="n">
        <v>0</v>
      </c>
      <c r="J279" t="n">
        <v>0</v>
      </c>
      <c r="K279" t="n">
        <v>0</v>
      </c>
      <c r="L279" t="n">
        <v>0</v>
      </c>
      <c r="M279" t="n">
        <v>0</v>
      </c>
      <c r="N279" t="n">
        <v>0</v>
      </c>
      <c r="O279" t="n">
        <v>0</v>
      </c>
      <c r="P279" t="n">
        <v>0</v>
      </c>
      <c r="Q279" t="n">
        <v>0</v>
      </c>
      <c r="R279" s="2" t="inlineStr"/>
    </row>
    <row r="280" ht="15" customHeight="1">
      <c r="A280" t="inlineStr">
        <is>
          <t>A 54588-2024</t>
        </is>
      </c>
      <c r="B280" s="1" t="n">
        <v>45617</v>
      </c>
      <c r="C280" s="1" t="n">
        <v>45968</v>
      </c>
      <c r="D280" t="inlineStr">
        <is>
          <t>UPPSALA LÄN</t>
        </is>
      </c>
      <c r="E280" t="inlineStr">
        <is>
          <t>ENKÖPING</t>
        </is>
      </c>
      <c r="G280" t="n">
        <v>3.7</v>
      </c>
      <c r="H280" t="n">
        <v>0</v>
      </c>
      <c r="I280" t="n">
        <v>0</v>
      </c>
      <c r="J280" t="n">
        <v>0</v>
      </c>
      <c r="K280" t="n">
        <v>0</v>
      </c>
      <c r="L280" t="n">
        <v>0</v>
      </c>
      <c r="M280" t="n">
        <v>0</v>
      </c>
      <c r="N280" t="n">
        <v>0</v>
      </c>
      <c r="O280" t="n">
        <v>0</v>
      </c>
      <c r="P280" t="n">
        <v>0</v>
      </c>
      <c r="Q280" t="n">
        <v>0</v>
      </c>
      <c r="R280" s="2" t="inlineStr"/>
    </row>
    <row r="281" ht="15" customHeight="1">
      <c r="A281" t="inlineStr">
        <is>
          <t>A 69344-2021</t>
        </is>
      </c>
      <c r="B281" s="1" t="n">
        <v>44531</v>
      </c>
      <c r="C281" s="1" t="n">
        <v>45968</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47428-2023</t>
        </is>
      </c>
      <c r="B282" s="1" t="n">
        <v>45202.66664351852</v>
      </c>
      <c r="C282" s="1" t="n">
        <v>45968</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51524-2022</t>
        </is>
      </c>
      <c r="B283" s="1" t="n">
        <v>44869</v>
      </c>
      <c r="C283" s="1" t="n">
        <v>45968</v>
      </c>
      <c r="D283" t="inlineStr">
        <is>
          <t>UPPSALA LÄN</t>
        </is>
      </c>
      <c r="E283" t="inlineStr">
        <is>
          <t>ENKÖPING</t>
        </is>
      </c>
      <c r="G283" t="n">
        <v>6.6</v>
      </c>
      <c r="H283" t="n">
        <v>0</v>
      </c>
      <c r="I283" t="n">
        <v>0</v>
      </c>
      <c r="J283" t="n">
        <v>0</v>
      </c>
      <c r="K283" t="n">
        <v>0</v>
      </c>
      <c r="L283" t="n">
        <v>0</v>
      </c>
      <c r="M283" t="n">
        <v>0</v>
      </c>
      <c r="N283" t="n">
        <v>0</v>
      </c>
      <c r="O283" t="n">
        <v>0</v>
      </c>
      <c r="P283" t="n">
        <v>0</v>
      </c>
      <c r="Q283" t="n">
        <v>0</v>
      </c>
      <c r="R283" s="2" t="inlineStr"/>
    </row>
    <row r="284" ht="15" customHeight="1">
      <c r="A284" t="inlineStr">
        <is>
          <t>A 5892-2023</t>
        </is>
      </c>
      <c r="B284" s="1" t="n">
        <v>44963.64883101852</v>
      </c>
      <c r="C284" s="1" t="n">
        <v>45968</v>
      </c>
      <c r="D284" t="inlineStr">
        <is>
          <t>UPPSALA LÄN</t>
        </is>
      </c>
      <c r="E284" t="inlineStr">
        <is>
          <t>ENKÖPING</t>
        </is>
      </c>
      <c r="G284" t="n">
        <v>5.5</v>
      </c>
      <c r="H284" t="n">
        <v>0</v>
      </c>
      <c r="I284" t="n">
        <v>0</v>
      </c>
      <c r="J284" t="n">
        <v>0</v>
      </c>
      <c r="K284" t="n">
        <v>0</v>
      </c>
      <c r="L284" t="n">
        <v>0</v>
      </c>
      <c r="M284" t="n">
        <v>0</v>
      </c>
      <c r="N284" t="n">
        <v>0</v>
      </c>
      <c r="O284" t="n">
        <v>0</v>
      </c>
      <c r="P284" t="n">
        <v>0</v>
      </c>
      <c r="Q284" t="n">
        <v>0</v>
      </c>
      <c r="R284" s="2" t="inlineStr"/>
    </row>
    <row r="285" ht="15" customHeight="1">
      <c r="A285" t="inlineStr">
        <is>
          <t>A 12572-2021</t>
        </is>
      </c>
      <c r="B285" s="1" t="n">
        <v>44270.36438657407</v>
      </c>
      <c r="C285" s="1" t="n">
        <v>45968</v>
      </c>
      <c r="D285" t="inlineStr">
        <is>
          <t>UPPSALA LÄN</t>
        </is>
      </c>
      <c r="E285" t="inlineStr">
        <is>
          <t>ENKÖPING</t>
        </is>
      </c>
      <c r="G285" t="n">
        <v>3.3</v>
      </c>
      <c r="H285" t="n">
        <v>0</v>
      </c>
      <c r="I285" t="n">
        <v>0</v>
      </c>
      <c r="J285" t="n">
        <v>0</v>
      </c>
      <c r="K285" t="n">
        <v>0</v>
      </c>
      <c r="L285" t="n">
        <v>0</v>
      </c>
      <c r="M285" t="n">
        <v>0</v>
      </c>
      <c r="N285" t="n">
        <v>0</v>
      </c>
      <c r="O285" t="n">
        <v>0</v>
      </c>
      <c r="P285" t="n">
        <v>0</v>
      </c>
      <c r="Q285" t="n">
        <v>0</v>
      </c>
      <c r="R285" s="2" t="inlineStr"/>
    </row>
    <row r="286" ht="15" customHeight="1">
      <c r="A286" t="inlineStr">
        <is>
          <t>A 19298-2023</t>
        </is>
      </c>
      <c r="B286" s="1" t="n">
        <v>45048</v>
      </c>
      <c r="C286" s="1" t="n">
        <v>45968</v>
      </c>
      <c r="D286" t="inlineStr">
        <is>
          <t>UPPSALA LÄN</t>
        </is>
      </c>
      <c r="E286" t="inlineStr">
        <is>
          <t>ENKÖPING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671-2022</t>
        </is>
      </c>
      <c r="B287" s="1" t="n">
        <v>44568</v>
      </c>
      <c r="C287" s="1" t="n">
        <v>45968</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21501-2025</t>
        </is>
      </c>
      <c r="B288" s="1" t="n">
        <v>45782</v>
      </c>
      <c r="C288" s="1" t="n">
        <v>45968</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46103-2023</t>
        </is>
      </c>
      <c r="B289" s="1" t="n">
        <v>45190</v>
      </c>
      <c r="C289" s="1" t="n">
        <v>45968</v>
      </c>
      <c r="D289" t="inlineStr">
        <is>
          <t>UPPSALA LÄN</t>
        </is>
      </c>
      <c r="E289" t="inlineStr">
        <is>
          <t>ENKÖPING</t>
        </is>
      </c>
      <c r="G289" t="n">
        <v>4.6</v>
      </c>
      <c r="H289" t="n">
        <v>0</v>
      </c>
      <c r="I289" t="n">
        <v>0</v>
      </c>
      <c r="J289" t="n">
        <v>0</v>
      </c>
      <c r="K289" t="n">
        <v>0</v>
      </c>
      <c r="L289" t="n">
        <v>0</v>
      </c>
      <c r="M289" t="n">
        <v>0</v>
      </c>
      <c r="N289" t="n">
        <v>0</v>
      </c>
      <c r="O289" t="n">
        <v>0</v>
      </c>
      <c r="P289" t="n">
        <v>0</v>
      </c>
      <c r="Q289" t="n">
        <v>0</v>
      </c>
      <c r="R289" s="2" t="inlineStr"/>
    </row>
    <row r="290" ht="15" customHeight="1">
      <c r="A290" t="inlineStr">
        <is>
          <t>A 43488-2023</t>
        </is>
      </c>
      <c r="B290" s="1" t="n">
        <v>45181</v>
      </c>
      <c r="C290" s="1" t="n">
        <v>45968</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41737-2022</t>
        </is>
      </c>
      <c r="B291" s="1" t="n">
        <v>44827.63826388889</v>
      </c>
      <c r="C291" s="1" t="n">
        <v>45968</v>
      </c>
      <c r="D291" t="inlineStr">
        <is>
          <t>UPPSALA LÄN</t>
        </is>
      </c>
      <c r="E291" t="inlineStr">
        <is>
          <t>ENKÖPING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8137-2025</t>
        </is>
      </c>
      <c r="B292" s="1" t="n">
        <v>45707.8561574074</v>
      </c>
      <c r="C292" s="1" t="n">
        <v>45968</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34988-2025</t>
        </is>
      </c>
      <c r="B293" s="1" t="n">
        <v>45849</v>
      </c>
      <c r="C293" s="1" t="n">
        <v>45968</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9171-2024</t>
        </is>
      </c>
      <c r="B294" s="1" t="n">
        <v>45358</v>
      </c>
      <c r="C294" s="1" t="n">
        <v>45968</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34987-2025</t>
        </is>
      </c>
      <c r="B295" s="1" t="n">
        <v>45849</v>
      </c>
      <c r="C295" s="1" t="n">
        <v>45968</v>
      </c>
      <c r="D295" t="inlineStr">
        <is>
          <t>UPPSALA LÄN</t>
        </is>
      </c>
      <c r="E295" t="inlineStr">
        <is>
          <t>ENKÖPING</t>
        </is>
      </c>
      <c r="G295" t="n">
        <v>2.2</v>
      </c>
      <c r="H295" t="n">
        <v>0</v>
      </c>
      <c r="I295" t="n">
        <v>0</v>
      </c>
      <c r="J295" t="n">
        <v>0</v>
      </c>
      <c r="K295" t="n">
        <v>0</v>
      </c>
      <c r="L295" t="n">
        <v>0</v>
      </c>
      <c r="M295" t="n">
        <v>0</v>
      </c>
      <c r="N295" t="n">
        <v>0</v>
      </c>
      <c r="O295" t="n">
        <v>0</v>
      </c>
      <c r="P295" t="n">
        <v>0</v>
      </c>
      <c r="Q295" t="n">
        <v>0</v>
      </c>
      <c r="R295" s="2" t="inlineStr"/>
    </row>
    <row r="296" ht="15" customHeight="1">
      <c r="A296" t="inlineStr">
        <is>
          <t>A 23301-2024</t>
        </is>
      </c>
      <c r="B296" s="1" t="n">
        <v>45453.4396412037</v>
      </c>
      <c r="C296" s="1" t="n">
        <v>45968</v>
      </c>
      <c r="D296" t="inlineStr">
        <is>
          <t>UPPSALA LÄN</t>
        </is>
      </c>
      <c r="E296" t="inlineStr">
        <is>
          <t>ENKÖPING</t>
        </is>
      </c>
      <c r="G296" t="n">
        <v>4.3</v>
      </c>
      <c r="H296" t="n">
        <v>0</v>
      </c>
      <c r="I296" t="n">
        <v>0</v>
      </c>
      <c r="J296" t="n">
        <v>0</v>
      </c>
      <c r="K296" t="n">
        <v>0</v>
      </c>
      <c r="L296" t="n">
        <v>0</v>
      </c>
      <c r="M296" t="n">
        <v>0</v>
      </c>
      <c r="N296" t="n">
        <v>0</v>
      </c>
      <c r="O296" t="n">
        <v>0</v>
      </c>
      <c r="P296" t="n">
        <v>0</v>
      </c>
      <c r="Q296" t="n">
        <v>0</v>
      </c>
      <c r="R296" s="2" t="inlineStr"/>
    </row>
    <row r="297" ht="15" customHeight="1">
      <c r="A297" t="inlineStr">
        <is>
          <t>A 6147-2021</t>
        </is>
      </c>
      <c r="B297" s="1" t="n">
        <v>44232</v>
      </c>
      <c r="C297" s="1" t="n">
        <v>45968</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43230-2023</t>
        </is>
      </c>
      <c r="B298" s="1" t="n">
        <v>45183</v>
      </c>
      <c r="C298" s="1" t="n">
        <v>45968</v>
      </c>
      <c r="D298" t="inlineStr">
        <is>
          <t>UPPSALA LÄN</t>
        </is>
      </c>
      <c r="E298" t="inlineStr">
        <is>
          <t>ENKÖPING</t>
        </is>
      </c>
      <c r="G298" t="n">
        <v>2.1</v>
      </c>
      <c r="H298" t="n">
        <v>0</v>
      </c>
      <c r="I298" t="n">
        <v>0</v>
      </c>
      <c r="J298" t="n">
        <v>0</v>
      </c>
      <c r="K298" t="n">
        <v>0</v>
      </c>
      <c r="L298" t="n">
        <v>0</v>
      </c>
      <c r="M298" t="n">
        <v>0</v>
      </c>
      <c r="N298" t="n">
        <v>0</v>
      </c>
      <c r="O298" t="n">
        <v>0</v>
      </c>
      <c r="P298" t="n">
        <v>0</v>
      </c>
      <c r="Q298" t="n">
        <v>0</v>
      </c>
      <c r="R298" s="2" t="inlineStr"/>
    </row>
    <row r="299" ht="15" customHeight="1">
      <c r="A299" t="inlineStr">
        <is>
          <t>A 45362-2022</t>
        </is>
      </c>
      <c r="B299" s="1" t="n">
        <v>44844.62366898148</v>
      </c>
      <c r="C299" s="1" t="n">
        <v>45968</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72840-2021</t>
        </is>
      </c>
      <c r="B300" s="1" t="n">
        <v>44547</v>
      </c>
      <c r="C300" s="1" t="n">
        <v>45968</v>
      </c>
      <c r="D300" t="inlineStr">
        <is>
          <t>UPPSALA LÄN</t>
        </is>
      </c>
      <c r="E300" t="inlineStr">
        <is>
          <t>ENKÖPING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36492-2025</t>
        </is>
      </c>
      <c r="B301" s="1" t="n">
        <v>45869</v>
      </c>
      <c r="C301" s="1" t="n">
        <v>45968</v>
      </c>
      <c r="D301" t="inlineStr">
        <is>
          <t>UPPSALA LÄN</t>
        </is>
      </c>
      <c r="E301" t="inlineStr">
        <is>
          <t>ENKÖPING</t>
        </is>
      </c>
      <c r="G301" t="n">
        <v>6.3</v>
      </c>
      <c r="H301" t="n">
        <v>0</v>
      </c>
      <c r="I301" t="n">
        <v>0</v>
      </c>
      <c r="J301" t="n">
        <v>0</v>
      </c>
      <c r="K301" t="n">
        <v>0</v>
      </c>
      <c r="L301" t="n">
        <v>0</v>
      </c>
      <c r="M301" t="n">
        <v>0</v>
      </c>
      <c r="N301" t="n">
        <v>0</v>
      </c>
      <c r="O301" t="n">
        <v>0</v>
      </c>
      <c r="P301" t="n">
        <v>0</v>
      </c>
      <c r="Q301" t="n">
        <v>0</v>
      </c>
      <c r="R301" s="2" t="inlineStr"/>
    </row>
    <row r="302" ht="15" customHeight="1">
      <c r="A302" t="inlineStr">
        <is>
          <t>A 52380-2024</t>
        </is>
      </c>
      <c r="B302" s="1" t="n">
        <v>45609</v>
      </c>
      <c r="C302" s="1" t="n">
        <v>45968</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36350-2025</t>
        </is>
      </c>
      <c r="B303" s="1" t="n">
        <v>45868</v>
      </c>
      <c r="C303" s="1" t="n">
        <v>45968</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30098-2024</t>
        </is>
      </c>
      <c r="B304" s="1" t="n">
        <v>45489.41609953704</v>
      </c>
      <c r="C304" s="1" t="n">
        <v>45968</v>
      </c>
      <c r="D304" t="inlineStr">
        <is>
          <t>UPPSALA LÄN</t>
        </is>
      </c>
      <c r="E304" t="inlineStr">
        <is>
          <t>ENKÖPING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59441-2020</t>
        </is>
      </c>
      <c r="B305" s="1" t="n">
        <v>44148</v>
      </c>
      <c r="C305" s="1" t="n">
        <v>45968</v>
      </c>
      <c r="D305" t="inlineStr">
        <is>
          <t>UPPSALA LÄN</t>
        </is>
      </c>
      <c r="E305" t="inlineStr">
        <is>
          <t>ENKÖPING</t>
        </is>
      </c>
      <c r="G305" t="n">
        <v>4.8</v>
      </c>
      <c r="H305" t="n">
        <v>0</v>
      </c>
      <c r="I305" t="n">
        <v>0</v>
      </c>
      <c r="J305" t="n">
        <v>0</v>
      </c>
      <c r="K305" t="n">
        <v>0</v>
      </c>
      <c r="L305" t="n">
        <v>0</v>
      </c>
      <c r="M305" t="n">
        <v>0</v>
      </c>
      <c r="N305" t="n">
        <v>0</v>
      </c>
      <c r="O305" t="n">
        <v>0</v>
      </c>
      <c r="P305" t="n">
        <v>0</v>
      </c>
      <c r="Q305" t="n">
        <v>0</v>
      </c>
      <c r="R305" s="2" t="inlineStr"/>
    </row>
    <row r="306" ht="15" customHeight="1">
      <c r="A306" t="inlineStr">
        <is>
          <t>A 34735-2023</t>
        </is>
      </c>
      <c r="B306" s="1" t="n">
        <v>45139</v>
      </c>
      <c r="C306" s="1" t="n">
        <v>45968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57328-2024</t>
        </is>
      </c>
      <c r="B307" s="1" t="n">
        <v>45629.62798611111</v>
      </c>
      <c r="C307" s="1" t="n">
        <v>45968</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34617-2022</t>
        </is>
      </c>
      <c r="B308" s="1" t="n">
        <v>44795</v>
      </c>
      <c r="C308" s="1" t="n">
        <v>45968</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25989-2025</t>
        </is>
      </c>
      <c r="B309" s="1" t="n">
        <v>45804.65050925926</v>
      </c>
      <c r="C309" s="1" t="n">
        <v>45968</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1992-2022</t>
        </is>
      </c>
      <c r="B310" s="1" t="n">
        <v>44575.56153935185</v>
      </c>
      <c r="C310" s="1" t="n">
        <v>45968</v>
      </c>
      <c r="D310" t="inlineStr">
        <is>
          <t>UPPSALA LÄN</t>
        </is>
      </c>
      <c r="E310" t="inlineStr">
        <is>
          <t>ENKÖPING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45968</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1695-2025</t>
        </is>
      </c>
      <c r="B312" s="1" t="n">
        <v>45670</v>
      </c>
      <c r="C312" s="1" t="n">
        <v>45968</v>
      </c>
      <c r="D312" t="inlineStr">
        <is>
          <t>UPPSALA LÄN</t>
        </is>
      </c>
      <c r="E312" t="inlineStr">
        <is>
          <t>ENKÖPING</t>
        </is>
      </c>
      <c r="G312" t="n">
        <v>0.5</v>
      </c>
      <c r="H312" t="n">
        <v>0</v>
      </c>
      <c r="I312" t="n">
        <v>0</v>
      </c>
      <c r="J312" t="n">
        <v>0</v>
      </c>
      <c r="K312" t="n">
        <v>0</v>
      </c>
      <c r="L312" t="n">
        <v>0</v>
      </c>
      <c r="M312" t="n">
        <v>0</v>
      </c>
      <c r="N312" t="n">
        <v>0</v>
      </c>
      <c r="O312" t="n">
        <v>0</v>
      </c>
      <c r="P312" t="n">
        <v>0</v>
      </c>
      <c r="Q312" t="n">
        <v>0</v>
      </c>
      <c r="R312" s="2" t="inlineStr"/>
    </row>
    <row r="313" ht="15" customHeight="1">
      <c r="A313" t="inlineStr">
        <is>
          <t>A 36599-2025</t>
        </is>
      </c>
      <c r="B313" s="1" t="n">
        <v>45870.51723379629</v>
      </c>
      <c r="C313" s="1" t="n">
        <v>45968</v>
      </c>
      <c r="D313" t="inlineStr">
        <is>
          <t>UPPSALA LÄN</t>
        </is>
      </c>
      <c r="E313" t="inlineStr">
        <is>
          <t>ENKÖPING</t>
        </is>
      </c>
      <c r="G313" t="n">
        <v>5.9</v>
      </c>
      <c r="H313" t="n">
        <v>0</v>
      </c>
      <c r="I313" t="n">
        <v>0</v>
      </c>
      <c r="J313" t="n">
        <v>0</v>
      </c>
      <c r="K313" t="n">
        <v>0</v>
      </c>
      <c r="L313" t="n">
        <v>0</v>
      </c>
      <c r="M313" t="n">
        <v>0</v>
      </c>
      <c r="N313" t="n">
        <v>0</v>
      </c>
      <c r="O313" t="n">
        <v>0</v>
      </c>
      <c r="P313" t="n">
        <v>0</v>
      </c>
      <c r="Q313" t="n">
        <v>0</v>
      </c>
      <c r="R313" s="2" t="inlineStr"/>
    </row>
    <row r="314" ht="15" customHeight="1">
      <c r="A314" t="inlineStr">
        <is>
          <t>A 54357-2023</t>
        </is>
      </c>
      <c r="B314" s="1" t="n">
        <v>45225</v>
      </c>
      <c r="C314" s="1" t="n">
        <v>45968</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15939-2022</t>
        </is>
      </c>
      <c r="B315" s="1" t="n">
        <v>44664</v>
      </c>
      <c r="C315" s="1" t="n">
        <v>45968</v>
      </c>
      <c r="D315" t="inlineStr">
        <is>
          <t>UPPSALA LÄN</t>
        </is>
      </c>
      <c r="E315" t="inlineStr">
        <is>
          <t>ENKÖPING</t>
        </is>
      </c>
      <c r="G315" t="n">
        <v>2</v>
      </c>
      <c r="H315" t="n">
        <v>0</v>
      </c>
      <c r="I315" t="n">
        <v>0</v>
      </c>
      <c r="J315" t="n">
        <v>0</v>
      </c>
      <c r="K315" t="n">
        <v>0</v>
      </c>
      <c r="L315" t="n">
        <v>0</v>
      </c>
      <c r="M315" t="n">
        <v>0</v>
      </c>
      <c r="N315" t="n">
        <v>0</v>
      </c>
      <c r="O315" t="n">
        <v>0</v>
      </c>
      <c r="P315" t="n">
        <v>0</v>
      </c>
      <c r="Q315" t="n">
        <v>0</v>
      </c>
      <c r="R315" s="2" t="inlineStr"/>
    </row>
    <row r="316" ht="15" customHeight="1">
      <c r="A316" t="inlineStr">
        <is>
          <t>A 24962-2023</t>
        </is>
      </c>
      <c r="B316" s="1" t="n">
        <v>45085.60123842592</v>
      </c>
      <c r="C316" s="1" t="n">
        <v>45968</v>
      </c>
      <c r="D316" t="inlineStr">
        <is>
          <t>UPPSALA LÄN</t>
        </is>
      </c>
      <c r="E316" t="inlineStr">
        <is>
          <t>ENKÖPING</t>
        </is>
      </c>
      <c r="G316" t="n">
        <v>2.8</v>
      </c>
      <c r="H316" t="n">
        <v>0</v>
      </c>
      <c r="I316" t="n">
        <v>0</v>
      </c>
      <c r="J316" t="n">
        <v>0</v>
      </c>
      <c r="K316" t="n">
        <v>0</v>
      </c>
      <c r="L316" t="n">
        <v>0</v>
      </c>
      <c r="M316" t="n">
        <v>0</v>
      </c>
      <c r="N316" t="n">
        <v>0</v>
      </c>
      <c r="O316" t="n">
        <v>0</v>
      </c>
      <c r="P316" t="n">
        <v>0</v>
      </c>
      <c r="Q316" t="n">
        <v>0</v>
      </c>
      <c r="R316" s="2" t="inlineStr"/>
    </row>
    <row r="317" ht="15" customHeight="1">
      <c r="A317" t="inlineStr">
        <is>
          <t>A 29482-2022</t>
        </is>
      </c>
      <c r="B317" s="1" t="n">
        <v>44753.57703703704</v>
      </c>
      <c r="C317" s="1" t="n">
        <v>45968</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29483-2022</t>
        </is>
      </c>
      <c r="B318" s="1" t="n">
        <v>44753.57829861111</v>
      </c>
      <c r="C318" s="1" t="n">
        <v>45968</v>
      </c>
      <c r="D318" t="inlineStr">
        <is>
          <t>UPPSALA LÄN</t>
        </is>
      </c>
      <c r="E318" t="inlineStr">
        <is>
          <t>ENKÖPING</t>
        </is>
      </c>
      <c r="G318" t="n">
        <v>3.6</v>
      </c>
      <c r="H318" t="n">
        <v>0</v>
      </c>
      <c r="I318" t="n">
        <v>0</v>
      </c>
      <c r="J318" t="n">
        <v>0</v>
      </c>
      <c r="K318" t="n">
        <v>0</v>
      </c>
      <c r="L318" t="n">
        <v>0</v>
      </c>
      <c r="M318" t="n">
        <v>0</v>
      </c>
      <c r="N318" t="n">
        <v>0</v>
      </c>
      <c r="O318" t="n">
        <v>0</v>
      </c>
      <c r="P318" t="n">
        <v>0</v>
      </c>
      <c r="Q318" t="n">
        <v>0</v>
      </c>
      <c r="R318" s="2" t="inlineStr"/>
    </row>
    <row r="319" ht="15" customHeight="1">
      <c r="A319" t="inlineStr">
        <is>
          <t>A 44232-2022</t>
        </is>
      </c>
      <c r="B319" s="1" t="n">
        <v>44839</v>
      </c>
      <c r="C319" s="1" t="n">
        <v>45968</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61106-2022</t>
        </is>
      </c>
      <c r="B320" s="1" t="n">
        <v>44915.4128587963</v>
      </c>
      <c r="C320" s="1" t="n">
        <v>45968</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67765-2020</t>
        </is>
      </c>
      <c r="B321" s="1" t="n">
        <v>44182</v>
      </c>
      <c r="C321" s="1" t="n">
        <v>45968</v>
      </c>
      <c r="D321" t="inlineStr">
        <is>
          <t>UPPSALA LÄN</t>
        </is>
      </c>
      <c r="E321" t="inlineStr">
        <is>
          <t>ENKÖPING</t>
        </is>
      </c>
      <c r="G321" t="n">
        <v>3.6</v>
      </c>
      <c r="H321" t="n">
        <v>0</v>
      </c>
      <c r="I321" t="n">
        <v>0</v>
      </c>
      <c r="J321" t="n">
        <v>0</v>
      </c>
      <c r="K321" t="n">
        <v>0</v>
      </c>
      <c r="L321" t="n">
        <v>0</v>
      </c>
      <c r="M321" t="n">
        <v>0</v>
      </c>
      <c r="N321" t="n">
        <v>0</v>
      </c>
      <c r="O321" t="n">
        <v>0</v>
      </c>
      <c r="P321" t="n">
        <v>0</v>
      </c>
      <c r="Q321" t="n">
        <v>0</v>
      </c>
      <c r="R321" s="2" t="inlineStr"/>
    </row>
    <row r="322" ht="15" customHeight="1">
      <c r="A322" t="inlineStr">
        <is>
          <t>A 6298-2021</t>
        </is>
      </c>
      <c r="B322" s="1" t="n">
        <v>44235</v>
      </c>
      <c r="C322" s="1" t="n">
        <v>45968</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58961-2024</t>
        </is>
      </c>
      <c r="B323" s="1" t="n">
        <v>45636.585</v>
      </c>
      <c r="C323" s="1" t="n">
        <v>45968</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39624-2023</t>
        </is>
      </c>
      <c r="B324" s="1" t="n">
        <v>45164</v>
      </c>
      <c r="C324" s="1" t="n">
        <v>45968</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37498-2025</t>
        </is>
      </c>
      <c r="B325" s="1" t="n">
        <v>45877</v>
      </c>
      <c r="C325" s="1" t="n">
        <v>45968</v>
      </c>
      <c r="D325" t="inlineStr">
        <is>
          <t>UPPSALA LÄN</t>
        </is>
      </c>
      <c r="E325" t="inlineStr">
        <is>
          <t>ENKÖPING</t>
        </is>
      </c>
      <c r="G325" t="n">
        <v>1.2</v>
      </c>
      <c r="H325" t="n">
        <v>0</v>
      </c>
      <c r="I325" t="n">
        <v>0</v>
      </c>
      <c r="J325" t="n">
        <v>0</v>
      </c>
      <c r="K325" t="n">
        <v>0</v>
      </c>
      <c r="L325" t="n">
        <v>0</v>
      </c>
      <c r="M325" t="n">
        <v>0</v>
      </c>
      <c r="N325" t="n">
        <v>0</v>
      </c>
      <c r="O325" t="n">
        <v>0</v>
      </c>
      <c r="P325" t="n">
        <v>0</v>
      </c>
      <c r="Q325" t="n">
        <v>0</v>
      </c>
      <c r="R325" s="2" t="inlineStr"/>
    </row>
    <row r="326" ht="15" customHeight="1">
      <c r="A326" t="inlineStr">
        <is>
          <t>A 20184-2023</t>
        </is>
      </c>
      <c r="B326" s="1" t="n">
        <v>45055.5670949074</v>
      </c>
      <c r="C326" s="1" t="n">
        <v>45968</v>
      </c>
      <c r="D326" t="inlineStr">
        <is>
          <t>UPPSALA LÄN</t>
        </is>
      </c>
      <c r="E326" t="inlineStr">
        <is>
          <t>ENKÖPING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8152-2022</t>
        </is>
      </c>
      <c r="B327" s="1" t="n">
        <v>44609</v>
      </c>
      <c r="C327" s="1" t="n">
        <v>45968</v>
      </c>
      <c r="D327" t="inlineStr">
        <is>
          <t>UPPSALA LÄN</t>
        </is>
      </c>
      <c r="E327" t="inlineStr">
        <is>
          <t>ENKÖPING</t>
        </is>
      </c>
      <c r="F327" t="inlineStr">
        <is>
          <t>Kyrkan</t>
        </is>
      </c>
      <c r="G327" t="n">
        <v>1.3</v>
      </c>
      <c r="H327" t="n">
        <v>0</v>
      </c>
      <c r="I327" t="n">
        <v>0</v>
      </c>
      <c r="J327" t="n">
        <v>0</v>
      </c>
      <c r="K327" t="n">
        <v>0</v>
      </c>
      <c r="L327" t="n">
        <v>0</v>
      </c>
      <c r="M327" t="n">
        <v>0</v>
      </c>
      <c r="N327" t="n">
        <v>0</v>
      </c>
      <c r="O327" t="n">
        <v>0</v>
      </c>
      <c r="P327" t="n">
        <v>0</v>
      </c>
      <c r="Q327" t="n">
        <v>0</v>
      </c>
      <c r="R327" s="2" t="inlineStr"/>
    </row>
    <row r="328" ht="15" customHeight="1">
      <c r="A328" t="inlineStr">
        <is>
          <t>A 37296-2025</t>
        </is>
      </c>
      <c r="B328" s="1" t="n">
        <v>45876</v>
      </c>
      <c r="C328" s="1" t="n">
        <v>45968</v>
      </c>
      <c r="D328" t="inlineStr">
        <is>
          <t>UPPSALA LÄN</t>
        </is>
      </c>
      <c r="E328" t="inlineStr">
        <is>
          <t>ENKÖPING</t>
        </is>
      </c>
      <c r="G328" t="n">
        <v>9.5</v>
      </c>
      <c r="H328" t="n">
        <v>0</v>
      </c>
      <c r="I328" t="n">
        <v>0</v>
      </c>
      <c r="J328" t="n">
        <v>0</v>
      </c>
      <c r="K328" t="n">
        <v>0</v>
      </c>
      <c r="L328" t="n">
        <v>0</v>
      </c>
      <c r="M328" t="n">
        <v>0</v>
      </c>
      <c r="N328" t="n">
        <v>0</v>
      </c>
      <c r="O328" t="n">
        <v>0</v>
      </c>
      <c r="P328" t="n">
        <v>0</v>
      </c>
      <c r="Q328" t="n">
        <v>0</v>
      </c>
      <c r="R328" s="2" t="inlineStr"/>
    </row>
    <row r="329" ht="15" customHeight="1">
      <c r="A329" t="inlineStr">
        <is>
          <t>A 53595-2023</t>
        </is>
      </c>
      <c r="B329" s="1" t="n">
        <v>45223</v>
      </c>
      <c r="C329" s="1" t="n">
        <v>45968</v>
      </c>
      <c r="D329" t="inlineStr">
        <is>
          <t>UPPSALA LÄN</t>
        </is>
      </c>
      <c r="E329" t="inlineStr">
        <is>
          <t>ENKÖPING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37319-2025</t>
        </is>
      </c>
      <c r="B330" s="1" t="n">
        <v>45876</v>
      </c>
      <c r="C330" s="1" t="n">
        <v>45968</v>
      </c>
      <c r="D330" t="inlineStr">
        <is>
          <t>UPPSALA LÄN</t>
        </is>
      </c>
      <c r="E330" t="inlineStr">
        <is>
          <t>ENKÖPING</t>
        </is>
      </c>
      <c r="G330" t="n">
        <v>9.5</v>
      </c>
      <c r="H330" t="n">
        <v>0</v>
      </c>
      <c r="I330" t="n">
        <v>0</v>
      </c>
      <c r="J330" t="n">
        <v>0</v>
      </c>
      <c r="K330" t="n">
        <v>0</v>
      </c>
      <c r="L330" t="n">
        <v>0</v>
      </c>
      <c r="M330" t="n">
        <v>0</v>
      </c>
      <c r="N330" t="n">
        <v>0</v>
      </c>
      <c r="O330" t="n">
        <v>0</v>
      </c>
      <c r="P330" t="n">
        <v>0</v>
      </c>
      <c r="Q330" t="n">
        <v>0</v>
      </c>
      <c r="R330" s="2" t="inlineStr"/>
    </row>
    <row r="331" ht="15" customHeight="1">
      <c r="A331" t="inlineStr">
        <is>
          <t>A 40223-2024</t>
        </is>
      </c>
      <c r="B331" s="1" t="n">
        <v>45554</v>
      </c>
      <c r="C331" s="1" t="n">
        <v>45968</v>
      </c>
      <c r="D331" t="inlineStr">
        <is>
          <t>UPPSALA LÄN</t>
        </is>
      </c>
      <c r="E331" t="inlineStr">
        <is>
          <t>ENKÖPING</t>
        </is>
      </c>
      <c r="G331" t="n">
        <v>1.9</v>
      </c>
      <c r="H331" t="n">
        <v>0</v>
      </c>
      <c r="I331" t="n">
        <v>0</v>
      </c>
      <c r="J331" t="n">
        <v>0</v>
      </c>
      <c r="K331" t="n">
        <v>0</v>
      </c>
      <c r="L331" t="n">
        <v>0</v>
      </c>
      <c r="M331" t="n">
        <v>0</v>
      </c>
      <c r="N331" t="n">
        <v>0</v>
      </c>
      <c r="O331" t="n">
        <v>0</v>
      </c>
      <c r="P331" t="n">
        <v>0</v>
      </c>
      <c r="Q331" t="n">
        <v>0</v>
      </c>
      <c r="R331" s="2" t="inlineStr"/>
    </row>
    <row r="332" ht="15" customHeight="1">
      <c r="A332" t="inlineStr">
        <is>
          <t>A 57153-2021</t>
        </is>
      </c>
      <c r="B332" s="1" t="n">
        <v>44482</v>
      </c>
      <c r="C332" s="1" t="n">
        <v>45968</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58062-2020</t>
        </is>
      </c>
      <c r="B333" s="1" t="n">
        <v>44144</v>
      </c>
      <c r="C333" s="1" t="n">
        <v>45968</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37035-2023</t>
        </is>
      </c>
      <c r="B334" s="1" t="n">
        <v>45155</v>
      </c>
      <c r="C334" s="1" t="n">
        <v>45968</v>
      </c>
      <c r="D334" t="inlineStr">
        <is>
          <t>UPPSALA LÄN</t>
        </is>
      </c>
      <c r="E334" t="inlineStr">
        <is>
          <t>ENKÖPING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15893-2024</t>
        </is>
      </c>
      <c r="B335" s="1" t="n">
        <v>45405</v>
      </c>
      <c r="C335" s="1" t="n">
        <v>45968</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43697-2024</t>
        </is>
      </c>
      <c r="B336" s="1" t="n">
        <v>45569</v>
      </c>
      <c r="C336" s="1" t="n">
        <v>45968</v>
      </c>
      <c r="D336" t="inlineStr">
        <is>
          <t>UPPSALA LÄN</t>
        </is>
      </c>
      <c r="E336" t="inlineStr">
        <is>
          <t>ENKÖPING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49622-2024</t>
        </is>
      </c>
      <c r="B337" s="1" t="n">
        <v>45596.58372685185</v>
      </c>
      <c r="C337" s="1" t="n">
        <v>45968</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18028-2023</t>
        </is>
      </c>
      <c r="B338" s="1" t="n">
        <v>45040</v>
      </c>
      <c r="C338" s="1" t="n">
        <v>45968</v>
      </c>
      <c r="D338" t="inlineStr">
        <is>
          <t>UPPSALA LÄN</t>
        </is>
      </c>
      <c r="E338" t="inlineStr">
        <is>
          <t>ENKÖPING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52889-2022</t>
        </is>
      </c>
      <c r="B339" s="1" t="n">
        <v>44875</v>
      </c>
      <c r="C339" s="1" t="n">
        <v>45968</v>
      </c>
      <c r="D339" t="inlineStr">
        <is>
          <t>UPPSALA LÄN</t>
        </is>
      </c>
      <c r="E339" t="inlineStr">
        <is>
          <t>ENKÖPING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51030-2024</t>
        </is>
      </c>
      <c r="B340" s="1" t="n">
        <v>45603</v>
      </c>
      <c r="C340" s="1" t="n">
        <v>45968</v>
      </c>
      <c r="D340" t="inlineStr">
        <is>
          <t>UPPSALA LÄN</t>
        </is>
      </c>
      <c r="E340" t="inlineStr">
        <is>
          <t>ENKÖPING</t>
        </is>
      </c>
      <c r="G340" t="n">
        <v>2</v>
      </c>
      <c r="H340" t="n">
        <v>0</v>
      </c>
      <c r="I340" t="n">
        <v>0</v>
      </c>
      <c r="J340" t="n">
        <v>0</v>
      </c>
      <c r="K340" t="n">
        <v>0</v>
      </c>
      <c r="L340" t="n">
        <v>0</v>
      </c>
      <c r="M340" t="n">
        <v>0</v>
      </c>
      <c r="N340" t="n">
        <v>0</v>
      </c>
      <c r="O340" t="n">
        <v>0</v>
      </c>
      <c r="P340" t="n">
        <v>0</v>
      </c>
      <c r="Q340" t="n">
        <v>0</v>
      </c>
      <c r="R340" s="2" t="inlineStr"/>
    </row>
    <row r="341" ht="15" customHeight="1">
      <c r="A341" t="inlineStr">
        <is>
          <t>A 45283-2022</t>
        </is>
      </c>
      <c r="B341" s="1" t="n">
        <v>44844</v>
      </c>
      <c r="C341" s="1" t="n">
        <v>45968</v>
      </c>
      <c r="D341" t="inlineStr">
        <is>
          <t>UPPSALA LÄN</t>
        </is>
      </c>
      <c r="E341" t="inlineStr">
        <is>
          <t>ENKÖPING</t>
        </is>
      </c>
      <c r="G341" t="n">
        <v>5.9</v>
      </c>
      <c r="H341" t="n">
        <v>0</v>
      </c>
      <c r="I341" t="n">
        <v>0</v>
      </c>
      <c r="J341" t="n">
        <v>0</v>
      </c>
      <c r="K341" t="n">
        <v>0</v>
      </c>
      <c r="L341" t="n">
        <v>0</v>
      </c>
      <c r="M341" t="n">
        <v>0</v>
      </c>
      <c r="N341" t="n">
        <v>0</v>
      </c>
      <c r="O341" t="n">
        <v>0</v>
      </c>
      <c r="P341" t="n">
        <v>0</v>
      </c>
      <c r="Q341" t="n">
        <v>0</v>
      </c>
      <c r="R341" s="2" t="inlineStr"/>
    </row>
    <row r="342" ht="15" customHeight="1">
      <c r="A342" t="inlineStr">
        <is>
          <t>A 26292-2022</t>
        </is>
      </c>
      <c r="B342" s="1" t="n">
        <v>44735</v>
      </c>
      <c r="C342" s="1" t="n">
        <v>45968</v>
      </c>
      <c r="D342" t="inlineStr">
        <is>
          <t>UPPSALA LÄN</t>
        </is>
      </c>
      <c r="E342" t="inlineStr">
        <is>
          <t>ENKÖPING</t>
        </is>
      </c>
      <c r="F342" t="inlineStr">
        <is>
          <t>Kyrkan</t>
        </is>
      </c>
      <c r="G342" t="n">
        <v>4.6</v>
      </c>
      <c r="H342" t="n">
        <v>0</v>
      </c>
      <c r="I342" t="n">
        <v>0</v>
      </c>
      <c r="J342" t="n">
        <v>0</v>
      </c>
      <c r="K342" t="n">
        <v>0</v>
      </c>
      <c r="L342" t="n">
        <v>0</v>
      </c>
      <c r="M342" t="n">
        <v>0</v>
      </c>
      <c r="N342" t="n">
        <v>0</v>
      </c>
      <c r="O342" t="n">
        <v>0</v>
      </c>
      <c r="P342" t="n">
        <v>0</v>
      </c>
      <c r="Q342" t="n">
        <v>0</v>
      </c>
      <c r="R342" s="2" t="inlineStr"/>
    </row>
    <row r="343" ht="15" customHeight="1">
      <c r="A343" t="inlineStr">
        <is>
          <t>A 4044-2024</t>
        </is>
      </c>
      <c r="B343" s="1" t="n">
        <v>45323.45954861111</v>
      </c>
      <c r="C343" s="1" t="n">
        <v>45968</v>
      </c>
      <c r="D343" t="inlineStr">
        <is>
          <t>UPPSALA LÄN</t>
        </is>
      </c>
      <c r="E343" t="inlineStr">
        <is>
          <t>ENKÖPING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41826-2024</t>
        </is>
      </c>
      <c r="B344" s="1" t="n">
        <v>45561</v>
      </c>
      <c r="C344" s="1" t="n">
        <v>45968</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33349-2024</t>
        </is>
      </c>
      <c r="B345" s="1" t="n">
        <v>45519</v>
      </c>
      <c r="C345" s="1" t="n">
        <v>45968</v>
      </c>
      <c r="D345" t="inlineStr">
        <is>
          <t>UPPSALA LÄN</t>
        </is>
      </c>
      <c r="E345" t="inlineStr">
        <is>
          <t>ENKÖPING</t>
        </is>
      </c>
      <c r="G345" t="n">
        <v>3.6</v>
      </c>
      <c r="H345" t="n">
        <v>0</v>
      </c>
      <c r="I345" t="n">
        <v>0</v>
      </c>
      <c r="J345" t="n">
        <v>0</v>
      </c>
      <c r="K345" t="n">
        <v>0</v>
      </c>
      <c r="L345" t="n">
        <v>0</v>
      </c>
      <c r="M345" t="n">
        <v>0</v>
      </c>
      <c r="N345" t="n">
        <v>0</v>
      </c>
      <c r="O345" t="n">
        <v>0</v>
      </c>
      <c r="P345" t="n">
        <v>0</v>
      </c>
      <c r="Q345" t="n">
        <v>0</v>
      </c>
      <c r="R345" s="2" t="inlineStr"/>
    </row>
    <row r="346" ht="15" customHeight="1">
      <c r="A346" t="inlineStr">
        <is>
          <t>A 22912-2024</t>
        </is>
      </c>
      <c r="B346" s="1" t="n">
        <v>45448.73118055556</v>
      </c>
      <c r="C346" s="1" t="n">
        <v>45968</v>
      </c>
      <c r="D346" t="inlineStr">
        <is>
          <t>UPPSALA LÄN</t>
        </is>
      </c>
      <c r="E346" t="inlineStr">
        <is>
          <t>ENKÖPING</t>
        </is>
      </c>
      <c r="G346" t="n">
        <v>2.8</v>
      </c>
      <c r="H346" t="n">
        <v>0</v>
      </c>
      <c r="I346" t="n">
        <v>0</v>
      </c>
      <c r="J346" t="n">
        <v>0</v>
      </c>
      <c r="K346" t="n">
        <v>0</v>
      </c>
      <c r="L346" t="n">
        <v>0</v>
      </c>
      <c r="M346" t="n">
        <v>0</v>
      </c>
      <c r="N346" t="n">
        <v>0</v>
      </c>
      <c r="O346" t="n">
        <v>0</v>
      </c>
      <c r="P346" t="n">
        <v>0</v>
      </c>
      <c r="Q346" t="n">
        <v>0</v>
      </c>
      <c r="R346" s="2" t="inlineStr"/>
    </row>
    <row r="347" ht="15" customHeight="1">
      <c r="A347" t="inlineStr">
        <is>
          <t>A 21612-2023</t>
        </is>
      </c>
      <c r="B347" s="1" t="n">
        <v>45063</v>
      </c>
      <c r="C347" s="1" t="n">
        <v>45968</v>
      </c>
      <c r="D347" t="inlineStr">
        <is>
          <t>UPPSALA LÄN</t>
        </is>
      </c>
      <c r="E347" t="inlineStr">
        <is>
          <t>ENKÖPING</t>
        </is>
      </c>
      <c r="F347" t="inlineStr">
        <is>
          <t>Allmännings- och besparingsskogar</t>
        </is>
      </c>
      <c r="G347" t="n">
        <v>1</v>
      </c>
      <c r="H347" t="n">
        <v>0</v>
      </c>
      <c r="I347" t="n">
        <v>0</v>
      </c>
      <c r="J347" t="n">
        <v>0</v>
      </c>
      <c r="K347" t="n">
        <v>0</v>
      </c>
      <c r="L347" t="n">
        <v>0</v>
      </c>
      <c r="M347" t="n">
        <v>0</v>
      </c>
      <c r="N347" t="n">
        <v>0</v>
      </c>
      <c r="O347" t="n">
        <v>0</v>
      </c>
      <c r="P347" t="n">
        <v>0</v>
      </c>
      <c r="Q347" t="n">
        <v>0</v>
      </c>
      <c r="R347" s="2" t="inlineStr"/>
    </row>
    <row r="348" ht="15" customHeight="1">
      <c r="A348" t="inlineStr">
        <is>
          <t>A 46590-2025</t>
        </is>
      </c>
      <c r="B348" s="1" t="n">
        <v>45926.39542824074</v>
      </c>
      <c r="C348" s="1" t="n">
        <v>45968</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42589-2022</t>
        </is>
      </c>
      <c r="B349" s="1" t="n">
        <v>44831</v>
      </c>
      <c r="C349" s="1" t="n">
        <v>45968</v>
      </c>
      <c r="D349" t="inlineStr">
        <is>
          <t>UPPSALA LÄN</t>
        </is>
      </c>
      <c r="E349" t="inlineStr">
        <is>
          <t>ENKÖPING</t>
        </is>
      </c>
      <c r="G349" t="n">
        <v>20</v>
      </c>
      <c r="H349" t="n">
        <v>0</v>
      </c>
      <c r="I349" t="n">
        <v>0</v>
      </c>
      <c r="J349" t="n">
        <v>0</v>
      </c>
      <c r="K349" t="n">
        <v>0</v>
      </c>
      <c r="L349" t="n">
        <v>0</v>
      </c>
      <c r="M349" t="n">
        <v>0</v>
      </c>
      <c r="N349" t="n">
        <v>0</v>
      </c>
      <c r="O349" t="n">
        <v>0</v>
      </c>
      <c r="P349" t="n">
        <v>0</v>
      </c>
      <c r="Q349" t="n">
        <v>0</v>
      </c>
      <c r="R349" s="2" t="inlineStr"/>
    </row>
    <row r="350" ht="15" customHeight="1">
      <c r="A350" t="inlineStr">
        <is>
          <t>A 14243-2025</t>
        </is>
      </c>
      <c r="B350" s="1" t="n">
        <v>45740.61288194444</v>
      </c>
      <c r="C350" s="1" t="n">
        <v>45968</v>
      </c>
      <c r="D350" t="inlineStr">
        <is>
          <t>UPPSALA LÄN</t>
        </is>
      </c>
      <c r="E350" t="inlineStr">
        <is>
          <t>ENKÖPING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33343-2024</t>
        </is>
      </c>
      <c r="B351" s="1" t="n">
        <v>45519</v>
      </c>
      <c r="C351" s="1" t="n">
        <v>45968</v>
      </c>
      <c r="D351" t="inlineStr">
        <is>
          <t>UPPSALA LÄN</t>
        </is>
      </c>
      <c r="E351" t="inlineStr">
        <is>
          <t>ENKÖPING</t>
        </is>
      </c>
      <c r="G351" t="n">
        <v>2</v>
      </c>
      <c r="H351" t="n">
        <v>0</v>
      </c>
      <c r="I351" t="n">
        <v>0</v>
      </c>
      <c r="J351" t="n">
        <v>0</v>
      </c>
      <c r="K351" t="n">
        <v>0</v>
      </c>
      <c r="L351" t="n">
        <v>0</v>
      </c>
      <c r="M351" t="n">
        <v>0</v>
      </c>
      <c r="N351" t="n">
        <v>0</v>
      </c>
      <c r="O351" t="n">
        <v>0</v>
      </c>
      <c r="P351" t="n">
        <v>0</v>
      </c>
      <c r="Q351" t="n">
        <v>0</v>
      </c>
      <c r="R351" s="2" t="inlineStr"/>
    </row>
    <row r="352" ht="15" customHeight="1">
      <c r="A352" t="inlineStr">
        <is>
          <t>A 48843-2023</t>
        </is>
      </c>
      <c r="B352" s="1" t="n">
        <v>45209</v>
      </c>
      <c r="C352" s="1" t="n">
        <v>45968</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33670-2024</t>
        </is>
      </c>
      <c r="B353" s="1" t="n">
        <v>45520</v>
      </c>
      <c r="C353" s="1" t="n">
        <v>45968</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38941-2025</t>
        </is>
      </c>
      <c r="B354" s="1" t="n">
        <v>45887</v>
      </c>
      <c r="C354" s="1" t="n">
        <v>45968</v>
      </c>
      <c r="D354" t="inlineStr">
        <is>
          <t>UPPSALA LÄN</t>
        </is>
      </c>
      <c r="E354" t="inlineStr">
        <is>
          <t>ENKÖPING</t>
        </is>
      </c>
      <c r="F354" t="inlineStr">
        <is>
          <t>Övriga statliga verk och myndigheter</t>
        </is>
      </c>
      <c r="G354" t="n">
        <v>0.6</v>
      </c>
      <c r="H354" t="n">
        <v>0</v>
      </c>
      <c r="I354" t="n">
        <v>0</v>
      </c>
      <c r="J354" t="n">
        <v>0</v>
      </c>
      <c r="K354" t="n">
        <v>0</v>
      </c>
      <c r="L354" t="n">
        <v>0</v>
      </c>
      <c r="M354" t="n">
        <v>0</v>
      </c>
      <c r="N354" t="n">
        <v>0</v>
      </c>
      <c r="O354" t="n">
        <v>0</v>
      </c>
      <c r="P354" t="n">
        <v>0</v>
      </c>
      <c r="Q354" t="n">
        <v>0</v>
      </c>
      <c r="R354" s="2" t="inlineStr"/>
    </row>
    <row r="355" ht="15" customHeight="1">
      <c r="A355" t="inlineStr">
        <is>
          <t>A 840-2025</t>
        </is>
      </c>
      <c r="B355" s="1" t="n">
        <v>45665</v>
      </c>
      <c r="C355" s="1" t="n">
        <v>45968</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19376-2024</t>
        </is>
      </c>
      <c r="B356" s="1" t="n">
        <v>45429</v>
      </c>
      <c r="C356" s="1" t="n">
        <v>45968</v>
      </c>
      <c r="D356" t="inlineStr">
        <is>
          <t>UPPSALA LÄN</t>
        </is>
      </c>
      <c r="E356" t="inlineStr">
        <is>
          <t>ENKÖPING</t>
        </is>
      </c>
      <c r="G356" t="n">
        <v>1.6</v>
      </c>
      <c r="H356" t="n">
        <v>0</v>
      </c>
      <c r="I356" t="n">
        <v>0</v>
      </c>
      <c r="J356" t="n">
        <v>0</v>
      </c>
      <c r="K356" t="n">
        <v>0</v>
      </c>
      <c r="L356" t="n">
        <v>0</v>
      </c>
      <c r="M356" t="n">
        <v>0</v>
      </c>
      <c r="N356" t="n">
        <v>0</v>
      </c>
      <c r="O356" t="n">
        <v>0</v>
      </c>
      <c r="P356" t="n">
        <v>0</v>
      </c>
      <c r="Q356" t="n">
        <v>0</v>
      </c>
      <c r="R356" s="2" t="inlineStr"/>
    </row>
    <row r="357" ht="15" customHeight="1">
      <c r="A357" t="inlineStr">
        <is>
          <t>A 21017-2023</t>
        </is>
      </c>
      <c r="B357" s="1" t="n">
        <v>45061</v>
      </c>
      <c r="C357" s="1" t="n">
        <v>45968</v>
      </c>
      <c r="D357" t="inlineStr">
        <is>
          <t>UPPSALA LÄN</t>
        </is>
      </c>
      <c r="E357" t="inlineStr">
        <is>
          <t>ENKÖPING</t>
        </is>
      </c>
      <c r="G357" t="n">
        <v>4.8</v>
      </c>
      <c r="H357" t="n">
        <v>0</v>
      </c>
      <c r="I357" t="n">
        <v>0</v>
      </c>
      <c r="J357" t="n">
        <v>0</v>
      </c>
      <c r="K357" t="n">
        <v>0</v>
      </c>
      <c r="L357" t="n">
        <v>0</v>
      </c>
      <c r="M357" t="n">
        <v>0</v>
      </c>
      <c r="N357" t="n">
        <v>0</v>
      </c>
      <c r="O357" t="n">
        <v>0</v>
      </c>
      <c r="P357" t="n">
        <v>0</v>
      </c>
      <c r="Q357" t="n">
        <v>0</v>
      </c>
      <c r="R357" s="2" t="inlineStr"/>
    </row>
    <row r="358" ht="15" customHeight="1">
      <c r="A358" t="inlineStr">
        <is>
          <t>A 18302-2025</t>
        </is>
      </c>
      <c r="B358" s="1" t="n">
        <v>45762</v>
      </c>
      <c r="C358" s="1" t="n">
        <v>45968</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46940-2025</t>
        </is>
      </c>
      <c r="B359" s="1" t="n">
        <v>45929.45483796296</v>
      </c>
      <c r="C359" s="1" t="n">
        <v>45968</v>
      </c>
      <c r="D359" t="inlineStr">
        <is>
          <t>UPPSALA LÄN</t>
        </is>
      </c>
      <c r="E359" t="inlineStr">
        <is>
          <t>ENKÖPING</t>
        </is>
      </c>
      <c r="G359" t="n">
        <v>5.3</v>
      </c>
      <c r="H359" t="n">
        <v>0</v>
      </c>
      <c r="I359" t="n">
        <v>0</v>
      </c>
      <c r="J359" t="n">
        <v>0</v>
      </c>
      <c r="K359" t="n">
        <v>0</v>
      </c>
      <c r="L359" t="n">
        <v>0</v>
      </c>
      <c r="M359" t="n">
        <v>0</v>
      </c>
      <c r="N359" t="n">
        <v>0</v>
      </c>
      <c r="O359" t="n">
        <v>0</v>
      </c>
      <c r="P359" t="n">
        <v>0</v>
      </c>
      <c r="Q359" t="n">
        <v>0</v>
      </c>
      <c r="R359" s="2" t="inlineStr"/>
    </row>
    <row r="360" ht="15" customHeight="1">
      <c r="A360" t="inlineStr">
        <is>
          <t>A 28243-2023</t>
        </is>
      </c>
      <c r="B360" s="1" t="n">
        <v>45099.58885416666</v>
      </c>
      <c r="C360" s="1" t="n">
        <v>45968</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37115-2024</t>
        </is>
      </c>
      <c r="B361" s="1" t="n">
        <v>45539</v>
      </c>
      <c r="C361" s="1" t="n">
        <v>45968</v>
      </c>
      <c r="D361" t="inlineStr">
        <is>
          <t>UPPSALA LÄN</t>
        </is>
      </c>
      <c r="E361" t="inlineStr">
        <is>
          <t>ENKÖPING</t>
        </is>
      </c>
      <c r="G361" t="n">
        <v>1.8</v>
      </c>
      <c r="H361" t="n">
        <v>0</v>
      </c>
      <c r="I361" t="n">
        <v>0</v>
      </c>
      <c r="J361" t="n">
        <v>0</v>
      </c>
      <c r="K361" t="n">
        <v>0</v>
      </c>
      <c r="L361" t="n">
        <v>0</v>
      </c>
      <c r="M361" t="n">
        <v>0</v>
      </c>
      <c r="N361" t="n">
        <v>0</v>
      </c>
      <c r="O361" t="n">
        <v>0</v>
      </c>
      <c r="P361" t="n">
        <v>0</v>
      </c>
      <c r="Q361" t="n">
        <v>0</v>
      </c>
      <c r="R361" s="2" t="inlineStr"/>
    </row>
    <row r="362" ht="15" customHeight="1">
      <c r="A362" t="inlineStr">
        <is>
          <t>A 3235-2025</t>
        </is>
      </c>
      <c r="B362" s="1" t="n">
        <v>45679</v>
      </c>
      <c r="C362" s="1" t="n">
        <v>45968</v>
      </c>
      <c r="D362" t="inlineStr">
        <is>
          <t>UPPSALA LÄN</t>
        </is>
      </c>
      <c r="E362" t="inlineStr">
        <is>
          <t>ENKÖPING</t>
        </is>
      </c>
      <c r="G362" t="n">
        <v>0.6</v>
      </c>
      <c r="H362" t="n">
        <v>0</v>
      </c>
      <c r="I362" t="n">
        <v>0</v>
      </c>
      <c r="J362" t="n">
        <v>0</v>
      </c>
      <c r="K362" t="n">
        <v>0</v>
      </c>
      <c r="L362" t="n">
        <v>0</v>
      </c>
      <c r="M362" t="n">
        <v>0</v>
      </c>
      <c r="N362" t="n">
        <v>0</v>
      </c>
      <c r="O362" t="n">
        <v>0</v>
      </c>
      <c r="P362" t="n">
        <v>0</v>
      </c>
      <c r="Q362" t="n">
        <v>0</v>
      </c>
      <c r="R362" s="2" t="inlineStr"/>
    </row>
    <row r="363" ht="15" customHeight="1">
      <c r="A363" t="inlineStr">
        <is>
          <t>A 41828-2024</t>
        </is>
      </c>
      <c r="B363" s="1" t="n">
        <v>45561</v>
      </c>
      <c r="C363" s="1" t="n">
        <v>45968</v>
      </c>
      <c r="D363" t="inlineStr">
        <is>
          <t>UPPSALA LÄN</t>
        </is>
      </c>
      <c r="E363" t="inlineStr">
        <is>
          <t>ENKÖPING</t>
        </is>
      </c>
      <c r="G363" t="n">
        <v>2.5</v>
      </c>
      <c r="H363" t="n">
        <v>0</v>
      </c>
      <c r="I363" t="n">
        <v>0</v>
      </c>
      <c r="J363" t="n">
        <v>0</v>
      </c>
      <c r="K363" t="n">
        <v>0</v>
      </c>
      <c r="L363" t="n">
        <v>0</v>
      </c>
      <c r="M363" t="n">
        <v>0</v>
      </c>
      <c r="N363" t="n">
        <v>0</v>
      </c>
      <c r="O363" t="n">
        <v>0</v>
      </c>
      <c r="P363" t="n">
        <v>0</v>
      </c>
      <c r="Q363" t="n">
        <v>0</v>
      </c>
      <c r="R363" s="2" t="inlineStr"/>
    </row>
    <row r="364" ht="15" customHeight="1">
      <c r="A364" t="inlineStr">
        <is>
          <t>A 56176-2021</t>
        </is>
      </c>
      <c r="B364" s="1" t="n">
        <v>44477</v>
      </c>
      <c r="C364" s="1" t="n">
        <v>45968</v>
      </c>
      <c r="D364" t="inlineStr">
        <is>
          <t>UPPSALA LÄN</t>
        </is>
      </c>
      <c r="E364" t="inlineStr">
        <is>
          <t>ENKÖPING</t>
        </is>
      </c>
      <c r="G364" t="n">
        <v>2.9</v>
      </c>
      <c r="H364" t="n">
        <v>0</v>
      </c>
      <c r="I364" t="n">
        <v>0</v>
      </c>
      <c r="J364" t="n">
        <v>0</v>
      </c>
      <c r="K364" t="n">
        <v>0</v>
      </c>
      <c r="L364" t="n">
        <v>0</v>
      </c>
      <c r="M364" t="n">
        <v>0</v>
      </c>
      <c r="N364" t="n">
        <v>0</v>
      </c>
      <c r="O364" t="n">
        <v>0</v>
      </c>
      <c r="P364" t="n">
        <v>0</v>
      </c>
      <c r="Q364" t="n">
        <v>0</v>
      </c>
      <c r="R364" s="2" t="inlineStr"/>
    </row>
    <row r="365" ht="15" customHeight="1">
      <c r="A365" t="inlineStr">
        <is>
          <t>A 1536-2024</t>
        </is>
      </c>
      <c r="B365" s="1" t="n">
        <v>45306</v>
      </c>
      <c r="C365" s="1" t="n">
        <v>45968</v>
      </c>
      <c r="D365" t="inlineStr">
        <is>
          <t>UPPSALA LÄN</t>
        </is>
      </c>
      <c r="E365" t="inlineStr">
        <is>
          <t>ENKÖPING</t>
        </is>
      </c>
      <c r="F365" t="inlineStr">
        <is>
          <t>Kyrkan</t>
        </is>
      </c>
      <c r="G365" t="n">
        <v>5.6</v>
      </c>
      <c r="H365" t="n">
        <v>0</v>
      </c>
      <c r="I365" t="n">
        <v>0</v>
      </c>
      <c r="J365" t="n">
        <v>0</v>
      </c>
      <c r="K365" t="n">
        <v>0</v>
      </c>
      <c r="L365" t="n">
        <v>0</v>
      </c>
      <c r="M365" t="n">
        <v>0</v>
      </c>
      <c r="N365" t="n">
        <v>0</v>
      </c>
      <c r="O365" t="n">
        <v>0</v>
      </c>
      <c r="P365" t="n">
        <v>0</v>
      </c>
      <c r="Q365" t="n">
        <v>0</v>
      </c>
      <c r="R365" s="2" t="inlineStr"/>
    </row>
    <row r="366" ht="15" customHeight="1">
      <c r="A366" t="inlineStr">
        <is>
          <t>A 61711-2020</t>
        </is>
      </c>
      <c r="B366" s="1" t="n">
        <v>44158</v>
      </c>
      <c r="C366" s="1" t="n">
        <v>45968</v>
      </c>
      <c r="D366" t="inlineStr">
        <is>
          <t>UPPSALA LÄN</t>
        </is>
      </c>
      <c r="E366" t="inlineStr">
        <is>
          <t>ENKÖPING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12020-2024</t>
        </is>
      </c>
      <c r="B367" s="1" t="n">
        <v>45377</v>
      </c>
      <c r="C367" s="1" t="n">
        <v>45968</v>
      </c>
      <c r="D367" t="inlineStr">
        <is>
          <t>UPPSALA LÄN</t>
        </is>
      </c>
      <c r="E367" t="inlineStr">
        <is>
          <t>ENKÖPING</t>
        </is>
      </c>
      <c r="G367" t="n">
        <v>2</v>
      </c>
      <c r="H367" t="n">
        <v>0</v>
      </c>
      <c r="I367" t="n">
        <v>0</v>
      </c>
      <c r="J367" t="n">
        <v>0</v>
      </c>
      <c r="K367" t="n">
        <v>0</v>
      </c>
      <c r="L367" t="n">
        <v>0</v>
      </c>
      <c r="M367" t="n">
        <v>0</v>
      </c>
      <c r="N367" t="n">
        <v>0</v>
      </c>
      <c r="O367" t="n">
        <v>0</v>
      </c>
      <c r="P367" t="n">
        <v>0</v>
      </c>
      <c r="Q367" t="n">
        <v>0</v>
      </c>
      <c r="R367" s="2" t="inlineStr"/>
    </row>
    <row r="368" ht="15" customHeight="1">
      <c r="A368" t="inlineStr">
        <is>
          <t>A 42564-2024</t>
        </is>
      </c>
      <c r="B368" s="1" t="n">
        <v>45565.63358796296</v>
      </c>
      <c r="C368" s="1" t="n">
        <v>45968</v>
      </c>
      <c r="D368" t="inlineStr">
        <is>
          <t>UPPSALA LÄN</t>
        </is>
      </c>
      <c r="E368" t="inlineStr">
        <is>
          <t>ENKÖPING</t>
        </is>
      </c>
      <c r="G368" t="n">
        <v>1.7</v>
      </c>
      <c r="H368" t="n">
        <v>0</v>
      </c>
      <c r="I368" t="n">
        <v>0</v>
      </c>
      <c r="J368" t="n">
        <v>0</v>
      </c>
      <c r="K368" t="n">
        <v>0</v>
      </c>
      <c r="L368" t="n">
        <v>0</v>
      </c>
      <c r="M368" t="n">
        <v>0</v>
      </c>
      <c r="N368" t="n">
        <v>0</v>
      </c>
      <c r="O368" t="n">
        <v>0</v>
      </c>
      <c r="P368" t="n">
        <v>0</v>
      </c>
      <c r="Q368" t="n">
        <v>0</v>
      </c>
      <c r="R368" s="2" t="inlineStr"/>
    </row>
    <row r="369" ht="15" customHeight="1">
      <c r="A369" t="inlineStr">
        <is>
          <t>A 43492-2023</t>
        </is>
      </c>
      <c r="B369" s="1" t="n">
        <v>45181</v>
      </c>
      <c r="C369" s="1" t="n">
        <v>45968</v>
      </c>
      <c r="D369" t="inlineStr">
        <is>
          <t>UPPSALA LÄN</t>
        </is>
      </c>
      <c r="E369" t="inlineStr">
        <is>
          <t>ENKÖPING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10465-2022</t>
        </is>
      </c>
      <c r="B370" s="1" t="n">
        <v>44623</v>
      </c>
      <c r="C370" s="1" t="n">
        <v>45968</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14332-2024</t>
        </is>
      </c>
      <c r="B371" s="1" t="n">
        <v>45393</v>
      </c>
      <c r="C371" s="1" t="n">
        <v>45968</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45968</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61207-2023</t>
        </is>
      </c>
      <c r="B373" s="1" t="n">
        <v>45264.39444444444</v>
      </c>
      <c r="C373" s="1" t="n">
        <v>45968</v>
      </c>
      <c r="D373" t="inlineStr">
        <is>
          <t>UPPSALA LÄN</t>
        </is>
      </c>
      <c r="E373" t="inlineStr">
        <is>
          <t>ENKÖPING</t>
        </is>
      </c>
      <c r="G373" t="n">
        <v>10.8</v>
      </c>
      <c r="H373" t="n">
        <v>0</v>
      </c>
      <c r="I373" t="n">
        <v>0</v>
      </c>
      <c r="J373" t="n">
        <v>0</v>
      </c>
      <c r="K373" t="n">
        <v>0</v>
      </c>
      <c r="L373" t="n">
        <v>0</v>
      </c>
      <c r="M373" t="n">
        <v>0</v>
      </c>
      <c r="N373" t="n">
        <v>0</v>
      </c>
      <c r="O373" t="n">
        <v>0</v>
      </c>
      <c r="P373" t="n">
        <v>0</v>
      </c>
      <c r="Q373" t="n">
        <v>0</v>
      </c>
      <c r="R373" s="2" t="inlineStr"/>
    </row>
    <row r="374" ht="15" customHeight="1">
      <c r="A374" t="inlineStr">
        <is>
          <t>A 39439-2025</t>
        </is>
      </c>
      <c r="B374" s="1" t="n">
        <v>45889</v>
      </c>
      <c r="C374" s="1" t="n">
        <v>45968</v>
      </c>
      <c r="D374" t="inlineStr">
        <is>
          <t>UPPSALA LÄN</t>
        </is>
      </c>
      <c r="E374" t="inlineStr">
        <is>
          <t>ENKÖPING</t>
        </is>
      </c>
      <c r="G374" t="n">
        <v>0.4</v>
      </c>
      <c r="H374" t="n">
        <v>0</v>
      </c>
      <c r="I374" t="n">
        <v>0</v>
      </c>
      <c r="J374" t="n">
        <v>0</v>
      </c>
      <c r="K374" t="n">
        <v>0</v>
      </c>
      <c r="L374" t="n">
        <v>0</v>
      </c>
      <c r="M374" t="n">
        <v>0</v>
      </c>
      <c r="N374" t="n">
        <v>0</v>
      </c>
      <c r="O374" t="n">
        <v>0</v>
      </c>
      <c r="P374" t="n">
        <v>0</v>
      </c>
      <c r="Q374" t="n">
        <v>0</v>
      </c>
      <c r="R374" s="2" t="inlineStr"/>
    </row>
    <row r="375" ht="15" customHeight="1">
      <c r="A375" t="inlineStr">
        <is>
          <t>A 40812-2022</t>
        </is>
      </c>
      <c r="B375" s="1" t="n">
        <v>44824.68791666667</v>
      </c>
      <c r="C375" s="1" t="n">
        <v>45968</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6626-2023</t>
        </is>
      </c>
      <c r="B376" s="1" t="n">
        <v>44966.55946759259</v>
      </c>
      <c r="C376" s="1" t="n">
        <v>45968</v>
      </c>
      <c r="D376" t="inlineStr">
        <is>
          <t>UPPSALA LÄN</t>
        </is>
      </c>
      <c r="E376" t="inlineStr">
        <is>
          <t>ENKÖPING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58896-2020</t>
        </is>
      </c>
      <c r="B377" s="1" t="n">
        <v>44146</v>
      </c>
      <c r="C377" s="1" t="n">
        <v>45968</v>
      </c>
      <c r="D377" t="inlineStr">
        <is>
          <t>UPPSALA LÄN</t>
        </is>
      </c>
      <c r="E377" t="inlineStr">
        <is>
          <t>ENKÖPING</t>
        </is>
      </c>
      <c r="G377" t="n">
        <v>2.5</v>
      </c>
      <c r="H377" t="n">
        <v>0</v>
      </c>
      <c r="I377" t="n">
        <v>0</v>
      </c>
      <c r="J377" t="n">
        <v>0</v>
      </c>
      <c r="K377" t="n">
        <v>0</v>
      </c>
      <c r="L377" t="n">
        <v>0</v>
      </c>
      <c r="M377" t="n">
        <v>0</v>
      </c>
      <c r="N377" t="n">
        <v>0</v>
      </c>
      <c r="O377" t="n">
        <v>0</v>
      </c>
      <c r="P377" t="n">
        <v>0</v>
      </c>
      <c r="Q377" t="n">
        <v>0</v>
      </c>
      <c r="R377" s="2" t="inlineStr"/>
    </row>
    <row r="378" ht="15" customHeight="1">
      <c r="A378" t="inlineStr">
        <is>
          <t>A 43691-2024</t>
        </is>
      </c>
      <c r="B378" s="1" t="n">
        <v>45569</v>
      </c>
      <c r="C378" s="1" t="n">
        <v>45968</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45142-2023</t>
        </is>
      </c>
      <c r="B379" s="1" t="n">
        <v>45191.4702662037</v>
      </c>
      <c r="C379" s="1" t="n">
        <v>45968</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47441-2025</t>
        </is>
      </c>
      <c r="B380" s="1" t="n">
        <v>45930.63986111111</v>
      </c>
      <c r="C380" s="1" t="n">
        <v>45968</v>
      </c>
      <c r="D380" t="inlineStr">
        <is>
          <t>UPPSALA LÄN</t>
        </is>
      </c>
      <c r="E380" t="inlineStr">
        <is>
          <t>ENKÖPING</t>
        </is>
      </c>
      <c r="F380" t="inlineStr">
        <is>
          <t>Allmännings- och besparingsskogar</t>
        </is>
      </c>
      <c r="G380" t="n">
        <v>11.5</v>
      </c>
      <c r="H380" t="n">
        <v>0</v>
      </c>
      <c r="I380" t="n">
        <v>0</v>
      </c>
      <c r="J380" t="n">
        <v>0</v>
      </c>
      <c r="K380" t="n">
        <v>0</v>
      </c>
      <c r="L380" t="n">
        <v>0</v>
      </c>
      <c r="M380" t="n">
        <v>0</v>
      </c>
      <c r="N380" t="n">
        <v>0</v>
      </c>
      <c r="O380" t="n">
        <v>0</v>
      </c>
      <c r="P380" t="n">
        <v>0</v>
      </c>
      <c r="Q380" t="n">
        <v>0</v>
      </c>
      <c r="R380" s="2" t="inlineStr"/>
    </row>
    <row r="381" ht="15" customHeight="1">
      <c r="A381" t="inlineStr">
        <is>
          <t>A 11918-2025</t>
        </is>
      </c>
      <c r="B381" s="1" t="n">
        <v>45728.49331018519</v>
      </c>
      <c r="C381" s="1" t="n">
        <v>45968</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25333-2023</t>
        </is>
      </c>
      <c r="B382" s="1" t="n">
        <v>45083</v>
      </c>
      <c r="C382" s="1" t="n">
        <v>45968</v>
      </c>
      <c r="D382" t="inlineStr">
        <is>
          <t>UPPSALA LÄN</t>
        </is>
      </c>
      <c r="E382" t="inlineStr">
        <is>
          <t>ENKÖPING</t>
        </is>
      </c>
      <c r="G382" t="n">
        <v>2.7</v>
      </c>
      <c r="H382" t="n">
        <v>0</v>
      </c>
      <c r="I382" t="n">
        <v>0</v>
      </c>
      <c r="J382" t="n">
        <v>0</v>
      </c>
      <c r="K382" t="n">
        <v>0</v>
      </c>
      <c r="L382" t="n">
        <v>0</v>
      </c>
      <c r="M382" t="n">
        <v>0</v>
      </c>
      <c r="N382" t="n">
        <v>0</v>
      </c>
      <c r="O382" t="n">
        <v>0</v>
      </c>
      <c r="P382" t="n">
        <v>0</v>
      </c>
      <c r="Q382" t="n">
        <v>0</v>
      </c>
      <c r="R382" s="2" t="inlineStr"/>
    </row>
    <row r="383" ht="15" customHeight="1">
      <c r="A383" t="inlineStr">
        <is>
          <t>A 17165-2025</t>
        </is>
      </c>
      <c r="B383" s="1" t="n">
        <v>45756</v>
      </c>
      <c r="C383" s="1" t="n">
        <v>45968</v>
      </c>
      <c r="D383" t="inlineStr">
        <is>
          <t>UPPSALA LÄN</t>
        </is>
      </c>
      <c r="E383" t="inlineStr">
        <is>
          <t>ENKÖPING</t>
        </is>
      </c>
      <c r="G383" t="n">
        <v>0.9</v>
      </c>
      <c r="H383" t="n">
        <v>0</v>
      </c>
      <c r="I383" t="n">
        <v>0</v>
      </c>
      <c r="J383" t="n">
        <v>0</v>
      </c>
      <c r="K383" t="n">
        <v>0</v>
      </c>
      <c r="L383" t="n">
        <v>0</v>
      </c>
      <c r="M383" t="n">
        <v>0</v>
      </c>
      <c r="N383" t="n">
        <v>0</v>
      </c>
      <c r="O383" t="n">
        <v>0</v>
      </c>
      <c r="P383" t="n">
        <v>0</v>
      </c>
      <c r="Q383" t="n">
        <v>0</v>
      </c>
      <c r="R383" s="2" t="inlineStr"/>
    </row>
    <row r="384" ht="15" customHeight="1">
      <c r="A384" t="inlineStr">
        <is>
          <t>A 5013-2025</t>
        </is>
      </c>
      <c r="B384" s="1" t="n">
        <v>45691</v>
      </c>
      <c r="C384" s="1" t="n">
        <v>45968</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3300-2025</t>
        </is>
      </c>
      <c r="B385" s="1" t="n">
        <v>45679</v>
      </c>
      <c r="C385" s="1" t="n">
        <v>45968</v>
      </c>
      <c r="D385" t="inlineStr">
        <is>
          <t>UPPSALA LÄN</t>
        </is>
      </c>
      <c r="E385" t="inlineStr">
        <is>
          <t>ENKÖPING</t>
        </is>
      </c>
      <c r="G385" t="n">
        <v>8.9</v>
      </c>
      <c r="H385" t="n">
        <v>0</v>
      </c>
      <c r="I385" t="n">
        <v>0</v>
      </c>
      <c r="J385" t="n">
        <v>0</v>
      </c>
      <c r="K385" t="n">
        <v>0</v>
      </c>
      <c r="L385" t="n">
        <v>0</v>
      </c>
      <c r="M385" t="n">
        <v>0</v>
      </c>
      <c r="N385" t="n">
        <v>0</v>
      </c>
      <c r="O385" t="n">
        <v>0</v>
      </c>
      <c r="P385" t="n">
        <v>0</v>
      </c>
      <c r="Q385" t="n">
        <v>0</v>
      </c>
      <c r="R385" s="2" t="inlineStr"/>
    </row>
    <row r="386" ht="15" customHeight="1">
      <c r="A386" t="inlineStr">
        <is>
          <t>A 31242-2024</t>
        </is>
      </c>
      <c r="B386" s="1" t="n">
        <v>45503</v>
      </c>
      <c r="C386" s="1" t="n">
        <v>45968</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12754-2025</t>
        </is>
      </c>
      <c r="B387" s="1" t="n">
        <v>45733.56331018519</v>
      </c>
      <c r="C387" s="1" t="n">
        <v>45968</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37170-2021</t>
        </is>
      </c>
      <c r="B388" s="1" t="n">
        <v>44395</v>
      </c>
      <c r="C388" s="1" t="n">
        <v>45968</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58147-2024</t>
        </is>
      </c>
      <c r="B389" s="1" t="n">
        <v>45632.4334375</v>
      </c>
      <c r="C389" s="1" t="n">
        <v>45968</v>
      </c>
      <c r="D389" t="inlineStr">
        <is>
          <t>UPPSALA LÄN</t>
        </is>
      </c>
      <c r="E389" t="inlineStr">
        <is>
          <t>ENKÖPING</t>
        </is>
      </c>
      <c r="G389" t="n">
        <v>3</v>
      </c>
      <c r="H389" t="n">
        <v>0</v>
      </c>
      <c r="I389" t="n">
        <v>0</v>
      </c>
      <c r="J389" t="n">
        <v>0</v>
      </c>
      <c r="K389" t="n">
        <v>0</v>
      </c>
      <c r="L389" t="n">
        <v>0</v>
      </c>
      <c r="M389" t="n">
        <v>0</v>
      </c>
      <c r="N389" t="n">
        <v>0</v>
      </c>
      <c r="O389" t="n">
        <v>0</v>
      </c>
      <c r="P389" t="n">
        <v>0</v>
      </c>
      <c r="Q389" t="n">
        <v>0</v>
      </c>
      <c r="R389" s="2" t="inlineStr"/>
    </row>
    <row r="390" ht="15" customHeight="1">
      <c r="A390" t="inlineStr">
        <is>
          <t>A 16176-2025</t>
        </is>
      </c>
      <c r="B390" s="1" t="n">
        <v>45750</v>
      </c>
      <c r="C390" s="1" t="n">
        <v>45968</v>
      </c>
      <c r="D390" t="inlineStr">
        <is>
          <t>UPPSALA LÄN</t>
        </is>
      </c>
      <c r="E390" t="inlineStr">
        <is>
          <t>ENKÖPING</t>
        </is>
      </c>
      <c r="G390" t="n">
        <v>3.9</v>
      </c>
      <c r="H390" t="n">
        <v>0</v>
      </c>
      <c r="I390" t="n">
        <v>0</v>
      </c>
      <c r="J390" t="n">
        <v>0</v>
      </c>
      <c r="K390" t="n">
        <v>0</v>
      </c>
      <c r="L390" t="n">
        <v>0</v>
      </c>
      <c r="M390" t="n">
        <v>0</v>
      </c>
      <c r="N390" t="n">
        <v>0</v>
      </c>
      <c r="O390" t="n">
        <v>0</v>
      </c>
      <c r="P390" t="n">
        <v>0</v>
      </c>
      <c r="Q390" t="n">
        <v>0</v>
      </c>
      <c r="R390" s="2" t="inlineStr"/>
    </row>
    <row r="391" ht="15" customHeight="1">
      <c r="A391" t="inlineStr">
        <is>
          <t>A 3550-2023</t>
        </is>
      </c>
      <c r="B391" s="1" t="n">
        <v>44950</v>
      </c>
      <c r="C391" s="1" t="n">
        <v>45968</v>
      </c>
      <c r="D391" t="inlineStr">
        <is>
          <t>UPPSALA LÄN</t>
        </is>
      </c>
      <c r="E391" t="inlineStr">
        <is>
          <t>ENKÖPING</t>
        </is>
      </c>
      <c r="G391" t="n">
        <v>0.9</v>
      </c>
      <c r="H391" t="n">
        <v>0</v>
      </c>
      <c r="I391" t="n">
        <v>0</v>
      </c>
      <c r="J391" t="n">
        <v>0</v>
      </c>
      <c r="K391" t="n">
        <v>0</v>
      </c>
      <c r="L391" t="n">
        <v>0</v>
      </c>
      <c r="M391" t="n">
        <v>0</v>
      </c>
      <c r="N391" t="n">
        <v>0</v>
      </c>
      <c r="O391" t="n">
        <v>0</v>
      </c>
      <c r="P391" t="n">
        <v>0</v>
      </c>
      <c r="Q391" t="n">
        <v>0</v>
      </c>
      <c r="R391" s="2" t="inlineStr"/>
    </row>
    <row r="392" ht="15" customHeight="1">
      <c r="A392" t="inlineStr">
        <is>
          <t>A 56713-2024</t>
        </is>
      </c>
      <c r="B392" s="1" t="n">
        <v>45628</v>
      </c>
      <c r="C392" s="1" t="n">
        <v>45968</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19014-2025</t>
        </is>
      </c>
      <c r="B393" s="1" t="n">
        <v>45764.59631944444</v>
      </c>
      <c r="C393" s="1" t="n">
        <v>45968</v>
      </c>
      <c r="D393" t="inlineStr">
        <is>
          <t>UPPSALA LÄN</t>
        </is>
      </c>
      <c r="E393" t="inlineStr">
        <is>
          <t>ENKÖPING</t>
        </is>
      </c>
      <c r="G393" t="n">
        <v>0.2</v>
      </c>
      <c r="H393" t="n">
        <v>0</v>
      </c>
      <c r="I393" t="n">
        <v>0</v>
      </c>
      <c r="J393" t="n">
        <v>0</v>
      </c>
      <c r="K393" t="n">
        <v>0</v>
      </c>
      <c r="L393" t="n">
        <v>0</v>
      </c>
      <c r="M393" t="n">
        <v>0</v>
      </c>
      <c r="N393" t="n">
        <v>0</v>
      </c>
      <c r="O393" t="n">
        <v>0</v>
      </c>
      <c r="P393" t="n">
        <v>0</v>
      </c>
      <c r="Q393" t="n">
        <v>0</v>
      </c>
      <c r="R393" s="2" t="inlineStr"/>
    </row>
    <row r="394" ht="15" customHeight="1">
      <c r="A394" t="inlineStr">
        <is>
          <t>A 37870-2023</t>
        </is>
      </c>
      <c r="B394" s="1" t="n">
        <v>45160.41996527778</v>
      </c>
      <c r="C394" s="1" t="n">
        <v>45968</v>
      </c>
      <c r="D394" t="inlineStr">
        <is>
          <t>UPPSALA LÄN</t>
        </is>
      </c>
      <c r="E394" t="inlineStr">
        <is>
          <t>ENKÖPING</t>
        </is>
      </c>
      <c r="G394" t="n">
        <v>3.5</v>
      </c>
      <c r="H394" t="n">
        <v>0</v>
      </c>
      <c r="I394" t="n">
        <v>0</v>
      </c>
      <c r="J394" t="n">
        <v>0</v>
      </c>
      <c r="K394" t="n">
        <v>0</v>
      </c>
      <c r="L394" t="n">
        <v>0</v>
      </c>
      <c r="M394" t="n">
        <v>0</v>
      </c>
      <c r="N394" t="n">
        <v>0</v>
      </c>
      <c r="O394" t="n">
        <v>0</v>
      </c>
      <c r="P394" t="n">
        <v>0</v>
      </c>
      <c r="Q394" t="n">
        <v>0</v>
      </c>
      <c r="R394" s="2" t="inlineStr"/>
    </row>
    <row r="395" ht="15" customHeight="1">
      <c r="A395" t="inlineStr">
        <is>
          <t>A 49073-2025</t>
        </is>
      </c>
      <c r="B395" s="1" t="n">
        <v>45937.65512731481</v>
      </c>
      <c r="C395" s="1" t="n">
        <v>45968</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22094-2023</t>
        </is>
      </c>
      <c r="B396" s="1" t="n">
        <v>45069</v>
      </c>
      <c r="C396" s="1" t="n">
        <v>45968</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48424-2025</t>
        </is>
      </c>
      <c r="B397" s="1" t="n">
        <v>45934.69131944444</v>
      </c>
      <c r="C397" s="1" t="n">
        <v>45968</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48678-2025</t>
        </is>
      </c>
      <c r="B398" s="1" t="n">
        <v>45936.59168981481</v>
      </c>
      <c r="C398" s="1" t="n">
        <v>45968</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49068-2025</t>
        </is>
      </c>
      <c r="B399" s="1" t="n">
        <v>45937.64766203704</v>
      </c>
      <c r="C399" s="1" t="n">
        <v>45968</v>
      </c>
      <c r="D399" t="inlineStr">
        <is>
          <t>UPPSALA LÄN</t>
        </is>
      </c>
      <c r="E399" t="inlineStr">
        <is>
          <t>ENKÖPING</t>
        </is>
      </c>
      <c r="G399" t="n">
        <v>1.8</v>
      </c>
      <c r="H399" t="n">
        <v>0</v>
      </c>
      <c r="I399" t="n">
        <v>0</v>
      </c>
      <c r="J399" t="n">
        <v>0</v>
      </c>
      <c r="K399" t="n">
        <v>0</v>
      </c>
      <c r="L399" t="n">
        <v>0</v>
      </c>
      <c r="M399" t="n">
        <v>0</v>
      </c>
      <c r="N399" t="n">
        <v>0</v>
      </c>
      <c r="O399" t="n">
        <v>0</v>
      </c>
      <c r="P399" t="n">
        <v>0</v>
      </c>
      <c r="Q399" t="n">
        <v>0</v>
      </c>
      <c r="R399" s="2" t="inlineStr"/>
    </row>
    <row r="400" ht="15" customHeight="1">
      <c r="A400" t="inlineStr">
        <is>
          <t>A 15405-2025</t>
        </is>
      </c>
      <c r="B400" s="1" t="n">
        <v>45747.44670138889</v>
      </c>
      <c r="C400" s="1" t="n">
        <v>45968</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12958-2024</t>
        </is>
      </c>
      <c r="B401" s="1" t="n">
        <v>45385</v>
      </c>
      <c r="C401" s="1" t="n">
        <v>45968</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39746-2025</t>
        </is>
      </c>
      <c r="B402" s="1" t="n">
        <v>45891</v>
      </c>
      <c r="C402" s="1" t="n">
        <v>45968</v>
      </c>
      <c r="D402" t="inlineStr">
        <is>
          <t>UPPSALA LÄN</t>
        </is>
      </c>
      <c r="E402" t="inlineStr">
        <is>
          <t>ENKÖPING</t>
        </is>
      </c>
      <c r="G402" t="n">
        <v>7.4</v>
      </c>
      <c r="H402" t="n">
        <v>0</v>
      </c>
      <c r="I402" t="n">
        <v>0</v>
      </c>
      <c r="J402" t="n">
        <v>0</v>
      </c>
      <c r="K402" t="n">
        <v>0</v>
      </c>
      <c r="L402" t="n">
        <v>0</v>
      </c>
      <c r="M402" t="n">
        <v>0</v>
      </c>
      <c r="N402" t="n">
        <v>0</v>
      </c>
      <c r="O402" t="n">
        <v>0</v>
      </c>
      <c r="P402" t="n">
        <v>0</v>
      </c>
      <c r="Q402" t="n">
        <v>0</v>
      </c>
      <c r="R402" s="2" t="inlineStr"/>
    </row>
    <row r="403" ht="15" customHeight="1">
      <c r="A403" t="inlineStr">
        <is>
          <t>A 35079-2024</t>
        </is>
      </c>
      <c r="B403" s="1" t="n">
        <v>45527.66770833333</v>
      </c>
      <c r="C403" s="1" t="n">
        <v>45968</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1651-2024</t>
        </is>
      </c>
      <c r="B404" s="1" t="n">
        <v>45306.73770833333</v>
      </c>
      <c r="C404" s="1" t="n">
        <v>45968</v>
      </c>
      <c r="D404" t="inlineStr">
        <is>
          <t>UPPSALA LÄN</t>
        </is>
      </c>
      <c r="E404" t="inlineStr">
        <is>
          <t>ENKÖPING</t>
        </is>
      </c>
      <c r="G404" t="n">
        <v>10.2</v>
      </c>
      <c r="H404" t="n">
        <v>0</v>
      </c>
      <c r="I404" t="n">
        <v>0</v>
      </c>
      <c r="J404" t="n">
        <v>0</v>
      </c>
      <c r="K404" t="n">
        <v>0</v>
      </c>
      <c r="L404" t="n">
        <v>0</v>
      </c>
      <c r="M404" t="n">
        <v>0</v>
      </c>
      <c r="N404" t="n">
        <v>0</v>
      </c>
      <c r="O404" t="n">
        <v>0</v>
      </c>
      <c r="P404" t="n">
        <v>0</v>
      </c>
      <c r="Q404" t="n">
        <v>0</v>
      </c>
      <c r="R404" s="2" t="inlineStr"/>
    </row>
    <row r="405" ht="15" customHeight="1">
      <c r="A405" t="inlineStr">
        <is>
          <t>A 33581-2023</t>
        </is>
      </c>
      <c r="B405" s="1" t="n">
        <v>45131</v>
      </c>
      <c r="C405" s="1" t="n">
        <v>45968</v>
      </c>
      <c r="D405" t="inlineStr">
        <is>
          <t>UPPSALA LÄN</t>
        </is>
      </c>
      <c r="E405" t="inlineStr">
        <is>
          <t>ENKÖPING</t>
        </is>
      </c>
      <c r="G405" t="n">
        <v>3.5</v>
      </c>
      <c r="H405" t="n">
        <v>0</v>
      </c>
      <c r="I405" t="n">
        <v>0</v>
      </c>
      <c r="J405" t="n">
        <v>0</v>
      </c>
      <c r="K405" t="n">
        <v>0</v>
      </c>
      <c r="L405" t="n">
        <v>0</v>
      </c>
      <c r="M405" t="n">
        <v>0</v>
      </c>
      <c r="N405" t="n">
        <v>0</v>
      </c>
      <c r="O405" t="n">
        <v>0</v>
      </c>
      <c r="P405" t="n">
        <v>0</v>
      </c>
      <c r="Q405" t="n">
        <v>0</v>
      </c>
      <c r="R405" s="2" t="inlineStr"/>
    </row>
    <row r="406" ht="15" customHeight="1">
      <c r="A406" t="inlineStr">
        <is>
          <t>A 48423-2025</t>
        </is>
      </c>
      <c r="B406" s="1" t="n">
        <v>45934.68024305555</v>
      </c>
      <c r="C406" s="1" t="n">
        <v>45968</v>
      </c>
      <c r="D406" t="inlineStr">
        <is>
          <t>UPPSALA LÄN</t>
        </is>
      </c>
      <c r="E406" t="inlineStr">
        <is>
          <t>ENKÖPING</t>
        </is>
      </c>
      <c r="G406" t="n">
        <v>4.3</v>
      </c>
      <c r="H406" t="n">
        <v>0</v>
      </c>
      <c r="I406" t="n">
        <v>0</v>
      </c>
      <c r="J406" t="n">
        <v>0</v>
      </c>
      <c r="K406" t="n">
        <v>0</v>
      </c>
      <c r="L406" t="n">
        <v>0</v>
      </c>
      <c r="M406" t="n">
        <v>0</v>
      </c>
      <c r="N406" t="n">
        <v>0</v>
      </c>
      <c r="O406" t="n">
        <v>0</v>
      </c>
      <c r="P406" t="n">
        <v>0</v>
      </c>
      <c r="Q406" t="n">
        <v>0</v>
      </c>
      <c r="R406" s="2" t="inlineStr"/>
    </row>
    <row r="407" ht="15" customHeight="1">
      <c r="A407" t="inlineStr">
        <is>
          <t>A 51012-2024</t>
        </is>
      </c>
      <c r="B407" s="1" t="n">
        <v>45603.39686342593</v>
      </c>
      <c r="C407" s="1" t="n">
        <v>45968</v>
      </c>
      <c r="D407" t="inlineStr">
        <is>
          <t>UPPSALA LÄN</t>
        </is>
      </c>
      <c r="E407" t="inlineStr">
        <is>
          <t>ENKÖPING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56163-2021</t>
        </is>
      </c>
      <c r="B408" s="1" t="n">
        <v>44477</v>
      </c>
      <c r="C408" s="1" t="n">
        <v>45968</v>
      </c>
      <c r="D408" t="inlineStr">
        <is>
          <t>UPPSALA LÄN</t>
        </is>
      </c>
      <c r="E408" t="inlineStr">
        <is>
          <t>ENKÖPING</t>
        </is>
      </c>
      <c r="F408" t="inlineStr">
        <is>
          <t>Allmännings- och besparingsskogar</t>
        </is>
      </c>
      <c r="G408" t="n">
        <v>0.6</v>
      </c>
      <c r="H408" t="n">
        <v>0</v>
      </c>
      <c r="I408" t="n">
        <v>0</v>
      </c>
      <c r="J408" t="n">
        <v>0</v>
      </c>
      <c r="K408" t="n">
        <v>0</v>
      </c>
      <c r="L408" t="n">
        <v>0</v>
      </c>
      <c r="M408" t="n">
        <v>0</v>
      </c>
      <c r="N408" t="n">
        <v>0</v>
      </c>
      <c r="O408" t="n">
        <v>0</v>
      </c>
      <c r="P408" t="n">
        <v>0</v>
      </c>
      <c r="Q408" t="n">
        <v>0</v>
      </c>
      <c r="R408" s="2" t="inlineStr"/>
    </row>
    <row r="409" ht="15" customHeight="1">
      <c r="A409" t="inlineStr">
        <is>
          <t>A 47909-2024</t>
        </is>
      </c>
      <c r="B409" s="1" t="n">
        <v>45589.31866898148</v>
      </c>
      <c r="C409" s="1" t="n">
        <v>45968</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57940-2022</t>
        </is>
      </c>
      <c r="B410" s="1" t="n">
        <v>44900</v>
      </c>
      <c r="C410" s="1" t="n">
        <v>45968</v>
      </c>
      <c r="D410" t="inlineStr">
        <is>
          <t>UPPSALA LÄN</t>
        </is>
      </c>
      <c r="E410" t="inlineStr">
        <is>
          <t>ENKÖPING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51932-2022</t>
        </is>
      </c>
      <c r="B411" s="1" t="n">
        <v>44872</v>
      </c>
      <c r="C411" s="1" t="n">
        <v>45968</v>
      </c>
      <c r="D411" t="inlineStr">
        <is>
          <t>UPPSALA LÄN</t>
        </is>
      </c>
      <c r="E411" t="inlineStr">
        <is>
          <t>ENKÖPING</t>
        </is>
      </c>
      <c r="G411" t="n">
        <v>5.5</v>
      </c>
      <c r="H411" t="n">
        <v>0</v>
      </c>
      <c r="I411" t="n">
        <v>0</v>
      </c>
      <c r="J411" t="n">
        <v>0</v>
      </c>
      <c r="K411" t="n">
        <v>0</v>
      </c>
      <c r="L411" t="n">
        <v>0</v>
      </c>
      <c r="M411" t="n">
        <v>0</v>
      </c>
      <c r="N411" t="n">
        <v>0</v>
      </c>
      <c r="O411" t="n">
        <v>0</v>
      </c>
      <c r="P411" t="n">
        <v>0</v>
      </c>
      <c r="Q411" t="n">
        <v>0</v>
      </c>
      <c r="R411" s="2" t="inlineStr"/>
    </row>
    <row r="412" ht="15" customHeight="1">
      <c r="A412" t="inlineStr">
        <is>
          <t>A 63310-2021</t>
        </is>
      </c>
      <c r="B412" s="1" t="n">
        <v>44508</v>
      </c>
      <c r="C412" s="1" t="n">
        <v>45968</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20440-2025</t>
        </is>
      </c>
      <c r="B413" s="1" t="n">
        <v>45775</v>
      </c>
      <c r="C413" s="1" t="n">
        <v>45968</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45968</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5188-2022</t>
        </is>
      </c>
      <c r="B415" s="1" t="n">
        <v>44594.4471412037</v>
      </c>
      <c r="C415" s="1" t="n">
        <v>45968</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59497-2022</t>
        </is>
      </c>
      <c r="B416" s="1" t="n">
        <v>44907.48258101852</v>
      </c>
      <c r="C416" s="1" t="n">
        <v>45968</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9041-2023</t>
        </is>
      </c>
      <c r="B417" s="1" t="n">
        <v>44979</v>
      </c>
      <c r="C417" s="1" t="n">
        <v>45968</v>
      </c>
      <c r="D417" t="inlineStr">
        <is>
          <t>UPPSALA LÄN</t>
        </is>
      </c>
      <c r="E417" t="inlineStr">
        <is>
          <t>ENKÖPING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31622-2022</t>
        </is>
      </c>
      <c r="B418" s="1" t="n">
        <v>44775</v>
      </c>
      <c r="C418" s="1" t="n">
        <v>45968</v>
      </c>
      <c r="D418" t="inlineStr">
        <is>
          <t>UPPSALA LÄN</t>
        </is>
      </c>
      <c r="E418" t="inlineStr">
        <is>
          <t>ENKÖPING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41616-2025</t>
        </is>
      </c>
      <c r="B419" s="1" t="n">
        <v>45901.69684027778</v>
      </c>
      <c r="C419" s="1" t="n">
        <v>45968</v>
      </c>
      <c r="D419" t="inlineStr">
        <is>
          <t>UPPSALA LÄN</t>
        </is>
      </c>
      <c r="E419" t="inlineStr">
        <is>
          <t>ENKÖPING</t>
        </is>
      </c>
      <c r="F419" t="inlineStr">
        <is>
          <t>Allmännings- och besparingsskogar</t>
        </is>
      </c>
      <c r="G419" t="n">
        <v>17.3</v>
      </c>
      <c r="H419" t="n">
        <v>0</v>
      </c>
      <c r="I419" t="n">
        <v>0</v>
      </c>
      <c r="J419" t="n">
        <v>0</v>
      </c>
      <c r="K419" t="n">
        <v>0</v>
      </c>
      <c r="L419" t="n">
        <v>0</v>
      </c>
      <c r="M419" t="n">
        <v>0</v>
      </c>
      <c r="N419" t="n">
        <v>0</v>
      </c>
      <c r="O419" t="n">
        <v>0</v>
      </c>
      <c r="P419" t="n">
        <v>0</v>
      </c>
      <c r="Q419" t="n">
        <v>0</v>
      </c>
      <c r="R419" s="2" t="inlineStr"/>
    </row>
    <row r="420" ht="15" customHeight="1">
      <c r="A420" t="inlineStr">
        <is>
          <t>A 12755-2025</t>
        </is>
      </c>
      <c r="B420" s="1" t="n">
        <v>45733.56541666666</v>
      </c>
      <c r="C420" s="1" t="n">
        <v>45968</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59027-2024</t>
        </is>
      </c>
      <c r="B421" s="1" t="n">
        <v>45636.68755787037</v>
      </c>
      <c r="C421" s="1" t="n">
        <v>45968</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12102-2024</t>
        </is>
      </c>
      <c r="B422" s="1" t="n">
        <v>45377</v>
      </c>
      <c r="C422" s="1" t="n">
        <v>45968</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53587-2024</t>
        </is>
      </c>
      <c r="B423" s="1" t="n">
        <v>45614.66953703704</v>
      </c>
      <c r="C423" s="1" t="n">
        <v>45968</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59602-2024</t>
        </is>
      </c>
      <c r="B424" s="1" t="n">
        <v>45638</v>
      </c>
      <c r="C424" s="1" t="n">
        <v>45968</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41637-2025</t>
        </is>
      </c>
      <c r="B425" s="1" t="n">
        <v>45901</v>
      </c>
      <c r="C425" s="1" t="n">
        <v>45968</v>
      </c>
      <c r="D425" t="inlineStr">
        <is>
          <t>UPPSALA LÄN</t>
        </is>
      </c>
      <c r="E425" t="inlineStr">
        <is>
          <t>ENKÖPING</t>
        </is>
      </c>
      <c r="F425" t="inlineStr">
        <is>
          <t>Allmännings- och besparingsskogar</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11503-2024</t>
        </is>
      </c>
      <c r="B426" s="1" t="n">
        <v>45372.68020833333</v>
      </c>
      <c r="C426" s="1" t="n">
        <v>45968</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41618-2025</t>
        </is>
      </c>
      <c r="B427" s="1" t="n">
        <v>45901.70085648148</v>
      </c>
      <c r="C427" s="1" t="n">
        <v>45968</v>
      </c>
      <c r="D427" t="inlineStr">
        <is>
          <t>UPPSALA LÄN</t>
        </is>
      </c>
      <c r="E427" t="inlineStr">
        <is>
          <t>ENKÖPING</t>
        </is>
      </c>
      <c r="F427" t="inlineStr">
        <is>
          <t>Allmännings- och besparingsskogar</t>
        </is>
      </c>
      <c r="G427" t="n">
        <v>5.3</v>
      </c>
      <c r="H427" t="n">
        <v>0</v>
      </c>
      <c r="I427" t="n">
        <v>0</v>
      </c>
      <c r="J427" t="n">
        <v>0</v>
      </c>
      <c r="K427" t="n">
        <v>0</v>
      </c>
      <c r="L427" t="n">
        <v>0</v>
      </c>
      <c r="M427" t="n">
        <v>0</v>
      </c>
      <c r="N427" t="n">
        <v>0</v>
      </c>
      <c r="O427" t="n">
        <v>0</v>
      </c>
      <c r="P427" t="n">
        <v>0</v>
      </c>
      <c r="Q427" t="n">
        <v>0</v>
      </c>
      <c r="R427" s="2" t="inlineStr"/>
    </row>
    <row r="428" ht="15" customHeight="1">
      <c r="A428" t="inlineStr">
        <is>
          <t>A 44131-2023</t>
        </is>
      </c>
      <c r="B428" s="1" t="n">
        <v>45188</v>
      </c>
      <c r="C428" s="1" t="n">
        <v>45968</v>
      </c>
      <c r="D428" t="inlineStr">
        <is>
          <t>UPPSALA LÄN</t>
        </is>
      </c>
      <c r="E428" t="inlineStr">
        <is>
          <t>ENKÖPING</t>
        </is>
      </c>
      <c r="G428" t="n">
        <v>0.3</v>
      </c>
      <c r="H428" t="n">
        <v>0</v>
      </c>
      <c r="I428" t="n">
        <v>0</v>
      </c>
      <c r="J428" t="n">
        <v>0</v>
      </c>
      <c r="K428" t="n">
        <v>0</v>
      </c>
      <c r="L428" t="n">
        <v>0</v>
      </c>
      <c r="M428" t="n">
        <v>0</v>
      </c>
      <c r="N428" t="n">
        <v>0</v>
      </c>
      <c r="O428" t="n">
        <v>0</v>
      </c>
      <c r="P428" t="n">
        <v>0</v>
      </c>
      <c r="Q428" t="n">
        <v>0</v>
      </c>
      <c r="R428" s="2" t="inlineStr"/>
    </row>
    <row r="429" ht="15" customHeight="1">
      <c r="A429" t="inlineStr">
        <is>
          <t>A 60533-2021</t>
        </is>
      </c>
      <c r="B429" s="1" t="n">
        <v>44496</v>
      </c>
      <c r="C429" s="1" t="n">
        <v>45968</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39115-2024</t>
        </is>
      </c>
      <c r="B430" s="1" t="n">
        <v>45548</v>
      </c>
      <c r="C430" s="1" t="n">
        <v>45968</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25334-2023</t>
        </is>
      </c>
      <c r="B431" s="1" t="n">
        <v>45083</v>
      </c>
      <c r="C431" s="1" t="n">
        <v>45968</v>
      </c>
      <c r="D431" t="inlineStr">
        <is>
          <t>UPPSALA LÄN</t>
        </is>
      </c>
      <c r="E431" t="inlineStr">
        <is>
          <t>ENKÖPING</t>
        </is>
      </c>
      <c r="G431" t="n">
        <v>0.2</v>
      </c>
      <c r="H431" t="n">
        <v>0</v>
      </c>
      <c r="I431" t="n">
        <v>0</v>
      </c>
      <c r="J431" t="n">
        <v>0</v>
      </c>
      <c r="K431" t="n">
        <v>0</v>
      </c>
      <c r="L431" t="n">
        <v>0</v>
      </c>
      <c r="M431" t="n">
        <v>0</v>
      </c>
      <c r="N431" t="n">
        <v>0</v>
      </c>
      <c r="O431" t="n">
        <v>0</v>
      </c>
      <c r="P431" t="n">
        <v>0</v>
      </c>
      <c r="Q431" t="n">
        <v>0</v>
      </c>
      <c r="R431" s="2" t="inlineStr"/>
    </row>
    <row r="432" ht="15" customHeight="1">
      <c r="A432" t="inlineStr">
        <is>
          <t>A 56837-2024</t>
        </is>
      </c>
      <c r="B432" s="1" t="n">
        <v>45628</v>
      </c>
      <c r="C432" s="1" t="n">
        <v>45968</v>
      </c>
      <c r="D432" t="inlineStr">
        <is>
          <t>UPPSALA LÄN</t>
        </is>
      </c>
      <c r="E432" t="inlineStr">
        <is>
          <t>ENKÖPING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35052-2024</t>
        </is>
      </c>
      <c r="B433" s="1" t="n">
        <v>45527.6516087963</v>
      </c>
      <c r="C433" s="1" t="n">
        <v>45968</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51008-2024</t>
        </is>
      </c>
      <c r="B434" s="1" t="n">
        <v>45603.39041666667</v>
      </c>
      <c r="C434" s="1" t="n">
        <v>45968</v>
      </c>
      <c r="D434" t="inlineStr">
        <is>
          <t>UPPSALA LÄN</t>
        </is>
      </c>
      <c r="E434" t="inlineStr">
        <is>
          <t>ENKÖPING</t>
        </is>
      </c>
      <c r="G434" t="n">
        <v>2.4</v>
      </c>
      <c r="H434" t="n">
        <v>0</v>
      </c>
      <c r="I434" t="n">
        <v>0</v>
      </c>
      <c r="J434" t="n">
        <v>0</v>
      </c>
      <c r="K434" t="n">
        <v>0</v>
      </c>
      <c r="L434" t="n">
        <v>0</v>
      </c>
      <c r="M434" t="n">
        <v>0</v>
      </c>
      <c r="N434" t="n">
        <v>0</v>
      </c>
      <c r="O434" t="n">
        <v>0</v>
      </c>
      <c r="P434" t="n">
        <v>0</v>
      </c>
      <c r="Q434" t="n">
        <v>0</v>
      </c>
      <c r="R434" s="2" t="inlineStr"/>
    </row>
    <row r="435" ht="15" customHeight="1">
      <c r="A435" t="inlineStr">
        <is>
          <t>A 42029-2025</t>
        </is>
      </c>
      <c r="B435" s="1" t="n">
        <v>45903</v>
      </c>
      <c r="C435" s="1" t="n">
        <v>45968</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41765-2025</t>
        </is>
      </c>
      <c r="B436" s="1" t="n">
        <v>45902</v>
      </c>
      <c r="C436" s="1" t="n">
        <v>45968</v>
      </c>
      <c r="D436" t="inlineStr">
        <is>
          <t>UPPSALA LÄN</t>
        </is>
      </c>
      <c r="E436" t="inlineStr">
        <is>
          <t>ENKÖPING</t>
        </is>
      </c>
      <c r="G436" t="n">
        <v>2.7</v>
      </c>
      <c r="H436" t="n">
        <v>0</v>
      </c>
      <c r="I436" t="n">
        <v>0</v>
      </c>
      <c r="J436" t="n">
        <v>0</v>
      </c>
      <c r="K436" t="n">
        <v>0</v>
      </c>
      <c r="L436" t="n">
        <v>0</v>
      </c>
      <c r="M436" t="n">
        <v>0</v>
      </c>
      <c r="N436" t="n">
        <v>0</v>
      </c>
      <c r="O436" t="n">
        <v>0</v>
      </c>
      <c r="P436" t="n">
        <v>0</v>
      </c>
      <c r="Q436" t="n">
        <v>0</v>
      </c>
      <c r="R436" s="2" t="inlineStr"/>
    </row>
    <row r="437" ht="15" customHeight="1">
      <c r="A437" t="inlineStr">
        <is>
          <t>A 18821-2023</t>
        </is>
      </c>
      <c r="B437" s="1" t="n">
        <v>45044.3782175926</v>
      </c>
      <c r="C437" s="1" t="n">
        <v>45968</v>
      </c>
      <c r="D437" t="inlineStr">
        <is>
          <t>UPPSALA LÄN</t>
        </is>
      </c>
      <c r="E437" t="inlineStr">
        <is>
          <t>ENKÖPING</t>
        </is>
      </c>
      <c r="G437" t="n">
        <v>6</v>
      </c>
      <c r="H437" t="n">
        <v>0</v>
      </c>
      <c r="I437" t="n">
        <v>0</v>
      </c>
      <c r="J437" t="n">
        <v>0</v>
      </c>
      <c r="K437" t="n">
        <v>0</v>
      </c>
      <c r="L437" t="n">
        <v>0</v>
      </c>
      <c r="M437" t="n">
        <v>0</v>
      </c>
      <c r="N437" t="n">
        <v>0</v>
      </c>
      <c r="O437" t="n">
        <v>0</v>
      </c>
      <c r="P437" t="n">
        <v>0</v>
      </c>
      <c r="Q437" t="n">
        <v>0</v>
      </c>
      <c r="R437" s="2" t="inlineStr"/>
    </row>
    <row r="438" ht="15" customHeight="1">
      <c r="A438" t="inlineStr">
        <is>
          <t>A 47516-2022</t>
        </is>
      </c>
      <c r="B438" s="1" t="n">
        <v>44853.68895833333</v>
      </c>
      <c r="C438" s="1" t="n">
        <v>45968</v>
      </c>
      <c r="D438" t="inlineStr">
        <is>
          <t>UPPSALA LÄN</t>
        </is>
      </c>
      <c r="E438" t="inlineStr">
        <is>
          <t>ENKÖPING</t>
        </is>
      </c>
      <c r="G438" t="n">
        <v>1</v>
      </c>
      <c r="H438" t="n">
        <v>0</v>
      </c>
      <c r="I438" t="n">
        <v>0</v>
      </c>
      <c r="J438" t="n">
        <v>0</v>
      </c>
      <c r="K438" t="n">
        <v>0</v>
      </c>
      <c r="L438" t="n">
        <v>0</v>
      </c>
      <c r="M438" t="n">
        <v>0</v>
      </c>
      <c r="N438" t="n">
        <v>0</v>
      </c>
      <c r="O438" t="n">
        <v>0</v>
      </c>
      <c r="P438" t="n">
        <v>0</v>
      </c>
      <c r="Q438" t="n">
        <v>0</v>
      </c>
      <c r="R438" s="2" t="inlineStr"/>
    </row>
    <row r="439" ht="15" customHeight="1">
      <c r="A439" t="inlineStr">
        <is>
          <t>A 51133-2025</t>
        </is>
      </c>
      <c r="B439" s="1" t="n">
        <v>45947.55598379629</v>
      </c>
      <c r="C439" s="1" t="n">
        <v>45968</v>
      </c>
      <c r="D439" t="inlineStr">
        <is>
          <t>UPPSALA LÄN</t>
        </is>
      </c>
      <c r="E439" t="inlineStr">
        <is>
          <t>ENKÖPING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57335-2024</t>
        </is>
      </c>
      <c r="B440" s="1" t="n">
        <v>45629.63302083333</v>
      </c>
      <c r="C440" s="1" t="n">
        <v>45968</v>
      </c>
      <c r="D440" t="inlineStr">
        <is>
          <t>UPPSALA LÄN</t>
        </is>
      </c>
      <c r="E440" t="inlineStr">
        <is>
          <t>ENKÖPING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51162-2025</t>
        </is>
      </c>
      <c r="B441" s="1" t="n">
        <v>45947.58820601852</v>
      </c>
      <c r="C441" s="1" t="n">
        <v>45968</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22156-2025</t>
        </is>
      </c>
      <c r="B442" s="1" t="n">
        <v>45785.57512731481</v>
      </c>
      <c r="C442" s="1" t="n">
        <v>45968</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41764-2025</t>
        </is>
      </c>
      <c r="B443" s="1" t="n">
        <v>45902</v>
      </c>
      <c r="C443" s="1" t="n">
        <v>45968</v>
      </c>
      <c r="D443" t="inlineStr">
        <is>
          <t>UPPSALA LÄN</t>
        </is>
      </c>
      <c r="E443" t="inlineStr">
        <is>
          <t>ENKÖPING</t>
        </is>
      </c>
      <c r="G443" t="n">
        <v>2.7</v>
      </c>
      <c r="H443" t="n">
        <v>0</v>
      </c>
      <c r="I443" t="n">
        <v>0</v>
      </c>
      <c r="J443" t="n">
        <v>0</v>
      </c>
      <c r="K443" t="n">
        <v>0</v>
      </c>
      <c r="L443" t="n">
        <v>0</v>
      </c>
      <c r="M443" t="n">
        <v>0</v>
      </c>
      <c r="N443" t="n">
        <v>0</v>
      </c>
      <c r="O443" t="n">
        <v>0</v>
      </c>
      <c r="P443" t="n">
        <v>0</v>
      </c>
      <c r="Q443" t="n">
        <v>0</v>
      </c>
      <c r="R443" s="2" t="inlineStr"/>
    </row>
    <row r="444" ht="15" customHeight="1">
      <c r="A444" t="inlineStr">
        <is>
          <t>A 22150-2025</t>
        </is>
      </c>
      <c r="B444" s="1" t="n">
        <v>45785.56398148148</v>
      </c>
      <c r="C444" s="1" t="n">
        <v>45968</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57835-2024</t>
        </is>
      </c>
      <c r="B445" s="1" t="n">
        <v>45631.39947916667</v>
      </c>
      <c r="C445" s="1" t="n">
        <v>45968</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53208-2023</t>
        </is>
      </c>
      <c r="B446" s="1" t="n">
        <v>45226</v>
      </c>
      <c r="C446" s="1" t="n">
        <v>45968</v>
      </c>
      <c r="D446" t="inlineStr">
        <is>
          <t>UPPSALA LÄN</t>
        </is>
      </c>
      <c r="E446" t="inlineStr">
        <is>
          <t>ENKÖPING</t>
        </is>
      </c>
      <c r="G446" t="n">
        <v>4.3</v>
      </c>
      <c r="H446" t="n">
        <v>0</v>
      </c>
      <c r="I446" t="n">
        <v>0</v>
      </c>
      <c r="J446" t="n">
        <v>0</v>
      </c>
      <c r="K446" t="n">
        <v>0</v>
      </c>
      <c r="L446" t="n">
        <v>0</v>
      </c>
      <c r="M446" t="n">
        <v>0</v>
      </c>
      <c r="N446" t="n">
        <v>0</v>
      </c>
      <c r="O446" t="n">
        <v>0</v>
      </c>
      <c r="P446" t="n">
        <v>0</v>
      </c>
      <c r="Q446" t="n">
        <v>0</v>
      </c>
      <c r="R446" s="2" t="inlineStr"/>
    </row>
    <row r="447" ht="15" customHeight="1">
      <c r="A447" t="inlineStr">
        <is>
          <t>A 30087-2024</t>
        </is>
      </c>
      <c r="B447" s="1" t="n">
        <v>45489.39447916667</v>
      </c>
      <c r="C447" s="1" t="n">
        <v>45968</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54776-2024</t>
        </is>
      </c>
      <c r="B448" s="1" t="n">
        <v>45618</v>
      </c>
      <c r="C448" s="1" t="n">
        <v>45968</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22729-2025</t>
        </is>
      </c>
      <c r="B449" s="1" t="n">
        <v>45789.57790509259</v>
      </c>
      <c r="C449" s="1" t="n">
        <v>45968</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19013-2025</t>
        </is>
      </c>
      <c r="B450" s="1" t="n">
        <v>45764.59533564815</v>
      </c>
      <c r="C450" s="1" t="n">
        <v>45968</v>
      </c>
      <c r="D450" t="inlineStr">
        <is>
          <t>UPPSALA LÄN</t>
        </is>
      </c>
      <c r="E450" t="inlineStr">
        <is>
          <t>ENKÖPING</t>
        </is>
      </c>
      <c r="G450" t="n">
        <v>1</v>
      </c>
      <c r="H450" t="n">
        <v>0</v>
      </c>
      <c r="I450" t="n">
        <v>0</v>
      </c>
      <c r="J450" t="n">
        <v>0</v>
      </c>
      <c r="K450" t="n">
        <v>0</v>
      </c>
      <c r="L450" t="n">
        <v>0</v>
      </c>
      <c r="M450" t="n">
        <v>0</v>
      </c>
      <c r="N450" t="n">
        <v>0</v>
      </c>
      <c r="O450" t="n">
        <v>0</v>
      </c>
      <c r="P450" t="n">
        <v>0</v>
      </c>
      <c r="Q450" t="n">
        <v>0</v>
      </c>
      <c r="R450" s="2" t="inlineStr"/>
    </row>
    <row r="451" ht="15" customHeight="1">
      <c r="A451" t="inlineStr">
        <is>
          <t>A 14518-2025</t>
        </is>
      </c>
      <c r="B451" s="1" t="n">
        <v>45741</v>
      </c>
      <c r="C451" s="1" t="n">
        <v>45968</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22677-2025</t>
        </is>
      </c>
      <c r="B452" s="1" t="n">
        <v>45789.49515046296</v>
      </c>
      <c r="C452" s="1" t="n">
        <v>45968</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51042-2024</t>
        </is>
      </c>
      <c r="B453" s="1" t="n">
        <v>45603.4342824074</v>
      </c>
      <c r="C453" s="1" t="n">
        <v>45968</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51037-2024</t>
        </is>
      </c>
      <c r="B454" s="1" t="n">
        <v>45603.43005787037</v>
      </c>
      <c r="C454" s="1" t="n">
        <v>45968</v>
      </c>
      <c r="D454" t="inlineStr">
        <is>
          <t>UPPSALA LÄN</t>
        </is>
      </c>
      <c r="E454" t="inlineStr">
        <is>
          <t>ENKÖPING</t>
        </is>
      </c>
      <c r="G454" t="n">
        <v>5.7</v>
      </c>
      <c r="H454" t="n">
        <v>0</v>
      </c>
      <c r="I454" t="n">
        <v>0</v>
      </c>
      <c r="J454" t="n">
        <v>0</v>
      </c>
      <c r="K454" t="n">
        <v>0</v>
      </c>
      <c r="L454" t="n">
        <v>0</v>
      </c>
      <c r="M454" t="n">
        <v>0</v>
      </c>
      <c r="N454" t="n">
        <v>0</v>
      </c>
      <c r="O454" t="n">
        <v>0</v>
      </c>
      <c r="P454" t="n">
        <v>0</v>
      </c>
      <c r="Q454" t="n">
        <v>0</v>
      </c>
      <c r="R454" s="2" t="inlineStr"/>
    </row>
    <row r="455" ht="15" customHeight="1">
      <c r="A455" t="inlineStr">
        <is>
          <t>A 22679-2025</t>
        </is>
      </c>
      <c r="B455" s="1" t="n">
        <v>45789.49747685185</v>
      </c>
      <c r="C455" s="1" t="n">
        <v>45968</v>
      </c>
      <c r="D455" t="inlineStr">
        <is>
          <t>UPPSALA LÄN</t>
        </is>
      </c>
      <c r="E455" t="inlineStr">
        <is>
          <t>ENKÖPING</t>
        </is>
      </c>
      <c r="G455" t="n">
        <v>1.1</v>
      </c>
      <c r="H455" t="n">
        <v>0</v>
      </c>
      <c r="I455" t="n">
        <v>0</v>
      </c>
      <c r="J455" t="n">
        <v>0</v>
      </c>
      <c r="K455" t="n">
        <v>0</v>
      </c>
      <c r="L455" t="n">
        <v>0</v>
      </c>
      <c r="M455" t="n">
        <v>0</v>
      </c>
      <c r="N455" t="n">
        <v>0</v>
      </c>
      <c r="O455" t="n">
        <v>0</v>
      </c>
      <c r="P455" t="n">
        <v>0</v>
      </c>
      <c r="Q455" t="n">
        <v>0</v>
      </c>
      <c r="R455" s="2" t="inlineStr"/>
    </row>
    <row r="456" ht="15" customHeight="1">
      <c r="A456" t="inlineStr">
        <is>
          <t>A 42756-2025</t>
        </is>
      </c>
      <c r="B456" s="1" t="n">
        <v>45908</v>
      </c>
      <c r="C456" s="1" t="n">
        <v>45968</v>
      </c>
      <c r="D456" t="inlineStr">
        <is>
          <t>UPPSALA LÄN</t>
        </is>
      </c>
      <c r="E456" t="inlineStr">
        <is>
          <t>ENKÖPING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22770-2025</t>
        </is>
      </c>
      <c r="B457" s="1" t="n">
        <v>45789.63454861111</v>
      </c>
      <c r="C457" s="1" t="n">
        <v>45968</v>
      </c>
      <c r="D457" t="inlineStr">
        <is>
          <t>UPPSALA LÄN</t>
        </is>
      </c>
      <c r="E457" t="inlineStr">
        <is>
          <t>ENKÖPING</t>
        </is>
      </c>
      <c r="G457" t="n">
        <v>4.5</v>
      </c>
      <c r="H457" t="n">
        <v>0</v>
      </c>
      <c r="I457" t="n">
        <v>0</v>
      </c>
      <c r="J457" t="n">
        <v>0</v>
      </c>
      <c r="K457" t="n">
        <v>0</v>
      </c>
      <c r="L457" t="n">
        <v>0</v>
      </c>
      <c r="M457" t="n">
        <v>0</v>
      </c>
      <c r="N457" t="n">
        <v>0</v>
      </c>
      <c r="O457" t="n">
        <v>0</v>
      </c>
      <c r="P457" t="n">
        <v>0</v>
      </c>
      <c r="Q457" t="n">
        <v>0</v>
      </c>
      <c r="R457" s="2" t="inlineStr"/>
    </row>
    <row r="458" ht="15" customHeight="1">
      <c r="A458" t="inlineStr">
        <is>
          <t>A 22800-2025</t>
        </is>
      </c>
      <c r="B458" s="1" t="n">
        <v>45789.6669212963</v>
      </c>
      <c r="C458" s="1" t="n">
        <v>45968</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6981-2025</t>
        </is>
      </c>
      <c r="B459" s="1" t="n">
        <v>45701</v>
      </c>
      <c r="C459" s="1" t="n">
        <v>45968</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22786-2025</t>
        </is>
      </c>
      <c r="B460" s="1" t="n">
        <v>45789.64643518518</v>
      </c>
      <c r="C460" s="1" t="n">
        <v>45968</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68123-2021</t>
        </is>
      </c>
      <c r="B461" s="1" t="n">
        <v>44526.39126157408</v>
      </c>
      <c r="C461" s="1" t="n">
        <v>45968</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22680-2025</t>
        </is>
      </c>
      <c r="B462" s="1" t="n">
        <v>45789.5005787037</v>
      </c>
      <c r="C462" s="1" t="n">
        <v>45968</v>
      </c>
      <c r="D462" t="inlineStr">
        <is>
          <t>UPPSALA LÄN</t>
        </is>
      </c>
      <c r="E462" t="inlineStr">
        <is>
          <t>ENKÖPING</t>
        </is>
      </c>
      <c r="G462" t="n">
        <v>1</v>
      </c>
      <c r="H462" t="n">
        <v>0</v>
      </c>
      <c r="I462" t="n">
        <v>0</v>
      </c>
      <c r="J462" t="n">
        <v>0</v>
      </c>
      <c r="K462" t="n">
        <v>0</v>
      </c>
      <c r="L462" t="n">
        <v>0</v>
      </c>
      <c r="M462" t="n">
        <v>0</v>
      </c>
      <c r="N462" t="n">
        <v>0</v>
      </c>
      <c r="O462" t="n">
        <v>0</v>
      </c>
      <c r="P462" t="n">
        <v>0</v>
      </c>
      <c r="Q462" t="n">
        <v>0</v>
      </c>
      <c r="R462" s="2" t="inlineStr"/>
    </row>
    <row r="463" ht="15" customHeight="1">
      <c r="A463" t="inlineStr">
        <is>
          <t>A 22802-2025</t>
        </is>
      </c>
      <c r="B463" s="1" t="n">
        <v>45789.6686574074</v>
      </c>
      <c r="C463" s="1" t="n">
        <v>45968</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22632-2025</t>
        </is>
      </c>
      <c r="B464" s="1" t="n">
        <v>45789.44361111111</v>
      </c>
      <c r="C464" s="1" t="n">
        <v>45968</v>
      </c>
      <c r="D464" t="inlineStr">
        <is>
          <t>UPPSALA LÄN</t>
        </is>
      </c>
      <c r="E464" t="inlineStr">
        <is>
          <t>ENKÖPING</t>
        </is>
      </c>
      <c r="G464" t="n">
        <v>2.1</v>
      </c>
      <c r="H464" t="n">
        <v>0</v>
      </c>
      <c r="I464" t="n">
        <v>0</v>
      </c>
      <c r="J464" t="n">
        <v>0</v>
      </c>
      <c r="K464" t="n">
        <v>0</v>
      </c>
      <c r="L464" t="n">
        <v>0</v>
      </c>
      <c r="M464" t="n">
        <v>0</v>
      </c>
      <c r="N464" t="n">
        <v>0</v>
      </c>
      <c r="O464" t="n">
        <v>0</v>
      </c>
      <c r="P464" t="n">
        <v>0</v>
      </c>
      <c r="Q464" t="n">
        <v>0</v>
      </c>
      <c r="R464" s="2" t="inlineStr"/>
    </row>
    <row r="465" ht="15" customHeight="1">
      <c r="A465" t="inlineStr">
        <is>
          <t>A 2164-2023</t>
        </is>
      </c>
      <c r="B465" s="1" t="n">
        <v>44941</v>
      </c>
      <c r="C465" s="1" t="n">
        <v>45968</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43103-2025</t>
        </is>
      </c>
      <c r="B466" s="1" t="n">
        <v>45909</v>
      </c>
      <c r="C466" s="1" t="n">
        <v>45968</v>
      </c>
      <c r="D466" t="inlineStr">
        <is>
          <t>UPPSALA LÄN</t>
        </is>
      </c>
      <c r="E466" t="inlineStr">
        <is>
          <t>ENKÖPING</t>
        </is>
      </c>
      <c r="G466" t="n">
        <v>2.3</v>
      </c>
      <c r="H466" t="n">
        <v>0</v>
      </c>
      <c r="I466" t="n">
        <v>0</v>
      </c>
      <c r="J466" t="n">
        <v>0</v>
      </c>
      <c r="K466" t="n">
        <v>0</v>
      </c>
      <c r="L466" t="n">
        <v>0</v>
      </c>
      <c r="M466" t="n">
        <v>0</v>
      </c>
      <c r="N466" t="n">
        <v>0</v>
      </c>
      <c r="O466" t="n">
        <v>0</v>
      </c>
      <c r="P466" t="n">
        <v>0</v>
      </c>
      <c r="Q466" t="n">
        <v>0</v>
      </c>
      <c r="R466" s="2" t="inlineStr"/>
    </row>
    <row r="467" ht="15" customHeight="1">
      <c r="A467" t="inlineStr">
        <is>
          <t>A 22793-2025</t>
        </is>
      </c>
      <c r="B467" s="1" t="n">
        <v>45789.65693287037</v>
      </c>
      <c r="C467" s="1" t="n">
        <v>45968</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22795-2025</t>
        </is>
      </c>
      <c r="B468" s="1" t="n">
        <v>45789.65944444444</v>
      </c>
      <c r="C468" s="1" t="n">
        <v>45968</v>
      </c>
      <c r="D468" t="inlineStr">
        <is>
          <t>UPPSALA LÄN</t>
        </is>
      </c>
      <c r="E468" t="inlineStr">
        <is>
          <t>ENKÖPING</t>
        </is>
      </c>
      <c r="G468" t="n">
        <v>10.4</v>
      </c>
      <c r="H468" t="n">
        <v>0</v>
      </c>
      <c r="I468" t="n">
        <v>0</v>
      </c>
      <c r="J468" t="n">
        <v>0</v>
      </c>
      <c r="K468" t="n">
        <v>0</v>
      </c>
      <c r="L468" t="n">
        <v>0</v>
      </c>
      <c r="M468" t="n">
        <v>0</v>
      </c>
      <c r="N468" t="n">
        <v>0</v>
      </c>
      <c r="O468" t="n">
        <v>0</v>
      </c>
      <c r="P468" t="n">
        <v>0</v>
      </c>
      <c r="Q468" t="n">
        <v>0</v>
      </c>
      <c r="R468" s="2" t="inlineStr"/>
    </row>
    <row r="469" ht="15" customHeight="1">
      <c r="A469" t="inlineStr">
        <is>
          <t>A 22725-2025</t>
        </is>
      </c>
      <c r="B469" s="1" t="n">
        <v>45789.57371527778</v>
      </c>
      <c r="C469" s="1" t="n">
        <v>45968</v>
      </c>
      <c r="D469" t="inlineStr">
        <is>
          <t>UPPSALA LÄN</t>
        </is>
      </c>
      <c r="E469" t="inlineStr">
        <is>
          <t>ENKÖPING</t>
        </is>
      </c>
      <c r="G469" t="n">
        <v>4.8</v>
      </c>
      <c r="H469" t="n">
        <v>0</v>
      </c>
      <c r="I469" t="n">
        <v>0</v>
      </c>
      <c r="J469" t="n">
        <v>0</v>
      </c>
      <c r="K469" t="n">
        <v>0</v>
      </c>
      <c r="L469" t="n">
        <v>0</v>
      </c>
      <c r="M469" t="n">
        <v>0</v>
      </c>
      <c r="N469" t="n">
        <v>0</v>
      </c>
      <c r="O469" t="n">
        <v>0</v>
      </c>
      <c r="P469" t="n">
        <v>0</v>
      </c>
      <c r="Q469" t="n">
        <v>0</v>
      </c>
      <c r="R469" s="2" t="inlineStr"/>
    </row>
    <row r="470" ht="15" customHeight="1">
      <c r="A470" t="inlineStr">
        <is>
          <t>A 61952-2021</t>
        </is>
      </c>
      <c r="B470" s="1" t="n">
        <v>44502</v>
      </c>
      <c r="C470" s="1" t="n">
        <v>45968</v>
      </c>
      <c r="D470" t="inlineStr">
        <is>
          <t>UPPSALA LÄN</t>
        </is>
      </c>
      <c r="E470" t="inlineStr">
        <is>
          <t>ENKÖPING</t>
        </is>
      </c>
      <c r="G470" t="n">
        <v>2.3</v>
      </c>
      <c r="H470" t="n">
        <v>0</v>
      </c>
      <c r="I470" t="n">
        <v>0</v>
      </c>
      <c r="J470" t="n">
        <v>0</v>
      </c>
      <c r="K470" t="n">
        <v>0</v>
      </c>
      <c r="L470" t="n">
        <v>0</v>
      </c>
      <c r="M470" t="n">
        <v>0</v>
      </c>
      <c r="N470" t="n">
        <v>0</v>
      </c>
      <c r="O470" t="n">
        <v>0</v>
      </c>
      <c r="P470" t="n">
        <v>0</v>
      </c>
      <c r="Q470" t="n">
        <v>0</v>
      </c>
      <c r="R470" s="2" t="inlineStr"/>
    </row>
    <row r="471" ht="15" customHeight="1">
      <c r="A471" t="inlineStr">
        <is>
          <t>A 14083-2025</t>
        </is>
      </c>
      <c r="B471" s="1" t="n">
        <v>45740</v>
      </c>
      <c r="C471" s="1" t="n">
        <v>45968</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69879-2021</t>
        </is>
      </c>
      <c r="B472" s="1" t="n">
        <v>44532</v>
      </c>
      <c r="C472" s="1" t="n">
        <v>45968</v>
      </c>
      <c r="D472" t="inlineStr">
        <is>
          <t>UPPSALA LÄN</t>
        </is>
      </c>
      <c r="E472" t="inlineStr">
        <is>
          <t>ENKÖPING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51027-2024</t>
        </is>
      </c>
      <c r="B473" s="1" t="n">
        <v>45603</v>
      </c>
      <c r="C473" s="1" t="n">
        <v>45968</v>
      </c>
      <c r="D473" t="inlineStr">
        <is>
          <t>UPPSALA LÄN</t>
        </is>
      </c>
      <c r="E473" t="inlineStr">
        <is>
          <t>ENKÖPING</t>
        </is>
      </c>
      <c r="G473" t="n">
        <v>3.5</v>
      </c>
      <c r="H473" t="n">
        <v>0</v>
      </c>
      <c r="I473" t="n">
        <v>0</v>
      </c>
      <c r="J473" t="n">
        <v>0</v>
      </c>
      <c r="K473" t="n">
        <v>0</v>
      </c>
      <c r="L473" t="n">
        <v>0</v>
      </c>
      <c r="M473" t="n">
        <v>0</v>
      </c>
      <c r="N473" t="n">
        <v>0</v>
      </c>
      <c r="O473" t="n">
        <v>0</v>
      </c>
      <c r="P473" t="n">
        <v>0</v>
      </c>
      <c r="Q473" t="n">
        <v>0</v>
      </c>
      <c r="R473" s="2" t="inlineStr"/>
    </row>
    <row r="474" ht="15" customHeight="1">
      <c r="A474" t="inlineStr">
        <is>
          <t>A 15757-2023</t>
        </is>
      </c>
      <c r="B474" s="1" t="n">
        <v>45021</v>
      </c>
      <c r="C474" s="1" t="n">
        <v>45968</v>
      </c>
      <c r="D474" t="inlineStr">
        <is>
          <t>UPPSALA LÄN</t>
        </is>
      </c>
      <c r="E474" t="inlineStr">
        <is>
          <t>ENKÖPING</t>
        </is>
      </c>
      <c r="G474" t="n">
        <v>3</v>
      </c>
      <c r="H474" t="n">
        <v>0</v>
      </c>
      <c r="I474" t="n">
        <v>0</v>
      </c>
      <c r="J474" t="n">
        <v>0</v>
      </c>
      <c r="K474" t="n">
        <v>0</v>
      </c>
      <c r="L474" t="n">
        <v>0</v>
      </c>
      <c r="M474" t="n">
        <v>0</v>
      </c>
      <c r="N474" t="n">
        <v>0</v>
      </c>
      <c r="O474" t="n">
        <v>0</v>
      </c>
      <c r="P474" t="n">
        <v>0</v>
      </c>
      <c r="Q474" t="n">
        <v>0</v>
      </c>
      <c r="R474" s="2" t="inlineStr"/>
    </row>
    <row r="475" ht="15" customHeight="1">
      <c r="A475" t="inlineStr">
        <is>
          <t>A 2161-2023</t>
        </is>
      </c>
      <c r="B475" s="1" t="n">
        <v>44941</v>
      </c>
      <c r="C475" s="1" t="n">
        <v>45968</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2165-2023</t>
        </is>
      </c>
      <c r="B476" s="1" t="n">
        <v>44941</v>
      </c>
      <c r="C476" s="1" t="n">
        <v>45968</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43999-2025</t>
        </is>
      </c>
      <c r="B477" s="1" t="n">
        <v>45915.45158564814</v>
      </c>
      <c r="C477" s="1" t="n">
        <v>45968</v>
      </c>
      <c r="D477" t="inlineStr">
        <is>
          <t>UPPSALA LÄN</t>
        </is>
      </c>
      <c r="E477" t="inlineStr">
        <is>
          <t>ENKÖPING</t>
        </is>
      </c>
      <c r="G477" t="n">
        <v>4.1</v>
      </c>
      <c r="H477" t="n">
        <v>0</v>
      </c>
      <c r="I477" t="n">
        <v>0</v>
      </c>
      <c r="J477" t="n">
        <v>0</v>
      </c>
      <c r="K477" t="n">
        <v>0</v>
      </c>
      <c r="L477" t="n">
        <v>0</v>
      </c>
      <c r="M477" t="n">
        <v>0</v>
      </c>
      <c r="N477" t="n">
        <v>0</v>
      </c>
      <c r="O477" t="n">
        <v>0</v>
      </c>
      <c r="P477" t="n">
        <v>0</v>
      </c>
      <c r="Q477" t="n">
        <v>0</v>
      </c>
      <c r="R477" s="2" t="inlineStr"/>
    </row>
    <row r="478" ht="15" customHeight="1">
      <c r="A478" t="inlineStr">
        <is>
          <t>A 20112-2024</t>
        </is>
      </c>
      <c r="B478" s="1" t="n">
        <v>45434</v>
      </c>
      <c r="C478" s="1" t="n">
        <v>45968</v>
      </c>
      <c r="D478" t="inlineStr">
        <is>
          <t>UPPSALA LÄN</t>
        </is>
      </c>
      <c r="E478" t="inlineStr">
        <is>
          <t>ENKÖPING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2162-2023</t>
        </is>
      </c>
      <c r="B479" s="1" t="n">
        <v>44941</v>
      </c>
      <c r="C479" s="1" t="n">
        <v>45968</v>
      </c>
      <c r="D479" t="inlineStr">
        <is>
          <t>UPPSALA LÄN</t>
        </is>
      </c>
      <c r="E479" t="inlineStr">
        <is>
          <t>ENKÖPING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44419-2025</t>
        </is>
      </c>
      <c r="B480" s="1" t="n">
        <v>45916.54671296296</v>
      </c>
      <c r="C480" s="1" t="n">
        <v>45968</v>
      </c>
      <c r="D480" t="inlineStr">
        <is>
          <t>UPPSALA LÄN</t>
        </is>
      </c>
      <c r="E480" t="inlineStr">
        <is>
          <t>ENKÖPING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32081-2024</t>
        </is>
      </c>
      <c r="B481" s="1" t="n">
        <v>45511.34605324074</v>
      </c>
      <c r="C481" s="1" t="n">
        <v>45968</v>
      </c>
      <c r="D481" t="inlineStr">
        <is>
          <t>UPPSALA LÄN</t>
        </is>
      </c>
      <c r="E481" t="inlineStr">
        <is>
          <t>ENKÖPING</t>
        </is>
      </c>
      <c r="G481" t="n">
        <v>5.4</v>
      </c>
      <c r="H481" t="n">
        <v>0</v>
      </c>
      <c r="I481" t="n">
        <v>0</v>
      </c>
      <c r="J481" t="n">
        <v>0</v>
      </c>
      <c r="K481" t="n">
        <v>0</v>
      </c>
      <c r="L481" t="n">
        <v>0</v>
      </c>
      <c r="M481" t="n">
        <v>0</v>
      </c>
      <c r="N481" t="n">
        <v>0</v>
      </c>
      <c r="O481" t="n">
        <v>0</v>
      </c>
      <c r="P481" t="n">
        <v>0</v>
      </c>
      <c r="Q481" t="n">
        <v>0</v>
      </c>
      <c r="R481" s="2" t="inlineStr"/>
    </row>
    <row r="482" ht="15" customHeight="1">
      <c r="A482" t="inlineStr">
        <is>
          <t>A 32477-2025</t>
        </is>
      </c>
      <c r="B482" s="1" t="n">
        <v>45838.43098379629</v>
      </c>
      <c r="C482" s="1" t="n">
        <v>45968</v>
      </c>
      <c r="D482" t="inlineStr">
        <is>
          <t>UPPSALA LÄN</t>
        </is>
      </c>
      <c r="E482" t="inlineStr">
        <is>
          <t>ENKÖPING</t>
        </is>
      </c>
      <c r="G482" t="n">
        <v>2.7</v>
      </c>
      <c r="H482" t="n">
        <v>0</v>
      </c>
      <c r="I482" t="n">
        <v>0</v>
      </c>
      <c r="J482" t="n">
        <v>0</v>
      </c>
      <c r="K482" t="n">
        <v>0</v>
      </c>
      <c r="L482" t="n">
        <v>0</v>
      </c>
      <c r="M482" t="n">
        <v>0</v>
      </c>
      <c r="N482" t="n">
        <v>0</v>
      </c>
      <c r="O482" t="n">
        <v>0</v>
      </c>
      <c r="P482" t="n">
        <v>0</v>
      </c>
      <c r="Q482" t="n">
        <v>0</v>
      </c>
      <c r="R482" s="2" t="inlineStr"/>
    </row>
    <row r="483" ht="15" customHeight="1">
      <c r="A483" t="inlineStr">
        <is>
          <t>A 54263-2025</t>
        </is>
      </c>
      <c r="B483" s="1" t="n">
        <v>45964.66271990741</v>
      </c>
      <c r="C483" s="1" t="n">
        <v>45968</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45755-2025</t>
        </is>
      </c>
      <c r="B484" s="1" t="n">
        <v>45923.50240740741</v>
      </c>
      <c r="C484" s="1" t="n">
        <v>45968</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54541-2025</t>
        </is>
      </c>
      <c r="B485" s="1" t="n">
        <v>45965.64733796296</v>
      </c>
      <c r="C485" s="1" t="n">
        <v>45968</v>
      </c>
      <c r="D485" t="inlineStr">
        <is>
          <t>UPPSALA LÄN</t>
        </is>
      </c>
      <c r="E485" t="inlineStr">
        <is>
          <t>ENKÖPING</t>
        </is>
      </c>
      <c r="G485" t="n">
        <v>3.1</v>
      </c>
      <c r="H485" t="n">
        <v>0</v>
      </c>
      <c r="I485" t="n">
        <v>0</v>
      </c>
      <c r="J485" t="n">
        <v>0</v>
      </c>
      <c r="K485" t="n">
        <v>0</v>
      </c>
      <c r="L485" t="n">
        <v>0</v>
      </c>
      <c r="M485" t="n">
        <v>0</v>
      </c>
      <c r="N485" t="n">
        <v>0</v>
      </c>
      <c r="O485" t="n">
        <v>0</v>
      </c>
      <c r="P485" t="n">
        <v>0</v>
      </c>
      <c r="Q485" t="n">
        <v>0</v>
      </c>
      <c r="R485" s="2" t="inlineStr"/>
    </row>
    <row r="486" ht="15" customHeight="1">
      <c r="A486" t="inlineStr">
        <is>
          <t>A 54758-2025</t>
        </is>
      </c>
      <c r="B486" s="1" t="n">
        <v>45966.59737268519</v>
      </c>
      <c r="C486" s="1" t="n">
        <v>45968</v>
      </c>
      <c r="D486" t="inlineStr">
        <is>
          <t>UPPSALA LÄN</t>
        </is>
      </c>
      <c r="E486" t="inlineStr">
        <is>
          <t>ENKÖPING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54844-2025</t>
        </is>
      </c>
      <c r="B487" s="1" t="n">
        <v>45966.69570601852</v>
      </c>
      <c r="C487" s="1" t="n">
        <v>45968</v>
      </c>
      <c r="D487" t="inlineStr">
        <is>
          <t>UPPSALA LÄN</t>
        </is>
      </c>
      <c r="E487" t="inlineStr">
        <is>
          <t>ENKÖPING</t>
        </is>
      </c>
      <c r="G487" t="n">
        <v>5.5</v>
      </c>
      <c r="H487" t="n">
        <v>0</v>
      </c>
      <c r="I487" t="n">
        <v>0</v>
      </c>
      <c r="J487" t="n">
        <v>0</v>
      </c>
      <c r="K487" t="n">
        <v>0</v>
      </c>
      <c r="L487" t="n">
        <v>0</v>
      </c>
      <c r="M487" t="n">
        <v>0</v>
      </c>
      <c r="N487" t="n">
        <v>0</v>
      </c>
      <c r="O487" t="n">
        <v>0</v>
      </c>
      <c r="P487" t="n">
        <v>0</v>
      </c>
      <c r="Q487" t="n">
        <v>0</v>
      </c>
      <c r="R487" s="2" t="inlineStr"/>
    </row>
    <row r="488" ht="15" customHeight="1">
      <c r="A488" t="inlineStr">
        <is>
          <t>A 34989-2025</t>
        </is>
      </c>
      <c r="B488" s="1" t="n">
        <v>45849</v>
      </c>
      <c r="C488" s="1" t="n">
        <v>45968</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c r="A489" t="inlineStr">
        <is>
          <t>A 34990-2025</t>
        </is>
      </c>
      <c r="B489" s="1" t="n">
        <v>45849.78916666667</v>
      </c>
      <c r="C489" s="1" t="n">
        <v>45968</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2025-11-07T10:13:30Z</dcterms:created>
  <dcterms:modified xmlns:dcterms="http://purl.org/dc/terms/" xmlns:xsi="http://www.w3.org/2001/XMLSchema-instance" xsi:type="dcterms:W3CDTF">2025-11-07T10:13:30Z</dcterms:modified>
</cp:coreProperties>
</file>