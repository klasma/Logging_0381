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45882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45882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45882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45882</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45882</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45882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45882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425-2024</t>
        </is>
      </c>
      <c r="B15" s="1" t="n">
        <v>45296</v>
      </c>
      <c r="C15" s="1" t="n">
        <v>45882</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50105-2023</t>
        </is>
      </c>
      <c r="B16" s="1" t="n">
        <v>45215</v>
      </c>
      <c r="C16" s="1" t="n">
        <v>45882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27073-2025</t>
        </is>
      </c>
      <c r="B17" s="1" t="n">
        <v>45811.64190972222</v>
      </c>
      <c r="C17" s="1" t="n">
        <v>45882</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45882</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23385-2021</t>
        </is>
      </c>
      <c r="B19" s="1" t="n">
        <v>44333.6091087963</v>
      </c>
      <c r="C19" s="1" t="n">
        <v>45882</v>
      </c>
      <c r="D19" t="inlineStr">
        <is>
          <t>UPPSALA LÄN</t>
        </is>
      </c>
      <c r="E19" t="inlineStr">
        <is>
          <t>ENKÖPING</t>
        </is>
      </c>
      <c r="G19" t="n">
        <v>0.7</v>
      </c>
      <c r="H19" t="n">
        <v>1</v>
      </c>
      <c r="I19" t="n">
        <v>0</v>
      </c>
      <c r="J19" t="n">
        <v>1</v>
      </c>
      <c r="K19" t="n">
        <v>0</v>
      </c>
      <c r="L19" t="n">
        <v>0</v>
      </c>
      <c r="M19" t="n">
        <v>0</v>
      </c>
      <c r="N19" t="n">
        <v>0</v>
      </c>
      <c r="O19" t="n">
        <v>1</v>
      </c>
      <c r="P19" t="n">
        <v>0</v>
      </c>
      <c r="Q19" t="n">
        <v>1</v>
      </c>
      <c r="R19" s="2" t="inlineStr">
        <is>
          <t>Talltita</t>
        </is>
      </c>
      <c r="S19">
        <f>HYPERLINK("https://klasma.github.io/Logging_0381/artfynd/A 23385-2021 artfynd.xlsx", "A 23385-2021")</f>
        <v/>
      </c>
      <c r="T19">
        <f>HYPERLINK("https://klasma.github.io/Logging_0381/kartor/A 23385-2021 karta.png", "A 23385-2021")</f>
        <v/>
      </c>
      <c r="V19">
        <f>HYPERLINK("https://klasma.github.io/Logging_0381/klagomål/A 23385-2021 FSC-klagomål.docx", "A 23385-2021")</f>
        <v/>
      </c>
      <c r="W19">
        <f>HYPERLINK("https://klasma.github.io/Logging_0381/klagomålsmail/A 23385-2021 FSC-klagomål mail.docx", "A 23385-2021")</f>
        <v/>
      </c>
      <c r="X19">
        <f>HYPERLINK("https://klasma.github.io/Logging_0381/tillsyn/A 23385-2021 tillsynsbegäran.docx", "A 23385-2021")</f>
        <v/>
      </c>
      <c r="Y19">
        <f>HYPERLINK("https://klasma.github.io/Logging_0381/tillsynsmail/A 23385-2021 tillsynsbegäran mail.docx", "A 23385-2021")</f>
        <v/>
      </c>
      <c r="Z19">
        <f>HYPERLINK("https://klasma.github.io/Logging_0381/fåglar/A 23385-2021 prioriterade fågelarter.docx", "A 23385-2021")</f>
        <v/>
      </c>
    </row>
    <row r="20" ht="15" customHeight="1">
      <c r="A20" t="inlineStr">
        <is>
          <t>A 74028-2021</t>
        </is>
      </c>
      <c r="B20" s="1" t="n">
        <v>44557.4596875</v>
      </c>
      <c r="C20" s="1" t="n">
        <v>45882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33339-2024</t>
        </is>
      </c>
      <c r="B21" s="1" t="n">
        <v>45519</v>
      </c>
      <c r="C21" s="1" t="n">
        <v>45882</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17942-2024</t>
        </is>
      </c>
      <c r="B22" s="1" t="n">
        <v>45419</v>
      </c>
      <c r="C22" s="1" t="n">
        <v>45882</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28900-2024</t>
        </is>
      </c>
      <c r="B23" s="1" t="n">
        <v>45480</v>
      </c>
      <c r="C23" s="1" t="n">
        <v>45882</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21970-2025</t>
        </is>
      </c>
      <c r="B24" s="1" t="n">
        <v>45784.63335648148</v>
      </c>
      <c r="C24" s="1" t="n">
        <v>45882</v>
      </c>
      <c r="D24" t="inlineStr">
        <is>
          <t>UPPSALA LÄN</t>
        </is>
      </c>
      <c r="E24" t="inlineStr">
        <is>
          <t>ENKÖPING</t>
        </is>
      </c>
      <c r="G24" t="n">
        <v>5.3</v>
      </c>
      <c r="H24" t="n">
        <v>1</v>
      </c>
      <c r="I24" t="n">
        <v>0</v>
      </c>
      <c r="J24" t="n">
        <v>0</v>
      </c>
      <c r="K24" t="n">
        <v>0</v>
      </c>
      <c r="L24" t="n">
        <v>0</v>
      </c>
      <c r="M24" t="n">
        <v>0</v>
      </c>
      <c r="N24" t="n">
        <v>0</v>
      </c>
      <c r="O24" t="n">
        <v>0</v>
      </c>
      <c r="P24" t="n">
        <v>0</v>
      </c>
      <c r="Q24" t="n">
        <v>1</v>
      </c>
      <c r="R24" s="2" t="inlineStr">
        <is>
          <t>Blåsippa</t>
        </is>
      </c>
      <c r="S24">
        <f>HYPERLINK("https://klasma.github.io/Logging_0381/artfynd/A 21970-2025 artfynd.xlsx", "A 21970-2025")</f>
        <v/>
      </c>
      <c r="T24">
        <f>HYPERLINK("https://klasma.github.io/Logging_0381/kartor/A 21970-2025 karta.png", "A 21970-2025")</f>
        <v/>
      </c>
      <c r="V24">
        <f>HYPERLINK("https://klasma.github.io/Logging_0381/klagomål/A 21970-2025 FSC-klagomål.docx", "A 21970-2025")</f>
        <v/>
      </c>
      <c r="W24">
        <f>HYPERLINK("https://klasma.github.io/Logging_0381/klagomålsmail/A 21970-2025 FSC-klagomål mail.docx", "A 21970-2025")</f>
        <v/>
      </c>
      <c r="X24">
        <f>HYPERLINK("https://klasma.github.io/Logging_0381/tillsyn/A 21970-2025 tillsynsbegäran.docx", "A 21970-2025")</f>
        <v/>
      </c>
      <c r="Y24">
        <f>HYPERLINK("https://klasma.github.io/Logging_0381/tillsynsmail/A 21970-2025 tillsynsbegäran mail.docx", "A 21970-2025")</f>
        <v/>
      </c>
    </row>
    <row r="25" ht="15" customHeight="1">
      <c r="A25" t="inlineStr">
        <is>
          <t>A 11018-2025</t>
        </is>
      </c>
      <c r="B25" s="1" t="n">
        <v>45723.46591435185</v>
      </c>
      <c r="C25" s="1" t="n">
        <v>45882</v>
      </c>
      <c r="D25" t="inlineStr">
        <is>
          <t>UPPSALA LÄN</t>
        </is>
      </c>
      <c r="E25" t="inlineStr">
        <is>
          <t>ENKÖPING</t>
        </is>
      </c>
      <c r="G25" t="n">
        <v>1.6</v>
      </c>
      <c r="H25" t="n">
        <v>0</v>
      </c>
      <c r="I25" t="n">
        <v>0</v>
      </c>
      <c r="J25" t="n">
        <v>0</v>
      </c>
      <c r="K25" t="n">
        <v>0</v>
      </c>
      <c r="L25" t="n">
        <v>1</v>
      </c>
      <c r="M25" t="n">
        <v>0</v>
      </c>
      <c r="N25" t="n">
        <v>0</v>
      </c>
      <c r="O25" t="n">
        <v>1</v>
      </c>
      <c r="P25" t="n">
        <v>1</v>
      </c>
      <c r="Q25" t="n">
        <v>1</v>
      </c>
      <c r="R25" s="2" t="inlineStr">
        <is>
          <t>Ask</t>
        </is>
      </c>
      <c r="S25">
        <f>HYPERLINK("https://klasma.github.io/Logging_0381/artfynd/A 11018-2025 artfynd.xlsx", "A 11018-2025")</f>
        <v/>
      </c>
      <c r="T25">
        <f>HYPERLINK("https://klasma.github.io/Logging_0381/kartor/A 11018-2025 karta.png", "A 11018-2025")</f>
        <v/>
      </c>
      <c r="V25">
        <f>HYPERLINK("https://klasma.github.io/Logging_0381/klagomål/A 11018-2025 FSC-klagomål.docx", "A 11018-2025")</f>
        <v/>
      </c>
      <c r="W25">
        <f>HYPERLINK("https://klasma.github.io/Logging_0381/klagomålsmail/A 11018-2025 FSC-klagomål mail.docx", "A 11018-2025")</f>
        <v/>
      </c>
      <c r="X25">
        <f>HYPERLINK("https://klasma.github.io/Logging_0381/tillsyn/A 11018-2025 tillsynsbegäran.docx", "A 11018-2025")</f>
        <v/>
      </c>
      <c r="Y25">
        <f>HYPERLINK("https://klasma.github.io/Logging_0381/tillsynsmail/A 11018-2025 tillsynsbegäran mail.docx", "A 11018-2025")</f>
        <v/>
      </c>
    </row>
    <row r="26" ht="15" customHeight="1">
      <c r="A26" t="inlineStr">
        <is>
          <t>A 46749-2024</t>
        </is>
      </c>
      <c r="B26" s="1" t="n">
        <v>45583.48347222222</v>
      </c>
      <c r="C26" s="1" t="n">
        <v>45882</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11015-2025</t>
        </is>
      </c>
      <c r="B27" s="1" t="n">
        <v>45723.46288194445</v>
      </c>
      <c r="C27" s="1" t="n">
        <v>45882</v>
      </c>
      <c r="D27" t="inlineStr">
        <is>
          <t>UPPSALA LÄN</t>
        </is>
      </c>
      <c r="E27" t="inlineStr">
        <is>
          <t>ENKÖPING</t>
        </is>
      </c>
      <c r="G27" t="n">
        <v>1.3</v>
      </c>
      <c r="H27" t="n">
        <v>0</v>
      </c>
      <c r="I27" t="n">
        <v>1</v>
      </c>
      <c r="J27" t="n">
        <v>0</v>
      </c>
      <c r="K27" t="n">
        <v>0</v>
      </c>
      <c r="L27" t="n">
        <v>0</v>
      </c>
      <c r="M27" t="n">
        <v>0</v>
      </c>
      <c r="N27" t="n">
        <v>0</v>
      </c>
      <c r="O27" t="n">
        <v>0</v>
      </c>
      <c r="P27" t="n">
        <v>0</v>
      </c>
      <c r="Q27" t="n">
        <v>1</v>
      </c>
      <c r="R27" s="2" t="inlineStr">
        <is>
          <t>Svart trolldruva</t>
        </is>
      </c>
      <c r="S27">
        <f>HYPERLINK("https://klasma.github.io/Logging_0381/artfynd/A 11015-2025 artfynd.xlsx", "A 11015-2025")</f>
        <v/>
      </c>
      <c r="T27">
        <f>HYPERLINK("https://klasma.github.io/Logging_0381/kartor/A 11015-2025 karta.png", "A 11015-2025")</f>
        <v/>
      </c>
      <c r="V27">
        <f>HYPERLINK("https://klasma.github.io/Logging_0381/klagomål/A 11015-2025 FSC-klagomål.docx", "A 11015-2025")</f>
        <v/>
      </c>
      <c r="W27">
        <f>HYPERLINK("https://klasma.github.io/Logging_0381/klagomålsmail/A 11015-2025 FSC-klagomål mail.docx", "A 11015-2025")</f>
        <v/>
      </c>
      <c r="X27">
        <f>HYPERLINK("https://klasma.github.io/Logging_0381/tillsyn/A 11015-2025 tillsynsbegäran.docx", "A 11015-2025")</f>
        <v/>
      </c>
      <c r="Y27">
        <f>HYPERLINK("https://klasma.github.io/Logging_0381/tillsynsmail/A 11015-2025 tillsynsbegäran mail.docx", "A 11015-2025")</f>
        <v/>
      </c>
    </row>
    <row r="28" ht="15" customHeight="1">
      <c r="A28" t="inlineStr">
        <is>
          <t>A 1524-2023</t>
        </is>
      </c>
      <c r="B28" s="1" t="n">
        <v>44935</v>
      </c>
      <c r="C28" s="1" t="n">
        <v>45882</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45116-2023</t>
        </is>
      </c>
      <c r="B29" s="1" t="n">
        <v>45191</v>
      </c>
      <c r="C29" s="1" t="n">
        <v>45882</v>
      </c>
      <c r="D29" t="inlineStr">
        <is>
          <t>UPPSALA LÄN</t>
        </is>
      </c>
      <c r="E29" t="inlineStr">
        <is>
          <t>ENKÖPING</t>
        </is>
      </c>
      <c r="G29" t="n">
        <v>2</v>
      </c>
      <c r="H29" t="n">
        <v>0</v>
      </c>
      <c r="I29" t="n">
        <v>1</v>
      </c>
      <c r="J29" t="n">
        <v>0</v>
      </c>
      <c r="K29" t="n">
        <v>0</v>
      </c>
      <c r="L29" t="n">
        <v>0</v>
      </c>
      <c r="M29" t="n">
        <v>0</v>
      </c>
      <c r="N29" t="n">
        <v>0</v>
      </c>
      <c r="O29" t="n">
        <v>0</v>
      </c>
      <c r="P29" t="n">
        <v>0</v>
      </c>
      <c r="Q29" t="n">
        <v>1</v>
      </c>
      <c r="R29" s="2" t="inlineStr">
        <is>
          <t>Rävticka</t>
        </is>
      </c>
      <c r="S29">
        <f>HYPERLINK("https://klasma.github.io/Logging_0381/artfynd/A 45116-2023 artfynd.xlsx", "A 45116-2023")</f>
        <v/>
      </c>
      <c r="T29">
        <f>HYPERLINK("https://klasma.github.io/Logging_0381/kartor/A 45116-2023 karta.png", "A 45116-2023")</f>
        <v/>
      </c>
      <c r="V29">
        <f>HYPERLINK("https://klasma.github.io/Logging_0381/klagomål/A 45116-2023 FSC-klagomål.docx", "A 45116-2023")</f>
        <v/>
      </c>
      <c r="W29">
        <f>HYPERLINK("https://klasma.github.io/Logging_0381/klagomålsmail/A 45116-2023 FSC-klagomål mail.docx", "A 45116-2023")</f>
        <v/>
      </c>
      <c r="X29">
        <f>HYPERLINK("https://klasma.github.io/Logging_0381/tillsyn/A 45116-2023 tillsynsbegäran.docx", "A 45116-2023")</f>
        <v/>
      </c>
      <c r="Y29">
        <f>HYPERLINK("https://klasma.github.io/Logging_0381/tillsynsmail/A 45116-2023 tillsynsbegäran mail.docx", "A 45116-2023")</f>
        <v/>
      </c>
    </row>
    <row r="30" ht="15" customHeight="1">
      <c r="A30" t="inlineStr">
        <is>
          <t>A 26347-2025</t>
        </is>
      </c>
      <c r="B30" s="1" t="n">
        <v>45805.7403125</v>
      </c>
      <c r="C30" s="1" t="n">
        <v>45882</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45882</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29510-2025</t>
        </is>
      </c>
      <c r="B32" s="1" t="n">
        <v>45825</v>
      </c>
      <c r="C32" s="1" t="n">
        <v>45882</v>
      </c>
      <c r="D32" t="inlineStr">
        <is>
          <t>UPPSALA LÄN</t>
        </is>
      </c>
      <c r="E32" t="inlineStr">
        <is>
          <t>ENKÖPING</t>
        </is>
      </c>
      <c r="G32" t="n">
        <v>2.4</v>
      </c>
      <c r="H32" t="n">
        <v>0</v>
      </c>
      <c r="I32" t="n">
        <v>0</v>
      </c>
      <c r="J32" t="n">
        <v>0</v>
      </c>
      <c r="K32" t="n">
        <v>1</v>
      </c>
      <c r="L32" t="n">
        <v>0</v>
      </c>
      <c r="M32" t="n">
        <v>0</v>
      </c>
      <c r="N32" t="n">
        <v>0</v>
      </c>
      <c r="O32" t="n">
        <v>1</v>
      </c>
      <c r="P32" t="n">
        <v>1</v>
      </c>
      <c r="Q32" t="n">
        <v>1</v>
      </c>
      <c r="R32" s="2" t="inlineStr">
        <is>
          <t>Toppjungfrulin</t>
        </is>
      </c>
      <c r="S32">
        <f>HYPERLINK("https://klasma.github.io/Logging_0381/artfynd/A 29510-2025 artfynd.xlsx", "A 29510-2025")</f>
        <v/>
      </c>
      <c r="T32">
        <f>HYPERLINK("https://klasma.github.io/Logging_0381/kartor/A 29510-2025 karta.png", "A 29510-2025")</f>
        <v/>
      </c>
      <c r="V32">
        <f>HYPERLINK("https://klasma.github.io/Logging_0381/klagomål/A 29510-2025 FSC-klagomål.docx", "A 29510-2025")</f>
        <v/>
      </c>
      <c r="W32">
        <f>HYPERLINK("https://klasma.github.io/Logging_0381/klagomålsmail/A 29510-2025 FSC-klagomål mail.docx", "A 29510-2025")</f>
        <v/>
      </c>
      <c r="X32">
        <f>HYPERLINK("https://klasma.github.io/Logging_0381/tillsyn/A 29510-2025 tillsynsbegäran.docx", "A 29510-2025")</f>
        <v/>
      </c>
      <c r="Y32">
        <f>HYPERLINK("https://klasma.github.io/Logging_0381/tillsynsmail/A 29510-2025 tillsynsbegäran mail.docx", "A 29510-2025")</f>
        <v/>
      </c>
    </row>
    <row r="33" ht="15" customHeight="1">
      <c r="A33" t="inlineStr">
        <is>
          <t>A 23961-2022</t>
        </is>
      </c>
      <c r="B33" s="1" t="n">
        <v>44722</v>
      </c>
      <c r="C33" s="1" t="n">
        <v>45882</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Blåsippa</t>
        </is>
      </c>
      <c r="S33">
        <f>HYPERLINK("https://klasma.github.io/Logging_0381/artfynd/A 23961-2022 artfynd.xlsx", "A 23961-2022")</f>
        <v/>
      </c>
      <c r="T33">
        <f>HYPERLINK("https://klasma.github.io/Logging_0381/kartor/A 23961-2022 karta.png", "A 23961-2022")</f>
        <v/>
      </c>
      <c r="V33">
        <f>HYPERLINK("https://klasma.github.io/Logging_0381/klagomål/A 23961-2022 FSC-klagomål.docx", "A 23961-2022")</f>
        <v/>
      </c>
      <c r="W33">
        <f>HYPERLINK("https://klasma.github.io/Logging_0381/klagomålsmail/A 23961-2022 FSC-klagomål mail.docx", "A 23961-2022")</f>
        <v/>
      </c>
      <c r="X33">
        <f>HYPERLINK("https://klasma.github.io/Logging_0381/tillsyn/A 23961-2022 tillsynsbegäran.docx", "A 23961-2022")</f>
        <v/>
      </c>
      <c r="Y33">
        <f>HYPERLINK("https://klasma.github.io/Logging_0381/tillsynsmail/A 23961-2022 tillsynsbegäran mail.docx", "A 23961-2022")</f>
        <v/>
      </c>
    </row>
    <row r="34" ht="15" customHeight="1">
      <c r="A34" t="inlineStr">
        <is>
          <t>A 16683-2021</t>
        </is>
      </c>
      <c r="B34" s="1" t="n">
        <v>44294.58495370371</v>
      </c>
      <c r="C34" s="1" t="n">
        <v>45882</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45882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45882</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45882</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45882</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45882</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45882</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45882</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45882</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45882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45882</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45882</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45882</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45882</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45882</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45882</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45882</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45882</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10202-2022</t>
        </is>
      </c>
      <c r="B52" s="1" t="n">
        <v>44622</v>
      </c>
      <c r="C52" s="1" t="n">
        <v>45882</v>
      </c>
      <c r="D52" t="inlineStr">
        <is>
          <t>UPPSALA LÄN</t>
        </is>
      </c>
      <c r="E52" t="inlineStr">
        <is>
          <t>ENKÖPING</t>
        </is>
      </c>
      <c r="G52" t="n">
        <v>5.6</v>
      </c>
      <c r="H52" t="n">
        <v>0</v>
      </c>
      <c r="I52" t="n">
        <v>0</v>
      </c>
      <c r="J52" t="n">
        <v>0</v>
      </c>
      <c r="K52" t="n">
        <v>0</v>
      </c>
      <c r="L52" t="n">
        <v>0</v>
      </c>
      <c r="M52" t="n">
        <v>0</v>
      </c>
      <c r="N52" t="n">
        <v>0</v>
      </c>
      <c r="O52" t="n">
        <v>0</v>
      </c>
      <c r="P52" t="n">
        <v>0</v>
      </c>
      <c r="Q52" t="n">
        <v>0</v>
      </c>
      <c r="R52" s="2" t="inlineStr"/>
    </row>
    <row r="53" ht="15" customHeight="1">
      <c r="A53" t="inlineStr">
        <is>
          <t>A 10207-2022</t>
        </is>
      </c>
      <c r="B53" s="1" t="n">
        <v>44622</v>
      </c>
      <c r="C53" s="1" t="n">
        <v>45882</v>
      </c>
      <c r="D53" t="inlineStr">
        <is>
          <t>UPPSALA LÄN</t>
        </is>
      </c>
      <c r="E53" t="inlineStr">
        <is>
          <t>ENKÖPING</t>
        </is>
      </c>
      <c r="G53" t="n">
        <v>4.9</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45882</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45882</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45882</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45882</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45882</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45882</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45882</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45882</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16967-2022</t>
        </is>
      </c>
      <c r="B62" s="1" t="n">
        <v>44676</v>
      </c>
      <c r="C62" s="1" t="n">
        <v>45882</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45882</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45882</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45882</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45882</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45882</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45882</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45882</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45882</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29435-2022</t>
        </is>
      </c>
      <c r="B71" s="1" t="n">
        <v>44753.49215277778</v>
      </c>
      <c r="C71" s="1" t="n">
        <v>45882</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4775-2021</t>
        </is>
      </c>
      <c r="B72" s="1" t="n">
        <v>44225</v>
      </c>
      <c r="C72" s="1" t="n">
        <v>45882</v>
      </c>
      <c r="D72" t="inlineStr">
        <is>
          <t>UPPSALA LÄN</t>
        </is>
      </c>
      <c r="E72" t="inlineStr">
        <is>
          <t>ENKÖPING</t>
        </is>
      </c>
      <c r="F72" t="inlineStr">
        <is>
          <t>Allmännings- och besparingsskogar</t>
        </is>
      </c>
      <c r="G72" t="n">
        <v>3.5</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45882</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45882</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45882</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29425-2022</t>
        </is>
      </c>
      <c r="B76" s="1" t="n">
        <v>44753.47837962963</v>
      </c>
      <c r="C76" s="1" t="n">
        <v>45882</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45882</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45882</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45882</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45882</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45882</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45882</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45882</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45882</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45882</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45882</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40773-2022</t>
        </is>
      </c>
      <c r="B87" s="1" t="n">
        <v>44824.61237268519</v>
      </c>
      <c r="C87" s="1" t="n">
        <v>45882</v>
      </c>
      <c r="D87" t="inlineStr">
        <is>
          <t>UPPSALA LÄN</t>
        </is>
      </c>
      <c r="E87" t="inlineStr">
        <is>
          <t>ENKÖPING</t>
        </is>
      </c>
      <c r="G87" t="n">
        <v>0.6</v>
      </c>
      <c r="H87" t="n">
        <v>0</v>
      </c>
      <c r="I87" t="n">
        <v>0</v>
      </c>
      <c r="J87" t="n">
        <v>0</v>
      </c>
      <c r="K87" t="n">
        <v>0</v>
      </c>
      <c r="L87" t="n">
        <v>0</v>
      </c>
      <c r="M87" t="n">
        <v>0</v>
      </c>
      <c r="N87" t="n">
        <v>0</v>
      </c>
      <c r="O87" t="n">
        <v>0</v>
      </c>
      <c r="P87" t="n">
        <v>0</v>
      </c>
      <c r="Q87" t="n">
        <v>0</v>
      </c>
      <c r="R87" s="2" t="inlineStr"/>
    </row>
    <row r="88" ht="15" customHeight="1">
      <c r="A88" t="inlineStr">
        <is>
          <t>A 53352-2020</t>
        </is>
      </c>
      <c r="B88" s="1" t="n">
        <v>44123</v>
      </c>
      <c r="C88" s="1" t="n">
        <v>45882</v>
      </c>
      <c r="D88" t="inlineStr">
        <is>
          <t>UPPSALA LÄN</t>
        </is>
      </c>
      <c r="E88" t="inlineStr">
        <is>
          <t>ENKÖPING</t>
        </is>
      </c>
      <c r="G88" t="n">
        <v>2.9</v>
      </c>
      <c r="H88" t="n">
        <v>0</v>
      </c>
      <c r="I88" t="n">
        <v>0</v>
      </c>
      <c r="J88" t="n">
        <v>0</v>
      </c>
      <c r="K88" t="n">
        <v>0</v>
      </c>
      <c r="L88" t="n">
        <v>0</v>
      </c>
      <c r="M88" t="n">
        <v>0</v>
      </c>
      <c r="N88" t="n">
        <v>0</v>
      </c>
      <c r="O88" t="n">
        <v>0</v>
      </c>
      <c r="P88" t="n">
        <v>0</v>
      </c>
      <c r="Q88" t="n">
        <v>0</v>
      </c>
      <c r="R88" s="2" t="inlineStr"/>
    </row>
    <row r="89" ht="15" customHeight="1">
      <c r="A89" t="inlineStr">
        <is>
          <t>A 11688-2021</t>
        </is>
      </c>
      <c r="B89" s="1" t="n">
        <v>44264</v>
      </c>
      <c r="C89" s="1" t="n">
        <v>45882</v>
      </c>
      <c r="D89" t="inlineStr">
        <is>
          <t>UPPSALA LÄN</t>
        </is>
      </c>
      <c r="E89" t="inlineStr">
        <is>
          <t>ENKÖPING</t>
        </is>
      </c>
      <c r="G89" t="n">
        <v>4.7</v>
      </c>
      <c r="H89" t="n">
        <v>0</v>
      </c>
      <c r="I89" t="n">
        <v>0</v>
      </c>
      <c r="J89" t="n">
        <v>0</v>
      </c>
      <c r="K89" t="n">
        <v>0</v>
      </c>
      <c r="L89" t="n">
        <v>0</v>
      </c>
      <c r="M89" t="n">
        <v>0</v>
      </c>
      <c r="N89" t="n">
        <v>0</v>
      </c>
      <c r="O89" t="n">
        <v>0</v>
      </c>
      <c r="P89" t="n">
        <v>0</v>
      </c>
      <c r="Q89" t="n">
        <v>0</v>
      </c>
      <c r="R89" s="2" t="inlineStr"/>
    </row>
    <row r="90" ht="15" customHeight="1">
      <c r="A90" t="inlineStr">
        <is>
          <t>A 12538-2021</t>
        </is>
      </c>
      <c r="B90" s="1" t="n">
        <v>44269</v>
      </c>
      <c r="C90" s="1" t="n">
        <v>45882</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62046-2021</t>
        </is>
      </c>
      <c r="B91" s="1" t="n">
        <v>44502</v>
      </c>
      <c r="C91" s="1" t="n">
        <v>45882</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45882</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45882</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45882</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68107-2021</t>
        </is>
      </c>
      <c r="B95" s="1" t="n">
        <v>44526</v>
      </c>
      <c r="C95" s="1" t="n">
        <v>45882</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42029-2021</t>
        </is>
      </c>
      <c r="B96" s="1" t="n">
        <v>44426</v>
      </c>
      <c r="C96" s="1" t="n">
        <v>45882</v>
      </c>
      <c r="D96" t="inlineStr">
        <is>
          <t>UPPSALA LÄN</t>
        </is>
      </c>
      <c r="E96" t="inlineStr">
        <is>
          <t>ENKÖPING</t>
        </is>
      </c>
      <c r="G96" t="n">
        <v>5.3</v>
      </c>
      <c r="H96" t="n">
        <v>0</v>
      </c>
      <c r="I96" t="n">
        <v>0</v>
      </c>
      <c r="J96" t="n">
        <v>0</v>
      </c>
      <c r="K96" t="n">
        <v>0</v>
      </c>
      <c r="L96" t="n">
        <v>0</v>
      </c>
      <c r="M96" t="n">
        <v>0</v>
      </c>
      <c r="N96" t="n">
        <v>0</v>
      </c>
      <c r="O96" t="n">
        <v>0</v>
      </c>
      <c r="P96" t="n">
        <v>0</v>
      </c>
      <c r="Q96" t="n">
        <v>0</v>
      </c>
      <c r="R96" s="2" t="inlineStr"/>
    </row>
    <row r="97" ht="15" customHeight="1">
      <c r="A97" t="inlineStr">
        <is>
          <t>A 42021-2021</t>
        </is>
      </c>
      <c r="B97" s="1" t="n">
        <v>44426</v>
      </c>
      <c r="C97" s="1" t="n">
        <v>45882</v>
      </c>
      <c r="D97" t="inlineStr">
        <is>
          <t>UPPSALA LÄN</t>
        </is>
      </c>
      <c r="E97" t="inlineStr">
        <is>
          <t>ENKÖPING</t>
        </is>
      </c>
      <c r="G97" t="n">
        <v>2.2</v>
      </c>
      <c r="H97" t="n">
        <v>0</v>
      </c>
      <c r="I97" t="n">
        <v>0</v>
      </c>
      <c r="J97" t="n">
        <v>0</v>
      </c>
      <c r="K97" t="n">
        <v>0</v>
      </c>
      <c r="L97" t="n">
        <v>0</v>
      </c>
      <c r="M97" t="n">
        <v>0</v>
      </c>
      <c r="N97" t="n">
        <v>0</v>
      </c>
      <c r="O97" t="n">
        <v>0</v>
      </c>
      <c r="P97" t="n">
        <v>0</v>
      </c>
      <c r="Q97" t="n">
        <v>0</v>
      </c>
      <c r="R97" s="2" t="inlineStr"/>
    </row>
    <row r="98" ht="15" customHeight="1">
      <c r="A98" t="inlineStr">
        <is>
          <t>A 17467-2022</t>
        </is>
      </c>
      <c r="B98" s="1" t="n">
        <v>44679</v>
      </c>
      <c r="C98" s="1" t="n">
        <v>45882</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69791-2021</t>
        </is>
      </c>
      <c r="B99" s="1" t="n">
        <v>44532</v>
      </c>
      <c r="C99" s="1" t="n">
        <v>45882</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49375-2021</t>
        </is>
      </c>
      <c r="B100" s="1" t="n">
        <v>44454</v>
      </c>
      <c r="C100" s="1" t="n">
        <v>45882</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1971-2022</t>
        </is>
      </c>
      <c r="B101" s="1" t="n">
        <v>44575</v>
      </c>
      <c r="C101" s="1" t="n">
        <v>45882</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57055-2021</t>
        </is>
      </c>
      <c r="B102" s="1" t="n">
        <v>44482.55201388889</v>
      </c>
      <c r="C102" s="1" t="n">
        <v>45882</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20067-2021</t>
        </is>
      </c>
      <c r="B103" s="1" t="n">
        <v>44314</v>
      </c>
      <c r="C103" s="1" t="n">
        <v>45882</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60874-2021</t>
        </is>
      </c>
      <c r="B104" s="1" t="n">
        <v>44497</v>
      </c>
      <c r="C104" s="1" t="n">
        <v>45882</v>
      </c>
      <c r="D104" t="inlineStr">
        <is>
          <t>UPPSALA LÄN</t>
        </is>
      </c>
      <c r="E104" t="inlineStr">
        <is>
          <t>ENKÖPING</t>
        </is>
      </c>
      <c r="G104" t="n">
        <v>0.6</v>
      </c>
      <c r="H104" t="n">
        <v>0</v>
      </c>
      <c r="I104" t="n">
        <v>0</v>
      </c>
      <c r="J104" t="n">
        <v>0</v>
      </c>
      <c r="K104" t="n">
        <v>0</v>
      </c>
      <c r="L104" t="n">
        <v>0</v>
      </c>
      <c r="M104" t="n">
        <v>0</v>
      </c>
      <c r="N104" t="n">
        <v>0</v>
      </c>
      <c r="O104" t="n">
        <v>0</v>
      </c>
      <c r="P104" t="n">
        <v>0</v>
      </c>
      <c r="Q104" t="n">
        <v>0</v>
      </c>
      <c r="R104" s="2" t="inlineStr"/>
    </row>
    <row r="105" ht="15" customHeight="1">
      <c r="A105" t="inlineStr">
        <is>
          <t>A 24883-2022</t>
        </is>
      </c>
      <c r="B105" s="1" t="n">
        <v>44728</v>
      </c>
      <c r="C105" s="1" t="n">
        <v>45882</v>
      </c>
      <c r="D105" t="inlineStr">
        <is>
          <t>UPPSALA LÄN</t>
        </is>
      </c>
      <c r="E105" t="inlineStr">
        <is>
          <t>ENKÖPING</t>
        </is>
      </c>
      <c r="G105" t="n">
        <v>2.5</v>
      </c>
      <c r="H105" t="n">
        <v>0</v>
      </c>
      <c r="I105" t="n">
        <v>0</v>
      </c>
      <c r="J105" t="n">
        <v>0</v>
      </c>
      <c r="K105" t="n">
        <v>0</v>
      </c>
      <c r="L105" t="n">
        <v>0</v>
      </c>
      <c r="M105" t="n">
        <v>0</v>
      </c>
      <c r="N105" t="n">
        <v>0</v>
      </c>
      <c r="O105" t="n">
        <v>0</v>
      </c>
      <c r="P105" t="n">
        <v>0</v>
      </c>
      <c r="Q105" t="n">
        <v>0</v>
      </c>
      <c r="R105" s="2" t="inlineStr"/>
    </row>
    <row r="106" ht="15" customHeight="1">
      <c r="A106" t="inlineStr">
        <is>
          <t>A 15924-2022</t>
        </is>
      </c>
      <c r="B106" s="1" t="n">
        <v>44664</v>
      </c>
      <c r="C106" s="1" t="n">
        <v>45882</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15943-2022</t>
        </is>
      </c>
      <c r="B107" s="1" t="n">
        <v>44664.66428240741</v>
      </c>
      <c r="C107" s="1" t="n">
        <v>45882</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47106-2021</t>
        </is>
      </c>
      <c r="B108" s="1" t="n">
        <v>44446</v>
      </c>
      <c r="C108" s="1" t="n">
        <v>45882</v>
      </c>
      <c r="D108" t="inlineStr">
        <is>
          <t>UPPSALA LÄN</t>
        </is>
      </c>
      <c r="E108" t="inlineStr">
        <is>
          <t>ENKÖPING</t>
        </is>
      </c>
      <c r="G108" t="n">
        <v>7.6</v>
      </c>
      <c r="H108" t="n">
        <v>0</v>
      </c>
      <c r="I108" t="n">
        <v>0</v>
      </c>
      <c r="J108" t="n">
        <v>0</v>
      </c>
      <c r="K108" t="n">
        <v>0</v>
      </c>
      <c r="L108" t="n">
        <v>0</v>
      </c>
      <c r="M108" t="n">
        <v>0</v>
      </c>
      <c r="N108" t="n">
        <v>0</v>
      </c>
      <c r="O108" t="n">
        <v>0</v>
      </c>
      <c r="P108" t="n">
        <v>0</v>
      </c>
      <c r="Q108" t="n">
        <v>0</v>
      </c>
      <c r="R108" s="2" t="inlineStr"/>
    </row>
    <row r="109" ht="15" customHeight="1">
      <c r="A109" t="inlineStr">
        <is>
          <t>A 19630-2021</t>
        </is>
      </c>
      <c r="B109" s="1" t="n">
        <v>44312.61876157407</v>
      </c>
      <c r="C109" s="1" t="n">
        <v>45882</v>
      </c>
      <c r="D109" t="inlineStr">
        <is>
          <t>UPPSALA LÄN</t>
        </is>
      </c>
      <c r="E109" t="inlineStr">
        <is>
          <t>ENKÖPING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19731-2022</t>
        </is>
      </c>
      <c r="B110" s="1" t="n">
        <v>44694</v>
      </c>
      <c r="C110" s="1" t="n">
        <v>45882</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59121-2021</t>
        </is>
      </c>
      <c r="B111" s="1" t="n">
        <v>44490</v>
      </c>
      <c r="C111" s="1" t="n">
        <v>45882</v>
      </c>
      <c r="D111" t="inlineStr">
        <is>
          <t>UPPSALA LÄN</t>
        </is>
      </c>
      <c r="E111" t="inlineStr">
        <is>
          <t>ENKÖPING</t>
        </is>
      </c>
      <c r="G111" t="n">
        <v>2.4</v>
      </c>
      <c r="H111" t="n">
        <v>0</v>
      </c>
      <c r="I111" t="n">
        <v>0</v>
      </c>
      <c r="J111" t="n">
        <v>0</v>
      </c>
      <c r="K111" t="n">
        <v>0</v>
      </c>
      <c r="L111" t="n">
        <v>0</v>
      </c>
      <c r="M111" t="n">
        <v>0</v>
      </c>
      <c r="N111" t="n">
        <v>0</v>
      </c>
      <c r="O111" t="n">
        <v>0</v>
      </c>
      <c r="P111" t="n">
        <v>0</v>
      </c>
      <c r="Q111" t="n">
        <v>0</v>
      </c>
      <c r="R111" s="2" t="inlineStr"/>
    </row>
    <row r="112" ht="15" customHeight="1">
      <c r="A112" t="inlineStr">
        <is>
          <t>A 68127-2021</t>
        </is>
      </c>
      <c r="B112" s="1" t="n">
        <v>44526.39513888889</v>
      </c>
      <c r="C112" s="1" t="n">
        <v>45882</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45882</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45882</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57043-2021</t>
        </is>
      </c>
      <c r="B115" s="1" t="n">
        <v>44482.53399305556</v>
      </c>
      <c r="C115" s="1" t="n">
        <v>45882</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15021-2022</t>
        </is>
      </c>
      <c r="B116" s="1" t="n">
        <v>44657</v>
      </c>
      <c r="C116" s="1" t="n">
        <v>45882</v>
      </c>
      <c r="D116" t="inlineStr">
        <is>
          <t>UPPSALA LÄN</t>
        </is>
      </c>
      <c r="E116" t="inlineStr">
        <is>
          <t>ENKÖPING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47516-2022</t>
        </is>
      </c>
      <c r="B117" s="1" t="n">
        <v>44853.68895833333</v>
      </c>
      <c r="C117" s="1" t="n">
        <v>45882</v>
      </c>
      <c r="D117" t="inlineStr">
        <is>
          <t>UPPSALA LÄN</t>
        </is>
      </c>
      <c r="E117" t="inlineStr">
        <is>
          <t>ENKÖPING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58798-2020</t>
        </is>
      </c>
      <c r="B118" s="1" t="n">
        <v>44146</v>
      </c>
      <c r="C118" s="1" t="n">
        <v>45882</v>
      </c>
      <c r="D118" t="inlineStr">
        <is>
          <t>UPPSALA LÄN</t>
        </is>
      </c>
      <c r="E118" t="inlineStr">
        <is>
          <t>ENKÖPING</t>
        </is>
      </c>
      <c r="G118" t="n">
        <v>1.8</v>
      </c>
      <c r="H118" t="n">
        <v>0</v>
      </c>
      <c r="I118" t="n">
        <v>0</v>
      </c>
      <c r="J118" t="n">
        <v>0</v>
      </c>
      <c r="K118" t="n">
        <v>0</v>
      </c>
      <c r="L118" t="n">
        <v>0</v>
      </c>
      <c r="M118" t="n">
        <v>0</v>
      </c>
      <c r="N118" t="n">
        <v>0</v>
      </c>
      <c r="O118" t="n">
        <v>0</v>
      </c>
      <c r="P118" t="n">
        <v>0</v>
      </c>
      <c r="Q118" t="n">
        <v>0</v>
      </c>
      <c r="R118" s="2" t="inlineStr"/>
    </row>
    <row r="119" ht="15" customHeight="1">
      <c r="A119" t="inlineStr">
        <is>
          <t>A 57802-2020</t>
        </is>
      </c>
      <c r="B119" s="1" t="n">
        <v>44141</v>
      </c>
      <c r="C119" s="1" t="n">
        <v>45882</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52464-2020</t>
        </is>
      </c>
      <c r="B120" s="1" t="n">
        <v>44118</v>
      </c>
      <c r="C120" s="1" t="n">
        <v>45882</v>
      </c>
      <c r="D120" t="inlineStr">
        <is>
          <t>UPPSALA LÄN</t>
        </is>
      </c>
      <c r="E120" t="inlineStr">
        <is>
          <t>ENKÖPING</t>
        </is>
      </c>
      <c r="G120" t="n">
        <v>4.6</v>
      </c>
      <c r="H120" t="n">
        <v>0</v>
      </c>
      <c r="I120" t="n">
        <v>0</v>
      </c>
      <c r="J120" t="n">
        <v>0</v>
      </c>
      <c r="K120" t="n">
        <v>0</v>
      </c>
      <c r="L120" t="n">
        <v>0</v>
      </c>
      <c r="M120" t="n">
        <v>0</v>
      </c>
      <c r="N120" t="n">
        <v>0</v>
      </c>
      <c r="O120" t="n">
        <v>0</v>
      </c>
      <c r="P120" t="n">
        <v>0</v>
      </c>
      <c r="Q120" t="n">
        <v>0</v>
      </c>
      <c r="R120" s="2" t="inlineStr"/>
    </row>
    <row r="121" ht="15" customHeight="1">
      <c r="A121" t="inlineStr">
        <is>
          <t>A 31013-2022</t>
        </is>
      </c>
      <c r="B121" s="1" t="n">
        <v>44768</v>
      </c>
      <c r="C121" s="1" t="n">
        <v>45882</v>
      </c>
      <c r="D121" t="inlineStr">
        <is>
          <t>UPPSALA LÄN</t>
        </is>
      </c>
      <c r="E121" t="inlineStr">
        <is>
          <t>ENKÖPING</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29983-2021</t>
        </is>
      </c>
      <c r="B122" s="1" t="n">
        <v>44363</v>
      </c>
      <c r="C122" s="1" t="n">
        <v>45882</v>
      </c>
      <c r="D122" t="inlineStr">
        <is>
          <t>UPPSALA LÄN</t>
        </is>
      </c>
      <c r="E122" t="inlineStr">
        <is>
          <t>ENKÖPING</t>
        </is>
      </c>
      <c r="F122" t="inlineStr">
        <is>
          <t>Kommuner</t>
        </is>
      </c>
      <c r="G122" t="n">
        <v>3.1</v>
      </c>
      <c r="H122" t="n">
        <v>0</v>
      </c>
      <c r="I122" t="n">
        <v>0</v>
      </c>
      <c r="J122" t="n">
        <v>0</v>
      </c>
      <c r="K122" t="n">
        <v>0</v>
      </c>
      <c r="L122" t="n">
        <v>0</v>
      </c>
      <c r="M122" t="n">
        <v>0</v>
      </c>
      <c r="N122" t="n">
        <v>0</v>
      </c>
      <c r="O122" t="n">
        <v>0</v>
      </c>
      <c r="P122" t="n">
        <v>0</v>
      </c>
      <c r="Q122" t="n">
        <v>0</v>
      </c>
      <c r="R122" s="2" t="inlineStr"/>
    </row>
    <row r="123" ht="15" customHeight="1">
      <c r="A123" t="inlineStr">
        <is>
          <t>A 22912-2024</t>
        </is>
      </c>
      <c r="B123" s="1" t="n">
        <v>45448.73118055556</v>
      </c>
      <c r="C123" s="1" t="n">
        <v>45882</v>
      </c>
      <c r="D123" t="inlineStr">
        <is>
          <t>UPPSALA LÄN</t>
        </is>
      </c>
      <c r="E123" t="inlineStr">
        <is>
          <t>ENKÖPING</t>
        </is>
      </c>
      <c r="G123" t="n">
        <v>2.8</v>
      </c>
      <c r="H123" t="n">
        <v>0</v>
      </c>
      <c r="I123" t="n">
        <v>0</v>
      </c>
      <c r="J123" t="n">
        <v>0</v>
      </c>
      <c r="K123" t="n">
        <v>0</v>
      </c>
      <c r="L123" t="n">
        <v>0</v>
      </c>
      <c r="M123" t="n">
        <v>0</v>
      </c>
      <c r="N123" t="n">
        <v>0</v>
      </c>
      <c r="O123" t="n">
        <v>0</v>
      </c>
      <c r="P123" t="n">
        <v>0</v>
      </c>
      <c r="Q123" t="n">
        <v>0</v>
      </c>
      <c r="R123" s="2" t="inlineStr"/>
    </row>
    <row r="124" ht="15" customHeight="1">
      <c r="A124" t="inlineStr">
        <is>
          <t>A 21612-2023</t>
        </is>
      </c>
      <c r="B124" s="1" t="n">
        <v>45063</v>
      </c>
      <c r="C124" s="1" t="n">
        <v>45882</v>
      </c>
      <c r="D124" t="inlineStr">
        <is>
          <t>UPPSALA LÄN</t>
        </is>
      </c>
      <c r="E124" t="inlineStr">
        <is>
          <t>ENKÖPING</t>
        </is>
      </c>
      <c r="F124" t="inlineStr">
        <is>
          <t>Allmännings- och besparingsskogar</t>
        </is>
      </c>
      <c r="G124" t="n">
        <v>1</v>
      </c>
      <c r="H124" t="n">
        <v>0</v>
      </c>
      <c r="I124" t="n">
        <v>0</v>
      </c>
      <c r="J124" t="n">
        <v>0</v>
      </c>
      <c r="K124" t="n">
        <v>0</v>
      </c>
      <c r="L124" t="n">
        <v>0</v>
      </c>
      <c r="M124" t="n">
        <v>0</v>
      </c>
      <c r="N124" t="n">
        <v>0</v>
      </c>
      <c r="O124" t="n">
        <v>0</v>
      </c>
      <c r="P124" t="n">
        <v>0</v>
      </c>
      <c r="Q124" t="n">
        <v>0</v>
      </c>
      <c r="R124" s="2" t="inlineStr"/>
    </row>
    <row r="125" ht="15" customHeight="1">
      <c r="A125" t="inlineStr">
        <is>
          <t>A 14243-2025</t>
        </is>
      </c>
      <c r="B125" s="1" t="n">
        <v>45740.61288194444</v>
      </c>
      <c r="C125" s="1" t="n">
        <v>45882</v>
      </c>
      <c r="D125" t="inlineStr">
        <is>
          <t>UPPSALA LÄN</t>
        </is>
      </c>
      <c r="E125" t="inlineStr">
        <is>
          <t>ENKÖPING</t>
        </is>
      </c>
      <c r="G125" t="n">
        <v>2.2</v>
      </c>
      <c r="H125" t="n">
        <v>0</v>
      </c>
      <c r="I125" t="n">
        <v>0</v>
      </c>
      <c r="J125" t="n">
        <v>0</v>
      </c>
      <c r="K125" t="n">
        <v>0</v>
      </c>
      <c r="L125" t="n">
        <v>0</v>
      </c>
      <c r="M125" t="n">
        <v>0</v>
      </c>
      <c r="N125" t="n">
        <v>0</v>
      </c>
      <c r="O125" t="n">
        <v>0</v>
      </c>
      <c r="P125" t="n">
        <v>0</v>
      </c>
      <c r="Q125" t="n">
        <v>0</v>
      </c>
      <c r="R125" s="2" t="inlineStr"/>
    </row>
    <row r="126" ht="15" customHeight="1">
      <c r="A126" t="inlineStr">
        <is>
          <t>A 33343-2024</t>
        </is>
      </c>
      <c r="B126" s="1" t="n">
        <v>45519</v>
      </c>
      <c r="C126" s="1" t="n">
        <v>45882</v>
      </c>
      <c r="D126" t="inlineStr">
        <is>
          <t>UPPSALA LÄN</t>
        </is>
      </c>
      <c r="E126" t="inlineStr">
        <is>
          <t>ENKÖPING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61711-2020</t>
        </is>
      </c>
      <c r="B127" s="1" t="n">
        <v>44158</v>
      </c>
      <c r="C127" s="1" t="n">
        <v>45882</v>
      </c>
      <c r="D127" t="inlineStr">
        <is>
          <t>UPPSALA LÄN</t>
        </is>
      </c>
      <c r="E127" t="inlineStr">
        <is>
          <t>ENKÖPING</t>
        </is>
      </c>
      <c r="G127" t="n">
        <v>1.1</v>
      </c>
      <c r="H127" t="n">
        <v>0</v>
      </c>
      <c r="I127" t="n">
        <v>0</v>
      </c>
      <c r="J127" t="n">
        <v>0</v>
      </c>
      <c r="K127" t="n">
        <v>0</v>
      </c>
      <c r="L127" t="n">
        <v>0</v>
      </c>
      <c r="M127" t="n">
        <v>0</v>
      </c>
      <c r="N127" t="n">
        <v>0</v>
      </c>
      <c r="O127" t="n">
        <v>0</v>
      </c>
      <c r="P127" t="n">
        <v>0</v>
      </c>
      <c r="Q127" t="n">
        <v>0</v>
      </c>
      <c r="R127" s="2" t="inlineStr"/>
    </row>
    <row r="128" ht="15" customHeight="1">
      <c r="A128" t="inlineStr">
        <is>
          <t>A 12020-2024</t>
        </is>
      </c>
      <c r="B128" s="1" t="n">
        <v>45377</v>
      </c>
      <c r="C128" s="1" t="n">
        <v>45882</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10465-2022</t>
        </is>
      </c>
      <c r="B129" s="1" t="n">
        <v>44623</v>
      </c>
      <c r="C129" s="1" t="n">
        <v>45882</v>
      </c>
      <c r="D129" t="inlineStr">
        <is>
          <t>UPPSALA LÄN</t>
        </is>
      </c>
      <c r="E129" t="inlineStr">
        <is>
          <t>ENKÖPING</t>
        </is>
      </c>
      <c r="G129" t="n">
        <v>1.7</v>
      </c>
      <c r="H129" t="n">
        <v>0</v>
      </c>
      <c r="I129" t="n">
        <v>0</v>
      </c>
      <c r="J129" t="n">
        <v>0</v>
      </c>
      <c r="K129" t="n">
        <v>0</v>
      </c>
      <c r="L129" t="n">
        <v>0</v>
      </c>
      <c r="M129" t="n">
        <v>0</v>
      </c>
      <c r="N129" t="n">
        <v>0</v>
      </c>
      <c r="O129" t="n">
        <v>0</v>
      </c>
      <c r="P129" t="n">
        <v>0</v>
      </c>
      <c r="Q129" t="n">
        <v>0</v>
      </c>
      <c r="R129" s="2" t="inlineStr"/>
    </row>
    <row r="130" ht="15" customHeight="1">
      <c r="A130" t="inlineStr">
        <is>
          <t>A 14332-2024</t>
        </is>
      </c>
      <c r="B130" s="1" t="n">
        <v>45393</v>
      </c>
      <c r="C130" s="1" t="n">
        <v>45882</v>
      </c>
      <c r="D130" t="inlineStr">
        <is>
          <t>UPPSALA LÄN</t>
        </is>
      </c>
      <c r="E130" t="inlineStr">
        <is>
          <t>ENKÖPING</t>
        </is>
      </c>
      <c r="G130" t="n">
        <v>0.9</v>
      </c>
      <c r="H130" t="n">
        <v>0</v>
      </c>
      <c r="I130" t="n">
        <v>0</v>
      </c>
      <c r="J130" t="n">
        <v>0</v>
      </c>
      <c r="K130" t="n">
        <v>0</v>
      </c>
      <c r="L130" t="n">
        <v>0</v>
      </c>
      <c r="M130" t="n">
        <v>0</v>
      </c>
      <c r="N130" t="n">
        <v>0</v>
      </c>
      <c r="O130" t="n">
        <v>0</v>
      </c>
      <c r="P130" t="n">
        <v>0</v>
      </c>
      <c r="Q130" t="n">
        <v>0</v>
      </c>
      <c r="R130" s="2" t="inlineStr"/>
    </row>
    <row r="131" ht="15" customHeight="1">
      <c r="A131" t="inlineStr">
        <is>
          <t>A 61207-2023</t>
        </is>
      </c>
      <c r="B131" s="1" t="n">
        <v>45264.39444444444</v>
      </c>
      <c r="C131" s="1" t="n">
        <v>45882</v>
      </c>
      <c r="D131" t="inlineStr">
        <is>
          <t>UPPSALA LÄN</t>
        </is>
      </c>
      <c r="E131" t="inlineStr">
        <is>
          <t>ENKÖPING</t>
        </is>
      </c>
      <c r="G131" t="n">
        <v>10.8</v>
      </c>
      <c r="H131" t="n">
        <v>0</v>
      </c>
      <c r="I131" t="n">
        <v>0</v>
      </c>
      <c r="J131" t="n">
        <v>0</v>
      </c>
      <c r="K131" t="n">
        <v>0</v>
      </c>
      <c r="L131" t="n">
        <v>0</v>
      </c>
      <c r="M131" t="n">
        <v>0</v>
      </c>
      <c r="N131" t="n">
        <v>0</v>
      </c>
      <c r="O131" t="n">
        <v>0</v>
      </c>
      <c r="P131" t="n">
        <v>0</v>
      </c>
      <c r="Q131" t="n">
        <v>0</v>
      </c>
      <c r="R131" s="2" t="inlineStr"/>
    </row>
    <row r="132" ht="15" customHeight="1">
      <c r="A132" t="inlineStr">
        <is>
          <t>A 18302-2025</t>
        </is>
      </c>
      <c r="B132" s="1" t="n">
        <v>45762</v>
      </c>
      <c r="C132" s="1" t="n">
        <v>45882</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51092-2020</t>
        </is>
      </c>
      <c r="B133" s="1" t="n">
        <v>44112</v>
      </c>
      <c r="C133" s="1" t="n">
        <v>45882</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40812-2022</t>
        </is>
      </c>
      <c r="B134" s="1" t="n">
        <v>44824.68791666667</v>
      </c>
      <c r="C134" s="1" t="n">
        <v>45882</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28243-2023</t>
        </is>
      </c>
      <c r="B135" s="1" t="n">
        <v>45099.58885416666</v>
      </c>
      <c r="C135" s="1" t="n">
        <v>45882</v>
      </c>
      <c r="D135" t="inlineStr">
        <is>
          <t>UPPSALA LÄN</t>
        </is>
      </c>
      <c r="E135" t="inlineStr">
        <is>
          <t>ENKÖPING</t>
        </is>
      </c>
      <c r="G135" t="n">
        <v>1.9</v>
      </c>
      <c r="H135" t="n">
        <v>0</v>
      </c>
      <c r="I135" t="n">
        <v>0</v>
      </c>
      <c r="J135" t="n">
        <v>0</v>
      </c>
      <c r="K135" t="n">
        <v>0</v>
      </c>
      <c r="L135" t="n">
        <v>0</v>
      </c>
      <c r="M135" t="n">
        <v>0</v>
      </c>
      <c r="N135" t="n">
        <v>0</v>
      </c>
      <c r="O135" t="n">
        <v>0</v>
      </c>
      <c r="P135" t="n">
        <v>0</v>
      </c>
      <c r="Q135" t="n">
        <v>0</v>
      </c>
      <c r="R135" s="2" t="inlineStr"/>
    </row>
    <row r="136" ht="15" customHeight="1">
      <c r="A136" t="inlineStr">
        <is>
          <t>A 58896-2020</t>
        </is>
      </c>
      <c r="B136" s="1" t="n">
        <v>44146</v>
      </c>
      <c r="C136" s="1" t="n">
        <v>45882</v>
      </c>
      <c r="D136" t="inlineStr">
        <is>
          <t>UPPSALA LÄN</t>
        </is>
      </c>
      <c r="E136" t="inlineStr">
        <is>
          <t>ENKÖPING</t>
        </is>
      </c>
      <c r="G136" t="n">
        <v>2.5</v>
      </c>
      <c r="H136" t="n">
        <v>0</v>
      </c>
      <c r="I136" t="n">
        <v>0</v>
      </c>
      <c r="J136" t="n">
        <v>0</v>
      </c>
      <c r="K136" t="n">
        <v>0</v>
      </c>
      <c r="L136" t="n">
        <v>0</v>
      </c>
      <c r="M136" t="n">
        <v>0</v>
      </c>
      <c r="N136" t="n">
        <v>0</v>
      </c>
      <c r="O136" t="n">
        <v>0</v>
      </c>
      <c r="P136" t="n">
        <v>0</v>
      </c>
      <c r="Q136" t="n">
        <v>0</v>
      </c>
      <c r="R136" s="2" t="inlineStr"/>
    </row>
    <row r="137" ht="15" customHeight="1">
      <c r="A137" t="inlineStr">
        <is>
          <t>A 43691-2024</t>
        </is>
      </c>
      <c r="B137" s="1" t="n">
        <v>45569</v>
      </c>
      <c r="C137" s="1" t="n">
        <v>45882</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49597-2024</t>
        </is>
      </c>
      <c r="B138" s="1" t="n">
        <v>45596.5589699074</v>
      </c>
      <c r="C138" s="1" t="n">
        <v>45882</v>
      </c>
      <c r="D138" t="inlineStr">
        <is>
          <t>UPPSALA LÄN</t>
        </is>
      </c>
      <c r="E138" t="inlineStr">
        <is>
          <t>ENKÖPING</t>
        </is>
      </c>
      <c r="G138" t="n">
        <v>1.2</v>
      </c>
      <c r="H138" t="n">
        <v>0</v>
      </c>
      <c r="I138" t="n">
        <v>0</v>
      </c>
      <c r="J138" t="n">
        <v>0</v>
      </c>
      <c r="K138" t="n">
        <v>0</v>
      </c>
      <c r="L138" t="n">
        <v>0</v>
      </c>
      <c r="M138" t="n">
        <v>0</v>
      </c>
      <c r="N138" t="n">
        <v>0</v>
      </c>
      <c r="O138" t="n">
        <v>0</v>
      </c>
      <c r="P138" t="n">
        <v>0</v>
      </c>
      <c r="Q138" t="n">
        <v>0</v>
      </c>
      <c r="R138" s="2" t="inlineStr"/>
    </row>
    <row r="139" ht="15" customHeight="1">
      <c r="A139" t="inlineStr">
        <is>
          <t>A 3235-2025</t>
        </is>
      </c>
      <c r="B139" s="1" t="n">
        <v>45679</v>
      </c>
      <c r="C139" s="1" t="n">
        <v>45882</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41828-2024</t>
        </is>
      </c>
      <c r="B140" s="1" t="n">
        <v>45561</v>
      </c>
      <c r="C140" s="1" t="n">
        <v>45882</v>
      </c>
      <c r="D140" t="inlineStr">
        <is>
          <t>UPPSALA LÄN</t>
        </is>
      </c>
      <c r="E140" t="inlineStr">
        <is>
          <t>ENKÖPING</t>
        </is>
      </c>
      <c r="G140" t="n">
        <v>2.5</v>
      </c>
      <c r="H140" t="n">
        <v>0</v>
      </c>
      <c r="I140" t="n">
        <v>0</v>
      </c>
      <c r="J140" t="n">
        <v>0</v>
      </c>
      <c r="K140" t="n">
        <v>0</v>
      </c>
      <c r="L140" t="n">
        <v>0</v>
      </c>
      <c r="M140" t="n">
        <v>0</v>
      </c>
      <c r="N140" t="n">
        <v>0</v>
      </c>
      <c r="O140" t="n">
        <v>0</v>
      </c>
      <c r="P140" t="n">
        <v>0</v>
      </c>
      <c r="Q140" t="n">
        <v>0</v>
      </c>
      <c r="R140" s="2" t="inlineStr"/>
    </row>
    <row r="141" ht="15" customHeight="1">
      <c r="A141" t="inlineStr">
        <is>
          <t>A 49063-2024</t>
        </is>
      </c>
      <c r="B141" s="1" t="n">
        <v>45594.59869212963</v>
      </c>
      <c r="C141" s="1" t="n">
        <v>45882</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1536-2024</t>
        </is>
      </c>
      <c r="B142" s="1" t="n">
        <v>45306</v>
      </c>
      <c r="C142" s="1" t="n">
        <v>45882</v>
      </c>
      <c r="D142" t="inlineStr">
        <is>
          <t>UPPSALA LÄN</t>
        </is>
      </c>
      <c r="E142" t="inlineStr">
        <is>
          <t>ENKÖPING</t>
        </is>
      </c>
      <c r="F142" t="inlineStr">
        <is>
          <t>Kyrkan</t>
        </is>
      </c>
      <c r="G142" t="n">
        <v>5.6</v>
      </c>
      <c r="H142" t="n">
        <v>0</v>
      </c>
      <c r="I142" t="n">
        <v>0</v>
      </c>
      <c r="J142" t="n">
        <v>0</v>
      </c>
      <c r="K142" t="n">
        <v>0</v>
      </c>
      <c r="L142" t="n">
        <v>0</v>
      </c>
      <c r="M142" t="n">
        <v>0</v>
      </c>
      <c r="N142" t="n">
        <v>0</v>
      </c>
      <c r="O142" t="n">
        <v>0</v>
      </c>
      <c r="P142" t="n">
        <v>0</v>
      </c>
      <c r="Q142" t="n">
        <v>0</v>
      </c>
      <c r="R142" s="2" t="inlineStr"/>
    </row>
    <row r="143" ht="15" customHeight="1">
      <c r="A143" t="inlineStr">
        <is>
          <t>A 13853-2023</t>
        </is>
      </c>
      <c r="B143" s="1" t="n">
        <v>45007</v>
      </c>
      <c r="C143" s="1" t="n">
        <v>45882</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25333-2023</t>
        </is>
      </c>
      <c r="B144" s="1" t="n">
        <v>45083</v>
      </c>
      <c r="C144" s="1" t="n">
        <v>45882</v>
      </c>
      <c r="D144" t="inlineStr">
        <is>
          <t>UPPSALA LÄN</t>
        </is>
      </c>
      <c r="E144" t="inlineStr">
        <is>
          <t>ENKÖPING</t>
        </is>
      </c>
      <c r="G144" t="n">
        <v>2.7</v>
      </c>
      <c r="H144" t="n">
        <v>0</v>
      </c>
      <c r="I144" t="n">
        <v>0</v>
      </c>
      <c r="J144" t="n">
        <v>0</v>
      </c>
      <c r="K144" t="n">
        <v>0</v>
      </c>
      <c r="L144" t="n">
        <v>0</v>
      </c>
      <c r="M144" t="n">
        <v>0</v>
      </c>
      <c r="N144" t="n">
        <v>0</v>
      </c>
      <c r="O144" t="n">
        <v>0</v>
      </c>
      <c r="P144" t="n">
        <v>0</v>
      </c>
      <c r="Q144" t="n">
        <v>0</v>
      </c>
      <c r="R144" s="2" t="inlineStr"/>
    </row>
    <row r="145" ht="15" customHeight="1">
      <c r="A145" t="inlineStr">
        <is>
          <t>A 3300-2025</t>
        </is>
      </c>
      <c r="B145" s="1" t="n">
        <v>45679</v>
      </c>
      <c r="C145" s="1" t="n">
        <v>45882</v>
      </c>
      <c r="D145" t="inlineStr">
        <is>
          <t>UPPSALA LÄN</t>
        </is>
      </c>
      <c r="E145" t="inlineStr">
        <is>
          <t>ENKÖPING</t>
        </is>
      </c>
      <c r="G145" t="n">
        <v>8.9</v>
      </c>
      <c r="H145" t="n">
        <v>0</v>
      </c>
      <c r="I145" t="n">
        <v>0</v>
      </c>
      <c r="J145" t="n">
        <v>0</v>
      </c>
      <c r="K145" t="n">
        <v>0</v>
      </c>
      <c r="L145" t="n">
        <v>0</v>
      </c>
      <c r="M145" t="n">
        <v>0</v>
      </c>
      <c r="N145" t="n">
        <v>0</v>
      </c>
      <c r="O145" t="n">
        <v>0</v>
      </c>
      <c r="P145" t="n">
        <v>0</v>
      </c>
      <c r="Q145" t="n">
        <v>0</v>
      </c>
      <c r="R145" s="2" t="inlineStr"/>
    </row>
    <row r="146" ht="15" customHeight="1">
      <c r="A146" t="inlineStr">
        <is>
          <t>A 42564-2024</t>
        </is>
      </c>
      <c r="B146" s="1" t="n">
        <v>45565.63358796296</v>
      </c>
      <c r="C146" s="1" t="n">
        <v>45882</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43492-2023</t>
        </is>
      </c>
      <c r="B147" s="1" t="n">
        <v>45181</v>
      </c>
      <c r="C147" s="1" t="n">
        <v>45882</v>
      </c>
      <c r="D147" t="inlineStr">
        <is>
          <t>UPPSALA LÄN</t>
        </is>
      </c>
      <c r="E147" t="inlineStr">
        <is>
          <t>ENKÖPING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50747-2022</t>
        </is>
      </c>
      <c r="B148" s="1" t="n">
        <v>44867.40162037037</v>
      </c>
      <c r="C148" s="1" t="n">
        <v>45882</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17657-2025</t>
        </is>
      </c>
      <c r="B149" s="1" t="n">
        <v>45758.35006944444</v>
      </c>
      <c r="C149" s="1" t="n">
        <v>45882</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12754-2025</t>
        </is>
      </c>
      <c r="B150" s="1" t="n">
        <v>45733.56331018519</v>
      </c>
      <c r="C150" s="1" t="n">
        <v>45882</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49568-2022</t>
        </is>
      </c>
      <c r="B151" s="1" t="n">
        <v>44862.32791666667</v>
      </c>
      <c r="C151" s="1" t="n">
        <v>45882</v>
      </c>
      <c r="D151" t="inlineStr">
        <is>
          <t>UPPSALA LÄN</t>
        </is>
      </c>
      <c r="E151" t="inlineStr">
        <is>
          <t>ENKÖPING</t>
        </is>
      </c>
      <c r="G151" t="n">
        <v>0.9</v>
      </c>
      <c r="H151" t="n">
        <v>0</v>
      </c>
      <c r="I151" t="n">
        <v>0</v>
      </c>
      <c r="J151" t="n">
        <v>0</v>
      </c>
      <c r="K151" t="n">
        <v>0</v>
      </c>
      <c r="L151" t="n">
        <v>0</v>
      </c>
      <c r="M151" t="n">
        <v>0</v>
      </c>
      <c r="N151" t="n">
        <v>0</v>
      </c>
      <c r="O151" t="n">
        <v>0</v>
      </c>
      <c r="P151" t="n">
        <v>0</v>
      </c>
      <c r="Q151" t="n">
        <v>0</v>
      </c>
      <c r="R151" s="2" t="inlineStr"/>
    </row>
    <row r="152" ht="15" customHeight="1">
      <c r="A152" t="inlineStr">
        <is>
          <t>A 69567-2020</t>
        </is>
      </c>
      <c r="B152" s="1" t="n">
        <v>44194</v>
      </c>
      <c r="C152" s="1" t="n">
        <v>45882</v>
      </c>
      <c r="D152" t="inlineStr">
        <is>
          <t>UPPSALA LÄN</t>
        </is>
      </c>
      <c r="E152" t="inlineStr">
        <is>
          <t>ENKÖPING</t>
        </is>
      </c>
      <c r="G152" t="n">
        <v>1.6</v>
      </c>
      <c r="H152" t="n">
        <v>0</v>
      </c>
      <c r="I152" t="n">
        <v>0</v>
      </c>
      <c r="J152" t="n">
        <v>0</v>
      </c>
      <c r="K152" t="n">
        <v>0</v>
      </c>
      <c r="L152" t="n">
        <v>0</v>
      </c>
      <c r="M152" t="n">
        <v>0</v>
      </c>
      <c r="N152" t="n">
        <v>0</v>
      </c>
      <c r="O152" t="n">
        <v>0</v>
      </c>
      <c r="P152" t="n">
        <v>0</v>
      </c>
      <c r="Q152" t="n">
        <v>0</v>
      </c>
      <c r="R152" s="2" t="inlineStr"/>
    </row>
    <row r="153" ht="15" customHeight="1">
      <c r="A153" t="inlineStr">
        <is>
          <t>A 6626-2023</t>
        </is>
      </c>
      <c r="B153" s="1" t="n">
        <v>44966.55946759259</v>
      </c>
      <c r="C153" s="1" t="n">
        <v>45882</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47681-2024</t>
        </is>
      </c>
      <c r="B154" s="1" t="n">
        <v>45588</v>
      </c>
      <c r="C154" s="1" t="n">
        <v>45882</v>
      </c>
      <c r="D154" t="inlineStr">
        <is>
          <t>UPPSALA LÄN</t>
        </is>
      </c>
      <c r="E154" t="inlineStr">
        <is>
          <t>ENKÖPING</t>
        </is>
      </c>
      <c r="G154" t="n">
        <v>4.2</v>
      </c>
      <c r="H154" t="n">
        <v>0</v>
      </c>
      <c r="I154" t="n">
        <v>0</v>
      </c>
      <c r="J154" t="n">
        <v>0</v>
      </c>
      <c r="K154" t="n">
        <v>0</v>
      </c>
      <c r="L154" t="n">
        <v>0</v>
      </c>
      <c r="M154" t="n">
        <v>0</v>
      </c>
      <c r="N154" t="n">
        <v>0</v>
      </c>
      <c r="O154" t="n">
        <v>0</v>
      </c>
      <c r="P154" t="n">
        <v>0</v>
      </c>
      <c r="Q154" t="n">
        <v>0</v>
      </c>
      <c r="R154" s="2" t="inlineStr"/>
    </row>
    <row r="155" ht="15" customHeight="1">
      <c r="A155" t="inlineStr">
        <is>
          <t>A 16176-2025</t>
        </is>
      </c>
      <c r="B155" s="1" t="n">
        <v>45750</v>
      </c>
      <c r="C155" s="1" t="n">
        <v>45882</v>
      </c>
      <c r="D155" t="inlineStr">
        <is>
          <t>UPPSALA LÄN</t>
        </is>
      </c>
      <c r="E155" t="inlineStr">
        <is>
          <t>ENKÖPING</t>
        </is>
      </c>
      <c r="G155" t="n">
        <v>3.9</v>
      </c>
      <c r="H155" t="n">
        <v>0</v>
      </c>
      <c r="I155" t="n">
        <v>0</v>
      </c>
      <c r="J155" t="n">
        <v>0</v>
      </c>
      <c r="K155" t="n">
        <v>0</v>
      </c>
      <c r="L155" t="n">
        <v>0</v>
      </c>
      <c r="M155" t="n">
        <v>0</v>
      </c>
      <c r="N155" t="n">
        <v>0</v>
      </c>
      <c r="O155" t="n">
        <v>0</v>
      </c>
      <c r="P155" t="n">
        <v>0</v>
      </c>
      <c r="Q155" t="n">
        <v>0</v>
      </c>
      <c r="R155" s="2" t="inlineStr"/>
    </row>
    <row r="156" ht="15" customHeight="1">
      <c r="A156" t="inlineStr">
        <is>
          <t>A 53496-2022</t>
        </is>
      </c>
      <c r="B156" s="1" t="n">
        <v>44879.57217592592</v>
      </c>
      <c r="C156" s="1" t="n">
        <v>45882</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56713-2024</t>
        </is>
      </c>
      <c r="B157" s="1" t="n">
        <v>45628</v>
      </c>
      <c r="C157" s="1" t="n">
        <v>45882</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37870-2023</t>
        </is>
      </c>
      <c r="B158" s="1" t="n">
        <v>45160.41996527778</v>
      </c>
      <c r="C158" s="1" t="n">
        <v>45882</v>
      </c>
      <c r="D158" t="inlineStr">
        <is>
          <t>UPPSALA LÄN</t>
        </is>
      </c>
      <c r="E158" t="inlineStr">
        <is>
          <t>ENKÖPING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22094-2023</t>
        </is>
      </c>
      <c r="B159" s="1" t="n">
        <v>45069</v>
      </c>
      <c r="C159" s="1" t="n">
        <v>45882</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15942-2022</t>
        </is>
      </c>
      <c r="B160" s="1" t="n">
        <v>44664</v>
      </c>
      <c r="C160" s="1" t="n">
        <v>45882</v>
      </c>
      <c r="D160" t="inlineStr">
        <is>
          <t>UPPSALA LÄN</t>
        </is>
      </c>
      <c r="E160" t="inlineStr">
        <is>
          <t>ENKÖPING</t>
        </is>
      </c>
      <c r="G160" t="n">
        <v>6.6</v>
      </c>
      <c r="H160" t="n">
        <v>0</v>
      </c>
      <c r="I160" t="n">
        <v>0</v>
      </c>
      <c r="J160" t="n">
        <v>0</v>
      </c>
      <c r="K160" t="n">
        <v>0</v>
      </c>
      <c r="L160" t="n">
        <v>0</v>
      </c>
      <c r="M160" t="n">
        <v>0</v>
      </c>
      <c r="N160" t="n">
        <v>0</v>
      </c>
      <c r="O160" t="n">
        <v>0</v>
      </c>
      <c r="P160" t="n">
        <v>0</v>
      </c>
      <c r="Q160" t="n">
        <v>0</v>
      </c>
      <c r="R160" s="2" t="inlineStr"/>
    </row>
    <row r="161" ht="15" customHeight="1">
      <c r="A161" t="inlineStr">
        <is>
          <t>A 2974-2025</t>
        </is>
      </c>
      <c r="B161" s="1" t="n">
        <v>45678.47168981482</v>
      </c>
      <c r="C161" s="1" t="n">
        <v>45882</v>
      </c>
      <c r="D161" t="inlineStr">
        <is>
          <t>UPPSALA LÄN</t>
        </is>
      </c>
      <c r="E161" t="inlineStr">
        <is>
          <t>ENKÖPING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17165-2025</t>
        </is>
      </c>
      <c r="B162" s="1" t="n">
        <v>45756</v>
      </c>
      <c r="C162" s="1" t="n">
        <v>45882</v>
      </c>
      <c r="D162" t="inlineStr">
        <is>
          <t>UPPSALA LÄN</t>
        </is>
      </c>
      <c r="E162" t="inlineStr">
        <is>
          <t>ENKÖPING</t>
        </is>
      </c>
      <c r="G162" t="n">
        <v>0.9</v>
      </c>
      <c r="H162" t="n">
        <v>0</v>
      </c>
      <c r="I162" t="n">
        <v>0</v>
      </c>
      <c r="J162" t="n">
        <v>0</v>
      </c>
      <c r="K162" t="n">
        <v>0</v>
      </c>
      <c r="L162" t="n">
        <v>0</v>
      </c>
      <c r="M162" t="n">
        <v>0</v>
      </c>
      <c r="N162" t="n">
        <v>0</v>
      </c>
      <c r="O162" t="n">
        <v>0</v>
      </c>
      <c r="P162" t="n">
        <v>0</v>
      </c>
      <c r="Q162" t="n">
        <v>0</v>
      </c>
      <c r="R162" s="2" t="inlineStr"/>
    </row>
    <row r="163" ht="15" customHeight="1">
      <c r="A163" t="inlineStr">
        <is>
          <t>A 5013-2025</t>
        </is>
      </c>
      <c r="B163" s="1" t="n">
        <v>45691</v>
      </c>
      <c r="C163" s="1" t="n">
        <v>45882</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27786-2023</t>
        </is>
      </c>
      <c r="B164" s="1" t="n">
        <v>45098</v>
      </c>
      <c r="C164" s="1" t="n">
        <v>45882</v>
      </c>
      <c r="D164" t="inlineStr">
        <is>
          <t>UPPSALA LÄN</t>
        </is>
      </c>
      <c r="E164" t="inlineStr">
        <is>
          <t>ENKÖPING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15405-2025</t>
        </is>
      </c>
      <c r="B165" s="1" t="n">
        <v>45747.44670138889</v>
      </c>
      <c r="C165" s="1" t="n">
        <v>45882</v>
      </c>
      <c r="D165" t="inlineStr">
        <is>
          <t>UPPSALA LÄN</t>
        </is>
      </c>
      <c r="E165" t="inlineStr">
        <is>
          <t>ENKÖPING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37170-2021</t>
        </is>
      </c>
      <c r="B166" s="1" t="n">
        <v>44395</v>
      </c>
      <c r="C166" s="1" t="n">
        <v>45882</v>
      </c>
      <c r="D166" t="inlineStr">
        <is>
          <t>UPPSALA LÄN</t>
        </is>
      </c>
      <c r="E166" t="inlineStr">
        <is>
          <t>ENKÖPING</t>
        </is>
      </c>
      <c r="G166" t="n">
        <v>1.5</v>
      </c>
      <c r="H166" t="n">
        <v>0</v>
      </c>
      <c r="I166" t="n">
        <v>0</v>
      </c>
      <c r="J166" t="n">
        <v>0</v>
      </c>
      <c r="K166" t="n">
        <v>0</v>
      </c>
      <c r="L166" t="n">
        <v>0</v>
      </c>
      <c r="M166" t="n">
        <v>0</v>
      </c>
      <c r="N166" t="n">
        <v>0</v>
      </c>
      <c r="O166" t="n">
        <v>0</v>
      </c>
      <c r="P166" t="n">
        <v>0</v>
      </c>
      <c r="Q166" t="n">
        <v>0</v>
      </c>
      <c r="R166" s="2" t="inlineStr"/>
    </row>
    <row r="167" ht="15" customHeight="1">
      <c r="A167" t="inlineStr">
        <is>
          <t>A 35079-2024</t>
        </is>
      </c>
      <c r="B167" s="1" t="n">
        <v>45527.66770833333</v>
      </c>
      <c r="C167" s="1" t="n">
        <v>45882</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48864-2022</t>
        </is>
      </c>
      <c r="B168" s="1" t="n">
        <v>44859</v>
      </c>
      <c r="C168" s="1" t="n">
        <v>45882</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33581-2023</t>
        </is>
      </c>
      <c r="B169" s="1" t="n">
        <v>45131</v>
      </c>
      <c r="C169" s="1" t="n">
        <v>45882</v>
      </c>
      <c r="D169" t="inlineStr">
        <is>
          <t>UPPSALA LÄN</t>
        </is>
      </c>
      <c r="E169" t="inlineStr">
        <is>
          <t>ENKÖPING</t>
        </is>
      </c>
      <c r="G169" t="n">
        <v>3.5</v>
      </c>
      <c r="H169" t="n">
        <v>0</v>
      </c>
      <c r="I169" t="n">
        <v>0</v>
      </c>
      <c r="J169" t="n">
        <v>0</v>
      </c>
      <c r="K169" t="n">
        <v>0</v>
      </c>
      <c r="L169" t="n">
        <v>0</v>
      </c>
      <c r="M169" t="n">
        <v>0</v>
      </c>
      <c r="N169" t="n">
        <v>0</v>
      </c>
      <c r="O169" t="n">
        <v>0</v>
      </c>
      <c r="P169" t="n">
        <v>0</v>
      </c>
      <c r="Q169" t="n">
        <v>0</v>
      </c>
      <c r="R169" s="2" t="inlineStr"/>
    </row>
    <row r="170" ht="15" customHeight="1">
      <c r="A170" t="inlineStr">
        <is>
          <t>A 58147-2024</t>
        </is>
      </c>
      <c r="B170" s="1" t="n">
        <v>45632.4334375</v>
      </c>
      <c r="C170" s="1" t="n">
        <v>45882</v>
      </c>
      <c r="D170" t="inlineStr">
        <is>
          <t>UPPSALA LÄN</t>
        </is>
      </c>
      <c r="E170" t="inlineStr">
        <is>
          <t>ENKÖPING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17029-2025</t>
        </is>
      </c>
      <c r="B171" s="1" t="n">
        <v>45755.57291666666</v>
      </c>
      <c r="C171" s="1" t="n">
        <v>45882</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6242-2025</t>
        </is>
      </c>
      <c r="B172" s="1" t="n">
        <v>45697</v>
      </c>
      <c r="C172" s="1" t="n">
        <v>45882</v>
      </c>
      <c r="D172" t="inlineStr">
        <is>
          <t>UPPSALA LÄN</t>
        </is>
      </c>
      <c r="E172" t="inlineStr">
        <is>
          <t>ENKÖPING</t>
        </is>
      </c>
      <c r="G172" t="n">
        <v>17.9</v>
      </c>
      <c r="H172" t="n">
        <v>0</v>
      </c>
      <c r="I172" t="n">
        <v>0</v>
      </c>
      <c r="J172" t="n">
        <v>0</v>
      </c>
      <c r="K172" t="n">
        <v>0</v>
      </c>
      <c r="L172" t="n">
        <v>0</v>
      </c>
      <c r="M172" t="n">
        <v>0</v>
      </c>
      <c r="N172" t="n">
        <v>0</v>
      </c>
      <c r="O172" t="n">
        <v>0</v>
      </c>
      <c r="P172" t="n">
        <v>0</v>
      </c>
      <c r="Q172" t="n">
        <v>0</v>
      </c>
      <c r="R172" s="2" t="inlineStr"/>
    </row>
    <row r="173" ht="15" customHeight="1">
      <c r="A173" t="inlineStr">
        <is>
          <t>A 4562-2025</t>
        </is>
      </c>
      <c r="B173" s="1" t="n">
        <v>45687</v>
      </c>
      <c r="C173" s="1" t="n">
        <v>45882</v>
      </c>
      <c r="D173" t="inlineStr">
        <is>
          <t>UPPSALA LÄN</t>
        </is>
      </c>
      <c r="E173" t="inlineStr">
        <is>
          <t>ENKÖPING</t>
        </is>
      </c>
      <c r="G173" t="n">
        <v>2.5</v>
      </c>
      <c r="H173" t="n">
        <v>0</v>
      </c>
      <c r="I173" t="n">
        <v>0</v>
      </c>
      <c r="J173" t="n">
        <v>0</v>
      </c>
      <c r="K173" t="n">
        <v>0</v>
      </c>
      <c r="L173" t="n">
        <v>0</v>
      </c>
      <c r="M173" t="n">
        <v>0</v>
      </c>
      <c r="N173" t="n">
        <v>0</v>
      </c>
      <c r="O173" t="n">
        <v>0</v>
      </c>
      <c r="P173" t="n">
        <v>0</v>
      </c>
      <c r="Q173" t="n">
        <v>0</v>
      </c>
      <c r="R173" s="2" t="inlineStr"/>
    </row>
    <row r="174" ht="15" customHeight="1">
      <c r="A174" t="inlineStr">
        <is>
          <t>A 42459-2024</t>
        </is>
      </c>
      <c r="B174" s="1" t="n">
        <v>45565</v>
      </c>
      <c r="C174" s="1" t="n">
        <v>45882</v>
      </c>
      <c r="D174" t="inlineStr">
        <is>
          <t>UPPSALA LÄN</t>
        </is>
      </c>
      <c r="E174" t="inlineStr">
        <is>
          <t>ENKÖPING</t>
        </is>
      </c>
      <c r="G174" t="n">
        <v>3.6</v>
      </c>
      <c r="H174" t="n">
        <v>0</v>
      </c>
      <c r="I174" t="n">
        <v>0</v>
      </c>
      <c r="J174" t="n">
        <v>0</v>
      </c>
      <c r="K174" t="n">
        <v>0</v>
      </c>
      <c r="L174" t="n">
        <v>0</v>
      </c>
      <c r="M174" t="n">
        <v>0</v>
      </c>
      <c r="N174" t="n">
        <v>0</v>
      </c>
      <c r="O174" t="n">
        <v>0</v>
      </c>
      <c r="P174" t="n">
        <v>0</v>
      </c>
      <c r="Q174" t="n">
        <v>0</v>
      </c>
      <c r="R174" s="2" t="inlineStr"/>
    </row>
    <row r="175" ht="15" customHeight="1">
      <c r="A175" t="inlineStr">
        <is>
          <t>A 56163-2021</t>
        </is>
      </c>
      <c r="B175" s="1" t="n">
        <v>44477</v>
      </c>
      <c r="C175" s="1" t="n">
        <v>45882</v>
      </c>
      <c r="D175" t="inlineStr">
        <is>
          <t>UPPSALA LÄN</t>
        </is>
      </c>
      <c r="E175" t="inlineStr">
        <is>
          <t>ENKÖPING</t>
        </is>
      </c>
      <c r="F175" t="inlineStr">
        <is>
          <t>Allmännings- och besparingsskogar</t>
        </is>
      </c>
      <c r="G175" t="n">
        <v>0.6</v>
      </c>
      <c r="H175" t="n">
        <v>0</v>
      </c>
      <c r="I175" t="n">
        <v>0</v>
      </c>
      <c r="J175" t="n">
        <v>0</v>
      </c>
      <c r="K175" t="n">
        <v>0</v>
      </c>
      <c r="L175" t="n">
        <v>0</v>
      </c>
      <c r="M175" t="n">
        <v>0</v>
      </c>
      <c r="N175" t="n">
        <v>0</v>
      </c>
      <c r="O175" t="n">
        <v>0</v>
      </c>
      <c r="P175" t="n">
        <v>0</v>
      </c>
      <c r="Q175" t="n">
        <v>0</v>
      </c>
      <c r="R175" s="2" t="inlineStr"/>
    </row>
    <row r="176" ht="15" customHeight="1">
      <c r="A176" t="inlineStr">
        <is>
          <t>A 47909-2024</t>
        </is>
      </c>
      <c r="B176" s="1" t="n">
        <v>45589.31866898148</v>
      </c>
      <c r="C176" s="1" t="n">
        <v>45882</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3550-2023</t>
        </is>
      </c>
      <c r="B177" s="1" t="n">
        <v>44950</v>
      </c>
      <c r="C177" s="1" t="n">
        <v>45882</v>
      </c>
      <c r="D177" t="inlineStr">
        <is>
          <t>UPPSALA LÄN</t>
        </is>
      </c>
      <c r="E177" t="inlineStr">
        <is>
          <t>ENKÖPING</t>
        </is>
      </c>
      <c r="G177" t="n">
        <v>0.9</v>
      </c>
      <c r="H177" t="n">
        <v>0</v>
      </c>
      <c r="I177" t="n">
        <v>0</v>
      </c>
      <c r="J177" t="n">
        <v>0</v>
      </c>
      <c r="K177" t="n">
        <v>0</v>
      </c>
      <c r="L177" t="n">
        <v>0</v>
      </c>
      <c r="M177" t="n">
        <v>0</v>
      </c>
      <c r="N177" t="n">
        <v>0</v>
      </c>
      <c r="O177" t="n">
        <v>0</v>
      </c>
      <c r="P177" t="n">
        <v>0</v>
      </c>
      <c r="Q177" t="n">
        <v>0</v>
      </c>
      <c r="R177" s="2" t="inlineStr"/>
    </row>
    <row r="178" ht="15" customHeight="1">
      <c r="A178" t="inlineStr">
        <is>
          <t>A 60125-2024</t>
        </is>
      </c>
      <c r="B178" s="1" t="n">
        <v>45642</v>
      </c>
      <c r="C178" s="1" t="n">
        <v>45882</v>
      </c>
      <c r="D178" t="inlineStr">
        <is>
          <t>UPPSALA LÄN</t>
        </is>
      </c>
      <c r="E178" t="inlineStr">
        <is>
          <t>ENKÖPING</t>
        </is>
      </c>
      <c r="G178" t="n">
        <v>2.1</v>
      </c>
      <c r="H178" t="n">
        <v>0</v>
      </c>
      <c r="I178" t="n">
        <v>0</v>
      </c>
      <c r="J178" t="n">
        <v>0</v>
      </c>
      <c r="K178" t="n">
        <v>0</v>
      </c>
      <c r="L178" t="n">
        <v>0</v>
      </c>
      <c r="M178" t="n">
        <v>0</v>
      </c>
      <c r="N178" t="n">
        <v>0</v>
      </c>
      <c r="O178" t="n">
        <v>0</v>
      </c>
      <c r="P178" t="n">
        <v>0</v>
      </c>
      <c r="Q178" t="n">
        <v>0</v>
      </c>
      <c r="R178" s="2" t="inlineStr"/>
    </row>
    <row r="179" ht="15" customHeight="1">
      <c r="A179" t="inlineStr">
        <is>
          <t>A 51932-2022</t>
        </is>
      </c>
      <c r="B179" s="1" t="n">
        <v>44872</v>
      </c>
      <c r="C179" s="1" t="n">
        <v>45882</v>
      </c>
      <c r="D179" t="inlineStr">
        <is>
          <t>UPPSALA LÄN</t>
        </is>
      </c>
      <c r="E179" t="inlineStr">
        <is>
          <t>ENKÖPING</t>
        </is>
      </c>
      <c r="G179" t="n">
        <v>5.5</v>
      </c>
      <c r="H179" t="n">
        <v>0</v>
      </c>
      <c r="I179" t="n">
        <v>0</v>
      </c>
      <c r="J179" t="n">
        <v>0</v>
      </c>
      <c r="K179" t="n">
        <v>0</v>
      </c>
      <c r="L179" t="n">
        <v>0</v>
      </c>
      <c r="M179" t="n">
        <v>0</v>
      </c>
      <c r="N179" t="n">
        <v>0</v>
      </c>
      <c r="O179" t="n">
        <v>0</v>
      </c>
      <c r="P179" t="n">
        <v>0</v>
      </c>
      <c r="Q179" t="n">
        <v>0</v>
      </c>
      <c r="R179" s="2" t="inlineStr"/>
    </row>
    <row r="180" ht="15" customHeight="1">
      <c r="A180" t="inlineStr">
        <is>
          <t>A 39935-2020</t>
        </is>
      </c>
      <c r="B180" s="1" t="n">
        <v>44067</v>
      </c>
      <c r="C180" s="1" t="n">
        <v>45882</v>
      </c>
      <c r="D180" t="inlineStr">
        <is>
          <t>UPPSALA LÄN</t>
        </is>
      </c>
      <c r="E180" t="inlineStr">
        <is>
          <t>ENKÖPING</t>
        </is>
      </c>
      <c r="G180" t="n">
        <v>4.2</v>
      </c>
      <c r="H180" t="n">
        <v>0</v>
      </c>
      <c r="I180" t="n">
        <v>0</v>
      </c>
      <c r="J180" t="n">
        <v>0</v>
      </c>
      <c r="K180" t="n">
        <v>0</v>
      </c>
      <c r="L180" t="n">
        <v>0</v>
      </c>
      <c r="M180" t="n">
        <v>0</v>
      </c>
      <c r="N180" t="n">
        <v>0</v>
      </c>
      <c r="O180" t="n">
        <v>0</v>
      </c>
      <c r="P180" t="n">
        <v>0</v>
      </c>
      <c r="Q180" t="n">
        <v>0</v>
      </c>
      <c r="R180" s="2" t="inlineStr"/>
    </row>
    <row r="181" ht="15" customHeight="1">
      <c r="A181" t="inlineStr">
        <is>
          <t>A 19014-2025</t>
        </is>
      </c>
      <c r="B181" s="1" t="n">
        <v>45764.59631944444</v>
      </c>
      <c r="C181" s="1" t="n">
        <v>45882</v>
      </c>
      <c r="D181" t="inlineStr">
        <is>
          <t>UPPSALA LÄN</t>
        </is>
      </c>
      <c r="E181" t="inlineStr">
        <is>
          <t>ENKÖPING</t>
        </is>
      </c>
      <c r="G181" t="n">
        <v>0.2</v>
      </c>
      <c r="H181" t="n">
        <v>0</v>
      </c>
      <c r="I181" t="n">
        <v>0</v>
      </c>
      <c r="J181" t="n">
        <v>0</v>
      </c>
      <c r="K181" t="n">
        <v>0</v>
      </c>
      <c r="L181" t="n">
        <v>0</v>
      </c>
      <c r="M181" t="n">
        <v>0</v>
      </c>
      <c r="N181" t="n">
        <v>0</v>
      </c>
      <c r="O181" t="n">
        <v>0</v>
      </c>
      <c r="P181" t="n">
        <v>0</v>
      </c>
      <c r="Q181" t="n">
        <v>0</v>
      </c>
      <c r="R181" s="2" t="inlineStr"/>
    </row>
    <row r="182" ht="15" customHeight="1">
      <c r="A182" t="inlineStr">
        <is>
          <t>A 10468-2025</t>
        </is>
      </c>
      <c r="B182" s="1" t="n">
        <v>45720</v>
      </c>
      <c r="C182" s="1" t="n">
        <v>45882</v>
      </c>
      <c r="D182" t="inlineStr">
        <is>
          <t>UPPSALA LÄN</t>
        </is>
      </c>
      <c r="E182" t="inlineStr">
        <is>
          <t>ENKÖPING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5211-2024</t>
        </is>
      </c>
      <c r="B183" s="1" t="n">
        <v>45330</v>
      </c>
      <c r="C183" s="1" t="n">
        <v>45882</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10409-2025</t>
        </is>
      </c>
      <c r="B184" s="1" t="n">
        <v>45720.631875</v>
      </c>
      <c r="C184" s="1" t="n">
        <v>45882</v>
      </c>
      <c r="D184" t="inlineStr">
        <is>
          <t>UPPSALA LÄN</t>
        </is>
      </c>
      <c r="E184" t="inlineStr">
        <is>
          <t>ENKÖPING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18299-2025</t>
        </is>
      </c>
      <c r="B185" s="1" t="n">
        <v>45762</v>
      </c>
      <c r="C185" s="1" t="n">
        <v>45882</v>
      </c>
      <c r="D185" t="inlineStr">
        <is>
          <t>UPPSALA LÄN</t>
        </is>
      </c>
      <c r="E185" t="inlineStr">
        <is>
          <t>ENKÖPING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12958-2024</t>
        </is>
      </c>
      <c r="B186" s="1" t="n">
        <v>45385</v>
      </c>
      <c r="C186" s="1" t="n">
        <v>45882</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21686-2022</t>
        </is>
      </c>
      <c r="B187" s="1" t="n">
        <v>44707</v>
      </c>
      <c r="C187" s="1" t="n">
        <v>45882</v>
      </c>
      <c r="D187" t="inlineStr">
        <is>
          <t>UPPSALA LÄN</t>
        </is>
      </c>
      <c r="E187" t="inlineStr">
        <is>
          <t>ENKÖPING</t>
        </is>
      </c>
      <c r="G187" t="n">
        <v>2.2</v>
      </c>
      <c r="H187" t="n">
        <v>0</v>
      </c>
      <c r="I187" t="n">
        <v>0</v>
      </c>
      <c r="J187" t="n">
        <v>0</v>
      </c>
      <c r="K187" t="n">
        <v>0</v>
      </c>
      <c r="L187" t="n">
        <v>0</v>
      </c>
      <c r="M187" t="n">
        <v>0</v>
      </c>
      <c r="N187" t="n">
        <v>0</v>
      </c>
      <c r="O187" t="n">
        <v>0</v>
      </c>
      <c r="P187" t="n">
        <v>0</v>
      </c>
      <c r="Q187" t="n">
        <v>0</v>
      </c>
      <c r="R187" s="2" t="inlineStr"/>
    </row>
    <row r="188" ht="15" customHeight="1">
      <c r="A188" t="inlineStr">
        <is>
          <t>A 18831-2023</t>
        </is>
      </c>
      <c r="B188" s="1" t="n">
        <v>45044.40798611111</v>
      </c>
      <c r="C188" s="1" t="n">
        <v>45882</v>
      </c>
      <c r="D188" t="inlineStr">
        <is>
          <t>UPPSALA LÄN</t>
        </is>
      </c>
      <c r="E188" t="inlineStr">
        <is>
          <t>ENKÖPING</t>
        </is>
      </c>
      <c r="G188" t="n">
        <v>4.3</v>
      </c>
      <c r="H188" t="n">
        <v>0</v>
      </c>
      <c r="I188" t="n">
        <v>0</v>
      </c>
      <c r="J188" t="n">
        <v>0</v>
      </c>
      <c r="K188" t="n">
        <v>0</v>
      </c>
      <c r="L188" t="n">
        <v>0</v>
      </c>
      <c r="M188" t="n">
        <v>0</v>
      </c>
      <c r="N188" t="n">
        <v>0</v>
      </c>
      <c r="O188" t="n">
        <v>0</v>
      </c>
      <c r="P188" t="n">
        <v>0</v>
      </c>
      <c r="Q188" t="n">
        <v>0</v>
      </c>
      <c r="R188" s="2" t="inlineStr"/>
    </row>
    <row r="189" ht="15" customHeight="1">
      <c r="A189" t="inlineStr">
        <is>
          <t>A 46593-2020</t>
        </is>
      </c>
      <c r="B189" s="1" t="n">
        <v>44095</v>
      </c>
      <c r="C189" s="1" t="n">
        <v>45882</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1651-2024</t>
        </is>
      </c>
      <c r="B190" s="1" t="n">
        <v>45306.73770833333</v>
      </c>
      <c r="C190" s="1" t="n">
        <v>45882</v>
      </c>
      <c r="D190" t="inlineStr">
        <is>
          <t>UPPSALA LÄN</t>
        </is>
      </c>
      <c r="E190" t="inlineStr">
        <is>
          <t>ENKÖPING</t>
        </is>
      </c>
      <c r="G190" t="n">
        <v>10.2</v>
      </c>
      <c r="H190" t="n">
        <v>0</v>
      </c>
      <c r="I190" t="n">
        <v>0</v>
      </c>
      <c r="J190" t="n">
        <v>0</v>
      </c>
      <c r="K190" t="n">
        <v>0</v>
      </c>
      <c r="L190" t="n">
        <v>0</v>
      </c>
      <c r="M190" t="n">
        <v>0</v>
      </c>
      <c r="N190" t="n">
        <v>0</v>
      </c>
      <c r="O190" t="n">
        <v>0</v>
      </c>
      <c r="P190" t="n">
        <v>0</v>
      </c>
      <c r="Q190" t="n">
        <v>0</v>
      </c>
      <c r="R190" s="2" t="inlineStr"/>
    </row>
    <row r="191" ht="15" customHeight="1">
      <c r="A191" t="inlineStr">
        <is>
          <t>A 6172-2023</t>
        </is>
      </c>
      <c r="B191" s="1" t="n">
        <v>44964.68663194445</v>
      </c>
      <c r="C191" s="1" t="n">
        <v>45882</v>
      </c>
      <c r="D191" t="inlineStr">
        <is>
          <t>UPPSALA LÄN</t>
        </is>
      </c>
      <c r="E191" t="inlineStr">
        <is>
          <t>ENKÖPING</t>
        </is>
      </c>
      <c r="G191" t="n">
        <v>2.6</v>
      </c>
      <c r="H191" t="n">
        <v>0</v>
      </c>
      <c r="I191" t="n">
        <v>0</v>
      </c>
      <c r="J191" t="n">
        <v>0</v>
      </c>
      <c r="K191" t="n">
        <v>0</v>
      </c>
      <c r="L191" t="n">
        <v>0</v>
      </c>
      <c r="M191" t="n">
        <v>0</v>
      </c>
      <c r="N191" t="n">
        <v>0</v>
      </c>
      <c r="O191" t="n">
        <v>0</v>
      </c>
      <c r="P191" t="n">
        <v>0</v>
      </c>
      <c r="Q191" t="n">
        <v>0</v>
      </c>
      <c r="R191" s="2" t="inlineStr"/>
    </row>
    <row r="192" ht="15" customHeight="1">
      <c r="A192" t="inlineStr">
        <is>
          <t>A 14402-2023</t>
        </is>
      </c>
      <c r="B192" s="1" t="n">
        <v>45012</v>
      </c>
      <c r="C192" s="1" t="n">
        <v>45882</v>
      </c>
      <c r="D192" t="inlineStr">
        <is>
          <t>UPPSALA LÄN</t>
        </is>
      </c>
      <c r="E192" t="inlineStr">
        <is>
          <t>ENKÖPING</t>
        </is>
      </c>
      <c r="G192" t="n">
        <v>9.5</v>
      </c>
      <c r="H192" t="n">
        <v>0</v>
      </c>
      <c r="I192" t="n">
        <v>0</v>
      </c>
      <c r="J192" t="n">
        <v>0</v>
      </c>
      <c r="K192" t="n">
        <v>0</v>
      </c>
      <c r="L192" t="n">
        <v>0</v>
      </c>
      <c r="M192" t="n">
        <v>0</v>
      </c>
      <c r="N192" t="n">
        <v>0</v>
      </c>
      <c r="O192" t="n">
        <v>0</v>
      </c>
      <c r="P192" t="n">
        <v>0</v>
      </c>
      <c r="Q192" t="n">
        <v>0</v>
      </c>
      <c r="R192" s="2" t="inlineStr"/>
    </row>
    <row r="193" ht="15" customHeight="1">
      <c r="A193" t="inlineStr">
        <is>
          <t>A 18994-2025</t>
        </is>
      </c>
      <c r="B193" s="1" t="n">
        <v>45764.57350694444</v>
      </c>
      <c r="C193" s="1" t="n">
        <v>45882</v>
      </c>
      <c r="D193" t="inlineStr">
        <is>
          <t>UPPSALA LÄN</t>
        </is>
      </c>
      <c r="E193" t="inlineStr">
        <is>
          <t>ENKÖPING</t>
        </is>
      </c>
      <c r="G193" t="n">
        <v>3.8</v>
      </c>
      <c r="H193" t="n">
        <v>0</v>
      </c>
      <c r="I193" t="n">
        <v>0</v>
      </c>
      <c r="J193" t="n">
        <v>0</v>
      </c>
      <c r="K193" t="n">
        <v>0</v>
      </c>
      <c r="L193" t="n">
        <v>0</v>
      </c>
      <c r="M193" t="n">
        <v>0</v>
      </c>
      <c r="N193" t="n">
        <v>0</v>
      </c>
      <c r="O193" t="n">
        <v>0</v>
      </c>
      <c r="P193" t="n">
        <v>0</v>
      </c>
      <c r="Q193" t="n">
        <v>0</v>
      </c>
      <c r="R193" s="2" t="inlineStr"/>
    </row>
    <row r="194" ht="15" customHeight="1">
      <c r="A194" t="inlineStr">
        <is>
          <t>A 51012-2024</t>
        </is>
      </c>
      <c r="B194" s="1" t="n">
        <v>45603.39686342593</v>
      </c>
      <c r="C194" s="1" t="n">
        <v>45882</v>
      </c>
      <c r="D194" t="inlineStr">
        <is>
          <t>UPPSALA LÄN</t>
        </is>
      </c>
      <c r="E194" t="inlineStr">
        <is>
          <t>ENKÖPING</t>
        </is>
      </c>
      <c r="G194" t="n">
        <v>2.7</v>
      </c>
      <c r="H194" t="n">
        <v>0</v>
      </c>
      <c r="I194" t="n">
        <v>0</v>
      </c>
      <c r="J194" t="n">
        <v>0</v>
      </c>
      <c r="K194" t="n">
        <v>0</v>
      </c>
      <c r="L194" t="n">
        <v>0</v>
      </c>
      <c r="M194" t="n">
        <v>0</v>
      </c>
      <c r="N194" t="n">
        <v>0</v>
      </c>
      <c r="O194" t="n">
        <v>0</v>
      </c>
      <c r="P194" t="n">
        <v>0</v>
      </c>
      <c r="Q194" t="n">
        <v>0</v>
      </c>
      <c r="R194" s="2" t="inlineStr"/>
    </row>
    <row r="195" ht="15" customHeight="1">
      <c r="A195" t="inlineStr">
        <is>
          <t>A 51037-2024</t>
        </is>
      </c>
      <c r="B195" s="1" t="n">
        <v>45603.43005787037</v>
      </c>
      <c r="C195" s="1" t="n">
        <v>45882</v>
      </c>
      <c r="D195" t="inlineStr">
        <is>
          <t>UPPSALA LÄN</t>
        </is>
      </c>
      <c r="E195" t="inlineStr">
        <is>
          <t>ENKÖPING</t>
        </is>
      </c>
      <c r="G195" t="n">
        <v>5.7</v>
      </c>
      <c r="H195" t="n">
        <v>0</v>
      </c>
      <c r="I195" t="n">
        <v>0</v>
      </c>
      <c r="J195" t="n">
        <v>0</v>
      </c>
      <c r="K195" t="n">
        <v>0</v>
      </c>
      <c r="L195" t="n">
        <v>0</v>
      </c>
      <c r="M195" t="n">
        <v>0</v>
      </c>
      <c r="N195" t="n">
        <v>0</v>
      </c>
      <c r="O195" t="n">
        <v>0</v>
      </c>
      <c r="P195" t="n">
        <v>0</v>
      </c>
      <c r="Q195" t="n">
        <v>0</v>
      </c>
      <c r="R195" s="2" t="inlineStr"/>
    </row>
    <row r="196" ht="15" customHeight="1">
      <c r="A196" t="inlineStr">
        <is>
          <t>A 59497-2022</t>
        </is>
      </c>
      <c r="B196" s="1" t="n">
        <v>44907.48258101852</v>
      </c>
      <c r="C196" s="1" t="n">
        <v>45882</v>
      </c>
      <c r="D196" t="inlineStr">
        <is>
          <t>UPPSALA LÄN</t>
        </is>
      </c>
      <c r="E196" t="inlineStr">
        <is>
          <t>ENKÖPING</t>
        </is>
      </c>
      <c r="G196" t="n">
        <v>1.1</v>
      </c>
      <c r="H196" t="n">
        <v>0</v>
      </c>
      <c r="I196" t="n">
        <v>0</v>
      </c>
      <c r="J196" t="n">
        <v>0</v>
      </c>
      <c r="K196" t="n">
        <v>0</v>
      </c>
      <c r="L196" t="n">
        <v>0</v>
      </c>
      <c r="M196" t="n">
        <v>0</v>
      </c>
      <c r="N196" t="n">
        <v>0</v>
      </c>
      <c r="O196" t="n">
        <v>0</v>
      </c>
      <c r="P196" t="n">
        <v>0</v>
      </c>
      <c r="Q196" t="n">
        <v>0</v>
      </c>
      <c r="R196" s="2" t="inlineStr"/>
    </row>
    <row r="197" ht="15" customHeight="1">
      <c r="A197" t="inlineStr">
        <is>
          <t>A 9041-2023</t>
        </is>
      </c>
      <c r="B197" s="1" t="n">
        <v>44979</v>
      </c>
      <c r="C197" s="1" t="n">
        <v>45882</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57940-2022</t>
        </is>
      </c>
      <c r="B198" s="1" t="n">
        <v>44900</v>
      </c>
      <c r="C198" s="1" t="n">
        <v>45882</v>
      </c>
      <c r="D198" t="inlineStr">
        <is>
          <t>UPPSALA LÄN</t>
        </is>
      </c>
      <c r="E198" t="inlineStr">
        <is>
          <t>ENKÖPING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27983-2024</t>
        </is>
      </c>
      <c r="B199" s="1" t="n">
        <v>45476</v>
      </c>
      <c r="C199" s="1" t="n">
        <v>45882</v>
      </c>
      <c r="D199" t="inlineStr">
        <is>
          <t>UPPSALA LÄN</t>
        </is>
      </c>
      <c r="E199" t="inlineStr">
        <is>
          <t>ENKÖPING</t>
        </is>
      </c>
      <c r="G199" t="n">
        <v>3.2</v>
      </c>
      <c r="H199" t="n">
        <v>0</v>
      </c>
      <c r="I199" t="n">
        <v>0</v>
      </c>
      <c r="J199" t="n">
        <v>0</v>
      </c>
      <c r="K199" t="n">
        <v>0</v>
      </c>
      <c r="L199" t="n">
        <v>0</v>
      </c>
      <c r="M199" t="n">
        <v>0</v>
      </c>
      <c r="N199" t="n">
        <v>0</v>
      </c>
      <c r="O199" t="n">
        <v>0</v>
      </c>
      <c r="P199" t="n">
        <v>0</v>
      </c>
      <c r="Q199" t="n">
        <v>0</v>
      </c>
      <c r="R199" s="2" t="inlineStr"/>
    </row>
    <row r="200" ht="15" customHeight="1">
      <c r="A200" t="inlineStr">
        <is>
          <t>A 12755-2025</t>
        </is>
      </c>
      <c r="B200" s="1" t="n">
        <v>45733.56541666666</v>
      </c>
      <c r="C200" s="1" t="n">
        <v>45882</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59027-2024</t>
        </is>
      </c>
      <c r="B201" s="1" t="n">
        <v>45636.68755787037</v>
      </c>
      <c r="C201" s="1" t="n">
        <v>45882</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19298-2023</t>
        </is>
      </c>
      <c r="B202" s="1" t="n">
        <v>45048</v>
      </c>
      <c r="C202" s="1" t="n">
        <v>45882</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6147-2021</t>
        </is>
      </c>
      <c r="B203" s="1" t="n">
        <v>44232</v>
      </c>
      <c r="C203" s="1" t="n">
        <v>45882</v>
      </c>
      <c r="D203" t="inlineStr">
        <is>
          <t>UPPSALA LÄN</t>
        </is>
      </c>
      <c r="E203" t="inlineStr">
        <is>
          <t>ENKÖPING</t>
        </is>
      </c>
      <c r="G203" t="n">
        <v>1.6</v>
      </c>
      <c r="H203" t="n">
        <v>0</v>
      </c>
      <c r="I203" t="n">
        <v>0</v>
      </c>
      <c r="J203" t="n">
        <v>0</v>
      </c>
      <c r="K203" t="n">
        <v>0</v>
      </c>
      <c r="L203" t="n">
        <v>0</v>
      </c>
      <c r="M203" t="n">
        <v>0</v>
      </c>
      <c r="N203" t="n">
        <v>0</v>
      </c>
      <c r="O203" t="n">
        <v>0</v>
      </c>
      <c r="P203" t="n">
        <v>0</v>
      </c>
      <c r="Q203" t="n">
        <v>0</v>
      </c>
      <c r="R203" s="2" t="inlineStr"/>
    </row>
    <row r="204" ht="15" customHeight="1">
      <c r="A204" t="inlineStr">
        <is>
          <t>A 53587-2024</t>
        </is>
      </c>
      <c r="B204" s="1" t="n">
        <v>45614.66953703704</v>
      </c>
      <c r="C204" s="1" t="n">
        <v>45882</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63310-2021</t>
        </is>
      </c>
      <c r="B205" s="1" t="n">
        <v>44508</v>
      </c>
      <c r="C205" s="1" t="n">
        <v>45882</v>
      </c>
      <c r="D205" t="inlineStr">
        <is>
          <t>UPPSALA LÄN</t>
        </is>
      </c>
      <c r="E205" t="inlineStr">
        <is>
          <t>ENKÖPING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15939-2022</t>
        </is>
      </c>
      <c r="B206" s="1" t="n">
        <v>44664</v>
      </c>
      <c r="C206" s="1" t="n">
        <v>45882</v>
      </c>
      <c r="D206" t="inlineStr">
        <is>
          <t>UPPSALA LÄN</t>
        </is>
      </c>
      <c r="E206" t="inlineStr">
        <is>
          <t>ENKÖPING</t>
        </is>
      </c>
      <c r="G206" t="n">
        <v>2</v>
      </c>
      <c r="H206" t="n">
        <v>0</v>
      </c>
      <c r="I206" t="n">
        <v>0</v>
      </c>
      <c r="J206" t="n">
        <v>0</v>
      </c>
      <c r="K206" t="n">
        <v>0</v>
      </c>
      <c r="L206" t="n">
        <v>0</v>
      </c>
      <c r="M206" t="n">
        <v>0</v>
      </c>
      <c r="N206" t="n">
        <v>0</v>
      </c>
      <c r="O206" t="n">
        <v>0</v>
      </c>
      <c r="P206" t="n">
        <v>0</v>
      </c>
      <c r="Q206" t="n">
        <v>0</v>
      </c>
      <c r="R206" s="2" t="inlineStr"/>
    </row>
    <row r="207" ht="15" customHeight="1">
      <c r="A207" t="inlineStr">
        <is>
          <t>A 11503-2024</t>
        </is>
      </c>
      <c r="B207" s="1" t="n">
        <v>45372.68020833333</v>
      </c>
      <c r="C207" s="1" t="n">
        <v>45882</v>
      </c>
      <c r="D207" t="inlineStr">
        <is>
          <t>UPPSALA LÄN</t>
        </is>
      </c>
      <c r="E207" t="inlineStr">
        <is>
          <t>ENKÖPING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57153-2021</t>
        </is>
      </c>
      <c r="B208" s="1" t="n">
        <v>44482</v>
      </c>
      <c r="C208" s="1" t="n">
        <v>45882</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58062-2020</t>
        </is>
      </c>
      <c r="B209" s="1" t="n">
        <v>44144</v>
      </c>
      <c r="C209" s="1" t="n">
        <v>45882</v>
      </c>
      <c r="D209" t="inlineStr">
        <is>
          <t>UPPSALA LÄN</t>
        </is>
      </c>
      <c r="E209" t="inlineStr">
        <is>
          <t>ENKÖPING</t>
        </is>
      </c>
      <c r="G209" t="n">
        <v>2.3</v>
      </c>
      <c r="H209" t="n">
        <v>0</v>
      </c>
      <c r="I209" t="n">
        <v>0</v>
      </c>
      <c r="J209" t="n">
        <v>0</v>
      </c>
      <c r="K209" t="n">
        <v>0</v>
      </c>
      <c r="L209" t="n">
        <v>0</v>
      </c>
      <c r="M209" t="n">
        <v>0</v>
      </c>
      <c r="N209" t="n">
        <v>0</v>
      </c>
      <c r="O209" t="n">
        <v>0</v>
      </c>
      <c r="P209" t="n">
        <v>0</v>
      </c>
      <c r="Q209" t="n">
        <v>0</v>
      </c>
      <c r="R209" s="2" t="inlineStr"/>
    </row>
    <row r="210" ht="15" customHeight="1">
      <c r="A210" t="inlineStr">
        <is>
          <t>A 20440-2025</t>
        </is>
      </c>
      <c r="B210" s="1" t="n">
        <v>45775</v>
      </c>
      <c r="C210" s="1" t="n">
        <v>45882</v>
      </c>
      <c r="D210" t="inlineStr">
        <is>
          <t>UPPSALA LÄN</t>
        </is>
      </c>
      <c r="E210" t="inlineStr">
        <is>
          <t>ENKÖPING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43697-2024</t>
        </is>
      </c>
      <c r="B211" s="1" t="n">
        <v>45569</v>
      </c>
      <c r="C211" s="1" t="n">
        <v>45882</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39115-2024</t>
        </is>
      </c>
      <c r="B212" s="1" t="n">
        <v>45548</v>
      </c>
      <c r="C212" s="1" t="n">
        <v>45882</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53343-2020</t>
        </is>
      </c>
      <c r="B213" s="1" t="n">
        <v>44123.53505787037</v>
      </c>
      <c r="C213" s="1" t="n">
        <v>45882</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25334-2023</t>
        </is>
      </c>
      <c r="B214" s="1" t="n">
        <v>45083</v>
      </c>
      <c r="C214" s="1" t="n">
        <v>45882</v>
      </c>
      <c r="D214" t="inlineStr">
        <is>
          <t>UPPSALA LÄN</t>
        </is>
      </c>
      <c r="E214" t="inlineStr">
        <is>
          <t>ENKÖPING</t>
        </is>
      </c>
      <c r="G214" t="n">
        <v>0.2</v>
      </c>
      <c r="H214" t="n">
        <v>0</v>
      </c>
      <c r="I214" t="n">
        <v>0</v>
      </c>
      <c r="J214" t="n">
        <v>0</v>
      </c>
      <c r="K214" t="n">
        <v>0</v>
      </c>
      <c r="L214" t="n">
        <v>0</v>
      </c>
      <c r="M214" t="n">
        <v>0</v>
      </c>
      <c r="N214" t="n">
        <v>0</v>
      </c>
      <c r="O214" t="n">
        <v>0</v>
      </c>
      <c r="P214" t="n">
        <v>0</v>
      </c>
      <c r="Q214" t="n">
        <v>0</v>
      </c>
      <c r="R214" s="2" t="inlineStr"/>
    </row>
    <row r="215" ht="15" customHeight="1">
      <c r="A215" t="inlineStr">
        <is>
          <t>A 17979-2025</t>
        </is>
      </c>
      <c r="B215" s="1" t="n">
        <v>45761</v>
      </c>
      <c r="C215" s="1" t="n">
        <v>45882</v>
      </c>
      <c r="D215" t="inlineStr">
        <is>
          <t>UPPSALA LÄN</t>
        </is>
      </c>
      <c r="E215" t="inlineStr">
        <is>
          <t>ENKÖPING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45283-2022</t>
        </is>
      </c>
      <c r="B216" s="1" t="n">
        <v>44844</v>
      </c>
      <c r="C216" s="1" t="n">
        <v>45882</v>
      </c>
      <c r="D216" t="inlineStr">
        <is>
          <t>UPPSALA LÄN</t>
        </is>
      </c>
      <c r="E216" t="inlineStr">
        <is>
          <t>ENKÖPING</t>
        </is>
      </c>
      <c r="G216" t="n">
        <v>5.9</v>
      </c>
      <c r="H216" t="n">
        <v>0</v>
      </c>
      <c r="I216" t="n">
        <v>0</v>
      </c>
      <c r="J216" t="n">
        <v>0</v>
      </c>
      <c r="K216" t="n">
        <v>0</v>
      </c>
      <c r="L216" t="n">
        <v>0</v>
      </c>
      <c r="M216" t="n">
        <v>0</v>
      </c>
      <c r="N216" t="n">
        <v>0</v>
      </c>
      <c r="O216" t="n">
        <v>0</v>
      </c>
      <c r="P216" t="n">
        <v>0</v>
      </c>
      <c r="Q216" t="n">
        <v>0</v>
      </c>
      <c r="R216" s="2" t="inlineStr"/>
    </row>
    <row r="217" ht="15" customHeight="1">
      <c r="A217" t="inlineStr">
        <is>
          <t>A 17038-2025</t>
        </is>
      </c>
      <c r="B217" s="1" t="n">
        <v>45755.57776620371</v>
      </c>
      <c r="C217" s="1" t="n">
        <v>45882</v>
      </c>
      <c r="D217" t="inlineStr">
        <is>
          <t>UPPSALA LÄN</t>
        </is>
      </c>
      <c r="E217" t="inlineStr">
        <is>
          <t>ENKÖPING</t>
        </is>
      </c>
      <c r="G217" t="n">
        <v>4.8</v>
      </c>
      <c r="H217" t="n">
        <v>0</v>
      </c>
      <c r="I217" t="n">
        <v>0</v>
      </c>
      <c r="J217" t="n">
        <v>0</v>
      </c>
      <c r="K217" t="n">
        <v>0</v>
      </c>
      <c r="L217" t="n">
        <v>0</v>
      </c>
      <c r="M217" t="n">
        <v>0</v>
      </c>
      <c r="N217" t="n">
        <v>0</v>
      </c>
      <c r="O217" t="n">
        <v>0</v>
      </c>
      <c r="P217" t="n">
        <v>0</v>
      </c>
      <c r="Q217" t="n">
        <v>0</v>
      </c>
      <c r="R217" s="2" t="inlineStr"/>
    </row>
    <row r="218" ht="15" customHeight="1">
      <c r="A218" t="inlineStr">
        <is>
          <t>A 19488-2022</t>
        </is>
      </c>
      <c r="B218" s="1" t="n">
        <v>44693</v>
      </c>
      <c r="C218" s="1" t="n">
        <v>45882</v>
      </c>
      <c r="D218" t="inlineStr">
        <is>
          <t>UPPSALA LÄN</t>
        </is>
      </c>
      <c r="E218" t="inlineStr">
        <is>
          <t>ENKÖPING</t>
        </is>
      </c>
      <c r="G218" t="n">
        <v>7.8</v>
      </c>
      <c r="H218" t="n">
        <v>0</v>
      </c>
      <c r="I218" t="n">
        <v>0</v>
      </c>
      <c r="J218" t="n">
        <v>0</v>
      </c>
      <c r="K218" t="n">
        <v>0</v>
      </c>
      <c r="L218" t="n">
        <v>0</v>
      </c>
      <c r="M218" t="n">
        <v>0</v>
      </c>
      <c r="N218" t="n">
        <v>0</v>
      </c>
      <c r="O218" t="n">
        <v>0</v>
      </c>
      <c r="P218" t="n">
        <v>0</v>
      </c>
      <c r="Q218" t="n">
        <v>0</v>
      </c>
      <c r="R218" s="2" t="inlineStr"/>
    </row>
    <row r="219" ht="15" customHeight="1">
      <c r="A219" t="inlineStr">
        <is>
          <t>A 56837-2024</t>
        </is>
      </c>
      <c r="B219" s="1" t="n">
        <v>45628</v>
      </c>
      <c r="C219" s="1" t="n">
        <v>45882</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5188-2022</t>
        </is>
      </c>
      <c r="B220" s="1" t="n">
        <v>44594.4471412037</v>
      </c>
      <c r="C220" s="1" t="n">
        <v>45882</v>
      </c>
      <c r="D220" t="inlineStr">
        <is>
          <t>UPPSALA LÄN</t>
        </is>
      </c>
      <c r="E220" t="inlineStr">
        <is>
          <t>ENKÖPING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41826-2024</t>
        </is>
      </c>
      <c r="B221" s="1" t="n">
        <v>45561</v>
      </c>
      <c r="C221" s="1" t="n">
        <v>45882</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31622-2022</t>
        </is>
      </c>
      <c r="B222" s="1" t="n">
        <v>44775</v>
      </c>
      <c r="C222" s="1" t="n">
        <v>45882</v>
      </c>
      <c r="D222" t="inlineStr">
        <is>
          <t>UPPSALA LÄN</t>
        </is>
      </c>
      <c r="E222" t="inlineStr">
        <is>
          <t>ENKÖPING</t>
        </is>
      </c>
      <c r="G222" t="n">
        <v>1.5</v>
      </c>
      <c r="H222" t="n">
        <v>0</v>
      </c>
      <c r="I222" t="n">
        <v>0</v>
      </c>
      <c r="J222" t="n">
        <v>0</v>
      </c>
      <c r="K222" t="n">
        <v>0</v>
      </c>
      <c r="L222" t="n">
        <v>0</v>
      </c>
      <c r="M222" t="n">
        <v>0</v>
      </c>
      <c r="N222" t="n">
        <v>0</v>
      </c>
      <c r="O222" t="n">
        <v>0</v>
      </c>
      <c r="P222" t="n">
        <v>0</v>
      </c>
      <c r="Q222" t="n">
        <v>0</v>
      </c>
      <c r="R222" s="2" t="inlineStr"/>
    </row>
    <row r="223" ht="15" customHeight="1">
      <c r="A223" t="inlineStr">
        <is>
          <t>A 42589-2022</t>
        </is>
      </c>
      <c r="B223" s="1" t="n">
        <v>44831</v>
      </c>
      <c r="C223" s="1" t="n">
        <v>45882</v>
      </c>
      <c r="D223" t="inlineStr">
        <is>
          <t>UPPSALA LÄN</t>
        </is>
      </c>
      <c r="E223" t="inlineStr">
        <is>
          <t>ENKÖPING</t>
        </is>
      </c>
      <c r="G223" t="n">
        <v>20</v>
      </c>
      <c r="H223" t="n">
        <v>0</v>
      </c>
      <c r="I223" t="n">
        <v>0</v>
      </c>
      <c r="J223" t="n">
        <v>0</v>
      </c>
      <c r="K223" t="n">
        <v>0</v>
      </c>
      <c r="L223" t="n">
        <v>0</v>
      </c>
      <c r="M223" t="n">
        <v>0</v>
      </c>
      <c r="N223" t="n">
        <v>0</v>
      </c>
      <c r="O223" t="n">
        <v>0</v>
      </c>
      <c r="P223" t="n">
        <v>0</v>
      </c>
      <c r="Q223" t="n">
        <v>0</v>
      </c>
      <c r="R223" s="2" t="inlineStr"/>
    </row>
    <row r="224" ht="15" customHeight="1">
      <c r="A224" t="inlineStr">
        <is>
          <t>A 840-2025</t>
        </is>
      </c>
      <c r="B224" s="1" t="n">
        <v>45665</v>
      </c>
      <c r="C224" s="1" t="n">
        <v>45882</v>
      </c>
      <c r="D224" t="inlineStr">
        <is>
          <t>UPPSALA LÄN</t>
        </is>
      </c>
      <c r="E224" t="inlineStr">
        <is>
          <t>ENKÖPING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37115-2024</t>
        </is>
      </c>
      <c r="B225" s="1" t="n">
        <v>45539</v>
      </c>
      <c r="C225" s="1" t="n">
        <v>45882</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12102-2024</t>
        </is>
      </c>
      <c r="B226" s="1" t="n">
        <v>45377</v>
      </c>
      <c r="C226" s="1" t="n">
        <v>45882</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18821-2023</t>
        </is>
      </c>
      <c r="B227" s="1" t="n">
        <v>45044.3782175926</v>
      </c>
      <c r="C227" s="1" t="n">
        <v>45882</v>
      </c>
      <c r="D227" t="inlineStr">
        <is>
          <t>UPPSALA LÄN</t>
        </is>
      </c>
      <c r="E227" t="inlineStr">
        <is>
          <t>ENKÖPING</t>
        </is>
      </c>
      <c r="G227" t="n">
        <v>6</v>
      </c>
      <c r="H227" t="n">
        <v>0</v>
      </c>
      <c r="I227" t="n">
        <v>0</v>
      </c>
      <c r="J227" t="n">
        <v>0</v>
      </c>
      <c r="K227" t="n">
        <v>0</v>
      </c>
      <c r="L227" t="n">
        <v>0</v>
      </c>
      <c r="M227" t="n">
        <v>0</v>
      </c>
      <c r="N227" t="n">
        <v>0</v>
      </c>
      <c r="O227" t="n">
        <v>0</v>
      </c>
      <c r="P227" t="n">
        <v>0</v>
      </c>
      <c r="Q227" t="n">
        <v>0</v>
      </c>
      <c r="R227" s="2" t="inlineStr"/>
    </row>
    <row r="228" ht="15" customHeight="1">
      <c r="A228" t="inlineStr">
        <is>
          <t>A 59602-2024</t>
        </is>
      </c>
      <c r="B228" s="1" t="n">
        <v>45638</v>
      </c>
      <c r="C228" s="1" t="n">
        <v>45882</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45142-2023</t>
        </is>
      </c>
      <c r="B229" s="1" t="n">
        <v>45191.4702662037</v>
      </c>
      <c r="C229" s="1" t="n">
        <v>45882</v>
      </c>
      <c r="D229" t="inlineStr">
        <is>
          <t>UPPSALA LÄN</t>
        </is>
      </c>
      <c r="E229" t="inlineStr">
        <is>
          <t>ENKÖPING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11918-2025</t>
        </is>
      </c>
      <c r="B230" s="1" t="n">
        <v>45728.49331018519</v>
      </c>
      <c r="C230" s="1" t="n">
        <v>45882</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31242-2024</t>
        </is>
      </c>
      <c r="B231" s="1" t="n">
        <v>45503</v>
      </c>
      <c r="C231" s="1" t="n">
        <v>45882</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44131-2023</t>
        </is>
      </c>
      <c r="B232" s="1" t="n">
        <v>45188</v>
      </c>
      <c r="C232" s="1" t="n">
        <v>45882</v>
      </c>
      <c r="D232" t="inlineStr">
        <is>
          <t>UPPSALA LÄN</t>
        </is>
      </c>
      <c r="E232" t="inlineStr">
        <is>
          <t>ENKÖPING</t>
        </is>
      </c>
      <c r="G232" t="n">
        <v>0.3</v>
      </c>
      <c r="H232" t="n">
        <v>0</v>
      </c>
      <c r="I232" t="n">
        <v>0</v>
      </c>
      <c r="J232" t="n">
        <v>0</v>
      </c>
      <c r="K232" t="n">
        <v>0</v>
      </c>
      <c r="L232" t="n">
        <v>0</v>
      </c>
      <c r="M232" t="n">
        <v>0</v>
      </c>
      <c r="N232" t="n">
        <v>0</v>
      </c>
      <c r="O232" t="n">
        <v>0</v>
      </c>
      <c r="P232" t="n">
        <v>0</v>
      </c>
      <c r="Q232" t="n">
        <v>0</v>
      </c>
      <c r="R232" s="2" t="inlineStr"/>
    </row>
    <row r="233" ht="15" customHeight="1">
      <c r="A233" t="inlineStr">
        <is>
          <t>A 60533-2021</t>
        </is>
      </c>
      <c r="B233" s="1" t="n">
        <v>44496</v>
      </c>
      <c r="C233" s="1" t="n">
        <v>45882</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845-2025</t>
        </is>
      </c>
      <c r="B234" s="1" t="n">
        <v>45665</v>
      </c>
      <c r="C234" s="1" t="n">
        <v>45882</v>
      </c>
      <c r="D234" t="inlineStr">
        <is>
          <t>UPPSALA LÄN</t>
        </is>
      </c>
      <c r="E234" t="inlineStr">
        <is>
          <t>ENKÖPING</t>
        </is>
      </c>
      <c r="G234" t="n">
        <v>0.7</v>
      </c>
      <c r="H234" t="n">
        <v>0</v>
      </c>
      <c r="I234" t="n">
        <v>0</v>
      </c>
      <c r="J234" t="n">
        <v>0</v>
      </c>
      <c r="K234" t="n">
        <v>0</v>
      </c>
      <c r="L234" t="n">
        <v>0</v>
      </c>
      <c r="M234" t="n">
        <v>0</v>
      </c>
      <c r="N234" t="n">
        <v>0</v>
      </c>
      <c r="O234" t="n">
        <v>0</v>
      </c>
      <c r="P234" t="n">
        <v>0</v>
      </c>
      <c r="Q234" t="n">
        <v>0</v>
      </c>
      <c r="R234" s="2" t="inlineStr"/>
    </row>
    <row r="235" ht="15" customHeight="1">
      <c r="A235" t="inlineStr">
        <is>
          <t>A 849-2025</t>
        </is>
      </c>
      <c r="B235" s="1" t="n">
        <v>45665</v>
      </c>
      <c r="C235" s="1" t="n">
        <v>45882</v>
      </c>
      <c r="D235" t="inlineStr">
        <is>
          <t>UPPSALA LÄN</t>
        </is>
      </c>
      <c r="E235" t="inlineStr">
        <is>
          <t>ENKÖPING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57335-2024</t>
        </is>
      </c>
      <c r="B236" s="1" t="n">
        <v>45629.63302083333</v>
      </c>
      <c r="C236" s="1" t="n">
        <v>45882</v>
      </c>
      <c r="D236" t="inlineStr">
        <is>
          <t>UPPSALA LÄN</t>
        </is>
      </c>
      <c r="E236" t="inlineStr">
        <is>
          <t>ENKÖPING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35052-2024</t>
        </is>
      </c>
      <c r="B237" s="1" t="n">
        <v>45527.6516087963</v>
      </c>
      <c r="C237" s="1" t="n">
        <v>45882</v>
      </c>
      <c r="D237" t="inlineStr">
        <is>
          <t>UPPSALA LÄN</t>
        </is>
      </c>
      <c r="E237" t="inlineStr">
        <is>
          <t>ENKÖPING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51008-2024</t>
        </is>
      </c>
      <c r="B238" s="1" t="n">
        <v>45603.39041666667</v>
      </c>
      <c r="C238" s="1" t="n">
        <v>45882</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57831-2024</t>
        </is>
      </c>
      <c r="B239" s="1" t="n">
        <v>45631.39107638889</v>
      </c>
      <c r="C239" s="1" t="n">
        <v>45882</v>
      </c>
      <c r="D239" t="inlineStr">
        <is>
          <t>UPPSALA LÄN</t>
        </is>
      </c>
      <c r="E239" t="inlineStr">
        <is>
          <t>ENKÖPING</t>
        </is>
      </c>
      <c r="G239" t="n">
        <v>7.2</v>
      </c>
      <c r="H239" t="n">
        <v>0</v>
      </c>
      <c r="I239" t="n">
        <v>0</v>
      </c>
      <c r="J239" t="n">
        <v>0</v>
      </c>
      <c r="K239" t="n">
        <v>0</v>
      </c>
      <c r="L239" t="n">
        <v>0</v>
      </c>
      <c r="M239" t="n">
        <v>0</v>
      </c>
      <c r="N239" t="n">
        <v>0</v>
      </c>
      <c r="O239" t="n">
        <v>0</v>
      </c>
      <c r="P239" t="n">
        <v>0</v>
      </c>
      <c r="Q239" t="n">
        <v>0</v>
      </c>
      <c r="R239" s="2" t="inlineStr"/>
    </row>
    <row r="240" ht="15" customHeight="1">
      <c r="A240" t="inlineStr">
        <is>
          <t>A 57835-2024</t>
        </is>
      </c>
      <c r="B240" s="1" t="n">
        <v>45631.39947916667</v>
      </c>
      <c r="C240" s="1" t="n">
        <v>45882</v>
      </c>
      <c r="D240" t="inlineStr">
        <is>
          <t>UPPSALA LÄN</t>
        </is>
      </c>
      <c r="E240" t="inlineStr">
        <is>
          <t>ENKÖPING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57848-2024</t>
        </is>
      </c>
      <c r="B241" s="1" t="n">
        <v>45631.40947916666</v>
      </c>
      <c r="C241" s="1" t="n">
        <v>45882</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18038-2025</t>
        </is>
      </c>
      <c r="B242" s="1" t="n">
        <v>45761</v>
      </c>
      <c r="C242" s="1" t="n">
        <v>45882</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53208-2023</t>
        </is>
      </c>
      <c r="B243" s="1" t="n">
        <v>45226</v>
      </c>
      <c r="C243" s="1" t="n">
        <v>45882</v>
      </c>
      <c r="D243" t="inlineStr">
        <is>
          <t>UPPSALA LÄN</t>
        </is>
      </c>
      <c r="E243" t="inlineStr">
        <is>
          <t>ENKÖPING</t>
        </is>
      </c>
      <c r="G243" t="n">
        <v>4.3</v>
      </c>
      <c r="H243" t="n">
        <v>0</v>
      </c>
      <c r="I243" t="n">
        <v>0</v>
      </c>
      <c r="J243" t="n">
        <v>0</v>
      </c>
      <c r="K243" t="n">
        <v>0</v>
      </c>
      <c r="L243" t="n">
        <v>0</v>
      </c>
      <c r="M243" t="n">
        <v>0</v>
      </c>
      <c r="N243" t="n">
        <v>0</v>
      </c>
      <c r="O243" t="n">
        <v>0</v>
      </c>
      <c r="P243" t="n">
        <v>0</v>
      </c>
      <c r="Q243" t="n">
        <v>0</v>
      </c>
      <c r="R243" s="2" t="inlineStr"/>
    </row>
    <row r="244" ht="15" customHeight="1">
      <c r="A244" t="inlineStr">
        <is>
          <t>A 19013-2025</t>
        </is>
      </c>
      <c r="B244" s="1" t="n">
        <v>45764.59533564815</v>
      </c>
      <c r="C244" s="1" t="n">
        <v>45882</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62158-2023</t>
        </is>
      </c>
      <c r="B245" s="1" t="n">
        <v>45267</v>
      </c>
      <c r="C245" s="1" t="n">
        <v>45882</v>
      </c>
      <c r="D245" t="inlineStr">
        <is>
          <t>UPPSALA LÄN</t>
        </is>
      </c>
      <c r="E245" t="inlineStr">
        <is>
          <t>ENKÖPING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27837-2025</t>
        </is>
      </c>
      <c r="B246" s="1" t="n">
        <v>45817.37207175926</v>
      </c>
      <c r="C246" s="1" t="n">
        <v>45882</v>
      </c>
      <c r="D246" t="inlineStr">
        <is>
          <t>UPPSALA LÄN</t>
        </is>
      </c>
      <c r="E246" t="inlineStr">
        <is>
          <t>ENKÖPING</t>
        </is>
      </c>
      <c r="G246" t="n">
        <v>7.3</v>
      </c>
      <c r="H246" t="n">
        <v>0</v>
      </c>
      <c r="I246" t="n">
        <v>0</v>
      </c>
      <c r="J246" t="n">
        <v>0</v>
      </c>
      <c r="K246" t="n">
        <v>0</v>
      </c>
      <c r="L246" t="n">
        <v>0</v>
      </c>
      <c r="M246" t="n">
        <v>0</v>
      </c>
      <c r="N246" t="n">
        <v>0</v>
      </c>
      <c r="O246" t="n">
        <v>0</v>
      </c>
      <c r="P246" t="n">
        <v>0</v>
      </c>
      <c r="Q246" t="n">
        <v>0</v>
      </c>
      <c r="R246" s="2" t="inlineStr"/>
    </row>
    <row r="247" ht="15" customHeight="1">
      <c r="A247" t="inlineStr">
        <is>
          <t>A 60350-2022</t>
        </is>
      </c>
      <c r="B247" s="1" t="n">
        <v>44910</v>
      </c>
      <c r="C247" s="1" t="n">
        <v>45882</v>
      </c>
      <c r="D247" t="inlineStr">
        <is>
          <t>UPPSALA LÄN</t>
        </is>
      </c>
      <c r="E247" t="inlineStr">
        <is>
          <t>ENKÖPING</t>
        </is>
      </c>
      <c r="F247" t="inlineStr">
        <is>
          <t>Allmännings- och besparingsskogar</t>
        </is>
      </c>
      <c r="G247" t="n">
        <v>3.5</v>
      </c>
      <c r="H247" t="n">
        <v>0</v>
      </c>
      <c r="I247" t="n">
        <v>0</v>
      </c>
      <c r="J247" t="n">
        <v>0</v>
      </c>
      <c r="K247" t="n">
        <v>0</v>
      </c>
      <c r="L247" t="n">
        <v>0</v>
      </c>
      <c r="M247" t="n">
        <v>0</v>
      </c>
      <c r="N247" t="n">
        <v>0</v>
      </c>
      <c r="O247" t="n">
        <v>0</v>
      </c>
      <c r="P247" t="n">
        <v>0</v>
      </c>
      <c r="Q247" t="n">
        <v>0</v>
      </c>
      <c r="R247" s="2" t="inlineStr"/>
    </row>
    <row r="248" ht="15" customHeight="1">
      <c r="A248" t="inlineStr">
        <is>
          <t>A 2850-2025</t>
        </is>
      </c>
      <c r="B248" s="1" t="n">
        <v>45677</v>
      </c>
      <c r="C248" s="1" t="n">
        <v>45882</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35647-2021</t>
        </is>
      </c>
      <c r="B249" s="1" t="n">
        <v>44386</v>
      </c>
      <c r="C249" s="1" t="n">
        <v>45882</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2164-2023</t>
        </is>
      </c>
      <c r="B250" s="1" t="n">
        <v>44941</v>
      </c>
      <c r="C250" s="1" t="n">
        <v>45882</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61952-2021</t>
        </is>
      </c>
      <c r="B251" s="1" t="n">
        <v>44502</v>
      </c>
      <c r="C251" s="1" t="n">
        <v>45882</v>
      </c>
      <c r="D251" t="inlineStr">
        <is>
          <t>UPPSALA LÄN</t>
        </is>
      </c>
      <c r="E251" t="inlineStr">
        <is>
          <t>ENKÖPING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22156-2025</t>
        </is>
      </c>
      <c r="B252" s="1" t="n">
        <v>45785.57512731481</v>
      </c>
      <c r="C252" s="1" t="n">
        <v>45882</v>
      </c>
      <c r="D252" t="inlineStr">
        <is>
          <t>UPPSALA LÄN</t>
        </is>
      </c>
      <c r="E252" t="inlineStr">
        <is>
          <t>ENKÖPING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22150-2025</t>
        </is>
      </c>
      <c r="B253" s="1" t="n">
        <v>45785.56398148148</v>
      </c>
      <c r="C253" s="1" t="n">
        <v>45882</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14083-2025</t>
        </is>
      </c>
      <c r="B254" s="1" t="n">
        <v>45740</v>
      </c>
      <c r="C254" s="1" t="n">
        <v>45882</v>
      </c>
      <c r="D254" t="inlineStr">
        <is>
          <t>UPPSALA LÄN</t>
        </is>
      </c>
      <c r="E254" t="inlineStr">
        <is>
          <t>ENKÖPING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69879-2021</t>
        </is>
      </c>
      <c r="B255" s="1" t="n">
        <v>44532</v>
      </c>
      <c r="C255" s="1" t="n">
        <v>45882</v>
      </c>
      <c r="D255" t="inlineStr">
        <is>
          <t>UPPSALA LÄN</t>
        </is>
      </c>
      <c r="E255" t="inlineStr">
        <is>
          <t>ENKÖPING</t>
        </is>
      </c>
      <c r="G255" t="n">
        <v>4.2</v>
      </c>
      <c r="H255" t="n">
        <v>0</v>
      </c>
      <c r="I255" t="n">
        <v>0</v>
      </c>
      <c r="J255" t="n">
        <v>0</v>
      </c>
      <c r="K255" t="n">
        <v>0</v>
      </c>
      <c r="L255" t="n">
        <v>0</v>
      </c>
      <c r="M255" t="n">
        <v>0</v>
      </c>
      <c r="N255" t="n">
        <v>0</v>
      </c>
      <c r="O255" t="n">
        <v>0</v>
      </c>
      <c r="P255" t="n">
        <v>0</v>
      </c>
      <c r="Q255" t="n">
        <v>0</v>
      </c>
      <c r="R255" s="2" t="inlineStr"/>
    </row>
    <row r="256" ht="15" customHeight="1">
      <c r="A256" t="inlineStr">
        <is>
          <t>A 30087-2024</t>
        </is>
      </c>
      <c r="B256" s="1" t="n">
        <v>45489.39447916667</v>
      </c>
      <c r="C256" s="1" t="n">
        <v>45882</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54776-2024</t>
        </is>
      </c>
      <c r="B257" s="1" t="n">
        <v>45618</v>
      </c>
      <c r="C257" s="1" t="n">
        <v>45882</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22729-2025</t>
        </is>
      </c>
      <c r="B258" s="1" t="n">
        <v>45789.57790509259</v>
      </c>
      <c r="C258" s="1" t="n">
        <v>45882</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14518-2025</t>
        </is>
      </c>
      <c r="B259" s="1" t="n">
        <v>45741</v>
      </c>
      <c r="C259" s="1" t="n">
        <v>45882</v>
      </c>
      <c r="D259" t="inlineStr">
        <is>
          <t>UPPSALA LÄN</t>
        </is>
      </c>
      <c r="E259" t="inlineStr">
        <is>
          <t>ENKÖPING</t>
        </is>
      </c>
      <c r="G259" t="n">
        <v>2</v>
      </c>
      <c r="H259" t="n">
        <v>0</v>
      </c>
      <c r="I259" t="n">
        <v>0</v>
      </c>
      <c r="J259" t="n">
        <v>0</v>
      </c>
      <c r="K259" t="n">
        <v>0</v>
      </c>
      <c r="L259" t="n">
        <v>0</v>
      </c>
      <c r="M259" t="n">
        <v>0</v>
      </c>
      <c r="N259" t="n">
        <v>0</v>
      </c>
      <c r="O259" t="n">
        <v>0</v>
      </c>
      <c r="P259" t="n">
        <v>0</v>
      </c>
      <c r="Q259" t="n">
        <v>0</v>
      </c>
      <c r="R259" s="2" t="inlineStr"/>
    </row>
    <row r="260" ht="15" customHeight="1">
      <c r="A260" t="inlineStr">
        <is>
          <t>A 22677-2025</t>
        </is>
      </c>
      <c r="B260" s="1" t="n">
        <v>45789.49515046296</v>
      </c>
      <c r="C260" s="1" t="n">
        <v>45882</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22679-2025</t>
        </is>
      </c>
      <c r="B261" s="1" t="n">
        <v>45789.49747685185</v>
      </c>
      <c r="C261" s="1" t="n">
        <v>45882</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22770-2025</t>
        </is>
      </c>
      <c r="B262" s="1" t="n">
        <v>45789.63454861111</v>
      </c>
      <c r="C262" s="1" t="n">
        <v>45882</v>
      </c>
      <c r="D262" t="inlineStr">
        <is>
          <t>UPPSALA LÄN</t>
        </is>
      </c>
      <c r="E262" t="inlineStr">
        <is>
          <t>ENKÖPING</t>
        </is>
      </c>
      <c r="G262" t="n">
        <v>4.5</v>
      </c>
      <c r="H262" t="n">
        <v>0</v>
      </c>
      <c r="I262" t="n">
        <v>0</v>
      </c>
      <c r="J262" t="n">
        <v>0</v>
      </c>
      <c r="K262" t="n">
        <v>0</v>
      </c>
      <c r="L262" t="n">
        <v>0</v>
      </c>
      <c r="M262" t="n">
        <v>0</v>
      </c>
      <c r="N262" t="n">
        <v>0</v>
      </c>
      <c r="O262" t="n">
        <v>0</v>
      </c>
      <c r="P262" t="n">
        <v>0</v>
      </c>
      <c r="Q262" t="n">
        <v>0</v>
      </c>
      <c r="R262" s="2" t="inlineStr"/>
    </row>
    <row r="263" ht="15" customHeight="1">
      <c r="A263" t="inlineStr">
        <is>
          <t>A 10458-2022</t>
        </is>
      </c>
      <c r="B263" s="1" t="n">
        <v>44623.56711805556</v>
      </c>
      <c r="C263" s="1" t="n">
        <v>45882</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22800-2025</t>
        </is>
      </c>
      <c r="B264" s="1" t="n">
        <v>45789.6669212963</v>
      </c>
      <c r="C264" s="1" t="n">
        <v>45882</v>
      </c>
      <c r="D264" t="inlineStr">
        <is>
          <t>UPPSALA LÄN</t>
        </is>
      </c>
      <c r="E264" t="inlineStr">
        <is>
          <t>ENKÖPING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52169-2020</t>
        </is>
      </c>
      <c r="B265" s="1" t="n">
        <v>44117</v>
      </c>
      <c r="C265" s="1" t="n">
        <v>45882</v>
      </c>
      <c r="D265" t="inlineStr">
        <is>
          <t>UPPSALA LÄN</t>
        </is>
      </c>
      <c r="E265" t="inlineStr">
        <is>
          <t>ENKÖPING</t>
        </is>
      </c>
      <c r="F265" t="inlineStr">
        <is>
          <t>Allmännings- och besparingsskogar</t>
        </is>
      </c>
      <c r="G265" t="n">
        <v>1.5</v>
      </c>
      <c r="H265" t="n">
        <v>0</v>
      </c>
      <c r="I265" t="n">
        <v>0</v>
      </c>
      <c r="J265" t="n">
        <v>0</v>
      </c>
      <c r="K265" t="n">
        <v>0</v>
      </c>
      <c r="L265" t="n">
        <v>0</v>
      </c>
      <c r="M265" t="n">
        <v>0</v>
      </c>
      <c r="N265" t="n">
        <v>0</v>
      </c>
      <c r="O265" t="n">
        <v>0</v>
      </c>
      <c r="P265" t="n">
        <v>0</v>
      </c>
      <c r="Q265" t="n">
        <v>0</v>
      </c>
      <c r="R265" s="2" t="inlineStr"/>
    </row>
    <row r="266" ht="15" customHeight="1">
      <c r="A266" t="inlineStr">
        <is>
          <t>A 44115-2024</t>
        </is>
      </c>
      <c r="B266" s="1" t="n">
        <v>45572</v>
      </c>
      <c r="C266" s="1" t="n">
        <v>45882</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6981-2025</t>
        </is>
      </c>
      <c r="B267" s="1" t="n">
        <v>45701</v>
      </c>
      <c r="C267" s="1" t="n">
        <v>45882</v>
      </c>
      <c r="D267" t="inlineStr">
        <is>
          <t>UPPSALA LÄN</t>
        </is>
      </c>
      <c r="E267" t="inlineStr">
        <is>
          <t>ENKÖPING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22786-2025</t>
        </is>
      </c>
      <c r="B268" s="1" t="n">
        <v>45789.64643518518</v>
      </c>
      <c r="C268" s="1" t="n">
        <v>45882</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9957-2023</t>
        </is>
      </c>
      <c r="B269" s="1" t="n">
        <v>44978</v>
      </c>
      <c r="C269" s="1" t="n">
        <v>45882</v>
      </c>
      <c r="D269" t="inlineStr">
        <is>
          <t>UPPSALA LÄN</t>
        </is>
      </c>
      <c r="E269" t="inlineStr">
        <is>
          <t>ENKÖPING</t>
        </is>
      </c>
      <c r="G269" t="n">
        <v>5.9</v>
      </c>
      <c r="H269" t="n">
        <v>0</v>
      </c>
      <c r="I269" t="n">
        <v>0</v>
      </c>
      <c r="J269" t="n">
        <v>0</v>
      </c>
      <c r="K269" t="n">
        <v>0</v>
      </c>
      <c r="L269" t="n">
        <v>0</v>
      </c>
      <c r="M269" t="n">
        <v>0</v>
      </c>
      <c r="N269" t="n">
        <v>0</v>
      </c>
      <c r="O269" t="n">
        <v>0</v>
      </c>
      <c r="P269" t="n">
        <v>0</v>
      </c>
      <c r="Q269" t="n">
        <v>0</v>
      </c>
      <c r="R269" s="2" t="inlineStr"/>
    </row>
    <row r="270" ht="15" customHeight="1">
      <c r="A270" t="inlineStr">
        <is>
          <t>A 68123-2021</t>
        </is>
      </c>
      <c r="B270" s="1" t="n">
        <v>44526.39126157408</v>
      </c>
      <c r="C270" s="1" t="n">
        <v>45882</v>
      </c>
      <c r="D270" t="inlineStr">
        <is>
          <t>UPPSALA LÄN</t>
        </is>
      </c>
      <c r="E270" t="inlineStr">
        <is>
          <t>ENKÖPING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22632-2025</t>
        </is>
      </c>
      <c r="B271" s="1" t="n">
        <v>45789.44361111111</v>
      </c>
      <c r="C271" s="1" t="n">
        <v>45882</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22680-2025</t>
        </is>
      </c>
      <c r="B272" s="1" t="n">
        <v>45789.5005787037</v>
      </c>
      <c r="C272" s="1" t="n">
        <v>45882</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22802-2025</t>
        </is>
      </c>
      <c r="B273" s="1" t="n">
        <v>45789.6686574074</v>
      </c>
      <c r="C273" s="1" t="n">
        <v>45882</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63402-2023</t>
        </is>
      </c>
      <c r="B274" s="1" t="n">
        <v>45274.50646990741</v>
      </c>
      <c r="C274" s="1" t="n">
        <v>45882</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15757-2023</t>
        </is>
      </c>
      <c r="B275" s="1" t="n">
        <v>45021</v>
      </c>
      <c r="C275" s="1" t="n">
        <v>45882</v>
      </c>
      <c r="D275" t="inlineStr">
        <is>
          <t>UPPSALA LÄN</t>
        </is>
      </c>
      <c r="E275" t="inlineStr">
        <is>
          <t>ENKÖPING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22793-2025</t>
        </is>
      </c>
      <c r="B276" s="1" t="n">
        <v>45789.65693287037</v>
      </c>
      <c r="C276" s="1" t="n">
        <v>45882</v>
      </c>
      <c r="D276" t="inlineStr">
        <is>
          <t>UPPSALA LÄN</t>
        </is>
      </c>
      <c r="E276" t="inlineStr">
        <is>
          <t>ENKÖPING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22795-2025</t>
        </is>
      </c>
      <c r="B277" s="1" t="n">
        <v>45789.65944444444</v>
      </c>
      <c r="C277" s="1" t="n">
        <v>45882</v>
      </c>
      <c r="D277" t="inlineStr">
        <is>
          <t>UPPSALA LÄN</t>
        </is>
      </c>
      <c r="E277" t="inlineStr">
        <is>
          <t>ENKÖPING</t>
        </is>
      </c>
      <c r="G277" t="n">
        <v>10.4</v>
      </c>
      <c r="H277" t="n">
        <v>0</v>
      </c>
      <c r="I277" t="n">
        <v>0</v>
      </c>
      <c r="J277" t="n">
        <v>0</v>
      </c>
      <c r="K277" t="n">
        <v>0</v>
      </c>
      <c r="L277" t="n">
        <v>0</v>
      </c>
      <c r="M277" t="n">
        <v>0</v>
      </c>
      <c r="N277" t="n">
        <v>0</v>
      </c>
      <c r="O277" t="n">
        <v>0</v>
      </c>
      <c r="P277" t="n">
        <v>0</v>
      </c>
      <c r="Q277" t="n">
        <v>0</v>
      </c>
      <c r="R277" s="2" t="inlineStr"/>
    </row>
    <row r="278" ht="15" customHeight="1">
      <c r="A278" t="inlineStr">
        <is>
          <t>A 22725-2025</t>
        </is>
      </c>
      <c r="B278" s="1" t="n">
        <v>45789.57371527778</v>
      </c>
      <c r="C278" s="1" t="n">
        <v>45882</v>
      </c>
      <c r="D278" t="inlineStr">
        <is>
          <t>UPPSALA LÄN</t>
        </is>
      </c>
      <c r="E278" t="inlineStr">
        <is>
          <t>ENKÖPING</t>
        </is>
      </c>
      <c r="G278" t="n">
        <v>4.8</v>
      </c>
      <c r="H278" t="n">
        <v>0</v>
      </c>
      <c r="I278" t="n">
        <v>0</v>
      </c>
      <c r="J278" t="n">
        <v>0</v>
      </c>
      <c r="K278" t="n">
        <v>0</v>
      </c>
      <c r="L278" t="n">
        <v>0</v>
      </c>
      <c r="M278" t="n">
        <v>0</v>
      </c>
      <c r="N278" t="n">
        <v>0</v>
      </c>
      <c r="O278" t="n">
        <v>0</v>
      </c>
      <c r="P278" t="n">
        <v>0</v>
      </c>
      <c r="Q278" t="n">
        <v>0</v>
      </c>
      <c r="R278" s="2" t="inlineStr"/>
    </row>
    <row r="279" ht="15" customHeight="1">
      <c r="A279" t="inlineStr">
        <is>
          <t>A 2161-2023</t>
        </is>
      </c>
      <c r="B279" s="1" t="n">
        <v>44941</v>
      </c>
      <c r="C279" s="1" t="n">
        <v>45882</v>
      </c>
      <c r="D279" t="inlineStr">
        <is>
          <t>UPPSALA LÄN</t>
        </is>
      </c>
      <c r="E279" t="inlineStr">
        <is>
          <t>ENKÖPING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2165-2023</t>
        </is>
      </c>
      <c r="B280" s="1" t="n">
        <v>44941</v>
      </c>
      <c r="C280" s="1" t="n">
        <v>45882</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16916-2023</t>
        </is>
      </c>
      <c r="B281" s="1" t="n">
        <v>45033.58347222222</v>
      </c>
      <c r="C281" s="1" t="n">
        <v>45882</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56886-2023</t>
        </is>
      </c>
      <c r="B282" s="1" t="n">
        <v>45239</v>
      </c>
      <c r="C282" s="1" t="n">
        <v>45882</v>
      </c>
      <c r="D282" t="inlineStr">
        <is>
          <t>UPPSALA LÄN</t>
        </is>
      </c>
      <c r="E282" t="inlineStr">
        <is>
          <t>ENKÖPING</t>
        </is>
      </c>
      <c r="G282" t="n">
        <v>2</v>
      </c>
      <c r="H282" t="n">
        <v>0</v>
      </c>
      <c r="I282" t="n">
        <v>0</v>
      </c>
      <c r="J282" t="n">
        <v>0</v>
      </c>
      <c r="K282" t="n">
        <v>0</v>
      </c>
      <c r="L282" t="n">
        <v>0</v>
      </c>
      <c r="M282" t="n">
        <v>0</v>
      </c>
      <c r="N282" t="n">
        <v>0</v>
      </c>
      <c r="O282" t="n">
        <v>0</v>
      </c>
      <c r="P282" t="n">
        <v>0</v>
      </c>
      <c r="Q282" t="n">
        <v>0</v>
      </c>
      <c r="R282" s="2" t="inlineStr"/>
    </row>
    <row r="283" ht="15" customHeight="1">
      <c r="A283" t="inlineStr">
        <is>
          <t>A 20112-2024</t>
        </is>
      </c>
      <c r="B283" s="1" t="n">
        <v>45434</v>
      </c>
      <c r="C283" s="1" t="n">
        <v>45882</v>
      </c>
      <c r="D283" t="inlineStr">
        <is>
          <t>UPPSALA LÄN</t>
        </is>
      </c>
      <c r="E283" t="inlineStr">
        <is>
          <t>ENKÖPING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20186-2023</t>
        </is>
      </c>
      <c r="B284" s="1" t="n">
        <v>45055.56934027778</v>
      </c>
      <c r="C284" s="1" t="n">
        <v>45882</v>
      </c>
      <c r="D284" t="inlineStr">
        <is>
          <t>UPPSALA LÄN</t>
        </is>
      </c>
      <c r="E284" t="inlineStr">
        <is>
          <t>ENKÖPING</t>
        </is>
      </c>
      <c r="G284" t="n">
        <v>4.3</v>
      </c>
      <c r="H284" t="n">
        <v>0</v>
      </c>
      <c r="I284" t="n">
        <v>0</v>
      </c>
      <c r="J284" t="n">
        <v>0</v>
      </c>
      <c r="K284" t="n">
        <v>0</v>
      </c>
      <c r="L284" t="n">
        <v>0</v>
      </c>
      <c r="M284" t="n">
        <v>0</v>
      </c>
      <c r="N284" t="n">
        <v>0</v>
      </c>
      <c r="O284" t="n">
        <v>0</v>
      </c>
      <c r="P284" t="n">
        <v>0</v>
      </c>
      <c r="Q284" t="n">
        <v>0</v>
      </c>
      <c r="R284" s="2" t="inlineStr"/>
    </row>
    <row r="285" ht="15" customHeight="1">
      <c r="A285" t="inlineStr">
        <is>
          <t>A 23020-2025</t>
        </is>
      </c>
      <c r="B285" s="1" t="n">
        <v>45790.64706018518</v>
      </c>
      <c r="C285" s="1" t="n">
        <v>45882</v>
      </c>
      <c r="D285" t="inlineStr">
        <is>
          <t>UPPSALA LÄN</t>
        </is>
      </c>
      <c r="E285" t="inlineStr">
        <is>
          <t>ENKÖPING</t>
        </is>
      </c>
      <c r="G285" t="n">
        <v>5.2</v>
      </c>
      <c r="H285" t="n">
        <v>0</v>
      </c>
      <c r="I285" t="n">
        <v>0</v>
      </c>
      <c r="J285" t="n">
        <v>0</v>
      </c>
      <c r="K285" t="n">
        <v>0</v>
      </c>
      <c r="L285" t="n">
        <v>0</v>
      </c>
      <c r="M285" t="n">
        <v>0</v>
      </c>
      <c r="N285" t="n">
        <v>0</v>
      </c>
      <c r="O285" t="n">
        <v>0</v>
      </c>
      <c r="P285" t="n">
        <v>0</v>
      </c>
      <c r="Q285" t="n">
        <v>0</v>
      </c>
      <c r="R285" s="2" t="inlineStr"/>
    </row>
    <row r="286" ht="15" customHeight="1">
      <c r="A286" t="inlineStr">
        <is>
          <t>A 18986-2025</t>
        </is>
      </c>
      <c r="B286" s="1" t="n">
        <v>45764.56089120371</v>
      </c>
      <c r="C286" s="1" t="n">
        <v>45882</v>
      </c>
      <c r="D286" t="inlineStr">
        <is>
          <t>UPPSALA LÄN</t>
        </is>
      </c>
      <c r="E286" t="inlineStr">
        <is>
          <t>ENKÖPING</t>
        </is>
      </c>
      <c r="G286" t="n">
        <v>6.9</v>
      </c>
      <c r="H286" t="n">
        <v>0</v>
      </c>
      <c r="I286" t="n">
        <v>0</v>
      </c>
      <c r="J286" t="n">
        <v>0</v>
      </c>
      <c r="K286" t="n">
        <v>0</v>
      </c>
      <c r="L286" t="n">
        <v>0</v>
      </c>
      <c r="M286" t="n">
        <v>0</v>
      </c>
      <c r="N286" t="n">
        <v>0</v>
      </c>
      <c r="O286" t="n">
        <v>0</v>
      </c>
      <c r="P286" t="n">
        <v>0</v>
      </c>
      <c r="Q286" t="n">
        <v>0</v>
      </c>
      <c r="R286" s="2" t="inlineStr"/>
    </row>
    <row r="287" ht="15" customHeight="1">
      <c r="A287" t="inlineStr">
        <is>
          <t>A 22981-2025</t>
        </is>
      </c>
      <c r="B287" s="1" t="n">
        <v>45790.56964120371</v>
      </c>
      <c r="C287" s="1" t="n">
        <v>45882</v>
      </c>
      <c r="D287" t="inlineStr">
        <is>
          <t>UPPSALA LÄN</t>
        </is>
      </c>
      <c r="E287" t="inlineStr">
        <is>
          <t>ENKÖPING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2162-2023</t>
        </is>
      </c>
      <c r="B288" s="1" t="n">
        <v>44941</v>
      </c>
      <c r="C288" s="1" t="n">
        <v>45882</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32081-2024</t>
        </is>
      </c>
      <c r="B289" s="1" t="n">
        <v>45511.34605324074</v>
      </c>
      <c r="C289" s="1" t="n">
        <v>45882</v>
      </c>
      <c r="D289" t="inlineStr">
        <is>
          <t>UPPSALA LÄN</t>
        </is>
      </c>
      <c r="E289" t="inlineStr">
        <is>
          <t>ENKÖPING</t>
        </is>
      </c>
      <c r="G289" t="n">
        <v>5.4</v>
      </c>
      <c r="H289" t="n">
        <v>0</v>
      </c>
      <c r="I289" t="n">
        <v>0</v>
      </c>
      <c r="J289" t="n">
        <v>0</v>
      </c>
      <c r="K289" t="n">
        <v>0</v>
      </c>
      <c r="L289" t="n">
        <v>0</v>
      </c>
      <c r="M289" t="n">
        <v>0</v>
      </c>
      <c r="N289" t="n">
        <v>0</v>
      </c>
      <c r="O289" t="n">
        <v>0</v>
      </c>
      <c r="P289" t="n">
        <v>0</v>
      </c>
      <c r="Q289" t="n">
        <v>0</v>
      </c>
      <c r="R289" s="2" t="inlineStr"/>
    </row>
    <row r="290" ht="15" customHeight="1">
      <c r="A290" t="inlineStr">
        <is>
          <t>A 18592-2021</t>
        </is>
      </c>
      <c r="B290" s="1" t="n">
        <v>44306</v>
      </c>
      <c r="C290" s="1" t="n">
        <v>45882</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6356-2022</t>
        </is>
      </c>
      <c r="B291" s="1" t="n">
        <v>44600</v>
      </c>
      <c r="C291" s="1" t="n">
        <v>45882</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45956-2024</t>
        </is>
      </c>
      <c r="B292" s="1" t="n">
        <v>45580</v>
      </c>
      <c r="C292" s="1" t="n">
        <v>45882</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10831-2024</t>
        </is>
      </c>
      <c r="B293" s="1" t="n">
        <v>45369</v>
      </c>
      <c r="C293" s="1" t="n">
        <v>45882</v>
      </c>
      <c r="D293" t="inlineStr">
        <is>
          <t>UPPSALA LÄN</t>
        </is>
      </c>
      <c r="E293" t="inlineStr">
        <is>
          <t>ENKÖPING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2968-2025</t>
        </is>
      </c>
      <c r="B294" s="1" t="n">
        <v>45678</v>
      </c>
      <c r="C294" s="1" t="n">
        <v>45882</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49525-2021</t>
        </is>
      </c>
      <c r="B295" s="1" t="n">
        <v>44455</v>
      </c>
      <c r="C295" s="1" t="n">
        <v>45882</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6959-2025</t>
        </is>
      </c>
      <c r="B296" s="1" t="n">
        <v>45701.49315972222</v>
      </c>
      <c r="C296" s="1" t="n">
        <v>45882</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8020-2022</t>
        </is>
      </c>
      <c r="B297" s="1" t="n">
        <v>44609</v>
      </c>
      <c r="C297" s="1" t="n">
        <v>45882</v>
      </c>
      <c r="D297" t="inlineStr">
        <is>
          <t>UPPSALA LÄN</t>
        </is>
      </c>
      <c r="E297" t="inlineStr">
        <is>
          <t>ENKÖPING</t>
        </is>
      </c>
      <c r="G297" t="n">
        <v>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45882</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74090-2021</t>
        </is>
      </c>
      <c r="B299" s="1" t="n">
        <v>44557</v>
      </c>
      <c r="C299" s="1" t="n">
        <v>45882</v>
      </c>
      <c r="D299" t="inlineStr">
        <is>
          <t>UPPSALA LÄN</t>
        </is>
      </c>
      <c r="E299" t="inlineStr">
        <is>
          <t>ENKÖPING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34805-2024</t>
        </is>
      </c>
      <c r="B300" s="1" t="n">
        <v>45526</v>
      </c>
      <c r="C300" s="1" t="n">
        <v>45882</v>
      </c>
      <c r="D300" t="inlineStr">
        <is>
          <t>UPPSALA LÄN</t>
        </is>
      </c>
      <c r="E300" t="inlineStr">
        <is>
          <t>ENKÖPING</t>
        </is>
      </c>
      <c r="G300" t="n">
        <v>3.6</v>
      </c>
      <c r="H300" t="n">
        <v>0</v>
      </c>
      <c r="I300" t="n">
        <v>0</v>
      </c>
      <c r="J300" t="n">
        <v>0</v>
      </c>
      <c r="K300" t="n">
        <v>0</v>
      </c>
      <c r="L300" t="n">
        <v>0</v>
      </c>
      <c r="M300" t="n">
        <v>0</v>
      </c>
      <c r="N300" t="n">
        <v>0</v>
      </c>
      <c r="O300" t="n">
        <v>0</v>
      </c>
      <c r="P300" t="n">
        <v>0</v>
      </c>
      <c r="Q300" t="n">
        <v>0</v>
      </c>
      <c r="R300" s="2" t="inlineStr"/>
    </row>
    <row r="301" ht="15" customHeight="1">
      <c r="A301" t="inlineStr">
        <is>
          <t>A 17729-2023</t>
        </is>
      </c>
      <c r="B301" s="1" t="n">
        <v>45037</v>
      </c>
      <c r="C301" s="1" t="n">
        <v>45882</v>
      </c>
      <c r="D301" t="inlineStr">
        <is>
          <t>UPPSALA LÄN</t>
        </is>
      </c>
      <c r="E301" t="inlineStr">
        <is>
          <t>ENKÖPING</t>
        </is>
      </c>
      <c r="G301" t="n">
        <v>10.2</v>
      </c>
      <c r="H301" t="n">
        <v>0</v>
      </c>
      <c r="I301" t="n">
        <v>0</v>
      </c>
      <c r="J301" t="n">
        <v>0</v>
      </c>
      <c r="K301" t="n">
        <v>0</v>
      </c>
      <c r="L301" t="n">
        <v>0</v>
      </c>
      <c r="M301" t="n">
        <v>0</v>
      </c>
      <c r="N301" t="n">
        <v>0</v>
      </c>
      <c r="O301" t="n">
        <v>0</v>
      </c>
      <c r="P301" t="n">
        <v>0</v>
      </c>
      <c r="Q301" t="n">
        <v>0</v>
      </c>
      <c r="R301" s="2" t="inlineStr"/>
    </row>
    <row r="302" ht="15" customHeight="1">
      <c r="A302" t="inlineStr">
        <is>
          <t>A 30437-2022</t>
        </is>
      </c>
      <c r="B302" s="1" t="n">
        <v>44761</v>
      </c>
      <c r="C302" s="1" t="n">
        <v>45882</v>
      </c>
      <c r="D302" t="inlineStr">
        <is>
          <t>UPPSALA LÄN</t>
        </is>
      </c>
      <c r="E302" t="inlineStr">
        <is>
          <t>ENKÖPING</t>
        </is>
      </c>
      <c r="G302" t="n">
        <v>3.4</v>
      </c>
      <c r="H302" t="n">
        <v>0</v>
      </c>
      <c r="I302" t="n">
        <v>0</v>
      </c>
      <c r="J302" t="n">
        <v>0</v>
      </c>
      <c r="K302" t="n">
        <v>0</v>
      </c>
      <c r="L302" t="n">
        <v>0</v>
      </c>
      <c r="M302" t="n">
        <v>0</v>
      </c>
      <c r="N302" t="n">
        <v>0</v>
      </c>
      <c r="O302" t="n">
        <v>0</v>
      </c>
      <c r="P302" t="n">
        <v>0</v>
      </c>
      <c r="Q302" t="n">
        <v>0</v>
      </c>
      <c r="R302" s="2" t="inlineStr"/>
    </row>
    <row r="303" ht="15" customHeight="1">
      <c r="A303" t="inlineStr">
        <is>
          <t>A 51011-2024</t>
        </is>
      </c>
      <c r="B303" s="1" t="n">
        <v>45603.39427083333</v>
      </c>
      <c r="C303" s="1" t="n">
        <v>45882</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5712-2025</t>
        </is>
      </c>
      <c r="B304" s="1" t="n">
        <v>45694</v>
      </c>
      <c r="C304" s="1" t="n">
        <v>45882</v>
      </c>
      <c r="D304" t="inlineStr">
        <is>
          <t>UPPSALA LÄN</t>
        </is>
      </c>
      <c r="E304" t="inlineStr">
        <is>
          <t>ENKÖPING</t>
        </is>
      </c>
      <c r="G304" t="n">
        <v>5.1</v>
      </c>
      <c r="H304" t="n">
        <v>0</v>
      </c>
      <c r="I304" t="n">
        <v>0</v>
      </c>
      <c r="J304" t="n">
        <v>0</v>
      </c>
      <c r="K304" t="n">
        <v>0</v>
      </c>
      <c r="L304" t="n">
        <v>0</v>
      </c>
      <c r="M304" t="n">
        <v>0</v>
      </c>
      <c r="N304" t="n">
        <v>0</v>
      </c>
      <c r="O304" t="n">
        <v>0</v>
      </c>
      <c r="P304" t="n">
        <v>0</v>
      </c>
      <c r="Q304" t="n">
        <v>0</v>
      </c>
      <c r="R304" s="2" t="inlineStr"/>
    </row>
    <row r="305" ht="15" customHeight="1">
      <c r="A305" t="inlineStr">
        <is>
          <t>A 5749-2025</t>
        </is>
      </c>
      <c r="B305" s="1" t="n">
        <v>45694</v>
      </c>
      <c r="C305" s="1" t="n">
        <v>45882</v>
      </c>
      <c r="D305" t="inlineStr">
        <is>
          <t>UPPSALA LÄN</t>
        </is>
      </c>
      <c r="E305" t="inlineStr">
        <is>
          <t>ENKÖPING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26319-2022</t>
        </is>
      </c>
      <c r="B306" s="1" t="n">
        <v>44735</v>
      </c>
      <c r="C306" s="1" t="n">
        <v>45882</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314-2025</t>
        </is>
      </c>
      <c r="B307" s="1" t="n">
        <v>45656</v>
      </c>
      <c r="C307" s="1" t="n">
        <v>45882</v>
      </c>
      <c r="D307" t="inlineStr">
        <is>
          <t>UPPSALA LÄN</t>
        </is>
      </c>
      <c r="E307" t="inlineStr">
        <is>
          <t>ENKÖPING</t>
        </is>
      </c>
      <c r="G307" t="n">
        <v>9</v>
      </c>
      <c r="H307" t="n">
        <v>0</v>
      </c>
      <c r="I307" t="n">
        <v>0</v>
      </c>
      <c r="J307" t="n">
        <v>0</v>
      </c>
      <c r="K307" t="n">
        <v>0</v>
      </c>
      <c r="L307" t="n">
        <v>0</v>
      </c>
      <c r="M307" t="n">
        <v>0</v>
      </c>
      <c r="N307" t="n">
        <v>0</v>
      </c>
      <c r="O307" t="n">
        <v>0</v>
      </c>
      <c r="P307" t="n">
        <v>0</v>
      </c>
      <c r="Q307" t="n">
        <v>0</v>
      </c>
      <c r="R307" s="2" t="inlineStr"/>
    </row>
    <row r="308" ht="15" customHeight="1">
      <c r="A308" t="inlineStr">
        <is>
          <t>A 11627-2025</t>
        </is>
      </c>
      <c r="B308" s="1" t="n">
        <v>45727</v>
      </c>
      <c r="C308" s="1" t="n">
        <v>45882</v>
      </c>
      <c r="D308" t="inlineStr">
        <is>
          <t>UPPSALA LÄN</t>
        </is>
      </c>
      <c r="E308" t="inlineStr">
        <is>
          <t>ENKÖPING</t>
        </is>
      </c>
      <c r="G308" t="n">
        <v>5.5</v>
      </c>
      <c r="H308" t="n">
        <v>0</v>
      </c>
      <c r="I308" t="n">
        <v>0</v>
      </c>
      <c r="J308" t="n">
        <v>0</v>
      </c>
      <c r="K308" t="n">
        <v>0</v>
      </c>
      <c r="L308" t="n">
        <v>0</v>
      </c>
      <c r="M308" t="n">
        <v>0</v>
      </c>
      <c r="N308" t="n">
        <v>0</v>
      </c>
      <c r="O308" t="n">
        <v>0</v>
      </c>
      <c r="P308" t="n">
        <v>0</v>
      </c>
      <c r="Q308" t="n">
        <v>0</v>
      </c>
      <c r="R308" s="2" t="inlineStr"/>
    </row>
    <row r="309" ht="15" customHeight="1">
      <c r="A309" t="inlineStr">
        <is>
          <t>A 29918-2023</t>
        </is>
      </c>
      <c r="B309" s="1" t="n">
        <v>45099</v>
      </c>
      <c r="C309" s="1" t="n">
        <v>45882</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24411-2024</t>
        </is>
      </c>
      <c r="B310" s="1" t="n">
        <v>45457</v>
      </c>
      <c r="C310" s="1" t="n">
        <v>45882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24291-2024</t>
        </is>
      </c>
      <c r="B311" s="1" t="n">
        <v>45457.4584837963</v>
      </c>
      <c r="C311" s="1" t="n">
        <v>45882</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12434-2021</t>
        </is>
      </c>
      <c r="B312" s="1" t="n">
        <v>44267</v>
      </c>
      <c r="C312" s="1" t="n">
        <v>45882</v>
      </c>
      <c r="D312" t="inlineStr">
        <is>
          <t>UPPSALA LÄN</t>
        </is>
      </c>
      <c r="E312" t="inlineStr">
        <is>
          <t>ENKÖPING</t>
        </is>
      </c>
      <c r="G312" t="n">
        <v>5.3</v>
      </c>
      <c r="H312" t="n">
        <v>0</v>
      </c>
      <c r="I312" t="n">
        <v>0</v>
      </c>
      <c r="J312" t="n">
        <v>0</v>
      </c>
      <c r="K312" t="n">
        <v>0</v>
      </c>
      <c r="L312" t="n">
        <v>0</v>
      </c>
      <c r="M312" t="n">
        <v>0</v>
      </c>
      <c r="N312" t="n">
        <v>0</v>
      </c>
      <c r="O312" t="n">
        <v>0</v>
      </c>
      <c r="P312" t="n">
        <v>0</v>
      </c>
      <c r="Q312" t="n">
        <v>0</v>
      </c>
      <c r="R312" s="2" t="inlineStr"/>
    </row>
    <row r="313" ht="15" customHeight="1">
      <c r="A313" t="inlineStr">
        <is>
          <t>A 49613-2024</t>
        </is>
      </c>
      <c r="B313" s="1" t="n">
        <v>45596.57475694444</v>
      </c>
      <c r="C313" s="1" t="n">
        <v>45882</v>
      </c>
      <c r="D313" t="inlineStr">
        <is>
          <t>UPPSALA LÄN</t>
        </is>
      </c>
      <c r="E313" t="inlineStr">
        <is>
          <t>ENKÖPING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49614-2024</t>
        </is>
      </c>
      <c r="B314" s="1" t="n">
        <v>45596.57716435185</v>
      </c>
      <c r="C314" s="1" t="n">
        <v>45882</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49632-2024</t>
        </is>
      </c>
      <c r="B315" s="1" t="n">
        <v>45596</v>
      </c>
      <c r="C315" s="1" t="n">
        <v>45882</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29479-2022</t>
        </is>
      </c>
      <c r="B316" s="1" t="n">
        <v>44753.57265046296</v>
      </c>
      <c r="C316" s="1" t="n">
        <v>45882</v>
      </c>
      <c r="D316" t="inlineStr">
        <is>
          <t>UPPSALA LÄN</t>
        </is>
      </c>
      <c r="E316" t="inlineStr">
        <is>
          <t>ENKÖPING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21017-2023</t>
        </is>
      </c>
      <c r="B317" s="1" t="n">
        <v>45061</v>
      </c>
      <c r="C317" s="1" t="n">
        <v>45882</v>
      </c>
      <c r="D317" t="inlineStr">
        <is>
          <t>UPPSALA LÄN</t>
        </is>
      </c>
      <c r="E317" t="inlineStr">
        <is>
          <t>ENKÖPING</t>
        </is>
      </c>
      <c r="G317" t="n">
        <v>4.8</v>
      </c>
      <c r="H317" t="n">
        <v>0</v>
      </c>
      <c r="I317" t="n">
        <v>0</v>
      </c>
      <c r="J317" t="n">
        <v>0</v>
      </c>
      <c r="K317" t="n">
        <v>0</v>
      </c>
      <c r="L317" t="n">
        <v>0</v>
      </c>
      <c r="M317" t="n">
        <v>0</v>
      </c>
      <c r="N317" t="n">
        <v>0</v>
      </c>
      <c r="O317" t="n">
        <v>0</v>
      </c>
      <c r="P317" t="n">
        <v>0</v>
      </c>
      <c r="Q317" t="n">
        <v>0</v>
      </c>
      <c r="R317" s="2" t="inlineStr"/>
    </row>
    <row r="318" ht="15" customHeight="1">
      <c r="A318" t="inlineStr">
        <is>
          <t>A 49601-2024</t>
        </is>
      </c>
      <c r="B318" s="1" t="n">
        <v>45596.56288194445</v>
      </c>
      <c r="C318" s="1" t="n">
        <v>45882</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27538-2023</t>
        </is>
      </c>
      <c r="B319" s="1" t="n">
        <v>45097</v>
      </c>
      <c r="C319" s="1" t="n">
        <v>45882</v>
      </c>
      <c r="D319" t="inlineStr">
        <is>
          <t>UPPSALA LÄN</t>
        </is>
      </c>
      <c r="E319" t="inlineStr">
        <is>
          <t>ENKÖPING</t>
        </is>
      </c>
      <c r="G319" t="n">
        <v>5.8</v>
      </c>
      <c r="H319" t="n">
        <v>0</v>
      </c>
      <c r="I319" t="n">
        <v>0</v>
      </c>
      <c r="J319" t="n">
        <v>0</v>
      </c>
      <c r="K319" t="n">
        <v>0</v>
      </c>
      <c r="L319" t="n">
        <v>0</v>
      </c>
      <c r="M319" t="n">
        <v>0</v>
      </c>
      <c r="N319" t="n">
        <v>0</v>
      </c>
      <c r="O319" t="n">
        <v>0</v>
      </c>
      <c r="P319" t="n">
        <v>0</v>
      </c>
      <c r="Q319" t="n">
        <v>0</v>
      </c>
      <c r="R319" s="2" t="inlineStr"/>
    </row>
    <row r="320" ht="15" customHeight="1">
      <c r="A320" t="inlineStr">
        <is>
          <t>A 15409-2025</t>
        </is>
      </c>
      <c r="B320" s="1" t="n">
        <v>45747</v>
      </c>
      <c r="C320" s="1" t="n">
        <v>45882</v>
      </c>
      <c r="D320" t="inlineStr">
        <is>
          <t>UPPSALA LÄN</t>
        </is>
      </c>
      <c r="E320" t="inlineStr">
        <is>
          <t>ENKÖPING</t>
        </is>
      </c>
      <c r="G320" t="n">
        <v>2.5</v>
      </c>
      <c r="H320" t="n">
        <v>0</v>
      </c>
      <c r="I320" t="n">
        <v>0</v>
      </c>
      <c r="J320" t="n">
        <v>0</v>
      </c>
      <c r="K320" t="n">
        <v>0</v>
      </c>
      <c r="L320" t="n">
        <v>0</v>
      </c>
      <c r="M320" t="n">
        <v>0</v>
      </c>
      <c r="N320" t="n">
        <v>0</v>
      </c>
      <c r="O320" t="n">
        <v>0</v>
      </c>
      <c r="P320" t="n">
        <v>0</v>
      </c>
      <c r="Q320" t="n">
        <v>0</v>
      </c>
      <c r="R320" s="2" t="inlineStr"/>
    </row>
    <row r="321" ht="15" customHeight="1">
      <c r="A321" t="inlineStr">
        <is>
          <t>A 60874-2023</t>
        </is>
      </c>
      <c r="B321" s="1" t="n">
        <v>45261.06280092592</v>
      </c>
      <c r="C321" s="1" t="n">
        <v>45882</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2833-2025</t>
        </is>
      </c>
      <c r="B322" s="1" t="n">
        <v>45677.63206018518</v>
      </c>
      <c r="C322" s="1" t="n">
        <v>45882</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50394-2024</t>
        </is>
      </c>
      <c r="B323" s="1" t="n">
        <v>45600</v>
      </c>
      <c r="C323" s="1" t="n">
        <v>45882</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58092-2024</t>
        </is>
      </c>
      <c r="B324" s="1" t="n">
        <v>45632</v>
      </c>
      <c r="C324" s="1" t="n">
        <v>45882</v>
      </c>
      <c r="D324" t="inlineStr">
        <is>
          <t>UPPSALA LÄN</t>
        </is>
      </c>
      <c r="E324" t="inlineStr">
        <is>
          <t>ENKÖPING</t>
        </is>
      </c>
      <c r="G324" t="n">
        <v>4.8</v>
      </c>
      <c r="H324" t="n">
        <v>0</v>
      </c>
      <c r="I324" t="n">
        <v>0</v>
      </c>
      <c r="J324" t="n">
        <v>0</v>
      </c>
      <c r="K324" t="n">
        <v>0</v>
      </c>
      <c r="L324" t="n">
        <v>0</v>
      </c>
      <c r="M324" t="n">
        <v>0</v>
      </c>
      <c r="N324" t="n">
        <v>0</v>
      </c>
      <c r="O324" t="n">
        <v>0</v>
      </c>
      <c r="P324" t="n">
        <v>0</v>
      </c>
      <c r="Q324" t="n">
        <v>0</v>
      </c>
      <c r="R324" s="2" t="inlineStr"/>
    </row>
    <row r="325" ht="15" customHeight="1">
      <c r="A325" t="inlineStr">
        <is>
          <t>A 51010-2024</t>
        </is>
      </c>
      <c r="B325" s="1" t="n">
        <v>45603.39285879629</v>
      </c>
      <c r="C325" s="1" t="n">
        <v>45882</v>
      </c>
      <c r="D325" t="inlineStr">
        <is>
          <t>UPPSALA LÄN</t>
        </is>
      </c>
      <c r="E325" t="inlineStr">
        <is>
          <t>ENKÖPING</t>
        </is>
      </c>
      <c r="G325" t="n">
        <v>1.7</v>
      </c>
      <c r="H325" t="n">
        <v>0</v>
      </c>
      <c r="I325" t="n">
        <v>0</v>
      </c>
      <c r="J325" t="n">
        <v>0</v>
      </c>
      <c r="K325" t="n">
        <v>0</v>
      </c>
      <c r="L325" t="n">
        <v>0</v>
      </c>
      <c r="M325" t="n">
        <v>0</v>
      </c>
      <c r="N325" t="n">
        <v>0</v>
      </c>
      <c r="O325" t="n">
        <v>0</v>
      </c>
      <c r="P325" t="n">
        <v>0</v>
      </c>
      <c r="Q325" t="n">
        <v>0</v>
      </c>
      <c r="R325" s="2" t="inlineStr"/>
    </row>
    <row r="326" ht="15" customHeight="1">
      <c r="A326" t="inlineStr">
        <is>
          <t>A 21501-2025</t>
        </is>
      </c>
      <c r="B326" s="1" t="n">
        <v>45782</v>
      </c>
      <c r="C326" s="1" t="n">
        <v>45882</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50006-2023</t>
        </is>
      </c>
      <c r="B327" s="1" t="n">
        <v>45215</v>
      </c>
      <c r="C327" s="1" t="n">
        <v>45882</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45378-2020</t>
        </is>
      </c>
      <c r="B328" s="1" t="n">
        <v>44089</v>
      </c>
      <c r="C328" s="1" t="n">
        <v>45882</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26017-2025</t>
        </is>
      </c>
      <c r="B329" s="1" t="n">
        <v>45804</v>
      </c>
      <c r="C329" s="1" t="n">
        <v>45882</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26024-2025</t>
        </is>
      </c>
      <c r="B330" s="1" t="n">
        <v>45804.6831712963</v>
      </c>
      <c r="C330" s="1" t="n">
        <v>45882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26042-2025</t>
        </is>
      </c>
      <c r="B331" s="1" t="n">
        <v>45804.70018518518</v>
      </c>
      <c r="C331" s="1" t="n">
        <v>45882</v>
      </c>
      <c r="D331" t="inlineStr">
        <is>
          <t>UPPSALA LÄN</t>
        </is>
      </c>
      <c r="E331" t="inlineStr">
        <is>
          <t>ENKÖPING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26005-2025</t>
        </is>
      </c>
      <c r="B332" s="1" t="n">
        <v>45804.67055555555</v>
      </c>
      <c r="C332" s="1" t="n">
        <v>45882</v>
      </c>
      <c r="D332" t="inlineStr">
        <is>
          <t>UPPSALA LÄN</t>
        </is>
      </c>
      <c r="E332" t="inlineStr">
        <is>
          <t>ENKÖPING</t>
        </is>
      </c>
      <c r="G332" t="n">
        <v>0.3</v>
      </c>
      <c r="H332" t="n">
        <v>0</v>
      </c>
      <c r="I332" t="n">
        <v>0</v>
      </c>
      <c r="J332" t="n">
        <v>0</v>
      </c>
      <c r="K332" t="n">
        <v>0</v>
      </c>
      <c r="L332" t="n">
        <v>0</v>
      </c>
      <c r="M332" t="n">
        <v>0</v>
      </c>
      <c r="N332" t="n">
        <v>0</v>
      </c>
      <c r="O332" t="n">
        <v>0</v>
      </c>
      <c r="P332" t="n">
        <v>0</v>
      </c>
      <c r="Q332" t="n">
        <v>0</v>
      </c>
      <c r="R332" s="2" t="inlineStr"/>
    </row>
    <row r="333" ht="15" customHeight="1">
      <c r="A333" t="inlineStr">
        <is>
          <t>A 26026-2025</t>
        </is>
      </c>
      <c r="B333" s="1" t="n">
        <v>45804.68510416667</v>
      </c>
      <c r="C333" s="1" t="n">
        <v>45882</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26030-2025</t>
        </is>
      </c>
      <c r="B334" s="1" t="n">
        <v>45804.68815972222</v>
      </c>
      <c r="C334" s="1" t="n">
        <v>45882</v>
      </c>
      <c r="D334" t="inlineStr">
        <is>
          <t>UPPSALA LÄN</t>
        </is>
      </c>
      <c r="E334" t="inlineStr">
        <is>
          <t>ENKÖPING</t>
        </is>
      </c>
      <c r="G334" t="n">
        <v>0.3</v>
      </c>
      <c r="H334" t="n">
        <v>0</v>
      </c>
      <c r="I334" t="n">
        <v>0</v>
      </c>
      <c r="J334" t="n">
        <v>0</v>
      </c>
      <c r="K334" t="n">
        <v>0</v>
      </c>
      <c r="L334" t="n">
        <v>0</v>
      </c>
      <c r="M334" t="n">
        <v>0</v>
      </c>
      <c r="N334" t="n">
        <v>0</v>
      </c>
      <c r="O334" t="n">
        <v>0</v>
      </c>
      <c r="P334" t="n">
        <v>0</v>
      </c>
      <c r="Q334" t="n">
        <v>0</v>
      </c>
      <c r="R334" s="2" t="inlineStr"/>
    </row>
    <row r="335" ht="15" customHeight="1">
      <c r="A335" t="inlineStr">
        <is>
          <t>A 26022-2025</t>
        </is>
      </c>
      <c r="B335" s="1" t="n">
        <v>45804.68006944445</v>
      </c>
      <c r="C335" s="1" t="n">
        <v>45882</v>
      </c>
      <c r="D335" t="inlineStr">
        <is>
          <t>UPPSALA LÄN</t>
        </is>
      </c>
      <c r="E335" t="inlineStr">
        <is>
          <t>ENKÖPING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25988-2025</t>
        </is>
      </c>
      <c r="B336" s="1" t="n">
        <v>45804.64814814815</v>
      </c>
      <c r="C336" s="1" t="n">
        <v>45882</v>
      </c>
      <c r="D336" t="inlineStr">
        <is>
          <t>UPPSALA LÄN</t>
        </is>
      </c>
      <c r="E336" t="inlineStr">
        <is>
          <t>ENKÖPING</t>
        </is>
      </c>
      <c r="G336" t="n">
        <v>4.7</v>
      </c>
      <c r="H336" t="n">
        <v>0</v>
      </c>
      <c r="I336" t="n">
        <v>0</v>
      </c>
      <c r="J336" t="n">
        <v>0</v>
      </c>
      <c r="K336" t="n">
        <v>0</v>
      </c>
      <c r="L336" t="n">
        <v>0</v>
      </c>
      <c r="M336" t="n">
        <v>0</v>
      </c>
      <c r="N336" t="n">
        <v>0</v>
      </c>
      <c r="O336" t="n">
        <v>0</v>
      </c>
      <c r="P336" t="n">
        <v>0</v>
      </c>
      <c r="Q336" t="n">
        <v>0</v>
      </c>
      <c r="R336" s="2" t="inlineStr"/>
    </row>
    <row r="337" ht="15" customHeight="1">
      <c r="A337" t="inlineStr">
        <is>
          <t>A 26031-2025</t>
        </is>
      </c>
      <c r="B337" s="1" t="n">
        <v>45804.69050925926</v>
      </c>
      <c r="C337" s="1" t="n">
        <v>45882</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56526-2022</t>
        </is>
      </c>
      <c r="B338" s="1" t="n">
        <v>44893</v>
      </c>
      <c r="C338" s="1" t="n">
        <v>45882</v>
      </c>
      <c r="D338" t="inlineStr">
        <is>
          <t>UPPSALA LÄN</t>
        </is>
      </c>
      <c r="E338" t="inlineStr">
        <is>
          <t>ENKÖPING</t>
        </is>
      </c>
      <c r="G338" t="n">
        <v>3.8</v>
      </c>
      <c r="H338" t="n">
        <v>0</v>
      </c>
      <c r="I338" t="n">
        <v>0</v>
      </c>
      <c r="J338" t="n">
        <v>0</v>
      </c>
      <c r="K338" t="n">
        <v>0</v>
      </c>
      <c r="L338" t="n">
        <v>0</v>
      </c>
      <c r="M338" t="n">
        <v>0</v>
      </c>
      <c r="N338" t="n">
        <v>0</v>
      </c>
      <c r="O338" t="n">
        <v>0</v>
      </c>
      <c r="P338" t="n">
        <v>0</v>
      </c>
      <c r="Q338" t="n">
        <v>0</v>
      </c>
      <c r="R338" s="2" t="inlineStr"/>
    </row>
    <row r="339" ht="15" customHeight="1">
      <c r="A339" t="inlineStr">
        <is>
          <t>A 26011-2025</t>
        </is>
      </c>
      <c r="B339" s="1" t="n">
        <v>45804.67412037037</v>
      </c>
      <c r="C339" s="1" t="n">
        <v>45882</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39858-2024</t>
        </is>
      </c>
      <c r="B340" s="1" t="n">
        <v>45553</v>
      </c>
      <c r="C340" s="1" t="n">
        <v>45882</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60289-2022</t>
        </is>
      </c>
      <c r="B341" s="1" t="n">
        <v>44910.53026620371</v>
      </c>
      <c r="C341" s="1" t="n">
        <v>45882</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26041-2025</t>
        </is>
      </c>
      <c r="B342" s="1" t="n">
        <v>45804.69883101852</v>
      </c>
      <c r="C342" s="1" t="n">
        <v>45882</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25990-2025</t>
        </is>
      </c>
      <c r="B343" s="1" t="n">
        <v>45804.65229166667</v>
      </c>
      <c r="C343" s="1" t="n">
        <v>45882</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13110-2023</t>
        </is>
      </c>
      <c r="B344" s="1" t="n">
        <v>45001</v>
      </c>
      <c r="C344" s="1" t="n">
        <v>45882</v>
      </c>
      <c r="D344" t="inlineStr">
        <is>
          <t>UPPSALA LÄN</t>
        </is>
      </c>
      <c r="E344" t="inlineStr">
        <is>
          <t>ENKÖPING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58384-2022</t>
        </is>
      </c>
      <c r="B345" s="1" t="n">
        <v>44901</v>
      </c>
      <c r="C345" s="1" t="n">
        <v>45882</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59602-2022</t>
        </is>
      </c>
      <c r="B346" s="1" t="n">
        <v>44907.72241898148</v>
      </c>
      <c r="C346" s="1" t="n">
        <v>45882</v>
      </c>
      <c r="D346" t="inlineStr">
        <is>
          <t>UPPSALA LÄN</t>
        </is>
      </c>
      <c r="E346" t="inlineStr">
        <is>
          <t>ENKÖPING</t>
        </is>
      </c>
      <c r="G346" t="n">
        <v>14.2</v>
      </c>
      <c r="H346" t="n">
        <v>0</v>
      </c>
      <c r="I346" t="n">
        <v>0</v>
      </c>
      <c r="J346" t="n">
        <v>0</v>
      </c>
      <c r="K346" t="n">
        <v>0</v>
      </c>
      <c r="L346" t="n">
        <v>0</v>
      </c>
      <c r="M346" t="n">
        <v>0</v>
      </c>
      <c r="N346" t="n">
        <v>0</v>
      </c>
      <c r="O346" t="n">
        <v>0</v>
      </c>
      <c r="P346" t="n">
        <v>0</v>
      </c>
      <c r="Q346" t="n">
        <v>0</v>
      </c>
      <c r="R346" s="2" t="inlineStr"/>
    </row>
    <row r="347" ht="15" customHeight="1">
      <c r="A347" t="inlineStr">
        <is>
          <t>A 43016-2021</t>
        </is>
      </c>
      <c r="B347" s="1" t="n">
        <v>44431</v>
      </c>
      <c r="C347" s="1" t="n">
        <v>45882</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25847-2025</t>
        </is>
      </c>
      <c r="B348" s="1" t="n">
        <v>45804</v>
      </c>
      <c r="C348" s="1" t="n">
        <v>45882</v>
      </c>
      <c r="D348" t="inlineStr">
        <is>
          <t>UPPSALA LÄN</t>
        </is>
      </c>
      <c r="E348" t="inlineStr">
        <is>
          <t>ENKÖPING</t>
        </is>
      </c>
      <c r="G348" t="n">
        <v>3.6</v>
      </c>
      <c r="H348" t="n">
        <v>0</v>
      </c>
      <c r="I348" t="n">
        <v>0</v>
      </c>
      <c r="J348" t="n">
        <v>0</v>
      </c>
      <c r="K348" t="n">
        <v>0</v>
      </c>
      <c r="L348" t="n">
        <v>0</v>
      </c>
      <c r="M348" t="n">
        <v>0</v>
      </c>
      <c r="N348" t="n">
        <v>0</v>
      </c>
      <c r="O348" t="n">
        <v>0</v>
      </c>
      <c r="P348" t="n">
        <v>0</v>
      </c>
      <c r="Q348" t="n">
        <v>0</v>
      </c>
      <c r="R348" s="2" t="inlineStr"/>
    </row>
    <row r="349" ht="15" customHeight="1">
      <c r="A349" t="inlineStr">
        <is>
          <t>A 25989-2025</t>
        </is>
      </c>
      <c r="B349" s="1" t="n">
        <v>45804.65050925926</v>
      </c>
      <c r="C349" s="1" t="n">
        <v>45882</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19147-2024</t>
        </is>
      </c>
      <c r="B350" s="1" t="n">
        <v>45428</v>
      </c>
      <c r="C350" s="1" t="n">
        <v>45882</v>
      </c>
      <c r="D350" t="inlineStr">
        <is>
          <t>UPPSALA LÄN</t>
        </is>
      </c>
      <c r="E350" t="inlineStr">
        <is>
          <t>ENKÖPING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57209-2024</t>
        </is>
      </c>
      <c r="B351" s="1" t="n">
        <v>45629.49311342592</v>
      </c>
      <c r="C351" s="1" t="n">
        <v>45882</v>
      </c>
      <c r="D351" t="inlineStr">
        <is>
          <t>UPPSALA LÄN</t>
        </is>
      </c>
      <c r="E351" t="inlineStr">
        <is>
          <t>ENKÖPING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51120-2023</t>
        </is>
      </c>
      <c r="B352" s="1" t="n">
        <v>45219.3088425926</v>
      </c>
      <c r="C352" s="1" t="n">
        <v>45882</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12878-2025</t>
        </is>
      </c>
      <c r="B353" s="1" t="n">
        <v>45733.68571759259</v>
      </c>
      <c r="C353" s="1" t="n">
        <v>45882</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31965-2021</t>
        </is>
      </c>
      <c r="B354" s="1" t="n">
        <v>44370.56901620371</v>
      </c>
      <c r="C354" s="1" t="n">
        <v>45882</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26047-2025</t>
        </is>
      </c>
      <c r="B355" s="1" t="n">
        <v>45804.70835648148</v>
      </c>
      <c r="C355" s="1" t="n">
        <v>45882</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44525.70237268518</v>
      </c>
      <c r="C356" s="1" t="n">
        <v>45882</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33619-2022</t>
        </is>
      </c>
      <c r="B357" s="1" t="n">
        <v>44789</v>
      </c>
      <c r="C357" s="1" t="n">
        <v>45882</v>
      </c>
      <c r="D357" t="inlineStr">
        <is>
          <t>UPPSALA LÄN</t>
        </is>
      </c>
      <c r="E357" t="inlineStr">
        <is>
          <t>ENKÖPING</t>
        </is>
      </c>
      <c r="F357" t="inlineStr">
        <is>
          <t>Allmännings- och besparingsskogar</t>
        </is>
      </c>
      <c r="G357" t="n">
        <v>4.5</v>
      </c>
      <c r="H357" t="n">
        <v>0</v>
      </c>
      <c r="I357" t="n">
        <v>0</v>
      </c>
      <c r="J357" t="n">
        <v>0</v>
      </c>
      <c r="K357" t="n">
        <v>0</v>
      </c>
      <c r="L357" t="n">
        <v>0</v>
      </c>
      <c r="M357" t="n">
        <v>0</v>
      </c>
      <c r="N357" t="n">
        <v>0</v>
      </c>
      <c r="O357" t="n">
        <v>0</v>
      </c>
      <c r="P357" t="n">
        <v>0</v>
      </c>
      <c r="Q357" t="n">
        <v>0</v>
      </c>
      <c r="R357" s="2" t="inlineStr"/>
    </row>
    <row r="358" ht="15" customHeight="1">
      <c r="A358" t="inlineStr">
        <is>
          <t>A 43896-2022</t>
        </is>
      </c>
      <c r="B358" s="1" t="n">
        <v>44838</v>
      </c>
      <c r="C358" s="1" t="n">
        <v>45882</v>
      </c>
      <c r="D358" t="inlineStr">
        <is>
          <t>UPPSALA LÄN</t>
        </is>
      </c>
      <c r="E358" t="inlineStr">
        <is>
          <t>ENKÖPING</t>
        </is>
      </c>
      <c r="G358" t="n">
        <v>5.3</v>
      </c>
      <c r="H358" t="n">
        <v>0</v>
      </c>
      <c r="I358" t="n">
        <v>0</v>
      </c>
      <c r="J358" t="n">
        <v>0</v>
      </c>
      <c r="K358" t="n">
        <v>0</v>
      </c>
      <c r="L358" t="n">
        <v>0</v>
      </c>
      <c r="M358" t="n">
        <v>0</v>
      </c>
      <c r="N358" t="n">
        <v>0</v>
      </c>
      <c r="O358" t="n">
        <v>0</v>
      </c>
      <c r="P358" t="n">
        <v>0</v>
      </c>
      <c r="Q358" t="n">
        <v>0</v>
      </c>
      <c r="R358" s="2" t="inlineStr"/>
    </row>
    <row r="359" ht="15" customHeight="1">
      <c r="A359" t="inlineStr">
        <is>
          <t>A 29513-2025</t>
        </is>
      </c>
      <c r="B359" s="1" t="n">
        <v>45825</v>
      </c>
      <c r="C359" s="1" t="n">
        <v>45882</v>
      </c>
      <c r="D359" t="inlineStr">
        <is>
          <t>UPPSALA LÄN</t>
        </is>
      </c>
      <c r="E359" t="inlineStr">
        <is>
          <t>ENKÖPING</t>
        </is>
      </c>
      <c r="G359" t="n">
        <v>2.6</v>
      </c>
      <c r="H359" t="n">
        <v>0</v>
      </c>
      <c r="I359" t="n">
        <v>0</v>
      </c>
      <c r="J359" t="n">
        <v>0</v>
      </c>
      <c r="K359" t="n">
        <v>0</v>
      </c>
      <c r="L359" t="n">
        <v>0</v>
      </c>
      <c r="M359" t="n">
        <v>0</v>
      </c>
      <c r="N359" t="n">
        <v>0</v>
      </c>
      <c r="O359" t="n">
        <v>0</v>
      </c>
      <c r="P359" t="n">
        <v>0</v>
      </c>
      <c r="Q359" t="n">
        <v>0</v>
      </c>
      <c r="R359" s="2" t="inlineStr"/>
    </row>
    <row r="360" ht="15" customHeight="1">
      <c r="A360" t="inlineStr">
        <is>
          <t>A 4203-2021</t>
        </is>
      </c>
      <c r="B360" s="1" t="n">
        <v>44223</v>
      </c>
      <c r="C360" s="1" t="n">
        <v>45882</v>
      </c>
      <c r="D360" t="inlineStr">
        <is>
          <t>UPPSALA LÄN</t>
        </is>
      </c>
      <c r="E360" t="inlineStr">
        <is>
          <t>ENKÖPING</t>
        </is>
      </c>
      <c r="G360" t="n">
        <v>11.6</v>
      </c>
      <c r="H360" t="n">
        <v>0</v>
      </c>
      <c r="I360" t="n">
        <v>0</v>
      </c>
      <c r="J360" t="n">
        <v>0</v>
      </c>
      <c r="K360" t="n">
        <v>0</v>
      </c>
      <c r="L360" t="n">
        <v>0</v>
      </c>
      <c r="M360" t="n">
        <v>0</v>
      </c>
      <c r="N360" t="n">
        <v>0</v>
      </c>
      <c r="O360" t="n">
        <v>0</v>
      </c>
      <c r="P360" t="n">
        <v>0</v>
      </c>
      <c r="Q360" t="n">
        <v>0</v>
      </c>
      <c r="R360" s="2" t="inlineStr"/>
    </row>
    <row r="361" ht="15" customHeight="1">
      <c r="A361" t="inlineStr">
        <is>
          <t>A 10829-2024</t>
        </is>
      </c>
      <c r="B361" s="1" t="n">
        <v>45369</v>
      </c>
      <c r="C361" s="1" t="n">
        <v>45882</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45882</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51034-2024</t>
        </is>
      </c>
      <c r="B363" s="1" t="n">
        <v>45603.4262037037</v>
      </c>
      <c r="C363" s="1" t="n">
        <v>45882</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51036-2024</t>
        </is>
      </c>
      <c r="B364" s="1" t="n">
        <v>45603.42839120371</v>
      </c>
      <c r="C364" s="1" t="n">
        <v>45882</v>
      </c>
      <c r="D364" t="inlineStr">
        <is>
          <t>UPPSALA LÄN</t>
        </is>
      </c>
      <c r="E364" t="inlineStr">
        <is>
          <t>ENKÖPING</t>
        </is>
      </c>
      <c r="G364" t="n">
        <v>2.6</v>
      </c>
      <c r="H364" t="n">
        <v>0</v>
      </c>
      <c r="I364" t="n">
        <v>0</v>
      </c>
      <c r="J364" t="n">
        <v>0</v>
      </c>
      <c r="K364" t="n">
        <v>0</v>
      </c>
      <c r="L364" t="n">
        <v>0</v>
      </c>
      <c r="M364" t="n">
        <v>0</v>
      </c>
      <c r="N364" t="n">
        <v>0</v>
      </c>
      <c r="O364" t="n">
        <v>0</v>
      </c>
      <c r="P364" t="n">
        <v>0</v>
      </c>
      <c r="Q364" t="n">
        <v>0</v>
      </c>
      <c r="R364" s="2" t="inlineStr"/>
    </row>
    <row r="365" ht="15" customHeight="1">
      <c r="A365" t="inlineStr">
        <is>
          <t>A 7090-2022</t>
        </is>
      </c>
      <c r="B365" s="1" t="n">
        <v>44603.59520833333</v>
      </c>
      <c r="C365" s="1" t="n">
        <v>45882</v>
      </c>
      <c r="D365" t="inlineStr">
        <is>
          <t>UPPSALA LÄN</t>
        </is>
      </c>
      <c r="E365" t="inlineStr">
        <is>
          <t>ENKÖPING</t>
        </is>
      </c>
      <c r="G365" t="n">
        <v>2.8</v>
      </c>
      <c r="H365" t="n">
        <v>0</v>
      </c>
      <c r="I365" t="n">
        <v>0</v>
      </c>
      <c r="J365" t="n">
        <v>0</v>
      </c>
      <c r="K365" t="n">
        <v>0</v>
      </c>
      <c r="L365" t="n">
        <v>0</v>
      </c>
      <c r="M365" t="n">
        <v>0</v>
      </c>
      <c r="N365" t="n">
        <v>0</v>
      </c>
      <c r="O365" t="n">
        <v>0</v>
      </c>
      <c r="P365" t="n">
        <v>0</v>
      </c>
      <c r="Q365" t="n">
        <v>0</v>
      </c>
      <c r="R365" s="2" t="inlineStr"/>
    </row>
    <row r="366" ht="15" customHeight="1">
      <c r="A366" t="inlineStr">
        <is>
          <t>A 9487-2025</t>
        </is>
      </c>
      <c r="B366" s="1" t="n">
        <v>45715.49331018519</v>
      </c>
      <c r="C366" s="1" t="n">
        <v>45882</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57841-2024</t>
        </is>
      </c>
      <c r="B367" s="1" t="n">
        <v>45631.40591435185</v>
      </c>
      <c r="C367" s="1" t="n">
        <v>45882</v>
      </c>
      <c r="D367" t="inlineStr">
        <is>
          <t>UPPSALA LÄN</t>
        </is>
      </c>
      <c r="E367" t="inlineStr">
        <is>
          <t>ENKÖPING</t>
        </is>
      </c>
      <c r="G367" t="n">
        <v>3.4</v>
      </c>
      <c r="H367" t="n">
        <v>0</v>
      </c>
      <c r="I367" t="n">
        <v>0</v>
      </c>
      <c r="J367" t="n">
        <v>0</v>
      </c>
      <c r="K367" t="n">
        <v>0</v>
      </c>
      <c r="L367" t="n">
        <v>0</v>
      </c>
      <c r="M367" t="n">
        <v>0</v>
      </c>
      <c r="N367" t="n">
        <v>0</v>
      </c>
      <c r="O367" t="n">
        <v>0</v>
      </c>
      <c r="P367" t="n">
        <v>0</v>
      </c>
      <c r="Q367" t="n">
        <v>0</v>
      </c>
      <c r="R367" s="2" t="inlineStr"/>
    </row>
    <row r="368" ht="15" customHeight="1">
      <c r="A368" t="inlineStr">
        <is>
          <t>A 35067-2024</t>
        </is>
      </c>
      <c r="B368" s="1" t="n">
        <v>45527.66153935185</v>
      </c>
      <c r="C368" s="1" t="n">
        <v>45882</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55876-2024</t>
        </is>
      </c>
      <c r="B369" s="1" t="n">
        <v>45623.5546412037</v>
      </c>
      <c r="C369" s="1" t="n">
        <v>45882</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6144-2024</t>
        </is>
      </c>
      <c r="B370" s="1" t="n">
        <v>45337.4684837963</v>
      </c>
      <c r="C370" s="1" t="n">
        <v>45882</v>
      </c>
      <c r="D370" t="inlineStr">
        <is>
          <t>UPPSALA LÄN</t>
        </is>
      </c>
      <c r="E370" t="inlineStr">
        <is>
          <t>ENKÖPING</t>
        </is>
      </c>
      <c r="G370" t="n">
        <v>13.8</v>
      </c>
      <c r="H370" t="n">
        <v>0</v>
      </c>
      <c r="I370" t="n">
        <v>0</v>
      </c>
      <c r="J370" t="n">
        <v>0</v>
      </c>
      <c r="K370" t="n">
        <v>0</v>
      </c>
      <c r="L370" t="n">
        <v>0</v>
      </c>
      <c r="M370" t="n">
        <v>0</v>
      </c>
      <c r="N370" t="n">
        <v>0</v>
      </c>
      <c r="O370" t="n">
        <v>0</v>
      </c>
      <c r="P370" t="n">
        <v>0</v>
      </c>
      <c r="Q370" t="n">
        <v>0</v>
      </c>
      <c r="R370" s="2" t="inlineStr"/>
    </row>
    <row r="371" ht="15" customHeight="1">
      <c r="A371" t="inlineStr">
        <is>
          <t>A 33955-2024</t>
        </is>
      </c>
      <c r="B371" s="1" t="n">
        <v>45523.46952546296</v>
      </c>
      <c r="C371" s="1" t="n">
        <v>45882</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11005-2023</t>
        </is>
      </c>
      <c r="B372" s="1" t="n">
        <v>44991</v>
      </c>
      <c r="C372" s="1" t="n">
        <v>45882</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57142-2021</t>
        </is>
      </c>
      <c r="B373" s="1" t="n">
        <v>44482</v>
      </c>
      <c r="C373" s="1" t="n">
        <v>45882</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57147-2021</t>
        </is>
      </c>
      <c r="B374" s="1" t="n">
        <v>44482</v>
      </c>
      <c r="C374" s="1" t="n">
        <v>45882</v>
      </c>
      <c r="D374" t="inlineStr">
        <is>
          <t>UPPSALA LÄN</t>
        </is>
      </c>
      <c r="E374" t="inlineStr">
        <is>
          <t>ENKÖPING</t>
        </is>
      </c>
      <c r="G374" t="n">
        <v>5.7</v>
      </c>
      <c r="H374" t="n">
        <v>0</v>
      </c>
      <c r="I374" t="n">
        <v>0</v>
      </c>
      <c r="J374" t="n">
        <v>0</v>
      </c>
      <c r="K374" t="n">
        <v>0</v>
      </c>
      <c r="L374" t="n">
        <v>0</v>
      </c>
      <c r="M374" t="n">
        <v>0</v>
      </c>
      <c r="N374" t="n">
        <v>0</v>
      </c>
      <c r="O374" t="n">
        <v>0</v>
      </c>
      <c r="P374" t="n">
        <v>0</v>
      </c>
      <c r="Q374" t="n">
        <v>0</v>
      </c>
      <c r="R374" s="2" t="inlineStr"/>
    </row>
    <row r="375" ht="15" customHeight="1">
      <c r="A375" t="inlineStr">
        <is>
          <t>A 7868-2024</t>
        </is>
      </c>
      <c r="B375" s="1" t="n">
        <v>45350.33020833333</v>
      </c>
      <c r="C375" s="1" t="n">
        <v>45882</v>
      </c>
      <c r="D375" t="inlineStr">
        <is>
          <t>UPPSALA LÄN</t>
        </is>
      </c>
      <c r="E375" t="inlineStr">
        <is>
          <t>ENKÖPING</t>
        </is>
      </c>
      <c r="G375" t="n">
        <v>0.3</v>
      </c>
      <c r="H375" t="n">
        <v>0</v>
      </c>
      <c r="I375" t="n">
        <v>0</v>
      </c>
      <c r="J375" t="n">
        <v>0</v>
      </c>
      <c r="K375" t="n">
        <v>0</v>
      </c>
      <c r="L375" t="n">
        <v>0</v>
      </c>
      <c r="M375" t="n">
        <v>0</v>
      </c>
      <c r="N375" t="n">
        <v>0</v>
      </c>
      <c r="O375" t="n">
        <v>0</v>
      </c>
      <c r="P375" t="n">
        <v>0</v>
      </c>
      <c r="Q375" t="n">
        <v>0</v>
      </c>
      <c r="R375" s="2" t="inlineStr"/>
    </row>
    <row r="376" ht="15" customHeight="1">
      <c r="A376" t="inlineStr">
        <is>
          <t>A 7870-2024</t>
        </is>
      </c>
      <c r="B376" s="1" t="n">
        <v>45350.33349537037</v>
      </c>
      <c r="C376" s="1" t="n">
        <v>45882</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9231-2023</t>
        </is>
      </c>
      <c r="B377" s="1" t="n">
        <v>44980</v>
      </c>
      <c r="C377" s="1" t="n">
        <v>45882</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66517-2020</t>
        </is>
      </c>
      <c r="B378" s="1" t="n">
        <v>44178</v>
      </c>
      <c r="C378" s="1" t="n">
        <v>45882</v>
      </c>
      <c r="D378" t="inlineStr">
        <is>
          <t>UPPSALA LÄN</t>
        </is>
      </c>
      <c r="E378" t="inlineStr">
        <is>
          <t>ENKÖPING</t>
        </is>
      </c>
      <c r="G378" t="n">
        <v>4</v>
      </c>
      <c r="H378" t="n">
        <v>0</v>
      </c>
      <c r="I378" t="n">
        <v>0</v>
      </c>
      <c r="J378" t="n">
        <v>0</v>
      </c>
      <c r="K378" t="n">
        <v>0</v>
      </c>
      <c r="L378" t="n">
        <v>0</v>
      </c>
      <c r="M378" t="n">
        <v>0</v>
      </c>
      <c r="N378" t="n">
        <v>0</v>
      </c>
      <c r="O378" t="n">
        <v>0</v>
      </c>
      <c r="P378" t="n">
        <v>0</v>
      </c>
      <c r="Q378" t="n">
        <v>0</v>
      </c>
      <c r="R378" s="2" t="inlineStr"/>
    </row>
    <row r="379" ht="15" customHeight="1">
      <c r="A379" t="inlineStr">
        <is>
          <t>A 16916-2022</t>
        </is>
      </c>
      <c r="B379" s="1" t="n">
        <v>44676</v>
      </c>
      <c r="C379" s="1" t="n">
        <v>45882</v>
      </c>
      <c r="D379" t="inlineStr">
        <is>
          <t>UPPSALA LÄN</t>
        </is>
      </c>
      <c r="E379" t="inlineStr">
        <is>
          <t>ENKÖPING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17844-2025</t>
        </is>
      </c>
      <c r="B380" s="1" t="n">
        <v>45758.59920138889</v>
      </c>
      <c r="C380" s="1" t="n">
        <v>45882</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16920-2023</t>
        </is>
      </c>
      <c r="B381" s="1" t="n">
        <v>45033.59030092593</v>
      </c>
      <c r="C381" s="1" t="n">
        <v>45882</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30514-2021</t>
        </is>
      </c>
      <c r="B382" s="1" t="n">
        <v>44364</v>
      </c>
      <c r="C382" s="1" t="n">
        <v>45882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31604-2023</t>
        </is>
      </c>
      <c r="B383" s="1" t="n">
        <v>45117.50368055556</v>
      </c>
      <c r="C383" s="1" t="n">
        <v>45882</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25598-2021</t>
        </is>
      </c>
      <c r="B384" s="1" t="n">
        <v>44343.4558912037</v>
      </c>
      <c r="C384" s="1" t="n">
        <v>45882</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15162-2025</t>
        </is>
      </c>
      <c r="B385" s="1" t="n">
        <v>45744</v>
      </c>
      <c r="C385" s="1" t="n">
        <v>45882</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53586-2024</t>
        </is>
      </c>
      <c r="B386" s="1" t="n">
        <v>45614</v>
      </c>
      <c r="C386" s="1" t="n">
        <v>45882</v>
      </c>
      <c r="D386" t="inlineStr">
        <is>
          <t>UPPSALA LÄN</t>
        </is>
      </c>
      <c r="E386" t="inlineStr">
        <is>
          <t>ENKÖPING</t>
        </is>
      </c>
      <c r="G386" t="n">
        <v>6.6</v>
      </c>
      <c r="H386" t="n">
        <v>0</v>
      </c>
      <c r="I386" t="n">
        <v>0</v>
      </c>
      <c r="J386" t="n">
        <v>0</v>
      </c>
      <c r="K386" t="n">
        <v>0</v>
      </c>
      <c r="L386" t="n">
        <v>0</v>
      </c>
      <c r="M386" t="n">
        <v>0</v>
      </c>
      <c r="N386" t="n">
        <v>0</v>
      </c>
      <c r="O386" t="n">
        <v>0</v>
      </c>
      <c r="P386" t="n">
        <v>0</v>
      </c>
      <c r="Q386" t="n">
        <v>0</v>
      </c>
      <c r="R386" s="2" t="inlineStr"/>
    </row>
    <row r="387" ht="15" customHeight="1">
      <c r="A387" t="inlineStr">
        <is>
          <t>A 49637-2024</t>
        </is>
      </c>
      <c r="B387" s="1" t="n">
        <v>45596.59831018518</v>
      </c>
      <c r="C387" s="1" t="n">
        <v>45882</v>
      </c>
      <c r="D387" t="inlineStr">
        <is>
          <t>UPPSALA LÄN</t>
        </is>
      </c>
      <c r="E387" t="inlineStr">
        <is>
          <t>ENKÖPING</t>
        </is>
      </c>
      <c r="G387" t="n">
        <v>4.9</v>
      </c>
      <c r="H387" t="n">
        <v>0</v>
      </c>
      <c r="I387" t="n">
        <v>0</v>
      </c>
      <c r="J387" t="n">
        <v>0</v>
      </c>
      <c r="K387" t="n">
        <v>0</v>
      </c>
      <c r="L387" t="n">
        <v>0</v>
      </c>
      <c r="M387" t="n">
        <v>0</v>
      </c>
      <c r="N387" t="n">
        <v>0</v>
      </c>
      <c r="O387" t="n">
        <v>0</v>
      </c>
      <c r="P387" t="n">
        <v>0</v>
      </c>
      <c r="Q387" t="n">
        <v>0</v>
      </c>
      <c r="R387" s="2" t="inlineStr"/>
    </row>
    <row r="388" ht="15" customHeight="1">
      <c r="A388" t="inlineStr">
        <is>
          <t>A 52388-2024</t>
        </is>
      </c>
      <c r="B388" s="1" t="n">
        <v>45609.42939814815</v>
      </c>
      <c r="C388" s="1" t="n">
        <v>45882</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27829-2025</t>
        </is>
      </c>
      <c r="B389" s="1" t="n">
        <v>45817</v>
      </c>
      <c r="C389" s="1" t="n">
        <v>45882</v>
      </c>
      <c r="D389" t="inlineStr">
        <is>
          <t>UPPSALA LÄN</t>
        </is>
      </c>
      <c r="E389" t="inlineStr">
        <is>
          <t>ENKÖPING</t>
        </is>
      </c>
      <c r="G389" t="n">
        <v>2.1</v>
      </c>
      <c r="H389" t="n">
        <v>0</v>
      </c>
      <c r="I389" t="n">
        <v>0</v>
      </c>
      <c r="J389" t="n">
        <v>0</v>
      </c>
      <c r="K389" t="n">
        <v>0</v>
      </c>
      <c r="L389" t="n">
        <v>0</v>
      </c>
      <c r="M389" t="n">
        <v>0</v>
      </c>
      <c r="N389" t="n">
        <v>0</v>
      </c>
      <c r="O389" t="n">
        <v>0</v>
      </c>
      <c r="P389" t="n">
        <v>0</v>
      </c>
      <c r="Q389" t="n">
        <v>0</v>
      </c>
      <c r="R389" s="2" t="inlineStr"/>
    </row>
    <row r="390" ht="15" customHeight="1">
      <c r="A390" t="inlineStr">
        <is>
          <t>A 53607-2023</t>
        </is>
      </c>
      <c r="B390" s="1" t="n">
        <v>45230</v>
      </c>
      <c r="C390" s="1" t="n">
        <v>45882</v>
      </c>
      <c r="D390" t="inlineStr">
        <is>
          <t>UPPSALA LÄN</t>
        </is>
      </c>
      <c r="E390" t="inlineStr">
        <is>
          <t>ENKÖPING</t>
        </is>
      </c>
      <c r="F390" t="inlineStr">
        <is>
          <t>Allmännings- och besparingsskogar</t>
        </is>
      </c>
      <c r="G390" t="n">
        <v>6.3</v>
      </c>
      <c r="H390" t="n">
        <v>0</v>
      </c>
      <c r="I390" t="n">
        <v>0</v>
      </c>
      <c r="J390" t="n">
        <v>0</v>
      </c>
      <c r="K390" t="n">
        <v>0</v>
      </c>
      <c r="L390" t="n">
        <v>0</v>
      </c>
      <c r="M390" t="n">
        <v>0</v>
      </c>
      <c r="N390" t="n">
        <v>0</v>
      </c>
      <c r="O390" t="n">
        <v>0</v>
      </c>
      <c r="P390" t="n">
        <v>0</v>
      </c>
      <c r="Q390" t="n">
        <v>0</v>
      </c>
      <c r="R390" s="2" t="inlineStr"/>
    </row>
    <row r="391" ht="15" customHeight="1">
      <c r="A391" t="inlineStr">
        <is>
          <t>A 43506-2023</t>
        </is>
      </c>
      <c r="B391" s="1" t="n">
        <v>45181</v>
      </c>
      <c r="C391" s="1" t="n">
        <v>45882</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40202-2024</t>
        </is>
      </c>
      <c r="B392" s="1" t="n">
        <v>45554</v>
      </c>
      <c r="C392" s="1" t="n">
        <v>45882</v>
      </c>
      <c r="D392" t="inlineStr">
        <is>
          <t>UPPSALA LÄN</t>
        </is>
      </c>
      <c r="E392" t="inlineStr">
        <is>
          <t>ENKÖPING</t>
        </is>
      </c>
      <c r="G392" t="n">
        <v>6.2</v>
      </c>
      <c r="H392" t="n">
        <v>0</v>
      </c>
      <c r="I392" t="n">
        <v>0</v>
      </c>
      <c r="J392" t="n">
        <v>0</v>
      </c>
      <c r="K392" t="n">
        <v>0</v>
      </c>
      <c r="L392" t="n">
        <v>0</v>
      </c>
      <c r="M392" t="n">
        <v>0</v>
      </c>
      <c r="N392" t="n">
        <v>0</v>
      </c>
      <c r="O392" t="n">
        <v>0</v>
      </c>
      <c r="P392" t="n">
        <v>0</v>
      </c>
      <c r="Q392" t="n">
        <v>0</v>
      </c>
      <c r="R392" s="2" t="inlineStr"/>
    </row>
    <row r="393" ht="15" customHeight="1">
      <c r="A393" t="inlineStr">
        <is>
          <t>A 34990-2025</t>
        </is>
      </c>
      <c r="B393" s="1" t="n">
        <v>45849.78916666667</v>
      </c>
      <c r="C393" s="1" t="n">
        <v>45882</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8306-2021</t>
        </is>
      </c>
      <c r="B394" s="1" t="n">
        <v>44244</v>
      </c>
      <c r="C394" s="1" t="n">
        <v>45882</v>
      </c>
      <c r="D394" t="inlineStr">
        <is>
          <t>UPPSALA LÄN</t>
        </is>
      </c>
      <c r="E394" t="inlineStr">
        <is>
          <t>ENKÖPING</t>
        </is>
      </c>
      <c r="G394" t="n">
        <v>14.9</v>
      </c>
      <c r="H394" t="n">
        <v>0</v>
      </c>
      <c r="I394" t="n">
        <v>0</v>
      </c>
      <c r="J394" t="n">
        <v>0</v>
      </c>
      <c r="K394" t="n">
        <v>0</v>
      </c>
      <c r="L394" t="n">
        <v>0</v>
      </c>
      <c r="M394" t="n">
        <v>0</v>
      </c>
      <c r="N394" t="n">
        <v>0</v>
      </c>
      <c r="O394" t="n">
        <v>0</v>
      </c>
      <c r="P394" t="n">
        <v>0</v>
      </c>
      <c r="Q394" t="n">
        <v>0</v>
      </c>
      <c r="R394" s="2" t="inlineStr"/>
    </row>
    <row r="395" ht="15" customHeight="1">
      <c r="A395" t="inlineStr">
        <is>
          <t>A 46186-2023</t>
        </is>
      </c>
      <c r="B395" s="1" t="n">
        <v>45196</v>
      </c>
      <c r="C395" s="1" t="n">
        <v>45882</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54595-2021</t>
        </is>
      </c>
      <c r="B396" s="1" t="n">
        <v>44473.58824074074</v>
      </c>
      <c r="C396" s="1" t="n">
        <v>45882</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54588-2024</t>
        </is>
      </c>
      <c r="B397" s="1" t="n">
        <v>45617</v>
      </c>
      <c r="C397" s="1" t="n">
        <v>45882</v>
      </c>
      <c r="D397" t="inlineStr">
        <is>
          <t>UPPSALA LÄN</t>
        </is>
      </c>
      <c r="E397" t="inlineStr">
        <is>
          <t>ENKÖPING</t>
        </is>
      </c>
      <c r="G397" t="n">
        <v>3.7</v>
      </c>
      <c r="H397" t="n">
        <v>0</v>
      </c>
      <c r="I397" t="n">
        <v>0</v>
      </c>
      <c r="J397" t="n">
        <v>0</v>
      </c>
      <c r="K397" t="n">
        <v>0</v>
      </c>
      <c r="L397" t="n">
        <v>0</v>
      </c>
      <c r="M397" t="n">
        <v>0</v>
      </c>
      <c r="N397" t="n">
        <v>0</v>
      </c>
      <c r="O397" t="n">
        <v>0</v>
      </c>
      <c r="P397" t="n">
        <v>0</v>
      </c>
      <c r="Q397" t="n">
        <v>0</v>
      </c>
      <c r="R397" s="2" t="inlineStr"/>
    </row>
    <row r="398" ht="15" customHeight="1">
      <c r="A398" t="inlineStr">
        <is>
          <t>A 39009-2024</t>
        </is>
      </c>
      <c r="B398" s="1" t="n">
        <v>45548</v>
      </c>
      <c r="C398" s="1" t="n">
        <v>45882</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8537-2025</t>
        </is>
      </c>
      <c r="B399" s="1" t="n">
        <v>45709</v>
      </c>
      <c r="C399" s="1" t="n">
        <v>45882</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47428-2023</t>
        </is>
      </c>
      <c r="B400" s="1" t="n">
        <v>45202.66664351852</v>
      </c>
      <c r="C400" s="1" t="n">
        <v>45882</v>
      </c>
      <c r="D400" t="inlineStr">
        <is>
          <t>UPPSALA LÄN</t>
        </is>
      </c>
      <c r="E400" t="inlineStr">
        <is>
          <t>ENKÖPING</t>
        </is>
      </c>
      <c r="G400" t="n">
        <v>3</v>
      </c>
      <c r="H400" t="n">
        <v>0</v>
      </c>
      <c r="I400" t="n">
        <v>0</v>
      </c>
      <c r="J400" t="n">
        <v>0</v>
      </c>
      <c r="K400" t="n">
        <v>0</v>
      </c>
      <c r="L400" t="n">
        <v>0</v>
      </c>
      <c r="M400" t="n">
        <v>0</v>
      </c>
      <c r="N400" t="n">
        <v>0</v>
      </c>
      <c r="O400" t="n">
        <v>0</v>
      </c>
      <c r="P400" t="n">
        <v>0</v>
      </c>
      <c r="Q400" t="n">
        <v>0</v>
      </c>
      <c r="R400" s="2" t="inlineStr"/>
    </row>
    <row r="401" ht="15" customHeight="1">
      <c r="A401" t="inlineStr">
        <is>
          <t>A 57152-2021</t>
        </is>
      </c>
      <c r="B401" s="1" t="n">
        <v>44482</v>
      </c>
      <c r="C401" s="1" t="n">
        <v>45882</v>
      </c>
      <c r="D401" t="inlineStr">
        <is>
          <t>UPPSALA LÄN</t>
        </is>
      </c>
      <c r="E401" t="inlineStr">
        <is>
          <t>ENKÖPING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5892-2023</t>
        </is>
      </c>
      <c r="B402" s="1" t="n">
        <v>44963.64883101852</v>
      </c>
      <c r="C402" s="1" t="n">
        <v>45882</v>
      </c>
      <c r="D402" t="inlineStr">
        <is>
          <t>UPPSALA LÄN</t>
        </is>
      </c>
      <c r="E402" t="inlineStr">
        <is>
          <t>ENKÖPING</t>
        </is>
      </c>
      <c r="G402" t="n">
        <v>5.5</v>
      </c>
      <c r="H402" t="n">
        <v>0</v>
      </c>
      <c r="I402" t="n">
        <v>0</v>
      </c>
      <c r="J402" t="n">
        <v>0</v>
      </c>
      <c r="K402" t="n">
        <v>0</v>
      </c>
      <c r="L402" t="n">
        <v>0</v>
      </c>
      <c r="M402" t="n">
        <v>0</v>
      </c>
      <c r="N402" t="n">
        <v>0</v>
      </c>
      <c r="O402" t="n">
        <v>0</v>
      </c>
      <c r="P402" t="n">
        <v>0</v>
      </c>
      <c r="Q402" t="n">
        <v>0</v>
      </c>
      <c r="R402" s="2" t="inlineStr"/>
    </row>
    <row r="403" ht="15" customHeight="1">
      <c r="A403" t="inlineStr">
        <is>
          <t>A 12572-2021</t>
        </is>
      </c>
      <c r="B403" s="1" t="n">
        <v>44270.36438657407</v>
      </c>
      <c r="C403" s="1" t="n">
        <v>45882</v>
      </c>
      <c r="D403" t="inlineStr">
        <is>
          <t>UPPSALA LÄN</t>
        </is>
      </c>
      <c r="E403" t="inlineStr">
        <is>
          <t>ENKÖPING</t>
        </is>
      </c>
      <c r="G403" t="n">
        <v>3.3</v>
      </c>
      <c r="H403" t="n">
        <v>0</v>
      </c>
      <c r="I403" t="n">
        <v>0</v>
      </c>
      <c r="J403" t="n">
        <v>0</v>
      </c>
      <c r="K403" t="n">
        <v>0</v>
      </c>
      <c r="L403" t="n">
        <v>0</v>
      </c>
      <c r="M403" t="n">
        <v>0</v>
      </c>
      <c r="N403" t="n">
        <v>0</v>
      </c>
      <c r="O403" t="n">
        <v>0</v>
      </c>
      <c r="P403" t="n">
        <v>0</v>
      </c>
      <c r="Q403" t="n">
        <v>0</v>
      </c>
      <c r="R403" s="2" t="inlineStr"/>
    </row>
    <row r="404" ht="15" customHeight="1">
      <c r="A404" t="inlineStr">
        <is>
          <t>A 49625-2024</t>
        </is>
      </c>
      <c r="B404" s="1" t="n">
        <v>45596.5891087963</v>
      </c>
      <c r="C404" s="1" t="n">
        <v>45882</v>
      </c>
      <c r="D404" t="inlineStr">
        <is>
          <t>UPPSALA LÄN</t>
        </is>
      </c>
      <c r="E404" t="inlineStr">
        <is>
          <t>ENKÖPING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28758-2025</t>
        </is>
      </c>
      <c r="B405" s="1" t="n">
        <v>45820.41212962963</v>
      </c>
      <c r="C405" s="1" t="n">
        <v>45882</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28862-2025</t>
        </is>
      </c>
      <c r="B406" s="1" t="n">
        <v>45820.59189814814</v>
      </c>
      <c r="C406" s="1" t="n">
        <v>45882</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28855-2025</t>
        </is>
      </c>
      <c r="B407" s="1" t="n">
        <v>45820.58274305556</v>
      </c>
      <c r="C407" s="1" t="n">
        <v>45882</v>
      </c>
      <c r="D407" t="inlineStr">
        <is>
          <t>UPPSALA LÄN</t>
        </is>
      </c>
      <c r="E407" t="inlineStr">
        <is>
          <t>ENKÖPING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671-2022</t>
        </is>
      </c>
      <c r="B408" s="1" t="n">
        <v>44568</v>
      </c>
      <c r="C408" s="1" t="n">
        <v>45882</v>
      </c>
      <c r="D408" t="inlineStr">
        <is>
          <t>UPPSALA LÄN</t>
        </is>
      </c>
      <c r="E408" t="inlineStr">
        <is>
          <t>ENKÖPING</t>
        </is>
      </c>
      <c r="G408" t="n">
        <v>3.5</v>
      </c>
      <c r="H408" t="n">
        <v>0</v>
      </c>
      <c r="I408" t="n">
        <v>0</v>
      </c>
      <c r="J408" t="n">
        <v>0</v>
      </c>
      <c r="K408" t="n">
        <v>0</v>
      </c>
      <c r="L408" t="n">
        <v>0</v>
      </c>
      <c r="M408" t="n">
        <v>0</v>
      </c>
      <c r="N408" t="n">
        <v>0</v>
      </c>
      <c r="O408" t="n">
        <v>0</v>
      </c>
      <c r="P408" t="n">
        <v>0</v>
      </c>
      <c r="Q408" t="n">
        <v>0</v>
      </c>
      <c r="R408" s="2" t="inlineStr"/>
    </row>
    <row r="409" ht="15" customHeight="1">
      <c r="A409" t="inlineStr">
        <is>
          <t>A 34988-2025</t>
        </is>
      </c>
      <c r="B409" s="1" t="n">
        <v>45849</v>
      </c>
      <c r="C409" s="1" t="n">
        <v>45882</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9660-2025</t>
        </is>
      </c>
      <c r="B410" s="1" t="n">
        <v>45716</v>
      </c>
      <c r="C410" s="1" t="n">
        <v>45882</v>
      </c>
      <c r="D410" t="inlineStr">
        <is>
          <t>UPPSALA LÄN</t>
        </is>
      </c>
      <c r="E410" t="inlineStr">
        <is>
          <t>ENKÖPING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43488-2023</t>
        </is>
      </c>
      <c r="B411" s="1" t="n">
        <v>45181</v>
      </c>
      <c r="C411" s="1" t="n">
        <v>45882</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29093-2025</t>
        </is>
      </c>
      <c r="B412" s="1" t="n">
        <v>45821.55743055556</v>
      </c>
      <c r="C412" s="1" t="n">
        <v>45882</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34987-2025</t>
        </is>
      </c>
      <c r="B413" s="1" t="n">
        <v>45849</v>
      </c>
      <c r="C413" s="1" t="n">
        <v>45882</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34989-2025</t>
        </is>
      </c>
      <c r="B414" s="1" t="n">
        <v>45849</v>
      </c>
      <c r="C414" s="1" t="n">
        <v>45882</v>
      </c>
      <c r="D414" t="inlineStr">
        <is>
          <t>UPPSALA LÄN</t>
        </is>
      </c>
      <c r="E414" t="inlineStr">
        <is>
          <t>ENKÖPING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9171-2024</t>
        </is>
      </c>
      <c r="B415" s="1" t="n">
        <v>45358</v>
      </c>
      <c r="C415" s="1" t="n">
        <v>45882</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29477-2025</t>
        </is>
      </c>
      <c r="B416" s="1" t="n">
        <v>45824.71537037037</v>
      </c>
      <c r="C416" s="1" t="n">
        <v>45882</v>
      </c>
      <c r="D416" t="inlineStr">
        <is>
          <t>UPPSALA LÄN</t>
        </is>
      </c>
      <c r="E416" t="inlineStr">
        <is>
          <t>ENKÖPING</t>
        </is>
      </c>
      <c r="G416" t="n">
        <v>13.4</v>
      </c>
      <c r="H416" t="n">
        <v>0</v>
      </c>
      <c r="I416" t="n">
        <v>0</v>
      </c>
      <c r="J416" t="n">
        <v>0</v>
      </c>
      <c r="K416" t="n">
        <v>0</v>
      </c>
      <c r="L416" t="n">
        <v>0</v>
      </c>
      <c r="M416" t="n">
        <v>0</v>
      </c>
      <c r="N416" t="n">
        <v>0</v>
      </c>
      <c r="O416" t="n">
        <v>0</v>
      </c>
      <c r="P416" t="n">
        <v>0</v>
      </c>
      <c r="Q416" t="n">
        <v>0</v>
      </c>
      <c r="R416" s="2" t="inlineStr"/>
    </row>
    <row r="417" ht="15" customHeight="1">
      <c r="A417" t="inlineStr">
        <is>
          <t>A 34124-2021</t>
        </is>
      </c>
      <c r="B417" s="1" t="n">
        <v>44379</v>
      </c>
      <c r="C417" s="1" t="n">
        <v>45882</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28518-2024</t>
        </is>
      </c>
      <c r="B418" s="1" t="n">
        <v>45477</v>
      </c>
      <c r="C418" s="1" t="n">
        <v>45882</v>
      </c>
      <c r="D418" t="inlineStr">
        <is>
          <t>UPPSALA LÄN</t>
        </is>
      </c>
      <c r="E418" t="inlineStr">
        <is>
          <t>ENKÖPING</t>
        </is>
      </c>
      <c r="G418" t="n">
        <v>3.4</v>
      </c>
      <c r="H418" t="n">
        <v>0</v>
      </c>
      <c r="I418" t="n">
        <v>0</v>
      </c>
      <c r="J418" t="n">
        <v>0</v>
      </c>
      <c r="K418" t="n">
        <v>0</v>
      </c>
      <c r="L418" t="n">
        <v>0</v>
      </c>
      <c r="M418" t="n">
        <v>0</v>
      </c>
      <c r="N418" t="n">
        <v>0</v>
      </c>
      <c r="O418" t="n">
        <v>0</v>
      </c>
      <c r="P418" t="n">
        <v>0</v>
      </c>
      <c r="Q418" t="n">
        <v>0</v>
      </c>
      <c r="R418" s="2" t="inlineStr"/>
    </row>
    <row r="419" ht="15" customHeight="1">
      <c r="A419" t="inlineStr">
        <is>
          <t>A 52299-2023</t>
        </is>
      </c>
      <c r="B419" s="1" t="n">
        <v>45224.61636574074</v>
      </c>
      <c r="C419" s="1" t="n">
        <v>45882</v>
      </c>
      <c r="D419" t="inlineStr">
        <is>
          <t>UPPSALA LÄN</t>
        </is>
      </c>
      <c r="E419" t="inlineStr">
        <is>
          <t>ENKÖPING</t>
        </is>
      </c>
      <c r="G419" t="n">
        <v>2.2</v>
      </c>
      <c r="H419" t="n">
        <v>0</v>
      </c>
      <c r="I419" t="n">
        <v>0</v>
      </c>
      <c r="J419" t="n">
        <v>0</v>
      </c>
      <c r="K419" t="n">
        <v>0</v>
      </c>
      <c r="L419" t="n">
        <v>0</v>
      </c>
      <c r="M419" t="n">
        <v>0</v>
      </c>
      <c r="N419" t="n">
        <v>0</v>
      </c>
      <c r="O419" t="n">
        <v>0</v>
      </c>
      <c r="P419" t="n">
        <v>0</v>
      </c>
      <c r="Q419" t="n">
        <v>0</v>
      </c>
      <c r="R419" s="2" t="inlineStr"/>
    </row>
    <row r="420" ht="15" customHeight="1">
      <c r="A420" t="inlineStr">
        <is>
          <t>A 43230-2023</t>
        </is>
      </c>
      <c r="B420" s="1" t="n">
        <v>45183</v>
      </c>
      <c r="C420" s="1" t="n">
        <v>45882</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45362-2022</t>
        </is>
      </c>
      <c r="B421" s="1" t="n">
        <v>44844.62366898148</v>
      </c>
      <c r="C421" s="1" t="n">
        <v>45882</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72840-2021</t>
        </is>
      </c>
      <c r="B422" s="1" t="n">
        <v>44547</v>
      </c>
      <c r="C422" s="1" t="n">
        <v>45882</v>
      </c>
      <c r="D422" t="inlineStr">
        <is>
          <t>UPPSALA LÄN</t>
        </is>
      </c>
      <c r="E422" t="inlineStr">
        <is>
          <t>ENKÖPING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30634-2022</t>
        </is>
      </c>
      <c r="B423" s="1" t="n">
        <v>44763.45711805556</v>
      </c>
      <c r="C423" s="1" t="n">
        <v>45882</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18259-2025</t>
        </is>
      </c>
      <c r="B424" s="1" t="n">
        <v>45762</v>
      </c>
      <c r="C424" s="1" t="n">
        <v>45882</v>
      </c>
      <c r="D424" t="inlineStr">
        <is>
          <t>UPPSALA LÄN</t>
        </is>
      </c>
      <c r="E424" t="inlineStr">
        <is>
          <t>ENKÖPING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14004-2023</t>
        </is>
      </c>
      <c r="B425" s="1" t="n">
        <v>45008</v>
      </c>
      <c r="C425" s="1" t="n">
        <v>45882</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36350-2025</t>
        </is>
      </c>
      <c r="B426" s="1" t="n">
        <v>45868</v>
      </c>
      <c r="C426" s="1" t="n">
        <v>45882</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49622-2024</t>
        </is>
      </c>
      <c r="B427" s="1" t="n">
        <v>45596.58372685185</v>
      </c>
      <c r="C427" s="1" t="n">
        <v>45882</v>
      </c>
      <c r="D427" t="inlineStr">
        <is>
          <t>UPPSALA LÄN</t>
        </is>
      </c>
      <c r="E427" t="inlineStr">
        <is>
          <t>ENKÖPING</t>
        </is>
      </c>
      <c r="G427" t="n">
        <v>1.3</v>
      </c>
      <c r="H427" t="n">
        <v>0</v>
      </c>
      <c r="I427" t="n">
        <v>0</v>
      </c>
      <c r="J427" t="n">
        <v>0</v>
      </c>
      <c r="K427" t="n">
        <v>0</v>
      </c>
      <c r="L427" t="n">
        <v>0</v>
      </c>
      <c r="M427" t="n">
        <v>0</v>
      </c>
      <c r="N427" t="n">
        <v>0</v>
      </c>
      <c r="O427" t="n">
        <v>0</v>
      </c>
      <c r="P427" t="n">
        <v>0</v>
      </c>
      <c r="Q427" t="n">
        <v>0</v>
      </c>
      <c r="R427" s="2" t="inlineStr"/>
    </row>
    <row r="428" ht="15" customHeight="1">
      <c r="A428" t="inlineStr">
        <is>
          <t>A 36492-2025</t>
        </is>
      </c>
      <c r="B428" s="1" t="n">
        <v>45869</v>
      </c>
      <c r="C428" s="1" t="n">
        <v>45882</v>
      </c>
      <c r="D428" t="inlineStr">
        <is>
          <t>UPPSALA LÄN</t>
        </is>
      </c>
      <c r="E428" t="inlineStr">
        <is>
          <t>ENKÖPING</t>
        </is>
      </c>
      <c r="G428" t="n">
        <v>6.3</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45882</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1992-2022</t>
        </is>
      </c>
      <c r="B430" s="1" t="n">
        <v>44575.56153935185</v>
      </c>
      <c r="C430" s="1" t="n">
        <v>45882</v>
      </c>
      <c r="D430" t="inlineStr">
        <is>
          <t>UPPSALA LÄN</t>
        </is>
      </c>
      <c r="E430" t="inlineStr">
        <is>
          <t>ENKÖPING</t>
        </is>
      </c>
      <c r="G430" t="n">
        <v>2.8</v>
      </c>
      <c r="H430" t="n">
        <v>0</v>
      </c>
      <c r="I430" t="n">
        <v>0</v>
      </c>
      <c r="J430" t="n">
        <v>0</v>
      </c>
      <c r="K430" t="n">
        <v>0</v>
      </c>
      <c r="L430" t="n">
        <v>0</v>
      </c>
      <c r="M430" t="n">
        <v>0</v>
      </c>
      <c r="N430" t="n">
        <v>0</v>
      </c>
      <c r="O430" t="n">
        <v>0</v>
      </c>
      <c r="P430" t="n">
        <v>0</v>
      </c>
      <c r="Q430" t="n">
        <v>0</v>
      </c>
      <c r="R430" s="2" t="inlineStr"/>
    </row>
    <row r="431" ht="15" customHeight="1">
      <c r="A431" t="inlineStr">
        <is>
          <t>A 36368-2025</t>
        </is>
      </c>
      <c r="B431" s="1" t="n">
        <v>45868</v>
      </c>
      <c r="C431" s="1" t="n">
        <v>45882</v>
      </c>
      <c r="D431" t="inlineStr">
        <is>
          <t>UPPSALA LÄN</t>
        </is>
      </c>
      <c r="E431" t="inlineStr">
        <is>
          <t>ENKÖPING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18583-2021</t>
        </is>
      </c>
      <c r="B432" s="1" t="n">
        <v>44306</v>
      </c>
      <c r="C432" s="1" t="n">
        <v>45882</v>
      </c>
      <c r="D432" t="inlineStr">
        <is>
          <t>UPPSALA LÄN</t>
        </is>
      </c>
      <c r="E432" t="inlineStr">
        <is>
          <t>ENKÖPING</t>
        </is>
      </c>
      <c r="G432" t="n">
        <v>0.4</v>
      </c>
      <c r="H432" t="n">
        <v>0</v>
      </c>
      <c r="I432" t="n">
        <v>0</v>
      </c>
      <c r="J432" t="n">
        <v>0</v>
      </c>
      <c r="K432" t="n">
        <v>0</v>
      </c>
      <c r="L432" t="n">
        <v>0</v>
      </c>
      <c r="M432" t="n">
        <v>0</v>
      </c>
      <c r="N432" t="n">
        <v>0</v>
      </c>
      <c r="O432" t="n">
        <v>0</v>
      </c>
      <c r="P432" t="n">
        <v>0</v>
      </c>
      <c r="Q432" t="n">
        <v>0</v>
      </c>
      <c r="R432" s="2" t="inlineStr"/>
    </row>
    <row r="433" ht="15" customHeight="1">
      <c r="A433" t="inlineStr">
        <is>
          <t>A 1695-2025</t>
        </is>
      </c>
      <c r="B433" s="1" t="n">
        <v>45670</v>
      </c>
      <c r="C433" s="1" t="n">
        <v>45882</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52005-2024</t>
        </is>
      </c>
      <c r="B434" s="1" t="n">
        <v>45607.7627662037</v>
      </c>
      <c r="C434" s="1" t="n">
        <v>45882</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1960-2022</t>
        </is>
      </c>
      <c r="B435" s="1" t="n">
        <v>44575</v>
      </c>
      <c r="C435" s="1" t="n">
        <v>45882</v>
      </c>
      <c r="D435" t="inlineStr">
        <is>
          <t>UPPSALA LÄN</t>
        </is>
      </c>
      <c r="E435" t="inlineStr">
        <is>
          <t>ENKÖPING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6157-2021</t>
        </is>
      </c>
      <c r="B436" s="1" t="n">
        <v>44232</v>
      </c>
      <c r="C436" s="1" t="n">
        <v>45882</v>
      </c>
      <c r="D436" t="inlineStr">
        <is>
          <t>UPPSALA LÄN</t>
        </is>
      </c>
      <c r="E436" t="inlineStr">
        <is>
          <t>ENKÖPING</t>
        </is>
      </c>
      <c r="G436" t="n">
        <v>3.9</v>
      </c>
      <c r="H436" t="n">
        <v>0</v>
      </c>
      <c r="I436" t="n">
        <v>0</v>
      </c>
      <c r="J436" t="n">
        <v>0</v>
      </c>
      <c r="K436" t="n">
        <v>0</v>
      </c>
      <c r="L436" t="n">
        <v>0</v>
      </c>
      <c r="M436" t="n">
        <v>0</v>
      </c>
      <c r="N436" t="n">
        <v>0</v>
      </c>
      <c r="O436" t="n">
        <v>0</v>
      </c>
      <c r="P436" t="n">
        <v>0</v>
      </c>
      <c r="Q436" t="n">
        <v>0</v>
      </c>
      <c r="R436" s="2" t="inlineStr"/>
    </row>
    <row r="437" ht="15" customHeight="1">
      <c r="A437" t="inlineStr">
        <is>
          <t>A 36599-2025</t>
        </is>
      </c>
      <c r="B437" s="1" t="n">
        <v>45870.51723379629</v>
      </c>
      <c r="C437" s="1" t="n">
        <v>45882</v>
      </c>
      <c r="D437" t="inlineStr">
        <is>
          <t>UPPSALA LÄN</t>
        </is>
      </c>
      <c r="E437" t="inlineStr">
        <is>
          <t>ENKÖPING</t>
        </is>
      </c>
      <c r="G437" t="n">
        <v>5.9</v>
      </c>
      <c r="H437" t="n">
        <v>0</v>
      </c>
      <c r="I437" t="n">
        <v>0</v>
      </c>
      <c r="J437" t="n">
        <v>0</v>
      </c>
      <c r="K437" t="n">
        <v>0</v>
      </c>
      <c r="L437" t="n">
        <v>0</v>
      </c>
      <c r="M437" t="n">
        <v>0</v>
      </c>
      <c r="N437" t="n">
        <v>0</v>
      </c>
      <c r="O437" t="n">
        <v>0</v>
      </c>
      <c r="P437" t="n">
        <v>0</v>
      </c>
      <c r="Q437" t="n">
        <v>0</v>
      </c>
      <c r="R437" s="2" t="inlineStr"/>
    </row>
    <row r="438" ht="15" customHeight="1">
      <c r="A438" t="inlineStr">
        <is>
          <t>A 30837-2025</t>
        </is>
      </c>
      <c r="B438" s="1" t="n">
        <v>45831.7063425926</v>
      </c>
      <c r="C438" s="1" t="n">
        <v>45882</v>
      </c>
      <c r="D438" t="inlineStr">
        <is>
          <t>UPPSALA LÄN</t>
        </is>
      </c>
      <c r="E438" t="inlineStr">
        <is>
          <t>ENKÖPING</t>
        </is>
      </c>
      <c r="G438" t="n">
        <v>3.8</v>
      </c>
      <c r="H438" t="n">
        <v>0</v>
      </c>
      <c r="I438" t="n">
        <v>0</v>
      </c>
      <c r="J438" t="n">
        <v>0</v>
      </c>
      <c r="K438" t="n">
        <v>0</v>
      </c>
      <c r="L438" t="n">
        <v>0</v>
      </c>
      <c r="M438" t="n">
        <v>0</v>
      </c>
      <c r="N438" t="n">
        <v>0</v>
      </c>
      <c r="O438" t="n">
        <v>0</v>
      </c>
      <c r="P438" t="n">
        <v>0</v>
      </c>
      <c r="Q438" t="n">
        <v>0</v>
      </c>
      <c r="R438" s="2" t="inlineStr"/>
    </row>
    <row r="439" ht="15" customHeight="1">
      <c r="A439" t="inlineStr">
        <is>
          <t>A 54357-2023</t>
        </is>
      </c>
      <c r="B439" s="1" t="n">
        <v>45225</v>
      </c>
      <c r="C439" s="1" t="n">
        <v>45882</v>
      </c>
      <c r="D439" t="inlineStr">
        <is>
          <t>UPPSALA LÄN</t>
        </is>
      </c>
      <c r="E439" t="inlineStr">
        <is>
          <t>ENKÖPING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24962-2023</t>
        </is>
      </c>
      <c r="B440" s="1" t="n">
        <v>45085.60123842592</v>
      </c>
      <c r="C440" s="1" t="n">
        <v>45882</v>
      </c>
      <c r="D440" t="inlineStr">
        <is>
          <t>UPPSALA LÄN</t>
        </is>
      </c>
      <c r="E440" t="inlineStr">
        <is>
          <t>ENKÖPING</t>
        </is>
      </c>
      <c r="G440" t="n">
        <v>2.8</v>
      </c>
      <c r="H440" t="n">
        <v>0</v>
      </c>
      <c r="I440" t="n">
        <v>0</v>
      </c>
      <c r="J440" t="n">
        <v>0</v>
      </c>
      <c r="K440" t="n">
        <v>0</v>
      </c>
      <c r="L440" t="n">
        <v>0</v>
      </c>
      <c r="M440" t="n">
        <v>0</v>
      </c>
      <c r="N440" t="n">
        <v>0</v>
      </c>
      <c r="O440" t="n">
        <v>0</v>
      </c>
      <c r="P440" t="n">
        <v>0</v>
      </c>
      <c r="Q440" t="n">
        <v>0</v>
      </c>
      <c r="R440" s="2" t="inlineStr"/>
    </row>
    <row r="441" ht="15" customHeight="1">
      <c r="A441" t="inlineStr">
        <is>
          <t>A 67765-2020</t>
        </is>
      </c>
      <c r="B441" s="1" t="n">
        <v>44182</v>
      </c>
      <c r="C441" s="1" t="n">
        <v>45882</v>
      </c>
      <c r="D441" t="inlineStr">
        <is>
          <t>UPPSALA LÄN</t>
        </is>
      </c>
      <c r="E441" t="inlineStr">
        <is>
          <t>ENKÖPING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9658-2025</t>
        </is>
      </c>
      <c r="B442" s="1" t="n">
        <v>45716</v>
      </c>
      <c r="C442" s="1" t="n">
        <v>45882</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53149-2020</t>
        </is>
      </c>
      <c r="B443" s="1" t="n">
        <v>44120</v>
      </c>
      <c r="C443" s="1" t="n">
        <v>45882</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49623-2024</t>
        </is>
      </c>
      <c r="B444" s="1" t="n">
        <v>45596</v>
      </c>
      <c r="C444" s="1" t="n">
        <v>45882</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49627-2024</t>
        </is>
      </c>
      <c r="B445" s="1" t="n">
        <v>45596.59140046296</v>
      </c>
      <c r="C445" s="1" t="n">
        <v>45882</v>
      </c>
      <c r="D445" t="inlineStr">
        <is>
          <t>UPPSALA LÄN</t>
        </is>
      </c>
      <c r="E445" t="inlineStr">
        <is>
          <t>ENKÖPING</t>
        </is>
      </c>
      <c r="G445" t="n">
        <v>0.4</v>
      </c>
      <c r="H445" t="n">
        <v>0</v>
      </c>
      <c r="I445" t="n">
        <v>0</v>
      </c>
      <c r="J445" t="n">
        <v>0</v>
      </c>
      <c r="K445" t="n">
        <v>0</v>
      </c>
      <c r="L445" t="n">
        <v>0</v>
      </c>
      <c r="M445" t="n">
        <v>0</v>
      </c>
      <c r="N445" t="n">
        <v>0</v>
      </c>
      <c r="O445" t="n">
        <v>0</v>
      </c>
      <c r="P445" t="n">
        <v>0</v>
      </c>
      <c r="Q445" t="n">
        <v>0</v>
      </c>
      <c r="R445" s="2" t="inlineStr"/>
    </row>
    <row r="446" ht="15" customHeight="1">
      <c r="A446" t="inlineStr">
        <is>
          <t>A 57998-2024</t>
        </is>
      </c>
      <c r="B446" s="1" t="n">
        <v>45631</v>
      </c>
      <c r="C446" s="1" t="n">
        <v>45882</v>
      </c>
      <c r="D446" t="inlineStr">
        <is>
          <t>UPPSALA LÄN</t>
        </is>
      </c>
      <c r="E446" t="inlineStr">
        <is>
          <t>ENKÖPING</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6298-2021</t>
        </is>
      </c>
      <c r="B447" s="1" t="n">
        <v>44235</v>
      </c>
      <c r="C447" s="1" t="n">
        <v>45882</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9667-2024</t>
        </is>
      </c>
      <c r="B448" s="1" t="n">
        <v>45362.45130787037</v>
      </c>
      <c r="C448" s="1" t="n">
        <v>45882</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58961-2024</t>
        </is>
      </c>
      <c r="B449" s="1" t="n">
        <v>45636.585</v>
      </c>
      <c r="C449" s="1" t="n">
        <v>45882</v>
      </c>
      <c r="D449" t="inlineStr">
        <is>
          <t>UPPSALA LÄN</t>
        </is>
      </c>
      <c r="E449" t="inlineStr">
        <is>
          <t>ENKÖPING</t>
        </is>
      </c>
      <c r="G449" t="n">
        <v>4</v>
      </c>
      <c r="H449" t="n">
        <v>0</v>
      </c>
      <c r="I449" t="n">
        <v>0</v>
      </c>
      <c r="J449" t="n">
        <v>0</v>
      </c>
      <c r="K449" t="n">
        <v>0</v>
      </c>
      <c r="L449" t="n">
        <v>0</v>
      </c>
      <c r="M449" t="n">
        <v>0</v>
      </c>
      <c r="N449" t="n">
        <v>0</v>
      </c>
      <c r="O449" t="n">
        <v>0</v>
      </c>
      <c r="P449" t="n">
        <v>0</v>
      </c>
      <c r="Q449" t="n">
        <v>0</v>
      </c>
      <c r="R449" s="2" t="inlineStr"/>
    </row>
    <row r="450" ht="15" customHeight="1">
      <c r="A450" t="inlineStr">
        <is>
          <t>A 35645-2021</t>
        </is>
      </c>
      <c r="B450" s="1" t="n">
        <v>44386.42</v>
      </c>
      <c r="C450" s="1" t="n">
        <v>45882</v>
      </c>
      <c r="D450" t="inlineStr">
        <is>
          <t>UPPSALA LÄN</t>
        </is>
      </c>
      <c r="E450" t="inlineStr">
        <is>
          <t>ENKÖPING</t>
        </is>
      </c>
      <c r="G450" t="n">
        <v>2.7</v>
      </c>
      <c r="H450" t="n">
        <v>0</v>
      </c>
      <c r="I450" t="n">
        <v>0</v>
      </c>
      <c r="J450" t="n">
        <v>0</v>
      </c>
      <c r="K450" t="n">
        <v>0</v>
      </c>
      <c r="L450" t="n">
        <v>0</v>
      </c>
      <c r="M450" t="n">
        <v>0</v>
      </c>
      <c r="N450" t="n">
        <v>0</v>
      </c>
      <c r="O450" t="n">
        <v>0</v>
      </c>
      <c r="P450" t="n">
        <v>0</v>
      </c>
      <c r="Q450" t="n">
        <v>0</v>
      </c>
      <c r="R450" s="2" t="inlineStr"/>
    </row>
    <row r="451" ht="15" customHeight="1">
      <c r="A451" t="inlineStr">
        <is>
          <t>A 57833-2024</t>
        </is>
      </c>
      <c r="B451" s="1" t="n">
        <v>45631.3953587963</v>
      </c>
      <c r="C451" s="1" t="n">
        <v>45882</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53595-2023</t>
        </is>
      </c>
      <c r="B452" s="1" t="n">
        <v>45223</v>
      </c>
      <c r="C452" s="1" t="n">
        <v>45882</v>
      </c>
      <c r="D452" t="inlineStr">
        <is>
          <t>UPPSALA LÄN</t>
        </is>
      </c>
      <c r="E452" t="inlineStr">
        <is>
          <t>ENKÖPING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37319-2025</t>
        </is>
      </c>
      <c r="B453" s="1" t="n">
        <v>45876.62100694444</v>
      </c>
      <c r="C453" s="1" t="n">
        <v>45882</v>
      </c>
      <c r="D453" t="inlineStr">
        <is>
          <t>UPPSALA LÄN</t>
        </is>
      </c>
      <c r="E453" t="inlineStr">
        <is>
          <t>ENKÖPING</t>
        </is>
      </c>
      <c r="G453" t="n">
        <v>9.5</v>
      </c>
      <c r="H453" t="n">
        <v>0</v>
      </c>
      <c r="I453" t="n">
        <v>0</v>
      </c>
      <c r="J453" t="n">
        <v>0</v>
      </c>
      <c r="K453" t="n">
        <v>0</v>
      </c>
      <c r="L453" t="n">
        <v>0</v>
      </c>
      <c r="M453" t="n">
        <v>0</v>
      </c>
      <c r="N453" t="n">
        <v>0</v>
      </c>
      <c r="O453" t="n">
        <v>0</v>
      </c>
      <c r="P453" t="n">
        <v>0</v>
      </c>
      <c r="Q453" t="n">
        <v>0</v>
      </c>
      <c r="R453" s="2" t="inlineStr"/>
    </row>
    <row r="454" ht="15" customHeight="1">
      <c r="A454" t="inlineStr">
        <is>
          <t>A 15711-2025</t>
        </is>
      </c>
      <c r="B454" s="1" t="n">
        <v>45748</v>
      </c>
      <c r="C454" s="1" t="n">
        <v>45882</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15740-2025</t>
        </is>
      </c>
      <c r="B455" s="1" t="n">
        <v>45748</v>
      </c>
      <c r="C455" s="1" t="n">
        <v>45882</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32111-2025</t>
        </is>
      </c>
      <c r="B456" s="1" t="n">
        <v>45835</v>
      </c>
      <c r="C456" s="1" t="n">
        <v>45882</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15893-2024</t>
        </is>
      </c>
      <c r="B457" s="1" t="n">
        <v>45405</v>
      </c>
      <c r="C457" s="1" t="n">
        <v>45882</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28318-2024</t>
        </is>
      </c>
      <c r="B458" s="1" t="n">
        <v>45477</v>
      </c>
      <c r="C458" s="1" t="n">
        <v>45882</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32031-2025</t>
        </is>
      </c>
      <c r="B459" s="1" t="n">
        <v>45835.41712962963</v>
      </c>
      <c r="C459" s="1" t="n">
        <v>45882</v>
      </c>
      <c r="D459" t="inlineStr">
        <is>
          <t>UPPSALA LÄN</t>
        </is>
      </c>
      <c r="E459" t="inlineStr">
        <is>
          <t>ENKÖPING</t>
        </is>
      </c>
      <c r="G459" t="n">
        <v>2.7</v>
      </c>
      <c r="H459" t="n">
        <v>0</v>
      </c>
      <c r="I459" t="n">
        <v>0</v>
      </c>
      <c r="J459" t="n">
        <v>0</v>
      </c>
      <c r="K459" t="n">
        <v>0</v>
      </c>
      <c r="L459" t="n">
        <v>0</v>
      </c>
      <c r="M459" t="n">
        <v>0</v>
      </c>
      <c r="N459" t="n">
        <v>0</v>
      </c>
      <c r="O459" t="n">
        <v>0</v>
      </c>
      <c r="P459" t="n">
        <v>0</v>
      </c>
      <c r="Q459" t="n">
        <v>0</v>
      </c>
      <c r="R459" s="2" t="inlineStr"/>
    </row>
    <row r="460" ht="15" customHeight="1">
      <c r="A460" t="inlineStr">
        <is>
          <t>A 18028-2023</t>
        </is>
      </c>
      <c r="B460" s="1" t="n">
        <v>45040</v>
      </c>
      <c r="C460" s="1" t="n">
        <v>45882</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69344-2021</t>
        </is>
      </c>
      <c r="B461" s="1" t="n">
        <v>44531</v>
      </c>
      <c r="C461" s="1" t="n">
        <v>45882</v>
      </c>
      <c r="D461" t="inlineStr">
        <is>
          <t>UPPSALA LÄN</t>
        </is>
      </c>
      <c r="E461" t="inlineStr">
        <is>
          <t>ENKÖPING</t>
        </is>
      </c>
      <c r="G461" t="n">
        <v>2.9</v>
      </c>
      <c r="H461" t="n">
        <v>0</v>
      </c>
      <c r="I461" t="n">
        <v>0</v>
      </c>
      <c r="J461" t="n">
        <v>0</v>
      </c>
      <c r="K461" t="n">
        <v>0</v>
      </c>
      <c r="L461" t="n">
        <v>0</v>
      </c>
      <c r="M461" t="n">
        <v>0</v>
      </c>
      <c r="N461" t="n">
        <v>0</v>
      </c>
      <c r="O461" t="n">
        <v>0</v>
      </c>
      <c r="P461" t="n">
        <v>0</v>
      </c>
      <c r="Q461" t="n">
        <v>0</v>
      </c>
      <c r="R461" s="2" t="inlineStr"/>
    </row>
    <row r="462" ht="15" customHeight="1">
      <c r="A462" t="inlineStr">
        <is>
          <t>A 37296-2025</t>
        </is>
      </c>
      <c r="B462" s="1" t="n">
        <v>45876.56584490741</v>
      </c>
      <c r="C462" s="1" t="n">
        <v>45882</v>
      </c>
      <c r="D462" t="inlineStr">
        <is>
          <t>UPPSALA LÄN</t>
        </is>
      </c>
      <c r="E462" t="inlineStr">
        <is>
          <t>ENKÖPING</t>
        </is>
      </c>
      <c r="G462" t="n">
        <v>9.5</v>
      </c>
      <c r="H462" t="n">
        <v>0</v>
      </c>
      <c r="I462" t="n">
        <v>0</v>
      </c>
      <c r="J462" t="n">
        <v>0</v>
      </c>
      <c r="K462" t="n">
        <v>0</v>
      </c>
      <c r="L462" t="n">
        <v>0</v>
      </c>
      <c r="M462" t="n">
        <v>0</v>
      </c>
      <c r="N462" t="n">
        <v>0</v>
      </c>
      <c r="O462" t="n">
        <v>0</v>
      </c>
      <c r="P462" t="n">
        <v>0</v>
      </c>
      <c r="Q462" t="n">
        <v>0</v>
      </c>
      <c r="R462" s="2" t="inlineStr"/>
    </row>
    <row r="463" ht="15" customHeight="1">
      <c r="A463" t="inlineStr">
        <is>
          <t>A 37498-2025</t>
        </is>
      </c>
      <c r="B463" s="1" t="n">
        <v>45877</v>
      </c>
      <c r="C463" s="1" t="n">
        <v>45882</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51524-2022</t>
        </is>
      </c>
      <c r="B464" s="1" t="n">
        <v>44869</v>
      </c>
      <c r="C464" s="1" t="n">
        <v>45882</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9662-2025</t>
        </is>
      </c>
      <c r="B465" s="1" t="n">
        <v>45716</v>
      </c>
      <c r="C465" s="1" t="n">
        <v>45882</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46103-2023</t>
        </is>
      </c>
      <c r="B466" s="1" t="n">
        <v>45190</v>
      </c>
      <c r="C466" s="1" t="n">
        <v>45882</v>
      </c>
      <c r="D466" t="inlineStr">
        <is>
          <t>UPPSALA LÄN</t>
        </is>
      </c>
      <c r="E466" t="inlineStr">
        <is>
          <t>ENKÖPING</t>
        </is>
      </c>
      <c r="G466" t="n">
        <v>4.6</v>
      </c>
      <c r="H466" t="n">
        <v>0</v>
      </c>
      <c r="I466" t="n">
        <v>0</v>
      </c>
      <c r="J466" t="n">
        <v>0</v>
      </c>
      <c r="K466" t="n">
        <v>0</v>
      </c>
      <c r="L466" t="n">
        <v>0</v>
      </c>
      <c r="M466" t="n">
        <v>0</v>
      </c>
      <c r="N466" t="n">
        <v>0</v>
      </c>
      <c r="O466" t="n">
        <v>0</v>
      </c>
      <c r="P466" t="n">
        <v>0</v>
      </c>
      <c r="Q466" t="n">
        <v>0</v>
      </c>
      <c r="R466" s="2" t="inlineStr"/>
    </row>
    <row r="467" ht="15" customHeight="1">
      <c r="A467" t="inlineStr">
        <is>
          <t>A 41737-2022</t>
        </is>
      </c>
      <c r="B467" s="1" t="n">
        <v>44827.63826388889</v>
      </c>
      <c r="C467" s="1" t="n">
        <v>45882</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8137-2025</t>
        </is>
      </c>
      <c r="B468" s="1" t="n">
        <v>45707.8561574074</v>
      </c>
      <c r="C468" s="1" t="n">
        <v>45882</v>
      </c>
      <c r="D468" t="inlineStr">
        <is>
          <t>UPPSALA LÄN</t>
        </is>
      </c>
      <c r="E468" t="inlineStr">
        <is>
          <t>ENKÖPING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32477-2025</t>
        </is>
      </c>
      <c r="B469" s="1" t="n">
        <v>45838.43098379629</v>
      </c>
      <c r="C469" s="1" t="n">
        <v>45882</v>
      </c>
      <c r="D469" t="inlineStr">
        <is>
          <t>UPPSALA LÄN</t>
        </is>
      </c>
      <c r="E469" t="inlineStr">
        <is>
          <t>ENKÖPING</t>
        </is>
      </c>
      <c r="G469" t="n">
        <v>2.7</v>
      </c>
      <c r="H469" t="n">
        <v>0</v>
      </c>
      <c r="I469" t="n">
        <v>0</v>
      </c>
      <c r="J469" t="n">
        <v>0</v>
      </c>
      <c r="K469" t="n">
        <v>0</v>
      </c>
      <c r="L469" t="n">
        <v>0</v>
      </c>
      <c r="M469" t="n">
        <v>0</v>
      </c>
      <c r="N469" t="n">
        <v>0</v>
      </c>
      <c r="O469" t="n">
        <v>0</v>
      </c>
      <c r="P469" t="n">
        <v>0</v>
      </c>
      <c r="Q469" t="n">
        <v>0</v>
      </c>
      <c r="R469" s="2" t="inlineStr"/>
    </row>
    <row r="470" ht="15" customHeight="1">
      <c r="A470" t="inlineStr">
        <is>
          <t>A 23301-2024</t>
        </is>
      </c>
      <c r="B470" s="1" t="n">
        <v>45453.4396412037</v>
      </c>
      <c r="C470" s="1" t="n">
        <v>45882</v>
      </c>
      <c r="D470" t="inlineStr">
        <is>
          <t>UPPSALA LÄN</t>
        </is>
      </c>
      <c r="E470" t="inlineStr">
        <is>
          <t>ENKÖPING</t>
        </is>
      </c>
      <c r="G470" t="n">
        <v>4.3</v>
      </c>
      <c r="H470" t="n">
        <v>0</v>
      </c>
      <c r="I470" t="n">
        <v>0</v>
      </c>
      <c r="J470" t="n">
        <v>0</v>
      </c>
      <c r="K470" t="n">
        <v>0</v>
      </c>
      <c r="L470" t="n">
        <v>0</v>
      </c>
      <c r="M470" t="n">
        <v>0</v>
      </c>
      <c r="N470" t="n">
        <v>0</v>
      </c>
      <c r="O470" t="n">
        <v>0</v>
      </c>
      <c r="P470" t="n">
        <v>0</v>
      </c>
      <c r="Q470" t="n">
        <v>0</v>
      </c>
      <c r="R470" s="2" t="inlineStr"/>
    </row>
    <row r="471" ht="15" customHeight="1">
      <c r="A471" t="inlineStr">
        <is>
          <t>A 48843-2023</t>
        </is>
      </c>
      <c r="B471" s="1" t="n">
        <v>45209</v>
      </c>
      <c r="C471" s="1" t="n">
        <v>45882</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33670-2024</t>
        </is>
      </c>
      <c r="B472" s="1" t="n">
        <v>45520</v>
      </c>
      <c r="C472" s="1" t="n">
        <v>45882</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52380-2024</t>
        </is>
      </c>
      <c r="B473" s="1" t="n">
        <v>45609</v>
      </c>
      <c r="C473" s="1" t="n">
        <v>45882</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51042-2024</t>
        </is>
      </c>
      <c r="B474" s="1" t="n">
        <v>45603.4342824074</v>
      </c>
      <c r="C474" s="1" t="n">
        <v>45882</v>
      </c>
      <c r="D474" t="inlineStr">
        <is>
          <t>UPPSALA LÄN</t>
        </is>
      </c>
      <c r="E474" t="inlineStr">
        <is>
          <t>ENKÖPING</t>
        </is>
      </c>
      <c r="G474" t="n">
        <v>4.6</v>
      </c>
      <c r="H474" t="n">
        <v>0</v>
      </c>
      <c r="I474" t="n">
        <v>0</v>
      </c>
      <c r="J474" t="n">
        <v>0</v>
      </c>
      <c r="K474" t="n">
        <v>0</v>
      </c>
      <c r="L474" t="n">
        <v>0</v>
      </c>
      <c r="M474" t="n">
        <v>0</v>
      </c>
      <c r="N474" t="n">
        <v>0</v>
      </c>
      <c r="O474" t="n">
        <v>0</v>
      </c>
      <c r="P474" t="n">
        <v>0</v>
      </c>
      <c r="Q474" t="n">
        <v>0</v>
      </c>
      <c r="R474" s="2" t="inlineStr"/>
    </row>
    <row r="475" ht="15" customHeight="1">
      <c r="A475" t="inlineStr">
        <is>
          <t>A 19376-2024</t>
        </is>
      </c>
      <c r="B475" s="1" t="n">
        <v>45429</v>
      </c>
      <c r="C475" s="1" t="n">
        <v>45882</v>
      </c>
      <c r="D475" t="inlineStr">
        <is>
          <t>UPPSALA LÄN</t>
        </is>
      </c>
      <c r="E475" t="inlineStr">
        <is>
          <t>ENKÖPING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30098-2024</t>
        </is>
      </c>
      <c r="B476" s="1" t="n">
        <v>45489.41609953704</v>
      </c>
      <c r="C476" s="1" t="n">
        <v>45882</v>
      </c>
      <c r="D476" t="inlineStr">
        <is>
          <t>UPPSALA LÄN</t>
        </is>
      </c>
      <c r="E476" t="inlineStr">
        <is>
          <t>ENKÖPING</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59441-2020</t>
        </is>
      </c>
      <c r="B477" s="1" t="n">
        <v>44148</v>
      </c>
      <c r="C477" s="1" t="n">
        <v>45882</v>
      </c>
      <c r="D477" t="inlineStr">
        <is>
          <t>UPPSALA LÄN</t>
        </is>
      </c>
      <c r="E477" t="inlineStr">
        <is>
          <t>ENKÖPING</t>
        </is>
      </c>
      <c r="G477" t="n">
        <v>4.8</v>
      </c>
      <c r="H477" t="n">
        <v>0</v>
      </c>
      <c r="I477" t="n">
        <v>0</v>
      </c>
      <c r="J477" t="n">
        <v>0</v>
      </c>
      <c r="K477" t="n">
        <v>0</v>
      </c>
      <c r="L477" t="n">
        <v>0</v>
      </c>
      <c r="M477" t="n">
        <v>0</v>
      </c>
      <c r="N477" t="n">
        <v>0</v>
      </c>
      <c r="O477" t="n">
        <v>0</v>
      </c>
      <c r="P477" t="n">
        <v>0</v>
      </c>
      <c r="Q477" t="n">
        <v>0</v>
      </c>
      <c r="R477" s="2" t="inlineStr"/>
    </row>
    <row r="478" ht="15" customHeight="1">
      <c r="A478" t="inlineStr">
        <is>
          <t>A 34735-2023</t>
        </is>
      </c>
      <c r="B478" s="1" t="n">
        <v>45139</v>
      </c>
      <c r="C478" s="1" t="n">
        <v>45882</v>
      </c>
      <c r="D478" t="inlineStr">
        <is>
          <t>UPPSALA LÄN</t>
        </is>
      </c>
      <c r="E478" t="inlineStr">
        <is>
          <t>ENKÖPING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57328-2024</t>
        </is>
      </c>
      <c r="B479" s="1" t="n">
        <v>45629.62798611111</v>
      </c>
      <c r="C479" s="1" t="n">
        <v>45882</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49617-2024</t>
        </is>
      </c>
      <c r="B480" s="1" t="n">
        <v>45596</v>
      </c>
      <c r="C480" s="1" t="n">
        <v>45882</v>
      </c>
      <c r="D480" t="inlineStr">
        <is>
          <t>UPPSALA LÄN</t>
        </is>
      </c>
      <c r="E480" t="inlineStr">
        <is>
          <t>ENKÖPING</t>
        </is>
      </c>
      <c r="G480" t="n">
        <v>3.5</v>
      </c>
      <c r="H480" t="n">
        <v>0</v>
      </c>
      <c r="I480" t="n">
        <v>0</v>
      </c>
      <c r="J480" t="n">
        <v>0</v>
      </c>
      <c r="K480" t="n">
        <v>0</v>
      </c>
      <c r="L480" t="n">
        <v>0</v>
      </c>
      <c r="M480" t="n">
        <v>0</v>
      </c>
      <c r="N480" t="n">
        <v>0</v>
      </c>
      <c r="O480" t="n">
        <v>0</v>
      </c>
      <c r="P480" t="n">
        <v>0</v>
      </c>
      <c r="Q480" t="n">
        <v>0</v>
      </c>
      <c r="R480" s="2" t="inlineStr"/>
    </row>
    <row r="481" ht="15" customHeight="1">
      <c r="A481" t="inlineStr">
        <is>
          <t>A 29482-2022</t>
        </is>
      </c>
      <c r="B481" s="1" t="n">
        <v>44753.57703703704</v>
      </c>
      <c r="C481" s="1" t="n">
        <v>45882</v>
      </c>
      <c r="D481" t="inlineStr">
        <is>
          <t>UPPSALA LÄN</t>
        </is>
      </c>
      <c r="E481" t="inlineStr">
        <is>
          <t>ENKÖPING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29483-2022</t>
        </is>
      </c>
      <c r="B482" s="1" t="n">
        <v>44753.57829861111</v>
      </c>
      <c r="C482" s="1" t="n">
        <v>45882</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44232-2022</t>
        </is>
      </c>
      <c r="B483" s="1" t="n">
        <v>44839</v>
      </c>
      <c r="C483" s="1" t="n">
        <v>45882</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61106-2022</t>
        </is>
      </c>
      <c r="B484" s="1" t="n">
        <v>44915.4128587963</v>
      </c>
      <c r="C484" s="1" t="n">
        <v>45882</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39624-2023</t>
        </is>
      </c>
      <c r="B485" s="1" t="n">
        <v>45164</v>
      </c>
      <c r="C485" s="1" t="n">
        <v>45882</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20184-2023</t>
        </is>
      </c>
      <c r="B486" s="1" t="n">
        <v>45055.5670949074</v>
      </c>
      <c r="C486" s="1" t="n">
        <v>45882</v>
      </c>
      <c r="D486" t="inlineStr">
        <is>
          <t>UPPSALA LÄN</t>
        </is>
      </c>
      <c r="E486" t="inlineStr">
        <is>
          <t>ENKÖPING</t>
        </is>
      </c>
      <c r="G486" t="n">
        <v>3.2</v>
      </c>
      <c r="H486" t="n">
        <v>0</v>
      </c>
      <c r="I486" t="n">
        <v>0</v>
      </c>
      <c r="J486" t="n">
        <v>0</v>
      </c>
      <c r="K486" t="n">
        <v>0</v>
      </c>
      <c r="L486" t="n">
        <v>0</v>
      </c>
      <c r="M486" t="n">
        <v>0</v>
      </c>
      <c r="N486" t="n">
        <v>0</v>
      </c>
      <c r="O486" t="n">
        <v>0</v>
      </c>
      <c r="P486" t="n">
        <v>0</v>
      </c>
      <c r="Q486" t="n">
        <v>0</v>
      </c>
      <c r="R486" s="2" t="inlineStr"/>
    </row>
    <row r="487" ht="15" customHeight="1">
      <c r="A487" t="inlineStr">
        <is>
          <t>A 8152-2022</t>
        </is>
      </c>
      <c r="B487" s="1" t="n">
        <v>44609</v>
      </c>
      <c r="C487" s="1" t="n">
        <v>45882</v>
      </c>
      <c r="D487" t="inlineStr">
        <is>
          <t>UPPSALA LÄN</t>
        </is>
      </c>
      <c r="E487" t="inlineStr">
        <is>
          <t>ENKÖPING</t>
        </is>
      </c>
      <c r="F487" t="inlineStr">
        <is>
          <t>Kyrkan</t>
        </is>
      </c>
      <c r="G487" t="n">
        <v>1.3</v>
      </c>
      <c r="H487" t="n">
        <v>0</v>
      </c>
      <c r="I487" t="n">
        <v>0</v>
      </c>
      <c r="J487" t="n">
        <v>0</v>
      </c>
      <c r="K487" t="n">
        <v>0</v>
      </c>
      <c r="L487" t="n">
        <v>0</v>
      </c>
      <c r="M487" t="n">
        <v>0</v>
      </c>
      <c r="N487" t="n">
        <v>0</v>
      </c>
      <c r="O487" t="n">
        <v>0</v>
      </c>
      <c r="P487" t="n">
        <v>0</v>
      </c>
      <c r="Q487" t="n">
        <v>0</v>
      </c>
      <c r="R487" s="2" t="inlineStr"/>
    </row>
    <row r="488" ht="15" customHeight="1">
      <c r="A488" t="inlineStr">
        <is>
          <t>A 40223-2024</t>
        </is>
      </c>
      <c r="B488" s="1" t="n">
        <v>45554</v>
      </c>
      <c r="C488" s="1" t="n">
        <v>45882</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37035-2023</t>
        </is>
      </c>
      <c r="B489" s="1" t="n">
        <v>45155</v>
      </c>
      <c r="C489" s="1" t="n">
        <v>45882</v>
      </c>
      <c r="D489" t="inlineStr">
        <is>
          <t>UPPSALA LÄN</t>
        </is>
      </c>
      <c r="E489" t="inlineStr">
        <is>
          <t>ENKÖPING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52889-2022</t>
        </is>
      </c>
      <c r="B490" s="1" t="n">
        <v>44875</v>
      </c>
      <c r="C490" s="1" t="n">
        <v>45882</v>
      </c>
      <c r="D490" t="inlineStr">
        <is>
          <t>UPPSALA LÄN</t>
        </is>
      </c>
      <c r="E490" t="inlineStr">
        <is>
          <t>ENKÖPING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51027-2024</t>
        </is>
      </c>
      <c r="B491" s="1" t="n">
        <v>45603</v>
      </c>
      <c r="C491" s="1" t="n">
        <v>45882</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51030-2024</t>
        </is>
      </c>
      <c r="B492" s="1" t="n">
        <v>45603</v>
      </c>
      <c r="C492" s="1" t="n">
        <v>45882</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26292-2022</t>
        </is>
      </c>
      <c r="B493" s="1" t="n">
        <v>44735</v>
      </c>
      <c r="C493" s="1" t="n">
        <v>45882</v>
      </c>
      <c r="D493" t="inlineStr">
        <is>
          <t>UPPSALA LÄN</t>
        </is>
      </c>
      <c r="E493" t="inlineStr">
        <is>
          <t>ENKÖPING</t>
        </is>
      </c>
      <c r="F493" t="inlineStr">
        <is>
          <t>Kyrkan</t>
        </is>
      </c>
      <c r="G493" t="n">
        <v>4.6</v>
      </c>
      <c r="H493" t="n">
        <v>0</v>
      </c>
      <c r="I493" t="n">
        <v>0</v>
      </c>
      <c r="J493" t="n">
        <v>0</v>
      </c>
      <c r="K493" t="n">
        <v>0</v>
      </c>
      <c r="L493" t="n">
        <v>0</v>
      </c>
      <c r="M493" t="n">
        <v>0</v>
      </c>
      <c r="N493" t="n">
        <v>0</v>
      </c>
      <c r="O493" t="n">
        <v>0</v>
      </c>
      <c r="P493" t="n">
        <v>0</v>
      </c>
      <c r="Q493" t="n">
        <v>0</v>
      </c>
      <c r="R493" s="2" t="inlineStr"/>
    </row>
    <row r="494" ht="15" customHeight="1">
      <c r="A494" t="inlineStr">
        <is>
          <t>A 4044-2024</t>
        </is>
      </c>
      <c r="B494" s="1" t="n">
        <v>45323.45954861111</v>
      </c>
      <c r="C494" s="1" t="n">
        <v>45882</v>
      </c>
      <c r="D494" t="inlineStr">
        <is>
          <t>UPPSALA LÄN</t>
        </is>
      </c>
      <c r="E494" t="inlineStr">
        <is>
          <t>ENKÖPING</t>
        </is>
      </c>
      <c r="G494" t="n">
        <v>2.1</v>
      </c>
      <c r="H494" t="n">
        <v>0</v>
      </c>
      <c r="I494" t="n">
        <v>0</v>
      </c>
      <c r="J494" t="n">
        <v>0</v>
      </c>
      <c r="K494" t="n">
        <v>0</v>
      </c>
      <c r="L494" t="n">
        <v>0</v>
      </c>
      <c r="M494" t="n">
        <v>0</v>
      </c>
      <c r="N494" t="n">
        <v>0</v>
      </c>
      <c r="O494" t="n">
        <v>0</v>
      </c>
      <c r="P494" t="n">
        <v>0</v>
      </c>
      <c r="Q494" t="n">
        <v>0</v>
      </c>
      <c r="R494" s="2" t="inlineStr"/>
    </row>
    <row r="495">
      <c r="A495" t="inlineStr">
        <is>
          <t>A 33349-2024</t>
        </is>
      </c>
      <c r="B495" s="1" t="n">
        <v>45519</v>
      </c>
      <c r="C495" s="1" t="n">
        <v>45882</v>
      </c>
      <c r="D495" t="inlineStr">
        <is>
          <t>UPPSALA LÄN</t>
        </is>
      </c>
      <c r="E495" t="inlineStr">
        <is>
          <t>ENKÖPING</t>
        </is>
      </c>
      <c r="G495" t="n">
        <v>3.6</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2025-08-13T08:25:02Z</dcterms:created>
  <dcterms:modified xmlns:dcterms="http://purl.org/dc/terms/" xmlns:xsi="http://www.w3.org/2001/XMLSchema-instance" xsi:type="dcterms:W3CDTF">2025-08-13T08:25:02Z</dcterms:modified>
</cp:coreProperties>
</file>