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46065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46065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46065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46065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46065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46065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46065</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46065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46065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46065</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46065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46065</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26347-2025</t>
        </is>
      </c>
      <c r="B23" s="1" t="n">
        <v>45805.7403125</v>
      </c>
      <c r="C23" s="1" t="n">
        <v>46065</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46065</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46065</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46065</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45116-2023</t>
        </is>
      </c>
      <c r="B27" s="1" t="n">
        <v>45191</v>
      </c>
      <c r="C27" s="1" t="n">
        <v>46065</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17942-2024</t>
        </is>
      </c>
      <c r="B28" s="1" t="n">
        <v>45419</v>
      </c>
      <c r="C28" s="1" t="n">
        <v>46065</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46065</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46749-2024</t>
        </is>
      </c>
      <c r="B30" s="1" t="n">
        <v>45583.48347222222</v>
      </c>
      <c r="C30" s="1" t="n">
        <v>46065</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29510-2025</t>
        </is>
      </c>
      <c r="B31" s="1" t="n">
        <v>45825</v>
      </c>
      <c r="C31" s="1" t="n">
        <v>46065</v>
      </c>
      <c r="D31" t="inlineStr">
        <is>
          <t>UPPSALA LÄN</t>
        </is>
      </c>
      <c r="E31" t="inlineStr">
        <is>
          <t>ENKÖPING</t>
        </is>
      </c>
      <c r="G31" t="n">
        <v>2.4</v>
      </c>
      <c r="H31" t="n">
        <v>0</v>
      </c>
      <c r="I31" t="n">
        <v>0</v>
      </c>
      <c r="J31" t="n">
        <v>0</v>
      </c>
      <c r="K31" t="n">
        <v>1</v>
      </c>
      <c r="L31" t="n">
        <v>0</v>
      </c>
      <c r="M31" t="n">
        <v>0</v>
      </c>
      <c r="N31" t="n">
        <v>0</v>
      </c>
      <c r="O31" t="n">
        <v>1</v>
      </c>
      <c r="P31" t="n">
        <v>1</v>
      </c>
      <c r="Q31" t="n">
        <v>1</v>
      </c>
      <c r="R31" s="2" t="inlineStr">
        <is>
          <t>Toppjungfrulin</t>
        </is>
      </c>
      <c r="S31">
        <f>HYPERLINK("https://klasma.github.io/Logging_0381/artfynd/A 29510-2025 artfynd.xlsx", "A 29510-2025")</f>
        <v/>
      </c>
      <c r="T31">
        <f>HYPERLINK("https://klasma.github.io/Logging_0381/kartor/A 29510-2025 karta.png", "A 29510-2025")</f>
        <v/>
      </c>
      <c r="V31">
        <f>HYPERLINK("https://klasma.github.io/Logging_0381/klagomål/A 29510-2025 FSC-klagomål.docx", "A 29510-2025")</f>
        <v/>
      </c>
      <c r="W31">
        <f>HYPERLINK("https://klasma.github.io/Logging_0381/klagomålsmail/A 29510-2025 FSC-klagomål mail.docx", "A 29510-2025")</f>
        <v/>
      </c>
      <c r="X31">
        <f>HYPERLINK("https://klasma.github.io/Logging_0381/tillsyn/A 29510-2025 tillsynsbegäran.docx", "A 29510-2025")</f>
        <v/>
      </c>
      <c r="Y31">
        <f>HYPERLINK("https://klasma.github.io/Logging_0381/tillsynsmail/A 29510-2025 tillsynsbegäran mail.docx", "A 29510-2025")</f>
        <v/>
      </c>
    </row>
    <row r="32" ht="15" customHeight="1">
      <c r="A32" t="inlineStr">
        <is>
          <t>A 52439-2025</t>
        </is>
      </c>
      <c r="B32" s="1" t="n">
        <v>45954.40697916667</v>
      </c>
      <c r="C32" s="1" t="n">
        <v>46065</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4166-2026</t>
        </is>
      </c>
      <c r="B33" s="1" t="n">
        <v>46044.66402777778</v>
      </c>
      <c r="C33" s="1" t="n">
        <v>46065</v>
      </c>
      <c r="D33" t="inlineStr">
        <is>
          <t>UPPSALA LÄN</t>
        </is>
      </c>
      <c r="E33" t="inlineStr">
        <is>
          <t>ENKÖPING</t>
        </is>
      </c>
      <c r="G33" t="n">
        <v>1.7</v>
      </c>
      <c r="H33" t="n">
        <v>1</v>
      </c>
      <c r="I33" t="n">
        <v>0</v>
      </c>
      <c r="J33" t="n">
        <v>1</v>
      </c>
      <c r="K33" t="n">
        <v>0</v>
      </c>
      <c r="L33" t="n">
        <v>0</v>
      </c>
      <c r="M33" t="n">
        <v>0</v>
      </c>
      <c r="N33" t="n">
        <v>0</v>
      </c>
      <c r="O33" t="n">
        <v>1</v>
      </c>
      <c r="P33" t="n">
        <v>0</v>
      </c>
      <c r="Q33" t="n">
        <v>1</v>
      </c>
      <c r="R33" s="2" t="inlineStr">
        <is>
          <t>Gulsparv</t>
        </is>
      </c>
      <c r="S33">
        <f>HYPERLINK("https://klasma.github.io/Logging_0381/artfynd/A 4166-2026 artfynd.xlsx", "A 4166-2026")</f>
        <v/>
      </c>
      <c r="T33">
        <f>HYPERLINK("https://klasma.github.io/Logging_0381/kartor/A 4166-2026 karta.png", "A 4166-2026")</f>
        <v/>
      </c>
      <c r="V33">
        <f>HYPERLINK("https://klasma.github.io/Logging_0381/klagomål/A 4166-2026 FSC-klagomål.docx", "A 4166-2026")</f>
        <v/>
      </c>
      <c r="W33">
        <f>HYPERLINK("https://klasma.github.io/Logging_0381/klagomålsmail/A 4166-2026 FSC-klagomål mail.docx", "A 4166-2026")</f>
        <v/>
      </c>
      <c r="X33">
        <f>HYPERLINK("https://klasma.github.io/Logging_0381/tillsyn/A 4166-2026 tillsynsbegäran.docx", "A 4166-2026")</f>
        <v/>
      </c>
      <c r="Y33">
        <f>HYPERLINK("https://klasma.github.io/Logging_0381/tillsynsmail/A 4166-2026 tillsynsbegäran mail.docx", "A 4166-2026")</f>
        <v/>
      </c>
      <c r="Z33">
        <f>HYPERLINK("https://klasma.github.io/Logging_0381/fåglar/A 4166-2026 prioriterade fågelarter.docx", "A 4166-2026")</f>
        <v/>
      </c>
    </row>
    <row r="34" ht="15" customHeight="1">
      <c r="A34" t="inlineStr">
        <is>
          <t>A 16683-2021</t>
        </is>
      </c>
      <c r="B34" s="1" t="n">
        <v>44294.58495370371</v>
      </c>
      <c r="C34" s="1" t="n">
        <v>46065</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10989-2021</t>
        </is>
      </c>
      <c r="B35" s="1" t="n">
        <v>44260</v>
      </c>
      <c r="C35" s="1" t="n">
        <v>46065</v>
      </c>
      <c r="D35" t="inlineStr">
        <is>
          <t>UPPSALA LÄN</t>
        </is>
      </c>
      <c r="E35" t="inlineStr">
        <is>
          <t>ENKÖPING</t>
        </is>
      </c>
      <c r="G35" t="n">
        <v>3.5</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46065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46065</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46065</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46065</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46065</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46065</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46065</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46065</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46065</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46065</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22058-2021</t>
        </is>
      </c>
      <c r="B46" s="1" t="n">
        <v>44323</v>
      </c>
      <c r="C46" s="1" t="n">
        <v>46065</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46065</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46065</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46065</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46065</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46065</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46065</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46065</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46065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46065</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46065</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46065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46065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46065</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46065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46065</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29425-2022</t>
        </is>
      </c>
      <c r="B69" s="1" t="n">
        <v>44753.47837962963</v>
      </c>
      <c r="C69" s="1" t="n">
        <v>46065</v>
      </c>
      <c r="D69" t="inlineStr">
        <is>
          <t>UPPSALA LÄN</t>
        </is>
      </c>
      <c r="E69" t="inlineStr">
        <is>
          <t>ENKÖPING</t>
        </is>
      </c>
      <c r="G69" t="n">
        <v>2.5</v>
      </c>
      <c r="H69" t="n">
        <v>0</v>
      </c>
      <c r="I69" t="n">
        <v>0</v>
      </c>
      <c r="J69" t="n">
        <v>0</v>
      </c>
      <c r="K69" t="n">
        <v>0</v>
      </c>
      <c r="L69" t="n">
        <v>0</v>
      </c>
      <c r="M69" t="n">
        <v>0</v>
      </c>
      <c r="N69" t="n">
        <v>0</v>
      </c>
      <c r="O69" t="n">
        <v>0</v>
      </c>
      <c r="P69" t="n">
        <v>0</v>
      </c>
      <c r="Q69" t="n">
        <v>0</v>
      </c>
      <c r="R69" s="2" t="inlineStr"/>
    </row>
    <row r="70" ht="15" customHeight="1">
      <c r="A70" t="inlineStr">
        <is>
          <t>A 52896-2022</t>
        </is>
      </c>
      <c r="B70" s="1" t="n">
        <v>44875.5665625</v>
      </c>
      <c r="C70" s="1" t="n">
        <v>46065</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46065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46065</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46065</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46065</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46065</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57043-2021</t>
        </is>
      </c>
      <c r="B77" s="1" t="n">
        <v>44482.53399305556</v>
      </c>
      <c r="C77" s="1" t="n">
        <v>46065</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31013-2022</t>
        </is>
      </c>
      <c r="B78" s="1" t="n">
        <v>44768</v>
      </c>
      <c r="C78" s="1" t="n">
        <v>46065</v>
      </c>
      <c r="D78" t="inlineStr">
        <is>
          <t>UPPSALA LÄN</t>
        </is>
      </c>
      <c r="E78" t="inlineStr">
        <is>
          <t>ENKÖPING</t>
        </is>
      </c>
      <c r="F78" t="inlineStr">
        <is>
          <t>Allmännings- och besparingsskogar</t>
        </is>
      </c>
      <c r="G78" t="n">
        <v>0.5</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46065</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68107-2021</t>
        </is>
      </c>
      <c r="B80" s="1" t="n">
        <v>44526</v>
      </c>
      <c r="C80" s="1" t="n">
        <v>46065</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42029-2021</t>
        </is>
      </c>
      <c r="B81" s="1" t="n">
        <v>44426</v>
      </c>
      <c r="C81" s="1" t="n">
        <v>46065</v>
      </c>
      <c r="D81" t="inlineStr">
        <is>
          <t>UPPSALA LÄN</t>
        </is>
      </c>
      <c r="E81" t="inlineStr">
        <is>
          <t>ENKÖPING</t>
        </is>
      </c>
      <c r="G81" t="n">
        <v>5.3</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46065</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46065</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1971-2022</t>
        </is>
      </c>
      <c r="B84" s="1" t="n">
        <v>44575</v>
      </c>
      <c r="C84" s="1" t="n">
        <v>46065</v>
      </c>
      <c r="D84" t="inlineStr">
        <is>
          <t>UPPSALA LÄN</t>
        </is>
      </c>
      <c r="E84" t="inlineStr">
        <is>
          <t>ENKÖPING</t>
        </is>
      </c>
      <c r="G84" t="n">
        <v>1.4</v>
      </c>
      <c r="H84" t="n">
        <v>0</v>
      </c>
      <c r="I84" t="n">
        <v>0</v>
      </c>
      <c r="J84" t="n">
        <v>0</v>
      </c>
      <c r="K84" t="n">
        <v>0</v>
      </c>
      <c r="L84" t="n">
        <v>0</v>
      </c>
      <c r="M84" t="n">
        <v>0</v>
      </c>
      <c r="N84" t="n">
        <v>0</v>
      </c>
      <c r="O84" t="n">
        <v>0</v>
      </c>
      <c r="P84" t="n">
        <v>0</v>
      </c>
      <c r="Q84" t="n">
        <v>0</v>
      </c>
      <c r="R84" s="2" t="inlineStr"/>
    </row>
    <row r="85" ht="15" customHeight="1">
      <c r="A85" t="inlineStr">
        <is>
          <t>A 20067-2021</t>
        </is>
      </c>
      <c r="B85" s="1" t="n">
        <v>44314</v>
      </c>
      <c r="C85" s="1" t="n">
        <v>46065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46065</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46065</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15924-2022</t>
        </is>
      </c>
      <c r="B88" s="1" t="n">
        <v>44664</v>
      </c>
      <c r="C88" s="1" t="n">
        <v>46065</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15943-2022</t>
        </is>
      </c>
      <c r="B89" s="1" t="n">
        <v>44664.66428240741</v>
      </c>
      <c r="C89" s="1" t="n">
        <v>46065</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47106-2021</t>
        </is>
      </c>
      <c r="B90" s="1" t="n">
        <v>44446</v>
      </c>
      <c r="C90" s="1" t="n">
        <v>46065</v>
      </c>
      <c r="D90" t="inlineStr">
        <is>
          <t>UPPSALA LÄN</t>
        </is>
      </c>
      <c r="E90" t="inlineStr">
        <is>
          <t>ENKÖPING</t>
        </is>
      </c>
      <c r="G90" t="n">
        <v>7.6</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46065</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24883-2022</t>
        </is>
      </c>
      <c r="B92" s="1" t="n">
        <v>44728</v>
      </c>
      <c r="C92" s="1" t="n">
        <v>46065</v>
      </c>
      <c r="D92" t="inlineStr">
        <is>
          <t>UPPSALA LÄN</t>
        </is>
      </c>
      <c r="E92" t="inlineStr">
        <is>
          <t>ENKÖPING</t>
        </is>
      </c>
      <c r="G92" t="n">
        <v>2.5</v>
      </c>
      <c r="H92" t="n">
        <v>0</v>
      </c>
      <c r="I92" t="n">
        <v>0</v>
      </c>
      <c r="J92" t="n">
        <v>0</v>
      </c>
      <c r="K92" t="n">
        <v>0</v>
      </c>
      <c r="L92" t="n">
        <v>0</v>
      </c>
      <c r="M92" t="n">
        <v>0</v>
      </c>
      <c r="N92" t="n">
        <v>0</v>
      </c>
      <c r="O92" t="n">
        <v>0</v>
      </c>
      <c r="P92" t="n">
        <v>0</v>
      </c>
      <c r="Q92" t="n">
        <v>0</v>
      </c>
      <c r="R92" s="2" t="inlineStr"/>
    </row>
    <row r="93" ht="15" customHeight="1">
      <c r="A93" t="inlineStr">
        <is>
          <t>A 19731-2022</t>
        </is>
      </c>
      <c r="B93" s="1" t="n">
        <v>44694</v>
      </c>
      <c r="C93" s="1" t="n">
        <v>46065</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19630-2021</t>
        </is>
      </c>
      <c r="B94" s="1" t="n">
        <v>44312.61876157407</v>
      </c>
      <c r="C94" s="1" t="n">
        <v>46065</v>
      </c>
      <c r="D94" t="inlineStr">
        <is>
          <t>UPPSALA LÄN</t>
        </is>
      </c>
      <c r="E94" t="inlineStr">
        <is>
          <t>ENKÖPING</t>
        </is>
      </c>
      <c r="G94" t="n">
        <v>2.7</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46065</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14839-2021</t>
        </is>
      </c>
      <c r="B96" s="1" t="n">
        <v>44280</v>
      </c>
      <c r="C96" s="1" t="n">
        <v>46065</v>
      </c>
      <c r="D96" t="inlineStr">
        <is>
          <t>UPPSALA LÄN</t>
        </is>
      </c>
      <c r="E96" t="inlineStr">
        <is>
          <t>ENKÖPING</t>
        </is>
      </c>
      <c r="G96" t="n">
        <v>11.4</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46065</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46065</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15997-2021</t>
        </is>
      </c>
      <c r="B99" s="1" t="n">
        <v>44287</v>
      </c>
      <c r="C99" s="1" t="n">
        <v>46065</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17467-2022</t>
        </is>
      </c>
      <c r="B100" s="1" t="n">
        <v>44679</v>
      </c>
      <c r="C100" s="1" t="n">
        <v>46065</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28795-2021</t>
        </is>
      </c>
      <c r="B101" s="1" t="n">
        <v>44357</v>
      </c>
      <c r="C101" s="1" t="n">
        <v>46065</v>
      </c>
      <c r="D101" t="inlineStr">
        <is>
          <t>UPPSALA LÄN</t>
        </is>
      </c>
      <c r="E101" t="inlineStr">
        <is>
          <t>ENKÖPING</t>
        </is>
      </c>
      <c r="F101" t="inlineStr">
        <is>
          <t>Allmännings- och besparingsskogar</t>
        </is>
      </c>
      <c r="G101" t="n">
        <v>2.8</v>
      </c>
      <c r="H101" t="n">
        <v>0</v>
      </c>
      <c r="I101" t="n">
        <v>0</v>
      </c>
      <c r="J101" t="n">
        <v>0</v>
      </c>
      <c r="K101" t="n">
        <v>0</v>
      </c>
      <c r="L101" t="n">
        <v>0</v>
      </c>
      <c r="M101" t="n">
        <v>0</v>
      </c>
      <c r="N101" t="n">
        <v>0</v>
      </c>
      <c r="O101" t="n">
        <v>0</v>
      </c>
      <c r="P101" t="n">
        <v>0</v>
      </c>
      <c r="Q101" t="n">
        <v>0</v>
      </c>
      <c r="R101" s="2" t="inlineStr"/>
    </row>
    <row r="102" ht="15" customHeight="1">
      <c r="A102" t="inlineStr">
        <is>
          <t>A 57055-2021</t>
        </is>
      </c>
      <c r="B102" s="1" t="n">
        <v>44482.55201388889</v>
      </c>
      <c r="C102" s="1" t="n">
        <v>46065</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60874-2021</t>
        </is>
      </c>
      <c r="B103" s="1" t="n">
        <v>44497</v>
      </c>
      <c r="C103" s="1" t="n">
        <v>46065</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46065</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1651-2024</t>
        </is>
      </c>
      <c r="B105" s="1" t="n">
        <v>45306.73770833333</v>
      </c>
      <c r="C105" s="1" t="n">
        <v>46065</v>
      </c>
      <c r="D105" t="inlineStr">
        <is>
          <t>UPPSALA LÄN</t>
        </is>
      </c>
      <c r="E105" t="inlineStr">
        <is>
          <t>ENKÖPING</t>
        </is>
      </c>
      <c r="G105" t="n">
        <v>10.2</v>
      </c>
      <c r="H105" t="n">
        <v>0</v>
      </c>
      <c r="I105" t="n">
        <v>0</v>
      </c>
      <c r="J105" t="n">
        <v>0</v>
      </c>
      <c r="K105" t="n">
        <v>0</v>
      </c>
      <c r="L105" t="n">
        <v>0</v>
      </c>
      <c r="M105" t="n">
        <v>0</v>
      </c>
      <c r="N105" t="n">
        <v>0</v>
      </c>
      <c r="O105" t="n">
        <v>0</v>
      </c>
      <c r="P105" t="n">
        <v>0</v>
      </c>
      <c r="Q105" t="n">
        <v>0</v>
      </c>
      <c r="R105" s="2" t="inlineStr"/>
    </row>
    <row r="106" ht="15" customHeight="1">
      <c r="A106" t="inlineStr">
        <is>
          <t>A 60289-2022</t>
        </is>
      </c>
      <c r="B106" s="1" t="n">
        <v>44910.53026620371</v>
      </c>
      <c r="C106" s="1" t="n">
        <v>46065</v>
      </c>
      <c r="D106" t="inlineStr">
        <is>
          <t>UPPSALA LÄN</t>
        </is>
      </c>
      <c r="E106" t="inlineStr">
        <is>
          <t>ENKÖPING</t>
        </is>
      </c>
      <c r="G106" t="n">
        <v>3.2</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46065</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46065</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46065</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35647-2021</t>
        </is>
      </c>
      <c r="B110" s="1" t="n">
        <v>44386</v>
      </c>
      <c r="C110" s="1" t="n">
        <v>46065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31242-2024</t>
        </is>
      </c>
      <c r="B111" s="1" t="n">
        <v>45503</v>
      </c>
      <c r="C111" s="1" t="n">
        <v>46065</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24962-2023</t>
        </is>
      </c>
      <c r="B112" s="1" t="n">
        <v>45085.60123842592</v>
      </c>
      <c r="C112" s="1" t="n">
        <v>46065</v>
      </c>
      <c r="D112" t="inlineStr">
        <is>
          <t>UPPSALA LÄN</t>
        </is>
      </c>
      <c r="E112" t="inlineStr">
        <is>
          <t>ENKÖPING</t>
        </is>
      </c>
      <c r="G112" t="n">
        <v>2.8</v>
      </c>
      <c r="H112" t="n">
        <v>0</v>
      </c>
      <c r="I112" t="n">
        <v>0</v>
      </c>
      <c r="J112" t="n">
        <v>0</v>
      </c>
      <c r="K112" t="n">
        <v>0</v>
      </c>
      <c r="L112" t="n">
        <v>0</v>
      </c>
      <c r="M112" t="n">
        <v>0</v>
      </c>
      <c r="N112" t="n">
        <v>0</v>
      </c>
      <c r="O112" t="n">
        <v>0</v>
      </c>
      <c r="P112" t="n">
        <v>0</v>
      </c>
      <c r="Q112" t="n">
        <v>0</v>
      </c>
      <c r="R112" s="2" t="inlineStr"/>
    </row>
    <row r="113" ht="15" customHeight="1">
      <c r="A113" t="inlineStr">
        <is>
          <t>A 44131-2023</t>
        </is>
      </c>
      <c r="B113" s="1" t="n">
        <v>45188</v>
      </c>
      <c r="C113" s="1" t="n">
        <v>46065</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2162-2023</t>
        </is>
      </c>
      <c r="B114" s="1" t="n">
        <v>44941</v>
      </c>
      <c r="C114" s="1" t="n">
        <v>46065</v>
      </c>
      <c r="D114" t="inlineStr">
        <is>
          <t>UPPSALA LÄN</t>
        </is>
      </c>
      <c r="E114" t="inlineStr">
        <is>
          <t>ENKÖPING</t>
        </is>
      </c>
      <c r="G114" t="n">
        <v>2.4</v>
      </c>
      <c r="H114" t="n">
        <v>0</v>
      </c>
      <c r="I114" t="n">
        <v>0</v>
      </c>
      <c r="J114" t="n">
        <v>0</v>
      </c>
      <c r="K114" t="n">
        <v>0</v>
      </c>
      <c r="L114" t="n">
        <v>0</v>
      </c>
      <c r="M114" t="n">
        <v>0</v>
      </c>
      <c r="N114" t="n">
        <v>0</v>
      </c>
      <c r="O114" t="n">
        <v>0</v>
      </c>
      <c r="P114" t="n">
        <v>0</v>
      </c>
      <c r="Q114" t="n">
        <v>0</v>
      </c>
      <c r="R114" s="2" t="inlineStr"/>
    </row>
    <row r="115" ht="15" customHeight="1">
      <c r="A115" t="inlineStr">
        <is>
          <t>A 29482-2022</t>
        </is>
      </c>
      <c r="B115" s="1" t="n">
        <v>44753.57703703704</v>
      </c>
      <c r="C115" s="1" t="n">
        <v>46065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29483-2022</t>
        </is>
      </c>
      <c r="B116" s="1" t="n">
        <v>44753.57829861111</v>
      </c>
      <c r="C116" s="1" t="n">
        <v>46065</v>
      </c>
      <c r="D116" t="inlineStr">
        <is>
          <t>UPPSALA LÄN</t>
        </is>
      </c>
      <c r="E116" t="inlineStr">
        <is>
          <t>ENKÖPING</t>
        </is>
      </c>
      <c r="G116" t="n">
        <v>3.6</v>
      </c>
      <c r="H116" t="n">
        <v>0</v>
      </c>
      <c r="I116" t="n">
        <v>0</v>
      </c>
      <c r="J116" t="n">
        <v>0</v>
      </c>
      <c r="K116" t="n">
        <v>0</v>
      </c>
      <c r="L116" t="n">
        <v>0</v>
      </c>
      <c r="M116" t="n">
        <v>0</v>
      </c>
      <c r="N116" t="n">
        <v>0</v>
      </c>
      <c r="O116" t="n">
        <v>0</v>
      </c>
      <c r="P116" t="n">
        <v>0</v>
      </c>
      <c r="Q116" t="n">
        <v>0</v>
      </c>
      <c r="R116" s="2" t="inlineStr"/>
    </row>
    <row r="117" ht="15" customHeight="1">
      <c r="A117" t="inlineStr">
        <is>
          <t>A 37170-2021</t>
        </is>
      </c>
      <c r="B117" s="1" t="n">
        <v>44395</v>
      </c>
      <c r="C117" s="1" t="n">
        <v>46065</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31965-2021</t>
        </is>
      </c>
      <c r="B118" s="1" t="n">
        <v>44370.56901620371</v>
      </c>
      <c r="C118" s="1" t="n">
        <v>46065</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56163-2021</t>
        </is>
      </c>
      <c r="B119" s="1" t="n">
        <v>44477</v>
      </c>
      <c r="C119" s="1" t="n">
        <v>46065</v>
      </c>
      <c r="D119" t="inlineStr">
        <is>
          <t>UPPSALA LÄN</t>
        </is>
      </c>
      <c r="E119" t="inlineStr">
        <is>
          <t>ENKÖPING</t>
        </is>
      </c>
      <c r="F119" t="inlineStr">
        <is>
          <t>Allmännings- och besparingsskogar</t>
        </is>
      </c>
      <c r="G119" t="n">
        <v>0.6</v>
      </c>
      <c r="H119" t="n">
        <v>0</v>
      </c>
      <c r="I119" t="n">
        <v>0</v>
      </c>
      <c r="J119" t="n">
        <v>0</v>
      </c>
      <c r="K119" t="n">
        <v>0</v>
      </c>
      <c r="L119" t="n">
        <v>0</v>
      </c>
      <c r="M119" t="n">
        <v>0</v>
      </c>
      <c r="N119" t="n">
        <v>0</v>
      </c>
      <c r="O119" t="n">
        <v>0</v>
      </c>
      <c r="P119" t="n">
        <v>0</v>
      </c>
      <c r="Q119" t="n">
        <v>0</v>
      </c>
      <c r="R119" s="2" t="inlineStr"/>
    </row>
    <row r="120" ht="15" customHeight="1">
      <c r="A120" t="inlineStr">
        <is>
          <t>A 10468-2025</t>
        </is>
      </c>
      <c r="B120" s="1" t="n">
        <v>45720</v>
      </c>
      <c r="C120" s="1" t="n">
        <v>46065</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28318-2024</t>
        </is>
      </c>
      <c r="B121" s="1" t="n">
        <v>45477</v>
      </c>
      <c r="C121" s="1" t="n">
        <v>46065</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43488-2023</t>
        </is>
      </c>
      <c r="B122" s="1" t="n">
        <v>45181</v>
      </c>
      <c r="C122" s="1" t="n">
        <v>46065</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12755-2025</t>
        </is>
      </c>
      <c r="B123" s="1" t="n">
        <v>45733.56541666666</v>
      </c>
      <c r="C123" s="1" t="n">
        <v>46065</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53496-2022</t>
        </is>
      </c>
      <c r="B124" s="1" t="n">
        <v>44879.57217592592</v>
      </c>
      <c r="C124" s="1" t="n">
        <v>46065</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4044-2024</t>
        </is>
      </c>
      <c r="B125" s="1" t="n">
        <v>45323.45954861111</v>
      </c>
      <c r="C125" s="1" t="n">
        <v>46065</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5211-2024</t>
        </is>
      </c>
      <c r="B126" s="1" t="n">
        <v>45330</v>
      </c>
      <c r="C126" s="1" t="n">
        <v>46065</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7870-2024</t>
        </is>
      </c>
      <c r="B127" s="1" t="n">
        <v>45350.33349537037</v>
      </c>
      <c r="C127" s="1" t="n">
        <v>46065</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28243-2023</t>
        </is>
      </c>
      <c r="B128" s="1" t="n">
        <v>45099.58885416666</v>
      </c>
      <c r="C128" s="1" t="n">
        <v>46065</v>
      </c>
      <c r="D128" t="inlineStr">
        <is>
          <t>UPPSALA LÄN</t>
        </is>
      </c>
      <c r="E128" t="inlineStr">
        <is>
          <t>ENKÖPING</t>
        </is>
      </c>
      <c r="G128" t="n">
        <v>1.9</v>
      </c>
      <c r="H128" t="n">
        <v>0</v>
      </c>
      <c r="I128" t="n">
        <v>0</v>
      </c>
      <c r="J128" t="n">
        <v>0</v>
      </c>
      <c r="K128" t="n">
        <v>0</v>
      </c>
      <c r="L128" t="n">
        <v>0</v>
      </c>
      <c r="M128" t="n">
        <v>0</v>
      </c>
      <c r="N128" t="n">
        <v>0</v>
      </c>
      <c r="O128" t="n">
        <v>0</v>
      </c>
      <c r="P128" t="n">
        <v>0</v>
      </c>
      <c r="Q128" t="n">
        <v>0</v>
      </c>
      <c r="R128" s="2" t="inlineStr"/>
    </row>
    <row r="129" ht="15" customHeight="1">
      <c r="A129" t="inlineStr">
        <is>
          <t>A 14402-2023</t>
        </is>
      </c>
      <c r="B129" s="1" t="n">
        <v>45012</v>
      </c>
      <c r="C129" s="1" t="n">
        <v>46065</v>
      </c>
      <c r="D129" t="inlineStr">
        <is>
          <t>UPPSALA LÄN</t>
        </is>
      </c>
      <c r="E129" t="inlineStr">
        <is>
          <t>ENKÖPING</t>
        </is>
      </c>
      <c r="G129" t="n">
        <v>9.5</v>
      </c>
      <c r="H129" t="n">
        <v>0</v>
      </c>
      <c r="I129" t="n">
        <v>0</v>
      </c>
      <c r="J129" t="n">
        <v>0</v>
      </c>
      <c r="K129" t="n">
        <v>0</v>
      </c>
      <c r="L129" t="n">
        <v>0</v>
      </c>
      <c r="M129" t="n">
        <v>0</v>
      </c>
      <c r="N129" t="n">
        <v>0</v>
      </c>
      <c r="O129" t="n">
        <v>0</v>
      </c>
      <c r="P129" t="n">
        <v>0</v>
      </c>
      <c r="Q129" t="n">
        <v>0</v>
      </c>
      <c r="R129" s="2" t="inlineStr"/>
    </row>
    <row r="130" ht="15" customHeight="1">
      <c r="A130" t="inlineStr">
        <is>
          <t>A 46103-2023</t>
        </is>
      </c>
      <c r="B130" s="1" t="n">
        <v>45190</v>
      </c>
      <c r="C130" s="1" t="n">
        <v>46065</v>
      </c>
      <c r="D130" t="inlineStr">
        <is>
          <t>UPPSALA LÄN</t>
        </is>
      </c>
      <c r="E130" t="inlineStr">
        <is>
          <t>ENKÖPING</t>
        </is>
      </c>
      <c r="G130" t="n">
        <v>4.6</v>
      </c>
      <c r="H130" t="n">
        <v>0</v>
      </c>
      <c r="I130" t="n">
        <v>0</v>
      </c>
      <c r="J130" t="n">
        <v>0</v>
      </c>
      <c r="K130" t="n">
        <v>0</v>
      </c>
      <c r="L130" t="n">
        <v>0</v>
      </c>
      <c r="M130" t="n">
        <v>0</v>
      </c>
      <c r="N130" t="n">
        <v>0</v>
      </c>
      <c r="O130" t="n">
        <v>0</v>
      </c>
      <c r="P130" t="n">
        <v>0</v>
      </c>
      <c r="Q130" t="n">
        <v>0</v>
      </c>
      <c r="R130" s="2" t="inlineStr"/>
    </row>
    <row r="131" ht="15" customHeight="1">
      <c r="A131" t="inlineStr">
        <is>
          <t>A 10829-2024</t>
        </is>
      </c>
      <c r="B131" s="1" t="n">
        <v>45369</v>
      </c>
      <c r="C131" s="1" t="n">
        <v>46065</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2161-2023</t>
        </is>
      </c>
      <c r="B132" s="1" t="n">
        <v>44941</v>
      </c>
      <c r="C132" s="1" t="n">
        <v>46065</v>
      </c>
      <c r="D132" t="inlineStr">
        <is>
          <t>UPPSALA LÄN</t>
        </is>
      </c>
      <c r="E132" t="inlineStr">
        <is>
          <t>ENKÖPING</t>
        </is>
      </c>
      <c r="G132" t="n">
        <v>0.9</v>
      </c>
      <c r="H132" t="n">
        <v>0</v>
      </c>
      <c r="I132" t="n">
        <v>0</v>
      </c>
      <c r="J132" t="n">
        <v>0</v>
      </c>
      <c r="K132" t="n">
        <v>0</v>
      </c>
      <c r="L132" t="n">
        <v>0</v>
      </c>
      <c r="M132" t="n">
        <v>0</v>
      </c>
      <c r="N132" t="n">
        <v>0</v>
      </c>
      <c r="O132" t="n">
        <v>0</v>
      </c>
      <c r="P132" t="n">
        <v>0</v>
      </c>
      <c r="Q132" t="n">
        <v>0</v>
      </c>
      <c r="R132" s="2" t="inlineStr"/>
    </row>
    <row r="133" ht="15" customHeight="1">
      <c r="A133" t="inlineStr">
        <is>
          <t>A 2165-2023</t>
        </is>
      </c>
      <c r="B133" s="1" t="n">
        <v>44941</v>
      </c>
      <c r="C133" s="1" t="n">
        <v>46065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39115-2024</t>
        </is>
      </c>
      <c r="B134" s="1" t="n">
        <v>45548</v>
      </c>
      <c r="C134" s="1" t="n">
        <v>46065</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8306-2021</t>
        </is>
      </c>
      <c r="B135" s="1" t="n">
        <v>44244</v>
      </c>
      <c r="C135" s="1" t="n">
        <v>46065</v>
      </c>
      <c r="D135" t="inlineStr">
        <is>
          <t>UPPSALA LÄN</t>
        </is>
      </c>
      <c r="E135" t="inlineStr">
        <is>
          <t>ENKÖPING</t>
        </is>
      </c>
      <c r="G135" t="n">
        <v>14.9</v>
      </c>
      <c r="H135" t="n">
        <v>0</v>
      </c>
      <c r="I135" t="n">
        <v>0</v>
      </c>
      <c r="J135" t="n">
        <v>0</v>
      </c>
      <c r="K135" t="n">
        <v>0</v>
      </c>
      <c r="L135" t="n">
        <v>0</v>
      </c>
      <c r="M135" t="n">
        <v>0</v>
      </c>
      <c r="N135" t="n">
        <v>0</v>
      </c>
      <c r="O135" t="n">
        <v>0</v>
      </c>
      <c r="P135" t="n">
        <v>0</v>
      </c>
      <c r="Q135" t="n">
        <v>0</v>
      </c>
      <c r="R135" s="2" t="inlineStr"/>
    </row>
    <row r="136" ht="15" customHeight="1">
      <c r="A136" t="inlineStr">
        <is>
          <t>A 12020-2024</t>
        </is>
      </c>
      <c r="B136" s="1" t="n">
        <v>45377</v>
      </c>
      <c r="C136" s="1" t="n">
        <v>46065</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25333-2023</t>
        </is>
      </c>
      <c r="B137" s="1" t="n">
        <v>45083</v>
      </c>
      <c r="C137" s="1" t="n">
        <v>46065</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69344-2021</t>
        </is>
      </c>
      <c r="B138" s="1" t="n">
        <v>44531</v>
      </c>
      <c r="C138" s="1" t="n">
        <v>46065</v>
      </c>
      <c r="D138" t="inlineStr">
        <is>
          <t>UPPSALA LÄN</t>
        </is>
      </c>
      <c r="E138" t="inlineStr">
        <is>
          <t>ENKÖPING</t>
        </is>
      </c>
      <c r="G138" t="n">
        <v>2.9</v>
      </c>
      <c r="H138" t="n">
        <v>0</v>
      </c>
      <c r="I138" t="n">
        <v>0</v>
      </c>
      <c r="J138" t="n">
        <v>0</v>
      </c>
      <c r="K138" t="n">
        <v>0</v>
      </c>
      <c r="L138" t="n">
        <v>0</v>
      </c>
      <c r="M138" t="n">
        <v>0</v>
      </c>
      <c r="N138" t="n">
        <v>0</v>
      </c>
      <c r="O138" t="n">
        <v>0</v>
      </c>
      <c r="P138" t="n">
        <v>0</v>
      </c>
      <c r="Q138" t="n">
        <v>0</v>
      </c>
      <c r="R138" s="2" t="inlineStr"/>
    </row>
    <row r="139" ht="15" customHeight="1">
      <c r="A139" t="inlineStr">
        <is>
          <t>A 50747-2022</t>
        </is>
      </c>
      <c r="B139" s="1" t="n">
        <v>44867.40162037037</v>
      </c>
      <c r="C139" s="1" t="n">
        <v>46065</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57152-2021</t>
        </is>
      </c>
      <c r="B140" s="1" t="n">
        <v>44482</v>
      </c>
      <c r="C140" s="1" t="n">
        <v>46065</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34124-2021</t>
        </is>
      </c>
      <c r="B141" s="1" t="n">
        <v>44379</v>
      </c>
      <c r="C141" s="1" t="n">
        <v>46065</v>
      </c>
      <c r="D141" t="inlineStr">
        <is>
          <t>UPPSALA LÄN</t>
        </is>
      </c>
      <c r="E141" t="inlineStr">
        <is>
          <t>ENKÖPING</t>
        </is>
      </c>
      <c r="G141" t="n">
        <v>2.2</v>
      </c>
      <c r="H141" t="n">
        <v>0</v>
      </c>
      <c r="I141" t="n">
        <v>0</v>
      </c>
      <c r="J141" t="n">
        <v>0</v>
      </c>
      <c r="K141" t="n">
        <v>0</v>
      </c>
      <c r="L141" t="n">
        <v>0</v>
      </c>
      <c r="M141" t="n">
        <v>0</v>
      </c>
      <c r="N141" t="n">
        <v>0</v>
      </c>
      <c r="O141" t="n">
        <v>0</v>
      </c>
      <c r="P141" t="n">
        <v>0</v>
      </c>
      <c r="Q141" t="n">
        <v>0</v>
      </c>
      <c r="R141" s="2" t="inlineStr"/>
    </row>
    <row r="142" ht="15" customHeight="1">
      <c r="A142" t="inlineStr">
        <is>
          <t>A 43697-2024</t>
        </is>
      </c>
      <c r="B142" s="1" t="n">
        <v>45569</v>
      </c>
      <c r="C142" s="1" t="n">
        <v>46065</v>
      </c>
      <c r="D142" t="inlineStr">
        <is>
          <t>UPPSALA LÄN</t>
        </is>
      </c>
      <c r="E142" t="inlineStr">
        <is>
          <t>ENKÖPING</t>
        </is>
      </c>
      <c r="G142" t="n">
        <v>2.1</v>
      </c>
      <c r="H142" t="n">
        <v>0</v>
      </c>
      <c r="I142" t="n">
        <v>0</v>
      </c>
      <c r="J142" t="n">
        <v>0</v>
      </c>
      <c r="K142" t="n">
        <v>0</v>
      </c>
      <c r="L142" t="n">
        <v>0</v>
      </c>
      <c r="M142" t="n">
        <v>0</v>
      </c>
      <c r="N142" t="n">
        <v>0</v>
      </c>
      <c r="O142" t="n">
        <v>0</v>
      </c>
      <c r="P142" t="n">
        <v>0</v>
      </c>
      <c r="Q142" t="n">
        <v>0</v>
      </c>
      <c r="R142" s="2" t="inlineStr"/>
    </row>
    <row r="143" ht="15" customHeight="1">
      <c r="A143" t="inlineStr">
        <is>
          <t>A 30437-2022</t>
        </is>
      </c>
      <c r="B143" s="1" t="n">
        <v>44761</v>
      </c>
      <c r="C143" s="1" t="n">
        <v>46065</v>
      </c>
      <c r="D143" t="inlineStr">
        <is>
          <t>UPPSALA LÄN</t>
        </is>
      </c>
      <c r="E143" t="inlineStr">
        <is>
          <t>ENKÖPING</t>
        </is>
      </c>
      <c r="G143" t="n">
        <v>3.4</v>
      </c>
      <c r="H143" t="n">
        <v>0</v>
      </c>
      <c r="I143" t="n">
        <v>0</v>
      </c>
      <c r="J143" t="n">
        <v>0</v>
      </c>
      <c r="K143" t="n">
        <v>0</v>
      </c>
      <c r="L143" t="n">
        <v>0</v>
      </c>
      <c r="M143" t="n">
        <v>0</v>
      </c>
      <c r="N143" t="n">
        <v>0</v>
      </c>
      <c r="O143" t="n">
        <v>0</v>
      </c>
      <c r="P143" t="n">
        <v>0</v>
      </c>
      <c r="Q143" t="n">
        <v>0</v>
      </c>
      <c r="R143" s="2" t="inlineStr"/>
    </row>
    <row r="144" ht="15" customHeight="1">
      <c r="A144" t="inlineStr">
        <is>
          <t>A 13853-2023</t>
        </is>
      </c>
      <c r="B144" s="1" t="n">
        <v>45007</v>
      </c>
      <c r="C144" s="1" t="n">
        <v>46065</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12572-2021</t>
        </is>
      </c>
      <c r="B145" s="1" t="n">
        <v>44270.36438657407</v>
      </c>
      <c r="C145" s="1" t="n">
        <v>46065</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27983-2024</t>
        </is>
      </c>
      <c r="B146" s="1" t="n">
        <v>45476</v>
      </c>
      <c r="C146" s="1" t="n">
        <v>46065</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51010-2024</t>
        </is>
      </c>
      <c r="B147" s="1" t="n">
        <v>45603.39285879629</v>
      </c>
      <c r="C147" s="1" t="n">
        <v>46065</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15021-2022</t>
        </is>
      </c>
      <c r="B148" s="1" t="n">
        <v>44657</v>
      </c>
      <c r="C148" s="1" t="n">
        <v>46065</v>
      </c>
      <c r="D148" t="inlineStr">
        <is>
          <t>UPPSALA LÄN</t>
        </is>
      </c>
      <c r="E148" t="inlineStr">
        <is>
          <t>ENKÖPING</t>
        </is>
      </c>
      <c r="G148" t="n">
        <v>1.1</v>
      </c>
      <c r="H148" t="n">
        <v>0</v>
      </c>
      <c r="I148" t="n">
        <v>0</v>
      </c>
      <c r="J148" t="n">
        <v>0</v>
      </c>
      <c r="K148" t="n">
        <v>0</v>
      </c>
      <c r="L148" t="n">
        <v>0</v>
      </c>
      <c r="M148" t="n">
        <v>0</v>
      </c>
      <c r="N148" t="n">
        <v>0</v>
      </c>
      <c r="O148" t="n">
        <v>0</v>
      </c>
      <c r="P148" t="n">
        <v>0</v>
      </c>
      <c r="Q148" t="n">
        <v>0</v>
      </c>
      <c r="R148" s="2" t="inlineStr"/>
    </row>
    <row r="149" ht="15" customHeight="1">
      <c r="A149" t="inlineStr">
        <is>
          <t>A 63310-2021</t>
        </is>
      </c>
      <c r="B149" s="1" t="n">
        <v>44508</v>
      </c>
      <c r="C149" s="1" t="n">
        <v>46065</v>
      </c>
      <c r="D149" t="inlineStr">
        <is>
          <t>UPPSALA LÄN</t>
        </is>
      </c>
      <c r="E149" t="inlineStr">
        <is>
          <t>ENKÖPING</t>
        </is>
      </c>
      <c r="G149" t="n">
        <v>3.5</v>
      </c>
      <c r="H149" t="n">
        <v>0</v>
      </c>
      <c r="I149" t="n">
        <v>0</v>
      </c>
      <c r="J149" t="n">
        <v>0</v>
      </c>
      <c r="K149" t="n">
        <v>0</v>
      </c>
      <c r="L149" t="n">
        <v>0</v>
      </c>
      <c r="M149" t="n">
        <v>0</v>
      </c>
      <c r="N149" t="n">
        <v>0</v>
      </c>
      <c r="O149" t="n">
        <v>0</v>
      </c>
      <c r="P149" t="n">
        <v>0</v>
      </c>
      <c r="Q149" t="n">
        <v>0</v>
      </c>
      <c r="R149" s="2" t="inlineStr"/>
    </row>
    <row r="150" ht="15" customHeight="1">
      <c r="A150" t="inlineStr">
        <is>
          <t>A 20112-2024</t>
        </is>
      </c>
      <c r="B150" s="1" t="n">
        <v>45434</v>
      </c>
      <c r="C150" s="1" t="n">
        <v>46065</v>
      </c>
      <c r="D150" t="inlineStr">
        <is>
          <t>UPPSALA LÄN</t>
        </is>
      </c>
      <c r="E150" t="inlineStr">
        <is>
          <t>ENKÖPING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22912-2024</t>
        </is>
      </c>
      <c r="B151" s="1" t="n">
        <v>45448.73118055556</v>
      </c>
      <c r="C151" s="1" t="n">
        <v>46065</v>
      </c>
      <c r="D151" t="inlineStr">
        <is>
          <t>UPPSALA LÄN</t>
        </is>
      </c>
      <c r="E151" t="inlineStr">
        <is>
          <t>ENKÖPING</t>
        </is>
      </c>
      <c r="G151" t="n">
        <v>2.8</v>
      </c>
      <c r="H151" t="n">
        <v>0</v>
      </c>
      <c r="I151" t="n">
        <v>0</v>
      </c>
      <c r="J151" t="n">
        <v>0</v>
      </c>
      <c r="K151" t="n">
        <v>0</v>
      </c>
      <c r="L151" t="n">
        <v>0</v>
      </c>
      <c r="M151" t="n">
        <v>0</v>
      </c>
      <c r="N151" t="n">
        <v>0</v>
      </c>
      <c r="O151" t="n">
        <v>0</v>
      </c>
      <c r="P151" t="n">
        <v>0</v>
      </c>
      <c r="Q151" t="n">
        <v>0</v>
      </c>
      <c r="R151" s="2" t="inlineStr"/>
    </row>
    <row r="152" ht="15" customHeight="1">
      <c r="A152" t="inlineStr">
        <is>
          <t>A 61106-2022</t>
        </is>
      </c>
      <c r="B152" s="1" t="n">
        <v>44915.4128587963</v>
      </c>
      <c r="C152" s="1" t="n">
        <v>46065</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51932-2022</t>
        </is>
      </c>
      <c r="B153" s="1" t="n">
        <v>44872</v>
      </c>
      <c r="C153" s="1" t="n">
        <v>46065</v>
      </c>
      <c r="D153" t="inlineStr">
        <is>
          <t>UPPSALA LÄN</t>
        </is>
      </c>
      <c r="E153" t="inlineStr">
        <is>
          <t>ENKÖPING</t>
        </is>
      </c>
      <c r="G153" t="n">
        <v>5.5</v>
      </c>
      <c r="H153" t="n">
        <v>0</v>
      </c>
      <c r="I153" t="n">
        <v>0</v>
      </c>
      <c r="J153" t="n">
        <v>0</v>
      </c>
      <c r="K153" t="n">
        <v>0</v>
      </c>
      <c r="L153" t="n">
        <v>0</v>
      </c>
      <c r="M153" t="n">
        <v>0</v>
      </c>
      <c r="N153" t="n">
        <v>0</v>
      </c>
      <c r="O153" t="n">
        <v>0</v>
      </c>
      <c r="P153" t="n">
        <v>0</v>
      </c>
      <c r="Q153" t="n">
        <v>0</v>
      </c>
      <c r="R153" s="2" t="inlineStr"/>
    </row>
    <row r="154" ht="15" customHeight="1">
      <c r="A154" t="inlineStr">
        <is>
          <t>A 9171-2024</t>
        </is>
      </c>
      <c r="B154" s="1" t="n">
        <v>45358</v>
      </c>
      <c r="C154" s="1" t="n">
        <v>46065</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9667-2024</t>
        </is>
      </c>
      <c r="B155" s="1" t="n">
        <v>45362.45130787037</v>
      </c>
      <c r="C155" s="1" t="n">
        <v>46065</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12958-2024</t>
        </is>
      </c>
      <c r="B156" s="1" t="n">
        <v>45385</v>
      </c>
      <c r="C156" s="1" t="n">
        <v>46065</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671-2022</t>
        </is>
      </c>
      <c r="B157" s="1" t="n">
        <v>44568</v>
      </c>
      <c r="C157" s="1" t="n">
        <v>46065</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11005-2023</t>
        </is>
      </c>
      <c r="B158" s="1" t="n">
        <v>44991</v>
      </c>
      <c r="C158" s="1" t="n">
        <v>46065</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29918-2023</t>
        </is>
      </c>
      <c r="B159" s="1" t="n">
        <v>45099</v>
      </c>
      <c r="C159" s="1" t="n">
        <v>46065</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58384-2022</t>
        </is>
      </c>
      <c r="B160" s="1" t="n">
        <v>44901</v>
      </c>
      <c r="C160" s="1" t="n">
        <v>46065</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43016-2021</t>
        </is>
      </c>
      <c r="B161" s="1" t="n">
        <v>44431</v>
      </c>
      <c r="C161" s="1" t="n">
        <v>46065</v>
      </c>
      <c r="D161" t="inlineStr">
        <is>
          <t>UPPSALA LÄN</t>
        </is>
      </c>
      <c r="E161" t="inlineStr">
        <is>
          <t>ENKÖPING</t>
        </is>
      </c>
      <c r="G161" t="n">
        <v>1.5</v>
      </c>
      <c r="H161" t="n">
        <v>0</v>
      </c>
      <c r="I161" t="n">
        <v>0</v>
      </c>
      <c r="J161" t="n">
        <v>0</v>
      </c>
      <c r="K161" t="n">
        <v>0</v>
      </c>
      <c r="L161" t="n">
        <v>0</v>
      </c>
      <c r="M161" t="n">
        <v>0</v>
      </c>
      <c r="N161" t="n">
        <v>0</v>
      </c>
      <c r="O161" t="n">
        <v>0</v>
      </c>
      <c r="P161" t="n">
        <v>0</v>
      </c>
      <c r="Q161" t="n">
        <v>0</v>
      </c>
      <c r="R161" s="2" t="inlineStr"/>
    </row>
    <row r="162" ht="15" customHeight="1">
      <c r="A162" t="inlineStr">
        <is>
          <t>A 43506-2023</t>
        </is>
      </c>
      <c r="B162" s="1" t="n">
        <v>45181</v>
      </c>
      <c r="C162" s="1" t="n">
        <v>46065</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15893-2024</t>
        </is>
      </c>
      <c r="B163" s="1" t="n">
        <v>45405</v>
      </c>
      <c r="C163" s="1" t="n">
        <v>46065</v>
      </c>
      <c r="D163" t="inlineStr">
        <is>
          <t>UPPSALA LÄN</t>
        </is>
      </c>
      <c r="E163" t="inlineStr">
        <is>
          <t>ENKÖPING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40812-2022</t>
        </is>
      </c>
      <c r="B164" s="1" t="n">
        <v>44824.68791666667</v>
      </c>
      <c r="C164" s="1" t="n">
        <v>46065</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33343-2024</t>
        </is>
      </c>
      <c r="B165" s="1" t="n">
        <v>45519</v>
      </c>
      <c r="C165" s="1" t="n">
        <v>46065</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24291-2024</t>
        </is>
      </c>
      <c r="B166" s="1" t="n">
        <v>45457.4584837963</v>
      </c>
      <c r="C166" s="1" t="n">
        <v>46065</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14004-2023</t>
        </is>
      </c>
      <c r="B167" s="1" t="n">
        <v>45008</v>
      </c>
      <c r="C167" s="1" t="n">
        <v>46065</v>
      </c>
      <c r="D167" t="inlineStr">
        <is>
          <t>UPPSALA LÄN</t>
        </is>
      </c>
      <c r="E167" t="inlineStr">
        <is>
          <t>ENKÖPING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57142-2021</t>
        </is>
      </c>
      <c r="B168" s="1" t="n">
        <v>44482</v>
      </c>
      <c r="C168" s="1" t="n">
        <v>46065</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57153-2021</t>
        </is>
      </c>
      <c r="B169" s="1" t="n">
        <v>44482</v>
      </c>
      <c r="C169" s="1" t="n">
        <v>46065</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51012-2024</t>
        </is>
      </c>
      <c r="B170" s="1" t="n">
        <v>45603.39686342593</v>
      </c>
      <c r="C170" s="1" t="n">
        <v>46065</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44232-2022</t>
        </is>
      </c>
      <c r="B171" s="1" t="n">
        <v>44839</v>
      </c>
      <c r="C171" s="1" t="n">
        <v>46065</v>
      </c>
      <c r="D171" t="inlineStr">
        <is>
          <t>UPPSALA LÄN</t>
        </is>
      </c>
      <c r="E171" t="inlineStr">
        <is>
          <t>ENKÖPING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5188-2022</t>
        </is>
      </c>
      <c r="B172" s="1" t="n">
        <v>44594.4471412037</v>
      </c>
      <c r="C172" s="1" t="n">
        <v>46065</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47428-2023</t>
        </is>
      </c>
      <c r="B173" s="1" t="n">
        <v>45202.66664351852</v>
      </c>
      <c r="C173" s="1" t="n">
        <v>46065</v>
      </c>
      <c r="D173" t="inlineStr">
        <is>
          <t>UPPSALA LÄN</t>
        </is>
      </c>
      <c r="E173" t="inlineStr">
        <is>
          <t>ENKÖPING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19014-2025</t>
        </is>
      </c>
      <c r="B174" s="1" t="n">
        <v>45764.59631944444</v>
      </c>
      <c r="C174" s="1" t="n">
        <v>46065</v>
      </c>
      <c r="D174" t="inlineStr">
        <is>
          <t>UPPSALA LÄN</t>
        </is>
      </c>
      <c r="E174" t="inlineStr">
        <is>
          <t>ENKÖPING</t>
        </is>
      </c>
      <c r="G174" t="n">
        <v>0.2</v>
      </c>
      <c r="H174" t="n">
        <v>0</v>
      </c>
      <c r="I174" t="n">
        <v>0</v>
      </c>
      <c r="J174" t="n">
        <v>0</v>
      </c>
      <c r="K174" t="n">
        <v>0</v>
      </c>
      <c r="L174" t="n">
        <v>0</v>
      </c>
      <c r="M174" t="n">
        <v>0</v>
      </c>
      <c r="N174" t="n">
        <v>0</v>
      </c>
      <c r="O174" t="n">
        <v>0</v>
      </c>
      <c r="P174" t="n">
        <v>0</v>
      </c>
      <c r="Q174" t="n">
        <v>0</v>
      </c>
      <c r="R174" s="2" t="inlineStr"/>
    </row>
    <row r="175" ht="15" customHeight="1">
      <c r="A175" t="inlineStr">
        <is>
          <t>A 43691-2024</t>
        </is>
      </c>
      <c r="B175" s="1" t="n">
        <v>45569</v>
      </c>
      <c r="C175" s="1" t="n">
        <v>46065</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41828-2024</t>
        </is>
      </c>
      <c r="B176" s="1" t="n">
        <v>45561</v>
      </c>
      <c r="C176" s="1" t="n">
        <v>46065</v>
      </c>
      <c r="D176" t="inlineStr">
        <is>
          <t>UPPSALA LÄN</t>
        </is>
      </c>
      <c r="E176" t="inlineStr">
        <is>
          <t>ENKÖPING</t>
        </is>
      </c>
      <c r="G176" t="n">
        <v>2.5</v>
      </c>
      <c r="H176" t="n">
        <v>0</v>
      </c>
      <c r="I176" t="n">
        <v>0</v>
      </c>
      <c r="J176" t="n">
        <v>0</v>
      </c>
      <c r="K176" t="n">
        <v>0</v>
      </c>
      <c r="L176" t="n">
        <v>0</v>
      </c>
      <c r="M176" t="n">
        <v>0</v>
      </c>
      <c r="N176" t="n">
        <v>0</v>
      </c>
      <c r="O176" t="n">
        <v>0</v>
      </c>
      <c r="P176" t="n">
        <v>0</v>
      </c>
      <c r="Q176" t="n">
        <v>0</v>
      </c>
      <c r="R176" s="2" t="inlineStr"/>
    </row>
    <row r="177" ht="15" customHeight="1">
      <c r="A177" t="inlineStr">
        <is>
          <t>A 45362-2022</t>
        </is>
      </c>
      <c r="B177" s="1" t="n">
        <v>44844.62366898148</v>
      </c>
      <c r="C177" s="1" t="n">
        <v>46065</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19376-2024</t>
        </is>
      </c>
      <c r="B178" s="1" t="n">
        <v>45429</v>
      </c>
      <c r="C178" s="1" t="n">
        <v>46065</v>
      </c>
      <c r="D178" t="inlineStr">
        <is>
          <t>UPPSALA LÄN</t>
        </is>
      </c>
      <c r="E178" t="inlineStr">
        <is>
          <t>ENKÖPING</t>
        </is>
      </c>
      <c r="G178" t="n">
        <v>1.6</v>
      </c>
      <c r="H178" t="n">
        <v>0</v>
      </c>
      <c r="I178" t="n">
        <v>0</v>
      </c>
      <c r="J178" t="n">
        <v>0</v>
      </c>
      <c r="K178" t="n">
        <v>0</v>
      </c>
      <c r="L178" t="n">
        <v>0</v>
      </c>
      <c r="M178" t="n">
        <v>0</v>
      </c>
      <c r="N178" t="n">
        <v>0</v>
      </c>
      <c r="O178" t="n">
        <v>0</v>
      </c>
      <c r="P178" t="n">
        <v>0</v>
      </c>
      <c r="Q178" t="n">
        <v>0</v>
      </c>
      <c r="R178" s="2" t="inlineStr"/>
    </row>
    <row r="179" ht="15" customHeight="1">
      <c r="A179" t="inlineStr">
        <is>
          <t>A 56526-2022</t>
        </is>
      </c>
      <c r="B179" s="1" t="n">
        <v>44893</v>
      </c>
      <c r="C179" s="1" t="n">
        <v>46065</v>
      </c>
      <c r="D179" t="inlineStr">
        <is>
          <t>UPPSALA LÄN</t>
        </is>
      </c>
      <c r="E179" t="inlineStr">
        <is>
          <t>ENKÖPING</t>
        </is>
      </c>
      <c r="G179" t="n">
        <v>3.8</v>
      </c>
      <c r="H179" t="n">
        <v>0</v>
      </c>
      <c r="I179" t="n">
        <v>0</v>
      </c>
      <c r="J179" t="n">
        <v>0</v>
      </c>
      <c r="K179" t="n">
        <v>0</v>
      </c>
      <c r="L179" t="n">
        <v>0</v>
      </c>
      <c r="M179" t="n">
        <v>0</v>
      </c>
      <c r="N179" t="n">
        <v>0</v>
      </c>
      <c r="O179" t="n">
        <v>0</v>
      </c>
      <c r="P179" t="n">
        <v>0</v>
      </c>
      <c r="Q179" t="n">
        <v>0</v>
      </c>
      <c r="R179" s="2" t="inlineStr"/>
    </row>
    <row r="180" ht="15" customHeight="1">
      <c r="A180" t="inlineStr">
        <is>
          <t>A 33670-2024</t>
        </is>
      </c>
      <c r="B180" s="1" t="n">
        <v>45520</v>
      </c>
      <c r="C180" s="1" t="n">
        <v>46065</v>
      </c>
      <c r="D180" t="inlineStr">
        <is>
          <t>UPPSALA LÄN</t>
        </is>
      </c>
      <c r="E180" t="inlineStr">
        <is>
          <t>ENKÖPING</t>
        </is>
      </c>
      <c r="G180" t="n">
        <v>1.9</v>
      </c>
      <c r="H180" t="n">
        <v>0</v>
      </c>
      <c r="I180" t="n">
        <v>0</v>
      </c>
      <c r="J180" t="n">
        <v>0</v>
      </c>
      <c r="K180" t="n">
        <v>0</v>
      </c>
      <c r="L180" t="n">
        <v>0</v>
      </c>
      <c r="M180" t="n">
        <v>0</v>
      </c>
      <c r="N180" t="n">
        <v>0</v>
      </c>
      <c r="O180" t="n">
        <v>0</v>
      </c>
      <c r="P180" t="n">
        <v>0</v>
      </c>
      <c r="Q180" t="n">
        <v>0</v>
      </c>
      <c r="R180" s="2" t="inlineStr"/>
    </row>
    <row r="181" ht="15" customHeight="1">
      <c r="A181" t="inlineStr">
        <is>
          <t>A 60350-2022</t>
        </is>
      </c>
      <c r="B181" s="1" t="n">
        <v>44910</v>
      </c>
      <c r="C181" s="1" t="n">
        <v>46065</v>
      </c>
      <c r="D181" t="inlineStr">
        <is>
          <t>UPPSALA LÄN</t>
        </is>
      </c>
      <c r="E181" t="inlineStr">
        <is>
          <t>ENKÖPING</t>
        </is>
      </c>
      <c r="F181" t="inlineStr">
        <is>
          <t>Allmännings- och besparingsskogar</t>
        </is>
      </c>
      <c r="G181" t="n">
        <v>3.5</v>
      </c>
      <c r="H181" t="n">
        <v>0</v>
      </c>
      <c r="I181" t="n">
        <v>0</v>
      </c>
      <c r="J181" t="n">
        <v>0</v>
      </c>
      <c r="K181" t="n">
        <v>0</v>
      </c>
      <c r="L181" t="n">
        <v>0</v>
      </c>
      <c r="M181" t="n">
        <v>0</v>
      </c>
      <c r="N181" t="n">
        <v>0</v>
      </c>
      <c r="O181" t="n">
        <v>0</v>
      </c>
      <c r="P181" t="n">
        <v>0</v>
      </c>
      <c r="Q181" t="n">
        <v>0</v>
      </c>
      <c r="R181" s="2" t="inlineStr"/>
    </row>
    <row r="182" ht="15" customHeight="1">
      <c r="A182" t="inlineStr">
        <is>
          <t>A 28518-2024</t>
        </is>
      </c>
      <c r="B182" s="1" t="n">
        <v>45477</v>
      </c>
      <c r="C182" s="1" t="n">
        <v>46065</v>
      </c>
      <c r="D182" t="inlineStr">
        <is>
          <t>UPPSALA LÄN</t>
        </is>
      </c>
      <c r="E182" t="inlineStr">
        <is>
          <t>ENKÖPING</t>
        </is>
      </c>
      <c r="G182" t="n">
        <v>3.4</v>
      </c>
      <c r="H182" t="n">
        <v>0</v>
      </c>
      <c r="I182" t="n">
        <v>0</v>
      </c>
      <c r="J182" t="n">
        <v>0</v>
      </c>
      <c r="K182" t="n">
        <v>0</v>
      </c>
      <c r="L182" t="n">
        <v>0</v>
      </c>
      <c r="M182" t="n">
        <v>0</v>
      </c>
      <c r="N182" t="n">
        <v>0</v>
      </c>
      <c r="O182" t="n">
        <v>0</v>
      </c>
      <c r="P182" t="n">
        <v>0</v>
      </c>
      <c r="Q182" t="n">
        <v>0</v>
      </c>
      <c r="R182" s="2" t="inlineStr"/>
    </row>
    <row r="183" ht="15" customHeight="1">
      <c r="A183" t="inlineStr">
        <is>
          <t>A 10465-2022</t>
        </is>
      </c>
      <c r="B183" s="1" t="n">
        <v>44623</v>
      </c>
      <c r="C183" s="1" t="n">
        <v>46065</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19147-2024</t>
        </is>
      </c>
      <c r="B184" s="1" t="n">
        <v>45428</v>
      </c>
      <c r="C184" s="1" t="n">
        <v>46065</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67982-2021</t>
        </is>
      </c>
      <c r="B185" s="1" t="n">
        <v>44525</v>
      </c>
      <c r="C185" s="1" t="n">
        <v>46065</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30098-2024</t>
        </is>
      </c>
      <c r="B186" s="1" t="n">
        <v>45489.41609953704</v>
      </c>
      <c r="C186" s="1" t="n">
        <v>46065</v>
      </c>
      <c r="D186" t="inlineStr">
        <is>
          <t>UPPSALA LÄN</t>
        </is>
      </c>
      <c r="E186" t="inlineStr">
        <is>
          <t>ENKÖPING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25847-2025</t>
        </is>
      </c>
      <c r="B187" s="1" t="n">
        <v>45804</v>
      </c>
      <c r="C187" s="1" t="n">
        <v>46065</v>
      </c>
      <c r="D187" t="inlineStr">
        <is>
          <t>UPPSALA LÄN</t>
        </is>
      </c>
      <c r="E187" t="inlineStr">
        <is>
          <t>ENKÖPING</t>
        </is>
      </c>
      <c r="G187" t="n">
        <v>3.6</v>
      </c>
      <c r="H187" t="n">
        <v>0</v>
      </c>
      <c r="I187" t="n">
        <v>0</v>
      </c>
      <c r="J187" t="n">
        <v>0</v>
      </c>
      <c r="K187" t="n">
        <v>0</v>
      </c>
      <c r="L187" t="n">
        <v>0</v>
      </c>
      <c r="M187" t="n">
        <v>0</v>
      </c>
      <c r="N187" t="n">
        <v>0</v>
      </c>
      <c r="O187" t="n">
        <v>0</v>
      </c>
      <c r="P187" t="n">
        <v>0</v>
      </c>
      <c r="Q187" t="n">
        <v>0</v>
      </c>
      <c r="R187" s="2" t="inlineStr"/>
    </row>
    <row r="188" ht="15" customHeight="1">
      <c r="A188" t="inlineStr">
        <is>
          <t>A 26005-2025</t>
        </is>
      </c>
      <c r="B188" s="1" t="n">
        <v>45804.67055555555</v>
      </c>
      <c r="C188" s="1" t="n">
        <v>46065</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57835-2024</t>
        </is>
      </c>
      <c r="B189" s="1" t="n">
        <v>45631.39947916667</v>
      </c>
      <c r="C189" s="1" t="n">
        <v>46065</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26031-2025</t>
        </is>
      </c>
      <c r="B190" s="1" t="n">
        <v>45804.69050925926</v>
      </c>
      <c r="C190" s="1" t="n">
        <v>46065</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26041-2025</t>
        </is>
      </c>
      <c r="B191" s="1" t="n">
        <v>45804.69883101852</v>
      </c>
      <c r="C191" s="1" t="n">
        <v>46065</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26022-2025</t>
        </is>
      </c>
      <c r="B192" s="1" t="n">
        <v>45804.68006944445</v>
      </c>
      <c r="C192" s="1" t="n">
        <v>46065</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21612-2023</t>
        </is>
      </c>
      <c r="B193" s="1" t="n">
        <v>45063</v>
      </c>
      <c r="C193" s="1" t="n">
        <v>46065</v>
      </c>
      <c r="D193" t="inlineStr">
        <is>
          <t>UPPSALA LÄN</t>
        </is>
      </c>
      <c r="E193" t="inlineStr">
        <is>
          <t>ENKÖPING</t>
        </is>
      </c>
      <c r="F193" t="inlineStr">
        <is>
          <t>Allmännings- och besparingsskogar</t>
        </is>
      </c>
      <c r="G193" t="n">
        <v>1</v>
      </c>
      <c r="H193" t="n">
        <v>0</v>
      </c>
      <c r="I193" t="n">
        <v>0</v>
      </c>
      <c r="J193" t="n">
        <v>0</v>
      </c>
      <c r="K193" t="n">
        <v>0</v>
      </c>
      <c r="L193" t="n">
        <v>0</v>
      </c>
      <c r="M193" t="n">
        <v>0</v>
      </c>
      <c r="N193" t="n">
        <v>0</v>
      </c>
      <c r="O193" t="n">
        <v>0</v>
      </c>
      <c r="P193" t="n">
        <v>0</v>
      </c>
      <c r="Q193" t="n">
        <v>0</v>
      </c>
      <c r="R193" s="2" t="inlineStr"/>
    </row>
    <row r="194" ht="15" customHeight="1">
      <c r="A194" t="inlineStr">
        <is>
          <t>A 39624-2023</t>
        </is>
      </c>
      <c r="B194" s="1" t="n">
        <v>45164</v>
      </c>
      <c r="C194" s="1" t="n">
        <v>46065</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5013-2025</t>
        </is>
      </c>
      <c r="B195" s="1" t="n">
        <v>45691</v>
      </c>
      <c r="C195" s="1" t="n">
        <v>46065</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11503-2024</t>
        </is>
      </c>
      <c r="B196" s="1" t="n">
        <v>45372.68020833333</v>
      </c>
      <c r="C196" s="1" t="n">
        <v>46065</v>
      </c>
      <c r="D196" t="inlineStr">
        <is>
          <t>UPPSALA LÄN</t>
        </is>
      </c>
      <c r="E196" t="inlineStr">
        <is>
          <t>ENKÖPING</t>
        </is>
      </c>
      <c r="G196" t="n">
        <v>1.2</v>
      </c>
      <c r="H196" t="n">
        <v>0</v>
      </c>
      <c r="I196" t="n">
        <v>0</v>
      </c>
      <c r="J196" t="n">
        <v>0</v>
      </c>
      <c r="K196" t="n">
        <v>0</v>
      </c>
      <c r="L196" t="n">
        <v>0</v>
      </c>
      <c r="M196" t="n">
        <v>0</v>
      </c>
      <c r="N196" t="n">
        <v>0</v>
      </c>
      <c r="O196" t="n">
        <v>0</v>
      </c>
      <c r="P196" t="n">
        <v>0</v>
      </c>
      <c r="Q196" t="n">
        <v>0</v>
      </c>
      <c r="R196" s="2" t="inlineStr"/>
    </row>
    <row r="197" ht="15" customHeight="1">
      <c r="A197" t="inlineStr">
        <is>
          <t>A 5892-2023</t>
        </is>
      </c>
      <c r="B197" s="1" t="n">
        <v>44963.64883101852</v>
      </c>
      <c r="C197" s="1" t="n">
        <v>46065</v>
      </c>
      <c r="D197" t="inlineStr">
        <is>
          <t>UPPSALA LÄN</t>
        </is>
      </c>
      <c r="E197" t="inlineStr">
        <is>
          <t>ENKÖPING</t>
        </is>
      </c>
      <c r="G197" t="n">
        <v>5.5</v>
      </c>
      <c r="H197" t="n">
        <v>0</v>
      </c>
      <c r="I197" t="n">
        <v>0</v>
      </c>
      <c r="J197" t="n">
        <v>0</v>
      </c>
      <c r="K197" t="n">
        <v>0</v>
      </c>
      <c r="L197" t="n">
        <v>0</v>
      </c>
      <c r="M197" t="n">
        <v>0</v>
      </c>
      <c r="N197" t="n">
        <v>0</v>
      </c>
      <c r="O197" t="n">
        <v>0</v>
      </c>
      <c r="P197" t="n">
        <v>0</v>
      </c>
      <c r="Q197" t="n">
        <v>0</v>
      </c>
      <c r="R197" s="2" t="inlineStr"/>
    </row>
    <row r="198" ht="15" customHeight="1">
      <c r="A198" t="inlineStr">
        <is>
          <t>A 39858-2024</t>
        </is>
      </c>
      <c r="B198" s="1" t="n">
        <v>45553</v>
      </c>
      <c r="C198" s="1" t="n">
        <v>46065</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35067-2024</t>
        </is>
      </c>
      <c r="B199" s="1" t="n">
        <v>45527.66153935185</v>
      </c>
      <c r="C199" s="1" t="n">
        <v>46065</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2164-2023</t>
        </is>
      </c>
      <c r="B200" s="1" t="n">
        <v>44941</v>
      </c>
      <c r="C200" s="1" t="n">
        <v>46065</v>
      </c>
      <c r="D200" t="inlineStr">
        <is>
          <t>UPPSALA LÄN</t>
        </is>
      </c>
      <c r="E200" t="inlineStr">
        <is>
          <t>ENKÖPING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33955-2024</t>
        </is>
      </c>
      <c r="B201" s="1" t="n">
        <v>45523.46952546296</v>
      </c>
      <c r="C201" s="1" t="n">
        <v>46065</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6172-2023</t>
        </is>
      </c>
      <c r="B202" s="1" t="n">
        <v>44964.68663194445</v>
      </c>
      <c r="C202" s="1" t="n">
        <v>46065</v>
      </c>
      <c r="D202" t="inlineStr">
        <is>
          <t>UPPSALA LÄN</t>
        </is>
      </c>
      <c r="E202" t="inlineStr">
        <is>
          <t>ENKÖPING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10409-2025</t>
        </is>
      </c>
      <c r="B203" s="1" t="n">
        <v>45720.631875</v>
      </c>
      <c r="C203" s="1" t="n">
        <v>46065</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9957-2023</t>
        </is>
      </c>
      <c r="B204" s="1" t="n">
        <v>44978</v>
      </c>
      <c r="C204" s="1" t="n">
        <v>46065</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8152-2022</t>
        </is>
      </c>
      <c r="B205" s="1" t="n">
        <v>44609</v>
      </c>
      <c r="C205" s="1" t="n">
        <v>46065</v>
      </c>
      <c r="D205" t="inlineStr">
        <is>
          <t>UPPSALA LÄN</t>
        </is>
      </c>
      <c r="E205" t="inlineStr">
        <is>
          <t>ENKÖPING</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27829-2025</t>
        </is>
      </c>
      <c r="B206" s="1" t="n">
        <v>45817</v>
      </c>
      <c r="C206" s="1" t="n">
        <v>46065</v>
      </c>
      <c r="D206" t="inlineStr">
        <is>
          <t>UPPSALA LÄN</t>
        </is>
      </c>
      <c r="E206" t="inlineStr">
        <is>
          <t>ENKÖPING</t>
        </is>
      </c>
      <c r="G206" t="n">
        <v>2.1</v>
      </c>
      <c r="H206" t="n">
        <v>0</v>
      </c>
      <c r="I206" t="n">
        <v>0</v>
      </c>
      <c r="J206" t="n">
        <v>0</v>
      </c>
      <c r="K206" t="n">
        <v>0</v>
      </c>
      <c r="L206" t="n">
        <v>0</v>
      </c>
      <c r="M206" t="n">
        <v>0</v>
      </c>
      <c r="N206" t="n">
        <v>0</v>
      </c>
      <c r="O206" t="n">
        <v>0</v>
      </c>
      <c r="P206" t="n">
        <v>0</v>
      </c>
      <c r="Q206" t="n">
        <v>0</v>
      </c>
      <c r="R206" s="2" t="inlineStr"/>
    </row>
    <row r="207" ht="15" customHeight="1">
      <c r="A207" t="inlineStr">
        <is>
          <t>A 21686-2022</t>
        </is>
      </c>
      <c r="B207" s="1" t="n">
        <v>44707</v>
      </c>
      <c r="C207" s="1" t="n">
        <v>46065</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29479-2022</t>
        </is>
      </c>
      <c r="B208" s="1" t="n">
        <v>44753.57265046296</v>
      </c>
      <c r="C208" s="1" t="n">
        <v>46065</v>
      </c>
      <c r="D208" t="inlineStr">
        <is>
          <t>UPPSALA LÄN</t>
        </is>
      </c>
      <c r="E208" t="inlineStr">
        <is>
          <t>ENKÖPING</t>
        </is>
      </c>
      <c r="G208" t="n">
        <v>0.9</v>
      </c>
      <c r="H208" t="n">
        <v>0</v>
      </c>
      <c r="I208" t="n">
        <v>0</v>
      </c>
      <c r="J208" t="n">
        <v>0</v>
      </c>
      <c r="K208" t="n">
        <v>0</v>
      </c>
      <c r="L208" t="n">
        <v>0</v>
      </c>
      <c r="M208" t="n">
        <v>0</v>
      </c>
      <c r="N208" t="n">
        <v>0</v>
      </c>
      <c r="O208" t="n">
        <v>0</v>
      </c>
      <c r="P208" t="n">
        <v>0</v>
      </c>
      <c r="Q208" t="n">
        <v>0</v>
      </c>
      <c r="R208" s="2" t="inlineStr"/>
    </row>
    <row r="209" ht="15" customHeight="1">
      <c r="A209" t="inlineStr">
        <is>
          <t>A 17657-2025</t>
        </is>
      </c>
      <c r="B209" s="1" t="n">
        <v>45758.35006944444</v>
      </c>
      <c r="C209" s="1" t="n">
        <v>46065</v>
      </c>
      <c r="D209" t="inlineStr">
        <is>
          <t>UPPSALA LÄN</t>
        </is>
      </c>
      <c r="E209" t="inlineStr">
        <is>
          <t>ENKÖPING</t>
        </is>
      </c>
      <c r="G209" t="n">
        <v>3</v>
      </c>
      <c r="H209" t="n">
        <v>0</v>
      </c>
      <c r="I209" t="n">
        <v>0</v>
      </c>
      <c r="J209" t="n">
        <v>0</v>
      </c>
      <c r="K209" t="n">
        <v>0</v>
      </c>
      <c r="L209" t="n">
        <v>0</v>
      </c>
      <c r="M209" t="n">
        <v>0</v>
      </c>
      <c r="N209" t="n">
        <v>0</v>
      </c>
      <c r="O209" t="n">
        <v>0</v>
      </c>
      <c r="P209" t="n">
        <v>0</v>
      </c>
      <c r="Q209" t="n">
        <v>0</v>
      </c>
      <c r="R209" s="2" t="inlineStr"/>
    </row>
    <row r="210" ht="15" customHeight="1">
      <c r="A210" t="inlineStr">
        <is>
          <t>A 49525-2021</t>
        </is>
      </c>
      <c r="B210" s="1" t="n">
        <v>44455</v>
      </c>
      <c r="C210" s="1" t="n">
        <v>46065</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28855-2025</t>
        </is>
      </c>
      <c r="B211" s="1" t="n">
        <v>45820.58274305556</v>
      </c>
      <c r="C211" s="1" t="n">
        <v>46065</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28758-2025</t>
        </is>
      </c>
      <c r="B212" s="1" t="n">
        <v>45820.41212962963</v>
      </c>
      <c r="C212" s="1" t="n">
        <v>46065</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39009-2024</t>
        </is>
      </c>
      <c r="B213" s="1" t="n">
        <v>45548</v>
      </c>
      <c r="C213" s="1" t="n">
        <v>46065</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8537-2025</t>
        </is>
      </c>
      <c r="B214" s="1" t="n">
        <v>45709</v>
      </c>
      <c r="C214" s="1" t="n">
        <v>46065</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28862-2025</t>
        </is>
      </c>
      <c r="B215" s="1" t="n">
        <v>45820.59189814814</v>
      </c>
      <c r="C215" s="1" t="n">
        <v>46065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57328-2024</t>
        </is>
      </c>
      <c r="B216" s="1" t="n">
        <v>45629.62798611111</v>
      </c>
      <c r="C216" s="1" t="n">
        <v>46065</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15939-2022</t>
        </is>
      </c>
      <c r="B217" s="1" t="n">
        <v>44664</v>
      </c>
      <c r="C217" s="1" t="n">
        <v>46065</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29093-2025</t>
        </is>
      </c>
      <c r="B218" s="1" t="n">
        <v>45821.55743055556</v>
      </c>
      <c r="C218" s="1" t="n">
        <v>46065</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50394-2024</t>
        </is>
      </c>
      <c r="B219" s="1" t="n">
        <v>45600</v>
      </c>
      <c r="C219" s="1" t="n">
        <v>46065</v>
      </c>
      <c r="D219" t="inlineStr">
        <is>
          <t>UPPSALA LÄN</t>
        </is>
      </c>
      <c r="E219" t="inlineStr">
        <is>
          <t>ENKÖPING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72840-2021</t>
        </is>
      </c>
      <c r="B220" s="1" t="n">
        <v>44547</v>
      </c>
      <c r="C220" s="1" t="n">
        <v>46065</v>
      </c>
      <c r="D220" t="inlineStr">
        <is>
          <t>UPPSALA LÄN</t>
        </is>
      </c>
      <c r="E220" t="inlineStr">
        <is>
          <t>ENKÖPING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56837-2024</t>
        </is>
      </c>
      <c r="B221" s="1" t="n">
        <v>45628</v>
      </c>
      <c r="C221" s="1" t="n">
        <v>46065</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37870-2023</t>
        </is>
      </c>
      <c r="B222" s="1" t="n">
        <v>45160.41996527778</v>
      </c>
      <c r="C222" s="1" t="n">
        <v>46065</v>
      </c>
      <c r="D222" t="inlineStr">
        <is>
          <t>UPPSALA LÄN</t>
        </is>
      </c>
      <c r="E222" t="inlineStr">
        <is>
          <t>ENKÖPING</t>
        </is>
      </c>
      <c r="G222" t="n">
        <v>3.5</v>
      </c>
      <c r="H222" t="n">
        <v>0</v>
      </c>
      <c r="I222" t="n">
        <v>0</v>
      </c>
      <c r="J222" t="n">
        <v>0</v>
      </c>
      <c r="K222" t="n">
        <v>0</v>
      </c>
      <c r="L222" t="n">
        <v>0</v>
      </c>
      <c r="M222" t="n">
        <v>0</v>
      </c>
      <c r="N222" t="n">
        <v>0</v>
      </c>
      <c r="O222" t="n">
        <v>0</v>
      </c>
      <c r="P222" t="n">
        <v>0</v>
      </c>
      <c r="Q222" t="n">
        <v>0</v>
      </c>
      <c r="R222" s="2" t="inlineStr"/>
    </row>
    <row r="223" ht="15" customHeight="1">
      <c r="A223" t="inlineStr">
        <is>
          <t>A 7090-2022</t>
        </is>
      </c>
      <c r="B223" s="1" t="n">
        <v>44603.59520833333</v>
      </c>
      <c r="C223" s="1" t="n">
        <v>46065</v>
      </c>
      <c r="D223" t="inlineStr">
        <is>
          <t>UPPSALA LÄN</t>
        </is>
      </c>
      <c r="E223" t="inlineStr">
        <is>
          <t>ENKÖPING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49063-2024</t>
        </is>
      </c>
      <c r="B224" s="1" t="n">
        <v>45594.59869212963</v>
      </c>
      <c r="C224" s="1" t="n">
        <v>46065</v>
      </c>
      <c r="D224" t="inlineStr">
        <is>
          <t>UPPSALA LÄN</t>
        </is>
      </c>
      <c r="E224" t="inlineStr">
        <is>
          <t>ENKÖPING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30837-2025</t>
        </is>
      </c>
      <c r="B225" s="1" t="n">
        <v>45831.7063425926</v>
      </c>
      <c r="C225" s="1" t="n">
        <v>46065</v>
      </c>
      <c r="D225" t="inlineStr">
        <is>
          <t>UPPSALA LÄN</t>
        </is>
      </c>
      <c r="E225" t="inlineStr">
        <is>
          <t>ENKÖPING</t>
        </is>
      </c>
      <c r="G225" t="n">
        <v>3.8</v>
      </c>
      <c r="H225" t="n">
        <v>0</v>
      </c>
      <c r="I225" t="n">
        <v>0</v>
      </c>
      <c r="J225" t="n">
        <v>0</v>
      </c>
      <c r="K225" t="n">
        <v>0</v>
      </c>
      <c r="L225" t="n">
        <v>0</v>
      </c>
      <c r="M225" t="n">
        <v>0</v>
      </c>
      <c r="N225" t="n">
        <v>0</v>
      </c>
      <c r="O225" t="n">
        <v>0</v>
      </c>
      <c r="P225" t="n">
        <v>0</v>
      </c>
      <c r="Q225" t="n">
        <v>0</v>
      </c>
      <c r="R225" s="2" t="inlineStr"/>
    </row>
    <row r="226" ht="15" customHeight="1">
      <c r="A226" t="inlineStr">
        <is>
          <t>A 6356-2022</t>
        </is>
      </c>
      <c r="B226" s="1" t="n">
        <v>44600</v>
      </c>
      <c r="C226" s="1" t="n">
        <v>46065</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14083-2025</t>
        </is>
      </c>
      <c r="B227" s="1" t="n">
        <v>45740</v>
      </c>
      <c r="C227" s="1" t="n">
        <v>46065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55876-2024</t>
        </is>
      </c>
      <c r="B228" s="1" t="n">
        <v>45623.5546412037</v>
      </c>
      <c r="C228" s="1" t="n">
        <v>46065</v>
      </c>
      <c r="D228" t="inlineStr">
        <is>
          <t>UPPSALA LÄN</t>
        </is>
      </c>
      <c r="E228" t="inlineStr">
        <is>
          <t>ENKÖPING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57147-2021</t>
        </is>
      </c>
      <c r="B229" s="1" t="n">
        <v>44482</v>
      </c>
      <c r="C229" s="1" t="n">
        <v>46065</v>
      </c>
      <c r="D229" t="inlineStr">
        <is>
          <t>UPPSALA LÄN</t>
        </is>
      </c>
      <c r="E229" t="inlineStr">
        <is>
          <t>ENKÖPING</t>
        </is>
      </c>
      <c r="G229" t="n">
        <v>5.7</v>
      </c>
      <c r="H229" t="n">
        <v>0</v>
      </c>
      <c r="I229" t="n">
        <v>0</v>
      </c>
      <c r="J229" t="n">
        <v>0</v>
      </c>
      <c r="K229" t="n">
        <v>0</v>
      </c>
      <c r="L229" t="n">
        <v>0</v>
      </c>
      <c r="M229" t="n">
        <v>0</v>
      </c>
      <c r="N229" t="n">
        <v>0</v>
      </c>
      <c r="O229" t="n">
        <v>0</v>
      </c>
      <c r="P229" t="n">
        <v>0</v>
      </c>
      <c r="Q229" t="n">
        <v>0</v>
      </c>
      <c r="R229" s="2" t="inlineStr"/>
    </row>
    <row r="230" ht="15" customHeight="1">
      <c r="A230" t="inlineStr">
        <is>
          <t>A 19298-2023</t>
        </is>
      </c>
      <c r="B230" s="1" t="n">
        <v>45048</v>
      </c>
      <c r="C230" s="1" t="n">
        <v>46065</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47909-2024</t>
        </is>
      </c>
      <c r="B231" s="1" t="n">
        <v>45589.31866898148</v>
      </c>
      <c r="C231" s="1" t="n">
        <v>46065</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25334-2023</t>
        </is>
      </c>
      <c r="B232" s="1" t="n">
        <v>45083</v>
      </c>
      <c r="C232" s="1" t="n">
        <v>46065</v>
      </c>
      <c r="D232" t="inlineStr">
        <is>
          <t>UPPSALA LÄN</t>
        </is>
      </c>
      <c r="E232" t="inlineStr">
        <is>
          <t>ENKÖPING</t>
        </is>
      </c>
      <c r="G232" t="n">
        <v>0.2</v>
      </c>
      <c r="H232" t="n">
        <v>0</v>
      </c>
      <c r="I232" t="n">
        <v>0</v>
      </c>
      <c r="J232" t="n">
        <v>0</v>
      </c>
      <c r="K232" t="n">
        <v>0</v>
      </c>
      <c r="L232" t="n">
        <v>0</v>
      </c>
      <c r="M232" t="n">
        <v>0</v>
      </c>
      <c r="N232" t="n">
        <v>0</v>
      </c>
      <c r="O232" t="n">
        <v>0</v>
      </c>
      <c r="P232" t="n">
        <v>0</v>
      </c>
      <c r="Q232" t="n">
        <v>0</v>
      </c>
      <c r="R232" s="2" t="inlineStr"/>
    </row>
    <row r="233" ht="15" customHeight="1">
      <c r="A233" t="inlineStr">
        <is>
          <t>A 33349-2024</t>
        </is>
      </c>
      <c r="B233" s="1" t="n">
        <v>45519</v>
      </c>
      <c r="C233" s="1" t="n">
        <v>46065</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15409-2025</t>
        </is>
      </c>
      <c r="B234" s="1" t="n">
        <v>45747</v>
      </c>
      <c r="C234" s="1" t="n">
        <v>46065</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52005-2024</t>
        </is>
      </c>
      <c r="B235" s="1" t="n">
        <v>45607.7627662037</v>
      </c>
      <c r="C235" s="1" t="n">
        <v>46065</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53587-2024</t>
        </is>
      </c>
      <c r="B236" s="1" t="n">
        <v>45614.66953703704</v>
      </c>
      <c r="C236" s="1" t="n">
        <v>46065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32031-2025</t>
        </is>
      </c>
      <c r="B237" s="1" t="n">
        <v>45835.41712962963</v>
      </c>
      <c r="C237" s="1" t="n">
        <v>46065</v>
      </c>
      <c r="D237" t="inlineStr">
        <is>
          <t>UPPSALA LÄN</t>
        </is>
      </c>
      <c r="E237" t="inlineStr">
        <is>
          <t>ENKÖPING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32111-2025</t>
        </is>
      </c>
      <c r="B238" s="1" t="n">
        <v>45835</v>
      </c>
      <c r="C238" s="1" t="n">
        <v>46065</v>
      </c>
      <c r="D238" t="inlineStr">
        <is>
          <t>UPPSALA LÄN</t>
        </is>
      </c>
      <c r="E238" t="inlineStr">
        <is>
          <t>ENKÖPING</t>
        </is>
      </c>
      <c r="G238" t="n">
        <v>1.7</v>
      </c>
      <c r="H238" t="n">
        <v>0</v>
      </c>
      <c r="I238" t="n">
        <v>0</v>
      </c>
      <c r="J238" t="n">
        <v>0</v>
      </c>
      <c r="K238" t="n">
        <v>0</v>
      </c>
      <c r="L238" t="n">
        <v>0</v>
      </c>
      <c r="M238" t="n">
        <v>0</v>
      </c>
      <c r="N238" t="n">
        <v>0</v>
      </c>
      <c r="O238" t="n">
        <v>0</v>
      </c>
      <c r="P238" t="n">
        <v>0</v>
      </c>
      <c r="Q238" t="n">
        <v>0</v>
      </c>
      <c r="R238" s="2" t="inlineStr"/>
    </row>
    <row r="239" ht="15" customHeight="1">
      <c r="A239" t="inlineStr">
        <is>
          <t>A 34617-2022</t>
        </is>
      </c>
      <c r="B239" s="1" t="n">
        <v>44795</v>
      </c>
      <c r="C239" s="1" t="n">
        <v>46065</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40202-2024</t>
        </is>
      </c>
      <c r="B240" s="1" t="n">
        <v>45554</v>
      </c>
      <c r="C240" s="1" t="n">
        <v>46065</v>
      </c>
      <c r="D240" t="inlineStr">
        <is>
          <t>UPPSALA LÄN</t>
        </is>
      </c>
      <c r="E240" t="inlineStr">
        <is>
          <t>ENKÖPING</t>
        </is>
      </c>
      <c r="G240" t="n">
        <v>6.2</v>
      </c>
      <c r="H240" t="n">
        <v>0</v>
      </c>
      <c r="I240" t="n">
        <v>0</v>
      </c>
      <c r="J240" t="n">
        <v>0</v>
      </c>
      <c r="K240" t="n">
        <v>0</v>
      </c>
      <c r="L240" t="n">
        <v>0</v>
      </c>
      <c r="M240" t="n">
        <v>0</v>
      </c>
      <c r="N240" t="n">
        <v>0</v>
      </c>
      <c r="O240" t="n">
        <v>0</v>
      </c>
      <c r="P240" t="n">
        <v>0</v>
      </c>
      <c r="Q240" t="n">
        <v>0</v>
      </c>
      <c r="R240" s="2" t="inlineStr"/>
    </row>
    <row r="241" ht="15" customHeight="1">
      <c r="A241" t="inlineStr">
        <is>
          <t>A 40223-2024</t>
        </is>
      </c>
      <c r="B241" s="1" t="n">
        <v>45554</v>
      </c>
      <c r="C241" s="1" t="n">
        <v>46065</v>
      </c>
      <c r="D241" t="inlineStr">
        <is>
          <t>UPPSALA LÄN</t>
        </is>
      </c>
      <c r="E241" t="inlineStr">
        <is>
          <t>ENKÖPING</t>
        </is>
      </c>
      <c r="G241" t="n">
        <v>1.9</v>
      </c>
      <c r="H241" t="n">
        <v>0</v>
      </c>
      <c r="I241" t="n">
        <v>0</v>
      </c>
      <c r="J241" t="n">
        <v>0</v>
      </c>
      <c r="K241" t="n">
        <v>0</v>
      </c>
      <c r="L241" t="n">
        <v>0</v>
      </c>
      <c r="M241" t="n">
        <v>0</v>
      </c>
      <c r="N241" t="n">
        <v>0</v>
      </c>
      <c r="O241" t="n">
        <v>0</v>
      </c>
      <c r="P241" t="n">
        <v>0</v>
      </c>
      <c r="Q241" t="n">
        <v>0</v>
      </c>
      <c r="R241" s="2" t="inlineStr"/>
    </row>
    <row r="242" ht="15" customHeight="1">
      <c r="A242" t="inlineStr">
        <is>
          <t>A 69879-2021</t>
        </is>
      </c>
      <c r="B242" s="1" t="n">
        <v>44532</v>
      </c>
      <c r="C242" s="1" t="n">
        <v>46065</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53586-2024</t>
        </is>
      </c>
      <c r="B243" s="1" t="n">
        <v>45614</v>
      </c>
      <c r="C243" s="1" t="n">
        <v>46065</v>
      </c>
      <c r="D243" t="inlineStr">
        <is>
          <t>UPPSALA LÄN</t>
        </is>
      </c>
      <c r="E243" t="inlineStr">
        <is>
          <t>ENKÖPING</t>
        </is>
      </c>
      <c r="G243" t="n">
        <v>6.6</v>
      </c>
      <c r="H243" t="n">
        <v>0</v>
      </c>
      <c r="I243" t="n">
        <v>0</v>
      </c>
      <c r="J243" t="n">
        <v>0</v>
      </c>
      <c r="K243" t="n">
        <v>0</v>
      </c>
      <c r="L243" t="n">
        <v>0</v>
      </c>
      <c r="M243" t="n">
        <v>0</v>
      </c>
      <c r="N243" t="n">
        <v>0</v>
      </c>
      <c r="O243" t="n">
        <v>0</v>
      </c>
      <c r="P243" t="n">
        <v>0</v>
      </c>
      <c r="Q243" t="n">
        <v>0</v>
      </c>
      <c r="R243" s="2" t="inlineStr"/>
    </row>
    <row r="244" ht="15" customHeight="1">
      <c r="A244" t="inlineStr">
        <is>
          <t>A 19013-2025</t>
        </is>
      </c>
      <c r="B244" s="1" t="n">
        <v>45764.59533564815</v>
      </c>
      <c r="C244" s="1" t="n">
        <v>46065</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57335-2024</t>
        </is>
      </c>
      <c r="B245" s="1" t="n">
        <v>45629.63302083333</v>
      </c>
      <c r="C245" s="1" t="n">
        <v>46065</v>
      </c>
      <c r="D245" t="inlineStr">
        <is>
          <t>UPPSALA LÄN</t>
        </is>
      </c>
      <c r="E245" t="inlineStr">
        <is>
          <t>ENKÖPING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18583-2021</t>
        </is>
      </c>
      <c r="B246" s="1" t="n">
        <v>44306</v>
      </c>
      <c r="C246" s="1" t="n">
        <v>46065</v>
      </c>
      <c r="D246" t="inlineStr">
        <is>
          <t>UPPSALA LÄN</t>
        </is>
      </c>
      <c r="E246" t="inlineStr">
        <is>
          <t>ENKÖPING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23301-2024</t>
        </is>
      </c>
      <c r="B247" s="1" t="n">
        <v>45453.4396412037</v>
      </c>
      <c r="C247" s="1" t="n">
        <v>46065</v>
      </c>
      <c r="D247" t="inlineStr">
        <is>
          <t>UPPSALA LÄN</t>
        </is>
      </c>
      <c r="E247" t="inlineStr">
        <is>
          <t>ENKÖPING</t>
        </is>
      </c>
      <c r="G247" t="n">
        <v>4.3</v>
      </c>
      <c r="H247" t="n">
        <v>0</v>
      </c>
      <c r="I247" t="n">
        <v>0</v>
      </c>
      <c r="J247" t="n">
        <v>0</v>
      </c>
      <c r="K247" t="n">
        <v>0</v>
      </c>
      <c r="L247" t="n">
        <v>0</v>
      </c>
      <c r="M247" t="n">
        <v>0</v>
      </c>
      <c r="N247" t="n">
        <v>0</v>
      </c>
      <c r="O247" t="n">
        <v>0</v>
      </c>
      <c r="P247" t="n">
        <v>0</v>
      </c>
      <c r="Q247" t="n">
        <v>0</v>
      </c>
      <c r="R247" s="2" t="inlineStr"/>
    </row>
    <row r="248" ht="15" customHeight="1">
      <c r="A248" t="inlineStr">
        <is>
          <t>A 51034-2024</t>
        </is>
      </c>
      <c r="B248" s="1" t="n">
        <v>45603.4262037037</v>
      </c>
      <c r="C248" s="1" t="n">
        <v>46065</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51036-2024</t>
        </is>
      </c>
      <c r="B249" s="1" t="n">
        <v>45603.42839120371</v>
      </c>
      <c r="C249" s="1" t="n">
        <v>46065</v>
      </c>
      <c r="D249" t="inlineStr">
        <is>
          <t>UPPSALA LÄN</t>
        </is>
      </c>
      <c r="E249" t="inlineStr">
        <is>
          <t>ENKÖPING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2833-2025</t>
        </is>
      </c>
      <c r="B250" s="1" t="n">
        <v>45677.63206018518</v>
      </c>
      <c r="C250" s="1" t="n">
        <v>46065</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43492-2023</t>
        </is>
      </c>
      <c r="B251" s="1" t="n">
        <v>45181</v>
      </c>
      <c r="C251" s="1" t="n">
        <v>46065</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1536-2024</t>
        </is>
      </c>
      <c r="B252" s="1" t="n">
        <v>45306</v>
      </c>
      <c r="C252" s="1" t="n">
        <v>46065</v>
      </c>
      <c r="D252" t="inlineStr">
        <is>
          <t>UPPSALA LÄN</t>
        </is>
      </c>
      <c r="E252" t="inlineStr">
        <is>
          <t>ENKÖPING</t>
        </is>
      </c>
      <c r="F252" t="inlineStr">
        <is>
          <t>Kyrkan</t>
        </is>
      </c>
      <c r="G252" t="n">
        <v>5.6</v>
      </c>
      <c r="H252" t="n">
        <v>0</v>
      </c>
      <c r="I252" t="n">
        <v>0</v>
      </c>
      <c r="J252" t="n">
        <v>0</v>
      </c>
      <c r="K252" t="n">
        <v>0</v>
      </c>
      <c r="L252" t="n">
        <v>0</v>
      </c>
      <c r="M252" t="n">
        <v>0</v>
      </c>
      <c r="N252" t="n">
        <v>0</v>
      </c>
      <c r="O252" t="n">
        <v>0</v>
      </c>
      <c r="P252" t="n">
        <v>0</v>
      </c>
      <c r="Q252" t="n">
        <v>0</v>
      </c>
      <c r="R252" s="2" t="inlineStr"/>
    </row>
    <row r="253" ht="15" customHeight="1">
      <c r="A253" t="inlineStr">
        <is>
          <t>A 2974-2025</t>
        </is>
      </c>
      <c r="B253" s="1" t="n">
        <v>45678.47168981482</v>
      </c>
      <c r="C253" s="1" t="n">
        <v>46065</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16916-2023</t>
        </is>
      </c>
      <c r="B254" s="1" t="n">
        <v>45033.58347222222</v>
      </c>
      <c r="C254" s="1" t="n">
        <v>46065</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16920-2023</t>
        </is>
      </c>
      <c r="B255" s="1" t="n">
        <v>45033.59030092593</v>
      </c>
      <c r="C255" s="1" t="n">
        <v>46065</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33619-2022</t>
        </is>
      </c>
      <c r="B256" s="1" t="n">
        <v>44789</v>
      </c>
      <c r="C256" s="1" t="n">
        <v>46065</v>
      </c>
      <c r="D256" t="inlineStr">
        <is>
          <t>UPPSALA LÄN</t>
        </is>
      </c>
      <c r="E256" t="inlineStr">
        <is>
          <t>ENKÖPING</t>
        </is>
      </c>
      <c r="F256" t="inlineStr">
        <is>
          <t>Allmännings- och besparingsskogar</t>
        </is>
      </c>
      <c r="G256" t="n">
        <v>4.5</v>
      </c>
      <c r="H256" t="n">
        <v>0</v>
      </c>
      <c r="I256" t="n">
        <v>0</v>
      </c>
      <c r="J256" t="n">
        <v>0</v>
      </c>
      <c r="K256" t="n">
        <v>0</v>
      </c>
      <c r="L256" t="n">
        <v>0</v>
      </c>
      <c r="M256" t="n">
        <v>0</v>
      </c>
      <c r="N256" t="n">
        <v>0</v>
      </c>
      <c r="O256" t="n">
        <v>0</v>
      </c>
      <c r="P256" t="n">
        <v>0</v>
      </c>
      <c r="Q256" t="n">
        <v>0</v>
      </c>
      <c r="R256" s="2" t="inlineStr"/>
    </row>
    <row r="257" ht="15" customHeight="1">
      <c r="A257" t="inlineStr">
        <is>
          <t>A 52388-2024</t>
        </is>
      </c>
      <c r="B257" s="1" t="n">
        <v>45609.42939814815</v>
      </c>
      <c r="C257" s="1" t="n">
        <v>46065</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31604-2023</t>
        </is>
      </c>
      <c r="B258" s="1" t="n">
        <v>45117.50368055556</v>
      </c>
      <c r="C258" s="1" t="n">
        <v>46065</v>
      </c>
      <c r="D258" t="inlineStr">
        <is>
          <t>UPPSALA LÄN</t>
        </is>
      </c>
      <c r="E258" t="inlineStr">
        <is>
          <t>ENKÖPING</t>
        </is>
      </c>
      <c r="G258" t="n">
        <v>3.5</v>
      </c>
      <c r="H258" t="n">
        <v>0</v>
      </c>
      <c r="I258" t="n">
        <v>0</v>
      </c>
      <c r="J258" t="n">
        <v>0</v>
      </c>
      <c r="K258" t="n">
        <v>0</v>
      </c>
      <c r="L258" t="n">
        <v>0</v>
      </c>
      <c r="M258" t="n">
        <v>0</v>
      </c>
      <c r="N258" t="n">
        <v>0</v>
      </c>
      <c r="O258" t="n">
        <v>0</v>
      </c>
      <c r="P258" t="n">
        <v>0</v>
      </c>
      <c r="Q258" t="n">
        <v>0</v>
      </c>
      <c r="R258" s="2" t="inlineStr"/>
    </row>
    <row r="259" ht="15" customHeight="1">
      <c r="A259" t="inlineStr">
        <is>
          <t>A 12434-2021</t>
        </is>
      </c>
      <c r="B259" s="1" t="n">
        <v>44267</v>
      </c>
      <c r="C259" s="1" t="n">
        <v>46065</v>
      </c>
      <c r="D259" t="inlineStr">
        <is>
          <t>UPPSALA LÄN</t>
        </is>
      </c>
      <c r="E259" t="inlineStr">
        <is>
          <t>ENKÖPING</t>
        </is>
      </c>
      <c r="G259" t="n">
        <v>5.3</v>
      </c>
      <c r="H259" t="n">
        <v>0</v>
      </c>
      <c r="I259" t="n">
        <v>0</v>
      </c>
      <c r="J259" t="n">
        <v>0</v>
      </c>
      <c r="K259" t="n">
        <v>0</v>
      </c>
      <c r="L259" t="n">
        <v>0</v>
      </c>
      <c r="M259" t="n">
        <v>0</v>
      </c>
      <c r="N259" t="n">
        <v>0</v>
      </c>
      <c r="O259" t="n">
        <v>0</v>
      </c>
      <c r="P259" t="n">
        <v>0</v>
      </c>
      <c r="Q259" t="n">
        <v>0</v>
      </c>
      <c r="R259" s="2" t="inlineStr"/>
    </row>
    <row r="260" ht="15" customHeight="1">
      <c r="A260" t="inlineStr">
        <is>
          <t>A 15740-2025</t>
        </is>
      </c>
      <c r="B260" s="1" t="n">
        <v>45748</v>
      </c>
      <c r="C260" s="1" t="n">
        <v>46065</v>
      </c>
      <c r="D260" t="inlineStr">
        <is>
          <t>UPPSALA LÄN</t>
        </is>
      </c>
      <c r="E260" t="inlineStr">
        <is>
          <t>ENKÖPING</t>
        </is>
      </c>
      <c r="G260" t="n">
        <v>0.9</v>
      </c>
      <c r="H260" t="n">
        <v>0</v>
      </c>
      <c r="I260" t="n">
        <v>0</v>
      </c>
      <c r="J260" t="n">
        <v>0</v>
      </c>
      <c r="K260" t="n">
        <v>0</v>
      </c>
      <c r="L260" t="n">
        <v>0</v>
      </c>
      <c r="M260" t="n">
        <v>0</v>
      </c>
      <c r="N260" t="n">
        <v>0</v>
      </c>
      <c r="O260" t="n">
        <v>0</v>
      </c>
      <c r="P260" t="n">
        <v>0</v>
      </c>
      <c r="Q260" t="n">
        <v>0</v>
      </c>
      <c r="R260" s="2" t="inlineStr"/>
    </row>
    <row r="261" ht="15" customHeight="1">
      <c r="A261" t="inlineStr">
        <is>
          <t>A 57848-2024</t>
        </is>
      </c>
      <c r="B261" s="1" t="n">
        <v>45631.40947916666</v>
      </c>
      <c r="C261" s="1" t="n">
        <v>46065</v>
      </c>
      <c r="D261" t="inlineStr">
        <is>
          <t>UPPSALA LÄN</t>
        </is>
      </c>
      <c r="E261" t="inlineStr">
        <is>
          <t>ENKÖPING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59602-2024</t>
        </is>
      </c>
      <c r="B262" s="1" t="n">
        <v>45638</v>
      </c>
      <c r="C262" s="1" t="n">
        <v>46065</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1992-2022</t>
        </is>
      </c>
      <c r="B263" s="1" t="n">
        <v>44575.56153935185</v>
      </c>
      <c r="C263" s="1" t="n">
        <v>46065</v>
      </c>
      <c r="D263" t="inlineStr">
        <is>
          <t>UPPSALA LÄN</t>
        </is>
      </c>
      <c r="E263" t="inlineStr">
        <is>
          <t>ENKÖPING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6626-2023</t>
        </is>
      </c>
      <c r="B264" s="1" t="n">
        <v>44966.55946759259</v>
      </c>
      <c r="C264" s="1" t="n">
        <v>46065</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18994-2025</t>
        </is>
      </c>
      <c r="B265" s="1" t="n">
        <v>45764.57350694444</v>
      </c>
      <c r="C265" s="1" t="n">
        <v>46065</v>
      </c>
      <c r="D265" t="inlineStr">
        <is>
          <t>UPPSALA LÄN</t>
        </is>
      </c>
      <c r="E265" t="inlineStr">
        <is>
          <t>ENKÖPING</t>
        </is>
      </c>
      <c r="G265" t="n">
        <v>3.8</v>
      </c>
      <c r="H265" t="n">
        <v>0</v>
      </c>
      <c r="I265" t="n">
        <v>0</v>
      </c>
      <c r="J265" t="n">
        <v>0</v>
      </c>
      <c r="K265" t="n">
        <v>0</v>
      </c>
      <c r="L265" t="n">
        <v>0</v>
      </c>
      <c r="M265" t="n">
        <v>0</v>
      </c>
      <c r="N265" t="n">
        <v>0</v>
      </c>
      <c r="O265" t="n">
        <v>0</v>
      </c>
      <c r="P265" t="n">
        <v>0</v>
      </c>
      <c r="Q265" t="n">
        <v>0</v>
      </c>
      <c r="R265" s="2" t="inlineStr"/>
    </row>
    <row r="266" ht="15" customHeight="1">
      <c r="A266" t="inlineStr">
        <is>
          <t>A 49601-2024</t>
        </is>
      </c>
      <c r="B266" s="1" t="n">
        <v>45596.56288194445</v>
      </c>
      <c r="C266" s="1" t="n">
        <v>46065</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14243-2025</t>
        </is>
      </c>
      <c r="B267" s="1" t="n">
        <v>45740.61288194444</v>
      </c>
      <c r="C267" s="1" t="n">
        <v>46065</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60125-2024</t>
        </is>
      </c>
      <c r="B268" s="1" t="n">
        <v>45642</v>
      </c>
      <c r="C268" s="1" t="n">
        <v>46065</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19488-2022</t>
        </is>
      </c>
      <c r="B269" s="1" t="n">
        <v>44693</v>
      </c>
      <c r="C269" s="1" t="n">
        <v>46065</v>
      </c>
      <c r="D269" t="inlineStr">
        <is>
          <t>UPPSALA LÄN</t>
        </is>
      </c>
      <c r="E269" t="inlineStr">
        <is>
          <t>ENKÖPING</t>
        </is>
      </c>
      <c r="G269" t="n">
        <v>7.8</v>
      </c>
      <c r="H269" t="n">
        <v>0</v>
      </c>
      <c r="I269" t="n">
        <v>0</v>
      </c>
      <c r="J269" t="n">
        <v>0</v>
      </c>
      <c r="K269" t="n">
        <v>0</v>
      </c>
      <c r="L269" t="n">
        <v>0</v>
      </c>
      <c r="M269" t="n">
        <v>0</v>
      </c>
      <c r="N269" t="n">
        <v>0</v>
      </c>
      <c r="O269" t="n">
        <v>0</v>
      </c>
      <c r="P269" t="n">
        <v>0</v>
      </c>
      <c r="Q269" t="n">
        <v>0</v>
      </c>
      <c r="R269" s="2" t="inlineStr"/>
    </row>
    <row r="270" ht="15" customHeight="1">
      <c r="A270" t="inlineStr">
        <is>
          <t>A 48843-2023</t>
        </is>
      </c>
      <c r="B270" s="1" t="n">
        <v>45209</v>
      </c>
      <c r="C270" s="1" t="n">
        <v>46065</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57940-2022</t>
        </is>
      </c>
      <c r="B271" s="1" t="n">
        <v>44900</v>
      </c>
      <c r="C271" s="1" t="n">
        <v>46065</v>
      </c>
      <c r="D271" t="inlineStr">
        <is>
          <t>UPPSALA LÄN</t>
        </is>
      </c>
      <c r="E271" t="inlineStr">
        <is>
          <t>ENKÖPING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35079-2024</t>
        </is>
      </c>
      <c r="B272" s="1" t="n">
        <v>45527.66770833333</v>
      </c>
      <c r="C272" s="1" t="n">
        <v>46065</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41826-2024</t>
        </is>
      </c>
      <c r="B273" s="1" t="n">
        <v>45561</v>
      </c>
      <c r="C273" s="1" t="n">
        <v>46065</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1695-2025</t>
        </is>
      </c>
      <c r="B274" s="1" t="n">
        <v>45670</v>
      </c>
      <c r="C274" s="1" t="n">
        <v>46065</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59027-2024</t>
        </is>
      </c>
      <c r="B275" s="1" t="n">
        <v>45636.68755787037</v>
      </c>
      <c r="C275" s="1" t="n">
        <v>46065</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16916-2022</t>
        </is>
      </c>
      <c r="B276" s="1" t="n">
        <v>44676</v>
      </c>
      <c r="C276" s="1" t="n">
        <v>46065</v>
      </c>
      <c r="D276" t="inlineStr">
        <is>
          <t>UPPSALA LÄN</t>
        </is>
      </c>
      <c r="E276" t="inlineStr">
        <is>
          <t>ENKÖPING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53595-2023</t>
        </is>
      </c>
      <c r="B277" s="1" t="n">
        <v>45223</v>
      </c>
      <c r="C277" s="1" t="n">
        <v>46065</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44115-2024</t>
        </is>
      </c>
      <c r="B278" s="1" t="n">
        <v>45572</v>
      </c>
      <c r="C278" s="1" t="n">
        <v>46065</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42564-2024</t>
        </is>
      </c>
      <c r="B279" s="1" t="n">
        <v>45565.63358796296</v>
      </c>
      <c r="C279" s="1" t="n">
        <v>46065</v>
      </c>
      <c r="D279" t="inlineStr">
        <is>
          <t>UPPSALA LÄN</t>
        </is>
      </c>
      <c r="E279" t="inlineStr">
        <is>
          <t>ENKÖPING</t>
        </is>
      </c>
      <c r="G279" t="n">
        <v>1.7</v>
      </c>
      <c r="H279" t="n">
        <v>0</v>
      </c>
      <c r="I279" t="n">
        <v>0</v>
      </c>
      <c r="J279" t="n">
        <v>0</v>
      </c>
      <c r="K279" t="n">
        <v>0</v>
      </c>
      <c r="L279" t="n">
        <v>0</v>
      </c>
      <c r="M279" t="n">
        <v>0</v>
      </c>
      <c r="N279" t="n">
        <v>0</v>
      </c>
      <c r="O279" t="n">
        <v>0</v>
      </c>
      <c r="P279" t="n">
        <v>0</v>
      </c>
      <c r="Q279" t="n">
        <v>0</v>
      </c>
      <c r="R279" s="2" t="inlineStr"/>
    </row>
    <row r="280" ht="15" customHeight="1">
      <c r="A280" t="inlineStr">
        <is>
          <t>A 3235-2025</t>
        </is>
      </c>
      <c r="B280" s="1" t="n">
        <v>45679</v>
      </c>
      <c r="C280" s="1" t="n">
        <v>46065</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17844-2025</t>
        </is>
      </c>
      <c r="B281" s="1" t="n">
        <v>45758.59920138889</v>
      </c>
      <c r="C281" s="1" t="n">
        <v>46065</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30634-2022</t>
        </is>
      </c>
      <c r="B282" s="1" t="n">
        <v>44763.45711805556</v>
      </c>
      <c r="C282" s="1" t="n">
        <v>46065</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15711-2025</t>
        </is>
      </c>
      <c r="B283" s="1" t="n">
        <v>45748</v>
      </c>
      <c r="C283" s="1" t="n">
        <v>46065</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27837-2025</t>
        </is>
      </c>
      <c r="B284" s="1" t="n">
        <v>45817.37207175926</v>
      </c>
      <c r="C284" s="1" t="n">
        <v>46065</v>
      </c>
      <c r="D284" t="inlineStr">
        <is>
          <t>UPPSALA LÄN</t>
        </is>
      </c>
      <c r="E284" t="inlineStr">
        <is>
          <t>ENKÖPING</t>
        </is>
      </c>
      <c r="G284" t="n">
        <v>7.3</v>
      </c>
      <c r="H284" t="n">
        <v>0</v>
      </c>
      <c r="I284" t="n">
        <v>0</v>
      </c>
      <c r="J284" t="n">
        <v>0</v>
      </c>
      <c r="K284" t="n">
        <v>0</v>
      </c>
      <c r="L284" t="n">
        <v>0</v>
      </c>
      <c r="M284" t="n">
        <v>0</v>
      </c>
      <c r="N284" t="n">
        <v>0</v>
      </c>
      <c r="O284" t="n">
        <v>0</v>
      </c>
      <c r="P284" t="n">
        <v>0</v>
      </c>
      <c r="Q284" t="n">
        <v>0</v>
      </c>
      <c r="R284" s="2" t="inlineStr"/>
    </row>
    <row r="285" ht="15" customHeight="1">
      <c r="A285" t="inlineStr">
        <is>
          <t>A 29513-2025</t>
        </is>
      </c>
      <c r="B285" s="1" t="n">
        <v>45825</v>
      </c>
      <c r="C285" s="1" t="n">
        <v>46065</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6959-2025</t>
        </is>
      </c>
      <c r="B286" s="1" t="n">
        <v>45701.49315972222</v>
      </c>
      <c r="C286" s="1" t="n">
        <v>46065</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17165-2025</t>
        </is>
      </c>
      <c r="B287" s="1" t="n">
        <v>45756</v>
      </c>
      <c r="C287" s="1" t="n">
        <v>46065</v>
      </c>
      <c r="D287" t="inlineStr">
        <is>
          <t>UPPSALA LÄN</t>
        </is>
      </c>
      <c r="E287" t="inlineStr">
        <is>
          <t>ENKÖPING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21501-2025</t>
        </is>
      </c>
      <c r="B288" s="1" t="n">
        <v>45782</v>
      </c>
      <c r="C288" s="1" t="n">
        <v>46065</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3300-2025</t>
        </is>
      </c>
      <c r="B289" s="1" t="n">
        <v>45679</v>
      </c>
      <c r="C289" s="1" t="n">
        <v>46065</v>
      </c>
      <c r="D289" t="inlineStr">
        <is>
          <t>UPPSALA LÄN</t>
        </is>
      </c>
      <c r="E289" t="inlineStr">
        <is>
          <t>ENKÖPING</t>
        </is>
      </c>
      <c r="G289" t="n">
        <v>8.9</v>
      </c>
      <c r="H289" t="n">
        <v>0</v>
      </c>
      <c r="I289" t="n">
        <v>0</v>
      </c>
      <c r="J289" t="n">
        <v>0</v>
      </c>
      <c r="K289" t="n">
        <v>0</v>
      </c>
      <c r="L289" t="n">
        <v>0</v>
      </c>
      <c r="M289" t="n">
        <v>0</v>
      </c>
      <c r="N289" t="n">
        <v>0</v>
      </c>
      <c r="O289" t="n">
        <v>0</v>
      </c>
      <c r="P289" t="n">
        <v>0</v>
      </c>
      <c r="Q289" t="n">
        <v>0</v>
      </c>
      <c r="R289" s="2" t="inlineStr"/>
    </row>
    <row r="290" ht="15" customHeight="1">
      <c r="A290" t="inlineStr">
        <is>
          <t>A 34987-2025</t>
        </is>
      </c>
      <c r="B290" s="1" t="n">
        <v>45849</v>
      </c>
      <c r="C290" s="1" t="n">
        <v>46065</v>
      </c>
      <c r="D290" t="inlineStr">
        <is>
          <t>UPPSALA LÄN</t>
        </is>
      </c>
      <c r="E290" t="inlineStr">
        <is>
          <t>ENKÖPING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34988-2025</t>
        </is>
      </c>
      <c r="B291" s="1" t="n">
        <v>45849</v>
      </c>
      <c r="C291" s="1" t="n">
        <v>46065</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51120-2023</t>
        </is>
      </c>
      <c r="B292" s="1" t="n">
        <v>45219.3088425926</v>
      </c>
      <c r="C292" s="1" t="n">
        <v>46065</v>
      </c>
      <c r="D292" t="inlineStr">
        <is>
          <t>UPPSALA LÄN</t>
        </is>
      </c>
      <c r="E292" t="inlineStr">
        <is>
          <t>ENKÖPING</t>
        </is>
      </c>
      <c r="G292" t="n">
        <v>1.4</v>
      </c>
      <c r="H292" t="n">
        <v>0</v>
      </c>
      <c r="I292" t="n">
        <v>0</v>
      </c>
      <c r="J292" t="n">
        <v>0</v>
      </c>
      <c r="K292" t="n">
        <v>0</v>
      </c>
      <c r="L292" t="n">
        <v>0</v>
      </c>
      <c r="M292" t="n">
        <v>0</v>
      </c>
      <c r="N292" t="n">
        <v>0</v>
      </c>
      <c r="O292" t="n">
        <v>0</v>
      </c>
      <c r="P292" t="n">
        <v>0</v>
      </c>
      <c r="Q292" t="n">
        <v>0</v>
      </c>
      <c r="R292" s="2" t="inlineStr"/>
    </row>
    <row r="293" ht="15" customHeight="1">
      <c r="A293" t="inlineStr">
        <is>
          <t>A 52299-2023</t>
        </is>
      </c>
      <c r="B293" s="1" t="n">
        <v>45224.61636574074</v>
      </c>
      <c r="C293" s="1" t="n">
        <v>46065</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44343.4558912037</v>
      </c>
      <c r="C294" s="1" t="n">
        <v>46065</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26319-2022</t>
        </is>
      </c>
      <c r="B295" s="1" t="n">
        <v>44735</v>
      </c>
      <c r="C295" s="1" t="n">
        <v>46065</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36350-2025</t>
        </is>
      </c>
      <c r="B296" s="1" t="n">
        <v>45868</v>
      </c>
      <c r="C296" s="1" t="n">
        <v>46065</v>
      </c>
      <c r="D296" t="inlineStr">
        <is>
          <t>UPPSALA LÄN</t>
        </is>
      </c>
      <c r="E296" t="inlineStr">
        <is>
          <t>ENKÖPING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54357-2023</t>
        </is>
      </c>
      <c r="B297" s="1" t="n">
        <v>45225</v>
      </c>
      <c r="C297" s="1" t="n">
        <v>46065</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32081-2024</t>
        </is>
      </c>
      <c r="B298" s="1" t="n">
        <v>45511.34605324074</v>
      </c>
      <c r="C298" s="1" t="n">
        <v>46065</v>
      </c>
      <c r="D298" t="inlineStr">
        <is>
          <t>UPPSALA LÄN</t>
        </is>
      </c>
      <c r="E298" t="inlineStr">
        <is>
          <t>ENKÖPING</t>
        </is>
      </c>
      <c r="G298" t="n">
        <v>5.4</v>
      </c>
      <c r="H298" t="n">
        <v>0</v>
      </c>
      <c r="I298" t="n">
        <v>0</v>
      </c>
      <c r="J298" t="n">
        <v>0</v>
      </c>
      <c r="K298" t="n">
        <v>0</v>
      </c>
      <c r="L298" t="n">
        <v>0</v>
      </c>
      <c r="M298" t="n">
        <v>0</v>
      </c>
      <c r="N298" t="n">
        <v>0</v>
      </c>
      <c r="O298" t="n">
        <v>0</v>
      </c>
      <c r="P298" t="n">
        <v>0</v>
      </c>
      <c r="Q298" t="n">
        <v>0</v>
      </c>
      <c r="R298" s="2" t="inlineStr"/>
    </row>
    <row r="299" ht="15" customHeight="1">
      <c r="A299" t="inlineStr">
        <is>
          <t>A 25989-2025</t>
        </is>
      </c>
      <c r="B299" s="1" t="n">
        <v>45804.65050925926</v>
      </c>
      <c r="C299" s="1" t="n">
        <v>46065</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36599-2025</t>
        </is>
      </c>
      <c r="B300" s="1" t="n">
        <v>45870.51723379629</v>
      </c>
      <c r="C300" s="1" t="n">
        <v>46065</v>
      </c>
      <c r="D300" t="inlineStr">
        <is>
          <t>UPPSALA LÄN</t>
        </is>
      </c>
      <c r="E300" t="inlineStr">
        <is>
          <t>ENKÖPING</t>
        </is>
      </c>
      <c r="G300" t="n">
        <v>5.9</v>
      </c>
      <c r="H300" t="n">
        <v>0</v>
      </c>
      <c r="I300" t="n">
        <v>0</v>
      </c>
      <c r="J300" t="n">
        <v>0</v>
      </c>
      <c r="K300" t="n">
        <v>0</v>
      </c>
      <c r="L300" t="n">
        <v>0</v>
      </c>
      <c r="M300" t="n">
        <v>0</v>
      </c>
      <c r="N300" t="n">
        <v>0</v>
      </c>
      <c r="O300" t="n">
        <v>0</v>
      </c>
      <c r="P300" t="n">
        <v>0</v>
      </c>
      <c r="Q300" t="n">
        <v>0</v>
      </c>
      <c r="R300" s="2" t="inlineStr"/>
    </row>
    <row r="301" ht="15" customHeight="1">
      <c r="A301" t="inlineStr">
        <is>
          <t>A 36492-2025</t>
        </is>
      </c>
      <c r="B301" s="1" t="n">
        <v>45869</v>
      </c>
      <c r="C301" s="1" t="n">
        <v>46065</v>
      </c>
      <c r="D301" t="inlineStr">
        <is>
          <t>UPPSALA LÄN</t>
        </is>
      </c>
      <c r="E301" t="inlineStr">
        <is>
          <t>ENKÖPING</t>
        </is>
      </c>
      <c r="G301" t="n">
        <v>6.3</v>
      </c>
      <c r="H301" t="n">
        <v>0</v>
      </c>
      <c r="I301" t="n">
        <v>0</v>
      </c>
      <c r="J301" t="n">
        <v>0</v>
      </c>
      <c r="K301" t="n">
        <v>0</v>
      </c>
      <c r="L301" t="n">
        <v>0</v>
      </c>
      <c r="M301" t="n">
        <v>0</v>
      </c>
      <c r="N301" t="n">
        <v>0</v>
      </c>
      <c r="O301" t="n">
        <v>0</v>
      </c>
      <c r="P301" t="n">
        <v>0</v>
      </c>
      <c r="Q301" t="n">
        <v>0</v>
      </c>
      <c r="R301" s="2" t="inlineStr"/>
    </row>
    <row r="302" ht="15" customHeight="1">
      <c r="A302" t="inlineStr">
        <is>
          <t>A 20184-2023</t>
        </is>
      </c>
      <c r="B302" s="1" t="n">
        <v>45055.5670949074</v>
      </c>
      <c r="C302" s="1" t="n">
        <v>46065</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13816-2021</t>
        </is>
      </c>
      <c r="B303" s="1" t="n">
        <v>44276</v>
      </c>
      <c r="C303" s="1" t="n">
        <v>46065</v>
      </c>
      <c r="D303" t="inlineStr">
        <is>
          <t>UPPSALA LÄN</t>
        </is>
      </c>
      <c r="E303" t="inlineStr">
        <is>
          <t>ENKÖPING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63402-2023</t>
        </is>
      </c>
      <c r="B304" s="1" t="n">
        <v>45274.50646990741</v>
      </c>
      <c r="C304" s="1" t="n">
        <v>46065</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61952-2021</t>
        </is>
      </c>
      <c r="B305" s="1" t="n">
        <v>44502</v>
      </c>
      <c r="C305" s="1" t="n">
        <v>46065</v>
      </c>
      <c r="D305" t="inlineStr">
        <is>
          <t>UPPSALA LÄN</t>
        </is>
      </c>
      <c r="E305" t="inlineStr">
        <is>
          <t>ENKÖPING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53208-2023</t>
        </is>
      </c>
      <c r="B306" s="1" t="n">
        <v>45226</v>
      </c>
      <c r="C306" s="1" t="n">
        <v>46065</v>
      </c>
      <c r="D306" t="inlineStr">
        <is>
          <t>UPPSALA LÄN</t>
        </is>
      </c>
      <c r="E306" t="inlineStr">
        <is>
          <t>ENKÖPING</t>
        </is>
      </c>
      <c r="G306" t="n">
        <v>4.3</v>
      </c>
      <c r="H306" t="n">
        <v>0</v>
      </c>
      <c r="I306" t="n">
        <v>0</v>
      </c>
      <c r="J306" t="n">
        <v>0</v>
      </c>
      <c r="K306" t="n">
        <v>0</v>
      </c>
      <c r="L306" t="n">
        <v>0</v>
      </c>
      <c r="M306" t="n">
        <v>0</v>
      </c>
      <c r="N306" t="n">
        <v>0</v>
      </c>
      <c r="O306" t="n">
        <v>0</v>
      </c>
      <c r="P306" t="n">
        <v>0</v>
      </c>
      <c r="Q306" t="n">
        <v>0</v>
      </c>
      <c r="R306" s="2" t="inlineStr"/>
    </row>
    <row r="307" ht="15" customHeight="1">
      <c r="A307" t="inlineStr">
        <is>
          <t>A 37319-2025</t>
        </is>
      </c>
      <c r="B307" s="1" t="n">
        <v>45876</v>
      </c>
      <c r="C307" s="1" t="n">
        <v>46065</v>
      </c>
      <c r="D307" t="inlineStr">
        <is>
          <t>UPPSALA LÄN</t>
        </is>
      </c>
      <c r="E307" t="inlineStr">
        <is>
          <t>ENKÖPING</t>
        </is>
      </c>
      <c r="G307" t="n">
        <v>9.5</v>
      </c>
      <c r="H307" t="n">
        <v>0</v>
      </c>
      <c r="I307" t="n">
        <v>0</v>
      </c>
      <c r="J307" t="n">
        <v>0</v>
      </c>
      <c r="K307" t="n">
        <v>0</v>
      </c>
      <c r="L307" t="n">
        <v>0</v>
      </c>
      <c r="M307" t="n">
        <v>0</v>
      </c>
      <c r="N307" t="n">
        <v>0</v>
      </c>
      <c r="O307" t="n">
        <v>0</v>
      </c>
      <c r="P307" t="n">
        <v>0</v>
      </c>
      <c r="Q307" t="n">
        <v>0</v>
      </c>
      <c r="R307" s="2" t="inlineStr"/>
    </row>
    <row r="308" ht="15" customHeight="1">
      <c r="A308" t="inlineStr">
        <is>
          <t>A 37296-2025</t>
        </is>
      </c>
      <c r="B308" s="1" t="n">
        <v>45876</v>
      </c>
      <c r="C308" s="1" t="n">
        <v>46065</v>
      </c>
      <c r="D308" t="inlineStr">
        <is>
          <t>UPPSALA LÄN</t>
        </is>
      </c>
      <c r="E308" t="inlineStr">
        <is>
          <t>ENKÖPING</t>
        </is>
      </c>
      <c r="G308" t="n">
        <v>9.5</v>
      </c>
      <c r="H308" t="n">
        <v>0</v>
      </c>
      <c r="I308" t="n">
        <v>0</v>
      </c>
      <c r="J308" t="n">
        <v>0</v>
      </c>
      <c r="K308" t="n">
        <v>0</v>
      </c>
      <c r="L308" t="n">
        <v>0</v>
      </c>
      <c r="M308" t="n">
        <v>0</v>
      </c>
      <c r="N308" t="n">
        <v>0</v>
      </c>
      <c r="O308" t="n">
        <v>0</v>
      </c>
      <c r="P308" t="n">
        <v>0</v>
      </c>
      <c r="Q308" t="n">
        <v>0</v>
      </c>
      <c r="R308" s="2" t="inlineStr"/>
    </row>
    <row r="309" ht="15" customHeight="1">
      <c r="A309" t="inlineStr">
        <is>
          <t>A 59602-2022</t>
        </is>
      </c>
      <c r="B309" s="1" t="n">
        <v>44907.72241898148</v>
      </c>
      <c r="C309" s="1" t="n">
        <v>46065</v>
      </c>
      <c r="D309" t="inlineStr">
        <is>
          <t>UPPSALA LÄN</t>
        </is>
      </c>
      <c r="E309" t="inlineStr">
        <is>
          <t>ENKÖPING</t>
        </is>
      </c>
      <c r="G309" t="n">
        <v>14.2</v>
      </c>
      <c r="H309" t="n">
        <v>0</v>
      </c>
      <c r="I309" t="n">
        <v>0</v>
      </c>
      <c r="J309" t="n">
        <v>0</v>
      </c>
      <c r="K309" t="n">
        <v>0</v>
      </c>
      <c r="L309" t="n">
        <v>0</v>
      </c>
      <c r="M309" t="n">
        <v>0</v>
      </c>
      <c r="N309" t="n">
        <v>0</v>
      </c>
      <c r="O309" t="n">
        <v>0</v>
      </c>
      <c r="P309" t="n">
        <v>0</v>
      </c>
      <c r="Q309" t="n">
        <v>0</v>
      </c>
      <c r="R309" s="2" t="inlineStr"/>
    </row>
    <row r="310" ht="15" customHeight="1">
      <c r="A310" t="inlineStr">
        <is>
          <t>A 42589-2022</t>
        </is>
      </c>
      <c r="B310" s="1" t="n">
        <v>44831</v>
      </c>
      <c r="C310" s="1" t="n">
        <v>46065</v>
      </c>
      <c r="D310" t="inlineStr">
        <is>
          <t>UPPSALA LÄN</t>
        </is>
      </c>
      <c r="E310" t="inlineStr">
        <is>
          <t>ENKÖPING</t>
        </is>
      </c>
      <c r="G310" t="n">
        <v>20</v>
      </c>
      <c r="H310" t="n">
        <v>0</v>
      </c>
      <c r="I310" t="n">
        <v>0</v>
      </c>
      <c r="J310" t="n">
        <v>0</v>
      </c>
      <c r="K310" t="n">
        <v>0</v>
      </c>
      <c r="L310" t="n">
        <v>0</v>
      </c>
      <c r="M310" t="n">
        <v>0</v>
      </c>
      <c r="N310" t="n">
        <v>0</v>
      </c>
      <c r="O310" t="n">
        <v>0</v>
      </c>
      <c r="P310" t="n">
        <v>0</v>
      </c>
      <c r="Q310" t="n">
        <v>0</v>
      </c>
      <c r="R310" s="2" t="inlineStr"/>
    </row>
    <row r="311" ht="15" customHeight="1">
      <c r="A311" t="inlineStr">
        <is>
          <t>A 35645-2021</t>
        </is>
      </c>
      <c r="B311" s="1" t="n">
        <v>44386.42</v>
      </c>
      <c r="C311" s="1" t="n">
        <v>46065</v>
      </c>
      <c r="D311" t="inlineStr">
        <is>
          <t>UPPSALA LÄN</t>
        </is>
      </c>
      <c r="E311" t="inlineStr">
        <is>
          <t>ENKÖPING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2968-2025</t>
        </is>
      </c>
      <c r="B312" s="1" t="n">
        <v>45678</v>
      </c>
      <c r="C312" s="1" t="n">
        <v>46065</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37498-2025</t>
        </is>
      </c>
      <c r="B313" s="1" t="n">
        <v>45877</v>
      </c>
      <c r="C313" s="1" t="n">
        <v>46065</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49622-2024</t>
        </is>
      </c>
      <c r="B314" s="1" t="n">
        <v>45596.58372685185</v>
      </c>
      <c r="C314" s="1" t="n">
        <v>46065</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9487-2025</t>
        </is>
      </c>
      <c r="B315" s="1" t="n">
        <v>45715.49331018519</v>
      </c>
      <c r="C315" s="1" t="n">
        <v>46065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18259-2025</t>
        </is>
      </c>
      <c r="B316" s="1" t="n">
        <v>45762</v>
      </c>
      <c r="C316" s="1" t="n">
        <v>46065</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16176-2025</t>
        </is>
      </c>
      <c r="B317" s="1" t="n">
        <v>45750</v>
      </c>
      <c r="C317" s="1" t="n">
        <v>46065</v>
      </c>
      <c r="D317" t="inlineStr">
        <is>
          <t>UPPSALA LÄN</t>
        </is>
      </c>
      <c r="E317" t="inlineStr">
        <is>
          <t>ENKÖPING</t>
        </is>
      </c>
      <c r="G317" t="n">
        <v>3.9</v>
      </c>
      <c r="H317" t="n">
        <v>0</v>
      </c>
      <c r="I317" t="n">
        <v>0</v>
      </c>
      <c r="J317" t="n">
        <v>0</v>
      </c>
      <c r="K317" t="n">
        <v>0</v>
      </c>
      <c r="L317" t="n">
        <v>0</v>
      </c>
      <c r="M317" t="n">
        <v>0</v>
      </c>
      <c r="N317" t="n">
        <v>0</v>
      </c>
      <c r="O317" t="n">
        <v>0</v>
      </c>
      <c r="P317" t="n">
        <v>0</v>
      </c>
      <c r="Q317" t="n">
        <v>0</v>
      </c>
      <c r="R317" s="2" t="inlineStr"/>
    </row>
    <row r="318" ht="15" customHeight="1">
      <c r="A318" t="inlineStr">
        <is>
          <t>A 62158-2023</t>
        </is>
      </c>
      <c r="B318" s="1" t="n">
        <v>45267</v>
      </c>
      <c r="C318" s="1" t="n">
        <v>46065</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60533-2021</t>
        </is>
      </c>
      <c r="B319" s="1" t="n">
        <v>44496</v>
      </c>
      <c r="C319" s="1" t="n">
        <v>46065</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37035-2023</t>
        </is>
      </c>
      <c r="B320" s="1" t="n">
        <v>45155</v>
      </c>
      <c r="C320" s="1" t="n">
        <v>46065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46186-2023</t>
        </is>
      </c>
      <c r="B321" s="1" t="n">
        <v>45196</v>
      </c>
      <c r="C321" s="1" t="n">
        <v>46065</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15162-2025</t>
        </is>
      </c>
      <c r="B322" s="1" t="n">
        <v>45744</v>
      </c>
      <c r="C322" s="1" t="n">
        <v>46065</v>
      </c>
      <c r="D322" t="inlineStr">
        <is>
          <t>UPPSALA LÄN</t>
        </is>
      </c>
      <c r="E322" t="inlineStr">
        <is>
          <t>ENKÖPING</t>
        </is>
      </c>
      <c r="G322" t="n">
        <v>4.2</v>
      </c>
      <c r="H322" t="n">
        <v>0</v>
      </c>
      <c r="I322" t="n">
        <v>0</v>
      </c>
      <c r="J322" t="n">
        <v>0</v>
      </c>
      <c r="K322" t="n">
        <v>0</v>
      </c>
      <c r="L322" t="n">
        <v>0</v>
      </c>
      <c r="M322" t="n">
        <v>0</v>
      </c>
      <c r="N322" t="n">
        <v>0</v>
      </c>
      <c r="O322" t="n">
        <v>0</v>
      </c>
      <c r="P322" t="n">
        <v>0</v>
      </c>
      <c r="Q322" t="n">
        <v>0</v>
      </c>
      <c r="R322" s="2" t="inlineStr"/>
    </row>
    <row r="323" ht="15" customHeight="1">
      <c r="A323" t="inlineStr">
        <is>
          <t>A 60874-2023</t>
        </is>
      </c>
      <c r="B323" s="1" t="n">
        <v>45261.06280092592</v>
      </c>
      <c r="C323" s="1" t="n">
        <v>46065</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15757-2023</t>
        </is>
      </c>
      <c r="B324" s="1" t="n">
        <v>45021</v>
      </c>
      <c r="C324" s="1" t="n">
        <v>46065</v>
      </c>
      <c r="D324" t="inlineStr">
        <is>
          <t>UPPSALA LÄN</t>
        </is>
      </c>
      <c r="E324" t="inlineStr">
        <is>
          <t>ENKÖPING</t>
        </is>
      </c>
      <c r="G324" t="n">
        <v>3</v>
      </c>
      <c r="H324" t="n">
        <v>0</v>
      </c>
      <c r="I324" t="n">
        <v>0</v>
      </c>
      <c r="J324" t="n">
        <v>0</v>
      </c>
      <c r="K324" t="n">
        <v>0</v>
      </c>
      <c r="L324" t="n">
        <v>0</v>
      </c>
      <c r="M324" t="n">
        <v>0</v>
      </c>
      <c r="N324" t="n">
        <v>0</v>
      </c>
      <c r="O324" t="n">
        <v>0</v>
      </c>
      <c r="P324" t="n">
        <v>0</v>
      </c>
      <c r="Q324" t="n">
        <v>0</v>
      </c>
      <c r="R324" s="2" t="inlineStr"/>
    </row>
    <row r="325" ht="15" customHeight="1">
      <c r="A325" t="inlineStr">
        <is>
          <t>A 18299-2025</t>
        </is>
      </c>
      <c r="B325" s="1" t="n">
        <v>45762</v>
      </c>
      <c r="C325" s="1" t="n">
        <v>46065</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43230-2023</t>
        </is>
      </c>
      <c r="B326" s="1" t="n">
        <v>45183</v>
      </c>
      <c r="C326" s="1" t="n">
        <v>46065</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6242-2025</t>
        </is>
      </c>
      <c r="B327" s="1" t="n">
        <v>45697</v>
      </c>
      <c r="C327" s="1" t="n">
        <v>46065</v>
      </c>
      <c r="D327" t="inlineStr">
        <is>
          <t>UPPSALA LÄN</t>
        </is>
      </c>
      <c r="E327" t="inlineStr">
        <is>
          <t>ENKÖPING</t>
        </is>
      </c>
      <c r="G327" t="n">
        <v>17.9</v>
      </c>
      <c r="H327" t="n">
        <v>0</v>
      </c>
      <c r="I327" t="n">
        <v>0</v>
      </c>
      <c r="J327" t="n">
        <v>0</v>
      </c>
      <c r="K327" t="n">
        <v>0</v>
      </c>
      <c r="L327" t="n">
        <v>0</v>
      </c>
      <c r="M327" t="n">
        <v>0</v>
      </c>
      <c r="N327" t="n">
        <v>0</v>
      </c>
      <c r="O327" t="n">
        <v>0</v>
      </c>
      <c r="P327" t="n">
        <v>0</v>
      </c>
      <c r="Q327" t="n">
        <v>0</v>
      </c>
      <c r="R327" s="2" t="inlineStr"/>
    </row>
    <row r="328" ht="15" customHeight="1">
      <c r="A328" t="inlineStr">
        <is>
          <t>A 56886-2023</t>
        </is>
      </c>
      <c r="B328" s="1" t="n">
        <v>45239</v>
      </c>
      <c r="C328" s="1" t="n">
        <v>46065</v>
      </c>
      <c r="D328" t="inlineStr">
        <is>
          <t>UPPSALA LÄN</t>
        </is>
      </c>
      <c r="E328" t="inlineStr">
        <is>
          <t>ENKÖPING</t>
        </is>
      </c>
      <c r="G328" t="n">
        <v>2</v>
      </c>
      <c r="H328" t="n">
        <v>0</v>
      </c>
      <c r="I328" t="n">
        <v>0</v>
      </c>
      <c r="J328" t="n">
        <v>0</v>
      </c>
      <c r="K328" t="n">
        <v>0</v>
      </c>
      <c r="L328" t="n">
        <v>0</v>
      </c>
      <c r="M328" t="n">
        <v>0</v>
      </c>
      <c r="N328" t="n">
        <v>0</v>
      </c>
      <c r="O328" t="n">
        <v>0</v>
      </c>
      <c r="P328" t="n">
        <v>0</v>
      </c>
      <c r="Q328" t="n">
        <v>0</v>
      </c>
      <c r="R328" s="2" t="inlineStr"/>
    </row>
    <row r="329" ht="15" customHeight="1">
      <c r="A329" t="inlineStr">
        <is>
          <t>A 21017-2023</t>
        </is>
      </c>
      <c r="B329" s="1" t="n">
        <v>45061</v>
      </c>
      <c r="C329" s="1" t="n">
        <v>46065</v>
      </c>
      <c r="D329" t="inlineStr">
        <is>
          <t>UPPSALA LÄN</t>
        </is>
      </c>
      <c r="E329" t="inlineStr">
        <is>
          <t>ENKÖPING</t>
        </is>
      </c>
      <c r="G329" t="n">
        <v>4.8</v>
      </c>
      <c r="H329" t="n">
        <v>0</v>
      </c>
      <c r="I329" t="n">
        <v>0</v>
      </c>
      <c r="J329" t="n">
        <v>0</v>
      </c>
      <c r="K329" t="n">
        <v>0</v>
      </c>
      <c r="L329" t="n">
        <v>0</v>
      </c>
      <c r="M329" t="n">
        <v>0</v>
      </c>
      <c r="N329" t="n">
        <v>0</v>
      </c>
      <c r="O329" t="n">
        <v>0</v>
      </c>
      <c r="P329" t="n">
        <v>0</v>
      </c>
      <c r="Q329" t="n">
        <v>0</v>
      </c>
      <c r="R329" s="2" t="inlineStr"/>
    </row>
    <row r="330" ht="15" customHeight="1">
      <c r="A330" t="inlineStr">
        <is>
          <t>A 6144-2024</t>
        </is>
      </c>
      <c r="B330" s="1" t="n">
        <v>45337.4684837963</v>
      </c>
      <c r="C330" s="1" t="n">
        <v>46065</v>
      </c>
      <c r="D330" t="inlineStr">
        <is>
          <t>UPPSALA LÄN</t>
        </is>
      </c>
      <c r="E330" t="inlineStr">
        <is>
          <t>ENKÖPING</t>
        </is>
      </c>
      <c r="G330" t="n">
        <v>13.8</v>
      </c>
      <c r="H330" t="n">
        <v>0</v>
      </c>
      <c r="I330" t="n">
        <v>0</v>
      </c>
      <c r="J330" t="n">
        <v>0</v>
      </c>
      <c r="K330" t="n">
        <v>0</v>
      </c>
      <c r="L330" t="n">
        <v>0</v>
      </c>
      <c r="M330" t="n">
        <v>0</v>
      </c>
      <c r="N330" t="n">
        <v>0</v>
      </c>
      <c r="O330" t="n">
        <v>0</v>
      </c>
      <c r="P330" t="n">
        <v>0</v>
      </c>
      <c r="Q330" t="n">
        <v>0</v>
      </c>
      <c r="R330" s="2" t="inlineStr"/>
    </row>
    <row r="331" ht="15" customHeight="1">
      <c r="A331" t="inlineStr">
        <is>
          <t>A 67984-2021</t>
        </is>
      </c>
      <c r="B331" s="1" t="n">
        <v>44525.70237268518</v>
      </c>
      <c r="C331" s="1" t="n">
        <v>46065</v>
      </c>
      <c r="D331" t="inlineStr">
        <is>
          <t>UPPSALA LÄN</t>
        </is>
      </c>
      <c r="E331" t="inlineStr">
        <is>
          <t>ENKÖPING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3550-2023</t>
        </is>
      </c>
      <c r="B332" s="1" t="n">
        <v>44950</v>
      </c>
      <c r="C332" s="1" t="n">
        <v>46065</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51011-2024</t>
        </is>
      </c>
      <c r="B333" s="1" t="n">
        <v>45603.39427083333</v>
      </c>
      <c r="C333" s="1" t="n">
        <v>46065</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56176-2021</t>
        </is>
      </c>
      <c r="B334" s="1" t="n">
        <v>44477</v>
      </c>
      <c r="C334" s="1" t="n">
        <v>46065</v>
      </c>
      <c r="D334" t="inlineStr">
        <is>
          <t>UPPSALA LÄN</t>
        </is>
      </c>
      <c r="E334" t="inlineStr">
        <is>
          <t>ENKÖPING</t>
        </is>
      </c>
      <c r="G334" t="n">
        <v>2.9</v>
      </c>
      <c r="H334" t="n">
        <v>0</v>
      </c>
      <c r="I334" t="n">
        <v>0</v>
      </c>
      <c r="J334" t="n">
        <v>0</v>
      </c>
      <c r="K334" t="n">
        <v>0</v>
      </c>
      <c r="L334" t="n">
        <v>0</v>
      </c>
      <c r="M334" t="n">
        <v>0</v>
      </c>
      <c r="N334" t="n">
        <v>0</v>
      </c>
      <c r="O334" t="n">
        <v>0</v>
      </c>
      <c r="P334" t="n">
        <v>0</v>
      </c>
      <c r="Q334" t="n">
        <v>0</v>
      </c>
      <c r="R334" s="2" t="inlineStr"/>
    </row>
    <row r="335" ht="15" customHeight="1">
      <c r="A335" t="inlineStr">
        <is>
          <t>A 26292-2022</t>
        </is>
      </c>
      <c r="B335" s="1" t="n">
        <v>44735</v>
      </c>
      <c r="C335" s="1" t="n">
        <v>46065</v>
      </c>
      <c r="D335" t="inlineStr">
        <is>
          <t>UPPSALA LÄN</t>
        </is>
      </c>
      <c r="E335" t="inlineStr">
        <is>
          <t>ENKÖPING</t>
        </is>
      </c>
      <c r="F335" t="inlineStr">
        <is>
          <t>Kyrkan</t>
        </is>
      </c>
      <c r="G335" t="n">
        <v>4.6</v>
      </c>
      <c r="H335" t="n">
        <v>0</v>
      </c>
      <c r="I335" t="n">
        <v>0</v>
      </c>
      <c r="J335" t="n">
        <v>0</v>
      </c>
      <c r="K335" t="n">
        <v>0</v>
      </c>
      <c r="L335" t="n">
        <v>0</v>
      </c>
      <c r="M335" t="n">
        <v>0</v>
      </c>
      <c r="N335" t="n">
        <v>0</v>
      </c>
      <c r="O335" t="n">
        <v>0</v>
      </c>
      <c r="P335" t="n">
        <v>0</v>
      </c>
      <c r="Q335" t="n">
        <v>0</v>
      </c>
      <c r="R335" s="2" t="inlineStr"/>
    </row>
    <row r="336" ht="15" customHeight="1">
      <c r="A336" t="inlineStr">
        <is>
          <t>A 18592-2021</t>
        </is>
      </c>
      <c r="B336" s="1" t="n">
        <v>44306</v>
      </c>
      <c r="C336" s="1" t="n">
        <v>46065</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11918-2025</t>
        </is>
      </c>
      <c r="B337" s="1" t="n">
        <v>45728.49331018519</v>
      </c>
      <c r="C337" s="1" t="n">
        <v>46065</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61207-2023</t>
        </is>
      </c>
      <c r="B338" s="1" t="n">
        <v>45264.39444444444</v>
      </c>
      <c r="C338" s="1" t="n">
        <v>46065</v>
      </c>
      <c r="D338" t="inlineStr">
        <is>
          <t>UPPSALA LÄN</t>
        </is>
      </c>
      <c r="E338" t="inlineStr">
        <is>
          <t>ENKÖPING</t>
        </is>
      </c>
      <c r="G338" t="n">
        <v>10.8</v>
      </c>
      <c r="H338" t="n">
        <v>0</v>
      </c>
      <c r="I338" t="n">
        <v>0</v>
      </c>
      <c r="J338" t="n">
        <v>0</v>
      </c>
      <c r="K338" t="n">
        <v>0</v>
      </c>
      <c r="L338" t="n">
        <v>0</v>
      </c>
      <c r="M338" t="n">
        <v>0</v>
      </c>
      <c r="N338" t="n">
        <v>0</v>
      </c>
      <c r="O338" t="n">
        <v>0</v>
      </c>
      <c r="P338" t="n">
        <v>0</v>
      </c>
      <c r="Q338" t="n">
        <v>0</v>
      </c>
      <c r="R338" s="2" t="inlineStr"/>
    </row>
    <row r="339" ht="15" customHeight="1">
      <c r="A339" t="inlineStr">
        <is>
          <t>A 43896-2022</t>
        </is>
      </c>
      <c r="B339" s="1" t="n">
        <v>44838</v>
      </c>
      <c r="C339" s="1" t="n">
        <v>46065</v>
      </c>
      <c r="D339" t="inlineStr">
        <is>
          <t>UPPSALA LÄN</t>
        </is>
      </c>
      <c r="E339" t="inlineStr">
        <is>
          <t>ENKÖPING</t>
        </is>
      </c>
      <c r="G339" t="n">
        <v>5.3</v>
      </c>
      <c r="H339" t="n">
        <v>0</v>
      </c>
      <c r="I339" t="n">
        <v>0</v>
      </c>
      <c r="J339" t="n">
        <v>0</v>
      </c>
      <c r="K339" t="n">
        <v>0</v>
      </c>
      <c r="L339" t="n">
        <v>0</v>
      </c>
      <c r="M339" t="n">
        <v>0</v>
      </c>
      <c r="N339" t="n">
        <v>0</v>
      </c>
      <c r="O339" t="n">
        <v>0</v>
      </c>
      <c r="P339" t="n">
        <v>0</v>
      </c>
      <c r="Q339" t="n">
        <v>0</v>
      </c>
      <c r="R339" s="2" t="inlineStr"/>
    </row>
    <row r="340" ht="15" customHeight="1">
      <c r="A340" t="inlineStr">
        <is>
          <t>A 840-2025</t>
        </is>
      </c>
      <c r="B340" s="1" t="n">
        <v>45665</v>
      </c>
      <c r="C340" s="1" t="n">
        <v>46065</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20440-2025</t>
        </is>
      </c>
      <c r="B341" s="1" t="n">
        <v>45775</v>
      </c>
      <c r="C341" s="1" t="n">
        <v>46065</v>
      </c>
      <c r="D341" t="inlineStr">
        <is>
          <t>UPPSALA LÄN</t>
        </is>
      </c>
      <c r="E341" t="inlineStr">
        <is>
          <t>ENKÖPING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10458-2022</t>
        </is>
      </c>
      <c r="B342" s="1" t="n">
        <v>44623.56711805556</v>
      </c>
      <c r="C342" s="1" t="n">
        <v>46065</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45142-2023</t>
        </is>
      </c>
      <c r="B343" s="1" t="n">
        <v>45191.4702662037</v>
      </c>
      <c r="C343" s="1" t="n">
        <v>46065</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57998-2024</t>
        </is>
      </c>
      <c r="B344" s="1" t="n">
        <v>45631</v>
      </c>
      <c r="C344" s="1" t="n">
        <v>46065</v>
      </c>
      <c r="D344" t="inlineStr">
        <is>
          <t>UPPSALA LÄN</t>
        </is>
      </c>
      <c r="E344" t="inlineStr">
        <is>
          <t>ENKÖPING</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41737-2022</t>
        </is>
      </c>
      <c r="B345" s="1" t="n">
        <v>44827.63826388889</v>
      </c>
      <c r="C345" s="1" t="n">
        <v>46065</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14332-2024</t>
        </is>
      </c>
      <c r="B346" s="1" t="n">
        <v>45393</v>
      </c>
      <c r="C346" s="1" t="n">
        <v>46065</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18831-2023</t>
        </is>
      </c>
      <c r="B347" s="1" t="n">
        <v>45044.40798611111</v>
      </c>
      <c r="C347" s="1" t="n">
        <v>46065</v>
      </c>
      <c r="D347" t="inlineStr">
        <is>
          <t>UPPSALA LÄN</t>
        </is>
      </c>
      <c r="E347" t="inlineStr">
        <is>
          <t>ENKÖPING</t>
        </is>
      </c>
      <c r="G347" t="n">
        <v>4.3</v>
      </c>
      <c r="H347" t="n">
        <v>0</v>
      </c>
      <c r="I347" t="n">
        <v>0</v>
      </c>
      <c r="J347" t="n">
        <v>0</v>
      </c>
      <c r="K347" t="n">
        <v>0</v>
      </c>
      <c r="L347" t="n">
        <v>0</v>
      </c>
      <c r="M347" t="n">
        <v>0</v>
      </c>
      <c r="N347" t="n">
        <v>0</v>
      </c>
      <c r="O347" t="n">
        <v>0</v>
      </c>
      <c r="P347" t="n">
        <v>0</v>
      </c>
      <c r="Q347" t="n">
        <v>0</v>
      </c>
      <c r="R347" s="2" t="inlineStr"/>
    </row>
    <row r="348" ht="15" customHeight="1">
      <c r="A348" t="inlineStr">
        <is>
          <t>A 12102-2024</t>
        </is>
      </c>
      <c r="B348" s="1" t="n">
        <v>45377</v>
      </c>
      <c r="C348" s="1" t="n">
        <v>46065</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54595-2021</t>
        </is>
      </c>
      <c r="B349" s="1" t="n">
        <v>44473.58824074074</v>
      </c>
      <c r="C349" s="1" t="n">
        <v>46065</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22094-2023</t>
        </is>
      </c>
      <c r="B350" s="1" t="n">
        <v>45069</v>
      </c>
      <c r="C350" s="1" t="n">
        <v>46065</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69344-2021</t>
        </is>
      </c>
      <c r="B351" s="1" t="n">
        <v>44531</v>
      </c>
      <c r="C351" s="1" t="n">
        <v>46065</v>
      </c>
      <c r="D351" t="inlineStr">
        <is>
          <t>UPPSALA LÄN</t>
        </is>
      </c>
      <c r="E351" t="inlineStr">
        <is>
          <t>ENKÖPING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58961-2024</t>
        </is>
      </c>
      <c r="B352" s="1" t="n">
        <v>45636.585</v>
      </c>
      <c r="C352" s="1" t="n">
        <v>46065</v>
      </c>
      <c r="D352" t="inlineStr">
        <is>
          <t>UPPSALA LÄN</t>
        </is>
      </c>
      <c r="E352" t="inlineStr">
        <is>
          <t>ENKÖPING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45283-2022</t>
        </is>
      </c>
      <c r="B353" s="1" t="n">
        <v>44844</v>
      </c>
      <c r="C353" s="1" t="n">
        <v>46065</v>
      </c>
      <c r="D353" t="inlineStr">
        <is>
          <t>UPPSALA LÄN</t>
        </is>
      </c>
      <c r="E353" t="inlineStr">
        <is>
          <t>ENKÖPING</t>
        </is>
      </c>
      <c r="G353" t="n">
        <v>5.9</v>
      </c>
      <c r="H353" t="n">
        <v>0</v>
      </c>
      <c r="I353" t="n">
        <v>0</v>
      </c>
      <c r="J353" t="n">
        <v>0</v>
      </c>
      <c r="K353" t="n">
        <v>0</v>
      </c>
      <c r="L353" t="n">
        <v>0</v>
      </c>
      <c r="M353" t="n">
        <v>0</v>
      </c>
      <c r="N353" t="n">
        <v>0</v>
      </c>
      <c r="O353" t="n">
        <v>0</v>
      </c>
      <c r="P353" t="n">
        <v>0</v>
      </c>
      <c r="Q353" t="n">
        <v>0</v>
      </c>
      <c r="R353" s="2" t="inlineStr"/>
    </row>
    <row r="354" ht="15" customHeight="1">
      <c r="A354" t="inlineStr">
        <is>
          <t>A 845-2025</t>
        </is>
      </c>
      <c r="B354" s="1" t="n">
        <v>45665</v>
      </c>
      <c r="C354" s="1" t="n">
        <v>46065</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849-2025</t>
        </is>
      </c>
      <c r="B355" s="1" t="n">
        <v>45665</v>
      </c>
      <c r="C355" s="1" t="n">
        <v>46065</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33581-2023</t>
        </is>
      </c>
      <c r="B356" s="1" t="n">
        <v>45131</v>
      </c>
      <c r="C356" s="1" t="n">
        <v>46065</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37115-2024</t>
        </is>
      </c>
      <c r="B357" s="1" t="n">
        <v>45539</v>
      </c>
      <c r="C357" s="1" t="n">
        <v>46065</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1960-2022</t>
        </is>
      </c>
      <c r="B358" s="1" t="n">
        <v>44575</v>
      </c>
      <c r="C358" s="1" t="n">
        <v>46065</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18028-2023</t>
        </is>
      </c>
      <c r="B359" s="1" t="n">
        <v>45040</v>
      </c>
      <c r="C359" s="1" t="n">
        <v>46065</v>
      </c>
      <c r="D359" t="inlineStr">
        <is>
          <t>UPPSALA LÄN</t>
        </is>
      </c>
      <c r="E359" t="inlineStr">
        <is>
          <t>ENKÖPING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58147-2024</t>
        </is>
      </c>
      <c r="B360" s="1" t="n">
        <v>45632.4334375</v>
      </c>
      <c r="C360" s="1" t="n">
        <v>46065</v>
      </c>
      <c r="D360" t="inlineStr">
        <is>
          <t>UPPSALA LÄN</t>
        </is>
      </c>
      <c r="E360" t="inlineStr">
        <is>
          <t>ENKÖPING</t>
        </is>
      </c>
      <c r="G360" t="n">
        <v>3</v>
      </c>
      <c r="H360" t="n">
        <v>0</v>
      </c>
      <c r="I360" t="n">
        <v>0</v>
      </c>
      <c r="J360" t="n">
        <v>0</v>
      </c>
      <c r="K360" t="n">
        <v>0</v>
      </c>
      <c r="L360" t="n">
        <v>0</v>
      </c>
      <c r="M360" t="n">
        <v>0</v>
      </c>
      <c r="N360" t="n">
        <v>0</v>
      </c>
      <c r="O360" t="n">
        <v>0</v>
      </c>
      <c r="P360" t="n">
        <v>0</v>
      </c>
      <c r="Q360" t="n">
        <v>0</v>
      </c>
      <c r="R360" s="2" t="inlineStr"/>
    </row>
    <row r="361" ht="15" customHeight="1">
      <c r="A361" t="inlineStr">
        <is>
          <t>A 49568-2022</t>
        </is>
      </c>
      <c r="B361" s="1" t="n">
        <v>44862.32791666667</v>
      </c>
      <c r="C361" s="1" t="n">
        <v>46065</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42459-2024</t>
        </is>
      </c>
      <c r="B362" s="1" t="n">
        <v>45565</v>
      </c>
      <c r="C362" s="1" t="n">
        <v>46065</v>
      </c>
      <c r="D362" t="inlineStr">
        <is>
          <t>UPPSALA LÄN</t>
        </is>
      </c>
      <c r="E362" t="inlineStr">
        <is>
          <t>ENKÖPING</t>
        </is>
      </c>
      <c r="G362" t="n">
        <v>3.6</v>
      </c>
      <c r="H362" t="n">
        <v>0</v>
      </c>
      <c r="I362" t="n">
        <v>0</v>
      </c>
      <c r="J362" t="n">
        <v>0</v>
      </c>
      <c r="K362" t="n">
        <v>0</v>
      </c>
      <c r="L362" t="n">
        <v>0</v>
      </c>
      <c r="M362" t="n">
        <v>0</v>
      </c>
      <c r="N362" t="n">
        <v>0</v>
      </c>
      <c r="O362" t="n">
        <v>0</v>
      </c>
      <c r="P362" t="n">
        <v>0</v>
      </c>
      <c r="Q362" t="n">
        <v>0</v>
      </c>
      <c r="R362" s="2" t="inlineStr"/>
    </row>
    <row r="363" ht="15" customHeight="1">
      <c r="A363" t="inlineStr">
        <is>
          <t>A 18302-2025</t>
        </is>
      </c>
      <c r="B363" s="1" t="n">
        <v>45762</v>
      </c>
      <c r="C363" s="1" t="n">
        <v>46065</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48864-2022</t>
        </is>
      </c>
      <c r="B364" s="1" t="n">
        <v>44859</v>
      </c>
      <c r="C364" s="1" t="n">
        <v>46065</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31622-2022</t>
        </is>
      </c>
      <c r="B365" s="1" t="n">
        <v>44775</v>
      </c>
      <c r="C365" s="1" t="n">
        <v>46065</v>
      </c>
      <c r="D365" t="inlineStr">
        <is>
          <t>UPPSALA LÄN</t>
        </is>
      </c>
      <c r="E365" t="inlineStr">
        <is>
          <t>ENKÖPING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34735-2023</t>
        </is>
      </c>
      <c r="B366" s="1" t="n">
        <v>45139</v>
      </c>
      <c r="C366" s="1" t="n">
        <v>46065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30514-2021</t>
        </is>
      </c>
      <c r="B367" s="1" t="n">
        <v>44364</v>
      </c>
      <c r="C367" s="1" t="n">
        <v>46065</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39746-2025</t>
        </is>
      </c>
      <c r="B368" s="1" t="n">
        <v>45891</v>
      </c>
      <c r="C368" s="1" t="n">
        <v>46065</v>
      </c>
      <c r="D368" t="inlineStr">
        <is>
          <t>UPPSALA LÄN</t>
        </is>
      </c>
      <c r="E368" t="inlineStr">
        <is>
          <t>ENKÖPING</t>
        </is>
      </c>
      <c r="G368" t="n">
        <v>7.4</v>
      </c>
      <c r="H368" t="n">
        <v>0</v>
      </c>
      <c r="I368" t="n">
        <v>0</v>
      </c>
      <c r="J368" t="n">
        <v>0</v>
      </c>
      <c r="K368" t="n">
        <v>0</v>
      </c>
      <c r="L368" t="n">
        <v>0</v>
      </c>
      <c r="M368" t="n">
        <v>0</v>
      </c>
      <c r="N368" t="n">
        <v>0</v>
      </c>
      <c r="O368" t="n">
        <v>0</v>
      </c>
      <c r="P368" t="n">
        <v>0</v>
      </c>
      <c r="Q368" t="n">
        <v>0</v>
      </c>
      <c r="R368" s="2" t="inlineStr"/>
    </row>
    <row r="369" ht="15" customHeight="1">
      <c r="A369" t="inlineStr">
        <is>
          <t>A 57209-2024</t>
        </is>
      </c>
      <c r="B369" s="1" t="n">
        <v>45629.49311342592</v>
      </c>
      <c r="C369" s="1" t="n">
        <v>46065</v>
      </c>
      <c r="D369" t="inlineStr">
        <is>
          <t>UPPSALA LÄN</t>
        </is>
      </c>
      <c r="E369" t="inlineStr">
        <is>
          <t>ENKÖPING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13110-2023</t>
        </is>
      </c>
      <c r="B370" s="1" t="n">
        <v>45001</v>
      </c>
      <c r="C370" s="1" t="n">
        <v>46065</v>
      </c>
      <c r="D370" t="inlineStr">
        <is>
          <t>UPPSALA LÄN</t>
        </is>
      </c>
      <c r="E370" t="inlineStr">
        <is>
          <t>ENKÖPING</t>
        </is>
      </c>
      <c r="G370" t="n">
        <v>2.5</v>
      </c>
      <c r="H370" t="n">
        <v>0</v>
      </c>
      <c r="I370" t="n">
        <v>0</v>
      </c>
      <c r="J370" t="n">
        <v>0</v>
      </c>
      <c r="K370" t="n">
        <v>0</v>
      </c>
      <c r="L370" t="n">
        <v>0</v>
      </c>
      <c r="M370" t="n">
        <v>0</v>
      </c>
      <c r="N370" t="n">
        <v>0</v>
      </c>
      <c r="O370" t="n">
        <v>0</v>
      </c>
      <c r="P370" t="n">
        <v>0</v>
      </c>
      <c r="Q370" t="n">
        <v>0</v>
      </c>
      <c r="R370" s="2" t="inlineStr"/>
    </row>
    <row r="371" ht="15" customHeight="1">
      <c r="A371" t="inlineStr">
        <is>
          <t>A 49627-2024</t>
        </is>
      </c>
      <c r="B371" s="1" t="n">
        <v>45596.59140046296</v>
      </c>
      <c r="C371" s="1" t="n">
        <v>46065</v>
      </c>
      <c r="D371" t="inlineStr">
        <is>
          <t>UPPSALA LÄN</t>
        </is>
      </c>
      <c r="E371" t="inlineStr">
        <is>
          <t>ENKÖPING</t>
        </is>
      </c>
      <c r="G371" t="n">
        <v>0.4</v>
      </c>
      <c r="H371" t="n">
        <v>0</v>
      </c>
      <c r="I371" t="n">
        <v>0</v>
      </c>
      <c r="J371" t="n">
        <v>0</v>
      </c>
      <c r="K371" t="n">
        <v>0</v>
      </c>
      <c r="L371" t="n">
        <v>0</v>
      </c>
      <c r="M371" t="n">
        <v>0</v>
      </c>
      <c r="N371" t="n">
        <v>0</v>
      </c>
      <c r="O371" t="n">
        <v>0</v>
      </c>
      <c r="P371" t="n">
        <v>0</v>
      </c>
      <c r="Q371" t="n">
        <v>0</v>
      </c>
      <c r="R371" s="2" t="inlineStr"/>
    </row>
    <row r="372" ht="15" customHeight="1">
      <c r="A372" t="inlineStr">
        <is>
          <t>A 9231-2023</t>
        </is>
      </c>
      <c r="B372" s="1" t="n">
        <v>44980</v>
      </c>
      <c r="C372" s="1" t="n">
        <v>46065</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27538-2023</t>
        </is>
      </c>
      <c r="B373" s="1" t="n">
        <v>45097</v>
      </c>
      <c r="C373" s="1" t="n">
        <v>46065</v>
      </c>
      <c r="D373" t="inlineStr">
        <is>
          <t>UPPSALA LÄN</t>
        </is>
      </c>
      <c r="E373" t="inlineStr">
        <is>
          <t>ENKÖPING</t>
        </is>
      </c>
      <c r="G373" t="n">
        <v>5.8</v>
      </c>
      <c r="H373" t="n">
        <v>0</v>
      </c>
      <c r="I373" t="n">
        <v>0</v>
      </c>
      <c r="J373" t="n">
        <v>0</v>
      </c>
      <c r="K373" t="n">
        <v>0</v>
      </c>
      <c r="L373" t="n">
        <v>0</v>
      </c>
      <c r="M373" t="n">
        <v>0</v>
      </c>
      <c r="N373" t="n">
        <v>0</v>
      </c>
      <c r="O373" t="n">
        <v>0</v>
      </c>
      <c r="P373" t="n">
        <v>0</v>
      </c>
      <c r="Q373" t="n">
        <v>0</v>
      </c>
      <c r="R373" s="2" t="inlineStr"/>
    </row>
    <row r="374" ht="15" customHeight="1">
      <c r="A374" t="inlineStr">
        <is>
          <t>A 41618-2025</t>
        </is>
      </c>
      <c r="B374" s="1" t="n">
        <v>45901.70085648148</v>
      </c>
      <c r="C374" s="1" t="n">
        <v>46065</v>
      </c>
      <c r="D374" t="inlineStr">
        <is>
          <t>UPPSALA LÄN</t>
        </is>
      </c>
      <c r="E374" t="inlineStr">
        <is>
          <t>ENKÖPING</t>
        </is>
      </c>
      <c r="F374" t="inlineStr">
        <is>
          <t>Allmännings- och besparingsskogar</t>
        </is>
      </c>
      <c r="G374" t="n">
        <v>5.3</v>
      </c>
      <c r="H374" t="n">
        <v>0</v>
      </c>
      <c r="I374" t="n">
        <v>0</v>
      </c>
      <c r="J374" t="n">
        <v>0</v>
      </c>
      <c r="K374" t="n">
        <v>0</v>
      </c>
      <c r="L374" t="n">
        <v>0</v>
      </c>
      <c r="M374" t="n">
        <v>0</v>
      </c>
      <c r="N374" t="n">
        <v>0</v>
      </c>
      <c r="O374" t="n">
        <v>0</v>
      </c>
      <c r="P374" t="n">
        <v>0</v>
      </c>
      <c r="Q374" t="n">
        <v>0</v>
      </c>
      <c r="R374" s="2" t="inlineStr"/>
    </row>
    <row r="375" ht="15" customHeight="1">
      <c r="A375" t="inlineStr">
        <is>
          <t>A 18821-2023</t>
        </is>
      </c>
      <c r="B375" s="1" t="n">
        <v>45044.3782175926</v>
      </c>
      <c r="C375" s="1" t="n">
        <v>46065</v>
      </c>
      <c r="D375" t="inlineStr">
        <is>
          <t>UPPSALA LÄN</t>
        </is>
      </c>
      <c r="E375" t="inlineStr">
        <is>
          <t>ENKÖPING</t>
        </is>
      </c>
      <c r="G375" t="n">
        <v>6</v>
      </c>
      <c r="H375" t="n">
        <v>0</v>
      </c>
      <c r="I375" t="n">
        <v>0</v>
      </c>
      <c r="J375" t="n">
        <v>0</v>
      </c>
      <c r="K375" t="n">
        <v>0</v>
      </c>
      <c r="L375" t="n">
        <v>0</v>
      </c>
      <c r="M375" t="n">
        <v>0</v>
      </c>
      <c r="N375" t="n">
        <v>0</v>
      </c>
      <c r="O375" t="n">
        <v>0</v>
      </c>
      <c r="P375" t="n">
        <v>0</v>
      </c>
      <c r="Q375" t="n">
        <v>0</v>
      </c>
      <c r="R375" s="2" t="inlineStr"/>
    </row>
    <row r="376" ht="15" customHeight="1">
      <c r="A376" t="inlineStr">
        <is>
          <t>A 52380-2024</t>
        </is>
      </c>
      <c r="B376" s="1" t="n">
        <v>45609</v>
      </c>
      <c r="C376" s="1" t="n">
        <v>46065</v>
      </c>
      <c r="D376" t="inlineStr">
        <is>
          <t>UPPSALA LÄN</t>
        </is>
      </c>
      <c r="E376" t="inlineStr">
        <is>
          <t>ENKÖPING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41765-2025</t>
        </is>
      </c>
      <c r="B377" s="1" t="n">
        <v>45902</v>
      </c>
      <c r="C377" s="1" t="n">
        <v>46065</v>
      </c>
      <c r="D377" t="inlineStr">
        <is>
          <t>UPPSALA LÄN</t>
        </is>
      </c>
      <c r="E377" t="inlineStr">
        <is>
          <t>ENKÖPING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9041-2023</t>
        </is>
      </c>
      <c r="B378" s="1" t="n">
        <v>44979</v>
      </c>
      <c r="C378" s="1" t="n">
        <v>46065</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41616-2025</t>
        </is>
      </c>
      <c r="B379" s="1" t="n">
        <v>45901.69684027778</v>
      </c>
      <c r="C379" s="1" t="n">
        <v>46065</v>
      </c>
      <c r="D379" t="inlineStr">
        <is>
          <t>UPPSALA LÄN</t>
        </is>
      </c>
      <c r="E379" t="inlineStr">
        <is>
          <t>ENKÖPING</t>
        </is>
      </c>
      <c r="F379" t="inlineStr">
        <is>
          <t>Allmännings- och besparingsskogar</t>
        </is>
      </c>
      <c r="G379" t="n">
        <v>17.3</v>
      </c>
      <c r="H379" t="n">
        <v>0</v>
      </c>
      <c r="I379" t="n">
        <v>0</v>
      </c>
      <c r="J379" t="n">
        <v>0</v>
      </c>
      <c r="K379" t="n">
        <v>0</v>
      </c>
      <c r="L379" t="n">
        <v>0</v>
      </c>
      <c r="M379" t="n">
        <v>0</v>
      </c>
      <c r="N379" t="n">
        <v>0</v>
      </c>
      <c r="O379" t="n">
        <v>0</v>
      </c>
      <c r="P379" t="n">
        <v>0</v>
      </c>
      <c r="Q379" t="n">
        <v>0</v>
      </c>
      <c r="R379" s="2" t="inlineStr"/>
    </row>
    <row r="380" ht="15" customHeight="1">
      <c r="A380" t="inlineStr">
        <is>
          <t>A 27786-2023</t>
        </is>
      </c>
      <c r="B380" s="1" t="n">
        <v>45098</v>
      </c>
      <c r="C380" s="1" t="n">
        <v>46065</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41637-2025</t>
        </is>
      </c>
      <c r="B381" s="1" t="n">
        <v>45901</v>
      </c>
      <c r="C381" s="1" t="n">
        <v>46065</v>
      </c>
      <c r="D381" t="inlineStr">
        <is>
          <t>UPPSALA LÄN</t>
        </is>
      </c>
      <c r="E381" t="inlineStr">
        <is>
          <t>ENKÖPING</t>
        </is>
      </c>
      <c r="F381" t="inlineStr">
        <is>
          <t>Allmännings- och besparingsskogar</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47516-2022</t>
        </is>
      </c>
      <c r="B382" s="1" t="n">
        <v>44853.68895833333</v>
      </c>
      <c r="C382" s="1" t="n">
        <v>46065</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15942-2022</t>
        </is>
      </c>
      <c r="B383" s="1" t="n">
        <v>44664</v>
      </c>
      <c r="C383" s="1" t="n">
        <v>46065</v>
      </c>
      <c r="D383" t="inlineStr">
        <is>
          <t>UPPSALA LÄN</t>
        </is>
      </c>
      <c r="E383" t="inlineStr">
        <is>
          <t>ENKÖPING</t>
        </is>
      </c>
      <c r="G383" t="n">
        <v>6.6</v>
      </c>
      <c r="H383" t="n">
        <v>0</v>
      </c>
      <c r="I383" t="n">
        <v>0</v>
      </c>
      <c r="J383" t="n">
        <v>0</v>
      </c>
      <c r="K383" t="n">
        <v>0</v>
      </c>
      <c r="L383" t="n">
        <v>0</v>
      </c>
      <c r="M383" t="n">
        <v>0</v>
      </c>
      <c r="N383" t="n">
        <v>0</v>
      </c>
      <c r="O383" t="n">
        <v>0</v>
      </c>
      <c r="P383" t="n">
        <v>0</v>
      </c>
      <c r="Q383" t="n">
        <v>0</v>
      </c>
      <c r="R383" s="2" t="inlineStr"/>
    </row>
    <row r="384" ht="15" customHeight="1">
      <c r="A384" t="inlineStr">
        <is>
          <t>A 42029-2025</t>
        </is>
      </c>
      <c r="B384" s="1" t="n">
        <v>45903</v>
      </c>
      <c r="C384" s="1" t="n">
        <v>46065</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50006-2023</t>
        </is>
      </c>
      <c r="B385" s="1" t="n">
        <v>45215</v>
      </c>
      <c r="C385" s="1" t="n">
        <v>46065</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42756-2025</t>
        </is>
      </c>
      <c r="B386" s="1" t="n">
        <v>45908</v>
      </c>
      <c r="C386" s="1" t="n">
        <v>46065</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53607-2023</t>
        </is>
      </c>
      <c r="B387" s="1" t="n">
        <v>45230</v>
      </c>
      <c r="C387" s="1" t="n">
        <v>46065</v>
      </c>
      <c r="D387" t="inlineStr">
        <is>
          <t>UPPSALA LÄN</t>
        </is>
      </c>
      <c r="E387" t="inlineStr">
        <is>
          <t>ENKÖPING</t>
        </is>
      </c>
      <c r="F387" t="inlineStr">
        <is>
          <t>Allmännings- och besparingsskogar</t>
        </is>
      </c>
      <c r="G387" t="n">
        <v>6.3</v>
      </c>
      <c r="H387" t="n">
        <v>0</v>
      </c>
      <c r="I387" t="n">
        <v>0</v>
      </c>
      <c r="J387" t="n">
        <v>0</v>
      </c>
      <c r="K387" t="n">
        <v>0</v>
      </c>
      <c r="L387" t="n">
        <v>0</v>
      </c>
      <c r="M387" t="n">
        <v>0</v>
      </c>
      <c r="N387" t="n">
        <v>0</v>
      </c>
      <c r="O387" t="n">
        <v>0</v>
      </c>
      <c r="P387" t="n">
        <v>0</v>
      </c>
      <c r="Q387" t="n">
        <v>0</v>
      </c>
      <c r="R387" s="2" t="inlineStr"/>
    </row>
    <row r="388" ht="15" customHeight="1">
      <c r="A388" t="inlineStr">
        <is>
          <t>A 59497-2022</t>
        </is>
      </c>
      <c r="B388" s="1" t="n">
        <v>44907.48258101852</v>
      </c>
      <c r="C388" s="1" t="n">
        <v>46065</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41764-2025</t>
        </is>
      </c>
      <c r="B389" s="1" t="n">
        <v>45902</v>
      </c>
      <c r="C389" s="1" t="n">
        <v>46065</v>
      </c>
      <c r="D389" t="inlineStr">
        <is>
          <t>UPPSALA LÄN</t>
        </is>
      </c>
      <c r="E389" t="inlineStr">
        <is>
          <t>ENKÖPING</t>
        </is>
      </c>
      <c r="G389" t="n">
        <v>2.7</v>
      </c>
      <c r="H389" t="n">
        <v>0</v>
      </c>
      <c r="I389" t="n">
        <v>0</v>
      </c>
      <c r="J389" t="n">
        <v>0</v>
      </c>
      <c r="K389" t="n">
        <v>0</v>
      </c>
      <c r="L389" t="n">
        <v>0</v>
      </c>
      <c r="M389" t="n">
        <v>0</v>
      </c>
      <c r="N389" t="n">
        <v>0</v>
      </c>
      <c r="O389" t="n">
        <v>0</v>
      </c>
      <c r="P389" t="n">
        <v>0</v>
      </c>
      <c r="Q389" t="n">
        <v>0</v>
      </c>
      <c r="R389" s="2" t="inlineStr"/>
    </row>
    <row r="390" ht="15" customHeight="1">
      <c r="A390" t="inlineStr">
        <is>
          <t>A 51042-2024</t>
        </is>
      </c>
      <c r="B390" s="1" t="n">
        <v>45603.4342824074</v>
      </c>
      <c r="C390" s="1" t="n">
        <v>46065</v>
      </c>
      <c r="D390" t="inlineStr">
        <is>
          <t>UPPSALA LÄN</t>
        </is>
      </c>
      <c r="E390" t="inlineStr">
        <is>
          <t>ENKÖPING</t>
        </is>
      </c>
      <c r="G390" t="n">
        <v>4.6</v>
      </c>
      <c r="H390" t="n">
        <v>0</v>
      </c>
      <c r="I390" t="n">
        <v>0</v>
      </c>
      <c r="J390" t="n">
        <v>0</v>
      </c>
      <c r="K390" t="n">
        <v>0</v>
      </c>
      <c r="L390" t="n">
        <v>0</v>
      </c>
      <c r="M390" t="n">
        <v>0</v>
      </c>
      <c r="N390" t="n">
        <v>0</v>
      </c>
      <c r="O390" t="n">
        <v>0</v>
      </c>
      <c r="P390" t="n">
        <v>0</v>
      </c>
      <c r="Q390" t="n">
        <v>0</v>
      </c>
      <c r="R390" s="2" t="inlineStr"/>
    </row>
    <row r="391" ht="15" customHeight="1">
      <c r="A391" t="inlineStr">
        <is>
          <t>A 22632-2025</t>
        </is>
      </c>
      <c r="B391" s="1" t="n">
        <v>45789.44361111111</v>
      </c>
      <c r="C391" s="1" t="n">
        <v>46065</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51037-2024</t>
        </is>
      </c>
      <c r="B392" s="1" t="n">
        <v>45603.43005787037</v>
      </c>
      <c r="C392" s="1" t="n">
        <v>46065</v>
      </c>
      <c r="D392" t="inlineStr">
        <is>
          <t>UPPSALA LÄN</t>
        </is>
      </c>
      <c r="E392" t="inlineStr">
        <is>
          <t>ENKÖPING</t>
        </is>
      </c>
      <c r="G392" t="n">
        <v>5.7</v>
      </c>
      <c r="H392" t="n">
        <v>0</v>
      </c>
      <c r="I392" t="n">
        <v>0</v>
      </c>
      <c r="J392" t="n">
        <v>0</v>
      </c>
      <c r="K392" t="n">
        <v>0</v>
      </c>
      <c r="L392" t="n">
        <v>0</v>
      </c>
      <c r="M392" t="n">
        <v>0</v>
      </c>
      <c r="N392" t="n">
        <v>0</v>
      </c>
      <c r="O392" t="n">
        <v>0</v>
      </c>
      <c r="P392" t="n">
        <v>0</v>
      </c>
      <c r="Q392" t="n">
        <v>0</v>
      </c>
      <c r="R392" s="2" t="inlineStr"/>
    </row>
    <row r="393" ht="15" customHeight="1">
      <c r="A393" t="inlineStr">
        <is>
          <t>A 49614-2024</t>
        </is>
      </c>
      <c r="B393" s="1" t="n">
        <v>45596.57716435185</v>
      </c>
      <c r="C393" s="1" t="n">
        <v>46065</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49632-2024</t>
        </is>
      </c>
      <c r="B394" s="1" t="n">
        <v>45596</v>
      </c>
      <c r="C394" s="1" t="n">
        <v>46065</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51027-2024</t>
        </is>
      </c>
      <c r="B395" s="1" t="n">
        <v>45603</v>
      </c>
      <c r="C395" s="1" t="n">
        <v>46065</v>
      </c>
      <c r="D395" t="inlineStr">
        <is>
          <t>UPPSALA LÄN</t>
        </is>
      </c>
      <c r="E395" t="inlineStr">
        <is>
          <t>ENKÖPING</t>
        </is>
      </c>
      <c r="G395" t="n">
        <v>3.5</v>
      </c>
      <c r="H395" t="n">
        <v>0</v>
      </c>
      <c r="I395" t="n">
        <v>0</v>
      </c>
      <c r="J395" t="n">
        <v>0</v>
      </c>
      <c r="K395" t="n">
        <v>0</v>
      </c>
      <c r="L395" t="n">
        <v>0</v>
      </c>
      <c r="M395" t="n">
        <v>0</v>
      </c>
      <c r="N395" t="n">
        <v>0</v>
      </c>
      <c r="O395" t="n">
        <v>0</v>
      </c>
      <c r="P395" t="n">
        <v>0</v>
      </c>
      <c r="Q395" t="n">
        <v>0</v>
      </c>
      <c r="R395" s="2" t="inlineStr"/>
    </row>
    <row r="396" ht="15" customHeight="1">
      <c r="A396" t="inlineStr">
        <is>
          <t>A 51030-2024</t>
        </is>
      </c>
      <c r="B396" s="1" t="n">
        <v>45603</v>
      </c>
      <c r="C396" s="1" t="n">
        <v>46065</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44419-2025</t>
        </is>
      </c>
      <c r="B397" s="1" t="n">
        <v>45916.54671296296</v>
      </c>
      <c r="C397" s="1" t="n">
        <v>46065</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43999-2025</t>
        </is>
      </c>
      <c r="B398" s="1" t="n">
        <v>45915.45158564814</v>
      </c>
      <c r="C398" s="1" t="n">
        <v>46065</v>
      </c>
      <c r="D398" t="inlineStr">
        <is>
          <t>UPPSALA LÄN</t>
        </is>
      </c>
      <c r="E398" t="inlineStr">
        <is>
          <t>ENKÖPING</t>
        </is>
      </c>
      <c r="G398" t="n">
        <v>4.1</v>
      </c>
      <c r="H398" t="n">
        <v>0</v>
      </c>
      <c r="I398" t="n">
        <v>0</v>
      </c>
      <c r="J398" t="n">
        <v>0</v>
      </c>
      <c r="K398" t="n">
        <v>0</v>
      </c>
      <c r="L398" t="n">
        <v>0</v>
      </c>
      <c r="M398" t="n">
        <v>0</v>
      </c>
      <c r="N398" t="n">
        <v>0</v>
      </c>
      <c r="O398" t="n">
        <v>0</v>
      </c>
      <c r="P398" t="n">
        <v>0</v>
      </c>
      <c r="Q398" t="n">
        <v>0</v>
      </c>
      <c r="R398" s="2" t="inlineStr"/>
    </row>
    <row r="399" ht="15" customHeight="1">
      <c r="A399" t="inlineStr">
        <is>
          <t>A 32477-2025</t>
        </is>
      </c>
      <c r="B399" s="1" t="n">
        <v>45838.43098379629</v>
      </c>
      <c r="C399" s="1" t="n">
        <v>46065</v>
      </c>
      <c r="D399" t="inlineStr">
        <is>
          <t>UPPSALA LÄN</t>
        </is>
      </c>
      <c r="E399" t="inlineStr">
        <is>
          <t>ENKÖPING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15405-2025</t>
        </is>
      </c>
      <c r="B400" s="1" t="n">
        <v>45747.44670138889</v>
      </c>
      <c r="C400" s="1" t="n">
        <v>46065</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12878-2025</t>
        </is>
      </c>
      <c r="B401" s="1" t="n">
        <v>45733.68571759259</v>
      </c>
      <c r="C401" s="1" t="n">
        <v>46065</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52889-2022</t>
        </is>
      </c>
      <c r="B402" s="1" t="n">
        <v>44875</v>
      </c>
      <c r="C402" s="1" t="n">
        <v>46065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47681-2024</t>
        </is>
      </c>
      <c r="B403" s="1" t="n">
        <v>45588</v>
      </c>
      <c r="C403" s="1" t="n">
        <v>46065</v>
      </c>
      <c r="D403" t="inlineStr">
        <is>
          <t>UPPSALA LÄN</t>
        </is>
      </c>
      <c r="E403" t="inlineStr">
        <is>
          <t>ENKÖPING</t>
        </is>
      </c>
      <c r="G403" t="n">
        <v>4.2</v>
      </c>
      <c r="H403" t="n">
        <v>0</v>
      </c>
      <c r="I403" t="n">
        <v>0</v>
      </c>
      <c r="J403" t="n">
        <v>0</v>
      </c>
      <c r="K403" t="n">
        <v>0</v>
      </c>
      <c r="L403" t="n">
        <v>0</v>
      </c>
      <c r="M403" t="n">
        <v>0</v>
      </c>
      <c r="N403" t="n">
        <v>0</v>
      </c>
      <c r="O403" t="n">
        <v>0</v>
      </c>
      <c r="P403" t="n">
        <v>0</v>
      </c>
      <c r="Q403" t="n">
        <v>0</v>
      </c>
      <c r="R403" s="2" t="inlineStr"/>
    </row>
    <row r="404" ht="15" customHeight="1">
      <c r="A404" t="inlineStr">
        <is>
          <t>A 12754-2025</t>
        </is>
      </c>
      <c r="B404" s="1" t="n">
        <v>45733.56331018519</v>
      </c>
      <c r="C404" s="1" t="n">
        <v>46065</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54588-2024</t>
        </is>
      </c>
      <c r="B405" s="1" t="n">
        <v>45617</v>
      </c>
      <c r="C405" s="1" t="n">
        <v>46065</v>
      </c>
      <c r="D405" t="inlineStr">
        <is>
          <t>UPPSALA LÄN</t>
        </is>
      </c>
      <c r="E405" t="inlineStr">
        <is>
          <t>ENKÖPING</t>
        </is>
      </c>
      <c r="G405" t="n">
        <v>3.7</v>
      </c>
      <c r="H405" t="n">
        <v>0</v>
      </c>
      <c r="I405" t="n">
        <v>0</v>
      </c>
      <c r="J405" t="n">
        <v>0</v>
      </c>
      <c r="K405" t="n">
        <v>0</v>
      </c>
      <c r="L405" t="n">
        <v>0</v>
      </c>
      <c r="M405" t="n">
        <v>0</v>
      </c>
      <c r="N405" t="n">
        <v>0</v>
      </c>
      <c r="O405" t="n">
        <v>0</v>
      </c>
      <c r="P405" t="n">
        <v>0</v>
      </c>
      <c r="Q405" t="n">
        <v>0</v>
      </c>
      <c r="R405" s="2" t="inlineStr"/>
    </row>
    <row r="406" ht="15" customHeight="1">
      <c r="A406" t="inlineStr">
        <is>
          <t>A 56713-2024</t>
        </is>
      </c>
      <c r="B406" s="1" t="n">
        <v>45628</v>
      </c>
      <c r="C406" s="1" t="n">
        <v>46065</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51524-2022</t>
        </is>
      </c>
      <c r="B407" s="1" t="n">
        <v>44869</v>
      </c>
      <c r="C407" s="1" t="n">
        <v>46065</v>
      </c>
      <c r="D407" t="inlineStr">
        <is>
          <t>UPPSALA LÄN</t>
        </is>
      </c>
      <c r="E407" t="inlineStr">
        <is>
          <t>ENKÖPING</t>
        </is>
      </c>
      <c r="G407" t="n">
        <v>6.6</v>
      </c>
      <c r="H407" t="n">
        <v>0</v>
      </c>
      <c r="I407" t="n">
        <v>0</v>
      </c>
      <c r="J407" t="n">
        <v>0</v>
      </c>
      <c r="K407" t="n">
        <v>0</v>
      </c>
      <c r="L407" t="n">
        <v>0</v>
      </c>
      <c r="M407" t="n">
        <v>0</v>
      </c>
      <c r="N407" t="n">
        <v>0</v>
      </c>
      <c r="O407" t="n">
        <v>0</v>
      </c>
      <c r="P407" t="n">
        <v>0</v>
      </c>
      <c r="Q407" t="n">
        <v>0</v>
      </c>
      <c r="R407" s="2" t="inlineStr"/>
    </row>
    <row r="408" ht="15" customHeight="1">
      <c r="A408" t="inlineStr">
        <is>
          <t>A 8137-2025</t>
        </is>
      </c>
      <c r="B408" s="1" t="n">
        <v>45707.8561574074</v>
      </c>
      <c r="C408" s="1" t="n">
        <v>46065</v>
      </c>
      <c r="D408" t="inlineStr">
        <is>
          <t>UPPSALA LÄN</t>
        </is>
      </c>
      <c r="E408" t="inlineStr">
        <is>
          <t>ENKÖPING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7868-2024</t>
        </is>
      </c>
      <c r="B409" s="1" t="n">
        <v>45350.33020833333</v>
      </c>
      <c r="C409" s="1" t="n">
        <v>46065</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51008-2024</t>
        </is>
      </c>
      <c r="B410" s="1" t="n">
        <v>45603.39041666667</v>
      </c>
      <c r="C410" s="1" t="n">
        <v>46065</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45755-2025</t>
        </is>
      </c>
      <c r="B411" s="1" t="n">
        <v>45923.50240740741</v>
      </c>
      <c r="C411" s="1" t="n">
        <v>46065</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35052-2024</t>
        </is>
      </c>
      <c r="B412" s="1" t="n">
        <v>45527.6516087963</v>
      </c>
      <c r="C412" s="1" t="n">
        <v>46065</v>
      </c>
      <c r="D412" t="inlineStr">
        <is>
          <t>UPPSALA LÄN</t>
        </is>
      </c>
      <c r="E412" t="inlineStr">
        <is>
          <t>ENKÖPING</t>
        </is>
      </c>
      <c r="G412" t="n">
        <v>1.5</v>
      </c>
      <c r="H412" t="n">
        <v>0</v>
      </c>
      <c r="I412" t="n">
        <v>0</v>
      </c>
      <c r="J412" t="n">
        <v>0</v>
      </c>
      <c r="K412" t="n">
        <v>0</v>
      </c>
      <c r="L412" t="n">
        <v>0</v>
      </c>
      <c r="M412" t="n">
        <v>0</v>
      </c>
      <c r="N412" t="n">
        <v>0</v>
      </c>
      <c r="O412" t="n">
        <v>0</v>
      </c>
      <c r="P412" t="n">
        <v>0</v>
      </c>
      <c r="Q412" t="n">
        <v>0</v>
      </c>
      <c r="R412" s="2" t="inlineStr"/>
    </row>
    <row r="413" ht="15" customHeight="1">
      <c r="A413" t="inlineStr">
        <is>
          <t>A 46590-2025</t>
        </is>
      </c>
      <c r="B413" s="1" t="n">
        <v>45926.39542824074</v>
      </c>
      <c r="C413" s="1" t="n">
        <v>46065</v>
      </c>
      <c r="D413" t="inlineStr">
        <is>
          <t>UPPSALA LÄN</t>
        </is>
      </c>
      <c r="E413" t="inlineStr">
        <is>
          <t>ENKÖPING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34989-2025</t>
        </is>
      </c>
      <c r="B414" s="1" t="n">
        <v>45849</v>
      </c>
      <c r="C414" s="1" t="n">
        <v>46065</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34990-2025</t>
        </is>
      </c>
      <c r="B415" s="1" t="n">
        <v>45849.78916666667</v>
      </c>
      <c r="C415" s="1" t="n">
        <v>46065</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47441-2025</t>
        </is>
      </c>
      <c r="B416" s="1" t="n">
        <v>45930.63986111111</v>
      </c>
      <c r="C416" s="1" t="n">
        <v>46065</v>
      </c>
      <c r="D416" t="inlineStr">
        <is>
          <t>UPPSALA LÄN</t>
        </is>
      </c>
      <c r="E416" t="inlineStr">
        <is>
          <t>ENKÖPING</t>
        </is>
      </c>
      <c r="F416" t="inlineStr">
        <is>
          <t>Allmännings- och besparingsskogar</t>
        </is>
      </c>
      <c r="G416" t="n">
        <v>11.5</v>
      </c>
      <c r="H416" t="n">
        <v>0</v>
      </c>
      <c r="I416" t="n">
        <v>0</v>
      </c>
      <c r="J416" t="n">
        <v>0</v>
      </c>
      <c r="K416" t="n">
        <v>0</v>
      </c>
      <c r="L416" t="n">
        <v>0</v>
      </c>
      <c r="M416" t="n">
        <v>0</v>
      </c>
      <c r="N416" t="n">
        <v>0</v>
      </c>
      <c r="O416" t="n">
        <v>0</v>
      </c>
      <c r="P416" t="n">
        <v>0</v>
      </c>
      <c r="Q416" t="n">
        <v>0</v>
      </c>
      <c r="R416" s="2" t="inlineStr"/>
    </row>
    <row r="417" ht="15" customHeight="1">
      <c r="A417" t="inlineStr">
        <is>
          <t>A 46940-2025</t>
        </is>
      </c>
      <c r="B417" s="1" t="n">
        <v>45929.45483796296</v>
      </c>
      <c r="C417" s="1" t="n">
        <v>46065</v>
      </c>
      <c r="D417" t="inlineStr">
        <is>
          <t>UPPSALA LÄN</t>
        </is>
      </c>
      <c r="E417" t="inlineStr">
        <is>
          <t>ENKÖPING</t>
        </is>
      </c>
      <c r="G417" t="n">
        <v>5.3</v>
      </c>
      <c r="H417" t="n">
        <v>0</v>
      </c>
      <c r="I417" t="n">
        <v>0</v>
      </c>
      <c r="J417" t="n">
        <v>0</v>
      </c>
      <c r="K417" t="n">
        <v>0</v>
      </c>
      <c r="L417" t="n">
        <v>0</v>
      </c>
      <c r="M417" t="n">
        <v>0</v>
      </c>
      <c r="N417" t="n">
        <v>0</v>
      </c>
      <c r="O417" t="n">
        <v>0</v>
      </c>
      <c r="P417" t="n">
        <v>0</v>
      </c>
      <c r="Q417" t="n">
        <v>0</v>
      </c>
      <c r="R417" s="2" t="inlineStr"/>
    </row>
    <row r="418" ht="15" customHeight="1">
      <c r="A418" t="inlineStr">
        <is>
          <t>A 14518-2025</t>
        </is>
      </c>
      <c r="B418" s="1" t="n">
        <v>45741</v>
      </c>
      <c r="C418" s="1" t="n">
        <v>46065</v>
      </c>
      <c r="D418" t="inlineStr">
        <is>
          <t>UPPSALA LÄN</t>
        </is>
      </c>
      <c r="E418" t="inlineStr">
        <is>
          <t>ENKÖPING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48423-2025</t>
        </is>
      </c>
      <c r="B419" s="1" t="n">
        <v>45934.68024305555</v>
      </c>
      <c r="C419" s="1" t="n">
        <v>46065</v>
      </c>
      <c r="D419" t="inlineStr">
        <is>
          <t>UPPSALA LÄN</t>
        </is>
      </c>
      <c r="E419" t="inlineStr">
        <is>
          <t>ENKÖPING</t>
        </is>
      </c>
      <c r="G419" t="n">
        <v>4.3</v>
      </c>
      <c r="H419" t="n">
        <v>0</v>
      </c>
      <c r="I419" t="n">
        <v>0</v>
      </c>
      <c r="J419" t="n">
        <v>0</v>
      </c>
      <c r="K419" t="n">
        <v>0</v>
      </c>
      <c r="L419" t="n">
        <v>0</v>
      </c>
      <c r="M419" t="n">
        <v>0</v>
      </c>
      <c r="N419" t="n">
        <v>0</v>
      </c>
      <c r="O419" t="n">
        <v>0</v>
      </c>
      <c r="P419" t="n">
        <v>0</v>
      </c>
      <c r="Q419" t="n">
        <v>0</v>
      </c>
      <c r="R419" s="2" t="inlineStr"/>
    </row>
    <row r="420" ht="15" customHeight="1">
      <c r="A420" t="inlineStr">
        <is>
          <t>A 54776-2024</t>
        </is>
      </c>
      <c r="B420" s="1" t="n">
        <v>45618</v>
      </c>
      <c r="C420" s="1" t="n">
        <v>46065</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48424-2025</t>
        </is>
      </c>
      <c r="B421" s="1" t="n">
        <v>45934.69131944444</v>
      </c>
      <c r="C421" s="1" t="n">
        <v>46065</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22150-2025</t>
        </is>
      </c>
      <c r="B422" s="1" t="n">
        <v>45785.56398148148</v>
      </c>
      <c r="C422" s="1" t="n">
        <v>46065</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48678-2025</t>
        </is>
      </c>
      <c r="B423" s="1" t="n">
        <v>45936.59168981481</v>
      </c>
      <c r="C423" s="1" t="n">
        <v>46065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22156-2025</t>
        </is>
      </c>
      <c r="B424" s="1" t="n">
        <v>45785.57512731481</v>
      </c>
      <c r="C424" s="1" t="n">
        <v>46065</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49068-2025</t>
        </is>
      </c>
      <c r="B425" s="1" t="n">
        <v>45937.64766203704</v>
      </c>
      <c r="C425" s="1" t="n">
        <v>46065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30087-2024</t>
        </is>
      </c>
      <c r="B426" s="1" t="n">
        <v>45489.39447916667</v>
      </c>
      <c r="C426" s="1" t="n">
        <v>46065</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22677-2025</t>
        </is>
      </c>
      <c r="B427" s="1" t="n">
        <v>45789.49515046296</v>
      </c>
      <c r="C427" s="1" t="n">
        <v>46065</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22679-2025</t>
        </is>
      </c>
      <c r="B428" s="1" t="n">
        <v>45789.49747685185</v>
      </c>
      <c r="C428" s="1" t="n">
        <v>46065</v>
      </c>
      <c r="D428" t="inlineStr">
        <is>
          <t>UPPSALA LÄN</t>
        </is>
      </c>
      <c r="E428" t="inlineStr">
        <is>
          <t>ENKÖPING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22729-2025</t>
        </is>
      </c>
      <c r="B429" s="1" t="n">
        <v>45789.57790509259</v>
      </c>
      <c r="C429" s="1" t="n">
        <v>46065</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22786-2025</t>
        </is>
      </c>
      <c r="B430" s="1" t="n">
        <v>45789.64643518518</v>
      </c>
      <c r="C430" s="1" t="n">
        <v>46065</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22795-2025</t>
        </is>
      </c>
      <c r="B431" s="1" t="n">
        <v>45789.65944444444</v>
      </c>
      <c r="C431" s="1" t="n">
        <v>46065</v>
      </c>
      <c r="D431" t="inlineStr">
        <is>
          <t>UPPSALA LÄN</t>
        </is>
      </c>
      <c r="E431" t="inlineStr">
        <is>
          <t>ENKÖPING</t>
        </is>
      </c>
      <c r="G431" t="n">
        <v>10.4</v>
      </c>
      <c r="H431" t="n">
        <v>0</v>
      </c>
      <c r="I431" t="n">
        <v>0</v>
      </c>
      <c r="J431" t="n">
        <v>0</v>
      </c>
      <c r="K431" t="n">
        <v>0</v>
      </c>
      <c r="L431" t="n">
        <v>0</v>
      </c>
      <c r="M431" t="n">
        <v>0</v>
      </c>
      <c r="N431" t="n">
        <v>0</v>
      </c>
      <c r="O431" t="n">
        <v>0</v>
      </c>
      <c r="P431" t="n">
        <v>0</v>
      </c>
      <c r="Q431" t="n">
        <v>0</v>
      </c>
      <c r="R431" s="2" t="inlineStr"/>
    </row>
    <row r="432" ht="15" customHeight="1">
      <c r="A432" t="inlineStr">
        <is>
          <t>A 22802-2025</t>
        </is>
      </c>
      <c r="B432" s="1" t="n">
        <v>45789.6686574074</v>
      </c>
      <c r="C432" s="1" t="n">
        <v>46065</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39439-2025</t>
        </is>
      </c>
      <c r="B433" s="1" t="n">
        <v>45889</v>
      </c>
      <c r="C433" s="1" t="n">
        <v>46065</v>
      </c>
      <c r="D433" t="inlineStr">
        <is>
          <t>UPPSALA LÄN</t>
        </is>
      </c>
      <c r="E433" t="inlineStr">
        <is>
          <t>ENKÖPING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43103-2025</t>
        </is>
      </c>
      <c r="B434" s="1" t="n">
        <v>45909</v>
      </c>
      <c r="C434" s="1" t="n">
        <v>46065</v>
      </c>
      <c r="D434" t="inlineStr">
        <is>
          <t>UPPSALA LÄN</t>
        </is>
      </c>
      <c r="E434" t="inlineStr">
        <is>
          <t>ENKÖPING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22680-2025</t>
        </is>
      </c>
      <c r="B435" s="1" t="n">
        <v>45789.5005787037</v>
      </c>
      <c r="C435" s="1" t="n">
        <v>46065</v>
      </c>
      <c r="D435" t="inlineStr">
        <is>
          <t>UPPSALA LÄN</t>
        </is>
      </c>
      <c r="E435" t="inlineStr">
        <is>
          <t>ENKÖPING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6981-2025</t>
        </is>
      </c>
      <c r="B436" s="1" t="n">
        <v>45701</v>
      </c>
      <c r="C436" s="1" t="n">
        <v>46065</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22770-2025</t>
        </is>
      </c>
      <c r="B437" s="1" t="n">
        <v>45789.63454861111</v>
      </c>
      <c r="C437" s="1" t="n">
        <v>46065</v>
      </c>
      <c r="D437" t="inlineStr">
        <is>
          <t>UPPSALA LÄN</t>
        </is>
      </c>
      <c r="E437" t="inlineStr">
        <is>
          <t>ENKÖPING</t>
        </is>
      </c>
      <c r="G437" t="n">
        <v>4.5</v>
      </c>
      <c r="H437" t="n">
        <v>0</v>
      </c>
      <c r="I437" t="n">
        <v>0</v>
      </c>
      <c r="J437" t="n">
        <v>0</v>
      </c>
      <c r="K437" t="n">
        <v>0</v>
      </c>
      <c r="L437" t="n">
        <v>0</v>
      </c>
      <c r="M437" t="n">
        <v>0</v>
      </c>
      <c r="N437" t="n">
        <v>0</v>
      </c>
      <c r="O437" t="n">
        <v>0</v>
      </c>
      <c r="P437" t="n">
        <v>0</v>
      </c>
      <c r="Q437" t="n">
        <v>0</v>
      </c>
      <c r="R437" s="2" t="inlineStr"/>
    </row>
    <row r="438" ht="15" customHeight="1">
      <c r="A438" t="inlineStr">
        <is>
          <t>A 22725-2025</t>
        </is>
      </c>
      <c r="B438" s="1" t="n">
        <v>45789.57371527778</v>
      </c>
      <c r="C438" s="1" t="n">
        <v>46065</v>
      </c>
      <c r="D438" t="inlineStr">
        <is>
          <t>UPPSALA LÄN</t>
        </is>
      </c>
      <c r="E438" t="inlineStr">
        <is>
          <t>ENKÖPING</t>
        </is>
      </c>
      <c r="G438" t="n">
        <v>4.8</v>
      </c>
      <c r="H438" t="n">
        <v>0</v>
      </c>
      <c r="I438" t="n">
        <v>0</v>
      </c>
      <c r="J438" t="n">
        <v>0</v>
      </c>
      <c r="K438" t="n">
        <v>0</v>
      </c>
      <c r="L438" t="n">
        <v>0</v>
      </c>
      <c r="M438" t="n">
        <v>0</v>
      </c>
      <c r="N438" t="n">
        <v>0</v>
      </c>
      <c r="O438" t="n">
        <v>0</v>
      </c>
      <c r="P438" t="n">
        <v>0</v>
      </c>
      <c r="Q438" t="n">
        <v>0</v>
      </c>
      <c r="R438" s="2" t="inlineStr"/>
    </row>
    <row r="439" ht="15" customHeight="1">
      <c r="A439" t="inlineStr">
        <is>
          <t>A 22981-2025</t>
        </is>
      </c>
      <c r="B439" s="1" t="n">
        <v>45790.56964120371</v>
      </c>
      <c r="C439" s="1" t="n">
        <v>46065</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49073-2025</t>
        </is>
      </c>
      <c r="B440" s="1" t="n">
        <v>45937.65512731481</v>
      </c>
      <c r="C440" s="1" t="n">
        <v>46065</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68123-2021</t>
        </is>
      </c>
      <c r="B441" s="1" t="n">
        <v>44526.39126157408</v>
      </c>
      <c r="C441" s="1" t="n">
        <v>46065</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22793-2025</t>
        </is>
      </c>
      <c r="B442" s="1" t="n">
        <v>45789.65693287037</v>
      </c>
      <c r="C442" s="1" t="n">
        <v>46065</v>
      </c>
      <c r="D442" t="inlineStr">
        <is>
          <t>UPPSALA LÄN</t>
        </is>
      </c>
      <c r="E442" t="inlineStr">
        <is>
          <t>ENKÖPING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22800-2025</t>
        </is>
      </c>
      <c r="B443" s="1" t="n">
        <v>45789.6669212963</v>
      </c>
      <c r="C443" s="1" t="n">
        <v>46065</v>
      </c>
      <c r="D443" t="inlineStr">
        <is>
          <t>UPPSALA LÄN</t>
        </is>
      </c>
      <c r="E443" t="inlineStr">
        <is>
          <t>ENKÖPING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51162-2025</t>
        </is>
      </c>
      <c r="B444" s="1" t="n">
        <v>45947.58820601852</v>
      </c>
      <c r="C444" s="1" t="n">
        <v>46065</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51133-2025</t>
        </is>
      </c>
      <c r="B445" s="1" t="n">
        <v>45947.55598379629</v>
      </c>
      <c r="C445" s="1" t="n">
        <v>46065</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26017-2025</t>
        </is>
      </c>
      <c r="B446" s="1" t="n">
        <v>45804</v>
      </c>
      <c r="C446" s="1" t="n">
        <v>46065</v>
      </c>
      <c r="D446" t="inlineStr">
        <is>
          <t>UPPSALA LÄN</t>
        </is>
      </c>
      <c r="E446" t="inlineStr">
        <is>
          <t>ENKÖPING</t>
        </is>
      </c>
      <c r="G446" t="n">
        <v>0.4</v>
      </c>
      <c r="H446" t="n">
        <v>0</v>
      </c>
      <c r="I446" t="n">
        <v>0</v>
      </c>
      <c r="J446" t="n">
        <v>0</v>
      </c>
      <c r="K446" t="n">
        <v>0</v>
      </c>
      <c r="L446" t="n">
        <v>0</v>
      </c>
      <c r="M446" t="n">
        <v>0</v>
      </c>
      <c r="N446" t="n">
        <v>0</v>
      </c>
      <c r="O446" t="n">
        <v>0</v>
      </c>
      <c r="P446" t="n">
        <v>0</v>
      </c>
      <c r="Q446" t="n">
        <v>0</v>
      </c>
      <c r="R446" s="2" t="inlineStr"/>
    </row>
    <row r="447" ht="15" customHeight="1">
      <c r="A447" t="inlineStr">
        <is>
          <t>A 17729-2023</t>
        </is>
      </c>
      <c r="B447" s="1" t="n">
        <v>45037</v>
      </c>
      <c r="C447" s="1" t="n">
        <v>46065</v>
      </c>
      <c r="D447" t="inlineStr">
        <is>
          <t>UPPSALA LÄN</t>
        </is>
      </c>
      <c r="E447" t="inlineStr">
        <is>
          <t>ENKÖPING</t>
        </is>
      </c>
      <c r="G447" t="n">
        <v>10.2</v>
      </c>
      <c r="H447" t="n">
        <v>0</v>
      </c>
      <c r="I447" t="n">
        <v>0</v>
      </c>
      <c r="J447" t="n">
        <v>0</v>
      </c>
      <c r="K447" t="n">
        <v>0</v>
      </c>
      <c r="L447" t="n">
        <v>0</v>
      </c>
      <c r="M447" t="n">
        <v>0</v>
      </c>
      <c r="N447" t="n">
        <v>0</v>
      </c>
      <c r="O447" t="n">
        <v>0</v>
      </c>
      <c r="P447" t="n">
        <v>0</v>
      </c>
      <c r="Q447" t="n">
        <v>0</v>
      </c>
      <c r="R447" s="2" t="inlineStr"/>
    </row>
    <row r="448" ht="15" customHeight="1">
      <c r="A448" t="inlineStr">
        <is>
          <t>A 5749-2025</t>
        </is>
      </c>
      <c r="B448" s="1" t="n">
        <v>45694</v>
      </c>
      <c r="C448" s="1" t="n">
        <v>46065</v>
      </c>
      <c r="D448" t="inlineStr">
        <is>
          <t>UPPSALA LÄN</t>
        </is>
      </c>
      <c r="E448" t="inlineStr">
        <is>
          <t>ENKÖPING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8020-2022</t>
        </is>
      </c>
      <c r="B449" s="1" t="n">
        <v>44609</v>
      </c>
      <c r="C449" s="1" t="n">
        <v>46065</v>
      </c>
      <c r="D449" t="inlineStr">
        <is>
          <t>UPPSALA LÄN</t>
        </is>
      </c>
      <c r="E449" t="inlineStr">
        <is>
          <t>ENKÖPING</t>
        </is>
      </c>
      <c r="G449" t="n">
        <v>6</v>
      </c>
      <c r="H449" t="n">
        <v>0</v>
      </c>
      <c r="I449" t="n">
        <v>0</v>
      </c>
      <c r="J449" t="n">
        <v>0</v>
      </c>
      <c r="K449" t="n">
        <v>0</v>
      </c>
      <c r="L449" t="n">
        <v>0</v>
      </c>
      <c r="M449" t="n">
        <v>0</v>
      </c>
      <c r="N449" t="n">
        <v>0</v>
      </c>
      <c r="O449" t="n">
        <v>0</v>
      </c>
      <c r="P449" t="n">
        <v>0</v>
      </c>
      <c r="Q449" t="n">
        <v>0</v>
      </c>
      <c r="R449" s="2" t="inlineStr"/>
    </row>
    <row r="450" ht="15" customHeight="1">
      <c r="A450" t="inlineStr">
        <is>
          <t>A 34805-2024</t>
        </is>
      </c>
      <c r="B450" s="1" t="n">
        <v>45526</v>
      </c>
      <c r="C450" s="1" t="n">
        <v>46065</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314-2025</t>
        </is>
      </c>
      <c r="B451" s="1" t="n">
        <v>45656</v>
      </c>
      <c r="C451" s="1" t="n">
        <v>46065</v>
      </c>
      <c r="D451" t="inlineStr">
        <is>
          <t>UPPSALA LÄN</t>
        </is>
      </c>
      <c r="E451" t="inlineStr">
        <is>
          <t>ENKÖPING</t>
        </is>
      </c>
      <c r="G451" t="n">
        <v>9</v>
      </c>
      <c r="H451" t="n">
        <v>0</v>
      </c>
      <c r="I451" t="n">
        <v>0</v>
      </c>
      <c r="J451" t="n">
        <v>0</v>
      </c>
      <c r="K451" t="n">
        <v>0</v>
      </c>
      <c r="L451" t="n">
        <v>0</v>
      </c>
      <c r="M451" t="n">
        <v>0</v>
      </c>
      <c r="N451" t="n">
        <v>0</v>
      </c>
      <c r="O451" t="n">
        <v>0</v>
      </c>
      <c r="P451" t="n">
        <v>0</v>
      </c>
      <c r="Q451" t="n">
        <v>0</v>
      </c>
      <c r="R451" s="2" t="inlineStr"/>
    </row>
    <row r="452" ht="15" customHeight="1">
      <c r="A452" t="inlineStr">
        <is>
          <t>A 10831-2024</t>
        </is>
      </c>
      <c r="B452" s="1" t="n">
        <v>45369</v>
      </c>
      <c r="C452" s="1" t="n">
        <v>46065</v>
      </c>
      <c r="D452" t="inlineStr">
        <is>
          <t>UPPSALA LÄN</t>
        </is>
      </c>
      <c r="E452" t="inlineStr">
        <is>
          <t>ENKÖPING</t>
        </is>
      </c>
      <c r="G452" t="n">
        <v>2.9</v>
      </c>
      <c r="H452" t="n">
        <v>0</v>
      </c>
      <c r="I452" t="n">
        <v>0</v>
      </c>
      <c r="J452" t="n">
        <v>0</v>
      </c>
      <c r="K452" t="n">
        <v>0</v>
      </c>
      <c r="L452" t="n">
        <v>0</v>
      </c>
      <c r="M452" t="n">
        <v>0</v>
      </c>
      <c r="N452" t="n">
        <v>0</v>
      </c>
      <c r="O452" t="n">
        <v>0</v>
      </c>
      <c r="P452" t="n">
        <v>0</v>
      </c>
      <c r="Q452" t="n">
        <v>0</v>
      </c>
      <c r="R452" s="2" t="inlineStr"/>
    </row>
    <row r="453" ht="15" customHeight="1">
      <c r="A453" t="inlineStr">
        <is>
          <t>A 5712-2025</t>
        </is>
      </c>
      <c r="B453" s="1" t="n">
        <v>45694</v>
      </c>
      <c r="C453" s="1" t="n">
        <v>46065</v>
      </c>
      <c r="D453" t="inlineStr">
        <is>
          <t>UPPSALA LÄN</t>
        </is>
      </c>
      <c r="E453" t="inlineStr">
        <is>
          <t>ENKÖPING</t>
        </is>
      </c>
      <c r="G453" t="n">
        <v>5.1</v>
      </c>
      <c r="H453" t="n">
        <v>0</v>
      </c>
      <c r="I453" t="n">
        <v>0</v>
      </c>
      <c r="J453" t="n">
        <v>0</v>
      </c>
      <c r="K453" t="n">
        <v>0</v>
      </c>
      <c r="L453" t="n">
        <v>0</v>
      </c>
      <c r="M453" t="n">
        <v>0</v>
      </c>
      <c r="N453" t="n">
        <v>0</v>
      </c>
      <c r="O453" t="n">
        <v>0</v>
      </c>
      <c r="P453" t="n">
        <v>0</v>
      </c>
      <c r="Q453" t="n">
        <v>0</v>
      </c>
      <c r="R453" s="2" t="inlineStr"/>
    </row>
    <row r="454" ht="15" customHeight="1">
      <c r="A454" t="inlineStr">
        <is>
          <t>A 45956-2024</t>
        </is>
      </c>
      <c r="B454" s="1" t="n">
        <v>45580</v>
      </c>
      <c r="C454" s="1" t="n">
        <v>46065</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11627-2025</t>
        </is>
      </c>
      <c r="B455" s="1" t="n">
        <v>45727</v>
      </c>
      <c r="C455" s="1" t="n">
        <v>46065</v>
      </c>
      <c r="D455" t="inlineStr">
        <is>
          <t>UPPSALA LÄN</t>
        </is>
      </c>
      <c r="E455" t="inlineStr">
        <is>
          <t>ENKÖPING</t>
        </is>
      </c>
      <c r="G455" t="n">
        <v>5.5</v>
      </c>
      <c r="H455" t="n">
        <v>0</v>
      </c>
      <c r="I455" t="n">
        <v>0</v>
      </c>
      <c r="J455" t="n">
        <v>0</v>
      </c>
      <c r="K455" t="n">
        <v>0</v>
      </c>
      <c r="L455" t="n">
        <v>0</v>
      </c>
      <c r="M455" t="n">
        <v>0</v>
      </c>
      <c r="N455" t="n">
        <v>0</v>
      </c>
      <c r="O455" t="n">
        <v>0</v>
      </c>
      <c r="P455" t="n">
        <v>0</v>
      </c>
      <c r="Q455" t="n">
        <v>0</v>
      </c>
      <c r="R455" s="2" t="inlineStr"/>
    </row>
    <row r="456" ht="15" customHeight="1">
      <c r="A456" t="inlineStr">
        <is>
          <t>A 26011-2025</t>
        </is>
      </c>
      <c r="B456" s="1" t="n">
        <v>45804.67412037037</v>
      </c>
      <c r="C456" s="1" t="n">
        <v>46065</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74090-2021</t>
        </is>
      </c>
      <c r="B457" s="1" t="n">
        <v>44557</v>
      </c>
      <c r="C457" s="1" t="n">
        <v>46065</v>
      </c>
      <c r="D457" t="inlineStr">
        <is>
          <t>UPPSALA LÄN</t>
        </is>
      </c>
      <c r="E457" t="inlineStr">
        <is>
          <t>ENKÖPING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54263-2025</t>
        </is>
      </c>
      <c r="B458" s="1" t="n">
        <v>45964.66271990741</v>
      </c>
      <c r="C458" s="1" t="n">
        <v>46065</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2850-2025</t>
        </is>
      </c>
      <c r="B459" s="1" t="n">
        <v>45677</v>
      </c>
      <c r="C459" s="1" t="n">
        <v>46065</v>
      </c>
      <c r="D459" t="inlineStr">
        <is>
          <t>UPPSALA LÄN</t>
        </is>
      </c>
      <c r="E459" t="inlineStr">
        <is>
          <t>ENKÖPING</t>
        </is>
      </c>
      <c r="G459" t="n">
        <v>0.3</v>
      </c>
      <c r="H459" t="n">
        <v>0</v>
      </c>
      <c r="I459" t="n">
        <v>0</v>
      </c>
      <c r="J459" t="n">
        <v>0</v>
      </c>
      <c r="K459" t="n">
        <v>0</v>
      </c>
      <c r="L459" t="n">
        <v>0</v>
      </c>
      <c r="M459" t="n">
        <v>0</v>
      </c>
      <c r="N459" t="n">
        <v>0</v>
      </c>
      <c r="O459" t="n">
        <v>0</v>
      </c>
      <c r="P459" t="n">
        <v>0</v>
      </c>
      <c r="Q459" t="n">
        <v>0</v>
      </c>
      <c r="R459" s="2" t="inlineStr"/>
    </row>
    <row r="460" ht="15" customHeight="1">
      <c r="A460" t="inlineStr">
        <is>
          <t>A 58092-2024</t>
        </is>
      </c>
      <c r="B460" s="1" t="n">
        <v>45632</v>
      </c>
      <c r="C460" s="1" t="n">
        <v>46065</v>
      </c>
      <c r="D460" t="inlineStr">
        <is>
          <t>UPPSALA LÄN</t>
        </is>
      </c>
      <c r="E460" t="inlineStr">
        <is>
          <t>ENKÖPING</t>
        </is>
      </c>
      <c r="G460" t="n">
        <v>4.8</v>
      </c>
      <c r="H460" t="n">
        <v>0</v>
      </c>
      <c r="I460" t="n">
        <v>0</v>
      </c>
      <c r="J460" t="n">
        <v>0</v>
      </c>
      <c r="K460" t="n">
        <v>0</v>
      </c>
      <c r="L460" t="n">
        <v>0</v>
      </c>
      <c r="M460" t="n">
        <v>0</v>
      </c>
      <c r="N460" t="n">
        <v>0</v>
      </c>
      <c r="O460" t="n">
        <v>0</v>
      </c>
      <c r="P460" t="n">
        <v>0</v>
      </c>
      <c r="Q460" t="n">
        <v>0</v>
      </c>
      <c r="R460" s="2" t="inlineStr"/>
    </row>
    <row r="461" ht="15" customHeight="1">
      <c r="A461" t="inlineStr">
        <is>
          <t>A 54844-2025</t>
        </is>
      </c>
      <c r="B461" s="1" t="n">
        <v>45966.69570601852</v>
      </c>
      <c r="C461" s="1" t="n">
        <v>46065</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24411-2024</t>
        </is>
      </c>
      <c r="B462" s="1" t="n">
        <v>45457</v>
      </c>
      <c r="C462" s="1" t="n">
        <v>46065</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54758-2025</t>
        </is>
      </c>
      <c r="B463" s="1" t="n">
        <v>45966.59737268519</v>
      </c>
      <c r="C463" s="1" t="n">
        <v>46065</v>
      </c>
      <c r="D463" t="inlineStr">
        <is>
          <t>UPPSALA LÄN</t>
        </is>
      </c>
      <c r="E463" t="inlineStr">
        <is>
          <t>ENKÖPING</t>
        </is>
      </c>
      <c r="G463" t="n">
        <v>3.3</v>
      </c>
      <c r="H463" t="n">
        <v>0</v>
      </c>
      <c r="I463" t="n">
        <v>0</v>
      </c>
      <c r="J463" t="n">
        <v>0</v>
      </c>
      <c r="K463" t="n">
        <v>0</v>
      </c>
      <c r="L463" t="n">
        <v>0</v>
      </c>
      <c r="M463" t="n">
        <v>0</v>
      </c>
      <c r="N463" t="n">
        <v>0</v>
      </c>
      <c r="O463" t="n">
        <v>0</v>
      </c>
      <c r="P463" t="n">
        <v>0</v>
      </c>
      <c r="Q463" t="n">
        <v>0</v>
      </c>
      <c r="R463" s="2" t="inlineStr"/>
    </row>
    <row r="464" ht="15" customHeight="1">
      <c r="A464" t="inlineStr">
        <is>
          <t>A 25988-2025</t>
        </is>
      </c>
      <c r="B464" s="1" t="n">
        <v>45804.64814814815</v>
      </c>
      <c r="C464" s="1" t="n">
        <v>46065</v>
      </c>
      <c r="D464" t="inlineStr">
        <is>
          <t>UPPSALA LÄN</t>
        </is>
      </c>
      <c r="E464" t="inlineStr">
        <is>
          <t>ENKÖPING</t>
        </is>
      </c>
      <c r="G464" t="n">
        <v>4.7</v>
      </c>
      <c r="H464" t="n">
        <v>0</v>
      </c>
      <c r="I464" t="n">
        <v>0</v>
      </c>
      <c r="J464" t="n">
        <v>0</v>
      </c>
      <c r="K464" t="n">
        <v>0</v>
      </c>
      <c r="L464" t="n">
        <v>0</v>
      </c>
      <c r="M464" t="n">
        <v>0</v>
      </c>
      <c r="N464" t="n">
        <v>0</v>
      </c>
      <c r="O464" t="n">
        <v>0</v>
      </c>
      <c r="P464" t="n">
        <v>0</v>
      </c>
      <c r="Q464" t="n">
        <v>0</v>
      </c>
      <c r="R464" s="2" t="inlineStr"/>
    </row>
    <row r="465" ht="15" customHeight="1">
      <c r="A465" t="inlineStr">
        <is>
          <t>A 54541-2025</t>
        </is>
      </c>
      <c r="B465" s="1" t="n">
        <v>45965.64733796296</v>
      </c>
      <c r="C465" s="1" t="n">
        <v>46065</v>
      </c>
      <c r="D465" t="inlineStr">
        <is>
          <t>UPPSALA LÄN</t>
        </is>
      </c>
      <c r="E465" t="inlineStr">
        <is>
          <t>ENKÖPING</t>
        </is>
      </c>
      <c r="G465" t="n">
        <v>3.1</v>
      </c>
      <c r="H465" t="n">
        <v>0</v>
      </c>
      <c r="I465" t="n">
        <v>0</v>
      </c>
      <c r="J465" t="n">
        <v>0</v>
      </c>
      <c r="K465" t="n">
        <v>0</v>
      </c>
      <c r="L465" t="n">
        <v>0</v>
      </c>
      <c r="M465" t="n">
        <v>0</v>
      </c>
      <c r="N465" t="n">
        <v>0</v>
      </c>
      <c r="O465" t="n">
        <v>0</v>
      </c>
      <c r="P465" t="n">
        <v>0</v>
      </c>
      <c r="Q465" t="n">
        <v>0</v>
      </c>
      <c r="R465" s="2" t="inlineStr"/>
    </row>
    <row r="466" ht="15" customHeight="1">
      <c r="A466" t="inlineStr">
        <is>
          <t>A 26024-2025</t>
        </is>
      </c>
      <c r="B466" s="1" t="n">
        <v>45804.6831712963</v>
      </c>
      <c r="C466" s="1" t="n">
        <v>46065</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26042-2025</t>
        </is>
      </c>
      <c r="B467" s="1" t="n">
        <v>45804.70018518518</v>
      </c>
      <c r="C467" s="1" t="n">
        <v>46065</v>
      </c>
      <c r="D467" t="inlineStr">
        <is>
          <t>UPPSALA LÄN</t>
        </is>
      </c>
      <c r="E467" t="inlineStr">
        <is>
          <t>ENKÖPING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25990-2025</t>
        </is>
      </c>
      <c r="B468" s="1" t="n">
        <v>45804.65229166667</v>
      </c>
      <c r="C468" s="1" t="n">
        <v>46065</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26030-2025</t>
        </is>
      </c>
      <c r="B469" s="1" t="n">
        <v>45804.68815972222</v>
      </c>
      <c r="C469" s="1" t="n">
        <v>46065</v>
      </c>
      <c r="D469" t="inlineStr">
        <is>
          <t>UPPSALA LÄN</t>
        </is>
      </c>
      <c r="E469" t="inlineStr">
        <is>
          <t>ENKÖPING</t>
        </is>
      </c>
      <c r="G469" t="n">
        <v>0.3</v>
      </c>
      <c r="H469" t="n">
        <v>0</v>
      </c>
      <c r="I469" t="n">
        <v>0</v>
      </c>
      <c r="J469" t="n">
        <v>0</v>
      </c>
      <c r="K469" t="n">
        <v>0</v>
      </c>
      <c r="L469" t="n">
        <v>0</v>
      </c>
      <c r="M469" t="n">
        <v>0</v>
      </c>
      <c r="N469" t="n">
        <v>0</v>
      </c>
      <c r="O469" t="n">
        <v>0</v>
      </c>
      <c r="P469" t="n">
        <v>0</v>
      </c>
      <c r="Q469" t="n">
        <v>0</v>
      </c>
      <c r="R469" s="2" t="inlineStr"/>
    </row>
    <row r="470" ht="15" customHeight="1">
      <c r="A470" t="inlineStr">
        <is>
          <t>A 26026-2025</t>
        </is>
      </c>
      <c r="B470" s="1" t="n">
        <v>45804.68510416667</v>
      </c>
      <c r="C470" s="1" t="n">
        <v>46065</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26047-2025</t>
        </is>
      </c>
      <c r="B471" s="1" t="n">
        <v>45804.70835648148</v>
      </c>
      <c r="C471" s="1" t="n">
        <v>46065</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55567-2025</t>
        </is>
      </c>
      <c r="B472" s="1" t="n">
        <v>45971.65589120371</v>
      </c>
      <c r="C472" s="1" t="n">
        <v>46065</v>
      </c>
      <c r="D472" t="inlineStr">
        <is>
          <t>UPPSALA LÄN</t>
        </is>
      </c>
      <c r="E472" t="inlineStr">
        <is>
          <t>ENKÖPING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56625-2025</t>
        </is>
      </c>
      <c r="B473" s="1" t="n">
        <v>45975.60608796297</v>
      </c>
      <c r="C473" s="1" t="n">
        <v>46065</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57294-2025</t>
        </is>
      </c>
      <c r="B474" s="1" t="n">
        <v>45979</v>
      </c>
      <c r="C474" s="1" t="n">
        <v>46065</v>
      </c>
      <c r="D474" t="inlineStr">
        <is>
          <t>UPPSALA LÄN</t>
        </is>
      </c>
      <c r="E474" t="inlineStr">
        <is>
          <t>ENKÖPING</t>
        </is>
      </c>
      <c r="G474" t="n">
        <v>6.2</v>
      </c>
      <c r="H474" t="n">
        <v>0</v>
      </c>
      <c r="I474" t="n">
        <v>0</v>
      </c>
      <c r="J474" t="n">
        <v>0</v>
      </c>
      <c r="K474" t="n">
        <v>0</v>
      </c>
      <c r="L474" t="n">
        <v>0</v>
      </c>
      <c r="M474" t="n">
        <v>0</v>
      </c>
      <c r="N474" t="n">
        <v>0</v>
      </c>
      <c r="O474" t="n">
        <v>0</v>
      </c>
      <c r="P474" t="n">
        <v>0</v>
      </c>
      <c r="Q474" t="n">
        <v>0</v>
      </c>
      <c r="R474" s="2" t="inlineStr"/>
    </row>
    <row r="475" ht="15" customHeight="1">
      <c r="A475" t="inlineStr">
        <is>
          <t>A 58025-2025</t>
        </is>
      </c>
      <c r="B475" s="1" t="n">
        <v>45982</v>
      </c>
      <c r="C475" s="1" t="n">
        <v>46065</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57188-2025</t>
        </is>
      </c>
      <c r="B476" s="1" t="n">
        <v>45979</v>
      </c>
      <c r="C476" s="1" t="n">
        <v>46065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861-2026</t>
        </is>
      </c>
      <c r="B477" s="1" t="n">
        <v>46030</v>
      </c>
      <c r="C477" s="1" t="n">
        <v>46065</v>
      </c>
      <c r="D477" t="inlineStr">
        <is>
          <t>UPPSALA LÄN</t>
        </is>
      </c>
      <c r="E477" t="inlineStr">
        <is>
          <t>ENKÖPING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59668-2025</t>
        </is>
      </c>
      <c r="B478" s="1" t="n">
        <v>45992.45567129629</v>
      </c>
      <c r="C478" s="1" t="n">
        <v>46065</v>
      </c>
      <c r="D478" t="inlineStr">
        <is>
          <t>UPPSALA LÄN</t>
        </is>
      </c>
      <c r="E478" t="inlineStr">
        <is>
          <t>ENKÖPING</t>
        </is>
      </c>
      <c r="G478" t="n">
        <v>3.3</v>
      </c>
      <c r="H478" t="n">
        <v>0</v>
      </c>
      <c r="I478" t="n">
        <v>0</v>
      </c>
      <c r="J478" t="n">
        <v>0</v>
      </c>
      <c r="K478" t="n">
        <v>0</v>
      </c>
      <c r="L478" t="n">
        <v>0</v>
      </c>
      <c r="M478" t="n">
        <v>0</v>
      </c>
      <c r="N478" t="n">
        <v>0</v>
      </c>
      <c r="O478" t="n">
        <v>0</v>
      </c>
      <c r="P478" t="n">
        <v>0</v>
      </c>
      <c r="Q478" t="n">
        <v>0</v>
      </c>
      <c r="R478" s="2" t="inlineStr"/>
    </row>
    <row r="479" ht="15" customHeight="1">
      <c r="A479" t="inlineStr">
        <is>
          <t>A 2218-2026</t>
        </is>
      </c>
      <c r="B479" s="1" t="n">
        <v>46036.50010416667</v>
      </c>
      <c r="C479" s="1" t="n">
        <v>46065</v>
      </c>
      <c r="D479" t="inlineStr">
        <is>
          <t>UPPSALA LÄN</t>
        </is>
      </c>
      <c r="E479" t="inlineStr">
        <is>
          <t>ENKÖPING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59964-2025</t>
        </is>
      </c>
      <c r="B480" s="1" t="n">
        <v>45993.48043981481</v>
      </c>
      <c r="C480" s="1" t="n">
        <v>46065</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60174-2025</t>
        </is>
      </c>
      <c r="B481" s="1" t="n">
        <v>45994.45039351852</v>
      </c>
      <c r="C481" s="1" t="n">
        <v>46065</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60175-2025</t>
        </is>
      </c>
      <c r="B482" s="1" t="n">
        <v>45994.45378472222</v>
      </c>
      <c r="C482" s="1" t="n">
        <v>46065</v>
      </c>
      <c r="D482" t="inlineStr">
        <is>
          <t>UPPSALA LÄN</t>
        </is>
      </c>
      <c r="E482" t="inlineStr">
        <is>
          <t>ENKÖPING</t>
        </is>
      </c>
      <c r="G482" t="n">
        <v>2.4</v>
      </c>
      <c r="H482" t="n">
        <v>0</v>
      </c>
      <c r="I482" t="n">
        <v>0</v>
      </c>
      <c r="J482" t="n">
        <v>0</v>
      </c>
      <c r="K482" t="n">
        <v>0</v>
      </c>
      <c r="L482" t="n">
        <v>0</v>
      </c>
      <c r="M482" t="n">
        <v>0</v>
      </c>
      <c r="N482" t="n">
        <v>0</v>
      </c>
      <c r="O482" t="n">
        <v>0</v>
      </c>
      <c r="P482" t="n">
        <v>0</v>
      </c>
      <c r="Q482" t="n">
        <v>0</v>
      </c>
      <c r="R482" s="2" t="inlineStr"/>
    </row>
    <row r="483" ht="15" customHeight="1">
      <c r="A483" t="inlineStr">
        <is>
          <t>A 60340-2025</t>
        </is>
      </c>
      <c r="B483" s="1" t="n">
        <v>45994.83415509259</v>
      </c>
      <c r="C483" s="1" t="n">
        <v>46065</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60947-2025</t>
        </is>
      </c>
      <c r="B484" s="1" t="n">
        <v>45999</v>
      </c>
      <c r="C484" s="1" t="n">
        <v>46065</v>
      </c>
      <c r="D484" t="inlineStr">
        <is>
          <t>UPPSALA LÄN</t>
        </is>
      </c>
      <c r="E484" t="inlineStr">
        <is>
          <t>ENKÖPING</t>
        </is>
      </c>
      <c r="G484" t="n">
        <v>4</v>
      </c>
      <c r="H484" t="n">
        <v>0</v>
      </c>
      <c r="I484" t="n">
        <v>0</v>
      </c>
      <c r="J484" t="n">
        <v>0</v>
      </c>
      <c r="K484" t="n">
        <v>0</v>
      </c>
      <c r="L484" t="n">
        <v>0</v>
      </c>
      <c r="M484" t="n">
        <v>0</v>
      </c>
      <c r="N484" t="n">
        <v>0</v>
      </c>
      <c r="O484" t="n">
        <v>0</v>
      </c>
      <c r="P484" t="n">
        <v>0</v>
      </c>
      <c r="Q484" t="n">
        <v>0</v>
      </c>
      <c r="R484" s="2" t="inlineStr"/>
    </row>
    <row r="485" ht="15" customHeight="1">
      <c r="A485" t="inlineStr">
        <is>
          <t>A 29477-2025</t>
        </is>
      </c>
      <c r="B485" s="1" t="n">
        <v>45824.71537037037</v>
      </c>
      <c r="C485" s="1" t="n">
        <v>46065</v>
      </c>
      <c r="D485" t="inlineStr">
        <is>
          <t>UPPSALA LÄN</t>
        </is>
      </c>
      <c r="E485" t="inlineStr">
        <is>
          <t>ENKÖPING</t>
        </is>
      </c>
      <c r="G485" t="n">
        <v>13.4</v>
      </c>
      <c r="H485" t="n">
        <v>0</v>
      </c>
      <c r="I485" t="n">
        <v>0</v>
      </c>
      <c r="J485" t="n">
        <v>0</v>
      </c>
      <c r="K485" t="n">
        <v>0</v>
      </c>
      <c r="L485" t="n">
        <v>0</v>
      </c>
      <c r="M485" t="n">
        <v>0</v>
      </c>
      <c r="N485" t="n">
        <v>0</v>
      </c>
      <c r="O485" t="n">
        <v>0</v>
      </c>
      <c r="P485" t="n">
        <v>0</v>
      </c>
      <c r="Q485" t="n">
        <v>0</v>
      </c>
      <c r="R485" s="2" t="inlineStr"/>
    </row>
    <row r="486" ht="15" customHeight="1">
      <c r="A486" t="inlineStr">
        <is>
          <t>A 60934-2025</t>
        </is>
      </c>
      <c r="B486" s="1" t="n">
        <v>45999</v>
      </c>
      <c r="C486" s="1" t="n">
        <v>46065</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61437-2025</t>
        </is>
      </c>
      <c r="B487" s="1" t="n">
        <v>46001.5659375</v>
      </c>
      <c r="C487" s="1" t="n">
        <v>46065</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38941-2025</t>
        </is>
      </c>
      <c r="B488" s="1" t="n">
        <v>45887</v>
      </c>
      <c r="C488" s="1" t="n">
        <v>46065</v>
      </c>
      <c r="D488" t="inlineStr">
        <is>
          <t>UPPSALA LÄN</t>
        </is>
      </c>
      <c r="E488" t="inlineStr">
        <is>
          <t>ENKÖPING</t>
        </is>
      </c>
      <c r="F488" t="inlineStr">
        <is>
          <t>Övriga statliga verk och myndigheter</t>
        </is>
      </c>
      <c r="G488" t="n">
        <v>0.6</v>
      </c>
      <c r="H488" t="n">
        <v>0</v>
      </c>
      <c r="I488" t="n">
        <v>0</v>
      </c>
      <c r="J488" t="n">
        <v>0</v>
      </c>
      <c r="K488" t="n">
        <v>0</v>
      </c>
      <c r="L488" t="n">
        <v>0</v>
      </c>
      <c r="M488" t="n">
        <v>0</v>
      </c>
      <c r="N488" t="n">
        <v>0</v>
      </c>
      <c r="O488" t="n">
        <v>0</v>
      </c>
      <c r="P488" t="n">
        <v>0</v>
      </c>
      <c r="Q488" t="n">
        <v>0</v>
      </c>
      <c r="R488" s="2" t="inlineStr"/>
    </row>
    <row r="489" ht="15" customHeight="1">
      <c r="A489" t="inlineStr">
        <is>
          <t>A 61778-2025</t>
        </is>
      </c>
      <c r="B489" s="1" t="n">
        <v>46002.66555555556</v>
      </c>
      <c r="C489" s="1" t="n">
        <v>46065</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61811-2025</t>
        </is>
      </c>
      <c r="B490" s="1" t="n">
        <v>46002.90059027778</v>
      </c>
      <c r="C490" s="1" t="n">
        <v>46065</v>
      </c>
      <c r="D490" t="inlineStr">
        <is>
          <t>UPPSALA LÄN</t>
        </is>
      </c>
      <c r="E490" t="inlineStr">
        <is>
          <t>ENKÖPING</t>
        </is>
      </c>
      <c r="F490" t="inlineStr">
        <is>
          <t>Allmännings- och besparingsskogar</t>
        </is>
      </c>
      <c r="G490" t="n">
        <v>4.7</v>
      </c>
      <c r="H490" t="n">
        <v>0</v>
      </c>
      <c r="I490" t="n">
        <v>0</v>
      </c>
      <c r="J490" t="n">
        <v>0</v>
      </c>
      <c r="K490" t="n">
        <v>0</v>
      </c>
      <c r="L490" t="n">
        <v>0</v>
      </c>
      <c r="M490" t="n">
        <v>0</v>
      </c>
      <c r="N490" t="n">
        <v>0</v>
      </c>
      <c r="O490" t="n">
        <v>0</v>
      </c>
      <c r="P490" t="n">
        <v>0</v>
      </c>
      <c r="Q490" t="n">
        <v>0</v>
      </c>
      <c r="R490" s="2" t="inlineStr"/>
    </row>
    <row r="491" ht="15" customHeight="1">
      <c r="A491" t="inlineStr">
        <is>
          <t>A 61889-2025</t>
        </is>
      </c>
      <c r="B491" s="1" t="n">
        <v>46003.44765046296</v>
      </c>
      <c r="C491" s="1" t="n">
        <v>46065</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62772-2025</t>
        </is>
      </c>
      <c r="B492" s="1" t="n">
        <v>46008.60365740741</v>
      </c>
      <c r="C492" s="1" t="n">
        <v>46065</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62599-2025</t>
        </is>
      </c>
      <c r="B493" s="1" t="n">
        <v>46007.91961805556</v>
      </c>
      <c r="C493" s="1" t="n">
        <v>46065</v>
      </c>
      <c r="D493" t="inlineStr">
        <is>
          <t>UPPSALA LÄN</t>
        </is>
      </c>
      <c r="E493" t="inlineStr">
        <is>
          <t>ENKÖPING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5104-2026</t>
        </is>
      </c>
      <c r="B494" s="1" t="n">
        <v>46049.56914351852</v>
      </c>
      <c r="C494" s="1" t="n">
        <v>46065</v>
      </c>
      <c r="D494" t="inlineStr">
        <is>
          <t>UPPSALA LÄN</t>
        </is>
      </c>
      <c r="E494" t="inlineStr">
        <is>
          <t>ENKÖPING</t>
        </is>
      </c>
      <c r="G494" t="n">
        <v>2.3</v>
      </c>
      <c r="H494" t="n">
        <v>0</v>
      </c>
      <c r="I494" t="n">
        <v>0</v>
      </c>
      <c r="J494" t="n">
        <v>0</v>
      </c>
      <c r="K494" t="n">
        <v>0</v>
      </c>
      <c r="L494" t="n">
        <v>0</v>
      </c>
      <c r="M494" t="n">
        <v>0</v>
      </c>
      <c r="N494" t="n">
        <v>0</v>
      </c>
      <c r="O494" t="n">
        <v>0</v>
      </c>
      <c r="P494" t="n">
        <v>0</v>
      </c>
      <c r="Q494" t="n">
        <v>0</v>
      </c>
      <c r="R494" s="2" t="inlineStr"/>
    </row>
    <row r="495" ht="15" customHeight="1">
      <c r="A495" t="inlineStr">
        <is>
          <t>A 62601-2025</t>
        </is>
      </c>
      <c r="B495" s="1" t="n">
        <v>46007.92395833333</v>
      </c>
      <c r="C495" s="1" t="n">
        <v>46065</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62602-2025</t>
        </is>
      </c>
      <c r="B496" s="1" t="n">
        <v>46007.92581018519</v>
      </c>
      <c r="C496" s="1" t="n">
        <v>46065</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62600-2025</t>
        </is>
      </c>
      <c r="B497" s="1" t="n">
        <v>46007.92175925926</v>
      </c>
      <c r="C497" s="1" t="n">
        <v>46065</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63128-2025</t>
        </is>
      </c>
      <c r="B498" s="1" t="n">
        <v>46009</v>
      </c>
      <c r="C498" s="1" t="n">
        <v>46065</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6044-2026</t>
        </is>
      </c>
      <c r="B499" s="1" t="n">
        <v>46052.62506944445</v>
      </c>
      <c r="C499" s="1" t="n">
        <v>46065</v>
      </c>
      <c r="D499" t="inlineStr">
        <is>
          <t>UPPSALA LÄN</t>
        </is>
      </c>
      <c r="E499" t="inlineStr">
        <is>
          <t>ENKÖPING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6031-2026</t>
        </is>
      </c>
      <c r="B500" s="1" t="n">
        <v>46052.61201388889</v>
      </c>
      <c r="C500" s="1" t="n">
        <v>46065</v>
      </c>
      <c r="D500" t="inlineStr">
        <is>
          <t>UPPSALA LÄN</t>
        </is>
      </c>
      <c r="E500" t="inlineStr">
        <is>
          <t>ENKÖPING</t>
        </is>
      </c>
      <c r="G500" t="n">
        <v>4.1</v>
      </c>
      <c r="H500" t="n">
        <v>0</v>
      </c>
      <c r="I500" t="n">
        <v>0</v>
      </c>
      <c r="J500" t="n">
        <v>0</v>
      </c>
      <c r="K500" t="n">
        <v>0</v>
      </c>
      <c r="L500" t="n">
        <v>0</v>
      </c>
      <c r="M500" t="n">
        <v>0</v>
      </c>
      <c r="N500" t="n">
        <v>0</v>
      </c>
      <c r="O500" t="n">
        <v>0</v>
      </c>
      <c r="P500" t="n">
        <v>0</v>
      </c>
      <c r="Q500" t="n">
        <v>0</v>
      </c>
      <c r="R500" s="2" t="inlineStr"/>
    </row>
    <row r="501" ht="15" customHeight="1">
      <c r="A501" t="inlineStr">
        <is>
          <t>A 6049-2026</t>
        </is>
      </c>
      <c r="B501" s="1" t="n">
        <v>46052.63005787037</v>
      </c>
      <c r="C501" s="1" t="n">
        <v>46065</v>
      </c>
      <c r="D501" t="inlineStr">
        <is>
          <t>UPPSALA LÄN</t>
        </is>
      </c>
      <c r="E501" t="inlineStr">
        <is>
          <t>ENKÖPING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6047-2026</t>
        </is>
      </c>
      <c r="B502" s="1" t="n">
        <v>46052.62738425926</v>
      </c>
      <c r="C502" s="1" t="n">
        <v>46065</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5953-2026</t>
        </is>
      </c>
      <c r="B503" s="1" t="n">
        <v>46052.49119212963</v>
      </c>
      <c r="C503" s="1" t="n">
        <v>46065</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6041-2026</t>
        </is>
      </c>
      <c r="B504" s="1" t="n">
        <v>46052.62184027778</v>
      </c>
      <c r="C504" s="1" t="n">
        <v>46065</v>
      </c>
      <c r="D504" t="inlineStr">
        <is>
          <t>UPPSALA LÄN</t>
        </is>
      </c>
      <c r="E504" t="inlineStr">
        <is>
          <t>ENKÖPING</t>
        </is>
      </c>
      <c r="G504" t="n">
        <v>4</v>
      </c>
      <c r="H504" t="n">
        <v>0</v>
      </c>
      <c r="I504" t="n">
        <v>0</v>
      </c>
      <c r="J504" t="n">
        <v>0</v>
      </c>
      <c r="K504" t="n">
        <v>0</v>
      </c>
      <c r="L504" t="n">
        <v>0</v>
      </c>
      <c r="M504" t="n">
        <v>0</v>
      </c>
      <c r="N504" t="n">
        <v>0</v>
      </c>
      <c r="O504" t="n">
        <v>0</v>
      </c>
      <c r="P504" t="n">
        <v>0</v>
      </c>
      <c r="Q504" t="n">
        <v>0</v>
      </c>
      <c r="R504" s="2" t="inlineStr"/>
    </row>
    <row r="505" ht="15" customHeight="1">
      <c r="A505" t="inlineStr">
        <is>
          <t>A 5569-2026</t>
        </is>
      </c>
      <c r="B505" s="1" t="n">
        <v>46050.89431712963</v>
      </c>
      <c r="C505" s="1" t="n">
        <v>46065</v>
      </c>
      <c r="D505" t="inlineStr">
        <is>
          <t>UPPSALA LÄN</t>
        </is>
      </c>
      <c r="E505" t="inlineStr">
        <is>
          <t>ENKÖPING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5948-2026</t>
        </is>
      </c>
      <c r="B506" s="1" t="n">
        <v>46052</v>
      </c>
      <c r="C506" s="1" t="n">
        <v>46065</v>
      </c>
      <c r="D506" t="inlineStr">
        <is>
          <t>UPPSALA LÄN</t>
        </is>
      </c>
      <c r="E506" t="inlineStr">
        <is>
          <t>ENKÖPING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7003-2026</t>
        </is>
      </c>
      <c r="B507" s="1" t="n">
        <v>46057.63243055555</v>
      </c>
      <c r="C507" s="1" t="n">
        <v>46065</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7008-2026</t>
        </is>
      </c>
      <c r="B508" s="1" t="n">
        <v>46057.63806712963</v>
      </c>
      <c r="C508" s="1" t="n">
        <v>46065</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7168-2026</t>
        </is>
      </c>
      <c r="B509" s="1" t="n">
        <v>46058.45831018518</v>
      </c>
      <c r="C509" s="1" t="n">
        <v>46065</v>
      </c>
      <c r="D509" t="inlineStr">
        <is>
          <t>UPPSALA LÄN</t>
        </is>
      </c>
      <c r="E509" t="inlineStr">
        <is>
          <t>ENKÖPING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7175-2026</t>
        </is>
      </c>
      <c r="B510" s="1" t="n">
        <v>46058.46399305556</v>
      </c>
      <c r="C510" s="1" t="n">
        <v>46065</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7167-2026</t>
        </is>
      </c>
      <c r="B511" s="1" t="n">
        <v>46058.45677083333</v>
      </c>
      <c r="C511" s="1" t="n">
        <v>46065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7172-2026</t>
        </is>
      </c>
      <c r="B512" s="1" t="n">
        <v>46058.46113425926</v>
      </c>
      <c r="C512" s="1" t="n">
        <v>46065</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60848-2025</t>
        </is>
      </c>
      <c r="B513" s="1" t="n">
        <v>45999</v>
      </c>
      <c r="C513" s="1" t="n">
        <v>46065</v>
      </c>
      <c r="D513" t="inlineStr">
        <is>
          <t>UPPSALA LÄN</t>
        </is>
      </c>
      <c r="E513" t="inlineStr">
        <is>
          <t>ENKÖPING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192-2026</t>
        </is>
      </c>
      <c r="B514" s="1" t="n">
        <v>46025</v>
      </c>
      <c r="C514" s="1" t="n">
        <v>46065</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8309-2026</t>
        </is>
      </c>
      <c r="B515" s="1" t="n">
        <v>46064.59081018518</v>
      </c>
      <c r="C515" s="1" t="n">
        <v>46065</v>
      </c>
      <c r="D515" t="inlineStr">
        <is>
          <t>UPPSALA LÄN</t>
        </is>
      </c>
      <c r="E515" t="inlineStr">
        <is>
          <t>ENKÖPING</t>
        </is>
      </c>
      <c r="G515" t="n">
        <v>1.9</v>
      </c>
      <c r="H515" t="n">
        <v>0</v>
      </c>
      <c r="I515" t="n">
        <v>0</v>
      </c>
      <c r="J515" t="n">
        <v>0</v>
      </c>
      <c r="K515" t="n">
        <v>0</v>
      </c>
      <c r="L515" t="n">
        <v>0</v>
      </c>
      <c r="M515" t="n">
        <v>0</v>
      </c>
      <c r="N515" t="n">
        <v>0</v>
      </c>
      <c r="O515" t="n">
        <v>0</v>
      </c>
      <c r="P515" t="n">
        <v>0</v>
      </c>
      <c r="Q515" t="n">
        <v>0</v>
      </c>
      <c r="R515" s="2" t="inlineStr"/>
    </row>
    <row r="516">
      <c r="A516" t="inlineStr">
        <is>
          <t>A 2258-2026</t>
        </is>
      </c>
      <c r="B516" s="1" t="n">
        <v>46036</v>
      </c>
      <c r="C516" s="1" t="n">
        <v>46065</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2026-02-12T11:05:17Z</dcterms:created>
  <dcterms:modified xmlns:dcterms="http://purl.org/dc/terms/" xmlns:xsi="http://www.w3.org/2001/XMLSchema-instance" xsi:type="dcterms:W3CDTF">2026-02-12T11:05:18Z</dcterms:modified>
</cp:coreProperties>
</file>