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45940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45940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45940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45940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45940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45940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45940</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45940</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45940</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45940</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45940</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45940</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21970-2025</t>
        </is>
      </c>
      <c r="B15" s="1" t="n">
        <v>45784.63335648148</v>
      </c>
      <c r="C15" s="1" t="n">
        <v>45940</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52092-2022</t>
        </is>
      </c>
      <c r="B16" s="1" t="n">
        <v>44873</v>
      </c>
      <c r="C16" s="1" t="n">
        <v>45940</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50105-2023</t>
        </is>
      </c>
      <c r="B17" s="1" t="n">
        <v>45215</v>
      </c>
      <c r="C17" s="1" t="n">
        <v>45940</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27073-2025</t>
        </is>
      </c>
      <c r="B18" s="1" t="n">
        <v>45811.64190972222</v>
      </c>
      <c r="C18" s="1" t="n">
        <v>45940</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425-2024</t>
        </is>
      </c>
      <c r="B19" s="1" t="n">
        <v>45296</v>
      </c>
      <c r="C19" s="1" t="n">
        <v>45940</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45940</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45940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45940</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46749-2024</t>
        </is>
      </c>
      <c r="B23" s="1" t="n">
        <v>45583.48347222222</v>
      </c>
      <c r="C23" s="1" t="n">
        <v>45940</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45940</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45940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17942-2024</t>
        </is>
      </c>
      <c r="B26" s="1" t="n">
        <v>45419</v>
      </c>
      <c r="C26" s="1" t="n">
        <v>45940</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26347-2025</t>
        </is>
      </c>
      <c r="B27" s="1" t="n">
        <v>45805.7403125</v>
      </c>
      <c r="C27" s="1" t="n">
        <v>45940</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45940</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23961-2022</t>
        </is>
      </c>
      <c r="B29" s="1" t="n">
        <v>44722</v>
      </c>
      <c r="C29" s="1" t="n">
        <v>45940</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45940</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45940</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28900-2024</t>
        </is>
      </c>
      <c r="B32" s="1" t="n">
        <v>45480</v>
      </c>
      <c r="C32" s="1" t="n">
        <v>45940</v>
      </c>
      <c r="D32" t="inlineStr">
        <is>
          <t>UPPSALA LÄN</t>
        </is>
      </c>
      <c r="E32" t="inlineStr">
        <is>
          <t>ENKÖPING</t>
        </is>
      </c>
      <c r="G32" t="n">
        <v>8.6</v>
      </c>
      <c r="H32" t="n">
        <v>1</v>
      </c>
      <c r="I32" t="n">
        <v>0</v>
      </c>
      <c r="J32" t="n">
        <v>0</v>
      </c>
      <c r="K32" t="n">
        <v>0</v>
      </c>
      <c r="L32" t="n">
        <v>0</v>
      </c>
      <c r="M32" t="n">
        <v>0</v>
      </c>
      <c r="N32" t="n">
        <v>0</v>
      </c>
      <c r="O32" t="n">
        <v>0</v>
      </c>
      <c r="P32" t="n">
        <v>0</v>
      </c>
      <c r="Q32" t="n">
        <v>1</v>
      </c>
      <c r="R32" s="2" t="inlineStr">
        <is>
          <t>Blåsippa</t>
        </is>
      </c>
      <c r="S32">
        <f>HYPERLINK("https://klasma.github.io/Logging_0381/artfynd/A 28900-2024 artfynd.xlsx", "A 28900-2024")</f>
        <v/>
      </c>
      <c r="T32">
        <f>HYPERLINK("https://klasma.github.io/Logging_0381/kartor/A 28900-2024 karta.png", "A 28900-2024")</f>
        <v/>
      </c>
      <c r="V32">
        <f>HYPERLINK("https://klasma.github.io/Logging_0381/klagomål/A 28900-2024 FSC-klagomål.docx", "A 28900-2024")</f>
        <v/>
      </c>
      <c r="W32">
        <f>HYPERLINK("https://klasma.github.io/Logging_0381/klagomålsmail/A 28900-2024 FSC-klagomål mail.docx", "A 28900-2024")</f>
        <v/>
      </c>
      <c r="X32">
        <f>HYPERLINK("https://klasma.github.io/Logging_0381/tillsyn/A 28900-2024 tillsynsbegäran.docx", "A 28900-2024")</f>
        <v/>
      </c>
      <c r="Y32">
        <f>HYPERLINK("https://klasma.github.io/Logging_0381/tillsynsmail/A 28900-2024 tillsynsbegäran mail.docx", "A 28900-2024")</f>
        <v/>
      </c>
    </row>
    <row r="33" ht="15" customHeight="1">
      <c r="A33" t="inlineStr">
        <is>
          <t>A 16683-2021</t>
        </is>
      </c>
      <c r="B33" s="1" t="n">
        <v>44294.58495370371</v>
      </c>
      <c r="C33" s="1" t="n">
        <v>45940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45940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45940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45940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45940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45940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45940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45940</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45940</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45940</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45940</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45940</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45940</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45940</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45940</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10202-2022</t>
        </is>
      </c>
      <c r="B48" s="1" t="n">
        <v>44622</v>
      </c>
      <c r="C48" s="1" t="n">
        <v>45940</v>
      </c>
      <c r="D48" t="inlineStr">
        <is>
          <t>UPPSALA LÄN</t>
        </is>
      </c>
      <c r="E48" t="inlineStr">
        <is>
          <t>ENKÖPING</t>
        </is>
      </c>
      <c r="G48" t="n">
        <v>5.6</v>
      </c>
      <c r="H48" t="n">
        <v>0</v>
      </c>
      <c r="I48" t="n">
        <v>0</v>
      </c>
      <c r="J48" t="n">
        <v>0</v>
      </c>
      <c r="K48" t="n">
        <v>0</v>
      </c>
      <c r="L48" t="n">
        <v>0</v>
      </c>
      <c r="M48" t="n">
        <v>0</v>
      </c>
      <c r="N48" t="n">
        <v>0</v>
      </c>
      <c r="O48" t="n">
        <v>0</v>
      </c>
      <c r="P48" t="n">
        <v>0</v>
      </c>
      <c r="Q48" t="n">
        <v>0</v>
      </c>
      <c r="R48" s="2" t="inlineStr"/>
    </row>
    <row r="49" ht="15" customHeight="1">
      <c r="A49" t="inlineStr">
        <is>
          <t>A 10207-2022</t>
        </is>
      </c>
      <c r="B49" s="1" t="n">
        <v>44622</v>
      </c>
      <c r="C49" s="1" t="n">
        <v>45940</v>
      </c>
      <c r="D49" t="inlineStr">
        <is>
          <t>UPPSALA LÄN</t>
        </is>
      </c>
      <c r="E49" t="inlineStr">
        <is>
          <t>ENKÖPING</t>
        </is>
      </c>
      <c r="G49" t="n">
        <v>4.9</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45940</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45940</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45940</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45940</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45940</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22058-2021</t>
        </is>
      </c>
      <c r="B55" s="1" t="n">
        <v>44323</v>
      </c>
      <c r="C55" s="1" t="n">
        <v>45940</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45940</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45940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45940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45940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45940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45940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45940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45940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45940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45940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45940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45940</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45940</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45940</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45940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45940</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45940</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45940</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45940</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45940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45940</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45940</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45940</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45940</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45940</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45940</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45940</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45940</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45940</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11688-2021</t>
        </is>
      </c>
      <c r="B85" s="1" t="n">
        <v>44264</v>
      </c>
      <c r="C85" s="1" t="n">
        <v>45940</v>
      </c>
      <c r="D85" t="inlineStr">
        <is>
          <t>UPPSALA LÄN</t>
        </is>
      </c>
      <c r="E85" t="inlineStr">
        <is>
          <t>ENKÖPING</t>
        </is>
      </c>
      <c r="G85" t="n">
        <v>4.7</v>
      </c>
      <c r="H85" t="n">
        <v>0</v>
      </c>
      <c r="I85" t="n">
        <v>0</v>
      </c>
      <c r="J85" t="n">
        <v>0</v>
      </c>
      <c r="K85" t="n">
        <v>0</v>
      </c>
      <c r="L85" t="n">
        <v>0</v>
      </c>
      <c r="M85" t="n">
        <v>0</v>
      </c>
      <c r="N85" t="n">
        <v>0</v>
      </c>
      <c r="O85" t="n">
        <v>0</v>
      </c>
      <c r="P85" t="n">
        <v>0</v>
      </c>
      <c r="Q85" t="n">
        <v>0</v>
      </c>
      <c r="R85" s="2" t="inlineStr"/>
    </row>
    <row r="86" ht="15" customHeight="1">
      <c r="A86" t="inlineStr">
        <is>
          <t>A 12538-2021</t>
        </is>
      </c>
      <c r="B86" s="1" t="n">
        <v>44269</v>
      </c>
      <c r="C86" s="1" t="n">
        <v>45940</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14839-2021</t>
        </is>
      </c>
      <c r="B87" s="1" t="n">
        <v>44280</v>
      </c>
      <c r="C87" s="1" t="n">
        <v>45940</v>
      </c>
      <c r="D87" t="inlineStr">
        <is>
          <t>UPPSALA LÄN</t>
        </is>
      </c>
      <c r="E87" t="inlineStr">
        <is>
          <t>ENKÖPING</t>
        </is>
      </c>
      <c r="G87" t="n">
        <v>11.4</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45940</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45940</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58798-2020</t>
        </is>
      </c>
      <c r="B90" s="1" t="n">
        <v>44146</v>
      </c>
      <c r="C90" s="1" t="n">
        <v>45940</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52464-2020</t>
        </is>
      </c>
      <c r="B91" s="1" t="n">
        <v>44118</v>
      </c>
      <c r="C91" s="1" t="n">
        <v>45940</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45940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57802-2020</t>
        </is>
      </c>
      <c r="B93" s="1" t="n">
        <v>44141</v>
      </c>
      <c r="C93" s="1" t="n">
        <v>45940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68107-2021</t>
        </is>
      </c>
      <c r="B94" s="1" t="n">
        <v>44526</v>
      </c>
      <c r="C94" s="1" t="n">
        <v>45940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45940</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45940</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45940</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45940</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17467-2022</t>
        </is>
      </c>
      <c r="B99" s="1" t="n">
        <v>44679</v>
      </c>
      <c r="C99" s="1" t="n">
        <v>45940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45940</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1971-2022</t>
        </is>
      </c>
      <c r="B101" s="1" t="n">
        <v>44575</v>
      </c>
      <c r="C101" s="1" t="n">
        <v>45940</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57055-2021</t>
        </is>
      </c>
      <c r="B102" s="1" t="n">
        <v>44482.55201388889</v>
      </c>
      <c r="C102" s="1" t="n">
        <v>45940</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45940</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60874-2021</t>
        </is>
      </c>
      <c r="B104" s="1" t="n">
        <v>44497</v>
      </c>
      <c r="C104" s="1" t="n">
        <v>45940</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20067-2021</t>
        </is>
      </c>
      <c r="B105" s="1" t="n">
        <v>44314</v>
      </c>
      <c r="C105" s="1" t="n">
        <v>45940</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45940</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45940</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45940</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19731-2022</t>
        </is>
      </c>
      <c r="B109" s="1" t="n">
        <v>44694</v>
      </c>
      <c r="C109" s="1" t="n">
        <v>45940</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68127-2021</t>
        </is>
      </c>
      <c r="B110" s="1" t="n">
        <v>44526.39513888889</v>
      </c>
      <c r="C110" s="1" t="n">
        <v>45940</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45940</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57043-2021</t>
        </is>
      </c>
      <c r="B112" s="1" t="n">
        <v>44482.53399305556</v>
      </c>
      <c r="C112" s="1" t="n">
        <v>45940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45940</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45940</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47516-2022</t>
        </is>
      </c>
      <c r="B115" s="1" t="n">
        <v>44853.68895833333</v>
      </c>
      <c r="C115" s="1" t="n">
        <v>45940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845-2025</t>
        </is>
      </c>
      <c r="B116" s="1" t="n">
        <v>45665</v>
      </c>
      <c r="C116" s="1" t="n">
        <v>45940</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849-2025</t>
        </is>
      </c>
      <c r="B117" s="1" t="n">
        <v>45665</v>
      </c>
      <c r="C117" s="1" t="n">
        <v>45940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52169-2020</t>
        </is>
      </c>
      <c r="B118" s="1" t="n">
        <v>44117</v>
      </c>
      <c r="C118" s="1" t="n">
        <v>45940</v>
      </c>
      <c r="D118" t="inlineStr">
        <is>
          <t>UPPSALA LÄN</t>
        </is>
      </c>
      <c r="E118" t="inlineStr">
        <is>
          <t>ENKÖPING</t>
        </is>
      </c>
      <c r="F118" t="inlineStr">
        <is>
          <t>Allmännings- och besparingsskogar</t>
        </is>
      </c>
      <c r="G118" t="n">
        <v>1.5</v>
      </c>
      <c r="H118" t="n">
        <v>0</v>
      </c>
      <c r="I118" t="n">
        <v>0</v>
      </c>
      <c r="J118" t="n">
        <v>0</v>
      </c>
      <c r="K118" t="n">
        <v>0</v>
      </c>
      <c r="L118" t="n">
        <v>0</v>
      </c>
      <c r="M118" t="n">
        <v>0</v>
      </c>
      <c r="N118" t="n">
        <v>0</v>
      </c>
      <c r="O118" t="n">
        <v>0</v>
      </c>
      <c r="P118" t="n">
        <v>0</v>
      </c>
      <c r="Q118" t="n">
        <v>0</v>
      </c>
      <c r="R118" s="2" t="inlineStr"/>
    </row>
    <row r="119" ht="15" customHeight="1">
      <c r="A119" t="inlineStr">
        <is>
          <t>A 62158-2023</t>
        </is>
      </c>
      <c r="B119" s="1" t="n">
        <v>45267</v>
      </c>
      <c r="C119" s="1" t="n">
        <v>45940</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60350-2022</t>
        </is>
      </c>
      <c r="B120" s="1" t="n">
        <v>44910</v>
      </c>
      <c r="C120" s="1" t="n">
        <v>45940</v>
      </c>
      <c r="D120" t="inlineStr">
        <is>
          <t>UPPSALA LÄN</t>
        </is>
      </c>
      <c r="E120" t="inlineStr">
        <is>
          <t>ENKÖPING</t>
        </is>
      </c>
      <c r="F120" t="inlineStr">
        <is>
          <t>Allmännings- och besparingsskogar</t>
        </is>
      </c>
      <c r="G120" t="n">
        <v>3.5</v>
      </c>
      <c r="H120" t="n">
        <v>0</v>
      </c>
      <c r="I120" t="n">
        <v>0</v>
      </c>
      <c r="J120" t="n">
        <v>0</v>
      </c>
      <c r="K120" t="n">
        <v>0</v>
      </c>
      <c r="L120" t="n">
        <v>0</v>
      </c>
      <c r="M120" t="n">
        <v>0</v>
      </c>
      <c r="N120" t="n">
        <v>0</v>
      </c>
      <c r="O120" t="n">
        <v>0</v>
      </c>
      <c r="P120" t="n">
        <v>0</v>
      </c>
      <c r="Q120" t="n">
        <v>0</v>
      </c>
      <c r="R120" s="2" t="inlineStr"/>
    </row>
    <row r="121" ht="15" customHeight="1">
      <c r="A121" t="inlineStr">
        <is>
          <t>A 2850-2025</t>
        </is>
      </c>
      <c r="B121" s="1" t="n">
        <v>45677</v>
      </c>
      <c r="C121" s="1" t="n">
        <v>45940</v>
      </c>
      <c r="D121" t="inlineStr">
        <is>
          <t>UPPSALA LÄN</t>
        </is>
      </c>
      <c r="E121" t="inlineStr">
        <is>
          <t>ENKÖPING</t>
        </is>
      </c>
      <c r="G121" t="n">
        <v>0.3</v>
      </c>
      <c r="H121" t="n">
        <v>0</v>
      </c>
      <c r="I121" t="n">
        <v>0</v>
      </c>
      <c r="J121" t="n">
        <v>0</v>
      </c>
      <c r="K121" t="n">
        <v>0</v>
      </c>
      <c r="L121" t="n">
        <v>0</v>
      </c>
      <c r="M121" t="n">
        <v>0</v>
      </c>
      <c r="N121" t="n">
        <v>0</v>
      </c>
      <c r="O121" t="n">
        <v>0</v>
      </c>
      <c r="P121" t="n">
        <v>0</v>
      </c>
      <c r="Q121" t="n">
        <v>0</v>
      </c>
      <c r="R121" s="2" t="inlineStr"/>
    </row>
    <row r="122" ht="15" customHeight="1">
      <c r="A122" t="inlineStr">
        <is>
          <t>A 15021-2022</t>
        </is>
      </c>
      <c r="B122" s="1" t="n">
        <v>44657</v>
      </c>
      <c r="C122" s="1" t="n">
        <v>45940</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15757-2023</t>
        </is>
      </c>
      <c r="B123" s="1" t="n">
        <v>45021</v>
      </c>
      <c r="C123" s="1" t="n">
        <v>45940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35647-2021</t>
        </is>
      </c>
      <c r="B124" s="1" t="n">
        <v>44386</v>
      </c>
      <c r="C124" s="1" t="n">
        <v>45940</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2161-2023</t>
        </is>
      </c>
      <c r="B125" s="1" t="n">
        <v>44941</v>
      </c>
      <c r="C125" s="1" t="n">
        <v>45940</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2165-2023</t>
        </is>
      </c>
      <c r="B126" s="1" t="n">
        <v>44941</v>
      </c>
      <c r="C126" s="1" t="n">
        <v>45940</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20112-2024</t>
        </is>
      </c>
      <c r="B127" s="1" t="n">
        <v>45434</v>
      </c>
      <c r="C127" s="1" t="n">
        <v>45940</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29983-2021</t>
        </is>
      </c>
      <c r="B128" s="1" t="n">
        <v>44363</v>
      </c>
      <c r="C128" s="1" t="n">
        <v>45940</v>
      </c>
      <c r="D128" t="inlineStr">
        <is>
          <t>UPPSALA LÄN</t>
        </is>
      </c>
      <c r="E128" t="inlineStr">
        <is>
          <t>ENKÖPING</t>
        </is>
      </c>
      <c r="F128" t="inlineStr">
        <is>
          <t>Kommuner</t>
        </is>
      </c>
      <c r="G128" t="n">
        <v>3.1</v>
      </c>
      <c r="H128" t="n">
        <v>0</v>
      </c>
      <c r="I128" t="n">
        <v>0</v>
      </c>
      <c r="J128" t="n">
        <v>0</v>
      </c>
      <c r="K128" t="n">
        <v>0</v>
      </c>
      <c r="L128" t="n">
        <v>0</v>
      </c>
      <c r="M128" t="n">
        <v>0</v>
      </c>
      <c r="N128" t="n">
        <v>0</v>
      </c>
      <c r="O128" t="n">
        <v>0</v>
      </c>
      <c r="P128" t="n">
        <v>0</v>
      </c>
      <c r="Q128" t="n">
        <v>0</v>
      </c>
      <c r="R128" s="2" t="inlineStr"/>
    </row>
    <row r="129" ht="15" customHeight="1">
      <c r="A129" t="inlineStr">
        <is>
          <t>A 44131-2023</t>
        </is>
      </c>
      <c r="B129" s="1" t="n">
        <v>45188</v>
      </c>
      <c r="C129" s="1" t="n">
        <v>45940</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10458-2022</t>
        </is>
      </c>
      <c r="B130" s="1" t="n">
        <v>44623.56711805556</v>
      </c>
      <c r="C130" s="1" t="n">
        <v>45940</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60533-2021</t>
        </is>
      </c>
      <c r="B131" s="1" t="n">
        <v>44496</v>
      </c>
      <c r="C131" s="1" t="n">
        <v>45940</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44115-2024</t>
        </is>
      </c>
      <c r="B132" s="1" t="n">
        <v>45572</v>
      </c>
      <c r="C132" s="1" t="n">
        <v>45940</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35052-2024</t>
        </is>
      </c>
      <c r="B133" s="1" t="n">
        <v>45527.6516087963</v>
      </c>
      <c r="C133" s="1" t="n">
        <v>45940</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51008-2024</t>
        </is>
      </c>
      <c r="B134" s="1" t="n">
        <v>45603.39041666667</v>
      </c>
      <c r="C134" s="1" t="n">
        <v>45940</v>
      </c>
      <c r="D134" t="inlineStr">
        <is>
          <t>UPPSALA LÄN</t>
        </is>
      </c>
      <c r="E134" t="inlineStr">
        <is>
          <t>ENKÖPING</t>
        </is>
      </c>
      <c r="G134" t="n">
        <v>2.4</v>
      </c>
      <c r="H134" t="n">
        <v>0</v>
      </c>
      <c r="I134" t="n">
        <v>0</v>
      </c>
      <c r="J134" t="n">
        <v>0</v>
      </c>
      <c r="K134" t="n">
        <v>0</v>
      </c>
      <c r="L134" t="n">
        <v>0</v>
      </c>
      <c r="M134" t="n">
        <v>0</v>
      </c>
      <c r="N134" t="n">
        <v>0</v>
      </c>
      <c r="O134" t="n">
        <v>0</v>
      </c>
      <c r="P134" t="n">
        <v>0</v>
      </c>
      <c r="Q134" t="n">
        <v>0</v>
      </c>
      <c r="R134" s="2" t="inlineStr"/>
    </row>
    <row r="135" ht="15" customHeight="1">
      <c r="A135" t="inlineStr">
        <is>
          <t>A 9957-2023</t>
        </is>
      </c>
      <c r="B135" s="1" t="n">
        <v>44978</v>
      </c>
      <c r="C135" s="1" t="n">
        <v>45940</v>
      </c>
      <c r="D135" t="inlineStr">
        <is>
          <t>UPPSALA LÄN</t>
        </is>
      </c>
      <c r="E135" t="inlineStr">
        <is>
          <t>ENKÖPING</t>
        </is>
      </c>
      <c r="G135" t="n">
        <v>5.9</v>
      </c>
      <c r="H135" t="n">
        <v>0</v>
      </c>
      <c r="I135" t="n">
        <v>0</v>
      </c>
      <c r="J135" t="n">
        <v>0</v>
      </c>
      <c r="K135" t="n">
        <v>0</v>
      </c>
      <c r="L135" t="n">
        <v>0</v>
      </c>
      <c r="M135" t="n">
        <v>0</v>
      </c>
      <c r="N135" t="n">
        <v>0</v>
      </c>
      <c r="O135" t="n">
        <v>0</v>
      </c>
      <c r="P135" t="n">
        <v>0</v>
      </c>
      <c r="Q135" t="n">
        <v>0</v>
      </c>
      <c r="R135" s="2" t="inlineStr"/>
    </row>
    <row r="136" ht="15" customHeight="1">
      <c r="A136" t="inlineStr">
        <is>
          <t>A 2162-2023</t>
        </is>
      </c>
      <c r="B136" s="1" t="n">
        <v>44941</v>
      </c>
      <c r="C136" s="1" t="n">
        <v>45940</v>
      </c>
      <c r="D136" t="inlineStr">
        <is>
          <t>UPPSALA LÄN</t>
        </is>
      </c>
      <c r="E136" t="inlineStr">
        <is>
          <t>ENKÖPING</t>
        </is>
      </c>
      <c r="G136" t="n">
        <v>2.4</v>
      </c>
      <c r="H136" t="n">
        <v>0</v>
      </c>
      <c r="I136" t="n">
        <v>0</v>
      </c>
      <c r="J136" t="n">
        <v>0</v>
      </c>
      <c r="K136" t="n">
        <v>0</v>
      </c>
      <c r="L136" t="n">
        <v>0</v>
      </c>
      <c r="M136" t="n">
        <v>0</v>
      </c>
      <c r="N136" t="n">
        <v>0</v>
      </c>
      <c r="O136" t="n">
        <v>0</v>
      </c>
      <c r="P136" t="n">
        <v>0</v>
      </c>
      <c r="Q136" t="n">
        <v>0</v>
      </c>
      <c r="R136" s="2" t="inlineStr"/>
    </row>
    <row r="137" ht="15" customHeight="1">
      <c r="A137" t="inlineStr">
        <is>
          <t>A 63402-2023</t>
        </is>
      </c>
      <c r="B137" s="1" t="n">
        <v>45274.50646990741</v>
      </c>
      <c r="C137" s="1" t="n">
        <v>45940</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32081-2024</t>
        </is>
      </c>
      <c r="B138" s="1" t="n">
        <v>45511.34605324074</v>
      </c>
      <c r="C138" s="1" t="n">
        <v>45940</v>
      </c>
      <c r="D138" t="inlineStr">
        <is>
          <t>UPPSALA LÄN</t>
        </is>
      </c>
      <c r="E138" t="inlineStr">
        <is>
          <t>ENKÖPING</t>
        </is>
      </c>
      <c r="G138" t="n">
        <v>5.4</v>
      </c>
      <c r="H138" t="n">
        <v>0</v>
      </c>
      <c r="I138" t="n">
        <v>0</v>
      </c>
      <c r="J138" t="n">
        <v>0</v>
      </c>
      <c r="K138" t="n">
        <v>0</v>
      </c>
      <c r="L138" t="n">
        <v>0</v>
      </c>
      <c r="M138" t="n">
        <v>0</v>
      </c>
      <c r="N138" t="n">
        <v>0</v>
      </c>
      <c r="O138" t="n">
        <v>0</v>
      </c>
      <c r="P138" t="n">
        <v>0</v>
      </c>
      <c r="Q138" t="n">
        <v>0</v>
      </c>
      <c r="R138" s="2" t="inlineStr"/>
    </row>
    <row r="139" ht="15" customHeight="1">
      <c r="A139" t="inlineStr">
        <is>
          <t>A 16916-2023</t>
        </is>
      </c>
      <c r="B139" s="1" t="n">
        <v>45033.58347222222</v>
      </c>
      <c r="C139" s="1" t="n">
        <v>45940</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56886-2023</t>
        </is>
      </c>
      <c r="B140" s="1" t="n">
        <v>45239</v>
      </c>
      <c r="C140" s="1" t="n">
        <v>45940</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2968-2025</t>
        </is>
      </c>
      <c r="B141" s="1" t="n">
        <v>45678</v>
      </c>
      <c r="C141" s="1" t="n">
        <v>45940</v>
      </c>
      <c r="D141" t="inlineStr">
        <is>
          <t>UPPSALA LÄN</t>
        </is>
      </c>
      <c r="E141" t="inlineStr">
        <is>
          <t>ENKÖPING</t>
        </is>
      </c>
      <c r="G141" t="n">
        <v>1.1</v>
      </c>
      <c r="H141" t="n">
        <v>0</v>
      </c>
      <c r="I141" t="n">
        <v>0</v>
      </c>
      <c r="J141" t="n">
        <v>0</v>
      </c>
      <c r="K141" t="n">
        <v>0</v>
      </c>
      <c r="L141" t="n">
        <v>0</v>
      </c>
      <c r="M141" t="n">
        <v>0</v>
      </c>
      <c r="N141" t="n">
        <v>0</v>
      </c>
      <c r="O141" t="n">
        <v>0</v>
      </c>
      <c r="P141" t="n">
        <v>0</v>
      </c>
      <c r="Q141" t="n">
        <v>0</v>
      </c>
      <c r="R141" s="2" t="inlineStr"/>
    </row>
    <row r="142" ht="15" customHeight="1">
      <c r="A142" t="inlineStr">
        <is>
          <t>A 49063-2024</t>
        </is>
      </c>
      <c r="B142" s="1" t="n">
        <v>45594.59869212963</v>
      </c>
      <c r="C142" s="1" t="n">
        <v>45940</v>
      </c>
      <c r="D142" t="inlineStr">
        <is>
          <t>UPPSALA LÄN</t>
        </is>
      </c>
      <c r="E142" t="inlineStr">
        <is>
          <t>ENKÖPING</t>
        </is>
      </c>
      <c r="G142" t="n">
        <v>1.5</v>
      </c>
      <c r="H142" t="n">
        <v>0</v>
      </c>
      <c r="I142" t="n">
        <v>0</v>
      </c>
      <c r="J142" t="n">
        <v>0</v>
      </c>
      <c r="K142" t="n">
        <v>0</v>
      </c>
      <c r="L142" t="n">
        <v>0</v>
      </c>
      <c r="M142" t="n">
        <v>0</v>
      </c>
      <c r="N142" t="n">
        <v>0</v>
      </c>
      <c r="O142" t="n">
        <v>0</v>
      </c>
      <c r="P142" t="n">
        <v>0</v>
      </c>
      <c r="Q142" t="n">
        <v>0</v>
      </c>
      <c r="R142" s="2" t="inlineStr"/>
    </row>
    <row r="143" ht="15" customHeight="1">
      <c r="A143" t="inlineStr">
        <is>
          <t>A 49525-2021</t>
        </is>
      </c>
      <c r="B143" s="1" t="n">
        <v>44455</v>
      </c>
      <c r="C143" s="1" t="n">
        <v>45940</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6959-2025</t>
        </is>
      </c>
      <c r="B144" s="1" t="n">
        <v>45701.49315972222</v>
      </c>
      <c r="C144" s="1" t="n">
        <v>45940</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13853-2023</t>
        </is>
      </c>
      <c r="B145" s="1" t="n">
        <v>45007</v>
      </c>
      <c r="C145" s="1" t="n">
        <v>45940</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50747-2022</t>
        </is>
      </c>
      <c r="B146" s="1" t="n">
        <v>44867.40162037037</v>
      </c>
      <c r="C146" s="1" t="n">
        <v>45940</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17657-2025</t>
        </is>
      </c>
      <c r="B147" s="1" t="n">
        <v>45758.35006944444</v>
      </c>
      <c r="C147" s="1" t="n">
        <v>45940</v>
      </c>
      <c r="D147" t="inlineStr">
        <is>
          <t>UPPSALA LÄN</t>
        </is>
      </c>
      <c r="E147" t="inlineStr">
        <is>
          <t>ENKÖPING</t>
        </is>
      </c>
      <c r="G147" t="n">
        <v>3</v>
      </c>
      <c r="H147" t="n">
        <v>0</v>
      </c>
      <c r="I147" t="n">
        <v>0</v>
      </c>
      <c r="J147" t="n">
        <v>0</v>
      </c>
      <c r="K147" t="n">
        <v>0</v>
      </c>
      <c r="L147" t="n">
        <v>0</v>
      </c>
      <c r="M147" t="n">
        <v>0</v>
      </c>
      <c r="N147" t="n">
        <v>0</v>
      </c>
      <c r="O147" t="n">
        <v>0</v>
      </c>
      <c r="P147" t="n">
        <v>0</v>
      </c>
      <c r="Q147" t="n">
        <v>0</v>
      </c>
      <c r="R147" s="2" t="inlineStr"/>
    </row>
    <row r="148" ht="15" customHeight="1">
      <c r="A148" t="inlineStr">
        <is>
          <t>A 22156-2025</t>
        </is>
      </c>
      <c r="B148" s="1" t="n">
        <v>45785.57512731481</v>
      </c>
      <c r="C148" s="1" t="n">
        <v>45940</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49568-2022</t>
        </is>
      </c>
      <c r="B149" s="1" t="n">
        <v>44862.32791666667</v>
      </c>
      <c r="C149" s="1" t="n">
        <v>45940</v>
      </c>
      <c r="D149" t="inlineStr">
        <is>
          <t>UPPSALA LÄN</t>
        </is>
      </c>
      <c r="E149" t="inlineStr">
        <is>
          <t>ENKÖPING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22150-2025</t>
        </is>
      </c>
      <c r="B150" s="1" t="n">
        <v>45785.56398148148</v>
      </c>
      <c r="C150" s="1" t="n">
        <v>45940</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30437-2022</t>
        </is>
      </c>
      <c r="B151" s="1" t="n">
        <v>44761</v>
      </c>
      <c r="C151" s="1" t="n">
        <v>45940</v>
      </c>
      <c r="D151" t="inlineStr">
        <is>
          <t>UPPSALA LÄN</t>
        </is>
      </c>
      <c r="E151" t="inlineStr">
        <is>
          <t>ENKÖPING</t>
        </is>
      </c>
      <c r="G151" t="n">
        <v>3.4</v>
      </c>
      <c r="H151" t="n">
        <v>0</v>
      </c>
      <c r="I151" t="n">
        <v>0</v>
      </c>
      <c r="J151" t="n">
        <v>0</v>
      </c>
      <c r="K151" t="n">
        <v>0</v>
      </c>
      <c r="L151" t="n">
        <v>0</v>
      </c>
      <c r="M151" t="n">
        <v>0</v>
      </c>
      <c r="N151" t="n">
        <v>0</v>
      </c>
      <c r="O151" t="n">
        <v>0</v>
      </c>
      <c r="P151" t="n">
        <v>0</v>
      </c>
      <c r="Q151" t="n">
        <v>0</v>
      </c>
      <c r="R151" s="2" t="inlineStr"/>
    </row>
    <row r="152" ht="15" customHeight="1">
      <c r="A152" t="inlineStr">
        <is>
          <t>A 69567-2020</t>
        </is>
      </c>
      <c r="B152" s="1" t="n">
        <v>44194</v>
      </c>
      <c r="C152" s="1" t="n">
        <v>45940</v>
      </c>
      <c r="D152" t="inlineStr">
        <is>
          <t>UPPSALA LÄN</t>
        </is>
      </c>
      <c r="E152" t="inlineStr">
        <is>
          <t>ENKÖPING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51011-2024</t>
        </is>
      </c>
      <c r="B153" s="1" t="n">
        <v>45603.39427083333</v>
      </c>
      <c r="C153" s="1" t="n">
        <v>45940</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18592-2021</t>
        </is>
      </c>
      <c r="B154" s="1" t="n">
        <v>44306</v>
      </c>
      <c r="C154" s="1" t="n">
        <v>45940</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26319-2022</t>
        </is>
      </c>
      <c r="B155" s="1" t="n">
        <v>44735</v>
      </c>
      <c r="C155" s="1" t="n">
        <v>45940</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30087-2024</t>
        </is>
      </c>
      <c r="B156" s="1" t="n">
        <v>45489.39447916667</v>
      </c>
      <c r="C156" s="1" t="n">
        <v>45940</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54776-2024</t>
        </is>
      </c>
      <c r="B157" s="1" t="n">
        <v>45618</v>
      </c>
      <c r="C157" s="1" t="n">
        <v>45940</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22729-2025</t>
        </is>
      </c>
      <c r="B158" s="1" t="n">
        <v>45789.57790509259</v>
      </c>
      <c r="C158" s="1" t="n">
        <v>45940</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14518-2025</t>
        </is>
      </c>
      <c r="B159" s="1" t="n">
        <v>45741</v>
      </c>
      <c r="C159" s="1" t="n">
        <v>45940</v>
      </c>
      <c r="D159" t="inlineStr">
        <is>
          <t>UPPSALA LÄN</t>
        </is>
      </c>
      <c r="E159" t="inlineStr">
        <is>
          <t>ENKÖPING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22677-2025</t>
        </is>
      </c>
      <c r="B160" s="1" t="n">
        <v>45789.49515046296</v>
      </c>
      <c r="C160" s="1" t="n">
        <v>45940</v>
      </c>
      <c r="D160" t="inlineStr">
        <is>
          <t>UPPSALA LÄN</t>
        </is>
      </c>
      <c r="E160" t="inlineStr">
        <is>
          <t>ENKÖPING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6356-2022</t>
        </is>
      </c>
      <c r="B161" s="1" t="n">
        <v>44600</v>
      </c>
      <c r="C161" s="1" t="n">
        <v>45940</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22679-2025</t>
        </is>
      </c>
      <c r="B162" s="1" t="n">
        <v>45789.49747685185</v>
      </c>
      <c r="C162" s="1" t="n">
        <v>45940</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22770-2025</t>
        </is>
      </c>
      <c r="B163" s="1" t="n">
        <v>45789.63454861111</v>
      </c>
      <c r="C163" s="1" t="n">
        <v>45940</v>
      </c>
      <c r="D163" t="inlineStr">
        <is>
          <t>UPPSALA LÄN</t>
        </is>
      </c>
      <c r="E163" t="inlineStr">
        <is>
          <t>ENKÖPING</t>
        </is>
      </c>
      <c r="G163" t="n">
        <v>4.5</v>
      </c>
      <c r="H163" t="n">
        <v>0</v>
      </c>
      <c r="I163" t="n">
        <v>0</v>
      </c>
      <c r="J163" t="n">
        <v>0</v>
      </c>
      <c r="K163" t="n">
        <v>0</v>
      </c>
      <c r="L163" t="n">
        <v>0</v>
      </c>
      <c r="M163" t="n">
        <v>0</v>
      </c>
      <c r="N163" t="n">
        <v>0</v>
      </c>
      <c r="O163" t="n">
        <v>0</v>
      </c>
      <c r="P163" t="n">
        <v>0</v>
      </c>
      <c r="Q163" t="n">
        <v>0</v>
      </c>
      <c r="R163" s="2" t="inlineStr"/>
    </row>
    <row r="164" ht="15" customHeight="1">
      <c r="A164" t="inlineStr">
        <is>
          <t>A 22800-2025</t>
        </is>
      </c>
      <c r="B164" s="1" t="n">
        <v>45789.6669212963</v>
      </c>
      <c r="C164" s="1" t="n">
        <v>45940</v>
      </c>
      <c r="D164" t="inlineStr">
        <is>
          <t>UPPSALA LÄN</t>
        </is>
      </c>
      <c r="E164" t="inlineStr">
        <is>
          <t>ENKÖPING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47681-2024</t>
        </is>
      </c>
      <c r="B165" s="1" t="n">
        <v>45588</v>
      </c>
      <c r="C165" s="1" t="n">
        <v>45940</v>
      </c>
      <c r="D165" t="inlineStr">
        <is>
          <t>UPPSALA LÄN</t>
        </is>
      </c>
      <c r="E165" t="inlineStr">
        <is>
          <t>ENKÖPING</t>
        </is>
      </c>
      <c r="G165" t="n">
        <v>4.2</v>
      </c>
      <c r="H165" t="n">
        <v>0</v>
      </c>
      <c r="I165" t="n">
        <v>0</v>
      </c>
      <c r="J165" t="n">
        <v>0</v>
      </c>
      <c r="K165" t="n">
        <v>0</v>
      </c>
      <c r="L165" t="n">
        <v>0</v>
      </c>
      <c r="M165" t="n">
        <v>0</v>
      </c>
      <c r="N165" t="n">
        <v>0</v>
      </c>
      <c r="O165" t="n">
        <v>0</v>
      </c>
      <c r="P165" t="n">
        <v>0</v>
      </c>
      <c r="Q165" t="n">
        <v>0</v>
      </c>
      <c r="R165" s="2" t="inlineStr"/>
    </row>
    <row r="166" ht="15" customHeight="1">
      <c r="A166" t="inlineStr">
        <is>
          <t>A 29918-2023</t>
        </is>
      </c>
      <c r="B166" s="1" t="n">
        <v>45099</v>
      </c>
      <c r="C166" s="1" t="n">
        <v>45940</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24291-2024</t>
        </is>
      </c>
      <c r="B167" s="1" t="n">
        <v>45457.4584837963</v>
      </c>
      <c r="C167" s="1" t="n">
        <v>45940</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6981-2025</t>
        </is>
      </c>
      <c r="B168" s="1" t="n">
        <v>45701</v>
      </c>
      <c r="C168" s="1" t="n">
        <v>45940</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53496-2022</t>
        </is>
      </c>
      <c r="B169" s="1" t="n">
        <v>44879.57217592592</v>
      </c>
      <c r="C169" s="1" t="n">
        <v>45940</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22786-2025</t>
        </is>
      </c>
      <c r="B170" s="1" t="n">
        <v>45789.64643518518</v>
      </c>
      <c r="C170" s="1" t="n">
        <v>45940</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68123-2021</t>
        </is>
      </c>
      <c r="B171" s="1" t="n">
        <v>44526.39126157408</v>
      </c>
      <c r="C171" s="1" t="n">
        <v>45940</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22632-2025</t>
        </is>
      </c>
      <c r="B172" s="1" t="n">
        <v>45789.44361111111</v>
      </c>
      <c r="C172" s="1" t="n">
        <v>45940</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22680-2025</t>
        </is>
      </c>
      <c r="B173" s="1" t="n">
        <v>45789.5005787037</v>
      </c>
      <c r="C173" s="1" t="n">
        <v>45940</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22802-2025</t>
        </is>
      </c>
      <c r="B174" s="1" t="n">
        <v>45789.6686574074</v>
      </c>
      <c r="C174" s="1" t="n">
        <v>45940</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15942-2022</t>
        </is>
      </c>
      <c r="B175" s="1" t="n">
        <v>44664</v>
      </c>
      <c r="C175" s="1" t="n">
        <v>45940</v>
      </c>
      <c r="D175" t="inlineStr">
        <is>
          <t>UPPSALA LÄN</t>
        </is>
      </c>
      <c r="E175" t="inlineStr">
        <is>
          <t>ENKÖPING</t>
        </is>
      </c>
      <c r="G175" t="n">
        <v>6.6</v>
      </c>
      <c r="H175" t="n">
        <v>0</v>
      </c>
      <c r="I175" t="n">
        <v>0</v>
      </c>
      <c r="J175" t="n">
        <v>0</v>
      </c>
      <c r="K175" t="n">
        <v>0</v>
      </c>
      <c r="L175" t="n">
        <v>0</v>
      </c>
      <c r="M175" t="n">
        <v>0</v>
      </c>
      <c r="N175" t="n">
        <v>0</v>
      </c>
      <c r="O175" t="n">
        <v>0</v>
      </c>
      <c r="P175" t="n">
        <v>0</v>
      </c>
      <c r="Q175" t="n">
        <v>0</v>
      </c>
      <c r="R175" s="2" t="inlineStr"/>
    </row>
    <row r="176" ht="15" customHeight="1">
      <c r="A176" t="inlineStr">
        <is>
          <t>A 2974-2025</t>
        </is>
      </c>
      <c r="B176" s="1" t="n">
        <v>45678.47168981482</v>
      </c>
      <c r="C176" s="1" t="n">
        <v>45940</v>
      </c>
      <c r="D176" t="inlineStr">
        <is>
          <t>UPPSALA LÄN</t>
        </is>
      </c>
      <c r="E176" t="inlineStr">
        <is>
          <t>ENKÖPING</t>
        </is>
      </c>
      <c r="G176" t="n">
        <v>1.6</v>
      </c>
      <c r="H176" t="n">
        <v>0</v>
      </c>
      <c r="I176" t="n">
        <v>0</v>
      </c>
      <c r="J176" t="n">
        <v>0</v>
      </c>
      <c r="K176" t="n">
        <v>0</v>
      </c>
      <c r="L176" t="n">
        <v>0</v>
      </c>
      <c r="M176" t="n">
        <v>0</v>
      </c>
      <c r="N176" t="n">
        <v>0</v>
      </c>
      <c r="O176" t="n">
        <v>0</v>
      </c>
      <c r="P176" t="n">
        <v>0</v>
      </c>
      <c r="Q176" t="n">
        <v>0</v>
      </c>
      <c r="R176" s="2" t="inlineStr"/>
    </row>
    <row r="177" ht="15" customHeight="1">
      <c r="A177" t="inlineStr">
        <is>
          <t>A 13816-2021</t>
        </is>
      </c>
      <c r="B177" s="1" t="n">
        <v>44276</v>
      </c>
      <c r="C177" s="1" t="n">
        <v>45940</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22793-2025</t>
        </is>
      </c>
      <c r="B178" s="1" t="n">
        <v>45789.65693287037</v>
      </c>
      <c r="C178" s="1" t="n">
        <v>45940</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22795-2025</t>
        </is>
      </c>
      <c r="B179" s="1" t="n">
        <v>45789.65944444444</v>
      </c>
      <c r="C179" s="1" t="n">
        <v>45940</v>
      </c>
      <c r="D179" t="inlineStr">
        <is>
          <t>UPPSALA LÄN</t>
        </is>
      </c>
      <c r="E179" t="inlineStr">
        <is>
          <t>ENKÖPING</t>
        </is>
      </c>
      <c r="G179" t="n">
        <v>10.4</v>
      </c>
      <c r="H179" t="n">
        <v>0</v>
      </c>
      <c r="I179" t="n">
        <v>0</v>
      </c>
      <c r="J179" t="n">
        <v>0</v>
      </c>
      <c r="K179" t="n">
        <v>0</v>
      </c>
      <c r="L179" t="n">
        <v>0</v>
      </c>
      <c r="M179" t="n">
        <v>0</v>
      </c>
      <c r="N179" t="n">
        <v>0</v>
      </c>
      <c r="O179" t="n">
        <v>0</v>
      </c>
      <c r="P179" t="n">
        <v>0</v>
      </c>
      <c r="Q179" t="n">
        <v>0</v>
      </c>
      <c r="R179" s="2" t="inlineStr"/>
    </row>
    <row r="180" ht="15" customHeight="1">
      <c r="A180" t="inlineStr">
        <is>
          <t>A 22725-2025</t>
        </is>
      </c>
      <c r="B180" s="1" t="n">
        <v>45789.57371527778</v>
      </c>
      <c r="C180" s="1" t="n">
        <v>45940</v>
      </c>
      <c r="D180" t="inlineStr">
        <is>
          <t>UPPSALA LÄN</t>
        </is>
      </c>
      <c r="E180" t="inlineStr">
        <is>
          <t>ENKÖPING</t>
        </is>
      </c>
      <c r="G180" t="n">
        <v>4.8</v>
      </c>
      <c r="H180" t="n">
        <v>0</v>
      </c>
      <c r="I180" t="n">
        <v>0</v>
      </c>
      <c r="J180" t="n">
        <v>0</v>
      </c>
      <c r="K180" t="n">
        <v>0</v>
      </c>
      <c r="L180" t="n">
        <v>0</v>
      </c>
      <c r="M180" t="n">
        <v>0</v>
      </c>
      <c r="N180" t="n">
        <v>0</v>
      </c>
      <c r="O180" t="n">
        <v>0</v>
      </c>
      <c r="P180" t="n">
        <v>0</v>
      </c>
      <c r="Q180" t="n">
        <v>0</v>
      </c>
      <c r="R180" s="2" t="inlineStr"/>
    </row>
    <row r="181" ht="15" customHeight="1">
      <c r="A181" t="inlineStr">
        <is>
          <t>A 27786-2023</t>
        </is>
      </c>
      <c r="B181" s="1" t="n">
        <v>45098</v>
      </c>
      <c r="C181" s="1" t="n">
        <v>45940</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48864-2022</t>
        </is>
      </c>
      <c r="B182" s="1" t="n">
        <v>44859</v>
      </c>
      <c r="C182" s="1" t="n">
        <v>45940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6242-2025</t>
        </is>
      </c>
      <c r="B183" s="1" t="n">
        <v>45697</v>
      </c>
      <c r="C183" s="1" t="n">
        <v>45940</v>
      </c>
      <c r="D183" t="inlineStr">
        <is>
          <t>UPPSALA LÄN</t>
        </is>
      </c>
      <c r="E183" t="inlineStr">
        <is>
          <t>ENKÖPING</t>
        </is>
      </c>
      <c r="G183" t="n">
        <v>17.9</v>
      </c>
      <c r="H183" t="n">
        <v>0</v>
      </c>
      <c r="I183" t="n">
        <v>0</v>
      </c>
      <c r="J183" t="n">
        <v>0</v>
      </c>
      <c r="K183" t="n">
        <v>0</v>
      </c>
      <c r="L183" t="n">
        <v>0</v>
      </c>
      <c r="M183" t="n">
        <v>0</v>
      </c>
      <c r="N183" t="n">
        <v>0</v>
      </c>
      <c r="O183" t="n">
        <v>0</v>
      </c>
      <c r="P183" t="n">
        <v>0</v>
      </c>
      <c r="Q183" t="n">
        <v>0</v>
      </c>
      <c r="R183" s="2" t="inlineStr"/>
    </row>
    <row r="184" ht="15" customHeight="1">
      <c r="A184" t="inlineStr">
        <is>
          <t>A 42459-2024</t>
        </is>
      </c>
      <c r="B184" s="1" t="n">
        <v>45565</v>
      </c>
      <c r="C184" s="1" t="n">
        <v>45940</v>
      </c>
      <c r="D184" t="inlineStr">
        <is>
          <t>UPPSALA LÄN</t>
        </is>
      </c>
      <c r="E184" t="inlineStr">
        <is>
          <t>ENKÖPING</t>
        </is>
      </c>
      <c r="G184" t="n">
        <v>3.6</v>
      </c>
      <c r="H184" t="n">
        <v>0</v>
      </c>
      <c r="I184" t="n">
        <v>0</v>
      </c>
      <c r="J184" t="n">
        <v>0</v>
      </c>
      <c r="K184" t="n">
        <v>0</v>
      </c>
      <c r="L184" t="n">
        <v>0</v>
      </c>
      <c r="M184" t="n">
        <v>0</v>
      </c>
      <c r="N184" t="n">
        <v>0</v>
      </c>
      <c r="O184" t="n">
        <v>0</v>
      </c>
      <c r="P184" t="n">
        <v>0</v>
      </c>
      <c r="Q184" t="n">
        <v>0</v>
      </c>
      <c r="R184" s="2" t="inlineStr"/>
    </row>
    <row r="185" ht="15" customHeight="1">
      <c r="A185" t="inlineStr">
        <is>
          <t>A 22981-2025</t>
        </is>
      </c>
      <c r="B185" s="1" t="n">
        <v>45790.56964120371</v>
      </c>
      <c r="C185" s="1" t="n">
        <v>45940</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60125-2024</t>
        </is>
      </c>
      <c r="B186" s="1" t="n">
        <v>45642</v>
      </c>
      <c r="C186" s="1" t="n">
        <v>45940</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12434-2021</t>
        </is>
      </c>
      <c r="B187" s="1" t="n">
        <v>44267</v>
      </c>
      <c r="C187" s="1" t="n">
        <v>45940</v>
      </c>
      <c r="D187" t="inlineStr">
        <is>
          <t>UPPSALA LÄN</t>
        </is>
      </c>
      <c r="E187" t="inlineStr">
        <is>
          <t>ENKÖPING</t>
        </is>
      </c>
      <c r="G187" t="n">
        <v>5.3</v>
      </c>
      <c r="H187" t="n">
        <v>0</v>
      </c>
      <c r="I187" t="n">
        <v>0</v>
      </c>
      <c r="J187" t="n">
        <v>0</v>
      </c>
      <c r="K187" t="n">
        <v>0</v>
      </c>
      <c r="L187" t="n">
        <v>0</v>
      </c>
      <c r="M187" t="n">
        <v>0</v>
      </c>
      <c r="N187" t="n">
        <v>0</v>
      </c>
      <c r="O187" t="n">
        <v>0</v>
      </c>
      <c r="P187" t="n">
        <v>0</v>
      </c>
      <c r="Q187" t="n">
        <v>0</v>
      </c>
      <c r="R187" s="2" t="inlineStr"/>
    </row>
    <row r="188" ht="15" customHeight="1">
      <c r="A188" t="inlineStr">
        <is>
          <t>A 49614-2024</t>
        </is>
      </c>
      <c r="B188" s="1" t="n">
        <v>45596.57716435185</v>
      </c>
      <c r="C188" s="1" t="n">
        <v>45940</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49632-2024</t>
        </is>
      </c>
      <c r="B189" s="1" t="n">
        <v>45596</v>
      </c>
      <c r="C189" s="1" t="n">
        <v>45940</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10468-2025</t>
        </is>
      </c>
      <c r="B190" s="1" t="n">
        <v>45720</v>
      </c>
      <c r="C190" s="1" t="n">
        <v>45940</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29479-2022</t>
        </is>
      </c>
      <c r="B191" s="1" t="n">
        <v>44753.57265046296</v>
      </c>
      <c r="C191" s="1" t="n">
        <v>45940</v>
      </c>
      <c r="D191" t="inlineStr">
        <is>
          <t>UPPSALA LÄN</t>
        </is>
      </c>
      <c r="E191" t="inlineStr">
        <is>
          <t>ENKÖPING</t>
        </is>
      </c>
      <c r="G191" t="n">
        <v>0.9</v>
      </c>
      <c r="H191" t="n">
        <v>0</v>
      </c>
      <c r="I191" t="n">
        <v>0</v>
      </c>
      <c r="J191" t="n">
        <v>0</v>
      </c>
      <c r="K191" t="n">
        <v>0</v>
      </c>
      <c r="L191" t="n">
        <v>0</v>
      </c>
      <c r="M191" t="n">
        <v>0</v>
      </c>
      <c r="N191" t="n">
        <v>0</v>
      </c>
      <c r="O191" t="n">
        <v>0</v>
      </c>
      <c r="P191" t="n">
        <v>0</v>
      </c>
      <c r="Q191" t="n">
        <v>0</v>
      </c>
      <c r="R191" s="2" t="inlineStr"/>
    </row>
    <row r="192" ht="15" customHeight="1">
      <c r="A192" t="inlineStr">
        <is>
          <t>A 5211-2024</t>
        </is>
      </c>
      <c r="B192" s="1" t="n">
        <v>45330</v>
      </c>
      <c r="C192" s="1" t="n">
        <v>45940</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10409-2025</t>
        </is>
      </c>
      <c r="B193" s="1" t="n">
        <v>45720.631875</v>
      </c>
      <c r="C193" s="1" t="n">
        <v>45940</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45956-2024</t>
        </is>
      </c>
      <c r="B194" s="1" t="n">
        <v>45580</v>
      </c>
      <c r="C194" s="1" t="n">
        <v>45940</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10831-2024</t>
        </is>
      </c>
      <c r="B195" s="1" t="n">
        <v>45369</v>
      </c>
      <c r="C195" s="1" t="n">
        <v>45940</v>
      </c>
      <c r="D195" t="inlineStr">
        <is>
          <t>UPPSALA LÄN</t>
        </is>
      </c>
      <c r="E195" t="inlineStr">
        <is>
          <t>ENKÖPING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2833-2025</t>
        </is>
      </c>
      <c r="B196" s="1" t="n">
        <v>45677.63206018518</v>
      </c>
      <c r="C196" s="1" t="n">
        <v>45940</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18299-2025</t>
        </is>
      </c>
      <c r="B197" s="1" t="n">
        <v>45762</v>
      </c>
      <c r="C197" s="1" t="n">
        <v>45940</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8020-2022</t>
        </is>
      </c>
      <c r="B198" s="1" t="n">
        <v>44609</v>
      </c>
      <c r="C198" s="1" t="n">
        <v>45940</v>
      </c>
      <c r="D198" t="inlineStr">
        <is>
          <t>UPPSALA LÄN</t>
        </is>
      </c>
      <c r="E198" t="inlineStr">
        <is>
          <t>ENKÖPING</t>
        </is>
      </c>
      <c r="G198" t="n">
        <v>6</v>
      </c>
      <c r="H198" t="n">
        <v>0</v>
      </c>
      <c r="I198" t="n">
        <v>0</v>
      </c>
      <c r="J198" t="n">
        <v>0</v>
      </c>
      <c r="K198" t="n">
        <v>0</v>
      </c>
      <c r="L198" t="n">
        <v>0</v>
      </c>
      <c r="M198" t="n">
        <v>0</v>
      </c>
      <c r="N198" t="n">
        <v>0</v>
      </c>
      <c r="O198" t="n">
        <v>0</v>
      </c>
      <c r="P198" t="n">
        <v>0</v>
      </c>
      <c r="Q198" t="n">
        <v>0</v>
      </c>
      <c r="R198" s="2" t="inlineStr"/>
    </row>
    <row r="199" ht="15" customHeight="1">
      <c r="A199" t="inlineStr">
        <is>
          <t>A 74090-2021</t>
        </is>
      </c>
      <c r="B199" s="1" t="n">
        <v>44557</v>
      </c>
      <c r="C199" s="1" t="n">
        <v>45940</v>
      </c>
      <c r="D199" t="inlineStr">
        <is>
          <t>UPPSALA LÄN</t>
        </is>
      </c>
      <c r="E199" t="inlineStr">
        <is>
          <t>ENKÖPING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21686-2022</t>
        </is>
      </c>
      <c r="B200" s="1" t="n">
        <v>44707</v>
      </c>
      <c r="C200" s="1" t="n">
        <v>45940</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18831-2023</t>
        </is>
      </c>
      <c r="B201" s="1" t="n">
        <v>45044.40798611111</v>
      </c>
      <c r="C201" s="1" t="n">
        <v>45940</v>
      </c>
      <c r="D201" t="inlineStr">
        <is>
          <t>UPPSALA LÄN</t>
        </is>
      </c>
      <c r="E201" t="inlineStr">
        <is>
          <t>ENKÖPING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34805-2024</t>
        </is>
      </c>
      <c r="B202" s="1" t="n">
        <v>45526</v>
      </c>
      <c r="C202" s="1" t="n">
        <v>45940</v>
      </c>
      <c r="D202" t="inlineStr">
        <is>
          <t>UPPSALA LÄN</t>
        </is>
      </c>
      <c r="E202" t="inlineStr">
        <is>
          <t>ENKÖPING</t>
        </is>
      </c>
      <c r="G202" t="n">
        <v>3.6</v>
      </c>
      <c r="H202" t="n">
        <v>0</v>
      </c>
      <c r="I202" t="n">
        <v>0</v>
      </c>
      <c r="J202" t="n">
        <v>0</v>
      </c>
      <c r="K202" t="n">
        <v>0</v>
      </c>
      <c r="L202" t="n">
        <v>0</v>
      </c>
      <c r="M202" t="n">
        <v>0</v>
      </c>
      <c r="N202" t="n">
        <v>0</v>
      </c>
      <c r="O202" t="n">
        <v>0</v>
      </c>
      <c r="P202" t="n">
        <v>0</v>
      </c>
      <c r="Q202" t="n">
        <v>0</v>
      </c>
      <c r="R202" s="2" t="inlineStr"/>
    </row>
    <row r="203" ht="15" customHeight="1">
      <c r="A203" t="inlineStr">
        <is>
          <t>A 17729-2023</t>
        </is>
      </c>
      <c r="B203" s="1" t="n">
        <v>45037</v>
      </c>
      <c r="C203" s="1" t="n">
        <v>45940</v>
      </c>
      <c r="D203" t="inlineStr">
        <is>
          <t>UPPSALA LÄN</t>
        </is>
      </c>
      <c r="E203" t="inlineStr">
        <is>
          <t>ENKÖPING</t>
        </is>
      </c>
      <c r="G203" t="n">
        <v>10.2</v>
      </c>
      <c r="H203" t="n">
        <v>0</v>
      </c>
      <c r="I203" t="n">
        <v>0</v>
      </c>
      <c r="J203" t="n">
        <v>0</v>
      </c>
      <c r="K203" t="n">
        <v>0</v>
      </c>
      <c r="L203" t="n">
        <v>0</v>
      </c>
      <c r="M203" t="n">
        <v>0</v>
      </c>
      <c r="N203" t="n">
        <v>0</v>
      </c>
      <c r="O203" t="n">
        <v>0</v>
      </c>
      <c r="P203" t="n">
        <v>0</v>
      </c>
      <c r="Q203" t="n">
        <v>0</v>
      </c>
      <c r="R203" s="2" t="inlineStr"/>
    </row>
    <row r="204" ht="15" customHeight="1">
      <c r="A204" t="inlineStr">
        <is>
          <t>A 27538-2023</t>
        </is>
      </c>
      <c r="B204" s="1" t="n">
        <v>45097</v>
      </c>
      <c r="C204" s="1" t="n">
        <v>45940</v>
      </c>
      <c r="D204" t="inlineStr">
        <is>
          <t>UPPSALA LÄN</t>
        </is>
      </c>
      <c r="E204" t="inlineStr">
        <is>
          <t>ENKÖPING</t>
        </is>
      </c>
      <c r="G204" t="n">
        <v>5.8</v>
      </c>
      <c r="H204" t="n">
        <v>0</v>
      </c>
      <c r="I204" t="n">
        <v>0</v>
      </c>
      <c r="J204" t="n">
        <v>0</v>
      </c>
      <c r="K204" t="n">
        <v>0</v>
      </c>
      <c r="L204" t="n">
        <v>0</v>
      </c>
      <c r="M204" t="n">
        <v>0</v>
      </c>
      <c r="N204" t="n">
        <v>0</v>
      </c>
      <c r="O204" t="n">
        <v>0</v>
      </c>
      <c r="P204" t="n">
        <v>0</v>
      </c>
      <c r="Q204" t="n">
        <v>0</v>
      </c>
      <c r="R204" s="2" t="inlineStr"/>
    </row>
    <row r="205" ht="15" customHeight="1">
      <c r="A205" t="inlineStr">
        <is>
          <t>A 15409-2025</t>
        </is>
      </c>
      <c r="B205" s="1" t="n">
        <v>45747</v>
      </c>
      <c r="C205" s="1" t="n">
        <v>45940</v>
      </c>
      <c r="D205" t="inlineStr">
        <is>
          <t>UPPSALA LÄN</t>
        </is>
      </c>
      <c r="E205" t="inlineStr">
        <is>
          <t>ENKÖPING</t>
        </is>
      </c>
      <c r="G205" t="n">
        <v>2.5</v>
      </c>
      <c r="H205" t="n">
        <v>0</v>
      </c>
      <c r="I205" t="n">
        <v>0</v>
      </c>
      <c r="J205" t="n">
        <v>0</v>
      </c>
      <c r="K205" t="n">
        <v>0</v>
      </c>
      <c r="L205" t="n">
        <v>0</v>
      </c>
      <c r="M205" t="n">
        <v>0</v>
      </c>
      <c r="N205" t="n">
        <v>0</v>
      </c>
      <c r="O205" t="n">
        <v>0</v>
      </c>
      <c r="P205" t="n">
        <v>0</v>
      </c>
      <c r="Q205" t="n">
        <v>0</v>
      </c>
      <c r="R205" s="2" t="inlineStr"/>
    </row>
    <row r="206" ht="15" customHeight="1">
      <c r="A206" t="inlineStr">
        <is>
          <t>A 60874-2023</t>
        </is>
      </c>
      <c r="B206" s="1" t="n">
        <v>45261.06280092592</v>
      </c>
      <c r="C206" s="1" t="n">
        <v>45940</v>
      </c>
      <c r="D206" t="inlineStr">
        <is>
          <t>UPPSALA LÄN</t>
        </is>
      </c>
      <c r="E206" t="inlineStr">
        <is>
          <t>ENKÖPING</t>
        </is>
      </c>
      <c r="G206" t="n">
        <v>1.5</v>
      </c>
      <c r="H206" t="n">
        <v>0</v>
      </c>
      <c r="I206" t="n">
        <v>0</v>
      </c>
      <c r="J206" t="n">
        <v>0</v>
      </c>
      <c r="K206" t="n">
        <v>0</v>
      </c>
      <c r="L206" t="n">
        <v>0</v>
      </c>
      <c r="M206" t="n">
        <v>0</v>
      </c>
      <c r="N206" t="n">
        <v>0</v>
      </c>
      <c r="O206" t="n">
        <v>0</v>
      </c>
      <c r="P206" t="n">
        <v>0</v>
      </c>
      <c r="Q206" t="n">
        <v>0</v>
      </c>
      <c r="R206" s="2" t="inlineStr"/>
    </row>
    <row r="207" ht="15" customHeight="1">
      <c r="A207" t="inlineStr">
        <is>
          <t>A 50006-2023</t>
        </is>
      </c>
      <c r="B207" s="1" t="n">
        <v>45215</v>
      </c>
      <c r="C207" s="1" t="n">
        <v>45940</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5712-2025</t>
        </is>
      </c>
      <c r="B208" s="1" t="n">
        <v>45694</v>
      </c>
      <c r="C208" s="1" t="n">
        <v>45940</v>
      </c>
      <c r="D208" t="inlineStr">
        <is>
          <t>UPPSALA LÄN</t>
        </is>
      </c>
      <c r="E208" t="inlineStr">
        <is>
          <t>ENKÖPING</t>
        </is>
      </c>
      <c r="G208" t="n">
        <v>5.1</v>
      </c>
      <c r="H208" t="n">
        <v>0</v>
      </c>
      <c r="I208" t="n">
        <v>0</v>
      </c>
      <c r="J208" t="n">
        <v>0</v>
      </c>
      <c r="K208" t="n">
        <v>0</v>
      </c>
      <c r="L208" t="n">
        <v>0</v>
      </c>
      <c r="M208" t="n">
        <v>0</v>
      </c>
      <c r="N208" t="n">
        <v>0</v>
      </c>
      <c r="O208" t="n">
        <v>0</v>
      </c>
      <c r="P208" t="n">
        <v>0</v>
      </c>
      <c r="Q208" t="n">
        <v>0</v>
      </c>
      <c r="R208" s="2" t="inlineStr"/>
    </row>
    <row r="209" ht="15" customHeight="1">
      <c r="A209" t="inlineStr">
        <is>
          <t>A 5749-2025</t>
        </is>
      </c>
      <c r="B209" s="1" t="n">
        <v>45694</v>
      </c>
      <c r="C209" s="1" t="n">
        <v>45940</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6172-2023</t>
        </is>
      </c>
      <c r="B210" s="1" t="n">
        <v>44964.68663194445</v>
      </c>
      <c r="C210" s="1" t="n">
        <v>45940</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14402-2023</t>
        </is>
      </c>
      <c r="B211" s="1" t="n">
        <v>45012</v>
      </c>
      <c r="C211" s="1" t="n">
        <v>45940</v>
      </c>
      <c r="D211" t="inlineStr">
        <is>
          <t>UPPSALA LÄN</t>
        </is>
      </c>
      <c r="E211" t="inlineStr">
        <is>
          <t>ENKÖPING</t>
        </is>
      </c>
      <c r="G211" t="n">
        <v>9.5</v>
      </c>
      <c r="H211" t="n">
        <v>0</v>
      </c>
      <c r="I211" t="n">
        <v>0</v>
      </c>
      <c r="J211" t="n">
        <v>0</v>
      </c>
      <c r="K211" t="n">
        <v>0</v>
      </c>
      <c r="L211" t="n">
        <v>0</v>
      </c>
      <c r="M211" t="n">
        <v>0</v>
      </c>
      <c r="N211" t="n">
        <v>0</v>
      </c>
      <c r="O211" t="n">
        <v>0</v>
      </c>
      <c r="P211" t="n">
        <v>0</v>
      </c>
      <c r="Q211" t="n">
        <v>0</v>
      </c>
      <c r="R211" s="2" t="inlineStr"/>
    </row>
    <row r="212" ht="15" customHeight="1">
      <c r="A212" t="inlineStr">
        <is>
          <t>A 50394-2024</t>
        </is>
      </c>
      <c r="B212" s="1" t="n">
        <v>45600</v>
      </c>
      <c r="C212" s="1" t="n">
        <v>45940</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51010-2024</t>
        </is>
      </c>
      <c r="B213" s="1" t="n">
        <v>45603.39285879629</v>
      </c>
      <c r="C213" s="1" t="n">
        <v>45940</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56526-2022</t>
        </is>
      </c>
      <c r="B214" s="1" t="n">
        <v>44893</v>
      </c>
      <c r="C214" s="1" t="n">
        <v>45940</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314-2025</t>
        </is>
      </c>
      <c r="B215" s="1" t="n">
        <v>45656</v>
      </c>
      <c r="C215" s="1" t="n">
        <v>45940</v>
      </c>
      <c r="D215" t="inlineStr">
        <is>
          <t>UPPSALA LÄN</t>
        </is>
      </c>
      <c r="E215" t="inlineStr">
        <is>
          <t>ENKÖPING</t>
        </is>
      </c>
      <c r="G215" t="n">
        <v>9</v>
      </c>
      <c r="H215" t="n">
        <v>0</v>
      </c>
      <c r="I215" t="n">
        <v>0</v>
      </c>
      <c r="J215" t="n">
        <v>0</v>
      </c>
      <c r="K215" t="n">
        <v>0</v>
      </c>
      <c r="L215" t="n">
        <v>0</v>
      </c>
      <c r="M215" t="n">
        <v>0</v>
      </c>
      <c r="N215" t="n">
        <v>0</v>
      </c>
      <c r="O215" t="n">
        <v>0</v>
      </c>
      <c r="P215" t="n">
        <v>0</v>
      </c>
      <c r="Q215" t="n">
        <v>0</v>
      </c>
      <c r="R215" s="2" t="inlineStr"/>
    </row>
    <row r="216" ht="15" customHeight="1">
      <c r="A216" t="inlineStr">
        <is>
          <t>A 39858-2024</t>
        </is>
      </c>
      <c r="B216" s="1" t="n">
        <v>45553</v>
      </c>
      <c r="C216" s="1" t="n">
        <v>45940</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27983-2024</t>
        </is>
      </c>
      <c r="B217" s="1" t="n">
        <v>45476</v>
      </c>
      <c r="C217" s="1" t="n">
        <v>45940</v>
      </c>
      <c r="D217" t="inlineStr">
        <is>
          <t>UPPSALA LÄN</t>
        </is>
      </c>
      <c r="E217" t="inlineStr">
        <is>
          <t>ENKÖPING</t>
        </is>
      </c>
      <c r="G217" t="n">
        <v>3.2</v>
      </c>
      <c r="H217" t="n">
        <v>0</v>
      </c>
      <c r="I217" t="n">
        <v>0</v>
      </c>
      <c r="J217" t="n">
        <v>0</v>
      </c>
      <c r="K217" t="n">
        <v>0</v>
      </c>
      <c r="L217" t="n">
        <v>0</v>
      </c>
      <c r="M217" t="n">
        <v>0</v>
      </c>
      <c r="N217" t="n">
        <v>0</v>
      </c>
      <c r="O217" t="n">
        <v>0</v>
      </c>
      <c r="P217" t="n">
        <v>0</v>
      </c>
      <c r="Q217" t="n">
        <v>0</v>
      </c>
      <c r="R217" s="2" t="inlineStr"/>
    </row>
    <row r="218" ht="15" customHeight="1">
      <c r="A218" t="inlineStr">
        <is>
          <t>A 11627-2025</t>
        </is>
      </c>
      <c r="B218" s="1" t="n">
        <v>45727</v>
      </c>
      <c r="C218" s="1" t="n">
        <v>45940</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43016-2021</t>
        </is>
      </c>
      <c r="B219" s="1" t="n">
        <v>44431</v>
      </c>
      <c r="C219" s="1" t="n">
        <v>45940</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60289-2022</t>
        </is>
      </c>
      <c r="B220" s="1" t="n">
        <v>44910.53026620371</v>
      </c>
      <c r="C220" s="1" t="n">
        <v>45940</v>
      </c>
      <c r="D220" t="inlineStr">
        <is>
          <t>UPPSALA LÄN</t>
        </is>
      </c>
      <c r="E220" t="inlineStr">
        <is>
          <t>ENKÖPING</t>
        </is>
      </c>
      <c r="G220" t="n">
        <v>3.2</v>
      </c>
      <c r="H220" t="n">
        <v>0</v>
      </c>
      <c r="I220" t="n">
        <v>0</v>
      </c>
      <c r="J220" t="n">
        <v>0</v>
      </c>
      <c r="K220" t="n">
        <v>0</v>
      </c>
      <c r="L220" t="n">
        <v>0</v>
      </c>
      <c r="M220" t="n">
        <v>0</v>
      </c>
      <c r="N220" t="n">
        <v>0</v>
      </c>
      <c r="O220" t="n">
        <v>0</v>
      </c>
      <c r="P220" t="n">
        <v>0</v>
      </c>
      <c r="Q220" t="n">
        <v>0</v>
      </c>
      <c r="R220" s="2" t="inlineStr"/>
    </row>
    <row r="221" ht="15" customHeight="1">
      <c r="A221" t="inlineStr">
        <is>
          <t>A 13110-2023</t>
        </is>
      </c>
      <c r="B221" s="1" t="n">
        <v>45001</v>
      </c>
      <c r="C221" s="1" t="n">
        <v>45940</v>
      </c>
      <c r="D221" t="inlineStr">
        <is>
          <t>UPPSALA LÄN</t>
        </is>
      </c>
      <c r="E221" t="inlineStr">
        <is>
          <t>ENKÖPING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58384-2022</t>
        </is>
      </c>
      <c r="B222" s="1" t="n">
        <v>44901</v>
      </c>
      <c r="C222" s="1" t="n">
        <v>45940</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19298-2023</t>
        </is>
      </c>
      <c r="B223" s="1" t="n">
        <v>45048</v>
      </c>
      <c r="C223" s="1" t="n">
        <v>45940</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6147-2021</t>
        </is>
      </c>
      <c r="B224" s="1" t="n">
        <v>44232</v>
      </c>
      <c r="C224" s="1" t="n">
        <v>45940</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19147-2024</t>
        </is>
      </c>
      <c r="B225" s="1" t="n">
        <v>45428</v>
      </c>
      <c r="C225" s="1" t="n">
        <v>45940</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59602-2022</t>
        </is>
      </c>
      <c r="B226" s="1" t="n">
        <v>44907.72241898148</v>
      </c>
      <c r="C226" s="1" t="n">
        <v>45940</v>
      </c>
      <c r="D226" t="inlineStr">
        <is>
          <t>UPPSALA LÄN</t>
        </is>
      </c>
      <c r="E226" t="inlineStr">
        <is>
          <t>ENKÖPING</t>
        </is>
      </c>
      <c r="G226" t="n">
        <v>14.2</v>
      </c>
      <c r="H226" t="n">
        <v>0</v>
      </c>
      <c r="I226" t="n">
        <v>0</v>
      </c>
      <c r="J226" t="n">
        <v>0</v>
      </c>
      <c r="K226" t="n">
        <v>0</v>
      </c>
      <c r="L226" t="n">
        <v>0</v>
      </c>
      <c r="M226" t="n">
        <v>0</v>
      </c>
      <c r="N226" t="n">
        <v>0</v>
      </c>
      <c r="O226" t="n">
        <v>0</v>
      </c>
      <c r="P226" t="n">
        <v>0</v>
      </c>
      <c r="Q226" t="n">
        <v>0</v>
      </c>
      <c r="R226" s="2" t="inlineStr"/>
    </row>
    <row r="227" ht="15" customHeight="1">
      <c r="A227" t="inlineStr">
        <is>
          <t>A 24411-2024</t>
        </is>
      </c>
      <c r="B227" s="1" t="n">
        <v>45457</v>
      </c>
      <c r="C227" s="1" t="n">
        <v>45940</v>
      </c>
      <c r="D227" t="inlineStr">
        <is>
          <t>UPPSALA LÄN</t>
        </is>
      </c>
      <c r="E227" t="inlineStr">
        <is>
          <t>ENKÖPING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57209-2024</t>
        </is>
      </c>
      <c r="B228" s="1" t="n">
        <v>45629.49311342592</v>
      </c>
      <c r="C228" s="1" t="n">
        <v>45940</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51120-2023</t>
        </is>
      </c>
      <c r="B229" s="1" t="n">
        <v>45219.3088425926</v>
      </c>
      <c r="C229" s="1" t="n">
        <v>45940</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12878-2025</t>
        </is>
      </c>
      <c r="B230" s="1" t="n">
        <v>45733.68571759259</v>
      </c>
      <c r="C230" s="1" t="n">
        <v>45940</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15939-2022</t>
        </is>
      </c>
      <c r="B231" s="1" t="n">
        <v>44664</v>
      </c>
      <c r="C231" s="1" t="n">
        <v>45940</v>
      </c>
      <c r="D231" t="inlineStr">
        <is>
          <t>UPPSALA LÄN</t>
        </is>
      </c>
      <c r="E231" t="inlineStr">
        <is>
          <t>ENKÖPING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31965-2021</t>
        </is>
      </c>
      <c r="B232" s="1" t="n">
        <v>44370.56901620371</v>
      </c>
      <c r="C232" s="1" t="n">
        <v>45940</v>
      </c>
      <c r="D232" t="inlineStr">
        <is>
          <t>UPPSALA LÄN</t>
        </is>
      </c>
      <c r="E232" t="inlineStr">
        <is>
          <t>ENKÖPING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57153-2021</t>
        </is>
      </c>
      <c r="B233" s="1" t="n">
        <v>44482</v>
      </c>
      <c r="C233" s="1" t="n">
        <v>45940</v>
      </c>
      <c r="D233" t="inlineStr">
        <is>
          <t>UPPSALA LÄN</t>
        </is>
      </c>
      <c r="E233" t="inlineStr">
        <is>
          <t>ENKÖPING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58062-2020</t>
        </is>
      </c>
      <c r="B234" s="1" t="n">
        <v>44144</v>
      </c>
      <c r="C234" s="1" t="n">
        <v>45940</v>
      </c>
      <c r="D234" t="inlineStr">
        <is>
          <t>UPPSALA LÄN</t>
        </is>
      </c>
      <c r="E234" t="inlineStr">
        <is>
          <t>ENKÖPING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43697-2024</t>
        </is>
      </c>
      <c r="B235" s="1" t="n">
        <v>45569</v>
      </c>
      <c r="C235" s="1" t="n">
        <v>45940</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67984-2021</t>
        </is>
      </c>
      <c r="B236" s="1" t="n">
        <v>44525.70237268518</v>
      </c>
      <c r="C236" s="1" t="n">
        <v>45940</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44123.53505787037</v>
      </c>
      <c r="C237" s="1" t="n">
        <v>45940</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45283-2022</t>
        </is>
      </c>
      <c r="B238" s="1" t="n">
        <v>44844</v>
      </c>
      <c r="C238" s="1" t="n">
        <v>45940</v>
      </c>
      <c r="D238" t="inlineStr">
        <is>
          <t>UPPSALA LÄN</t>
        </is>
      </c>
      <c r="E238" t="inlineStr">
        <is>
          <t>ENKÖPING</t>
        </is>
      </c>
      <c r="G238" t="n">
        <v>5.9</v>
      </c>
      <c r="H238" t="n">
        <v>0</v>
      </c>
      <c r="I238" t="n">
        <v>0</v>
      </c>
      <c r="J238" t="n">
        <v>0</v>
      </c>
      <c r="K238" t="n">
        <v>0</v>
      </c>
      <c r="L238" t="n">
        <v>0</v>
      </c>
      <c r="M238" t="n">
        <v>0</v>
      </c>
      <c r="N238" t="n">
        <v>0</v>
      </c>
      <c r="O238" t="n">
        <v>0</v>
      </c>
      <c r="P238" t="n">
        <v>0</v>
      </c>
      <c r="Q238" t="n">
        <v>0</v>
      </c>
      <c r="R238" s="2" t="inlineStr"/>
    </row>
    <row r="239" ht="15" customHeight="1">
      <c r="A239" t="inlineStr">
        <is>
          <t>A 43896-2022</t>
        </is>
      </c>
      <c r="B239" s="1" t="n">
        <v>44838</v>
      </c>
      <c r="C239" s="1" t="n">
        <v>45940</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58092-2024</t>
        </is>
      </c>
      <c r="B240" s="1" t="n">
        <v>45632</v>
      </c>
      <c r="C240" s="1" t="n">
        <v>45940</v>
      </c>
      <c r="D240" t="inlineStr">
        <is>
          <t>UPPSALA LÄN</t>
        </is>
      </c>
      <c r="E240" t="inlineStr">
        <is>
          <t>ENKÖPING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33619-2022</t>
        </is>
      </c>
      <c r="B241" s="1" t="n">
        <v>44789</v>
      </c>
      <c r="C241" s="1" t="n">
        <v>45940</v>
      </c>
      <c r="D241" t="inlineStr">
        <is>
          <t>UPPSALA LÄN</t>
        </is>
      </c>
      <c r="E241" t="inlineStr">
        <is>
          <t>ENKÖPING</t>
        </is>
      </c>
      <c r="F241" t="inlineStr">
        <is>
          <t>Allmännings- och besparingsskogar</t>
        </is>
      </c>
      <c r="G241" t="n">
        <v>4.5</v>
      </c>
      <c r="H241" t="n">
        <v>0</v>
      </c>
      <c r="I241" t="n">
        <v>0</v>
      </c>
      <c r="J241" t="n">
        <v>0</v>
      </c>
      <c r="K241" t="n">
        <v>0</v>
      </c>
      <c r="L241" t="n">
        <v>0</v>
      </c>
      <c r="M241" t="n">
        <v>0</v>
      </c>
      <c r="N241" t="n">
        <v>0</v>
      </c>
      <c r="O241" t="n">
        <v>0</v>
      </c>
      <c r="P241" t="n">
        <v>0</v>
      </c>
      <c r="Q241" t="n">
        <v>0</v>
      </c>
      <c r="R241" s="2" t="inlineStr"/>
    </row>
    <row r="242" ht="15" customHeight="1">
      <c r="A242" t="inlineStr">
        <is>
          <t>A 41826-2024</t>
        </is>
      </c>
      <c r="B242" s="1" t="n">
        <v>45561</v>
      </c>
      <c r="C242" s="1" t="n">
        <v>45940</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4203-2021</t>
        </is>
      </c>
      <c r="B243" s="1" t="n">
        <v>44223</v>
      </c>
      <c r="C243" s="1" t="n">
        <v>45940</v>
      </c>
      <c r="D243" t="inlineStr">
        <is>
          <t>UPPSALA LÄN</t>
        </is>
      </c>
      <c r="E243" t="inlineStr">
        <is>
          <t>ENKÖPING</t>
        </is>
      </c>
      <c r="G243" t="n">
        <v>11.6</v>
      </c>
      <c r="H243" t="n">
        <v>0</v>
      </c>
      <c r="I243" t="n">
        <v>0</v>
      </c>
      <c r="J243" t="n">
        <v>0</v>
      </c>
      <c r="K243" t="n">
        <v>0</v>
      </c>
      <c r="L243" t="n">
        <v>0</v>
      </c>
      <c r="M243" t="n">
        <v>0</v>
      </c>
      <c r="N243" t="n">
        <v>0</v>
      </c>
      <c r="O243" t="n">
        <v>0</v>
      </c>
      <c r="P243" t="n">
        <v>0</v>
      </c>
      <c r="Q243" t="n">
        <v>0</v>
      </c>
      <c r="R243" s="2" t="inlineStr"/>
    </row>
    <row r="244" ht="15" customHeight="1">
      <c r="A244" t="inlineStr">
        <is>
          <t>A 42589-2022</t>
        </is>
      </c>
      <c r="B244" s="1" t="n">
        <v>44831</v>
      </c>
      <c r="C244" s="1" t="n">
        <v>45940</v>
      </c>
      <c r="D244" t="inlineStr">
        <is>
          <t>UPPSALA LÄN</t>
        </is>
      </c>
      <c r="E244" t="inlineStr">
        <is>
          <t>ENKÖPING</t>
        </is>
      </c>
      <c r="G244" t="n">
        <v>20</v>
      </c>
      <c r="H244" t="n">
        <v>0</v>
      </c>
      <c r="I244" t="n">
        <v>0</v>
      </c>
      <c r="J244" t="n">
        <v>0</v>
      </c>
      <c r="K244" t="n">
        <v>0</v>
      </c>
      <c r="L244" t="n">
        <v>0</v>
      </c>
      <c r="M244" t="n">
        <v>0</v>
      </c>
      <c r="N244" t="n">
        <v>0</v>
      </c>
      <c r="O244" t="n">
        <v>0</v>
      </c>
      <c r="P244" t="n">
        <v>0</v>
      </c>
      <c r="Q244" t="n">
        <v>0</v>
      </c>
      <c r="R244" s="2" t="inlineStr"/>
    </row>
    <row r="245" ht="15" customHeight="1">
      <c r="A245" t="inlineStr">
        <is>
          <t>A 26017-2025</t>
        </is>
      </c>
      <c r="B245" s="1" t="n">
        <v>45804</v>
      </c>
      <c r="C245" s="1" t="n">
        <v>45940</v>
      </c>
      <c r="D245" t="inlineStr">
        <is>
          <t>UPPSALA LÄN</t>
        </is>
      </c>
      <c r="E245" t="inlineStr">
        <is>
          <t>ENKÖPING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26024-2025</t>
        </is>
      </c>
      <c r="B246" s="1" t="n">
        <v>45804.6831712963</v>
      </c>
      <c r="C246" s="1" t="n">
        <v>45940</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26042-2025</t>
        </is>
      </c>
      <c r="B247" s="1" t="n">
        <v>45804.70018518518</v>
      </c>
      <c r="C247" s="1" t="n">
        <v>45940</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26005-2025</t>
        </is>
      </c>
      <c r="B248" s="1" t="n">
        <v>45804.67055555555</v>
      </c>
      <c r="C248" s="1" t="n">
        <v>45940</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26026-2025</t>
        </is>
      </c>
      <c r="B249" s="1" t="n">
        <v>45804.68510416667</v>
      </c>
      <c r="C249" s="1" t="n">
        <v>45940</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26030-2025</t>
        </is>
      </c>
      <c r="B250" s="1" t="n">
        <v>45804.68815972222</v>
      </c>
      <c r="C250" s="1" t="n">
        <v>45940</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840-2025</t>
        </is>
      </c>
      <c r="B251" s="1" t="n">
        <v>45665</v>
      </c>
      <c r="C251" s="1" t="n">
        <v>45940</v>
      </c>
      <c r="D251" t="inlineStr">
        <is>
          <t>UPPSALA LÄN</t>
        </is>
      </c>
      <c r="E251" t="inlineStr">
        <is>
          <t>ENKÖPING</t>
        </is>
      </c>
      <c r="G251" t="n">
        <v>0.9</v>
      </c>
      <c r="H251" t="n">
        <v>0</v>
      </c>
      <c r="I251" t="n">
        <v>0</v>
      </c>
      <c r="J251" t="n">
        <v>0</v>
      </c>
      <c r="K251" t="n">
        <v>0</v>
      </c>
      <c r="L251" t="n">
        <v>0</v>
      </c>
      <c r="M251" t="n">
        <v>0</v>
      </c>
      <c r="N251" t="n">
        <v>0</v>
      </c>
      <c r="O251" t="n">
        <v>0</v>
      </c>
      <c r="P251" t="n">
        <v>0</v>
      </c>
      <c r="Q251" t="n">
        <v>0</v>
      </c>
      <c r="R251" s="2" t="inlineStr"/>
    </row>
    <row r="252" ht="15" customHeight="1">
      <c r="A252" t="inlineStr">
        <is>
          <t>A 26022-2025</t>
        </is>
      </c>
      <c r="B252" s="1" t="n">
        <v>45804.68006944445</v>
      </c>
      <c r="C252" s="1" t="n">
        <v>45940</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25988-2025</t>
        </is>
      </c>
      <c r="B253" s="1" t="n">
        <v>45804.64814814815</v>
      </c>
      <c r="C253" s="1" t="n">
        <v>45940</v>
      </c>
      <c r="D253" t="inlineStr">
        <is>
          <t>UPPSALA LÄN</t>
        </is>
      </c>
      <c r="E253" t="inlineStr">
        <is>
          <t>ENKÖPING</t>
        </is>
      </c>
      <c r="G253" t="n">
        <v>4.7</v>
      </c>
      <c r="H253" t="n">
        <v>0</v>
      </c>
      <c r="I253" t="n">
        <v>0</v>
      </c>
      <c r="J253" t="n">
        <v>0</v>
      </c>
      <c r="K253" t="n">
        <v>0</v>
      </c>
      <c r="L253" t="n">
        <v>0</v>
      </c>
      <c r="M253" t="n">
        <v>0</v>
      </c>
      <c r="N253" t="n">
        <v>0</v>
      </c>
      <c r="O253" t="n">
        <v>0</v>
      </c>
      <c r="P253" t="n">
        <v>0</v>
      </c>
      <c r="Q253" t="n">
        <v>0</v>
      </c>
      <c r="R253" s="2" t="inlineStr"/>
    </row>
    <row r="254" ht="15" customHeight="1">
      <c r="A254" t="inlineStr">
        <is>
          <t>A 26031-2025</t>
        </is>
      </c>
      <c r="B254" s="1" t="n">
        <v>45804.69050925926</v>
      </c>
      <c r="C254" s="1" t="n">
        <v>45940</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10829-2024</t>
        </is>
      </c>
      <c r="B255" s="1" t="n">
        <v>45369</v>
      </c>
      <c r="C255" s="1" t="n">
        <v>45940</v>
      </c>
      <c r="D255" t="inlineStr">
        <is>
          <t>UPPSALA LÄN</t>
        </is>
      </c>
      <c r="E255" t="inlineStr">
        <is>
          <t>ENKÖPING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45940</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37115-2024</t>
        </is>
      </c>
      <c r="B257" s="1" t="n">
        <v>45539</v>
      </c>
      <c r="C257" s="1" t="n">
        <v>45940</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7090-2022</t>
        </is>
      </c>
      <c r="B258" s="1" t="n">
        <v>44603.59520833333</v>
      </c>
      <c r="C258" s="1" t="n">
        <v>45940</v>
      </c>
      <c r="D258" t="inlineStr">
        <is>
          <t>UPPSALA LÄN</t>
        </is>
      </c>
      <c r="E258" t="inlineStr">
        <is>
          <t>ENKÖPING</t>
        </is>
      </c>
      <c r="G258" t="n">
        <v>2.8</v>
      </c>
      <c r="H258" t="n">
        <v>0</v>
      </c>
      <c r="I258" t="n">
        <v>0</v>
      </c>
      <c r="J258" t="n">
        <v>0</v>
      </c>
      <c r="K258" t="n">
        <v>0</v>
      </c>
      <c r="L258" t="n">
        <v>0</v>
      </c>
      <c r="M258" t="n">
        <v>0</v>
      </c>
      <c r="N258" t="n">
        <v>0</v>
      </c>
      <c r="O258" t="n">
        <v>0</v>
      </c>
      <c r="P258" t="n">
        <v>0</v>
      </c>
      <c r="Q258" t="n">
        <v>0</v>
      </c>
      <c r="R258" s="2" t="inlineStr"/>
    </row>
    <row r="259" ht="15" customHeight="1">
      <c r="A259" t="inlineStr">
        <is>
          <t>A 9487-2025</t>
        </is>
      </c>
      <c r="B259" s="1" t="n">
        <v>45715.49331018519</v>
      </c>
      <c r="C259" s="1" t="n">
        <v>45940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6144-2024</t>
        </is>
      </c>
      <c r="B260" s="1" t="n">
        <v>45337.4684837963</v>
      </c>
      <c r="C260" s="1" t="n">
        <v>45940</v>
      </c>
      <c r="D260" t="inlineStr">
        <is>
          <t>UPPSALA LÄN</t>
        </is>
      </c>
      <c r="E260" t="inlineStr">
        <is>
          <t>ENKÖPING</t>
        </is>
      </c>
      <c r="G260" t="n">
        <v>13.8</v>
      </c>
      <c r="H260" t="n">
        <v>0</v>
      </c>
      <c r="I260" t="n">
        <v>0</v>
      </c>
      <c r="J260" t="n">
        <v>0</v>
      </c>
      <c r="K260" t="n">
        <v>0</v>
      </c>
      <c r="L260" t="n">
        <v>0</v>
      </c>
      <c r="M260" t="n">
        <v>0</v>
      </c>
      <c r="N260" t="n">
        <v>0</v>
      </c>
      <c r="O260" t="n">
        <v>0</v>
      </c>
      <c r="P260" t="n">
        <v>0</v>
      </c>
      <c r="Q260" t="n">
        <v>0</v>
      </c>
      <c r="R260" s="2" t="inlineStr"/>
    </row>
    <row r="261" ht="15" customHeight="1">
      <c r="A261" t="inlineStr">
        <is>
          <t>A 33955-2024</t>
        </is>
      </c>
      <c r="B261" s="1" t="n">
        <v>45523.46952546296</v>
      </c>
      <c r="C261" s="1" t="n">
        <v>45940</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45142-2023</t>
        </is>
      </c>
      <c r="B262" s="1" t="n">
        <v>45191.4702662037</v>
      </c>
      <c r="C262" s="1" t="n">
        <v>45940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11918-2025</t>
        </is>
      </c>
      <c r="B263" s="1" t="n">
        <v>45728.49331018519</v>
      </c>
      <c r="C263" s="1" t="n">
        <v>45940</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67982-2021</t>
        </is>
      </c>
      <c r="B264" s="1" t="n">
        <v>44525</v>
      </c>
      <c r="C264" s="1" t="n">
        <v>45940</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31242-2024</t>
        </is>
      </c>
      <c r="B265" s="1" t="n">
        <v>45503</v>
      </c>
      <c r="C265" s="1" t="n">
        <v>45940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26041-2025</t>
        </is>
      </c>
      <c r="B266" s="1" t="n">
        <v>45804.69883101852</v>
      </c>
      <c r="C266" s="1" t="n">
        <v>45940</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25990-2025</t>
        </is>
      </c>
      <c r="B267" s="1" t="n">
        <v>45804.65229166667</v>
      </c>
      <c r="C267" s="1" t="n">
        <v>45940</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51034-2024</t>
        </is>
      </c>
      <c r="B268" s="1" t="n">
        <v>45603.4262037037</v>
      </c>
      <c r="C268" s="1" t="n">
        <v>45940</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51036-2024</t>
        </is>
      </c>
      <c r="B269" s="1" t="n">
        <v>45603.42839120371</v>
      </c>
      <c r="C269" s="1" t="n">
        <v>45940</v>
      </c>
      <c r="D269" t="inlineStr">
        <is>
          <t>UPPSALA LÄN</t>
        </is>
      </c>
      <c r="E269" t="inlineStr">
        <is>
          <t>ENKÖPING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25847-2025</t>
        </is>
      </c>
      <c r="B270" s="1" t="n">
        <v>45804</v>
      </c>
      <c r="C270" s="1" t="n">
        <v>45940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45940</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26047-2025</t>
        </is>
      </c>
      <c r="B272" s="1" t="n">
        <v>45804.70835648148</v>
      </c>
      <c r="C272" s="1" t="n">
        <v>45940</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55876-2024</t>
        </is>
      </c>
      <c r="B273" s="1" t="n">
        <v>45623.5546412037</v>
      </c>
      <c r="C273" s="1" t="n">
        <v>45940</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11005-2023</t>
        </is>
      </c>
      <c r="B274" s="1" t="n">
        <v>44991</v>
      </c>
      <c r="C274" s="1" t="n">
        <v>45940</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16920-2023</t>
        </is>
      </c>
      <c r="B275" s="1" t="n">
        <v>45033.59030092593</v>
      </c>
      <c r="C275" s="1" t="n">
        <v>45940</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35067-2024</t>
        </is>
      </c>
      <c r="B276" s="1" t="n">
        <v>45527.66153935185</v>
      </c>
      <c r="C276" s="1" t="n">
        <v>45940</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57142-2021</t>
        </is>
      </c>
      <c r="B277" s="1" t="n">
        <v>44482</v>
      </c>
      <c r="C277" s="1" t="n">
        <v>45940</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57147-2021</t>
        </is>
      </c>
      <c r="B278" s="1" t="n">
        <v>44482</v>
      </c>
      <c r="C278" s="1" t="n">
        <v>45940</v>
      </c>
      <c r="D278" t="inlineStr">
        <is>
          <t>UPPSALA LÄN</t>
        </is>
      </c>
      <c r="E278" t="inlineStr">
        <is>
          <t>ENKÖPING</t>
        </is>
      </c>
      <c r="G278" t="n">
        <v>5.7</v>
      </c>
      <c r="H278" t="n">
        <v>0</v>
      </c>
      <c r="I278" t="n">
        <v>0</v>
      </c>
      <c r="J278" t="n">
        <v>0</v>
      </c>
      <c r="K278" t="n">
        <v>0</v>
      </c>
      <c r="L278" t="n">
        <v>0</v>
      </c>
      <c r="M278" t="n">
        <v>0</v>
      </c>
      <c r="N278" t="n">
        <v>0</v>
      </c>
      <c r="O278" t="n">
        <v>0</v>
      </c>
      <c r="P278" t="n">
        <v>0</v>
      </c>
      <c r="Q278" t="n">
        <v>0</v>
      </c>
      <c r="R278" s="2" t="inlineStr"/>
    </row>
    <row r="279" ht="15" customHeight="1">
      <c r="A279" t="inlineStr">
        <is>
          <t>A 53586-2024</t>
        </is>
      </c>
      <c r="B279" s="1" t="n">
        <v>45614</v>
      </c>
      <c r="C279" s="1" t="n">
        <v>45940</v>
      </c>
      <c r="D279" t="inlineStr">
        <is>
          <t>UPPSALA LÄN</t>
        </is>
      </c>
      <c r="E279" t="inlineStr">
        <is>
          <t>ENKÖPING</t>
        </is>
      </c>
      <c r="G279" t="n">
        <v>6.6</v>
      </c>
      <c r="H279" t="n">
        <v>0</v>
      </c>
      <c r="I279" t="n">
        <v>0</v>
      </c>
      <c r="J279" t="n">
        <v>0</v>
      </c>
      <c r="K279" t="n">
        <v>0</v>
      </c>
      <c r="L279" t="n">
        <v>0</v>
      </c>
      <c r="M279" t="n">
        <v>0</v>
      </c>
      <c r="N279" t="n">
        <v>0</v>
      </c>
      <c r="O279" t="n">
        <v>0</v>
      </c>
      <c r="P279" t="n">
        <v>0</v>
      </c>
      <c r="Q279" t="n">
        <v>0</v>
      </c>
      <c r="R279" s="2" t="inlineStr"/>
    </row>
    <row r="280" ht="15" customHeight="1">
      <c r="A280" t="inlineStr">
        <is>
          <t>A 7868-2024</t>
        </is>
      </c>
      <c r="B280" s="1" t="n">
        <v>45350.33020833333</v>
      </c>
      <c r="C280" s="1" t="n">
        <v>45940</v>
      </c>
      <c r="D280" t="inlineStr">
        <is>
          <t>UPPSALA LÄN</t>
        </is>
      </c>
      <c r="E280" t="inlineStr">
        <is>
          <t>ENKÖPING</t>
        </is>
      </c>
      <c r="G280" t="n">
        <v>0.3</v>
      </c>
      <c r="H280" t="n">
        <v>0</v>
      </c>
      <c r="I280" t="n">
        <v>0</v>
      </c>
      <c r="J280" t="n">
        <v>0</v>
      </c>
      <c r="K280" t="n">
        <v>0</v>
      </c>
      <c r="L280" t="n">
        <v>0</v>
      </c>
      <c r="M280" t="n">
        <v>0</v>
      </c>
      <c r="N280" t="n">
        <v>0</v>
      </c>
      <c r="O280" t="n">
        <v>0</v>
      </c>
      <c r="P280" t="n">
        <v>0</v>
      </c>
      <c r="Q280" t="n">
        <v>0</v>
      </c>
      <c r="R280" s="2" t="inlineStr"/>
    </row>
    <row r="281" ht="15" customHeight="1">
      <c r="A281" t="inlineStr">
        <is>
          <t>A 7870-2024</t>
        </is>
      </c>
      <c r="B281" s="1" t="n">
        <v>45350.33349537037</v>
      </c>
      <c r="C281" s="1" t="n">
        <v>45940</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9231-2023</t>
        </is>
      </c>
      <c r="B282" s="1" t="n">
        <v>44980</v>
      </c>
      <c r="C282" s="1" t="n">
        <v>45940</v>
      </c>
      <c r="D282" t="inlineStr">
        <is>
          <t>UPPSALA LÄN</t>
        </is>
      </c>
      <c r="E282" t="inlineStr">
        <is>
          <t>ENKÖPING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16916-2022</t>
        </is>
      </c>
      <c r="B283" s="1" t="n">
        <v>44676</v>
      </c>
      <c r="C283" s="1" t="n">
        <v>45940</v>
      </c>
      <c r="D283" t="inlineStr">
        <is>
          <t>UPPSALA LÄN</t>
        </is>
      </c>
      <c r="E283" t="inlineStr">
        <is>
          <t>ENKÖPING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43506-2023</t>
        </is>
      </c>
      <c r="B284" s="1" t="n">
        <v>45181</v>
      </c>
      <c r="C284" s="1" t="n">
        <v>45940</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30514-2021</t>
        </is>
      </c>
      <c r="B285" s="1" t="n">
        <v>44364</v>
      </c>
      <c r="C285" s="1" t="n">
        <v>45940</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31604-2023</t>
        </is>
      </c>
      <c r="B286" s="1" t="n">
        <v>45117.50368055556</v>
      </c>
      <c r="C286" s="1" t="n">
        <v>45940</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25598-2021</t>
        </is>
      </c>
      <c r="B287" s="1" t="n">
        <v>44343.4558912037</v>
      </c>
      <c r="C287" s="1" t="n">
        <v>45940</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15162-2025</t>
        </is>
      </c>
      <c r="B288" s="1" t="n">
        <v>45744</v>
      </c>
      <c r="C288" s="1" t="n">
        <v>45940</v>
      </c>
      <c r="D288" t="inlineStr">
        <is>
          <t>UPPSALA LÄN</t>
        </is>
      </c>
      <c r="E288" t="inlineStr">
        <is>
          <t>ENKÖPING</t>
        </is>
      </c>
      <c r="G288" t="n">
        <v>4.2</v>
      </c>
      <c r="H288" t="n">
        <v>0</v>
      </c>
      <c r="I288" t="n">
        <v>0</v>
      </c>
      <c r="J288" t="n">
        <v>0</v>
      </c>
      <c r="K288" t="n">
        <v>0</v>
      </c>
      <c r="L288" t="n">
        <v>0</v>
      </c>
      <c r="M288" t="n">
        <v>0</v>
      </c>
      <c r="N288" t="n">
        <v>0</v>
      </c>
      <c r="O288" t="n">
        <v>0</v>
      </c>
      <c r="P288" t="n">
        <v>0</v>
      </c>
      <c r="Q288" t="n">
        <v>0</v>
      </c>
      <c r="R288" s="2" t="inlineStr"/>
    </row>
    <row r="289" ht="15" customHeight="1">
      <c r="A289" t="inlineStr">
        <is>
          <t>A 46186-2023</t>
        </is>
      </c>
      <c r="B289" s="1" t="n">
        <v>45196</v>
      </c>
      <c r="C289" s="1" t="n">
        <v>45940</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45940</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54588-2024</t>
        </is>
      </c>
      <c r="B291" s="1" t="n">
        <v>45617</v>
      </c>
      <c r="C291" s="1" t="n">
        <v>45940</v>
      </c>
      <c r="D291" t="inlineStr">
        <is>
          <t>UPPSALA LÄN</t>
        </is>
      </c>
      <c r="E291" t="inlineStr">
        <is>
          <t>ENKÖPING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47428-2023</t>
        </is>
      </c>
      <c r="B292" s="1" t="n">
        <v>45202.66664351852</v>
      </c>
      <c r="C292" s="1" t="n">
        <v>45940</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5892-2023</t>
        </is>
      </c>
      <c r="B293" s="1" t="n">
        <v>44963.64883101852</v>
      </c>
      <c r="C293" s="1" t="n">
        <v>45940</v>
      </c>
      <c r="D293" t="inlineStr">
        <is>
          <t>UPPSALA LÄN</t>
        </is>
      </c>
      <c r="E293" t="inlineStr">
        <is>
          <t>ENKÖPING</t>
        </is>
      </c>
      <c r="G293" t="n">
        <v>5.5</v>
      </c>
      <c r="H293" t="n">
        <v>0</v>
      </c>
      <c r="I293" t="n">
        <v>0</v>
      </c>
      <c r="J293" t="n">
        <v>0</v>
      </c>
      <c r="K293" t="n">
        <v>0</v>
      </c>
      <c r="L293" t="n">
        <v>0</v>
      </c>
      <c r="M293" t="n">
        <v>0</v>
      </c>
      <c r="N293" t="n">
        <v>0</v>
      </c>
      <c r="O293" t="n">
        <v>0</v>
      </c>
      <c r="P293" t="n">
        <v>0</v>
      </c>
      <c r="Q293" t="n">
        <v>0</v>
      </c>
      <c r="R293" s="2" t="inlineStr"/>
    </row>
    <row r="294" ht="15" customHeight="1">
      <c r="A294" t="inlineStr">
        <is>
          <t>A 12572-2021</t>
        </is>
      </c>
      <c r="B294" s="1" t="n">
        <v>44270.36438657407</v>
      </c>
      <c r="C294" s="1" t="n">
        <v>45940</v>
      </c>
      <c r="D294" t="inlineStr">
        <is>
          <t>UPPSALA LÄN</t>
        </is>
      </c>
      <c r="E294" t="inlineStr">
        <is>
          <t>ENKÖPING</t>
        </is>
      </c>
      <c r="G294" t="n">
        <v>3.3</v>
      </c>
      <c r="H294" t="n">
        <v>0</v>
      </c>
      <c r="I294" t="n">
        <v>0</v>
      </c>
      <c r="J294" t="n">
        <v>0</v>
      </c>
      <c r="K294" t="n">
        <v>0</v>
      </c>
      <c r="L294" t="n">
        <v>0</v>
      </c>
      <c r="M294" t="n">
        <v>0</v>
      </c>
      <c r="N294" t="n">
        <v>0</v>
      </c>
      <c r="O294" t="n">
        <v>0</v>
      </c>
      <c r="P294" t="n">
        <v>0</v>
      </c>
      <c r="Q294" t="n">
        <v>0</v>
      </c>
      <c r="R294" s="2" t="inlineStr"/>
    </row>
    <row r="295" ht="15" customHeight="1">
      <c r="A295" t="inlineStr">
        <is>
          <t>A 671-2022</t>
        </is>
      </c>
      <c r="B295" s="1" t="n">
        <v>44568</v>
      </c>
      <c r="C295" s="1" t="n">
        <v>45940</v>
      </c>
      <c r="D295" t="inlineStr">
        <is>
          <t>UPPSALA LÄN</t>
        </is>
      </c>
      <c r="E295" t="inlineStr">
        <is>
          <t>ENKÖPING</t>
        </is>
      </c>
      <c r="G295" t="n">
        <v>3.5</v>
      </c>
      <c r="H295" t="n">
        <v>0</v>
      </c>
      <c r="I295" t="n">
        <v>0</v>
      </c>
      <c r="J295" t="n">
        <v>0</v>
      </c>
      <c r="K295" t="n">
        <v>0</v>
      </c>
      <c r="L295" t="n">
        <v>0</v>
      </c>
      <c r="M295" t="n">
        <v>0</v>
      </c>
      <c r="N295" t="n">
        <v>0</v>
      </c>
      <c r="O295" t="n">
        <v>0</v>
      </c>
      <c r="P295" t="n">
        <v>0</v>
      </c>
      <c r="Q295" t="n">
        <v>0</v>
      </c>
      <c r="R295" s="2" t="inlineStr"/>
    </row>
    <row r="296" ht="15" customHeight="1">
      <c r="A296" t="inlineStr">
        <is>
          <t>A 27829-2025</t>
        </is>
      </c>
      <c r="B296" s="1" t="n">
        <v>45817</v>
      </c>
      <c r="C296" s="1" t="n">
        <v>45940</v>
      </c>
      <c r="D296" t="inlineStr">
        <is>
          <t>UPPSALA LÄN</t>
        </is>
      </c>
      <c r="E296" t="inlineStr">
        <is>
          <t>ENKÖPING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43488-2023</t>
        </is>
      </c>
      <c r="B297" s="1" t="n">
        <v>45181</v>
      </c>
      <c r="C297" s="1" t="n">
        <v>45940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38941-2025</t>
        </is>
      </c>
      <c r="B298" s="1" t="n">
        <v>45887</v>
      </c>
      <c r="C298" s="1" t="n">
        <v>45940</v>
      </c>
      <c r="D298" t="inlineStr">
        <is>
          <t>UPPSALA LÄN</t>
        </is>
      </c>
      <c r="E298" t="inlineStr">
        <is>
          <t>ENKÖPING</t>
        </is>
      </c>
      <c r="F298" t="inlineStr">
        <is>
          <t>Övriga statliga verk och myndigheter</t>
        </is>
      </c>
      <c r="G298" t="n">
        <v>0.6</v>
      </c>
      <c r="H298" t="n">
        <v>0</v>
      </c>
      <c r="I298" t="n">
        <v>0</v>
      </c>
      <c r="J298" t="n">
        <v>0</v>
      </c>
      <c r="K298" t="n">
        <v>0</v>
      </c>
      <c r="L298" t="n">
        <v>0</v>
      </c>
      <c r="M298" t="n">
        <v>0</v>
      </c>
      <c r="N298" t="n">
        <v>0</v>
      </c>
      <c r="O298" t="n">
        <v>0</v>
      </c>
      <c r="P298" t="n">
        <v>0</v>
      </c>
      <c r="Q298" t="n">
        <v>0</v>
      </c>
      <c r="R298" s="2" t="inlineStr"/>
    </row>
    <row r="299" ht="15" customHeight="1">
      <c r="A299" t="inlineStr">
        <is>
          <t>A 39009-2024</t>
        </is>
      </c>
      <c r="B299" s="1" t="n">
        <v>45548</v>
      </c>
      <c r="C299" s="1" t="n">
        <v>45940</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9171-2024</t>
        </is>
      </c>
      <c r="B300" s="1" t="n">
        <v>45358</v>
      </c>
      <c r="C300" s="1" t="n">
        <v>45940</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8537-2025</t>
        </is>
      </c>
      <c r="B301" s="1" t="n">
        <v>45709</v>
      </c>
      <c r="C301" s="1" t="n">
        <v>45940</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52388-2024</t>
        </is>
      </c>
      <c r="B302" s="1" t="n">
        <v>45609.42939814815</v>
      </c>
      <c r="C302" s="1" t="n">
        <v>45940</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53607-2023</t>
        </is>
      </c>
      <c r="B303" s="1" t="n">
        <v>45230</v>
      </c>
      <c r="C303" s="1" t="n">
        <v>45940</v>
      </c>
      <c r="D303" t="inlineStr">
        <is>
          <t>UPPSALA LÄN</t>
        </is>
      </c>
      <c r="E303" t="inlineStr">
        <is>
          <t>ENKÖPING</t>
        </is>
      </c>
      <c r="F303" t="inlineStr">
        <is>
          <t>Allmännings- och besparingsskogar</t>
        </is>
      </c>
      <c r="G303" t="n">
        <v>6.3</v>
      </c>
      <c r="H303" t="n">
        <v>0</v>
      </c>
      <c r="I303" t="n">
        <v>0</v>
      </c>
      <c r="J303" t="n">
        <v>0</v>
      </c>
      <c r="K303" t="n">
        <v>0</v>
      </c>
      <c r="L303" t="n">
        <v>0</v>
      </c>
      <c r="M303" t="n">
        <v>0</v>
      </c>
      <c r="N303" t="n">
        <v>0</v>
      </c>
      <c r="O303" t="n">
        <v>0</v>
      </c>
      <c r="P303" t="n">
        <v>0</v>
      </c>
      <c r="Q303" t="n">
        <v>0</v>
      </c>
      <c r="R303" s="2" t="inlineStr"/>
    </row>
    <row r="304" ht="15" customHeight="1">
      <c r="A304" t="inlineStr">
        <is>
          <t>A 40202-2024</t>
        </is>
      </c>
      <c r="B304" s="1" t="n">
        <v>45554</v>
      </c>
      <c r="C304" s="1" t="n">
        <v>45940</v>
      </c>
      <c r="D304" t="inlineStr">
        <is>
          <t>UPPSALA LÄN</t>
        </is>
      </c>
      <c r="E304" t="inlineStr">
        <is>
          <t>ENKÖPING</t>
        </is>
      </c>
      <c r="G304" t="n">
        <v>6.2</v>
      </c>
      <c r="H304" t="n">
        <v>0</v>
      </c>
      <c r="I304" t="n">
        <v>0</v>
      </c>
      <c r="J304" t="n">
        <v>0</v>
      </c>
      <c r="K304" t="n">
        <v>0</v>
      </c>
      <c r="L304" t="n">
        <v>0</v>
      </c>
      <c r="M304" t="n">
        <v>0</v>
      </c>
      <c r="N304" t="n">
        <v>0</v>
      </c>
      <c r="O304" t="n">
        <v>0</v>
      </c>
      <c r="P304" t="n">
        <v>0</v>
      </c>
      <c r="Q304" t="n">
        <v>0</v>
      </c>
      <c r="R304" s="2" t="inlineStr"/>
    </row>
    <row r="305" ht="15" customHeight="1">
      <c r="A305" t="inlineStr">
        <is>
          <t>A 8306-2021</t>
        </is>
      </c>
      <c r="B305" s="1" t="n">
        <v>44244</v>
      </c>
      <c r="C305" s="1" t="n">
        <v>45940</v>
      </c>
      <c r="D305" t="inlineStr">
        <is>
          <t>UPPSALA LÄN</t>
        </is>
      </c>
      <c r="E305" t="inlineStr">
        <is>
          <t>ENKÖPING</t>
        </is>
      </c>
      <c r="G305" t="n">
        <v>14.9</v>
      </c>
      <c r="H305" t="n">
        <v>0</v>
      </c>
      <c r="I305" t="n">
        <v>0</v>
      </c>
      <c r="J305" t="n">
        <v>0</v>
      </c>
      <c r="K305" t="n">
        <v>0</v>
      </c>
      <c r="L305" t="n">
        <v>0</v>
      </c>
      <c r="M305" t="n">
        <v>0</v>
      </c>
      <c r="N305" t="n">
        <v>0</v>
      </c>
      <c r="O305" t="n">
        <v>0</v>
      </c>
      <c r="P305" t="n">
        <v>0</v>
      </c>
      <c r="Q305" t="n">
        <v>0</v>
      </c>
      <c r="R305" s="2" t="inlineStr"/>
    </row>
    <row r="306" ht="15" customHeight="1">
      <c r="A306" t="inlineStr">
        <is>
          <t>A 57152-2021</t>
        </is>
      </c>
      <c r="B306" s="1" t="n">
        <v>44482</v>
      </c>
      <c r="C306" s="1" t="n">
        <v>45940</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43230-2023</t>
        </is>
      </c>
      <c r="B307" s="1" t="n">
        <v>45183</v>
      </c>
      <c r="C307" s="1" t="n">
        <v>45940</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21017-2023</t>
        </is>
      </c>
      <c r="B308" s="1" t="n">
        <v>45061</v>
      </c>
      <c r="C308" s="1" t="n">
        <v>45940</v>
      </c>
      <c r="D308" t="inlineStr">
        <is>
          <t>UPPSALA LÄN</t>
        </is>
      </c>
      <c r="E308" t="inlineStr">
        <is>
          <t>ENKÖPING</t>
        </is>
      </c>
      <c r="G308" t="n">
        <v>4.8</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45940</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28518-2024</t>
        </is>
      </c>
      <c r="B310" s="1" t="n">
        <v>45477</v>
      </c>
      <c r="C310" s="1" t="n">
        <v>45940</v>
      </c>
      <c r="D310" t="inlineStr">
        <is>
          <t>UPPSALA LÄN</t>
        </is>
      </c>
      <c r="E310" t="inlineStr">
        <is>
          <t>ENKÖPING</t>
        </is>
      </c>
      <c r="G310" t="n">
        <v>3.4</v>
      </c>
      <c r="H310" t="n">
        <v>0</v>
      </c>
      <c r="I310" t="n">
        <v>0</v>
      </c>
      <c r="J310" t="n">
        <v>0</v>
      </c>
      <c r="K310" t="n">
        <v>0</v>
      </c>
      <c r="L310" t="n">
        <v>0</v>
      </c>
      <c r="M310" t="n">
        <v>0</v>
      </c>
      <c r="N310" t="n">
        <v>0</v>
      </c>
      <c r="O310" t="n">
        <v>0</v>
      </c>
      <c r="P310" t="n">
        <v>0</v>
      </c>
      <c r="Q310" t="n">
        <v>0</v>
      </c>
      <c r="R310" s="2" t="inlineStr"/>
    </row>
    <row r="311" ht="15" customHeight="1">
      <c r="A311" t="inlineStr">
        <is>
          <t>A 52299-2023</t>
        </is>
      </c>
      <c r="B311" s="1" t="n">
        <v>45224.61636574074</v>
      </c>
      <c r="C311" s="1" t="n">
        <v>45940</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45362-2022</t>
        </is>
      </c>
      <c r="B312" s="1" t="n">
        <v>44844.62366898148</v>
      </c>
      <c r="C312" s="1" t="n">
        <v>45940</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72840-2021</t>
        </is>
      </c>
      <c r="B313" s="1" t="n">
        <v>44547</v>
      </c>
      <c r="C313" s="1" t="n">
        <v>45940</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28758-2025</t>
        </is>
      </c>
      <c r="B314" s="1" t="n">
        <v>45820.41212962963</v>
      </c>
      <c r="C314" s="1" t="n">
        <v>45940</v>
      </c>
      <c r="D314" t="inlineStr">
        <is>
          <t>UPPSALA LÄN</t>
        </is>
      </c>
      <c r="E314" t="inlineStr">
        <is>
          <t>ENKÖPING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28862-2025</t>
        </is>
      </c>
      <c r="B315" s="1" t="n">
        <v>45820.59189814814</v>
      </c>
      <c r="C315" s="1" t="n">
        <v>45940</v>
      </c>
      <c r="D315" t="inlineStr">
        <is>
          <t>UPPSALA LÄN</t>
        </is>
      </c>
      <c r="E315" t="inlineStr">
        <is>
          <t>ENKÖPING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28855-2025</t>
        </is>
      </c>
      <c r="B316" s="1" t="n">
        <v>45820.58274305556</v>
      </c>
      <c r="C316" s="1" t="n">
        <v>45940</v>
      </c>
      <c r="D316" t="inlineStr">
        <is>
          <t>UPPSALA LÄN</t>
        </is>
      </c>
      <c r="E316" t="inlineStr">
        <is>
          <t>ENKÖPING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30634-2022</t>
        </is>
      </c>
      <c r="B317" s="1" t="n">
        <v>44763.45711805556</v>
      </c>
      <c r="C317" s="1" t="n">
        <v>45940</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29093-2025</t>
        </is>
      </c>
      <c r="B318" s="1" t="n">
        <v>45821.55743055556</v>
      </c>
      <c r="C318" s="1" t="n">
        <v>45940</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18259-2025</t>
        </is>
      </c>
      <c r="B319" s="1" t="n">
        <v>45762</v>
      </c>
      <c r="C319" s="1" t="n">
        <v>45940</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34617-2022</t>
        </is>
      </c>
      <c r="B320" s="1" t="n">
        <v>44795</v>
      </c>
      <c r="C320" s="1" t="n">
        <v>45940</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29477-2025</t>
        </is>
      </c>
      <c r="B321" s="1" t="n">
        <v>45824.71537037037</v>
      </c>
      <c r="C321" s="1" t="n">
        <v>45940</v>
      </c>
      <c r="D321" t="inlineStr">
        <is>
          <t>UPPSALA LÄN</t>
        </is>
      </c>
      <c r="E321" t="inlineStr">
        <is>
          <t>ENKÖPING</t>
        </is>
      </c>
      <c r="G321" t="n">
        <v>13.4</v>
      </c>
      <c r="H321" t="n">
        <v>0</v>
      </c>
      <c r="I321" t="n">
        <v>0</v>
      </c>
      <c r="J321" t="n">
        <v>0</v>
      </c>
      <c r="K321" t="n">
        <v>0</v>
      </c>
      <c r="L321" t="n">
        <v>0</v>
      </c>
      <c r="M321" t="n">
        <v>0</v>
      </c>
      <c r="N321" t="n">
        <v>0</v>
      </c>
      <c r="O321" t="n">
        <v>0</v>
      </c>
      <c r="P321" t="n">
        <v>0</v>
      </c>
      <c r="Q321" t="n">
        <v>0</v>
      </c>
      <c r="R321" s="2" t="inlineStr"/>
    </row>
    <row r="322" ht="15" customHeight="1">
      <c r="A322" t="inlineStr">
        <is>
          <t>A 1992-2022</t>
        </is>
      </c>
      <c r="B322" s="1" t="n">
        <v>44575.56153935185</v>
      </c>
      <c r="C322" s="1" t="n">
        <v>45940</v>
      </c>
      <c r="D322" t="inlineStr">
        <is>
          <t>UPPSALA LÄN</t>
        </is>
      </c>
      <c r="E322" t="inlineStr">
        <is>
          <t>ENKÖPING</t>
        </is>
      </c>
      <c r="G322" t="n">
        <v>2.8</v>
      </c>
      <c r="H322" t="n">
        <v>0</v>
      </c>
      <c r="I322" t="n">
        <v>0</v>
      </c>
      <c r="J322" t="n">
        <v>0</v>
      </c>
      <c r="K322" t="n">
        <v>0</v>
      </c>
      <c r="L322" t="n">
        <v>0</v>
      </c>
      <c r="M322" t="n">
        <v>0</v>
      </c>
      <c r="N322" t="n">
        <v>0</v>
      </c>
      <c r="O322" t="n">
        <v>0</v>
      </c>
      <c r="P322" t="n">
        <v>0</v>
      </c>
      <c r="Q322" t="n">
        <v>0</v>
      </c>
      <c r="R322" s="2" t="inlineStr"/>
    </row>
    <row r="323" ht="15" customHeight="1">
      <c r="A323" t="inlineStr">
        <is>
          <t>A 18583-2021</t>
        </is>
      </c>
      <c r="B323" s="1" t="n">
        <v>44306</v>
      </c>
      <c r="C323" s="1" t="n">
        <v>45940</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1695-2025</t>
        </is>
      </c>
      <c r="B324" s="1" t="n">
        <v>45670</v>
      </c>
      <c r="C324" s="1" t="n">
        <v>45940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54357-2023</t>
        </is>
      </c>
      <c r="B325" s="1" t="n">
        <v>45225</v>
      </c>
      <c r="C325" s="1" t="n">
        <v>45940</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14004-2023</t>
        </is>
      </c>
      <c r="B326" s="1" t="n">
        <v>45008</v>
      </c>
      <c r="C326" s="1" t="n">
        <v>45940</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24962-2023</t>
        </is>
      </c>
      <c r="B327" s="1" t="n">
        <v>45085.60123842592</v>
      </c>
      <c r="C327" s="1" t="n">
        <v>45940</v>
      </c>
      <c r="D327" t="inlineStr">
        <is>
          <t>UPPSALA LÄN</t>
        </is>
      </c>
      <c r="E327" t="inlineStr">
        <is>
          <t>ENKÖPING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67765-2020</t>
        </is>
      </c>
      <c r="B328" s="1" t="n">
        <v>44182</v>
      </c>
      <c r="C328" s="1" t="n">
        <v>45940</v>
      </c>
      <c r="D328" t="inlineStr">
        <is>
          <t>UPPSALA LÄN</t>
        </is>
      </c>
      <c r="E328" t="inlineStr">
        <is>
          <t>ENKÖPING</t>
        </is>
      </c>
      <c r="G328" t="n">
        <v>3.6</v>
      </c>
      <c r="H328" t="n">
        <v>0</v>
      </c>
      <c r="I328" t="n">
        <v>0</v>
      </c>
      <c r="J328" t="n">
        <v>0</v>
      </c>
      <c r="K328" t="n">
        <v>0</v>
      </c>
      <c r="L328" t="n">
        <v>0</v>
      </c>
      <c r="M328" t="n">
        <v>0</v>
      </c>
      <c r="N328" t="n">
        <v>0</v>
      </c>
      <c r="O328" t="n">
        <v>0</v>
      </c>
      <c r="P328" t="n">
        <v>0</v>
      </c>
      <c r="Q328" t="n">
        <v>0</v>
      </c>
      <c r="R328" s="2" t="inlineStr"/>
    </row>
    <row r="329" ht="15" customHeight="1">
      <c r="A329" t="inlineStr">
        <is>
          <t>A 53149-2020</t>
        </is>
      </c>
      <c r="B329" s="1" t="n">
        <v>44120</v>
      </c>
      <c r="C329" s="1" t="n">
        <v>45940</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6298-2021</t>
        </is>
      </c>
      <c r="B330" s="1" t="n">
        <v>44235</v>
      </c>
      <c r="C330" s="1" t="n">
        <v>45940</v>
      </c>
      <c r="D330" t="inlineStr">
        <is>
          <t>UPPSALA LÄN</t>
        </is>
      </c>
      <c r="E330" t="inlineStr">
        <is>
          <t>ENKÖPING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58961-2024</t>
        </is>
      </c>
      <c r="B331" s="1" t="n">
        <v>45636.585</v>
      </c>
      <c r="C331" s="1" t="n">
        <v>45940</v>
      </c>
      <c r="D331" t="inlineStr">
        <is>
          <t>UPPSALA LÄN</t>
        </is>
      </c>
      <c r="E331" t="inlineStr">
        <is>
          <t>ENKÖPING</t>
        </is>
      </c>
      <c r="G331" t="n">
        <v>4</v>
      </c>
      <c r="H331" t="n">
        <v>0</v>
      </c>
      <c r="I331" t="n">
        <v>0</v>
      </c>
      <c r="J331" t="n">
        <v>0</v>
      </c>
      <c r="K331" t="n">
        <v>0</v>
      </c>
      <c r="L331" t="n">
        <v>0</v>
      </c>
      <c r="M331" t="n">
        <v>0</v>
      </c>
      <c r="N331" t="n">
        <v>0</v>
      </c>
      <c r="O331" t="n">
        <v>0</v>
      </c>
      <c r="P331" t="n">
        <v>0</v>
      </c>
      <c r="Q331" t="n">
        <v>0</v>
      </c>
      <c r="R331" s="2" t="inlineStr"/>
    </row>
    <row r="332" ht="15" customHeight="1">
      <c r="A332" t="inlineStr">
        <is>
          <t>A 52005-2024</t>
        </is>
      </c>
      <c r="B332" s="1" t="n">
        <v>45607.7627662037</v>
      </c>
      <c r="C332" s="1" t="n">
        <v>45940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1960-2022</t>
        </is>
      </c>
      <c r="B333" s="1" t="n">
        <v>44575</v>
      </c>
      <c r="C333" s="1" t="n">
        <v>45940</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6157-2021</t>
        </is>
      </c>
      <c r="B334" s="1" t="n">
        <v>44232</v>
      </c>
      <c r="C334" s="1" t="n">
        <v>45940</v>
      </c>
      <c r="D334" t="inlineStr">
        <is>
          <t>UPPSALA LÄN</t>
        </is>
      </c>
      <c r="E334" t="inlineStr">
        <is>
          <t>ENKÖPING</t>
        </is>
      </c>
      <c r="G334" t="n">
        <v>3.9</v>
      </c>
      <c r="H334" t="n">
        <v>0</v>
      </c>
      <c r="I334" t="n">
        <v>0</v>
      </c>
      <c r="J334" t="n">
        <v>0</v>
      </c>
      <c r="K334" t="n">
        <v>0</v>
      </c>
      <c r="L334" t="n">
        <v>0</v>
      </c>
      <c r="M334" t="n">
        <v>0</v>
      </c>
      <c r="N334" t="n">
        <v>0</v>
      </c>
      <c r="O334" t="n">
        <v>0</v>
      </c>
      <c r="P334" t="n">
        <v>0</v>
      </c>
      <c r="Q334" t="n">
        <v>0</v>
      </c>
      <c r="R334" s="2" t="inlineStr"/>
    </row>
    <row r="335" ht="15" customHeight="1">
      <c r="A335" t="inlineStr">
        <is>
          <t>A 46940-2025</t>
        </is>
      </c>
      <c r="B335" s="1" t="n">
        <v>45929.45483796296</v>
      </c>
      <c r="C335" s="1" t="n">
        <v>45940</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53595-2023</t>
        </is>
      </c>
      <c r="B336" s="1" t="n">
        <v>45223</v>
      </c>
      <c r="C336" s="1" t="n">
        <v>45940</v>
      </c>
      <c r="D336" t="inlineStr">
        <is>
          <t>UPPSALA LÄN</t>
        </is>
      </c>
      <c r="E336" t="inlineStr">
        <is>
          <t>ENKÖPING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49627-2024</t>
        </is>
      </c>
      <c r="B337" s="1" t="n">
        <v>45596.59140046296</v>
      </c>
      <c r="C337" s="1" t="n">
        <v>45940</v>
      </c>
      <c r="D337" t="inlineStr">
        <is>
          <t>UPPSALA LÄN</t>
        </is>
      </c>
      <c r="E337" t="inlineStr">
        <is>
          <t>ENKÖPING</t>
        </is>
      </c>
      <c r="G337" t="n">
        <v>0.4</v>
      </c>
      <c r="H337" t="n">
        <v>0</v>
      </c>
      <c r="I337" t="n">
        <v>0</v>
      </c>
      <c r="J337" t="n">
        <v>0</v>
      </c>
      <c r="K337" t="n">
        <v>0</v>
      </c>
      <c r="L337" t="n">
        <v>0</v>
      </c>
      <c r="M337" t="n">
        <v>0</v>
      </c>
      <c r="N337" t="n">
        <v>0</v>
      </c>
      <c r="O337" t="n">
        <v>0</v>
      </c>
      <c r="P337" t="n">
        <v>0</v>
      </c>
      <c r="Q337" t="n">
        <v>0</v>
      </c>
      <c r="R337" s="2" t="inlineStr"/>
    </row>
    <row r="338" ht="15" customHeight="1">
      <c r="A338" t="inlineStr">
        <is>
          <t>A 57998-2024</t>
        </is>
      </c>
      <c r="B338" s="1" t="n">
        <v>45631</v>
      </c>
      <c r="C338" s="1" t="n">
        <v>45940</v>
      </c>
      <c r="D338" t="inlineStr">
        <is>
          <t>UPPSALA LÄN</t>
        </is>
      </c>
      <c r="E338" t="inlineStr">
        <is>
          <t>ENKÖPING</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9667-2024</t>
        </is>
      </c>
      <c r="B339" s="1" t="n">
        <v>45362.45130787037</v>
      </c>
      <c r="C339" s="1" t="n">
        <v>45940</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35645-2021</t>
        </is>
      </c>
      <c r="B340" s="1" t="n">
        <v>44386.42</v>
      </c>
      <c r="C340" s="1" t="n">
        <v>45940</v>
      </c>
      <c r="D340" t="inlineStr">
        <is>
          <t>UPPSALA LÄN</t>
        </is>
      </c>
      <c r="E340" t="inlineStr">
        <is>
          <t>ENKÖPING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30837-2025</t>
        </is>
      </c>
      <c r="B341" s="1" t="n">
        <v>45831.7063425926</v>
      </c>
      <c r="C341" s="1" t="n">
        <v>45940</v>
      </c>
      <c r="D341" t="inlineStr">
        <is>
          <t>UPPSALA LÄN</t>
        </is>
      </c>
      <c r="E341" t="inlineStr">
        <is>
          <t>ENKÖPING</t>
        </is>
      </c>
      <c r="G341" t="n">
        <v>3.8</v>
      </c>
      <c r="H341" t="n">
        <v>0</v>
      </c>
      <c r="I341" t="n">
        <v>0</v>
      </c>
      <c r="J341" t="n">
        <v>0</v>
      </c>
      <c r="K341" t="n">
        <v>0</v>
      </c>
      <c r="L341" t="n">
        <v>0</v>
      </c>
      <c r="M341" t="n">
        <v>0</v>
      </c>
      <c r="N341" t="n">
        <v>0</v>
      </c>
      <c r="O341" t="n">
        <v>0</v>
      </c>
      <c r="P341" t="n">
        <v>0</v>
      </c>
      <c r="Q341" t="n">
        <v>0</v>
      </c>
      <c r="R341" s="2" t="inlineStr"/>
    </row>
    <row r="342" ht="15" customHeight="1">
      <c r="A342" t="inlineStr">
        <is>
          <t>A 15893-2024</t>
        </is>
      </c>
      <c r="B342" s="1" t="n">
        <v>45405</v>
      </c>
      <c r="C342" s="1" t="n">
        <v>45940</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18028-2023</t>
        </is>
      </c>
      <c r="B343" s="1" t="n">
        <v>45040</v>
      </c>
      <c r="C343" s="1" t="n">
        <v>45940</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15711-2025</t>
        </is>
      </c>
      <c r="B344" s="1" t="n">
        <v>45748</v>
      </c>
      <c r="C344" s="1" t="n">
        <v>45940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28318-2024</t>
        </is>
      </c>
      <c r="B345" s="1" t="n">
        <v>45477</v>
      </c>
      <c r="C345" s="1" t="n">
        <v>45940</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69344-2021</t>
        </is>
      </c>
      <c r="B346" s="1" t="n">
        <v>44531</v>
      </c>
      <c r="C346" s="1" t="n">
        <v>45940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51524-2022</t>
        </is>
      </c>
      <c r="B347" s="1" t="n">
        <v>44869</v>
      </c>
      <c r="C347" s="1" t="n">
        <v>45940</v>
      </c>
      <c r="D347" t="inlineStr">
        <is>
          <t>UPPSALA LÄN</t>
        </is>
      </c>
      <c r="E347" t="inlineStr">
        <is>
          <t>ENKÖPING</t>
        </is>
      </c>
      <c r="G347" t="n">
        <v>6.6</v>
      </c>
      <c r="H347" t="n">
        <v>0</v>
      </c>
      <c r="I347" t="n">
        <v>0</v>
      </c>
      <c r="J347" t="n">
        <v>0</v>
      </c>
      <c r="K347" t="n">
        <v>0</v>
      </c>
      <c r="L347" t="n">
        <v>0</v>
      </c>
      <c r="M347" t="n">
        <v>0</v>
      </c>
      <c r="N347" t="n">
        <v>0</v>
      </c>
      <c r="O347" t="n">
        <v>0</v>
      </c>
      <c r="P347" t="n">
        <v>0</v>
      </c>
      <c r="Q347" t="n">
        <v>0</v>
      </c>
      <c r="R347" s="2" t="inlineStr"/>
    </row>
    <row r="348" ht="15" customHeight="1">
      <c r="A348" t="inlineStr">
        <is>
          <t>A 32111-2025</t>
        </is>
      </c>
      <c r="B348" s="1" t="n">
        <v>45835</v>
      </c>
      <c r="C348" s="1" t="n">
        <v>45940</v>
      </c>
      <c r="D348" t="inlineStr">
        <is>
          <t>UPPSALA LÄN</t>
        </is>
      </c>
      <c r="E348" t="inlineStr">
        <is>
          <t>ENKÖPING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32031-2025</t>
        </is>
      </c>
      <c r="B349" s="1" t="n">
        <v>45835.41712962963</v>
      </c>
      <c r="C349" s="1" t="n">
        <v>45940</v>
      </c>
      <c r="D349" t="inlineStr">
        <is>
          <t>UPPSALA LÄN</t>
        </is>
      </c>
      <c r="E349" t="inlineStr">
        <is>
          <t>ENKÖPING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48843-2023</t>
        </is>
      </c>
      <c r="B350" s="1" t="n">
        <v>45209</v>
      </c>
      <c r="C350" s="1" t="n">
        <v>45940</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33670-2024</t>
        </is>
      </c>
      <c r="B351" s="1" t="n">
        <v>45520</v>
      </c>
      <c r="C351" s="1" t="n">
        <v>45940</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56176-2021</t>
        </is>
      </c>
      <c r="B352" s="1" t="n">
        <v>44477</v>
      </c>
      <c r="C352" s="1" t="n">
        <v>45940</v>
      </c>
      <c r="D352" t="inlineStr">
        <is>
          <t>UPPSALA LÄN</t>
        </is>
      </c>
      <c r="E352" t="inlineStr">
        <is>
          <t>ENKÖPING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46103-2023</t>
        </is>
      </c>
      <c r="B353" s="1" t="n">
        <v>45190</v>
      </c>
      <c r="C353" s="1" t="n">
        <v>45940</v>
      </c>
      <c r="D353" t="inlineStr">
        <is>
          <t>UPPSALA LÄN</t>
        </is>
      </c>
      <c r="E353" t="inlineStr">
        <is>
          <t>ENKÖPING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19376-2024</t>
        </is>
      </c>
      <c r="B354" s="1" t="n">
        <v>45429</v>
      </c>
      <c r="C354" s="1" t="n">
        <v>45940</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41737-2022</t>
        </is>
      </c>
      <c r="B355" s="1" t="n">
        <v>44827.63826388889</v>
      </c>
      <c r="C355" s="1" t="n">
        <v>45940</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8137-2025</t>
        </is>
      </c>
      <c r="B356" s="1" t="n">
        <v>45707.8561574074</v>
      </c>
      <c r="C356" s="1" t="n">
        <v>45940</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32477-2025</t>
        </is>
      </c>
      <c r="B357" s="1" t="n">
        <v>45838.43098379629</v>
      </c>
      <c r="C357" s="1" t="n">
        <v>45940</v>
      </c>
      <c r="D357" t="inlineStr">
        <is>
          <t>UPPSALA LÄN</t>
        </is>
      </c>
      <c r="E357" t="inlineStr">
        <is>
          <t>ENKÖPING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15740-2025</t>
        </is>
      </c>
      <c r="B358" s="1" t="n">
        <v>45748</v>
      </c>
      <c r="C358" s="1" t="n">
        <v>45940</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23301-2024</t>
        </is>
      </c>
      <c r="B359" s="1" t="n">
        <v>45453.4396412037</v>
      </c>
      <c r="C359" s="1" t="n">
        <v>45940</v>
      </c>
      <c r="D359" t="inlineStr">
        <is>
          <t>UPPSALA LÄN</t>
        </is>
      </c>
      <c r="E359" t="inlineStr">
        <is>
          <t>ENKÖPING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61711-2020</t>
        </is>
      </c>
      <c r="B360" s="1" t="n">
        <v>44158</v>
      </c>
      <c r="C360" s="1" t="n">
        <v>45940</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12020-2024</t>
        </is>
      </c>
      <c r="B361" s="1" t="n">
        <v>45377</v>
      </c>
      <c r="C361" s="1" t="n">
        <v>45940</v>
      </c>
      <c r="D361" t="inlineStr">
        <is>
          <t>UPPSALA LÄN</t>
        </is>
      </c>
      <c r="E361" t="inlineStr">
        <is>
          <t>ENKÖPING</t>
        </is>
      </c>
      <c r="G361" t="n">
        <v>2</v>
      </c>
      <c r="H361" t="n">
        <v>0</v>
      </c>
      <c r="I361" t="n">
        <v>0</v>
      </c>
      <c r="J361" t="n">
        <v>0</v>
      </c>
      <c r="K361" t="n">
        <v>0</v>
      </c>
      <c r="L361" t="n">
        <v>0</v>
      </c>
      <c r="M361" t="n">
        <v>0</v>
      </c>
      <c r="N361" t="n">
        <v>0</v>
      </c>
      <c r="O361" t="n">
        <v>0</v>
      </c>
      <c r="P361" t="n">
        <v>0</v>
      </c>
      <c r="Q361" t="n">
        <v>0</v>
      </c>
      <c r="R361" s="2" t="inlineStr"/>
    </row>
    <row r="362" ht="15" customHeight="1">
      <c r="A362" t="inlineStr">
        <is>
          <t>A 52380-2024</t>
        </is>
      </c>
      <c r="B362" s="1" t="n">
        <v>45609</v>
      </c>
      <c r="C362" s="1" t="n">
        <v>45940</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51042-2024</t>
        </is>
      </c>
      <c r="B363" s="1" t="n">
        <v>45603.4342824074</v>
      </c>
      <c r="C363" s="1" t="n">
        <v>45940</v>
      </c>
      <c r="D363" t="inlineStr">
        <is>
          <t>UPPSALA LÄN</t>
        </is>
      </c>
      <c r="E363" t="inlineStr">
        <is>
          <t>ENKÖPING</t>
        </is>
      </c>
      <c r="G363" t="n">
        <v>4.6</v>
      </c>
      <c r="H363" t="n">
        <v>0</v>
      </c>
      <c r="I363" t="n">
        <v>0</v>
      </c>
      <c r="J363" t="n">
        <v>0</v>
      </c>
      <c r="K363" t="n">
        <v>0</v>
      </c>
      <c r="L363" t="n">
        <v>0</v>
      </c>
      <c r="M363" t="n">
        <v>0</v>
      </c>
      <c r="N363" t="n">
        <v>0</v>
      </c>
      <c r="O363" t="n">
        <v>0</v>
      </c>
      <c r="P363" t="n">
        <v>0</v>
      </c>
      <c r="Q363" t="n">
        <v>0</v>
      </c>
      <c r="R363" s="2" t="inlineStr"/>
    </row>
    <row r="364" ht="15" customHeight="1">
      <c r="A364" t="inlineStr">
        <is>
          <t>A 30098-2024</t>
        </is>
      </c>
      <c r="B364" s="1" t="n">
        <v>45489.41609953704</v>
      </c>
      <c r="C364" s="1" t="n">
        <v>45940</v>
      </c>
      <c r="D364" t="inlineStr">
        <is>
          <t>UPPSALA LÄN</t>
        </is>
      </c>
      <c r="E364" t="inlineStr">
        <is>
          <t>ENKÖPING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59441-2020</t>
        </is>
      </c>
      <c r="B365" s="1" t="n">
        <v>44148</v>
      </c>
      <c r="C365" s="1" t="n">
        <v>45940</v>
      </c>
      <c r="D365" t="inlineStr">
        <is>
          <t>UPPSALA LÄN</t>
        </is>
      </c>
      <c r="E365" t="inlineStr">
        <is>
          <t>ENKÖPING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34735-2023</t>
        </is>
      </c>
      <c r="B366" s="1" t="n">
        <v>45139</v>
      </c>
      <c r="C366" s="1" t="n">
        <v>45940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57328-2024</t>
        </is>
      </c>
      <c r="B367" s="1" t="n">
        <v>45629.62798611111</v>
      </c>
      <c r="C367" s="1" t="n">
        <v>45940</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10465-2022</t>
        </is>
      </c>
      <c r="B368" s="1" t="n">
        <v>44623</v>
      </c>
      <c r="C368" s="1" t="n">
        <v>45940</v>
      </c>
      <c r="D368" t="inlineStr">
        <is>
          <t>UPPSALA LÄN</t>
        </is>
      </c>
      <c r="E368" t="inlineStr">
        <is>
          <t>ENKÖPING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14332-2024</t>
        </is>
      </c>
      <c r="B369" s="1" t="n">
        <v>45393</v>
      </c>
      <c r="C369" s="1" t="n">
        <v>45940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61207-2023</t>
        </is>
      </c>
      <c r="B370" s="1" t="n">
        <v>45264.39444444444</v>
      </c>
      <c r="C370" s="1" t="n">
        <v>45940</v>
      </c>
      <c r="D370" t="inlineStr">
        <is>
          <t>UPPSALA LÄN</t>
        </is>
      </c>
      <c r="E370" t="inlineStr">
        <is>
          <t>ENKÖPING</t>
        </is>
      </c>
      <c r="G370" t="n">
        <v>10.8</v>
      </c>
      <c r="H370" t="n">
        <v>0</v>
      </c>
      <c r="I370" t="n">
        <v>0</v>
      </c>
      <c r="J370" t="n">
        <v>0</v>
      </c>
      <c r="K370" t="n">
        <v>0</v>
      </c>
      <c r="L370" t="n">
        <v>0</v>
      </c>
      <c r="M370" t="n">
        <v>0</v>
      </c>
      <c r="N370" t="n">
        <v>0</v>
      </c>
      <c r="O370" t="n">
        <v>0</v>
      </c>
      <c r="P370" t="n">
        <v>0</v>
      </c>
      <c r="Q370" t="n">
        <v>0</v>
      </c>
      <c r="R370" s="2" t="inlineStr"/>
    </row>
    <row r="371" ht="15" customHeight="1">
      <c r="A371" t="inlineStr">
        <is>
          <t>A 18994-2025</t>
        </is>
      </c>
      <c r="B371" s="1" t="n">
        <v>45764.57350694444</v>
      </c>
      <c r="C371" s="1" t="n">
        <v>45940</v>
      </c>
      <c r="D371" t="inlineStr">
        <is>
          <t>UPPSALA LÄN</t>
        </is>
      </c>
      <c r="E371" t="inlineStr">
        <is>
          <t>ENKÖPING</t>
        </is>
      </c>
      <c r="G371" t="n">
        <v>3.8</v>
      </c>
      <c r="H371" t="n">
        <v>0</v>
      </c>
      <c r="I371" t="n">
        <v>0</v>
      </c>
      <c r="J371" t="n">
        <v>0</v>
      </c>
      <c r="K371" t="n">
        <v>0</v>
      </c>
      <c r="L371" t="n">
        <v>0</v>
      </c>
      <c r="M371" t="n">
        <v>0</v>
      </c>
      <c r="N371" t="n">
        <v>0</v>
      </c>
      <c r="O371" t="n">
        <v>0</v>
      </c>
      <c r="P371" t="n">
        <v>0</v>
      </c>
      <c r="Q371" t="n">
        <v>0</v>
      </c>
      <c r="R371" s="2" t="inlineStr"/>
    </row>
    <row r="372" ht="15" customHeight="1">
      <c r="A372" t="inlineStr">
        <is>
          <t>A 29482-2022</t>
        </is>
      </c>
      <c r="B372" s="1" t="n">
        <v>44753.57703703704</v>
      </c>
      <c r="C372" s="1" t="n">
        <v>45940</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29483-2022</t>
        </is>
      </c>
      <c r="B373" s="1" t="n">
        <v>44753.57829861111</v>
      </c>
      <c r="C373" s="1" t="n">
        <v>45940</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44232-2022</t>
        </is>
      </c>
      <c r="B374" s="1" t="n">
        <v>44839</v>
      </c>
      <c r="C374" s="1" t="n">
        <v>45940</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61106-2022</t>
        </is>
      </c>
      <c r="B375" s="1" t="n">
        <v>44915.4128587963</v>
      </c>
      <c r="C375" s="1" t="n">
        <v>45940</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57848-2024</t>
        </is>
      </c>
      <c r="B376" s="1" t="n">
        <v>45631.40947916666</v>
      </c>
      <c r="C376" s="1" t="n">
        <v>45940</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49601-2024</t>
        </is>
      </c>
      <c r="B377" s="1" t="n">
        <v>45596.56288194445</v>
      </c>
      <c r="C377" s="1" t="n">
        <v>45940</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69344-2021</t>
        </is>
      </c>
      <c r="B378" s="1" t="n">
        <v>44531</v>
      </c>
      <c r="C378" s="1" t="n">
        <v>45940</v>
      </c>
      <c r="D378" t="inlineStr">
        <is>
          <t>UPPSALA LÄN</t>
        </is>
      </c>
      <c r="E378" t="inlineStr">
        <is>
          <t>ENKÖPING</t>
        </is>
      </c>
      <c r="G378" t="n">
        <v>2.9</v>
      </c>
      <c r="H378" t="n">
        <v>0</v>
      </c>
      <c r="I378" t="n">
        <v>0</v>
      </c>
      <c r="J378" t="n">
        <v>0</v>
      </c>
      <c r="K378" t="n">
        <v>0</v>
      </c>
      <c r="L378" t="n">
        <v>0</v>
      </c>
      <c r="M378" t="n">
        <v>0</v>
      </c>
      <c r="N378" t="n">
        <v>0</v>
      </c>
      <c r="O378" t="n">
        <v>0</v>
      </c>
      <c r="P378" t="n">
        <v>0</v>
      </c>
      <c r="Q378" t="n">
        <v>0</v>
      </c>
      <c r="R378" s="2" t="inlineStr"/>
    </row>
    <row r="379" ht="15" customHeight="1">
      <c r="A379" t="inlineStr">
        <is>
          <t>A 40812-2022</t>
        </is>
      </c>
      <c r="B379" s="1" t="n">
        <v>44824.68791666667</v>
      </c>
      <c r="C379" s="1" t="n">
        <v>45940</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39624-2023</t>
        </is>
      </c>
      <c r="B380" s="1" t="n">
        <v>45164</v>
      </c>
      <c r="C380" s="1" t="n">
        <v>45940</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58896-2020</t>
        </is>
      </c>
      <c r="B381" s="1" t="n">
        <v>44146</v>
      </c>
      <c r="C381" s="1" t="n">
        <v>45940</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43691-2024</t>
        </is>
      </c>
      <c r="B382" s="1" t="n">
        <v>45569</v>
      </c>
      <c r="C382" s="1" t="n">
        <v>45940</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20184-2023</t>
        </is>
      </c>
      <c r="B383" s="1" t="n">
        <v>45055.5670949074</v>
      </c>
      <c r="C383" s="1" t="n">
        <v>45940</v>
      </c>
      <c r="D383" t="inlineStr">
        <is>
          <t>UPPSALA LÄN</t>
        </is>
      </c>
      <c r="E383" t="inlineStr">
        <is>
          <t>ENKÖPING</t>
        </is>
      </c>
      <c r="G383" t="n">
        <v>3.2</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45940</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40223-2024</t>
        </is>
      </c>
      <c r="B385" s="1" t="n">
        <v>45554</v>
      </c>
      <c r="C385" s="1" t="n">
        <v>45940</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25333-2023</t>
        </is>
      </c>
      <c r="B386" s="1" t="n">
        <v>45083</v>
      </c>
      <c r="C386" s="1" t="n">
        <v>45940</v>
      </c>
      <c r="D386" t="inlineStr">
        <is>
          <t>UPPSALA LÄN</t>
        </is>
      </c>
      <c r="E386" t="inlineStr">
        <is>
          <t>ENKÖPING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37035-2023</t>
        </is>
      </c>
      <c r="B387" s="1" t="n">
        <v>45155</v>
      </c>
      <c r="C387" s="1" t="n">
        <v>45940</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3300-2025</t>
        </is>
      </c>
      <c r="B388" s="1" t="n">
        <v>45679</v>
      </c>
      <c r="C388" s="1" t="n">
        <v>45940</v>
      </c>
      <c r="D388" t="inlineStr">
        <is>
          <t>UPPSALA LÄN</t>
        </is>
      </c>
      <c r="E388" t="inlineStr">
        <is>
          <t>ENKÖPING</t>
        </is>
      </c>
      <c r="G388" t="n">
        <v>8.9</v>
      </c>
      <c r="H388" t="n">
        <v>0</v>
      </c>
      <c r="I388" t="n">
        <v>0</v>
      </c>
      <c r="J388" t="n">
        <v>0</v>
      </c>
      <c r="K388" t="n">
        <v>0</v>
      </c>
      <c r="L388" t="n">
        <v>0</v>
      </c>
      <c r="M388" t="n">
        <v>0</v>
      </c>
      <c r="N388" t="n">
        <v>0</v>
      </c>
      <c r="O388" t="n">
        <v>0</v>
      </c>
      <c r="P388" t="n">
        <v>0</v>
      </c>
      <c r="Q388" t="n">
        <v>0</v>
      </c>
      <c r="R388" s="2" t="inlineStr"/>
    </row>
    <row r="389" ht="15" customHeight="1">
      <c r="A389" t="inlineStr">
        <is>
          <t>A 52889-2022</t>
        </is>
      </c>
      <c r="B389" s="1" t="n">
        <v>44875</v>
      </c>
      <c r="C389" s="1" t="n">
        <v>45940</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51027-2024</t>
        </is>
      </c>
      <c r="B390" s="1" t="n">
        <v>45603</v>
      </c>
      <c r="C390" s="1" t="n">
        <v>45940</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51030-2024</t>
        </is>
      </c>
      <c r="B391" s="1" t="n">
        <v>45603</v>
      </c>
      <c r="C391" s="1" t="n">
        <v>45940</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39439-2025</t>
        </is>
      </c>
      <c r="B392" s="1" t="n">
        <v>45889</v>
      </c>
      <c r="C392" s="1" t="n">
        <v>45940</v>
      </c>
      <c r="D392" t="inlineStr">
        <is>
          <t>UPPSALA LÄN</t>
        </is>
      </c>
      <c r="E392" t="inlineStr">
        <is>
          <t>ENKÖPING</t>
        </is>
      </c>
      <c r="G392" t="n">
        <v>0.4</v>
      </c>
      <c r="H392" t="n">
        <v>0</v>
      </c>
      <c r="I392" t="n">
        <v>0</v>
      </c>
      <c r="J392" t="n">
        <v>0</v>
      </c>
      <c r="K392" t="n">
        <v>0</v>
      </c>
      <c r="L392" t="n">
        <v>0</v>
      </c>
      <c r="M392" t="n">
        <v>0</v>
      </c>
      <c r="N392" t="n">
        <v>0</v>
      </c>
      <c r="O392" t="n">
        <v>0</v>
      </c>
      <c r="P392" t="n">
        <v>0</v>
      </c>
      <c r="Q392" t="n">
        <v>0</v>
      </c>
      <c r="R392" s="2" t="inlineStr"/>
    </row>
    <row r="393" ht="15" customHeight="1">
      <c r="A393" t="inlineStr">
        <is>
          <t>A 12754-2025</t>
        </is>
      </c>
      <c r="B393" s="1" t="n">
        <v>45733.56331018519</v>
      </c>
      <c r="C393" s="1" t="n">
        <v>45940</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29513-2025</t>
        </is>
      </c>
      <c r="B394" s="1" t="n">
        <v>45825</v>
      </c>
      <c r="C394" s="1" t="n">
        <v>45940</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26292-2022</t>
        </is>
      </c>
      <c r="B395" s="1" t="n">
        <v>44735</v>
      </c>
      <c r="C395" s="1" t="n">
        <v>45940</v>
      </c>
      <c r="D395" t="inlineStr">
        <is>
          <t>UPPSALA LÄN</t>
        </is>
      </c>
      <c r="E395" t="inlineStr">
        <is>
          <t>ENKÖPING</t>
        </is>
      </c>
      <c r="F395" t="inlineStr">
        <is>
          <t>Kyrkan</t>
        </is>
      </c>
      <c r="G395" t="n">
        <v>4.6</v>
      </c>
      <c r="H395" t="n">
        <v>0</v>
      </c>
      <c r="I395" t="n">
        <v>0</v>
      </c>
      <c r="J395" t="n">
        <v>0</v>
      </c>
      <c r="K395" t="n">
        <v>0</v>
      </c>
      <c r="L395" t="n">
        <v>0</v>
      </c>
      <c r="M395" t="n">
        <v>0</v>
      </c>
      <c r="N395" t="n">
        <v>0</v>
      </c>
      <c r="O395" t="n">
        <v>0</v>
      </c>
      <c r="P395" t="n">
        <v>0</v>
      </c>
      <c r="Q395" t="n">
        <v>0</v>
      </c>
      <c r="R395" s="2" t="inlineStr"/>
    </row>
    <row r="396" ht="15" customHeight="1">
      <c r="A396" t="inlineStr">
        <is>
          <t>A 17844-2025</t>
        </is>
      </c>
      <c r="B396" s="1" t="n">
        <v>45758.59920138889</v>
      </c>
      <c r="C396" s="1" t="n">
        <v>45940</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4044-2024</t>
        </is>
      </c>
      <c r="B397" s="1" t="n">
        <v>45323.45954861111</v>
      </c>
      <c r="C397" s="1" t="n">
        <v>45940</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27837-2025</t>
        </is>
      </c>
      <c r="B398" s="1" t="n">
        <v>45817.37207175926</v>
      </c>
      <c r="C398" s="1" t="n">
        <v>45940</v>
      </c>
      <c r="D398" t="inlineStr">
        <is>
          <t>UPPSALA LÄN</t>
        </is>
      </c>
      <c r="E398" t="inlineStr">
        <is>
          <t>ENKÖPING</t>
        </is>
      </c>
      <c r="G398" t="n">
        <v>7.3</v>
      </c>
      <c r="H398" t="n">
        <v>0</v>
      </c>
      <c r="I398" t="n">
        <v>0</v>
      </c>
      <c r="J398" t="n">
        <v>0</v>
      </c>
      <c r="K398" t="n">
        <v>0</v>
      </c>
      <c r="L398" t="n">
        <v>0</v>
      </c>
      <c r="M398" t="n">
        <v>0</v>
      </c>
      <c r="N398" t="n">
        <v>0</v>
      </c>
      <c r="O398" t="n">
        <v>0</v>
      </c>
      <c r="P398" t="n">
        <v>0</v>
      </c>
      <c r="Q398" t="n">
        <v>0</v>
      </c>
      <c r="R398" s="2" t="inlineStr"/>
    </row>
    <row r="399" ht="15" customHeight="1">
      <c r="A399" t="inlineStr">
        <is>
          <t>A 34990-2025</t>
        </is>
      </c>
      <c r="B399" s="1" t="n">
        <v>45849.78916666667</v>
      </c>
      <c r="C399" s="1" t="n">
        <v>45940</v>
      </c>
      <c r="D399" t="inlineStr">
        <is>
          <t>UPPSALA LÄN</t>
        </is>
      </c>
      <c r="E399" t="inlineStr">
        <is>
          <t>ENKÖPING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33349-2024</t>
        </is>
      </c>
      <c r="B400" s="1" t="n">
        <v>45519</v>
      </c>
      <c r="C400" s="1" t="n">
        <v>45940</v>
      </c>
      <c r="D400" t="inlineStr">
        <is>
          <t>UPPSALA LÄN</t>
        </is>
      </c>
      <c r="E400" t="inlineStr">
        <is>
          <t>ENKÖPING</t>
        </is>
      </c>
      <c r="G400" t="n">
        <v>3.6</v>
      </c>
      <c r="H400" t="n">
        <v>0</v>
      </c>
      <c r="I400" t="n">
        <v>0</v>
      </c>
      <c r="J400" t="n">
        <v>0</v>
      </c>
      <c r="K400" t="n">
        <v>0</v>
      </c>
      <c r="L400" t="n">
        <v>0</v>
      </c>
      <c r="M400" t="n">
        <v>0</v>
      </c>
      <c r="N400" t="n">
        <v>0</v>
      </c>
      <c r="O400" t="n">
        <v>0</v>
      </c>
      <c r="P400" t="n">
        <v>0</v>
      </c>
      <c r="Q400" t="n">
        <v>0</v>
      </c>
      <c r="R400" s="2" t="inlineStr"/>
    </row>
    <row r="401" ht="15" customHeight="1">
      <c r="A401" t="inlineStr">
        <is>
          <t>A 22912-2024</t>
        </is>
      </c>
      <c r="B401" s="1" t="n">
        <v>45448.73118055556</v>
      </c>
      <c r="C401" s="1" t="n">
        <v>45940</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16176-2025</t>
        </is>
      </c>
      <c r="B402" s="1" t="n">
        <v>45750</v>
      </c>
      <c r="C402" s="1" t="n">
        <v>45940</v>
      </c>
      <c r="D402" t="inlineStr">
        <is>
          <t>UPPSALA LÄN</t>
        </is>
      </c>
      <c r="E402" t="inlineStr">
        <is>
          <t>ENKÖPING</t>
        </is>
      </c>
      <c r="G402" t="n">
        <v>3.9</v>
      </c>
      <c r="H402" t="n">
        <v>0</v>
      </c>
      <c r="I402" t="n">
        <v>0</v>
      </c>
      <c r="J402" t="n">
        <v>0</v>
      </c>
      <c r="K402" t="n">
        <v>0</v>
      </c>
      <c r="L402" t="n">
        <v>0</v>
      </c>
      <c r="M402" t="n">
        <v>0</v>
      </c>
      <c r="N402" t="n">
        <v>0</v>
      </c>
      <c r="O402" t="n">
        <v>0</v>
      </c>
      <c r="P402" t="n">
        <v>0</v>
      </c>
      <c r="Q402" t="n">
        <v>0</v>
      </c>
      <c r="R402" s="2" t="inlineStr"/>
    </row>
    <row r="403" ht="15" customHeight="1">
      <c r="A403" t="inlineStr">
        <is>
          <t>A 21612-2023</t>
        </is>
      </c>
      <c r="B403" s="1" t="n">
        <v>45063</v>
      </c>
      <c r="C403" s="1" t="n">
        <v>45940</v>
      </c>
      <c r="D403" t="inlineStr">
        <is>
          <t>UPPSALA LÄN</t>
        </is>
      </c>
      <c r="E403" t="inlineStr">
        <is>
          <t>ENKÖPING</t>
        </is>
      </c>
      <c r="F403" t="inlineStr">
        <is>
          <t>Allmännings- och besparingsskogar</t>
        </is>
      </c>
      <c r="G403" t="n">
        <v>1</v>
      </c>
      <c r="H403" t="n">
        <v>0</v>
      </c>
      <c r="I403" t="n">
        <v>0</v>
      </c>
      <c r="J403" t="n">
        <v>0</v>
      </c>
      <c r="K403" t="n">
        <v>0</v>
      </c>
      <c r="L403" t="n">
        <v>0</v>
      </c>
      <c r="M403" t="n">
        <v>0</v>
      </c>
      <c r="N403" t="n">
        <v>0</v>
      </c>
      <c r="O403" t="n">
        <v>0</v>
      </c>
      <c r="P403" t="n">
        <v>0</v>
      </c>
      <c r="Q403" t="n">
        <v>0</v>
      </c>
      <c r="R403" s="2" t="inlineStr"/>
    </row>
    <row r="404" ht="15" customHeight="1">
      <c r="A404" t="inlineStr">
        <is>
          <t>A 56713-2024</t>
        </is>
      </c>
      <c r="B404" s="1" t="n">
        <v>45628</v>
      </c>
      <c r="C404" s="1" t="n">
        <v>45940</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47441-2025</t>
        </is>
      </c>
      <c r="B405" s="1" t="n">
        <v>45930.63986111111</v>
      </c>
      <c r="C405" s="1" t="n">
        <v>45940</v>
      </c>
      <c r="D405" t="inlineStr">
        <is>
          <t>UPPSALA LÄN</t>
        </is>
      </c>
      <c r="E405" t="inlineStr">
        <is>
          <t>ENKÖPING</t>
        </is>
      </c>
      <c r="F405" t="inlineStr">
        <is>
          <t>Allmännings- och besparingsskogar</t>
        </is>
      </c>
      <c r="G405" t="n">
        <v>11.5</v>
      </c>
      <c r="H405" t="n">
        <v>0</v>
      </c>
      <c r="I405" t="n">
        <v>0</v>
      </c>
      <c r="J405" t="n">
        <v>0</v>
      </c>
      <c r="K405" t="n">
        <v>0</v>
      </c>
      <c r="L405" t="n">
        <v>0</v>
      </c>
      <c r="M405" t="n">
        <v>0</v>
      </c>
      <c r="N405" t="n">
        <v>0</v>
      </c>
      <c r="O405" t="n">
        <v>0</v>
      </c>
      <c r="P405" t="n">
        <v>0</v>
      </c>
      <c r="Q405" t="n">
        <v>0</v>
      </c>
      <c r="R405" s="2" t="inlineStr"/>
    </row>
    <row r="406" ht="15" customHeight="1">
      <c r="A406" t="inlineStr">
        <is>
          <t>A 14243-2025</t>
        </is>
      </c>
      <c r="B406" s="1" t="n">
        <v>45740.61288194444</v>
      </c>
      <c r="C406" s="1" t="n">
        <v>45940</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37870-2023</t>
        </is>
      </c>
      <c r="B407" s="1" t="n">
        <v>45160.41996527778</v>
      </c>
      <c r="C407" s="1" t="n">
        <v>45940</v>
      </c>
      <c r="D407" t="inlineStr">
        <is>
          <t>UPPSALA LÄN</t>
        </is>
      </c>
      <c r="E407" t="inlineStr">
        <is>
          <t>ENKÖPING</t>
        </is>
      </c>
      <c r="G407" t="n">
        <v>3.5</v>
      </c>
      <c r="H407" t="n">
        <v>0</v>
      </c>
      <c r="I407" t="n">
        <v>0</v>
      </c>
      <c r="J407" t="n">
        <v>0</v>
      </c>
      <c r="K407" t="n">
        <v>0</v>
      </c>
      <c r="L407" t="n">
        <v>0</v>
      </c>
      <c r="M407" t="n">
        <v>0</v>
      </c>
      <c r="N407" t="n">
        <v>0</v>
      </c>
      <c r="O407" t="n">
        <v>0</v>
      </c>
      <c r="P407" t="n">
        <v>0</v>
      </c>
      <c r="Q407" t="n">
        <v>0</v>
      </c>
      <c r="R407" s="2" t="inlineStr"/>
    </row>
    <row r="408" ht="15" customHeight="1">
      <c r="A408" t="inlineStr">
        <is>
          <t>A 33343-2024</t>
        </is>
      </c>
      <c r="B408" s="1" t="n">
        <v>45519</v>
      </c>
      <c r="C408" s="1" t="n">
        <v>45940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22094-2023</t>
        </is>
      </c>
      <c r="B409" s="1" t="n">
        <v>45069</v>
      </c>
      <c r="C409" s="1" t="n">
        <v>45940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41616-2025</t>
        </is>
      </c>
      <c r="B410" s="1" t="n">
        <v>45901.69684027778</v>
      </c>
      <c r="C410" s="1" t="n">
        <v>45940</v>
      </c>
      <c r="D410" t="inlineStr">
        <is>
          <t>UPPSALA LÄN</t>
        </is>
      </c>
      <c r="E410" t="inlineStr">
        <is>
          <t>ENKÖPING</t>
        </is>
      </c>
      <c r="F410" t="inlineStr">
        <is>
          <t>Allmännings- och besparingsskogar</t>
        </is>
      </c>
      <c r="G410" t="n">
        <v>17.3</v>
      </c>
      <c r="H410" t="n">
        <v>0</v>
      </c>
      <c r="I410" t="n">
        <v>0</v>
      </c>
      <c r="J410" t="n">
        <v>0</v>
      </c>
      <c r="K410" t="n">
        <v>0</v>
      </c>
      <c r="L410" t="n">
        <v>0</v>
      </c>
      <c r="M410" t="n">
        <v>0</v>
      </c>
      <c r="N410" t="n">
        <v>0</v>
      </c>
      <c r="O410" t="n">
        <v>0</v>
      </c>
      <c r="P410" t="n">
        <v>0</v>
      </c>
      <c r="Q410" t="n">
        <v>0</v>
      </c>
      <c r="R410" s="2" t="inlineStr"/>
    </row>
    <row r="411" ht="15" customHeight="1">
      <c r="A411" t="inlineStr">
        <is>
          <t>A 41618-2025</t>
        </is>
      </c>
      <c r="B411" s="1" t="n">
        <v>45901.70085648148</v>
      </c>
      <c r="C411" s="1" t="n">
        <v>45940</v>
      </c>
      <c r="D411" t="inlineStr">
        <is>
          <t>UPPSALA LÄN</t>
        </is>
      </c>
      <c r="E411" t="inlineStr">
        <is>
          <t>ENKÖPING</t>
        </is>
      </c>
      <c r="F411" t="inlineStr">
        <is>
          <t>Allmännings- och besparingsskogar</t>
        </is>
      </c>
      <c r="G411" t="n">
        <v>5.3</v>
      </c>
      <c r="H411" t="n">
        <v>0</v>
      </c>
      <c r="I411" t="n">
        <v>0</v>
      </c>
      <c r="J411" t="n">
        <v>0</v>
      </c>
      <c r="K411" t="n">
        <v>0</v>
      </c>
      <c r="L411" t="n">
        <v>0</v>
      </c>
      <c r="M411" t="n">
        <v>0</v>
      </c>
      <c r="N411" t="n">
        <v>0</v>
      </c>
      <c r="O411" t="n">
        <v>0</v>
      </c>
      <c r="P411" t="n">
        <v>0</v>
      </c>
      <c r="Q411" t="n">
        <v>0</v>
      </c>
      <c r="R411" s="2" t="inlineStr"/>
    </row>
    <row r="412" ht="15" customHeight="1">
      <c r="A412" t="inlineStr">
        <is>
          <t>A 15405-2025</t>
        </is>
      </c>
      <c r="B412" s="1" t="n">
        <v>45747.44670138889</v>
      </c>
      <c r="C412" s="1" t="n">
        <v>45940</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41637-2025</t>
        </is>
      </c>
      <c r="B413" s="1" t="n">
        <v>45901</v>
      </c>
      <c r="C413" s="1" t="n">
        <v>45940</v>
      </c>
      <c r="D413" t="inlineStr">
        <is>
          <t>UPPSALA LÄN</t>
        </is>
      </c>
      <c r="E413" t="inlineStr">
        <is>
          <t>ENKÖPING</t>
        </is>
      </c>
      <c r="F413" t="inlineStr">
        <is>
          <t>Allmännings- och besparingsskogar</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35079-2024</t>
        </is>
      </c>
      <c r="B414" s="1" t="n">
        <v>45527.66770833333</v>
      </c>
      <c r="C414" s="1" t="n">
        <v>45940</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21501-2025</t>
        </is>
      </c>
      <c r="B415" s="1" t="n">
        <v>45782</v>
      </c>
      <c r="C415" s="1" t="n">
        <v>45940</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33581-2023</t>
        </is>
      </c>
      <c r="B416" s="1" t="n">
        <v>45131</v>
      </c>
      <c r="C416" s="1" t="n">
        <v>45940</v>
      </c>
      <c r="D416" t="inlineStr">
        <is>
          <t>UPPSALA LÄN</t>
        </is>
      </c>
      <c r="E416" t="inlineStr">
        <is>
          <t>ENKÖPING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34988-2025</t>
        </is>
      </c>
      <c r="B417" s="1" t="n">
        <v>45849</v>
      </c>
      <c r="C417" s="1" t="n">
        <v>45940</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49073-2025</t>
        </is>
      </c>
      <c r="B418" s="1" t="n">
        <v>45937.65512731481</v>
      </c>
      <c r="C418" s="1" t="n">
        <v>45940</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56163-2021</t>
        </is>
      </c>
      <c r="B419" s="1" t="n">
        <v>44477</v>
      </c>
      <c r="C419" s="1" t="n">
        <v>45940</v>
      </c>
      <c r="D419" t="inlineStr">
        <is>
          <t>UPPSALA LÄN</t>
        </is>
      </c>
      <c r="E419" t="inlineStr">
        <is>
          <t>ENKÖPING</t>
        </is>
      </c>
      <c r="F419" t="inlineStr">
        <is>
          <t>Allmännings- och besparingsskogar</t>
        </is>
      </c>
      <c r="G419" t="n">
        <v>0.6</v>
      </c>
      <c r="H419" t="n">
        <v>0</v>
      </c>
      <c r="I419" t="n">
        <v>0</v>
      </c>
      <c r="J419" t="n">
        <v>0</v>
      </c>
      <c r="K419" t="n">
        <v>0</v>
      </c>
      <c r="L419" t="n">
        <v>0</v>
      </c>
      <c r="M419" t="n">
        <v>0</v>
      </c>
      <c r="N419" t="n">
        <v>0</v>
      </c>
      <c r="O419" t="n">
        <v>0</v>
      </c>
      <c r="P419" t="n">
        <v>0</v>
      </c>
      <c r="Q419" t="n">
        <v>0</v>
      </c>
      <c r="R419" s="2" t="inlineStr"/>
    </row>
    <row r="420" ht="15" customHeight="1">
      <c r="A420" t="inlineStr">
        <is>
          <t>A 47909-2024</t>
        </is>
      </c>
      <c r="B420" s="1" t="n">
        <v>45589.31866898148</v>
      </c>
      <c r="C420" s="1" t="n">
        <v>45940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48424-2025</t>
        </is>
      </c>
      <c r="B421" s="1" t="n">
        <v>45934.69131944444</v>
      </c>
      <c r="C421" s="1" t="n">
        <v>45940</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18302-2025</t>
        </is>
      </c>
      <c r="B422" s="1" t="n">
        <v>45762</v>
      </c>
      <c r="C422" s="1" t="n">
        <v>45940</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48678-2025</t>
        </is>
      </c>
      <c r="B423" s="1" t="n">
        <v>45936.59168981481</v>
      </c>
      <c r="C423" s="1" t="n">
        <v>45940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51932-2022</t>
        </is>
      </c>
      <c r="B424" s="1" t="n">
        <v>44872</v>
      </c>
      <c r="C424" s="1" t="n">
        <v>45940</v>
      </c>
      <c r="D424" t="inlineStr">
        <is>
          <t>UPPSALA LÄN</t>
        </is>
      </c>
      <c r="E424" t="inlineStr">
        <is>
          <t>ENKÖPING</t>
        </is>
      </c>
      <c r="G424" t="n">
        <v>5.5</v>
      </c>
      <c r="H424" t="n">
        <v>0</v>
      </c>
      <c r="I424" t="n">
        <v>0</v>
      </c>
      <c r="J424" t="n">
        <v>0</v>
      </c>
      <c r="K424" t="n">
        <v>0</v>
      </c>
      <c r="L424" t="n">
        <v>0</v>
      </c>
      <c r="M424" t="n">
        <v>0</v>
      </c>
      <c r="N424" t="n">
        <v>0</v>
      </c>
      <c r="O424" t="n">
        <v>0</v>
      </c>
      <c r="P424" t="n">
        <v>0</v>
      </c>
      <c r="Q424" t="n">
        <v>0</v>
      </c>
      <c r="R424" s="2" t="inlineStr"/>
    </row>
    <row r="425" ht="15" customHeight="1">
      <c r="A425" t="inlineStr">
        <is>
          <t>A 42029-2025</t>
        </is>
      </c>
      <c r="B425" s="1" t="n">
        <v>45903</v>
      </c>
      <c r="C425" s="1" t="n">
        <v>45940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49068-2025</t>
        </is>
      </c>
      <c r="B426" s="1" t="n">
        <v>45937.64766203704</v>
      </c>
      <c r="C426" s="1" t="n">
        <v>45940</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34987-2025</t>
        </is>
      </c>
      <c r="B427" s="1" t="n">
        <v>45849</v>
      </c>
      <c r="C427" s="1" t="n">
        <v>45940</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34989-2025</t>
        </is>
      </c>
      <c r="B428" s="1" t="n">
        <v>45849</v>
      </c>
      <c r="C428" s="1" t="n">
        <v>45940</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28243-2023</t>
        </is>
      </c>
      <c r="B429" s="1" t="n">
        <v>45099.58885416666</v>
      </c>
      <c r="C429" s="1" t="n">
        <v>45940</v>
      </c>
      <c r="D429" t="inlineStr">
        <is>
          <t>UPPSALA LÄN</t>
        </is>
      </c>
      <c r="E429" t="inlineStr">
        <is>
          <t>ENKÖPING</t>
        </is>
      </c>
      <c r="G429" t="n">
        <v>1.9</v>
      </c>
      <c r="H429" t="n">
        <v>0</v>
      </c>
      <c r="I429" t="n">
        <v>0</v>
      </c>
      <c r="J429" t="n">
        <v>0</v>
      </c>
      <c r="K429" t="n">
        <v>0</v>
      </c>
      <c r="L429" t="n">
        <v>0</v>
      </c>
      <c r="M429" t="n">
        <v>0</v>
      </c>
      <c r="N429" t="n">
        <v>0</v>
      </c>
      <c r="O429" t="n">
        <v>0</v>
      </c>
      <c r="P429" t="n">
        <v>0</v>
      </c>
      <c r="Q429" t="n">
        <v>0</v>
      </c>
      <c r="R429" s="2" t="inlineStr"/>
    </row>
    <row r="430" ht="15" customHeight="1">
      <c r="A430" t="inlineStr">
        <is>
          <t>A 39746-2025</t>
        </is>
      </c>
      <c r="B430" s="1" t="n">
        <v>45891</v>
      </c>
      <c r="C430" s="1" t="n">
        <v>45940</v>
      </c>
      <c r="D430" t="inlineStr">
        <is>
          <t>UPPSALA LÄN</t>
        </is>
      </c>
      <c r="E430" t="inlineStr">
        <is>
          <t>ENKÖPING</t>
        </is>
      </c>
      <c r="G430" t="n">
        <v>7.4</v>
      </c>
      <c r="H430" t="n">
        <v>0</v>
      </c>
      <c r="I430" t="n">
        <v>0</v>
      </c>
      <c r="J430" t="n">
        <v>0</v>
      </c>
      <c r="K430" t="n">
        <v>0</v>
      </c>
      <c r="L430" t="n">
        <v>0</v>
      </c>
      <c r="M430" t="n">
        <v>0</v>
      </c>
      <c r="N430" t="n">
        <v>0</v>
      </c>
      <c r="O430" t="n">
        <v>0</v>
      </c>
      <c r="P430" t="n">
        <v>0</v>
      </c>
      <c r="Q430" t="n">
        <v>0</v>
      </c>
      <c r="R430" s="2" t="inlineStr"/>
    </row>
    <row r="431" ht="15" customHeight="1">
      <c r="A431" t="inlineStr">
        <is>
          <t>A 3235-2025</t>
        </is>
      </c>
      <c r="B431" s="1" t="n">
        <v>45679</v>
      </c>
      <c r="C431" s="1" t="n">
        <v>45940</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41828-2024</t>
        </is>
      </c>
      <c r="B432" s="1" t="n">
        <v>45561</v>
      </c>
      <c r="C432" s="1" t="n">
        <v>45940</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1536-2024</t>
        </is>
      </c>
      <c r="B433" s="1" t="n">
        <v>45306</v>
      </c>
      <c r="C433" s="1" t="n">
        <v>45940</v>
      </c>
      <c r="D433" t="inlineStr">
        <is>
          <t>UPPSALA LÄN</t>
        </is>
      </c>
      <c r="E433" t="inlineStr">
        <is>
          <t>ENKÖPING</t>
        </is>
      </c>
      <c r="F433" t="inlineStr">
        <is>
          <t>Kyrkan</t>
        </is>
      </c>
      <c r="G433" t="n">
        <v>5.6</v>
      </c>
      <c r="H433" t="n">
        <v>0</v>
      </c>
      <c r="I433" t="n">
        <v>0</v>
      </c>
      <c r="J433" t="n">
        <v>0</v>
      </c>
      <c r="K433" t="n">
        <v>0</v>
      </c>
      <c r="L433" t="n">
        <v>0</v>
      </c>
      <c r="M433" t="n">
        <v>0</v>
      </c>
      <c r="N433" t="n">
        <v>0</v>
      </c>
      <c r="O433" t="n">
        <v>0</v>
      </c>
      <c r="P433" t="n">
        <v>0</v>
      </c>
      <c r="Q433" t="n">
        <v>0</v>
      </c>
      <c r="R433" s="2" t="inlineStr"/>
    </row>
    <row r="434" ht="15" customHeight="1">
      <c r="A434" t="inlineStr">
        <is>
          <t>A 42564-2024</t>
        </is>
      </c>
      <c r="B434" s="1" t="n">
        <v>45565.63358796296</v>
      </c>
      <c r="C434" s="1" t="n">
        <v>45940</v>
      </c>
      <c r="D434" t="inlineStr">
        <is>
          <t>UPPSALA LÄN</t>
        </is>
      </c>
      <c r="E434" t="inlineStr">
        <is>
          <t>ENKÖPING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43492-2023</t>
        </is>
      </c>
      <c r="B435" s="1" t="n">
        <v>45181</v>
      </c>
      <c r="C435" s="1" t="n">
        <v>45940</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41764-2025</t>
        </is>
      </c>
      <c r="B436" s="1" t="n">
        <v>45902</v>
      </c>
      <c r="C436" s="1" t="n">
        <v>45940</v>
      </c>
      <c r="D436" t="inlineStr">
        <is>
          <t>UPPSALA LÄN</t>
        </is>
      </c>
      <c r="E436" t="inlineStr">
        <is>
          <t>ENKÖPING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48423-2025</t>
        </is>
      </c>
      <c r="B437" s="1" t="n">
        <v>45934.68024305555</v>
      </c>
      <c r="C437" s="1" t="n">
        <v>45940</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36492-2025</t>
        </is>
      </c>
      <c r="B438" s="1" t="n">
        <v>45869</v>
      </c>
      <c r="C438" s="1" t="n">
        <v>45940</v>
      </c>
      <c r="D438" t="inlineStr">
        <is>
          <t>UPPSALA LÄN</t>
        </is>
      </c>
      <c r="E438" t="inlineStr">
        <is>
          <t>ENKÖPING</t>
        </is>
      </c>
      <c r="G438" t="n">
        <v>6.3</v>
      </c>
      <c r="H438" t="n">
        <v>0</v>
      </c>
      <c r="I438" t="n">
        <v>0</v>
      </c>
      <c r="J438" t="n">
        <v>0</v>
      </c>
      <c r="K438" t="n">
        <v>0</v>
      </c>
      <c r="L438" t="n">
        <v>0</v>
      </c>
      <c r="M438" t="n">
        <v>0</v>
      </c>
      <c r="N438" t="n">
        <v>0</v>
      </c>
      <c r="O438" t="n">
        <v>0</v>
      </c>
      <c r="P438" t="n">
        <v>0</v>
      </c>
      <c r="Q438" t="n">
        <v>0</v>
      </c>
      <c r="R438" s="2" t="inlineStr"/>
    </row>
    <row r="439" ht="15" customHeight="1">
      <c r="A439" t="inlineStr">
        <is>
          <t>A 59497-2022</t>
        </is>
      </c>
      <c r="B439" s="1" t="n">
        <v>44907.48258101852</v>
      </c>
      <c r="C439" s="1" t="n">
        <v>45940</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6626-2023</t>
        </is>
      </c>
      <c r="B440" s="1" t="n">
        <v>44966.55946759259</v>
      </c>
      <c r="C440" s="1" t="n">
        <v>45940</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9041-2023</t>
        </is>
      </c>
      <c r="B441" s="1" t="n">
        <v>44979</v>
      </c>
      <c r="C441" s="1" t="n">
        <v>45940</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36350-2025</t>
        </is>
      </c>
      <c r="B442" s="1" t="n">
        <v>45868</v>
      </c>
      <c r="C442" s="1" t="n">
        <v>45940</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43103-2025</t>
        </is>
      </c>
      <c r="B443" s="1" t="n">
        <v>45909</v>
      </c>
      <c r="C443" s="1" t="n">
        <v>45940</v>
      </c>
      <c r="D443" t="inlineStr">
        <is>
          <t>UPPSALA LÄN</t>
        </is>
      </c>
      <c r="E443" t="inlineStr">
        <is>
          <t>ENKÖPING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12755-2025</t>
        </is>
      </c>
      <c r="B444" s="1" t="n">
        <v>45733.56541666666</v>
      </c>
      <c r="C444" s="1" t="n">
        <v>45940</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59027-2024</t>
        </is>
      </c>
      <c r="B445" s="1" t="n">
        <v>45636.68755787037</v>
      </c>
      <c r="C445" s="1" t="n">
        <v>45940</v>
      </c>
      <c r="D445" t="inlineStr">
        <is>
          <t>UPPSALA LÄN</t>
        </is>
      </c>
      <c r="E445" t="inlineStr">
        <is>
          <t>ENKÖPING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43999-2025</t>
        </is>
      </c>
      <c r="B446" s="1" t="n">
        <v>45915.45158564814</v>
      </c>
      <c r="C446" s="1" t="n">
        <v>45940</v>
      </c>
      <c r="D446" t="inlineStr">
        <is>
          <t>UPPSALA LÄN</t>
        </is>
      </c>
      <c r="E446" t="inlineStr">
        <is>
          <t>ENKÖPING</t>
        </is>
      </c>
      <c r="G446" t="n">
        <v>4.1</v>
      </c>
      <c r="H446" t="n">
        <v>0</v>
      </c>
      <c r="I446" t="n">
        <v>0</v>
      </c>
      <c r="J446" t="n">
        <v>0</v>
      </c>
      <c r="K446" t="n">
        <v>0</v>
      </c>
      <c r="L446" t="n">
        <v>0</v>
      </c>
      <c r="M446" t="n">
        <v>0</v>
      </c>
      <c r="N446" t="n">
        <v>0</v>
      </c>
      <c r="O446" t="n">
        <v>0</v>
      </c>
      <c r="P446" t="n">
        <v>0</v>
      </c>
      <c r="Q446" t="n">
        <v>0</v>
      </c>
      <c r="R446" s="2" t="inlineStr"/>
    </row>
    <row r="447" ht="15" customHeight="1">
      <c r="A447" t="inlineStr">
        <is>
          <t>A 42756-2025</t>
        </is>
      </c>
      <c r="B447" s="1" t="n">
        <v>45908</v>
      </c>
      <c r="C447" s="1" t="n">
        <v>45940</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25989-2025</t>
        </is>
      </c>
      <c r="B448" s="1" t="n">
        <v>45804.65050925926</v>
      </c>
      <c r="C448" s="1" t="n">
        <v>45940</v>
      </c>
      <c r="D448" t="inlineStr">
        <is>
          <t>UPPSALA LÄN</t>
        </is>
      </c>
      <c r="E448" t="inlineStr">
        <is>
          <t>ENKÖPING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53587-2024</t>
        </is>
      </c>
      <c r="B449" s="1" t="n">
        <v>45614.66953703704</v>
      </c>
      <c r="C449" s="1" t="n">
        <v>45940</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11503-2024</t>
        </is>
      </c>
      <c r="B450" s="1" t="n">
        <v>45372.68020833333</v>
      </c>
      <c r="C450" s="1" t="n">
        <v>45940</v>
      </c>
      <c r="D450" t="inlineStr">
        <is>
          <t>UPPSALA LÄN</t>
        </is>
      </c>
      <c r="E450" t="inlineStr">
        <is>
          <t>ENKÖPING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17165-2025</t>
        </is>
      </c>
      <c r="B451" s="1" t="n">
        <v>45756</v>
      </c>
      <c r="C451" s="1" t="n">
        <v>45940</v>
      </c>
      <c r="D451" t="inlineStr">
        <is>
          <t>UPPSALA LÄN</t>
        </is>
      </c>
      <c r="E451" t="inlineStr">
        <is>
          <t>ENKÖPING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5013-2025</t>
        </is>
      </c>
      <c r="B452" s="1" t="n">
        <v>45691</v>
      </c>
      <c r="C452" s="1" t="n">
        <v>45940</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36599-2025</t>
        </is>
      </c>
      <c r="B453" s="1" t="n">
        <v>45870.51723379629</v>
      </c>
      <c r="C453" s="1" t="n">
        <v>45940</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39115-2024</t>
        </is>
      </c>
      <c r="B454" s="1" t="n">
        <v>45548</v>
      </c>
      <c r="C454" s="1" t="n">
        <v>45940</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25334-2023</t>
        </is>
      </c>
      <c r="B455" s="1" t="n">
        <v>45083</v>
      </c>
      <c r="C455" s="1" t="n">
        <v>45940</v>
      </c>
      <c r="D455" t="inlineStr">
        <is>
          <t>UPPSALA LÄN</t>
        </is>
      </c>
      <c r="E455" t="inlineStr">
        <is>
          <t>ENKÖPING</t>
        </is>
      </c>
      <c r="G455" t="n">
        <v>0.2</v>
      </c>
      <c r="H455" t="n">
        <v>0</v>
      </c>
      <c r="I455" t="n">
        <v>0</v>
      </c>
      <c r="J455" t="n">
        <v>0</v>
      </c>
      <c r="K455" t="n">
        <v>0</v>
      </c>
      <c r="L455" t="n">
        <v>0</v>
      </c>
      <c r="M455" t="n">
        <v>0</v>
      </c>
      <c r="N455" t="n">
        <v>0</v>
      </c>
      <c r="O455" t="n">
        <v>0</v>
      </c>
      <c r="P455" t="n">
        <v>0</v>
      </c>
      <c r="Q455" t="n">
        <v>0</v>
      </c>
      <c r="R455" s="2" t="inlineStr"/>
    </row>
    <row r="456" ht="15" customHeight="1">
      <c r="A456" t="inlineStr">
        <is>
          <t>A 56837-2024</t>
        </is>
      </c>
      <c r="B456" s="1" t="n">
        <v>45628</v>
      </c>
      <c r="C456" s="1" t="n">
        <v>45940</v>
      </c>
      <c r="D456" t="inlineStr">
        <is>
          <t>UPPSALA LÄN</t>
        </is>
      </c>
      <c r="E456" t="inlineStr">
        <is>
          <t>ENKÖPING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41765-2025</t>
        </is>
      </c>
      <c r="B457" s="1" t="n">
        <v>45902</v>
      </c>
      <c r="C457" s="1" t="n">
        <v>45940</v>
      </c>
      <c r="D457" t="inlineStr">
        <is>
          <t>UPPSALA LÄN</t>
        </is>
      </c>
      <c r="E457" t="inlineStr">
        <is>
          <t>ENKÖPING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37170-2021</t>
        </is>
      </c>
      <c r="B458" s="1" t="n">
        <v>44395</v>
      </c>
      <c r="C458" s="1" t="n">
        <v>45940</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44419-2025</t>
        </is>
      </c>
      <c r="B459" s="1" t="n">
        <v>45916.54671296296</v>
      </c>
      <c r="C459" s="1" t="n">
        <v>45940</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18821-2023</t>
        </is>
      </c>
      <c r="B460" s="1" t="n">
        <v>45044.3782175926</v>
      </c>
      <c r="C460" s="1" t="n">
        <v>45940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58147-2024</t>
        </is>
      </c>
      <c r="B461" s="1" t="n">
        <v>45632.4334375</v>
      </c>
      <c r="C461" s="1" t="n">
        <v>45940</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37498-2025</t>
        </is>
      </c>
      <c r="B462" s="1" t="n">
        <v>45877</v>
      </c>
      <c r="C462" s="1" t="n">
        <v>45940</v>
      </c>
      <c r="D462" t="inlineStr">
        <is>
          <t>UPPSALA LÄN</t>
        </is>
      </c>
      <c r="E462" t="inlineStr">
        <is>
          <t>ENKÖPING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37296-2025</t>
        </is>
      </c>
      <c r="B463" s="1" t="n">
        <v>45876</v>
      </c>
      <c r="C463" s="1" t="n">
        <v>45940</v>
      </c>
      <c r="D463" t="inlineStr">
        <is>
          <t>UPPSALA LÄN</t>
        </is>
      </c>
      <c r="E463" t="inlineStr">
        <is>
          <t>ENKÖPING</t>
        </is>
      </c>
      <c r="G463" t="n">
        <v>9.5</v>
      </c>
      <c r="H463" t="n">
        <v>0</v>
      </c>
      <c r="I463" t="n">
        <v>0</v>
      </c>
      <c r="J463" t="n">
        <v>0</v>
      </c>
      <c r="K463" t="n">
        <v>0</v>
      </c>
      <c r="L463" t="n">
        <v>0</v>
      </c>
      <c r="M463" t="n">
        <v>0</v>
      </c>
      <c r="N463" t="n">
        <v>0</v>
      </c>
      <c r="O463" t="n">
        <v>0</v>
      </c>
      <c r="P463" t="n">
        <v>0</v>
      </c>
      <c r="Q463" t="n">
        <v>0</v>
      </c>
      <c r="R463" s="2" t="inlineStr"/>
    </row>
    <row r="464" ht="15" customHeight="1">
      <c r="A464" t="inlineStr">
        <is>
          <t>A 3550-2023</t>
        </is>
      </c>
      <c r="B464" s="1" t="n">
        <v>44950</v>
      </c>
      <c r="C464" s="1" t="n">
        <v>45940</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37319-2025</t>
        </is>
      </c>
      <c r="B465" s="1" t="n">
        <v>45876</v>
      </c>
      <c r="C465" s="1" t="n">
        <v>45940</v>
      </c>
      <c r="D465" t="inlineStr">
        <is>
          <t>UPPSALA LÄN</t>
        </is>
      </c>
      <c r="E465" t="inlineStr">
        <is>
          <t>ENKÖPING</t>
        </is>
      </c>
      <c r="G465" t="n">
        <v>9.5</v>
      </c>
      <c r="H465" t="n">
        <v>0</v>
      </c>
      <c r="I465" t="n">
        <v>0</v>
      </c>
      <c r="J465" t="n">
        <v>0</v>
      </c>
      <c r="K465" t="n">
        <v>0</v>
      </c>
      <c r="L465" t="n">
        <v>0</v>
      </c>
      <c r="M465" t="n">
        <v>0</v>
      </c>
      <c r="N465" t="n">
        <v>0</v>
      </c>
      <c r="O465" t="n">
        <v>0</v>
      </c>
      <c r="P465" t="n">
        <v>0</v>
      </c>
      <c r="Q465" t="n">
        <v>0</v>
      </c>
      <c r="R465" s="2" t="inlineStr"/>
    </row>
    <row r="466" ht="15" customHeight="1">
      <c r="A466" t="inlineStr">
        <is>
          <t>A 19014-2025</t>
        </is>
      </c>
      <c r="B466" s="1" t="n">
        <v>45764.59631944444</v>
      </c>
      <c r="C466" s="1" t="n">
        <v>45940</v>
      </c>
      <c r="D466" t="inlineStr">
        <is>
          <t>UPPSALA LÄN</t>
        </is>
      </c>
      <c r="E466" t="inlineStr">
        <is>
          <t>ENKÖPING</t>
        </is>
      </c>
      <c r="G466" t="n">
        <v>0.2</v>
      </c>
      <c r="H466" t="n">
        <v>0</v>
      </c>
      <c r="I466" t="n">
        <v>0</v>
      </c>
      <c r="J466" t="n">
        <v>0</v>
      </c>
      <c r="K466" t="n">
        <v>0</v>
      </c>
      <c r="L466" t="n">
        <v>0</v>
      </c>
      <c r="M466" t="n">
        <v>0</v>
      </c>
      <c r="N466" t="n">
        <v>0</v>
      </c>
      <c r="O466" t="n">
        <v>0</v>
      </c>
      <c r="P466" t="n">
        <v>0</v>
      </c>
      <c r="Q466" t="n">
        <v>0</v>
      </c>
      <c r="R466" s="2" t="inlineStr"/>
    </row>
    <row r="467" ht="15" customHeight="1">
      <c r="A467" t="inlineStr">
        <is>
          <t>A 45755-2025</t>
        </is>
      </c>
      <c r="B467" s="1" t="n">
        <v>45923.50240740741</v>
      </c>
      <c r="C467" s="1" t="n">
        <v>45940</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57335-2024</t>
        </is>
      </c>
      <c r="B468" s="1" t="n">
        <v>45629.63302083333</v>
      </c>
      <c r="C468" s="1" t="n">
        <v>45940</v>
      </c>
      <c r="D468" t="inlineStr">
        <is>
          <t>UPPSALA LÄN</t>
        </is>
      </c>
      <c r="E468" t="inlineStr">
        <is>
          <t>ENKÖPING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49622-2024</t>
        </is>
      </c>
      <c r="B469" s="1" t="n">
        <v>45596.58372685185</v>
      </c>
      <c r="C469" s="1" t="n">
        <v>45940</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57835-2024</t>
        </is>
      </c>
      <c r="B470" s="1" t="n">
        <v>45631.39947916667</v>
      </c>
      <c r="C470" s="1" t="n">
        <v>45940</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53208-2023</t>
        </is>
      </c>
      <c r="B471" s="1" t="n">
        <v>45226</v>
      </c>
      <c r="C471" s="1" t="n">
        <v>45940</v>
      </c>
      <c r="D471" t="inlineStr">
        <is>
          <t>UPPSALA LÄN</t>
        </is>
      </c>
      <c r="E471" t="inlineStr">
        <is>
          <t>ENKÖPING</t>
        </is>
      </c>
      <c r="G471" t="n">
        <v>4.3</v>
      </c>
      <c r="H471" t="n">
        <v>0</v>
      </c>
      <c r="I471" t="n">
        <v>0</v>
      </c>
      <c r="J471" t="n">
        <v>0</v>
      </c>
      <c r="K471" t="n">
        <v>0</v>
      </c>
      <c r="L471" t="n">
        <v>0</v>
      </c>
      <c r="M471" t="n">
        <v>0</v>
      </c>
      <c r="N471" t="n">
        <v>0</v>
      </c>
      <c r="O471" t="n">
        <v>0</v>
      </c>
      <c r="P471" t="n">
        <v>0</v>
      </c>
      <c r="Q471" t="n">
        <v>0</v>
      </c>
      <c r="R471" s="2" t="inlineStr"/>
    </row>
    <row r="472" ht="15" customHeight="1">
      <c r="A472" t="inlineStr">
        <is>
          <t>A 12958-2024</t>
        </is>
      </c>
      <c r="B472" s="1" t="n">
        <v>45385</v>
      </c>
      <c r="C472" s="1" t="n">
        <v>45940</v>
      </c>
      <c r="D472" t="inlineStr">
        <is>
          <t>UPPSALA LÄN</t>
        </is>
      </c>
      <c r="E472" t="inlineStr">
        <is>
          <t>ENKÖPING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19013-2025</t>
        </is>
      </c>
      <c r="B473" s="1" t="n">
        <v>45764.59533564815</v>
      </c>
      <c r="C473" s="1" t="n">
        <v>45940</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1651-2024</t>
        </is>
      </c>
      <c r="B474" s="1" t="n">
        <v>45306.73770833333</v>
      </c>
      <c r="C474" s="1" t="n">
        <v>45940</v>
      </c>
      <c r="D474" t="inlineStr">
        <is>
          <t>UPPSALA LÄN</t>
        </is>
      </c>
      <c r="E474" t="inlineStr">
        <is>
          <t>ENKÖPING</t>
        </is>
      </c>
      <c r="G474" t="n">
        <v>10.2</v>
      </c>
      <c r="H474" t="n">
        <v>0</v>
      </c>
      <c r="I474" t="n">
        <v>0</v>
      </c>
      <c r="J474" t="n">
        <v>0</v>
      </c>
      <c r="K474" t="n">
        <v>0</v>
      </c>
      <c r="L474" t="n">
        <v>0</v>
      </c>
      <c r="M474" t="n">
        <v>0</v>
      </c>
      <c r="N474" t="n">
        <v>0</v>
      </c>
      <c r="O474" t="n">
        <v>0</v>
      </c>
      <c r="P474" t="n">
        <v>0</v>
      </c>
      <c r="Q474" t="n">
        <v>0</v>
      </c>
      <c r="R474" s="2" t="inlineStr"/>
    </row>
    <row r="475" ht="15" customHeight="1">
      <c r="A475" t="inlineStr">
        <is>
          <t>A 2164-2023</t>
        </is>
      </c>
      <c r="B475" s="1" t="n">
        <v>44941</v>
      </c>
      <c r="C475" s="1" t="n">
        <v>45940</v>
      </c>
      <c r="D475" t="inlineStr">
        <is>
          <t>UPPSALA LÄN</t>
        </is>
      </c>
      <c r="E475" t="inlineStr">
        <is>
          <t>ENKÖPING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51012-2024</t>
        </is>
      </c>
      <c r="B476" s="1" t="n">
        <v>45603.39686342593</v>
      </c>
      <c r="C476" s="1" t="n">
        <v>45940</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51037-2024</t>
        </is>
      </c>
      <c r="B477" s="1" t="n">
        <v>45603.43005787037</v>
      </c>
      <c r="C477" s="1" t="n">
        <v>45940</v>
      </c>
      <c r="D477" t="inlineStr">
        <is>
          <t>UPPSALA LÄN</t>
        </is>
      </c>
      <c r="E477" t="inlineStr">
        <is>
          <t>ENKÖPING</t>
        </is>
      </c>
      <c r="G477" t="n">
        <v>5.7</v>
      </c>
      <c r="H477" t="n">
        <v>0</v>
      </c>
      <c r="I477" t="n">
        <v>0</v>
      </c>
      <c r="J477" t="n">
        <v>0</v>
      </c>
      <c r="K477" t="n">
        <v>0</v>
      </c>
      <c r="L477" t="n">
        <v>0</v>
      </c>
      <c r="M477" t="n">
        <v>0</v>
      </c>
      <c r="N477" t="n">
        <v>0</v>
      </c>
      <c r="O477" t="n">
        <v>0</v>
      </c>
      <c r="P477" t="n">
        <v>0</v>
      </c>
      <c r="Q477" t="n">
        <v>0</v>
      </c>
      <c r="R477" s="2" t="inlineStr"/>
    </row>
    <row r="478" ht="15" customHeight="1">
      <c r="A478" t="inlineStr">
        <is>
          <t>A 61952-2021</t>
        </is>
      </c>
      <c r="B478" s="1" t="n">
        <v>44502</v>
      </c>
      <c r="C478" s="1" t="n">
        <v>45940</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45940</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14083-2025</t>
        </is>
      </c>
      <c r="B480" s="1" t="n">
        <v>45740</v>
      </c>
      <c r="C480" s="1" t="n">
        <v>45940</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69879-2021</t>
        </is>
      </c>
      <c r="B481" s="1" t="n">
        <v>44532</v>
      </c>
      <c r="C481" s="1" t="n">
        <v>45940</v>
      </c>
      <c r="D481" t="inlineStr">
        <is>
          <t>UPPSALA LÄN</t>
        </is>
      </c>
      <c r="E481" t="inlineStr">
        <is>
          <t>ENKÖPING</t>
        </is>
      </c>
      <c r="G481" t="n">
        <v>4.2</v>
      </c>
      <c r="H481" t="n">
        <v>0</v>
      </c>
      <c r="I481" t="n">
        <v>0</v>
      </c>
      <c r="J481" t="n">
        <v>0</v>
      </c>
      <c r="K481" t="n">
        <v>0</v>
      </c>
      <c r="L481" t="n">
        <v>0</v>
      </c>
      <c r="M481" t="n">
        <v>0</v>
      </c>
      <c r="N481" t="n">
        <v>0</v>
      </c>
      <c r="O481" t="n">
        <v>0</v>
      </c>
      <c r="P481" t="n">
        <v>0</v>
      </c>
      <c r="Q481" t="n">
        <v>0</v>
      </c>
      <c r="R481" s="2" t="inlineStr"/>
    </row>
    <row r="482" ht="15" customHeight="1">
      <c r="A482" t="inlineStr">
        <is>
          <t>A 63310-2021</t>
        </is>
      </c>
      <c r="B482" s="1" t="n">
        <v>44508</v>
      </c>
      <c r="C482" s="1" t="n">
        <v>45940</v>
      </c>
      <c r="D482" t="inlineStr">
        <is>
          <t>UPPSALA LÄN</t>
        </is>
      </c>
      <c r="E482" t="inlineStr">
        <is>
          <t>ENKÖPING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46590-2025</t>
        </is>
      </c>
      <c r="B483" s="1" t="n">
        <v>45926.39542824074</v>
      </c>
      <c r="C483" s="1" t="n">
        <v>45940</v>
      </c>
      <c r="D483" t="inlineStr">
        <is>
          <t>UPPSALA LÄN</t>
        </is>
      </c>
      <c r="E483" t="inlineStr">
        <is>
          <t>ENKÖPING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20440-2025</t>
        </is>
      </c>
      <c r="B484" s="1" t="n">
        <v>45775</v>
      </c>
      <c r="C484" s="1" t="n">
        <v>45940</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19488-2022</t>
        </is>
      </c>
      <c r="B485" s="1" t="n">
        <v>44693</v>
      </c>
      <c r="C485" s="1" t="n">
        <v>45940</v>
      </c>
      <c r="D485" t="inlineStr">
        <is>
          <t>UPPSALA LÄN</t>
        </is>
      </c>
      <c r="E485" t="inlineStr">
        <is>
          <t>ENKÖPING</t>
        </is>
      </c>
      <c r="G485" t="n">
        <v>7.8</v>
      </c>
      <c r="H485" t="n">
        <v>0</v>
      </c>
      <c r="I485" t="n">
        <v>0</v>
      </c>
      <c r="J485" t="n">
        <v>0</v>
      </c>
      <c r="K485" t="n">
        <v>0</v>
      </c>
      <c r="L485" t="n">
        <v>0</v>
      </c>
      <c r="M485" t="n">
        <v>0</v>
      </c>
      <c r="N485" t="n">
        <v>0</v>
      </c>
      <c r="O485" t="n">
        <v>0</v>
      </c>
      <c r="P485" t="n">
        <v>0</v>
      </c>
      <c r="Q485" t="n">
        <v>0</v>
      </c>
      <c r="R485" s="2" t="inlineStr"/>
    </row>
    <row r="486" ht="15" customHeight="1">
      <c r="A486" t="inlineStr">
        <is>
          <t>A 5188-2022</t>
        </is>
      </c>
      <c r="B486" s="1" t="n">
        <v>44594.4471412037</v>
      </c>
      <c r="C486" s="1" t="n">
        <v>45940</v>
      </c>
      <c r="D486" t="inlineStr">
        <is>
          <t>UPPSALA LÄN</t>
        </is>
      </c>
      <c r="E486" t="inlineStr">
        <is>
          <t>ENKÖPING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31622-2022</t>
        </is>
      </c>
      <c r="B487" s="1" t="n">
        <v>44775</v>
      </c>
      <c r="C487" s="1" t="n">
        <v>45940</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12102-2024</t>
        </is>
      </c>
      <c r="B488" s="1" t="n">
        <v>45377</v>
      </c>
      <c r="C488" s="1" t="n">
        <v>45940</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c r="A489" t="inlineStr">
        <is>
          <t>A 59602-2024</t>
        </is>
      </c>
      <c r="B489" s="1" t="n">
        <v>45638</v>
      </c>
      <c r="C489" s="1" t="n">
        <v>45940</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2025-10-10T12:37:28Z</dcterms:created>
  <dcterms:modified xmlns:dcterms="http://purl.org/dc/terms/" xmlns:xsi="http://www.w3.org/2001/XMLSchema-instance" xsi:type="dcterms:W3CDTF">2025-10-10T12:37:28Z</dcterms:modified>
</cp:coreProperties>
</file>