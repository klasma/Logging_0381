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46168</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46168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46168</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46168</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46168</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46168</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46168</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46168</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27073-2025</t>
        </is>
      </c>
      <c r="B12" s="1" t="n">
        <v>45811.64190972222</v>
      </c>
      <c r="C12" s="1" t="n">
        <v>46168</v>
      </c>
      <c r="D12" t="inlineStr">
        <is>
          <t>UPPSALA LÄN</t>
        </is>
      </c>
      <c r="E12" t="inlineStr">
        <is>
          <t>ENKÖPING</t>
        </is>
      </c>
      <c r="G12" t="n">
        <v>4.3</v>
      </c>
      <c r="H12" t="n">
        <v>0</v>
      </c>
      <c r="I12" t="n">
        <v>2</v>
      </c>
      <c r="J12" t="n">
        <v>0</v>
      </c>
      <c r="K12" t="n">
        <v>0</v>
      </c>
      <c r="L12" t="n">
        <v>0</v>
      </c>
      <c r="M12" t="n">
        <v>0</v>
      </c>
      <c r="N12" t="n">
        <v>0</v>
      </c>
      <c r="O12" t="n">
        <v>0</v>
      </c>
      <c r="P12" t="n">
        <v>0</v>
      </c>
      <c r="Q12" t="n">
        <v>2</v>
      </c>
      <c r="R12" s="2" t="inlineStr">
        <is>
          <t>Bågpraktmossa
Kärrkammossa</t>
        </is>
      </c>
      <c r="S12">
        <f>HYPERLINK("https://klasma.github.io/Logging_0381/artfynd/A 27073-2025 artfynd.xlsx", "A 27073-2025")</f>
        <v/>
      </c>
      <c r="T12">
        <f>HYPERLINK("https://klasma.github.io/Logging_0381/kartor/A 27073-2025 karta.png", "A 27073-2025")</f>
        <v/>
      </c>
      <c r="V12">
        <f>HYPERLINK("https://klasma.github.io/Logging_0381/klagomål/A 27073-2025 FSC-klagomål.docx", "A 27073-2025")</f>
        <v/>
      </c>
      <c r="W12">
        <f>HYPERLINK("https://klasma.github.io/Logging_0381/klagomålsmail/A 27073-2025 FSC-klagomål mail.docx", "A 27073-2025")</f>
        <v/>
      </c>
      <c r="X12">
        <f>HYPERLINK("https://klasma.github.io/Logging_0381/tillsyn/A 27073-2025 tillsynsbegäran.docx", "A 27073-2025")</f>
        <v/>
      </c>
      <c r="Y12">
        <f>HYPERLINK("https://klasma.github.io/Logging_0381/tillsynsmail/A 27073-2025 tillsynsbegäran mail.docx", "A 27073-2025")</f>
        <v/>
      </c>
    </row>
    <row r="13" ht="15" customHeight="1">
      <c r="A13" t="inlineStr">
        <is>
          <t>A 52092-2022</t>
        </is>
      </c>
      <c r="B13" s="1" t="n">
        <v>44873</v>
      </c>
      <c r="C13" s="1" t="n">
        <v>46168</v>
      </c>
      <c r="D13" t="inlineStr">
        <is>
          <t>UPPSALA LÄN</t>
        </is>
      </c>
      <c r="E13" t="inlineStr">
        <is>
          <t>ENKÖPING</t>
        </is>
      </c>
      <c r="G13" t="n">
        <v>2.4</v>
      </c>
      <c r="H13" t="n">
        <v>1</v>
      </c>
      <c r="I13" t="n">
        <v>0</v>
      </c>
      <c r="J13" t="n">
        <v>1</v>
      </c>
      <c r="K13" t="n">
        <v>1</v>
      </c>
      <c r="L13" t="n">
        <v>0</v>
      </c>
      <c r="M13" t="n">
        <v>0</v>
      </c>
      <c r="N13" t="n">
        <v>0</v>
      </c>
      <c r="O13" t="n">
        <v>2</v>
      </c>
      <c r="P13" t="n">
        <v>1</v>
      </c>
      <c r="Q13" t="n">
        <v>2</v>
      </c>
      <c r="R13" s="2" t="inlineStr">
        <is>
          <t>Bombmurkla
Fyrflikig jordstjärna</t>
        </is>
      </c>
      <c r="S13">
        <f>HYPERLINK("https://klasma.github.io/Logging_0381/artfynd/A 52092-2022 artfynd.xlsx", "A 52092-2022")</f>
        <v/>
      </c>
      <c r="T13">
        <f>HYPERLINK("https://klasma.github.io/Logging_0381/kartor/A 52092-2022 karta.png", "A 52092-2022")</f>
        <v/>
      </c>
      <c r="V13">
        <f>HYPERLINK("https://klasma.github.io/Logging_0381/klagomål/A 52092-2022 FSC-klagomål.docx", "A 52092-2022")</f>
        <v/>
      </c>
      <c r="W13">
        <f>HYPERLINK("https://klasma.github.io/Logging_0381/klagomålsmail/A 52092-2022 FSC-klagomål mail.docx", "A 52092-2022")</f>
        <v/>
      </c>
      <c r="X13">
        <f>HYPERLINK("https://klasma.github.io/Logging_0381/tillsyn/A 52092-2022 tillsynsbegäran.docx", "A 52092-2022")</f>
        <v/>
      </c>
      <c r="Y13">
        <f>HYPERLINK("https://klasma.github.io/Logging_0381/tillsynsmail/A 52092-2022 tillsynsbegäran mail.docx", "A 52092-2022")</f>
        <v/>
      </c>
    </row>
    <row r="14" ht="15" customHeight="1">
      <c r="A14" t="inlineStr">
        <is>
          <t>A 9147-2026</t>
        </is>
      </c>
      <c r="B14" s="1" t="n">
        <v>46070.30649305556</v>
      </c>
      <c r="C14" s="1" t="n">
        <v>46168</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46168</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46168</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21810-2026</t>
        </is>
      </c>
      <c r="B17" s="1" t="n">
        <v>46150</v>
      </c>
      <c r="C17" s="1" t="n">
        <v>46168</v>
      </c>
      <c r="D17" t="inlineStr">
        <is>
          <t>UPPSALA LÄN</t>
        </is>
      </c>
      <c r="E17" t="inlineStr">
        <is>
          <t>ENKÖPING</t>
        </is>
      </c>
      <c r="G17" t="n">
        <v>13.3</v>
      </c>
      <c r="H17" t="n">
        <v>1</v>
      </c>
      <c r="I17" t="n">
        <v>0</v>
      </c>
      <c r="J17" t="n">
        <v>1</v>
      </c>
      <c r="K17" t="n">
        <v>0</v>
      </c>
      <c r="L17" t="n">
        <v>0</v>
      </c>
      <c r="M17" t="n">
        <v>0</v>
      </c>
      <c r="N17" t="n">
        <v>0</v>
      </c>
      <c r="O17" t="n">
        <v>1</v>
      </c>
      <c r="P17" t="n">
        <v>0</v>
      </c>
      <c r="Q17" t="n">
        <v>2</v>
      </c>
      <c r="R17" s="2" t="inlineStr">
        <is>
          <t>Motaggsvamp
Kungsfågel</t>
        </is>
      </c>
      <c r="S17">
        <f>HYPERLINK("https://klasma.github.io/Logging_0381/artfynd/A 21810-2026 artfynd.xlsx", "A 21810-2026")</f>
        <v/>
      </c>
      <c r="T17">
        <f>HYPERLINK("https://klasma.github.io/Logging_0381/kartor/A 21810-2026 karta.png", "A 21810-2026")</f>
        <v/>
      </c>
      <c r="V17">
        <f>HYPERLINK("https://klasma.github.io/Logging_0381/klagomål/A 21810-2026 FSC-klagomål.docx", "A 21810-2026")</f>
        <v/>
      </c>
      <c r="W17">
        <f>HYPERLINK("https://klasma.github.io/Logging_0381/klagomålsmail/A 21810-2026 FSC-klagomål mail.docx", "A 21810-2026")</f>
        <v/>
      </c>
      <c r="X17">
        <f>HYPERLINK("https://klasma.github.io/Logging_0381/tillsyn/A 21810-2026 tillsynsbegäran.docx", "A 21810-2026")</f>
        <v/>
      </c>
      <c r="Y17">
        <f>HYPERLINK("https://klasma.github.io/Logging_0381/tillsynsmail/A 21810-2026 tillsynsbegäran mail.docx", "A 21810-2026")</f>
        <v/>
      </c>
      <c r="Z17">
        <f>HYPERLINK("https://klasma.github.io/Logging_0381/fåglar/A 21810-2026 prioriterade fågelarter.docx", "A 21810-2026")</f>
        <v/>
      </c>
    </row>
    <row r="18" ht="15" customHeight="1">
      <c r="A18" t="inlineStr">
        <is>
          <t>A 21970-2025</t>
        </is>
      </c>
      <c r="B18" s="1" t="n">
        <v>45784.63335648148</v>
      </c>
      <c r="C18" s="1" t="n">
        <v>46168</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46168</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46168</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1524-2023</t>
        </is>
      </c>
      <c r="B21" s="1" t="n">
        <v>44935</v>
      </c>
      <c r="C21" s="1" t="n">
        <v>46168</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Skogsduva</t>
        </is>
      </c>
      <c r="S21">
        <f>HYPERLINK("https://klasma.github.io/Logging_0381/artfynd/A 1524-2023 artfynd.xlsx", "A 1524-2023")</f>
        <v/>
      </c>
      <c r="T21">
        <f>HYPERLINK("https://klasma.github.io/Logging_0381/kartor/A 1524-2023 karta.png", "A 1524-2023")</f>
        <v/>
      </c>
      <c r="V21">
        <f>HYPERLINK("https://klasma.github.io/Logging_0381/klagomål/A 1524-2023 FSC-klagomål.docx", "A 1524-2023")</f>
        <v/>
      </c>
      <c r="W21">
        <f>HYPERLINK("https://klasma.github.io/Logging_0381/klagomålsmail/A 1524-2023 FSC-klagomål mail.docx", "A 1524-2023")</f>
        <v/>
      </c>
      <c r="X21">
        <f>HYPERLINK("https://klasma.github.io/Logging_0381/tillsyn/A 1524-2023 tillsynsbegäran.docx", "A 1524-2023")</f>
        <v/>
      </c>
      <c r="Y21">
        <f>HYPERLINK("https://klasma.github.io/Logging_0381/tillsynsmail/A 1524-2023 tillsynsbegäran mail.docx", "A 1524-2023")</f>
        <v/>
      </c>
      <c r="Z21">
        <f>HYPERLINK("https://klasma.github.io/Logging_0381/fåglar/A 1524-2023 prioriterade fågelarter.docx", "A 1524-2023")</f>
        <v/>
      </c>
    </row>
    <row r="22" ht="15" customHeight="1">
      <c r="A22" t="inlineStr">
        <is>
          <t>A 26347-2025</t>
        </is>
      </c>
      <c r="B22" s="1" t="n">
        <v>45805.7403125</v>
      </c>
      <c r="C22" s="1" t="n">
        <v>46168</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46168</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46168</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33339-2024</t>
        </is>
      </c>
      <c r="B25" s="1" t="n">
        <v>45519</v>
      </c>
      <c r="C25" s="1" t="n">
        <v>46168</v>
      </c>
      <c r="D25" t="inlineStr">
        <is>
          <t>UPPSALA LÄN</t>
        </is>
      </c>
      <c r="E25" t="inlineStr">
        <is>
          <t>ENKÖPING</t>
        </is>
      </c>
      <c r="G25" t="n">
        <v>2.3</v>
      </c>
      <c r="H25" t="n">
        <v>0</v>
      </c>
      <c r="I25" t="n">
        <v>0</v>
      </c>
      <c r="J25" t="n">
        <v>1</v>
      </c>
      <c r="K25" t="n">
        <v>0</v>
      </c>
      <c r="L25" t="n">
        <v>0</v>
      </c>
      <c r="M25" t="n">
        <v>0</v>
      </c>
      <c r="N25" t="n">
        <v>0</v>
      </c>
      <c r="O25" t="n">
        <v>1</v>
      </c>
      <c r="P25" t="n">
        <v>0</v>
      </c>
      <c r="Q25" t="n">
        <v>1</v>
      </c>
      <c r="R25" s="2" t="inlineStr">
        <is>
          <t>Ullticka</t>
        </is>
      </c>
      <c r="S25">
        <f>HYPERLINK("https://klasma.github.io/Logging_0381/artfynd/A 33339-2024 artfynd.xlsx", "A 33339-2024")</f>
        <v/>
      </c>
      <c r="T25">
        <f>HYPERLINK("https://klasma.github.io/Logging_0381/kartor/A 33339-2024 karta.png", "A 33339-2024")</f>
        <v/>
      </c>
      <c r="V25">
        <f>HYPERLINK("https://klasma.github.io/Logging_0381/klagomål/A 33339-2024 FSC-klagomål.docx", "A 33339-2024")</f>
        <v/>
      </c>
      <c r="W25">
        <f>HYPERLINK("https://klasma.github.io/Logging_0381/klagomålsmail/A 33339-2024 FSC-klagomål mail.docx", "A 33339-2024")</f>
        <v/>
      </c>
      <c r="X25">
        <f>HYPERLINK("https://klasma.github.io/Logging_0381/tillsyn/A 33339-2024 tillsynsbegäran.docx", "A 33339-2024")</f>
        <v/>
      </c>
      <c r="Y25">
        <f>HYPERLINK("https://klasma.github.io/Logging_0381/tillsynsmail/A 33339-2024 tillsynsbegäran mail.docx", "A 33339-2024")</f>
        <v/>
      </c>
    </row>
    <row r="26" ht="15" customHeight="1">
      <c r="A26" t="inlineStr">
        <is>
          <t>A 52439-2025</t>
        </is>
      </c>
      <c r="B26" s="1" t="n">
        <v>45954.40697916667</v>
      </c>
      <c r="C26" s="1" t="n">
        <v>46168</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4166-2026</t>
        </is>
      </c>
      <c r="B27" s="1" t="n">
        <v>46044.66402777778</v>
      </c>
      <c r="C27" s="1" t="n">
        <v>46168</v>
      </c>
      <c r="D27" t="inlineStr">
        <is>
          <t>UPPSALA LÄN</t>
        </is>
      </c>
      <c r="E27" t="inlineStr">
        <is>
          <t>ENKÖPING</t>
        </is>
      </c>
      <c r="G27" t="n">
        <v>1.7</v>
      </c>
      <c r="H27" t="n">
        <v>1</v>
      </c>
      <c r="I27" t="n">
        <v>0</v>
      </c>
      <c r="J27" t="n">
        <v>1</v>
      </c>
      <c r="K27" t="n">
        <v>0</v>
      </c>
      <c r="L27" t="n">
        <v>0</v>
      </c>
      <c r="M27" t="n">
        <v>0</v>
      </c>
      <c r="N27" t="n">
        <v>0</v>
      </c>
      <c r="O27" t="n">
        <v>1</v>
      </c>
      <c r="P27" t="n">
        <v>0</v>
      </c>
      <c r="Q27" t="n">
        <v>1</v>
      </c>
      <c r="R27" s="2" t="inlineStr">
        <is>
          <t>Gulsparv</t>
        </is>
      </c>
      <c r="S27">
        <f>HYPERLINK("https://klasma.github.io/Logging_0381/artfynd/A 4166-2026 artfynd.xlsx", "A 4166-2026")</f>
        <v/>
      </c>
      <c r="T27">
        <f>HYPERLINK("https://klasma.github.io/Logging_0381/kartor/A 4166-2026 karta.png", "A 4166-2026")</f>
        <v/>
      </c>
      <c r="V27">
        <f>HYPERLINK("https://klasma.github.io/Logging_0381/klagomål/A 4166-2026 FSC-klagomål.docx", "A 4166-2026")</f>
        <v/>
      </c>
      <c r="W27">
        <f>HYPERLINK("https://klasma.github.io/Logging_0381/klagomålsmail/A 4166-2026 FSC-klagomål mail.docx", "A 4166-2026")</f>
        <v/>
      </c>
      <c r="X27">
        <f>HYPERLINK("https://klasma.github.io/Logging_0381/tillsyn/A 4166-2026 tillsynsbegäran.docx", "A 4166-2026")</f>
        <v/>
      </c>
      <c r="Y27">
        <f>HYPERLINK("https://klasma.github.io/Logging_0381/tillsynsmail/A 4166-2026 tillsynsbegäran mail.docx", "A 4166-2026")</f>
        <v/>
      </c>
      <c r="Z27">
        <f>HYPERLINK("https://klasma.github.io/Logging_0381/fåglar/A 4166-2026 prioriterade fågelarter.docx", "A 4166-2026")</f>
        <v/>
      </c>
    </row>
    <row r="28" ht="15" customHeight="1">
      <c r="A28" t="inlineStr">
        <is>
          <t>A 45116-2023</t>
        </is>
      </c>
      <c r="B28" s="1" t="n">
        <v>45191</v>
      </c>
      <c r="C28" s="1" t="n">
        <v>46168</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23961-2022</t>
        </is>
      </c>
      <c r="B29" s="1" t="n">
        <v>44722</v>
      </c>
      <c r="C29" s="1" t="n">
        <v>46168</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28900-2024</t>
        </is>
      </c>
      <c r="B30" s="1" t="n">
        <v>45480</v>
      </c>
      <c r="C30" s="1" t="n">
        <v>46168</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17942-2024</t>
        </is>
      </c>
      <c r="B31" s="1" t="n">
        <v>45419</v>
      </c>
      <c r="C31" s="1" t="n">
        <v>46168</v>
      </c>
      <c r="D31" t="inlineStr">
        <is>
          <t>UPPSALA LÄN</t>
        </is>
      </c>
      <c r="E31" t="inlineStr">
        <is>
          <t>ENKÖPING</t>
        </is>
      </c>
      <c r="G31" t="n">
        <v>0.8</v>
      </c>
      <c r="H31" t="n">
        <v>0</v>
      </c>
      <c r="I31" t="n">
        <v>0</v>
      </c>
      <c r="J31" t="n">
        <v>1</v>
      </c>
      <c r="K31" t="n">
        <v>0</v>
      </c>
      <c r="L31" t="n">
        <v>0</v>
      </c>
      <c r="M31" t="n">
        <v>0</v>
      </c>
      <c r="N31" t="n">
        <v>0</v>
      </c>
      <c r="O31" t="n">
        <v>1</v>
      </c>
      <c r="P31" t="n">
        <v>0</v>
      </c>
      <c r="Q31" t="n">
        <v>1</v>
      </c>
      <c r="R31" s="2" t="inlineStr">
        <is>
          <t>Ängsskära</t>
        </is>
      </c>
      <c r="S31">
        <f>HYPERLINK("https://klasma.github.io/Logging_0381/artfynd/A 17942-2024 artfynd.xlsx", "A 17942-2024")</f>
        <v/>
      </c>
      <c r="T31">
        <f>HYPERLINK("https://klasma.github.io/Logging_0381/kartor/A 17942-2024 karta.png", "A 17942-2024")</f>
        <v/>
      </c>
      <c r="V31">
        <f>HYPERLINK("https://klasma.github.io/Logging_0381/klagomål/A 17942-2024 FSC-klagomål.docx", "A 17942-2024")</f>
        <v/>
      </c>
      <c r="W31">
        <f>HYPERLINK("https://klasma.github.io/Logging_0381/klagomålsmail/A 17942-2024 FSC-klagomål mail.docx", "A 17942-2024")</f>
        <v/>
      </c>
      <c r="X31">
        <f>HYPERLINK("https://klasma.github.io/Logging_0381/tillsyn/A 17942-2024 tillsynsbegäran.docx", "A 17942-2024")</f>
        <v/>
      </c>
      <c r="Y31">
        <f>HYPERLINK("https://klasma.github.io/Logging_0381/tillsynsmail/A 17942-2024 tillsynsbegäran mail.docx", "A 17942-2024")</f>
        <v/>
      </c>
    </row>
    <row r="32" ht="15" customHeight="1">
      <c r="A32" t="inlineStr">
        <is>
          <t>A 46749-2024</t>
        </is>
      </c>
      <c r="B32" s="1" t="n">
        <v>45583.48347222222</v>
      </c>
      <c r="C32" s="1" t="n">
        <v>46168</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46168</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46168</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46168</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46168</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46168</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46168</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54433-2021</t>
        </is>
      </c>
      <c r="B40" s="1" t="n">
        <v>44473</v>
      </c>
      <c r="C40" s="1" t="n">
        <v>46168</v>
      </c>
      <c r="D40" t="inlineStr">
        <is>
          <t>UPPSALA LÄN</t>
        </is>
      </c>
      <c r="E40" t="inlineStr">
        <is>
          <t>ENKÖPING</t>
        </is>
      </c>
      <c r="G40" t="n">
        <v>1</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46168</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17704-2022</t>
        </is>
      </c>
      <c r="B42" s="1" t="n">
        <v>44680.61315972222</v>
      </c>
      <c r="C42" s="1" t="n">
        <v>46168</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46168</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46168</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46168</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46168</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46168</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46168</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46168</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16967-2022</t>
        </is>
      </c>
      <c r="B50" s="1" t="n">
        <v>44676</v>
      </c>
      <c r="C50" s="1" t="n">
        <v>46168</v>
      </c>
      <c r="D50" t="inlineStr">
        <is>
          <t>UPPSALA LÄN</t>
        </is>
      </c>
      <c r="E50" t="inlineStr">
        <is>
          <t>ENKÖPING</t>
        </is>
      </c>
      <c r="G50" t="n">
        <v>0.6</v>
      </c>
      <c r="H50" t="n">
        <v>0</v>
      </c>
      <c r="I50" t="n">
        <v>0</v>
      </c>
      <c r="J50" t="n">
        <v>0</v>
      </c>
      <c r="K50" t="n">
        <v>0</v>
      </c>
      <c r="L50" t="n">
        <v>0</v>
      </c>
      <c r="M50" t="n">
        <v>0</v>
      </c>
      <c r="N50" t="n">
        <v>0</v>
      </c>
      <c r="O50" t="n">
        <v>0</v>
      </c>
      <c r="P50" t="n">
        <v>0</v>
      </c>
      <c r="Q50" t="n">
        <v>0</v>
      </c>
      <c r="R50" s="2" t="inlineStr"/>
    </row>
    <row r="51" ht="15" customHeight="1">
      <c r="A51" t="inlineStr">
        <is>
          <t>A 498-2022</t>
        </is>
      </c>
      <c r="B51" s="1" t="n">
        <v>44566</v>
      </c>
      <c r="C51" s="1" t="n">
        <v>46168</v>
      </c>
      <c r="D51" t="inlineStr">
        <is>
          <t>UPPSALA LÄN</t>
        </is>
      </c>
      <c r="E51" t="inlineStr">
        <is>
          <t>ENKÖPING</t>
        </is>
      </c>
      <c r="F51" t="inlineStr">
        <is>
          <t>Övriga statliga verk och myndigheter</t>
        </is>
      </c>
      <c r="G51" t="n">
        <v>11.1</v>
      </c>
      <c r="H51" t="n">
        <v>0</v>
      </c>
      <c r="I51" t="n">
        <v>0</v>
      </c>
      <c r="J51" t="n">
        <v>0</v>
      </c>
      <c r="K51" t="n">
        <v>0</v>
      </c>
      <c r="L51" t="n">
        <v>0</v>
      </c>
      <c r="M51" t="n">
        <v>0</v>
      </c>
      <c r="N51" t="n">
        <v>0</v>
      </c>
      <c r="O51" t="n">
        <v>0</v>
      </c>
      <c r="P51" t="n">
        <v>0</v>
      </c>
      <c r="Q51" t="n">
        <v>0</v>
      </c>
      <c r="R51" s="2" t="inlineStr"/>
    </row>
    <row r="52" ht="15" customHeight="1">
      <c r="A52" t="inlineStr">
        <is>
          <t>A 1965-2022</t>
        </is>
      </c>
      <c r="B52" s="1" t="n">
        <v>44575</v>
      </c>
      <c r="C52" s="1" t="n">
        <v>46168</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48230-2022</t>
        </is>
      </c>
      <c r="B53" s="1" t="n">
        <v>44858.45100694444</v>
      </c>
      <c r="C53" s="1" t="n">
        <v>46168</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14531-2022</t>
        </is>
      </c>
      <c r="B54" s="1" t="n">
        <v>44655</v>
      </c>
      <c r="C54" s="1" t="n">
        <v>46168</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48233-2022</t>
        </is>
      </c>
      <c r="B55" s="1" t="n">
        <v>44858.45300925926</v>
      </c>
      <c r="C55" s="1" t="n">
        <v>46168</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29435-2022</t>
        </is>
      </c>
      <c r="B56" s="1" t="n">
        <v>44753.49215277778</v>
      </c>
      <c r="C56" s="1" t="n">
        <v>46168</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46168</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46168</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29425-2022</t>
        </is>
      </c>
      <c r="B59" s="1" t="n">
        <v>44753.47837962963</v>
      </c>
      <c r="C59" s="1" t="n">
        <v>46168</v>
      </c>
      <c r="D59" t="inlineStr">
        <is>
          <t>UPPSALA LÄN</t>
        </is>
      </c>
      <c r="E59" t="inlineStr">
        <is>
          <t>ENKÖPING</t>
        </is>
      </c>
      <c r="G59" t="n">
        <v>2.5</v>
      </c>
      <c r="H59" t="n">
        <v>0</v>
      </c>
      <c r="I59" t="n">
        <v>0</v>
      </c>
      <c r="J59" t="n">
        <v>0</v>
      </c>
      <c r="K59" t="n">
        <v>0</v>
      </c>
      <c r="L59" t="n">
        <v>0</v>
      </c>
      <c r="M59" t="n">
        <v>0</v>
      </c>
      <c r="N59" t="n">
        <v>0</v>
      </c>
      <c r="O59" t="n">
        <v>0</v>
      </c>
      <c r="P59" t="n">
        <v>0</v>
      </c>
      <c r="Q59" t="n">
        <v>0</v>
      </c>
      <c r="R59" s="2" t="inlineStr"/>
    </row>
    <row r="60" ht="15" customHeight="1">
      <c r="A60" t="inlineStr">
        <is>
          <t>A 52896-2022</t>
        </is>
      </c>
      <c r="B60" s="1" t="n">
        <v>44875.5665625</v>
      </c>
      <c r="C60" s="1" t="n">
        <v>46168</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2680-2022</t>
        </is>
      </c>
      <c r="B61" s="1" t="n">
        <v>44580</v>
      </c>
      <c r="C61" s="1" t="n">
        <v>46168</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52014-2021</t>
        </is>
      </c>
      <c r="B62" s="1" t="n">
        <v>44463.3425462963</v>
      </c>
      <c r="C62" s="1" t="n">
        <v>46168</v>
      </c>
      <c r="D62" t="inlineStr">
        <is>
          <t>UPPSALA LÄN</t>
        </is>
      </c>
      <c r="E62" t="inlineStr">
        <is>
          <t>ENKÖPING</t>
        </is>
      </c>
      <c r="G62" t="n">
        <v>5.8</v>
      </c>
      <c r="H62" t="n">
        <v>0</v>
      </c>
      <c r="I62" t="n">
        <v>0</v>
      </c>
      <c r="J62" t="n">
        <v>0</v>
      </c>
      <c r="K62" t="n">
        <v>0</v>
      </c>
      <c r="L62" t="n">
        <v>0</v>
      </c>
      <c r="M62" t="n">
        <v>0</v>
      </c>
      <c r="N62" t="n">
        <v>0</v>
      </c>
      <c r="O62" t="n">
        <v>0</v>
      </c>
      <c r="P62" t="n">
        <v>0</v>
      </c>
      <c r="Q62" t="n">
        <v>0</v>
      </c>
      <c r="R62" s="2" t="inlineStr"/>
    </row>
    <row r="63" ht="15" customHeight="1">
      <c r="A63" t="inlineStr">
        <is>
          <t>A 37410-2022</t>
        </is>
      </c>
      <c r="B63" s="1" t="n">
        <v>44809</v>
      </c>
      <c r="C63" s="1" t="n">
        <v>46168</v>
      </c>
      <c r="D63" t="inlineStr">
        <is>
          <t>UPPSALA LÄN</t>
        </is>
      </c>
      <c r="E63" t="inlineStr">
        <is>
          <t>ENKÖPING</t>
        </is>
      </c>
      <c r="G63" t="n">
        <v>3.6</v>
      </c>
      <c r="H63" t="n">
        <v>0</v>
      </c>
      <c r="I63" t="n">
        <v>0</v>
      </c>
      <c r="J63" t="n">
        <v>0</v>
      </c>
      <c r="K63" t="n">
        <v>0</v>
      </c>
      <c r="L63" t="n">
        <v>0</v>
      </c>
      <c r="M63" t="n">
        <v>0</v>
      </c>
      <c r="N63" t="n">
        <v>0</v>
      </c>
      <c r="O63" t="n">
        <v>0</v>
      </c>
      <c r="P63" t="n">
        <v>0</v>
      </c>
      <c r="Q63" t="n">
        <v>0</v>
      </c>
      <c r="R63" s="2" t="inlineStr"/>
    </row>
    <row r="64" ht="15" customHeight="1">
      <c r="A64" t="inlineStr">
        <is>
          <t>A 1979-2022</t>
        </is>
      </c>
      <c r="B64" s="1" t="n">
        <v>44575</v>
      </c>
      <c r="C64" s="1" t="n">
        <v>46168</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40773-2022</t>
        </is>
      </c>
      <c r="B65" s="1" t="n">
        <v>44824.61237268519</v>
      </c>
      <c r="C65" s="1" t="n">
        <v>46168</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28795-2021</t>
        </is>
      </c>
      <c r="B66" s="1" t="n">
        <v>44357</v>
      </c>
      <c r="C66" s="1" t="n">
        <v>46168</v>
      </c>
      <c r="D66" t="inlineStr">
        <is>
          <t>UPPSALA LÄN</t>
        </is>
      </c>
      <c r="E66" t="inlineStr">
        <is>
          <t>ENKÖPING</t>
        </is>
      </c>
      <c r="F66" t="inlineStr">
        <is>
          <t>Allmännings- och besparingsskogar</t>
        </is>
      </c>
      <c r="G66" t="n">
        <v>2.8</v>
      </c>
      <c r="H66" t="n">
        <v>0</v>
      </c>
      <c r="I66" t="n">
        <v>0</v>
      </c>
      <c r="J66" t="n">
        <v>0</v>
      </c>
      <c r="K66" t="n">
        <v>0</v>
      </c>
      <c r="L66" t="n">
        <v>0</v>
      </c>
      <c r="M66" t="n">
        <v>0</v>
      </c>
      <c r="N66" t="n">
        <v>0</v>
      </c>
      <c r="O66" t="n">
        <v>0</v>
      </c>
      <c r="P66" t="n">
        <v>0</v>
      </c>
      <c r="Q66" t="n">
        <v>0</v>
      </c>
      <c r="R66" s="2" t="inlineStr"/>
    </row>
    <row r="67" ht="15" customHeight="1">
      <c r="A67" t="inlineStr">
        <is>
          <t>A 68107-2021</t>
        </is>
      </c>
      <c r="B67" s="1" t="n">
        <v>44526</v>
      </c>
      <c r="C67" s="1" t="n">
        <v>46168</v>
      </c>
      <c r="D67" t="inlineStr">
        <is>
          <t>UPPSALA LÄN</t>
        </is>
      </c>
      <c r="E67" t="inlineStr">
        <is>
          <t>ENKÖPING</t>
        </is>
      </c>
      <c r="G67" t="n">
        <v>0.8</v>
      </c>
      <c r="H67" t="n">
        <v>0</v>
      </c>
      <c r="I67" t="n">
        <v>0</v>
      </c>
      <c r="J67" t="n">
        <v>0</v>
      </c>
      <c r="K67" t="n">
        <v>0</v>
      </c>
      <c r="L67" t="n">
        <v>0</v>
      </c>
      <c r="M67" t="n">
        <v>0</v>
      </c>
      <c r="N67" t="n">
        <v>0</v>
      </c>
      <c r="O67" t="n">
        <v>0</v>
      </c>
      <c r="P67" t="n">
        <v>0</v>
      </c>
      <c r="Q67" t="n">
        <v>0</v>
      </c>
      <c r="R67" s="2" t="inlineStr"/>
    </row>
    <row r="68" ht="15" customHeight="1">
      <c r="A68" t="inlineStr">
        <is>
          <t>A 69791-2021</t>
        </is>
      </c>
      <c r="B68" s="1" t="n">
        <v>44532</v>
      </c>
      <c r="C68" s="1" t="n">
        <v>46168</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49375-2021</t>
        </is>
      </c>
      <c r="B69" s="1" t="n">
        <v>44454</v>
      </c>
      <c r="C69" s="1" t="n">
        <v>46168</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57055-2021</t>
        </is>
      </c>
      <c r="B70" s="1" t="n">
        <v>44482.55201388889</v>
      </c>
      <c r="C70" s="1" t="n">
        <v>46168</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60874-2021</t>
        </is>
      </c>
      <c r="B71" s="1" t="n">
        <v>44497</v>
      </c>
      <c r="C71" s="1" t="n">
        <v>46168</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15021-2022</t>
        </is>
      </c>
      <c r="B72" s="1" t="n">
        <v>44657</v>
      </c>
      <c r="C72" s="1" t="n">
        <v>46168</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31013-2022</t>
        </is>
      </c>
      <c r="B73" s="1" t="n">
        <v>44768</v>
      </c>
      <c r="C73" s="1" t="n">
        <v>46168</v>
      </c>
      <c r="D73" t="inlineStr">
        <is>
          <t>UPPSALA LÄN</t>
        </is>
      </c>
      <c r="E73" t="inlineStr">
        <is>
          <t>ENKÖPING</t>
        </is>
      </c>
      <c r="F73" t="inlineStr">
        <is>
          <t>Allmännings- och besparingsskogar</t>
        </is>
      </c>
      <c r="G73" t="n">
        <v>0.5</v>
      </c>
      <c r="H73" t="n">
        <v>0</v>
      </c>
      <c r="I73" t="n">
        <v>0</v>
      </c>
      <c r="J73" t="n">
        <v>0</v>
      </c>
      <c r="K73" t="n">
        <v>0</v>
      </c>
      <c r="L73" t="n">
        <v>0</v>
      </c>
      <c r="M73" t="n">
        <v>0</v>
      </c>
      <c r="N73" t="n">
        <v>0</v>
      </c>
      <c r="O73" t="n">
        <v>0</v>
      </c>
      <c r="P73" t="n">
        <v>0</v>
      </c>
      <c r="Q73" t="n">
        <v>0</v>
      </c>
      <c r="R73" s="2" t="inlineStr"/>
    </row>
    <row r="74" ht="15" customHeight="1">
      <c r="A74" t="inlineStr">
        <is>
          <t>A 42029-2021</t>
        </is>
      </c>
      <c r="B74" s="1" t="n">
        <v>44426</v>
      </c>
      <c r="C74" s="1" t="n">
        <v>46168</v>
      </c>
      <c r="D74" t="inlineStr">
        <is>
          <t>UPPSALA LÄN</t>
        </is>
      </c>
      <c r="E74" t="inlineStr">
        <is>
          <t>ENKÖPING</t>
        </is>
      </c>
      <c r="G74" t="n">
        <v>5.3</v>
      </c>
      <c r="H74" t="n">
        <v>0</v>
      </c>
      <c r="I74" t="n">
        <v>0</v>
      </c>
      <c r="J74" t="n">
        <v>0</v>
      </c>
      <c r="K74" t="n">
        <v>0</v>
      </c>
      <c r="L74" t="n">
        <v>0</v>
      </c>
      <c r="M74" t="n">
        <v>0</v>
      </c>
      <c r="N74" t="n">
        <v>0</v>
      </c>
      <c r="O74" t="n">
        <v>0</v>
      </c>
      <c r="P74" t="n">
        <v>0</v>
      </c>
      <c r="Q74" t="n">
        <v>0</v>
      </c>
      <c r="R74" s="2" t="inlineStr"/>
    </row>
    <row r="75" ht="15" customHeight="1">
      <c r="A75" t="inlineStr">
        <is>
          <t>A 1971-2022</t>
        </is>
      </c>
      <c r="B75" s="1" t="n">
        <v>44575</v>
      </c>
      <c r="C75" s="1" t="n">
        <v>46168</v>
      </c>
      <c r="D75" t="inlineStr">
        <is>
          <t>UPPSALA LÄN</t>
        </is>
      </c>
      <c r="E75" t="inlineStr">
        <is>
          <t>ENKÖPING</t>
        </is>
      </c>
      <c r="G75" t="n">
        <v>1.4</v>
      </c>
      <c r="H75" t="n">
        <v>0</v>
      </c>
      <c r="I75" t="n">
        <v>0</v>
      </c>
      <c r="J75" t="n">
        <v>0</v>
      </c>
      <c r="K75" t="n">
        <v>0</v>
      </c>
      <c r="L75" t="n">
        <v>0</v>
      </c>
      <c r="M75" t="n">
        <v>0</v>
      </c>
      <c r="N75" t="n">
        <v>0</v>
      </c>
      <c r="O75" t="n">
        <v>0</v>
      </c>
      <c r="P75" t="n">
        <v>0</v>
      </c>
      <c r="Q75" t="n">
        <v>0</v>
      </c>
      <c r="R75" s="2" t="inlineStr"/>
    </row>
    <row r="76" ht="15" customHeight="1">
      <c r="A76" t="inlineStr">
        <is>
          <t>A 15924-2022</t>
        </is>
      </c>
      <c r="B76" s="1" t="n">
        <v>44664</v>
      </c>
      <c r="C76" s="1" t="n">
        <v>46168</v>
      </c>
      <c r="D76" t="inlineStr">
        <is>
          <t>UPPSALA LÄN</t>
        </is>
      </c>
      <c r="E76" t="inlineStr">
        <is>
          <t>ENKÖPING</t>
        </is>
      </c>
      <c r="G76" t="n">
        <v>0.7</v>
      </c>
      <c r="H76" t="n">
        <v>0</v>
      </c>
      <c r="I76" t="n">
        <v>0</v>
      </c>
      <c r="J76" t="n">
        <v>0</v>
      </c>
      <c r="K76" t="n">
        <v>0</v>
      </c>
      <c r="L76" t="n">
        <v>0</v>
      </c>
      <c r="M76" t="n">
        <v>0</v>
      </c>
      <c r="N76" t="n">
        <v>0</v>
      </c>
      <c r="O76" t="n">
        <v>0</v>
      </c>
      <c r="P76" t="n">
        <v>0</v>
      </c>
      <c r="Q76" t="n">
        <v>0</v>
      </c>
      <c r="R76" s="2" t="inlineStr"/>
    </row>
    <row r="77" ht="15" customHeight="1">
      <c r="A77" t="inlineStr">
        <is>
          <t>A 15943-2022</t>
        </is>
      </c>
      <c r="B77" s="1" t="n">
        <v>44664.66428240741</v>
      </c>
      <c r="C77" s="1" t="n">
        <v>46168</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47106-2021</t>
        </is>
      </c>
      <c r="B78" s="1" t="n">
        <v>44446</v>
      </c>
      <c r="C78" s="1" t="n">
        <v>46168</v>
      </c>
      <c r="D78" t="inlineStr">
        <is>
          <t>UPPSALA LÄN</t>
        </is>
      </c>
      <c r="E78" t="inlineStr">
        <is>
          <t>ENKÖPING</t>
        </is>
      </c>
      <c r="G78" t="n">
        <v>7.6</v>
      </c>
      <c r="H78" t="n">
        <v>0</v>
      </c>
      <c r="I78" t="n">
        <v>0</v>
      </c>
      <c r="J78" t="n">
        <v>0</v>
      </c>
      <c r="K78" t="n">
        <v>0</v>
      </c>
      <c r="L78" t="n">
        <v>0</v>
      </c>
      <c r="M78" t="n">
        <v>0</v>
      </c>
      <c r="N78" t="n">
        <v>0</v>
      </c>
      <c r="O78" t="n">
        <v>0</v>
      </c>
      <c r="P78" t="n">
        <v>0</v>
      </c>
      <c r="Q78" t="n">
        <v>0</v>
      </c>
      <c r="R78" s="2" t="inlineStr"/>
    </row>
    <row r="79" ht="15" customHeight="1">
      <c r="A79" t="inlineStr">
        <is>
          <t>A 19731-2022</t>
        </is>
      </c>
      <c r="B79" s="1" t="n">
        <v>44694</v>
      </c>
      <c r="C79" s="1" t="n">
        <v>46168</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57043-2021</t>
        </is>
      </c>
      <c r="B80" s="1" t="n">
        <v>44482.53399305556</v>
      </c>
      <c r="C80" s="1" t="n">
        <v>46168</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42564-2024</t>
        </is>
      </c>
      <c r="B81" s="1" t="n">
        <v>45565.63358796296</v>
      </c>
      <c r="C81" s="1" t="n">
        <v>46168</v>
      </c>
      <c r="D81" t="inlineStr">
        <is>
          <t>UPPSALA LÄN</t>
        </is>
      </c>
      <c r="E81" t="inlineStr">
        <is>
          <t>ENKÖPING</t>
        </is>
      </c>
      <c r="G81" t="n">
        <v>1.7</v>
      </c>
      <c r="H81" t="n">
        <v>0</v>
      </c>
      <c r="I81" t="n">
        <v>0</v>
      </c>
      <c r="J81" t="n">
        <v>0</v>
      </c>
      <c r="K81" t="n">
        <v>0</v>
      </c>
      <c r="L81" t="n">
        <v>0</v>
      </c>
      <c r="M81" t="n">
        <v>0</v>
      </c>
      <c r="N81" t="n">
        <v>0</v>
      </c>
      <c r="O81" t="n">
        <v>0</v>
      </c>
      <c r="P81" t="n">
        <v>0</v>
      </c>
      <c r="Q81" t="n">
        <v>0</v>
      </c>
      <c r="R81" s="2" t="inlineStr"/>
    </row>
    <row r="82" ht="15" customHeight="1">
      <c r="A82" t="inlineStr">
        <is>
          <t>A 54776-2024</t>
        </is>
      </c>
      <c r="B82" s="1" t="n">
        <v>45618</v>
      </c>
      <c r="C82" s="1" t="n">
        <v>46168</v>
      </c>
      <c r="D82" t="inlineStr">
        <is>
          <t>UPPSALA LÄN</t>
        </is>
      </c>
      <c r="E82" t="inlineStr">
        <is>
          <t>ENKÖPING</t>
        </is>
      </c>
      <c r="G82" t="n">
        <v>1.8</v>
      </c>
      <c r="H82" t="n">
        <v>0</v>
      </c>
      <c r="I82" t="n">
        <v>0</v>
      </c>
      <c r="J82" t="n">
        <v>0</v>
      </c>
      <c r="K82" t="n">
        <v>0</v>
      </c>
      <c r="L82" t="n">
        <v>0</v>
      </c>
      <c r="M82" t="n">
        <v>0</v>
      </c>
      <c r="N82" t="n">
        <v>0</v>
      </c>
      <c r="O82" t="n">
        <v>0</v>
      </c>
      <c r="P82" t="n">
        <v>0</v>
      </c>
      <c r="Q82" t="n">
        <v>0</v>
      </c>
      <c r="R82" s="2" t="inlineStr"/>
    </row>
    <row r="83" ht="15" customHeight="1">
      <c r="A83" t="inlineStr">
        <is>
          <t>A 22150-2025</t>
        </is>
      </c>
      <c r="B83" s="1" t="n">
        <v>45785.56398148148</v>
      </c>
      <c r="C83" s="1" t="n">
        <v>46168</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24815-2022</t>
        </is>
      </c>
      <c r="B84" s="1" t="n">
        <v>44728</v>
      </c>
      <c r="C84" s="1" t="n">
        <v>46168</v>
      </c>
      <c r="D84" t="inlineStr">
        <is>
          <t>UPPSALA LÄN</t>
        </is>
      </c>
      <c r="E84" t="inlineStr">
        <is>
          <t>ENKÖPING</t>
        </is>
      </c>
      <c r="G84" t="n">
        <v>1.8</v>
      </c>
      <c r="H84" t="n">
        <v>0</v>
      </c>
      <c r="I84" t="n">
        <v>0</v>
      </c>
      <c r="J84" t="n">
        <v>0</v>
      </c>
      <c r="K84" t="n">
        <v>0</v>
      </c>
      <c r="L84" t="n">
        <v>0</v>
      </c>
      <c r="M84" t="n">
        <v>0</v>
      </c>
      <c r="N84" t="n">
        <v>0</v>
      </c>
      <c r="O84" t="n">
        <v>0</v>
      </c>
      <c r="P84" t="n">
        <v>0</v>
      </c>
      <c r="Q84" t="n">
        <v>0</v>
      </c>
      <c r="R84" s="2" t="inlineStr"/>
    </row>
    <row r="85" ht="15" customHeight="1">
      <c r="A85" t="inlineStr">
        <is>
          <t>A 57078-2021</t>
        </is>
      </c>
      <c r="B85" s="1" t="n">
        <v>44482.57855324074</v>
      </c>
      <c r="C85" s="1" t="n">
        <v>46168</v>
      </c>
      <c r="D85" t="inlineStr">
        <is>
          <t>UPPSALA LÄN</t>
        </is>
      </c>
      <c r="E85" t="inlineStr">
        <is>
          <t>ENKÖPING</t>
        </is>
      </c>
      <c r="G85" t="n">
        <v>3</v>
      </c>
      <c r="H85" t="n">
        <v>0</v>
      </c>
      <c r="I85" t="n">
        <v>0</v>
      </c>
      <c r="J85" t="n">
        <v>0</v>
      </c>
      <c r="K85" t="n">
        <v>0</v>
      </c>
      <c r="L85" t="n">
        <v>0</v>
      </c>
      <c r="M85" t="n">
        <v>0</v>
      </c>
      <c r="N85" t="n">
        <v>0</v>
      </c>
      <c r="O85" t="n">
        <v>0</v>
      </c>
      <c r="P85" t="n">
        <v>0</v>
      </c>
      <c r="Q85" t="n">
        <v>0</v>
      </c>
      <c r="R85" s="2" t="inlineStr"/>
    </row>
    <row r="86" ht="15" customHeight="1">
      <c r="A86" t="inlineStr">
        <is>
          <t>A 22156-2025</t>
        </is>
      </c>
      <c r="B86" s="1" t="n">
        <v>45785.57512731481</v>
      </c>
      <c r="C86" s="1" t="n">
        <v>46168</v>
      </c>
      <c r="D86" t="inlineStr">
        <is>
          <t>UPPSALA LÄN</t>
        </is>
      </c>
      <c r="E86" t="inlineStr">
        <is>
          <t>ENKÖPING</t>
        </is>
      </c>
      <c r="G86" t="n">
        <v>0.9</v>
      </c>
      <c r="H86" t="n">
        <v>0</v>
      </c>
      <c r="I86" t="n">
        <v>0</v>
      </c>
      <c r="J86" t="n">
        <v>0</v>
      </c>
      <c r="K86" t="n">
        <v>0</v>
      </c>
      <c r="L86" t="n">
        <v>0</v>
      </c>
      <c r="M86" t="n">
        <v>0</v>
      </c>
      <c r="N86" t="n">
        <v>0</v>
      </c>
      <c r="O86" t="n">
        <v>0</v>
      </c>
      <c r="P86" t="n">
        <v>0</v>
      </c>
      <c r="Q86" t="n">
        <v>0</v>
      </c>
      <c r="R86" s="2" t="inlineStr"/>
    </row>
    <row r="87" ht="15" customHeight="1">
      <c r="A87" t="inlineStr">
        <is>
          <t>A 24883-2022</t>
        </is>
      </c>
      <c r="B87" s="1" t="n">
        <v>44728</v>
      </c>
      <c r="C87" s="1" t="n">
        <v>46168</v>
      </c>
      <c r="D87" t="inlineStr">
        <is>
          <t>UPPSALA LÄN</t>
        </is>
      </c>
      <c r="E87" t="inlineStr">
        <is>
          <t>ENKÖPING</t>
        </is>
      </c>
      <c r="G87" t="n">
        <v>2.5</v>
      </c>
      <c r="H87" t="n">
        <v>0</v>
      </c>
      <c r="I87" t="n">
        <v>0</v>
      </c>
      <c r="J87" t="n">
        <v>0</v>
      </c>
      <c r="K87" t="n">
        <v>0</v>
      </c>
      <c r="L87" t="n">
        <v>0</v>
      </c>
      <c r="M87" t="n">
        <v>0</v>
      </c>
      <c r="N87" t="n">
        <v>0</v>
      </c>
      <c r="O87" t="n">
        <v>0</v>
      </c>
      <c r="P87" t="n">
        <v>0</v>
      </c>
      <c r="Q87" t="n">
        <v>0</v>
      </c>
      <c r="R87" s="2" t="inlineStr"/>
    </row>
    <row r="88" ht="15" customHeight="1">
      <c r="A88" t="inlineStr">
        <is>
          <t>A 3235-2025</t>
        </is>
      </c>
      <c r="B88" s="1" t="n">
        <v>45679</v>
      </c>
      <c r="C88" s="1" t="n">
        <v>46168</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30087-2024</t>
        </is>
      </c>
      <c r="B89" s="1" t="n">
        <v>45489.39447916667</v>
      </c>
      <c r="C89" s="1" t="n">
        <v>46168</v>
      </c>
      <c r="D89" t="inlineStr">
        <is>
          <t>UPPSALA LÄN</t>
        </is>
      </c>
      <c r="E89" t="inlineStr">
        <is>
          <t>ENKÖPING</t>
        </is>
      </c>
      <c r="G89" t="n">
        <v>1.4</v>
      </c>
      <c r="H89" t="n">
        <v>0</v>
      </c>
      <c r="I89" t="n">
        <v>0</v>
      </c>
      <c r="J89" t="n">
        <v>0</v>
      </c>
      <c r="K89" t="n">
        <v>0</v>
      </c>
      <c r="L89" t="n">
        <v>0</v>
      </c>
      <c r="M89" t="n">
        <v>0</v>
      </c>
      <c r="N89" t="n">
        <v>0</v>
      </c>
      <c r="O89" t="n">
        <v>0</v>
      </c>
      <c r="P89" t="n">
        <v>0</v>
      </c>
      <c r="Q89" t="n">
        <v>0</v>
      </c>
      <c r="R89" s="2" t="inlineStr"/>
    </row>
    <row r="90" ht="15" customHeight="1">
      <c r="A90" t="inlineStr">
        <is>
          <t>A 22677-2025</t>
        </is>
      </c>
      <c r="B90" s="1" t="n">
        <v>45789.49515046296</v>
      </c>
      <c r="C90" s="1" t="n">
        <v>46168</v>
      </c>
      <c r="D90" t="inlineStr">
        <is>
          <t>UPPSALA LÄN</t>
        </is>
      </c>
      <c r="E90" t="inlineStr">
        <is>
          <t>ENKÖPING</t>
        </is>
      </c>
      <c r="G90" t="n">
        <v>1</v>
      </c>
      <c r="H90" t="n">
        <v>0</v>
      </c>
      <c r="I90" t="n">
        <v>0</v>
      </c>
      <c r="J90" t="n">
        <v>0</v>
      </c>
      <c r="K90" t="n">
        <v>0</v>
      </c>
      <c r="L90" t="n">
        <v>0</v>
      </c>
      <c r="M90" t="n">
        <v>0</v>
      </c>
      <c r="N90" t="n">
        <v>0</v>
      </c>
      <c r="O90" t="n">
        <v>0</v>
      </c>
      <c r="P90" t="n">
        <v>0</v>
      </c>
      <c r="Q90" t="n">
        <v>0</v>
      </c>
      <c r="R90" s="2" t="inlineStr"/>
    </row>
    <row r="91" ht="15" customHeight="1">
      <c r="A91" t="inlineStr">
        <is>
          <t>A 22679-2025</t>
        </is>
      </c>
      <c r="B91" s="1" t="n">
        <v>45789.49747685185</v>
      </c>
      <c r="C91" s="1" t="n">
        <v>46168</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22729-2025</t>
        </is>
      </c>
      <c r="B92" s="1" t="n">
        <v>45789.57790509259</v>
      </c>
      <c r="C92" s="1" t="n">
        <v>46168</v>
      </c>
      <c r="D92" t="inlineStr">
        <is>
          <t>UPPSALA LÄN</t>
        </is>
      </c>
      <c r="E92" t="inlineStr">
        <is>
          <t>ENKÖPING</t>
        </is>
      </c>
      <c r="G92" t="n">
        <v>0.7</v>
      </c>
      <c r="H92" t="n">
        <v>0</v>
      </c>
      <c r="I92" t="n">
        <v>0</v>
      </c>
      <c r="J92" t="n">
        <v>0</v>
      </c>
      <c r="K92" t="n">
        <v>0</v>
      </c>
      <c r="L92" t="n">
        <v>0</v>
      </c>
      <c r="M92" t="n">
        <v>0</v>
      </c>
      <c r="N92" t="n">
        <v>0</v>
      </c>
      <c r="O92" t="n">
        <v>0</v>
      </c>
      <c r="P92" t="n">
        <v>0</v>
      </c>
      <c r="Q92" t="n">
        <v>0</v>
      </c>
      <c r="R92" s="2" t="inlineStr"/>
    </row>
    <row r="93" ht="15" customHeight="1">
      <c r="A93" t="inlineStr">
        <is>
          <t>A 22786-2025</t>
        </is>
      </c>
      <c r="B93" s="1" t="n">
        <v>45789.64643518518</v>
      </c>
      <c r="C93" s="1" t="n">
        <v>46168</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22795-2025</t>
        </is>
      </c>
      <c r="B94" s="1" t="n">
        <v>45789.65944444444</v>
      </c>
      <c r="C94" s="1" t="n">
        <v>46168</v>
      </c>
      <c r="D94" t="inlineStr">
        <is>
          <t>UPPSALA LÄN</t>
        </is>
      </c>
      <c r="E94" t="inlineStr">
        <is>
          <t>ENKÖPING</t>
        </is>
      </c>
      <c r="G94" t="n">
        <v>10.4</v>
      </c>
      <c r="H94" t="n">
        <v>0</v>
      </c>
      <c r="I94" t="n">
        <v>0</v>
      </c>
      <c r="J94" t="n">
        <v>0</v>
      </c>
      <c r="K94" t="n">
        <v>0</v>
      </c>
      <c r="L94" t="n">
        <v>0</v>
      </c>
      <c r="M94" t="n">
        <v>0</v>
      </c>
      <c r="N94" t="n">
        <v>0</v>
      </c>
      <c r="O94" t="n">
        <v>0</v>
      </c>
      <c r="P94" t="n">
        <v>0</v>
      </c>
      <c r="Q94" t="n">
        <v>0</v>
      </c>
      <c r="R94" s="2" t="inlineStr"/>
    </row>
    <row r="95" ht="15" customHeight="1">
      <c r="A95" t="inlineStr">
        <is>
          <t>A 15711-2025</t>
        </is>
      </c>
      <c r="B95" s="1" t="n">
        <v>45748</v>
      </c>
      <c r="C95" s="1" t="n">
        <v>46168</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22802-2025</t>
        </is>
      </c>
      <c r="B96" s="1" t="n">
        <v>45789.6686574074</v>
      </c>
      <c r="C96" s="1" t="n">
        <v>46168</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68127-2021</t>
        </is>
      </c>
      <c r="B97" s="1" t="n">
        <v>44526.39513888889</v>
      </c>
      <c r="C97" s="1" t="n">
        <v>46168</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22680-2025</t>
        </is>
      </c>
      <c r="B98" s="1" t="n">
        <v>45789.5005787037</v>
      </c>
      <c r="C98" s="1" t="n">
        <v>46168</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6981-2025</t>
        </is>
      </c>
      <c r="B99" s="1" t="n">
        <v>45701</v>
      </c>
      <c r="C99" s="1" t="n">
        <v>46168</v>
      </c>
      <c r="D99" t="inlineStr">
        <is>
          <t>UPPSALA LÄN</t>
        </is>
      </c>
      <c r="E99" t="inlineStr">
        <is>
          <t>ENKÖPING</t>
        </is>
      </c>
      <c r="G99" t="n">
        <v>0.9</v>
      </c>
      <c r="H99" t="n">
        <v>0</v>
      </c>
      <c r="I99" t="n">
        <v>0</v>
      </c>
      <c r="J99" t="n">
        <v>0</v>
      </c>
      <c r="K99" t="n">
        <v>0</v>
      </c>
      <c r="L99" t="n">
        <v>0</v>
      </c>
      <c r="M99" t="n">
        <v>0</v>
      </c>
      <c r="N99" t="n">
        <v>0</v>
      </c>
      <c r="O99" t="n">
        <v>0</v>
      </c>
      <c r="P99" t="n">
        <v>0</v>
      </c>
      <c r="Q99" t="n">
        <v>0</v>
      </c>
      <c r="R99" s="2" t="inlineStr"/>
    </row>
    <row r="100" ht="15" customHeight="1">
      <c r="A100" t="inlineStr">
        <is>
          <t>A 22770-2025</t>
        </is>
      </c>
      <c r="B100" s="1" t="n">
        <v>45789.63454861111</v>
      </c>
      <c r="C100" s="1" t="n">
        <v>46168</v>
      </c>
      <c r="D100" t="inlineStr">
        <is>
          <t>UPPSALA LÄN</t>
        </is>
      </c>
      <c r="E100" t="inlineStr">
        <is>
          <t>ENKÖPING</t>
        </is>
      </c>
      <c r="G100" t="n">
        <v>4.5</v>
      </c>
      <c r="H100" t="n">
        <v>0</v>
      </c>
      <c r="I100" t="n">
        <v>0</v>
      </c>
      <c r="J100" t="n">
        <v>0</v>
      </c>
      <c r="K100" t="n">
        <v>0</v>
      </c>
      <c r="L100" t="n">
        <v>0</v>
      </c>
      <c r="M100" t="n">
        <v>0</v>
      </c>
      <c r="N100" t="n">
        <v>0</v>
      </c>
      <c r="O100" t="n">
        <v>0</v>
      </c>
      <c r="P100" t="n">
        <v>0</v>
      </c>
      <c r="Q100" t="n">
        <v>0</v>
      </c>
      <c r="R100" s="2" t="inlineStr"/>
    </row>
    <row r="101" ht="15" customHeight="1">
      <c r="A101" t="inlineStr">
        <is>
          <t>A 22725-2025</t>
        </is>
      </c>
      <c r="B101" s="1" t="n">
        <v>45789.57371527778</v>
      </c>
      <c r="C101" s="1" t="n">
        <v>46168</v>
      </c>
      <c r="D101" t="inlineStr">
        <is>
          <t>UPPSALA LÄN</t>
        </is>
      </c>
      <c r="E101" t="inlineStr">
        <is>
          <t>ENKÖPING</t>
        </is>
      </c>
      <c r="G101" t="n">
        <v>4.8</v>
      </c>
      <c r="H101" t="n">
        <v>0</v>
      </c>
      <c r="I101" t="n">
        <v>0</v>
      </c>
      <c r="J101" t="n">
        <v>0</v>
      </c>
      <c r="K101" t="n">
        <v>0</v>
      </c>
      <c r="L101" t="n">
        <v>0</v>
      </c>
      <c r="M101" t="n">
        <v>0</v>
      </c>
      <c r="N101" t="n">
        <v>0</v>
      </c>
      <c r="O101" t="n">
        <v>0</v>
      </c>
      <c r="P101" t="n">
        <v>0</v>
      </c>
      <c r="Q101" t="n">
        <v>0</v>
      </c>
      <c r="R101" s="2" t="inlineStr"/>
    </row>
    <row r="102" ht="15" customHeight="1">
      <c r="A102" t="inlineStr">
        <is>
          <t>A 22981-2025</t>
        </is>
      </c>
      <c r="B102" s="1" t="n">
        <v>45790.56964120371</v>
      </c>
      <c r="C102" s="1" t="n">
        <v>46168</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68123-2021</t>
        </is>
      </c>
      <c r="B103" s="1" t="n">
        <v>44526.39126157408</v>
      </c>
      <c r="C103" s="1" t="n">
        <v>46168</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22793-2025</t>
        </is>
      </c>
      <c r="B104" s="1" t="n">
        <v>45789.65693287037</v>
      </c>
      <c r="C104" s="1" t="n">
        <v>46168</v>
      </c>
      <c r="D104" t="inlineStr">
        <is>
          <t>UPPSALA LÄN</t>
        </is>
      </c>
      <c r="E104" t="inlineStr">
        <is>
          <t>ENKÖPING</t>
        </is>
      </c>
      <c r="G104" t="n">
        <v>3.2</v>
      </c>
      <c r="H104" t="n">
        <v>0</v>
      </c>
      <c r="I104" t="n">
        <v>0</v>
      </c>
      <c r="J104" t="n">
        <v>0</v>
      </c>
      <c r="K104" t="n">
        <v>0</v>
      </c>
      <c r="L104" t="n">
        <v>0</v>
      </c>
      <c r="M104" t="n">
        <v>0</v>
      </c>
      <c r="N104" t="n">
        <v>0</v>
      </c>
      <c r="O104" t="n">
        <v>0</v>
      </c>
      <c r="P104" t="n">
        <v>0</v>
      </c>
      <c r="Q104" t="n">
        <v>0</v>
      </c>
      <c r="R104" s="2" t="inlineStr"/>
    </row>
    <row r="105" ht="15" customHeight="1">
      <c r="A105" t="inlineStr">
        <is>
          <t>A 6959-2025</t>
        </is>
      </c>
      <c r="B105" s="1" t="n">
        <v>45701.49315972222</v>
      </c>
      <c r="C105" s="1" t="n">
        <v>46168</v>
      </c>
      <c r="D105" t="inlineStr">
        <is>
          <t>UPPSALA LÄN</t>
        </is>
      </c>
      <c r="E105" t="inlineStr">
        <is>
          <t>ENKÖPING</t>
        </is>
      </c>
      <c r="G105" t="n">
        <v>1.8</v>
      </c>
      <c r="H105" t="n">
        <v>0</v>
      </c>
      <c r="I105" t="n">
        <v>0</v>
      </c>
      <c r="J105" t="n">
        <v>0</v>
      </c>
      <c r="K105" t="n">
        <v>0</v>
      </c>
      <c r="L105" t="n">
        <v>0</v>
      </c>
      <c r="M105" t="n">
        <v>0</v>
      </c>
      <c r="N105" t="n">
        <v>0</v>
      </c>
      <c r="O105" t="n">
        <v>0</v>
      </c>
      <c r="P105" t="n">
        <v>0</v>
      </c>
      <c r="Q105" t="n">
        <v>0</v>
      </c>
      <c r="R105" s="2" t="inlineStr"/>
    </row>
    <row r="106" ht="15" customHeight="1">
      <c r="A106" t="inlineStr">
        <is>
          <t>A 22800-2025</t>
        </is>
      </c>
      <c r="B106" s="1" t="n">
        <v>45789.6669212963</v>
      </c>
      <c r="C106" s="1" t="n">
        <v>46168</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17165-2025</t>
        </is>
      </c>
      <c r="B107" s="1" t="n">
        <v>45756</v>
      </c>
      <c r="C107" s="1" t="n">
        <v>46168</v>
      </c>
      <c r="D107" t="inlineStr">
        <is>
          <t>UPPSALA LÄN</t>
        </is>
      </c>
      <c r="E107" t="inlineStr">
        <is>
          <t>ENKÖPING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42021-2021</t>
        </is>
      </c>
      <c r="B108" s="1" t="n">
        <v>44426</v>
      </c>
      <c r="C108" s="1" t="n">
        <v>46168</v>
      </c>
      <c r="D108" t="inlineStr">
        <is>
          <t>UPPSALA LÄN</t>
        </is>
      </c>
      <c r="E108" t="inlineStr">
        <is>
          <t>ENKÖPING</t>
        </is>
      </c>
      <c r="G108" t="n">
        <v>2.2</v>
      </c>
      <c r="H108" t="n">
        <v>0</v>
      </c>
      <c r="I108" t="n">
        <v>0</v>
      </c>
      <c r="J108" t="n">
        <v>0</v>
      </c>
      <c r="K108" t="n">
        <v>0</v>
      </c>
      <c r="L108" t="n">
        <v>0</v>
      </c>
      <c r="M108" t="n">
        <v>0</v>
      </c>
      <c r="N108" t="n">
        <v>0</v>
      </c>
      <c r="O108" t="n">
        <v>0</v>
      </c>
      <c r="P108" t="n">
        <v>0</v>
      </c>
      <c r="Q108" t="n">
        <v>0</v>
      </c>
      <c r="R108" s="2" t="inlineStr"/>
    </row>
    <row r="109" ht="15" customHeight="1">
      <c r="A109" t="inlineStr">
        <is>
          <t>A 17467-2022</t>
        </is>
      </c>
      <c r="B109" s="1" t="n">
        <v>44679</v>
      </c>
      <c r="C109" s="1" t="n">
        <v>46168</v>
      </c>
      <c r="D109" t="inlineStr">
        <is>
          <t>UPPSALA LÄN</t>
        </is>
      </c>
      <c r="E109" t="inlineStr">
        <is>
          <t>ENKÖPING</t>
        </is>
      </c>
      <c r="G109" t="n">
        <v>0.7</v>
      </c>
      <c r="H109" t="n">
        <v>0</v>
      </c>
      <c r="I109" t="n">
        <v>0</v>
      </c>
      <c r="J109" t="n">
        <v>0</v>
      </c>
      <c r="K109" t="n">
        <v>0</v>
      </c>
      <c r="L109" t="n">
        <v>0</v>
      </c>
      <c r="M109" t="n">
        <v>0</v>
      </c>
      <c r="N109" t="n">
        <v>0</v>
      </c>
      <c r="O109" t="n">
        <v>0</v>
      </c>
      <c r="P109" t="n">
        <v>0</v>
      </c>
      <c r="Q109" t="n">
        <v>0</v>
      </c>
      <c r="R109" s="2" t="inlineStr"/>
    </row>
    <row r="110" ht="15" customHeight="1">
      <c r="A110" t="inlineStr">
        <is>
          <t>A 52299-2023</t>
        </is>
      </c>
      <c r="B110" s="1" t="n">
        <v>45224.61636574074</v>
      </c>
      <c r="C110" s="1" t="n">
        <v>46168</v>
      </c>
      <c r="D110" t="inlineStr">
        <is>
          <t>UPPSALA LÄN</t>
        </is>
      </c>
      <c r="E110" t="inlineStr">
        <is>
          <t>ENKÖPING</t>
        </is>
      </c>
      <c r="G110" t="n">
        <v>2.2</v>
      </c>
      <c r="H110" t="n">
        <v>0</v>
      </c>
      <c r="I110" t="n">
        <v>0</v>
      </c>
      <c r="J110" t="n">
        <v>0</v>
      </c>
      <c r="K110" t="n">
        <v>0</v>
      </c>
      <c r="L110" t="n">
        <v>0</v>
      </c>
      <c r="M110" t="n">
        <v>0</v>
      </c>
      <c r="N110" t="n">
        <v>0</v>
      </c>
      <c r="O110" t="n">
        <v>0</v>
      </c>
      <c r="P110" t="n">
        <v>0</v>
      </c>
      <c r="Q110" t="n">
        <v>0</v>
      </c>
      <c r="R110" s="2" t="inlineStr"/>
    </row>
    <row r="111" ht="15" customHeight="1">
      <c r="A111" t="inlineStr">
        <is>
          <t>A 17729-2023</t>
        </is>
      </c>
      <c r="B111" s="1" t="n">
        <v>45037</v>
      </c>
      <c r="C111" s="1" t="n">
        <v>46168</v>
      </c>
      <c r="D111" t="inlineStr">
        <is>
          <t>UPPSALA LÄN</t>
        </is>
      </c>
      <c r="E111" t="inlineStr">
        <is>
          <t>ENKÖPING</t>
        </is>
      </c>
      <c r="G111" t="n">
        <v>10.2</v>
      </c>
      <c r="H111" t="n">
        <v>0</v>
      </c>
      <c r="I111" t="n">
        <v>0</v>
      </c>
      <c r="J111" t="n">
        <v>0</v>
      </c>
      <c r="K111" t="n">
        <v>0</v>
      </c>
      <c r="L111" t="n">
        <v>0</v>
      </c>
      <c r="M111" t="n">
        <v>0</v>
      </c>
      <c r="N111" t="n">
        <v>0</v>
      </c>
      <c r="O111" t="n">
        <v>0</v>
      </c>
      <c r="P111" t="n">
        <v>0</v>
      </c>
      <c r="Q111" t="n">
        <v>0</v>
      </c>
      <c r="R111" s="2" t="inlineStr"/>
    </row>
    <row r="112" ht="15" customHeight="1">
      <c r="A112" t="inlineStr">
        <is>
          <t>A 59121-2021</t>
        </is>
      </c>
      <c r="B112" s="1" t="n">
        <v>44490</v>
      </c>
      <c r="C112" s="1" t="n">
        <v>46168</v>
      </c>
      <c r="D112" t="inlineStr">
        <is>
          <t>UPPSALA LÄN</t>
        </is>
      </c>
      <c r="E112" t="inlineStr">
        <is>
          <t>ENKÖPING</t>
        </is>
      </c>
      <c r="G112" t="n">
        <v>2.4</v>
      </c>
      <c r="H112" t="n">
        <v>0</v>
      </c>
      <c r="I112" t="n">
        <v>0</v>
      </c>
      <c r="J112" t="n">
        <v>0</v>
      </c>
      <c r="K112" t="n">
        <v>0</v>
      </c>
      <c r="L112" t="n">
        <v>0</v>
      </c>
      <c r="M112" t="n">
        <v>0</v>
      </c>
      <c r="N112" t="n">
        <v>0</v>
      </c>
      <c r="O112" t="n">
        <v>0</v>
      </c>
      <c r="P112" t="n">
        <v>0</v>
      </c>
      <c r="Q112" t="n">
        <v>0</v>
      </c>
      <c r="R112" s="2" t="inlineStr"/>
    </row>
    <row r="113" ht="15" customHeight="1">
      <c r="A113" t="inlineStr">
        <is>
          <t>A 5749-2025</t>
        </is>
      </c>
      <c r="B113" s="1" t="n">
        <v>45694</v>
      </c>
      <c r="C113" s="1" t="n">
        <v>46168</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25598-2021</t>
        </is>
      </c>
      <c r="B114" s="1" t="n">
        <v>44343.4558912037</v>
      </c>
      <c r="C114" s="1" t="n">
        <v>46168</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8020-2022</t>
        </is>
      </c>
      <c r="B115" s="1" t="n">
        <v>44609</v>
      </c>
      <c r="C115" s="1" t="n">
        <v>46168</v>
      </c>
      <c r="D115" t="inlineStr">
        <is>
          <t>UPPSALA LÄN</t>
        </is>
      </c>
      <c r="E115" t="inlineStr">
        <is>
          <t>ENKÖPING</t>
        </is>
      </c>
      <c r="G115" t="n">
        <v>6</v>
      </c>
      <c r="H115" t="n">
        <v>0</v>
      </c>
      <c r="I115" t="n">
        <v>0</v>
      </c>
      <c r="J115" t="n">
        <v>0</v>
      </c>
      <c r="K115" t="n">
        <v>0</v>
      </c>
      <c r="L115" t="n">
        <v>0</v>
      </c>
      <c r="M115" t="n">
        <v>0</v>
      </c>
      <c r="N115" t="n">
        <v>0</v>
      </c>
      <c r="O115" t="n">
        <v>0</v>
      </c>
      <c r="P115" t="n">
        <v>0</v>
      </c>
      <c r="Q115" t="n">
        <v>0</v>
      </c>
      <c r="R115" s="2" t="inlineStr"/>
    </row>
    <row r="116" ht="15" customHeight="1">
      <c r="A116" t="inlineStr">
        <is>
          <t>A 29983-2021</t>
        </is>
      </c>
      <c r="B116" s="1" t="n">
        <v>44363</v>
      </c>
      <c r="C116" s="1" t="n">
        <v>46168</v>
      </c>
      <c r="D116" t="inlineStr">
        <is>
          <t>UPPSALA LÄN</t>
        </is>
      </c>
      <c r="E116" t="inlineStr">
        <is>
          <t>ENKÖPING</t>
        </is>
      </c>
      <c r="F116" t="inlineStr">
        <is>
          <t>Kommuner</t>
        </is>
      </c>
      <c r="G116" t="n">
        <v>3.1</v>
      </c>
      <c r="H116" t="n">
        <v>0</v>
      </c>
      <c r="I116" t="n">
        <v>0</v>
      </c>
      <c r="J116" t="n">
        <v>0</v>
      </c>
      <c r="K116" t="n">
        <v>0</v>
      </c>
      <c r="L116" t="n">
        <v>0</v>
      </c>
      <c r="M116" t="n">
        <v>0</v>
      </c>
      <c r="N116" t="n">
        <v>0</v>
      </c>
      <c r="O116" t="n">
        <v>0</v>
      </c>
      <c r="P116" t="n">
        <v>0</v>
      </c>
      <c r="Q116" t="n">
        <v>0</v>
      </c>
      <c r="R116" s="2" t="inlineStr"/>
    </row>
    <row r="117" ht="15" customHeight="1">
      <c r="A117" t="inlineStr">
        <is>
          <t>A 34805-2024</t>
        </is>
      </c>
      <c r="B117" s="1" t="n">
        <v>45526</v>
      </c>
      <c r="C117" s="1" t="n">
        <v>46168</v>
      </c>
      <c r="D117" t="inlineStr">
        <is>
          <t>UPPSALA LÄN</t>
        </is>
      </c>
      <c r="E117" t="inlineStr">
        <is>
          <t>ENKÖPING</t>
        </is>
      </c>
      <c r="G117" t="n">
        <v>3.6</v>
      </c>
      <c r="H117" t="n">
        <v>0</v>
      </c>
      <c r="I117" t="n">
        <v>0</v>
      </c>
      <c r="J117" t="n">
        <v>0</v>
      </c>
      <c r="K117" t="n">
        <v>0</v>
      </c>
      <c r="L117" t="n">
        <v>0</v>
      </c>
      <c r="M117" t="n">
        <v>0</v>
      </c>
      <c r="N117" t="n">
        <v>0</v>
      </c>
      <c r="O117" t="n">
        <v>0</v>
      </c>
      <c r="P117" t="n">
        <v>0</v>
      </c>
      <c r="Q117" t="n">
        <v>0</v>
      </c>
      <c r="R117" s="2" t="inlineStr"/>
    </row>
    <row r="118" ht="15" customHeight="1">
      <c r="A118" t="inlineStr">
        <is>
          <t>A 32081-2024</t>
        </is>
      </c>
      <c r="B118" s="1" t="n">
        <v>45511.34605324074</v>
      </c>
      <c r="C118" s="1" t="n">
        <v>46168</v>
      </c>
      <c r="D118" t="inlineStr">
        <is>
          <t>UPPSALA LÄN</t>
        </is>
      </c>
      <c r="E118" t="inlineStr">
        <is>
          <t>ENKÖPING</t>
        </is>
      </c>
      <c r="G118" t="n">
        <v>5.4</v>
      </c>
      <c r="H118" t="n">
        <v>0</v>
      </c>
      <c r="I118" t="n">
        <v>0</v>
      </c>
      <c r="J118" t="n">
        <v>0</v>
      </c>
      <c r="K118" t="n">
        <v>0</v>
      </c>
      <c r="L118" t="n">
        <v>0</v>
      </c>
      <c r="M118" t="n">
        <v>0</v>
      </c>
      <c r="N118" t="n">
        <v>0</v>
      </c>
      <c r="O118" t="n">
        <v>0</v>
      </c>
      <c r="P118" t="n">
        <v>0</v>
      </c>
      <c r="Q118" t="n">
        <v>0</v>
      </c>
      <c r="R118" s="2" t="inlineStr"/>
    </row>
    <row r="119" ht="15" customHeight="1">
      <c r="A119" t="inlineStr">
        <is>
          <t>A 314-2025</t>
        </is>
      </c>
      <c r="B119" s="1" t="n">
        <v>45656</v>
      </c>
      <c r="C119" s="1" t="n">
        <v>46168</v>
      </c>
      <c r="D119" t="inlineStr">
        <is>
          <t>UPPSALA LÄN</t>
        </is>
      </c>
      <c r="E119" t="inlineStr">
        <is>
          <t>ENKÖPING</t>
        </is>
      </c>
      <c r="G119" t="n">
        <v>9</v>
      </c>
      <c r="H119" t="n">
        <v>0</v>
      </c>
      <c r="I119" t="n">
        <v>0</v>
      </c>
      <c r="J119" t="n">
        <v>0</v>
      </c>
      <c r="K119" t="n">
        <v>0</v>
      </c>
      <c r="L119" t="n">
        <v>0</v>
      </c>
      <c r="M119" t="n">
        <v>0</v>
      </c>
      <c r="N119" t="n">
        <v>0</v>
      </c>
      <c r="O119" t="n">
        <v>0</v>
      </c>
      <c r="P119" t="n">
        <v>0</v>
      </c>
      <c r="Q119" t="n">
        <v>0</v>
      </c>
      <c r="R119" s="2" t="inlineStr"/>
    </row>
    <row r="120" ht="15" customHeight="1">
      <c r="A120" t="inlineStr">
        <is>
          <t>A 10831-2024</t>
        </is>
      </c>
      <c r="B120" s="1" t="n">
        <v>45369</v>
      </c>
      <c r="C120" s="1" t="n">
        <v>46168</v>
      </c>
      <c r="D120" t="inlineStr">
        <is>
          <t>UPPSALA LÄN</t>
        </is>
      </c>
      <c r="E120" t="inlineStr">
        <is>
          <t>ENKÖPING</t>
        </is>
      </c>
      <c r="G120" t="n">
        <v>2.9</v>
      </c>
      <c r="H120" t="n">
        <v>0</v>
      </c>
      <c r="I120" t="n">
        <v>0</v>
      </c>
      <c r="J120" t="n">
        <v>0</v>
      </c>
      <c r="K120" t="n">
        <v>0</v>
      </c>
      <c r="L120" t="n">
        <v>0</v>
      </c>
      <c r="M120" t="n">
        <v>0</v>
      </c>
      <c r="N120" t="n">
        <v>0</v>
      </c>
      <c r="O120" t="n">
        <v>0</v>
      </c>
      <c r="P120" t="n">
        <v>0</v>
      </c>
      <c r="Q120" t="n">
        <v>0</v>
      </c>
      <c r="R120" s="2" t="inlineStr"/>
    </row>
    <row r="121" ht="15" customHeight="1">
      <c r="A121" t="inlineStr">
        <is>
          <t>A 5712-2025</t>
        </is>
      </c>
      <c r="B121" s="1" t="n">
        <v>45694</v>
      </c>
      <c r="C121" s="1" t="n">
        <v>46168</v>
      </c>
      <c r="D121" t="inlineStr">
        <is>
          <t>UPPSALA LÄN</t>
        </is>
      </c>
      <c r="E121" t="inlineStr">
        <is>
          <t>ENKÖPING</t>
        </is>
      </c>
      <c r="G121" t="n">
        <v>5.1</v>
      </c>
      <c r="H121" t="n">
        <v>0</v>
      </c>
      <c r="I121" t="n">
        <v>0</v>
      </c>
      <c r="J121" t="n">
        <v>0</v>
      </c>
      <c r="K121" t="n">
        <v>0</v>
      </c>
      <c r="L121" t="n">
        <v>0</v>
      </c>
      <c r="M121" t="n">
        <v>0</v>
      </c>
      <c r="N121" t="n">
        <v>0</v>
      </c>
      <c r="O121" t="n">
        <v>0</v>
      </c>
      <c r="P121" t="n">
        <v>0</v>
      </c>
      <c r="Q121" t="n">
        <v>0</v>
      </c>
      <c r="R121" s="2" t="inlineStr"/>
    </row>
    <row r="122" ht="15" customHeight="1">
      <c r="A122" t="inlineStr">
        <is>
          <t>A 20184-2023</t>
        </is>
      </c>
      <c r="B122" s="1" t="n">
        <v>45055.5670949074</v>
      </c>
      <c r="C122" s="1" t="n">
        <v>46168</v>
      </c>
      <c r="D122" t="inlineStr">
        <is>
          <t>UPPSALA LÄN</t>
        </is>
      </c>
      <c r="E122" t="inlineStr">
        <is>
          <t>ENKÖPING</t>
        </is>
      </c>
      <c r="G122" t="n">
        <v>3.2</v>
      </c>
      <c r="H122" t="n">
        <v>0</v>
      </c>
      <c r="I122" t="n">
        <v>0</v>
      </c>
      <c r="J122" t="n">
        <v>0</v>
      </c>
      <c r="K122" t="n">
        <v>0</v>
      </c>
      <c r="L122" t="n">
        <v>0</v>
      </c>
      <c r="M122" t="n">
        <v>0</v>
      </c>
      <c r="N122" t="n">
        <v>0</v>
      </c>
      <c r="O122" t="n">
        <v>0</v>
      </c>
      <c r="P122" t="n">
        <v>0</v>
      </c>
      <c r="Q122" t="n">
        <v>0</v>
      </c>
      <c r="R122" s="2" t="inlineStr"/>
    </row>
    <row r="123" ht="15" customHeight="1">
      <c r="A123" t="inlineStr">
        <is>
          <t>A 45956-2024</t>
        </is>
      </c>
      <c r="B123" s="1" t="n">
        <v>45580</v>
      </c>
      <c r="C123" s="1" t="n">
        <v>46168</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11627-2025</t>
        </is>
      </c>
      <c r="B124" s="1" t="n">
        <v>45727</v>
      </c>
      <c r="C124" s="1" t="n">
        <v>46168</v>
      </c>
      <c r="D124" t="inlineStr">
        <is>
          <t>UPPSALA LÄN</t>
        </is>
      </c>
      <c r="E124" t="inlineStr">
        <is>
          <t>ENKÖPING</t>
        </is>
      </c>
      <c r="G124" t="n">
        <v>5.5</v>
      </c>
      <c r="H124" t="n">
        <v>0</v>
      </c>
      <c r="I124" t="n">
        <v>0</v>
      </c>
      <c r="J124" t="n">
        <v>0</v>
      </c>
      <c r="K124" t="n">
        <v>0</v>
      </c>
      <c r="L124" t="n">
        <v>0</v>
      </c>
      <c r="M124" t="n">
        <v>0</v>
      </c>
      <c r="N124" t="n">
        <v>0</v>
      </c>
      <c r="O124" t="n">
        <v>0</v>
      </c>
      <c r="P124" t="n">
        <v>0</v>
      </c>
      <c r="Q124" t="n">
        <v>0</v>
      </c>
      <c r="R124" s="2" t="inlineStr"/>
    </row>
    <row r="125" ht="15" customHeight="1">
      <c r="A125" t="inlineStr">
        <is>
          <t>A 74090-2021</t>
        </is>
      </c>
      <c r="B125" s="1" t="n">
        <v>44557</v>
      </c>
      <c r="C125" s="1" t="n">
        <v>46168</v>
      </c>
      <c r="D125" t="inlineStr">
        <is>
          <t>UPPSALA LÄN</t>
        </is>
      </c>
      <c r="E125" t="inlineStr">
        <is>
          <t>ENKÖPING</t>
        </is>
      </c>
      <c r="G125" t="n">
        <v>2.1</v>
      </c>
      <c r="H125" t="n">
        <v>0</v>
      </c>
      <c r="I125" t="n">
        <v>0</v>
      </c>
      <c r="J125" t="n">
        <v>0</v>
      </c>
      <c r="K125" t="n">
        <v>0</v>
      </c>
      <c r="L125" t="n">
        <v>0</v>
      </c>
      <c r="M125" t="n">
        <v>0</v>
      </c>
      <c r="N125" t="n">
        <v>0</v>
      </c>
      <c r="O125" t="n">
        <v>0</v>
      </c>
      <c r="P125" t="n">
        <v>0</v>
      </c>
      <c r="Q125" t="n">
        <v>0</v>
      </c>
      <c r="R125" s="2" t="inlineStr"/>
    </row>
    <row r="126" ht="15" customHeight="1">
      <c r="A126" t="inlineStr">
        <is>
          <t>A 31965-2021</t>
        </is>
      </c>
      <c r="B126" s="1" t="n">
        <v>44370.56901620371</v>
      </c>
      <c r="C126" s="1" t="n">
        <v>46168</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61952-2021</t>
        </is>
      </c>
      <c r="B127" s="1" t="n">
        <v>44502</v>
      </c>
      <c r="C127" s="1" t="n">
        <v>46168</v>
      </c>
      <c r="D127" t="inlineStr">
        <is>
          <t>UPPSALA LÄN</t>
        </is>
      </c>
      <c r="E127" t="inlineStr">
        <is>
          <t>ENKÖPING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10468-2025</t>
        </is>
      </c>
      <c r="B128" s="1" t="n">
        <v>45720</v>
      </c>
      <c r="C128" s="1" t="n">
        <v>46168</v>
      </c>
      <c r="D128" t="inlineStr">
        <is>
          <t>UPPSALA LÄN</t>
        </is>
      </c>
      <c r="E128" t="inlineStr">
        <is>
          <t>ENKÖPING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43488-2023</t>
        </is>
      </c>
      <c r="B129" s="1" t="n">
        <v>45181</v>
      </c>
      <c r="C129" s="1" t="n">
        <v>46168</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12755-2025</t>
        </is>
      </c>
      <c r="B130" s="1" t="n">
        <v>45733.56541666666</v>
      </c>
      <c r="C130" s="1" t="n">
        <v>46168</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59602-2022</t>
        </is>
      </c>
      <c r="B131" s="1" t="n">
        <v>44907.72241898148</v>
      </c>
      <c r="C131" s="1" t="n">
        <v>46168</v>
      </c>
      <c r="D131" t="inlineStr">
        <is>
          <t>UPPSALA LÄN</t>
        </is>
      </c>
      <c r="E131" t="inlineStr">
        <is>
          <t>ENKÖPING</t>
        </is>
      </c>
      <c r="G131" t="n">
        <v>14.2</v>
      </c>
      <c r="H131" t="n">
        <v>0</v>
      </c>
      <c r="I131" t="n">
        <v>0</v>
      </c>
      <c r="J131" t="n">
        <v>0</v>
      </c>
      <c r="K131" t="n">
        <v>0</v>
      </c>
      <c r="L131" t="n">
        <v>0</v>
      </c>
      <c r="M131" t="n">
        <v>0</v>
      </c>
      <c r="N131" t="n">
        <v>0</v>
      </c>
      <c r="O131" t="n">
        <v>0</v>
      </c>
      <c r="P131" t="n">
        <v>0</v>
      </c>
      <c r="Q131" t="n">
        <v>0</v>
      </c>
      <c r="R131" s="2" t="inlineStr"/>
    </row>
    <row r="132" ht="15" customHeight="1">
      <c r="A132" t="inlineStr">
        <is>
          <t>A 42589-2022</t>
        </is>
      </c>
      <c r="B132" s="1" t="n">
        <v>44831</v>
      </c>
      <c r="C132" s="1" t="n">
        <v>46168</v>
      </c>
      <c r="D132" t="inlineStr">
        <is>
          <t>UPPSALA LÄN</t>
        </is>
      </c>
      <c r="E132" t="inlineStr">
        <is>
          <t>ENKÖPING</t>
        </is>
      </c>
      <c r="G132" t="n">
        <v>20</v>
      </c>
      <c r="H132" t="n">
        <v>0</v>
      </c>
      <c r="I132" t="n">
        <v>0</v>
      </c>
      <c r="J132" t="n">
        <v>0</v>
      </c>
      <c r="K132" t="n">
        <v>0</v>
      </c>
      <c r="L132" t="n">
        <v>0</v>
      </c>
      <c r="M132" t="n">
        <v>0</v>
      </c>
      <c r="N132" t="n">
        <v>0</v>
      </c>
      <c r="O132" t="n">
        <v>0</v>
      </c>
      <c r="P132" t="n">
        <v>0</v>
      </c>
      <c r="Q132" t="n">
        <v>0</v>
      </c>
      <c r="R132" s="2" t="inlineStr"/>
    </row>
    <row r="133" ht="15" customHeight="1">
      <c r="A133" t="inlineStr">
        <is>
          <t>A 4044-2024</t>
        </is>
      </c>
      <c r="B133" s="1" t="n">
        <v>45323.45954861111</v>
      </c>
      <c r="C133" s="1" t="n">
        <v>46168</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69344-2021</t>
        </is>
      </c>
      <c r="B134" s="1" t="n">
        <v>44531</v>
      </c>
      <c r="C134" s="1" t="n">
        <v>46168</v>
      </c>
      <c r="D134" t="inlineStr">
        <is>
          <t>UPPSALA LÄN</t>
        </is>
      </c>
      <c r="E134" t="inlineStr">
        <is>
          <t>ENKÖPING</t>
        </is>
      </c>
      <c r="G134" t="n">
        <v>2.9</v>
      </c>
      <c r="H134" t="n">
        <v>0</v>
      </c>
      <c r="I134" t="n">
        <v>0</v>
      </c>
      <c r="J134" t="n">
        <v>0</v>
      </c>
      <c r="K134" t="n">
        <v>0</v>
      </c>
      <c r="L134" t="n">
        <v>0</v>
      </c>
      <c r="M134" t="n">
        <v>0</v>
      </c>
      <c r="N134" t="n">
        <v>0</v>
      </c>
      <c r="O134" t="n">
        <v>0</v>
      </c>
      <c r="P134" t="n">
        <v>0</v>
      </c>
      <c r="Q134" t="n">
        <v>0</v>
      </c>
      <c r="R134" s="2" t="inlineStr"/>
    </row>
    <row r="135" ht="15" customHeight="1">
      <c r="A135" t="inlineStr">
        <is>
          <t>A 35645-2021</t>
        </is>
      </c>
      <c r="B135" s="1" t="n">
        <v>44386.42</v>
      </c>
      <c r="C135" s="1" t="n">
        <v>46168</v>
      </c>
      <c r="D135" t="inlineStr">
        <is>
          <t>UPPSALA LÄN</t>
        </is>
      </c>
      <c r="E135" t="inlineStr">
        <is>
          <t>ENKÖPING</t>
        </is>
      </c>
      <c r="G135" t="n">
        <v>2.7</v>
      </c>
      <c r="H135" t="n">
        <v>0</v>
      </c>
      <c r="I135" t="n">
        <v>0</v>
      </c>
      <c r="J135" t="n">
        <v>0</v>
      </c>
      <c r="K135" t="n">
        <v>0</v>
      </c>
      <c r="L135" t="n">
        <v>0</v>
      </c>
      <c r="M135" t="n">
        <v>0</v>
      </c>
      <c r="N135" t="n">
        <v>0</v>
      </c>
      <c r="O135" t="n">
        <v>0</v>
      </c>
      <c r="P135" t="n">
        <v>0</v>
      </c>
      <c r="Q135" t="n">
        <v>0</v>
      </c>
      <c r="R135" s="2" t="inlineStr"/>
    </row>
    <row r="136" ht="15" customHeight="1">
      <c r="A136" t="inlineStr">
        <is>
          <t>A 58092-2024</t>
        </is>
      </c>
      <c r="B136" s="1" t="n">
        <v>45632</v>
      </c>
      <c r="C136" s="1" t="n">
        <v>46168</v>
      </c>
      <c r="D136" t="inlineStr">
        <is>
          <t>UPPSALA LÄN</t>
        </is>
      </c>
      <c r="E136" t="inlineStr">
        <is>
          <t>ENKÖPING</t>
        </is>
      </c>
      <c r="G136" t="n">
        <v>4.8</v>
      </c>
      <c r="H136" t="n">
        <v>0</v>
      </c>
      <c r="I136" t="n">
        <v>0</v>
      </c>
      <c r="J136" t="n">
        <v>0</v>
      </c>
      <c r="K136" t="n">
        <v>0</v>
      </c>
      <c r="L136" t="n">
        <v>0</v>
      </c>
      <c r="M136" t="n">
        <v>0</v>
      </c>
      <c r="N136" t="n">
        <v>0</v>
      </c>
      <c r="O136" t="n">
        <v>0</v>
      </c>
      <c r="P136" t="n">
        <v>0</v>
      </c>
      <c r="Q136" t="n">
        <v>0</v>
      </c>
      <c r="R136" s="2" t="inlineStr"/>
    </row>
    <row r="137" ht="15" customHeight="1">
      <c r="A137" t="inlineStr">
        <is>
          <t>A 2968-2025</t>
        </is>
      </c>
      <c r="B137" s="1" t="n">
        <v>45678</v>
      </c>
      <c r="C137" s="1" t="n">
        <v>46168</v>
      </c>
      <c r="D137" t="inlineStr">
        <is>
          <t>UPPSALA LÄN</t>
        </is>
      </c>
      <c r="E137" t="inlineStr">
        <is>
          <t>ENKÖPING</t>
        </is>
      </c>
      <c r="G137" t="n">
        <v>1.1</v>
      </c>
      <c r="H137" t="n">
        <v>0</v>
      </c>
      <c r="I137" t="n">
        <v>0</v>
      </c>
      <c r="J137" t="n">
        <v>0</v>
      </c>
      <c r="K137" t="n">
        <v>0</v>
      </c>
      <c r="L137" t="n">
        <v>0</v>
      </c>
      <c r="M137" t="n">
        <v>0</v>
      </c>
      <c r="N137" t="n">
        <v>0</v>
      </c>
      <c r="O137" t="n">
        <v>0</v>
      </c>
      <c r="P137" t="n">
        <v>0</v>
      </c>
      <c r="Q137" t="n">
        <v>0</v>
      </c>
      <c r="R137" s="2" t="inlineStr"/>
    </row>
    <row r="138" ht="15" customHeight="1">
      <c r="A138" t="inlineStr">
        <is>
          <t>A 5211-2024</t>
        </is>
      </c>
      <c r="B138" s="1" t="n">
        <v>45330</v>
      </c>
      <c r="C138" s="1" t="n">
        <v>46168</v>
      </c>
      <c r="D138" t="inlineStr">
        <is>
          <t>UPPSALA LÄN</t>
        </is>
      </c>
      <c r="E138" t="inlineStr">
        <is>
          <t>ENKÖPING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24411-2024</t>
        </is>
      </c>
      <c r="B139" s="1" t="n">
        <v>45457</v>
      </c>
      <c r="C139" s="1" t="n">
        <v>46168</v>
      </c>
      <c r="D139" t="inlineStr">
        <is>
          <t>UPPSALA LÄN</t>
        </is>
      </c>
      <c r="E139" t="inlineStr">
        <is>
          <t>ENKÖPING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9487-2025</t>
        </is>
      </c>
      <c r="B140" s="1" t="n">
        <v>45715.49331018519</v>
      </c>
      <c r="C140" s="1" t="n">
        <v>46168</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25988-2025</t>
        </is>
      </c>
      <c r="B141" s="1" t="n">
        <v>45804.64814814815</v>
      </c>
      <c r="C141" s="1" t="n">
        <v>46168</v>
      </c>
      <c r="D141" t="inlineStr">
        <is>
          <t>UPPSALA LÄN</t>
        </is>
      </c>
      <c r="E141" t="inlineStr">
        <is>
          <t>ENKÖPING</t>
        </is>
      </c>
      <c r="G141" t="n">
        <v>4.7</v>
      </c>
      <c r="H141" t="n">
        <v>0</v>
      </c>
      <c r="I141" t="n">
        <v>0</v>
      </c>
      <c r="J141" t="n">
        <v>0</v>
      </c>
      <c r="K141" t="n">
        <v>0</v>
      </c>
      <c r="L141" t="n">
        <v>0</v>
      </c>
      <c r="M141" t="n">
        <v>0</v>
      </c>
      <c r="N141" t="n">
        <v>0</v>
      </c>
      <c r="O141" t="n">
        <v>0</v>
      </c>
      <c r="P141" t="n">
        <v>0</v>
      </c>
      <c r="Q141" t="n">
        <v>0</v>
      </c>
      <c r="R141" s="2" t="inlineStr"/>
    </row>
    <row r="142" ht="15" customHeight="1">
      <c r="A142" t="inlineStr">
        <is>
          <t>A 26024-2025</t>
        </is>
      </c>
      <c r="B142" s="1" t="n">
        <v>45804.6831712963</v>
      </c>
      <c r="C142" s="1" t="n">
        <v>46168</v>
      </c>
      <c r="D142" t="inlineStr">
        <is>
          <t>UPPSALA LÄN</t>
        </is>
      </c>
      <c r="E142" t="inlineStr">
        <is>
          <t>ENKÖPING</t>
        </is>
      </c>
      <c r="G142" t="n">
        <v>0.8</v>
      </c>
      <c r="H142" t="n">
        <v>0</v>
      </c>
      <c r="I142" t="n">
        <v>0</v>
      </c>
      <c r="J142" t="n">
        <v>0</v>
      </c>
      <c r="K142" t="n">
        <v>0</v>
      </c>
      <c r="L142" t="n">
        <v>0</v>
      </c>
      <c r="M142" t="n">
        <v>0</v>
      </c>
      <c r="N142" t="n">
        <v>0</v>
      </c>
      <c r="O142" t="n">
        <v>0</v>
      </c>
      <c r="P142" t="n">
        <v>0</v>
      </c>
      <c r="Q142" t="n">
        <v>0</v>
      </c>
      <c r="R142" s="2" t="inlineStr"/>
    </row>
    <row r="143" ht="15" customHeight="1">
      <c r="A143" t="inlineStr">
        <is>
          <t>A 26042-2025</t>
        </is>
      </c>
      <c r="B143" s="1" t="n">
        <v>45804.70018518518</v>
      </c>
      <c r="C143" s="1" t="n">
        <v>46168</v>
      </c>
      <c r="D143" t="inlineStr">
        <is>
          <t>UPPSALA LÄN</t>
        </is>
      </c>
      <c r="E143" t="inlineStr">
        <is>
          <t>ENKÖPING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46103-2023</t>
        </is>
      </c>
      <c r="B144" s="1" t="n">
        <v>45190</v>
      </c>
      <c r="C144" s="1" t="n">
        <v>46168</v>
      </c>
      <c r="D144" t="inlineStr">
        <is>
          <t>UPPSALA LÄN</t>
        </is>
      </c>
      <c r="E144" t="inlineStr">
        <is>
          <t>ENKÖPING</t>
        </is>
      </c>
      <c r="G144" t="n">
        <v>4.6</v>
      </c>
      <c r="H144" t="n">
        <v>0</v>
      </c>
      <c r="I144" t="n">
        <v>0</v>
      </c>
      <c r="J144" t="n">
        <v>0</v>
      </c>
      <c r="K144" t="n">
        <v>0</v>
      </c>
      <c r="L144" t="n">
        <v>0</v>
      </c>
      <c r="M144" t="n">
        <v>0</v>
      </c>
      <c r="N144" t="n">
        <v>0</v>
      </c>
      <c r="O144" t="n">
        <v>0</v>
      </c>
      <c r="P144" t="n">
        <v>0</v>
      </c>
      <c r="Q144" t="n">
        <v>0</v>
      </c>
      <c r="R144" s="2" t="inlineStr"/>
    </row>
    <row r="145" ht="15" customHeight="1">
      <c r="A145" t="inlineStr">
        <is>
          <t>A 16176-2025</t>
        </is>
      </c>
      <c r="B145" s="1" t="n">
        <v>45750</v>
      </c>
      <c r="C145" s="1" t="n">
        <v>46168</v>
      </c>
      <c r="D145" t="inlineStr">
        <is>
          <t>UPPSALA LÄN</t>
        </is>
      </c>
      <c r="E145" t="inlineStr">
        <is>
          <t>ENKÖPING</t>
        </is>
      </c>
      <c r="G145" t="n">
        <v>3.9</v>
      </c>
      <c r="H145" t="n">
        <v>0</v>
      </c>
      <c r="I145" t="n">
        <v>0</v>
      </c>
      <c r="J145" t="n">
        <v>0</v>
      </c>
      <c r="K145" t="n">
        <v>0</v>
      </c>
      <c r="L145" t="n">
        <v>0</v>
      </c>
      <c r="M145" t="n">
        <v>0</v>
      </c>
      <c r="N145" t="n">
        <v>0</v>
      </c>
      <c r="O145" t="n">
        <v>0</v>
      </c>
      <c r="P145" t="n">
        <v>0</v>
      </c>
      <c r="Q145" t="n">
        <v>0</v>
      </c>
      <c r="R145" s="2" t="inlineStr"/>
    </row>
    <row r="146" ht="15" customHeight="1">
      <c r="A146" t="inlineStr">
        <is>
          <t>A 26030-2025</t>
        </is>
      </c>
      <c r="B146" s="1" t="n">
        <v>45804.68815972222</v>
      </c>
      <c r="C146" s="1" t="n">
        <v>46168</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26026-2025</t>
        </is>
      </c>
      <c r="B147" s="1" t="n">
        <v>45804.68510416667</v>
      </c>
      <c r="C147" s="1" t="n">
        <v>46168</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26047-2025</t>
        </is>
      </c>
      <c r="B148" s="1" t="n">
        <v>45804.70835648148</v>
      </c>
      <c r="C148" s="1" t="n">
        <v>46168</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37035-2023</t>
        </is>
      </c>
      <c r="B149" s="1" t="n">
        <v>45155</v>
      </c>
      <c r="C149" s="1" t="n">
        <v>46168</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25847-2025</t>
        </is>
      </c>
      <c r="B150" s="1" t="n">
        <v>45804</v>
      </c>
      <c r="C150" s="1" t="n">
        <v>46168</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26005-2025</t>
        </is>
      </c>
      <c r="B151" s="1" t="n">
        <v>45804.67055555555</v>
      </c>
      <c r="C151" s="1" t="n">
        <v>46168</v>
      </c>
      <c r="D151" t="inlineStr">
        <is>
          <t>UPPSALA LÄN</t>
        </is>
      </c>
      <c r="E151" t="inlineStr">
        <is>
          <t>ENKÖPING</t>
        </is>
      </c>
      <c r="G151" t="n">
        <v>0.3</v>
      </c>
      <c r="H151" t="n">
        <v>0</v>
      </c>
      <c r="I151" t="n">
        <v>0</v>
      </c>
      <c r="J151" t="n">
        <v>0</v>
      </c>
      <c r="K151" t="n">
        <v>0</v>
      </c>
      <c r="L151" t="n">
        <v>0</v>
      </c>
      <c r="M151" t="n">
        <v>0</v>
      </c>
      <c r="N151" t="n">
        <v>0</v>
      </c>
      <c r="O151" t="n">
        <v>0</v>
      </c>
      <c r="P151" t="n">
        <v>0</v>
      </c>
      <c r="Q151" t="n">
        <v>0</v>
      </c>
      <c r="R151" s="2" t="inlineStr"/>
    </row>
    <row r="152" ht="15" customHeight="1">
      <c r="A152" t="inlineStr">
        <is>
          <t>A 26031-2025</t>
        </is>
      </c>
      <c r="B152" s="1" t="n">
        <v>45804.69050925926</v>
      </c>
      <c r="C152" s="1" t="n">
        <v>46168</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26041-2025</t>
        </is>
      </c>
      <c r="B153" s="1" t="n">
        <v>45804.69883101852</v>
      </c>
      <c r="C153" s="1" t="n">
        <v>46168</v>
      </c>
      <c r="D153" t="inlineStr">
        <is>
          <t>UPPSALA LÄN</t>
        </is>
      </c>
      <c r="E153" t="inlineStr">
        <is>
          <t>ENKÖPING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26022-2025</t>
        </is>
      </c>
      <c r="B154" s="1" t="n">
        <v>45804.68006944445</v>
      </c>
      <c r="C154" s="1" t="n">
        <v>46168</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46186-2023</t>
        </is>
      </c>
      <c r="B155" s="1" t="n">
        <v>45196</v>
      </c>
      <c r="C155" s="1" t="n">
        <v>46168</v>
      </c>
      <c r="D155" t="inlineStr">
        <is>
          <t>UPPSALA LÄN</t>
        </is>
      </c>
      <c r="E155" t="inlineStr">
        <is>
          <t>ENKÖPING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15162-2025</t>
        </is>
      </c>
      <c r="B156" s="1" t="n">
        <v>45744</v>
      </c>
      <c r="C156" s="1" t="n">
        <v>46168</v>
      </c>
      <c r="D156" t="inlineStr">
        <is>
          <t>UPPSALA LÄN</t>
        </is>
      </c>
      <c r="E156" t="inlineStr">
        <is>
          <t>ENKÖPING</t>
        </is>
      </c>
      <c r="G156" t="n">
        <v>4.2</v>
      </c>
      <c r="H156" t="n">
        <v>0</v>
      </c>
      <c r="I156" t="n">
        <v>0</v>
      </c>
      <c r="J156" t="n">
        <v>0</v>
      </c>
      <c r="K156" t="n">
        <v>0</v>
      </c>
      <c r="L156" t="n">
        <v>0</v>
      </c>
      <c r="M156" t="n">
        <v>0</v>
      </c>
      <c r="N156" t="n">
        <v>0</v>
      </c>
      <c r="O156" t="n">
        <v>0</v>
      </c>
      <c r="P156" t="n">
        <v>0</v>
      </c>
      <c r="Q156" t="n">
        <v>0</v>
      </c>
      <c r="R156" s="2" t="inlineStr"/>
    </row>
    <row r="157" ht="15" customHeight="1">
      <c r="A157" t="inlineStr">
        <is>
          <t>A 18299-2025</t>
        </is>
      </c>
      <c r="B157" s="1" t="n">
        <v>45762</v>
      </c>
      <c r="C157" s="1" t="n">
        <v>46168</v>
      </c>
      <c r="D157" t="inlineStr">
        <is>
          <t>UPPSALA LÄN</t>
        </is>
      </c>
      <c r="E157" t="inlineStr">
        <is>
          <t>ENKÖPING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6242-2025</t>
        </is>
      </c>
      <c r="B158" s="1" t="n">
        <v>45697</v>
      </c>
      <c r="C158" s="1" t="n">
        <v>46168</v>
      </c>
      <c r="D158" t="inlineStr">
        <is>
          <t>UPPSALA LÄN</t>
        </is>
      </c>
      <c r="E158" t="inlineStr">
        <is>
          <t>ENKÖPING</t>
        </is>
      </c>
      <c r="G158" t="n">
        <v>17.9</v>
      </c>
      <c r="H158" t="n">
        <v>0</v>
      </c>
      <c r="I158" t="n">
        <v>0</v>
      </c>
      <c r="J158" t="n">
        <v>0</v>
      </c>
      <c r="K158" t="n">
        <v>0</v>
      </c>
      <c r="L158" t="n">
        <v>0</v>
      </c>
      <c r="M158" t="n">
        <v>0</v>
      </c>
      <c r="N158" t="n">
        <v>0</v>
      </c>
      <c r="O158" t="n">
        <v>0</v>
      </c>
      <c r="P158" t="n">
        <v>0</v>
      </c>
      <c r="Q158" t="n">
        <v>0</v>
      </c>
      <c r="R158" s="2" t="inlineStr"/>
    </row>
    <row r="159" ht="15" customHeight="1">
      <c r="A159" t="inlineStr">
        <is>
          <t>A 35067-2024</t>
        </is>
      </c>
      <c r="B159" s="1" t="n">
        <v>45527.66153935185</v>
      </c>
      <c r="C159" s="1" t="n">
        <v>46168</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6144-2024</t>
        </is>
      </c>
      <c r="B160" s="1" t="n">
        <v>45337.4684837963</v>
      </c>
      <c r="C160" s="1" t="n">
        <v>46168</v>
      </c>
      <c r="D160" t="inlineStr">
        <is>
          <t>UPPSALA LÄN</t>
        </is>
      </c>
      <c r="E160" t="inlineStr">
        <is>
          <t>ENKÖPING</t>
        </is>
      </c>
      <c r="G160" t="n">
        <v>13.8</v>
      </c>
      <c r="H160" t="n">
        <v>0</v>
      </c>
      <c r="I160" t="n">
        <v>0</v>
      </c>
      <c r="J160" t="n">
        <v>0</v>
      </c>
      <c r="K160" t="n">
        <v>0</v>
      </c>
      <c r="L160" t="n">
        <v>0</v>
      </c>
      <c r="M160" t="n">
        <v>0</v>
      </c>
      <c r="N160" t="n">
        <v>0</v>
      </c>
      <c r="O160" t="n">
        <v>0</v>
      </c>
      <c r="P160" t="n">
        <v>0</v>
      </c>
      <c r="Q160" t="n">
        <v>0</v>
      </c>
      <c r="R160" s="2" t="inlineStr"/>
    </row>
    <row r="161" ht="15" customHeight="1">
      <c r="A161" t="inlineStr">
        <is>
          <t>A 67984-2021</t>
        </is>
      </c>
      <c r="B161" s="1" t="n">
        <v>44525.70237268518</v>
      </c>
      <c r="C161" s="1" t="n">
        <v>46168</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11918-2025</t>
        </is>
      </c>
      <c r="B162" s="1" t="n">
        <v>45728.49331018519</v>
      </c>
      <c r="C162" s="1" t="n">
        <v>46168</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25333-2023</t>
        </is>
      </c>
      <c r="B163" s="1" t="n">
        <v>45083</v>
      </c>
      <c r="C163" s="1" t="n">
        <v>46168</v>
      </c>
      <c r="D163" t="inlineStr">
        <is>
          <t>UPPSALA LÄN</t>
        </is>
      </c>
      <c r="E163" t="inlineStr">
        <is>
          <t>ENKÖPING</t>
        </is>
      </c>
      <c r="G163" t="n">
        <v>2.7</v>
      </c>
      <c r="H163" t="n">
        <v>0</v>
      </c>
      <c r="I163" t="n">
        <v>0</v>
      </c>
      <c r="J163" t="n">
        <v>0</v>
      </c>
      <c r="K163" t="n">
        <v>0</v>
      </c>
      <c r="L163" t="n">
        <v>0</v>
      </c>
      <c r="M163" t="n">
        <v>0</v>
      </c>
      <c r="N163" t="n">
        <v>0</v>
      </c>
      <c r="O163" t="n">
        <v>0</v>
      </c>
      <c r="P163" t="n">
        <v>0</v>
      </c>
      <c r="Q163" t="n">
        <v>0</v>
      </c>
      <c r="R163" s="2" t="inlineStr"/>
    </row>
    <row r="164" ht="15" customHeight="1">
      <c r="A164" t="inlineStr">
        <is>
          <t>A 39746-2025</t>
        </is>
      </c>
      <c r="B164" s="1" t="n">
        <v>45891</v>
      </c>
      <c r="C164" s="1" t="n">
        <v>46168</v>
      </c>
      <c r="D164" t="inlineStr">
        <is>
          <t>UPPSALA LÄN</t>
        </is>
      </c>
      <c r="E164" t="inlineStr">
        <is>
          <t>ENKÖPING</t>
        </is>
      </c>
      <c r="G164" t="n">
        <v>7.4</v>
      </c>
      <c r="H164" t="n">
        <v>0</v>
      </c>
      <c r="I164" t="n">
        <v>0</v>
      </c>
      <c r="J164" t="n">
        <v>0</v>
      </c>
      <c r="K164" t="n">
        <v>0</v>
      </c>
      <c r="L164" t="n">
        <v>0</v>
      </c>
      <c r="M164" t="n">
        <v>0</v>
      </c>
      <c r="N164" t="n">
        <v>0</v>
      </c>
      <c r="O164" t="n">
        <v>0</v>
      </c>
      <c r="P164" t="n">
        <v>0</v>
      </c>
      <c r="Q164" t="n">
        <v>0</v>
      </c>
      <c r="R164" s="2" t="inlineStr"/>
    </row>
    <row r="165" ht="15" customHeight="1">
      <c r="A165" t="inlineStr">
        <is>
          <t>A 43896-2022</t>
        </is>
      </c>
      <c r="B165" s="1" t="n">
        <v>44838</v>
      </c>
      <c r="C165" s="1" t="n">
        <v>46168</v>
      </c>
      <c r="D165" t="inlineStr">
        <is>
          <t>UPPSALA LÄN</t>
        </is>
      </c>
      <c r="E165" t="inlineStr">
        <is>
          <t>ENKÖPING</t>
        </is>
      </c>
      <c r="G165" t="n">
        <v>5.3</v>
      </c>
      <c r="H165" t="n">
        <v>0</v>
      </c>
      <c r="I165" t="n">
        <v>0</v>
      </c>
      <c r="J165" t="n">
        <v>0</v>
      </c>
      <c r="K165" t="n">
        <v>0</v>
      </c>
      <c r="L165" t="n">
        <v>0</v>
      </c>
      <c r="M165" t="n">
        <v>0</v>
      </c>
      <c r="N165" t="n">
        <v>0</v>
      </c>
      <c r="O165" t="n">
        <v>0</v>
      </c>
      <c r="P165" t="n">
        <v>0</v>
      </c>
      <c r="Q165" t="n">
        <v>0</v>
      </c>
      <c r="R165" s="2" t="inlineStr"/>
    </row>
    <row r="166" ht="15" customHeight="1">
      <c r="A166" t="inlineStr">
        <is>
          <t>A 27829-2025</t>
        </is>
      </c>
      <c r="B166" s="1" t="n">
        <v>45817</v>
      </c>
      <c r="C166" s="1" t="n">
        <v>46168</v>
      </c>
      <c r="D166" t="inlineStr">
        <is>
          <t>UPPSALA LÄN</t>
        </is>
      </c>
      <c r="E166" t="inlineStr">
        <is>
          <t>ENKÖPING</t>
        </is>
      </c>
      <c r="G166" t="n">
        <v>2.1</v>
      </c>
      <c r="H166" t="n">
        <v>0</v>
      </c>
      <c r="I166" t="n">
        <v>0</v>
      </c>
      <c r="J166" t="n">
        <v>0</v>
      </c>
      <c r="K166" t="n">
        <v>0</v>
      </c>
      <c r="L166" t="n">
        <v>0</v>
      </c>
      <c r="M166" t="n">
        <v>0</v>
      </c>
      <c r="N166" t="n">
        <v>0</v>
      </c>
      <c r="O166" t="n">
        <v>0</v>
      </c>
      <c r="P166" t="n">
        <v>0</v>
      </c>
      <c r="Q166" t="n">
        <v>0</v>
      </c>
      <c r="R166" s="2" t="inlineStr"/>
    </row>
    <row r="167" ht="15" customHeight="1">
      <c r="A167" t="inlineStr">
        <is>
          <t>A 20440-2025</t>
        </is>
      </c>
      <c r="B167" s="1" t="n">
        <v>45775</v>
      </c>
      <c r="C167" s="1" t="n">
        <v>46168</v>
      </c>
      <c r="D167" t="inlineStr">
        <is>
          <t>UPPSALA LÄN</t>
        </is>
      </c>
      <c r="E167" t="inlineStr">
        <is>
          <t>ENKÖPING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41737-2022</t>
        </is>
      </c>
      <c r="B168" s="1" t="n">
        <v>44827.63826388889</v>
      </c>
      <c r="C168" s="1" t="n">
        <v>46168</v>
      </c>
      <c r="D168" t="inlineStr">
        <is>
          <t>UPPSALA LÄN</t>
        </is>
      </c>
      <c r="E168" t="inlineStr">
        <is>
          <t>ENKÖPING</t>
        </is>
      </c>
      <c r="G168" t="n">
        <v>1.5</v>
      </c>
      <c r="H168" t="n">
        <v>0</v>
      </c>
      <c r="I168" t="n">
        <v>0</v>
      </c>
      <c r="J168" t="n">
        <v>0</v>
      </c>
      <c r="K168" t="n">
        <v>0</v>
      </c>
      <c r="L168" t="n">
        <v>0</v>
      </c>
      <c r="M168" t="n">
        <v>0</v>
      </c>
      <c r="N168" t="n">
        <v>0</v>
      </c>
      <c r="O168" t="n">
        <v>0</v>
      </c>
      <c r="P168" t="n">
        <v>0</v>
      </c>
      <c r="Q168" t="n">
        <v>0</v>
      </c>
      <c r="R168" s="2" t="inlineStr"/>
    </row>
    <row r="169" ht="15" customHeight="1">
      <c r="A169" t="inlineStr">
        <is>
          <t>A 50747-2022</t>
        </is>
      </c>
      <c r="B169" s="1" t="n">
        <v>44867.40162037037</v>
      </c>
      <c r="C169" s="1" t="n">
        <v>46168</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57152-2021</t>
        </is>
      </c>
      <c r="B170" s="1" t="n">
        <v>44482</v>
      </c>
      <c r="C170" s="1" t="n">
        <v>46168</v>
      </c>
      <c r="D170" t="inlineStr">
        <is>
          <t>UPPSALA LÄN</t>
        </is>
      </c>
      <c r="E170" t="inlineStr">
        <is>
          <t>ENKÖPING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28855-2025</t>
        </is>
      </c>
      <c r="B171" s="1" t="n">
        <v>45820.58274305556</v>
      </c>
      <c r="C171" s="1" t="n">
        <v>46168</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54595-2021</t>
        </is>
      </c>
      <c r="B172" s="1" t="n">
        <v>44473.58824074074</v>
      </c>
      <c r="C172" s="1" t="n">
        <v>46168</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22094-2023</t>
        </is>
      </c>
      <c r="B173" s="1" t="n">
        <v>45069</v>
      </c>
      <c r="C173" s="1" t="n">
        <v>46168</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28758-2025</t>
        </is>
      </c>
      <c r="B174" s="1" t="n">
        <v>45820.41212962963</v>
      </c>
      <c r="C174" s="1" t="n">
        <v>46168</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39009-2024</t>
        </is>
      </c>
      <c r="B175" s="1" t="n">
        <v>45548</v>
      </c>
      <c r="C175" s="1" t="n">
        <v>46168</v>
      </c>
      <c r="D175" t="inlineStr">
        <is>
          <t>UPPSALA LÄN</t>
        </is>
      </c>
      <c r="E175" t="inlineStr">
        <is>
          <t>ENKÖPING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8537-2025</t>
        </is>
      </c>
      <c r="B176" s="1" t="n">
        <v>45709</v>
      </c>
      <c r="C176" s="1" t="n">
        <v>46168</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28862-2025</t>
        </is>
      </c>
      <c r="B177" s="1" t="n">
        <v>45820.59189814814</v>
      </c>
      <c r="C177" s="1" t="n">
        <v>46168</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35647-2021</t>
        </is>
      </c>
      <c r="B178" s="1" t="n">
        <v>44386</v>
      </c>
      <c r="C178" s="1" t="n">
        <v>46168</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30437-2022</t>
        </is>
      </c>
      <c r="B179" s="1" t="n">
        <v>44761</v>
      </c>
      <c r="C179" s="1" t="n">
        <v>46168</v>
      </c>
      <c r="D179" t="inlineStr">
        <is>
          <t>UPPSALA LÄN</t>
        </is>
      </c>
      <c r="E179" t="inlineStr">
        <is>
          <t>ENKÖPING</t>
        </is>
      </c>
      <c r="G179" t="n">
        <v>3.4</v>
      </c>
      <c r="H179" t="n">
        <v>0</v>
      </c>
      <c r="I179" t="n">
        <v>0</v>
      </c>
      <c r="J179" t="n">
        <v>0</v>
      </c>
      <c r="K179" t="n">
        <v>0</v>
      </c>
      <c r="L179" t="n">
        <v>0</v>
      </c>
      <c r="M179" t="n">
        <v>0</v>
      </c>
      <c r="N179" t="n">
        <v>0</v>
      </c>
      <c r="O179" t="n">
        <v>0</v>
      </c>
      <c r="P179" t="n">
        <v>0</v>
      </c>
      <c r="Q179" t="n">
        <v>0</v>
      </c>
      <c r="R179" s="2" t="inlineStr"/>
    </row>
    <row r="180" ht="15" customHeight="1">
      <c r="A180" t="inlineStr">
        <is>
          <t>A 41618-2025</t>
        </is>
      </c>
      <c r="B180" s="1" t="n">
        <v>45901.70085648148</v>
      </c>
      <c r="C180" s="1" t="n">
        <v>46168</v>
      </c>
      <c r="D180" t="inlineStr">
        <is>
          <t>UPPSALA LÄN</t>
        </is>
      </c>
      <c r="E180" t="inlineStr">
        <is>
          <t>ENKÖPING</t>
        </is>
      </c>
      <c r="F180" t="inlineStr">
        <is>
          <t>Allmännings- och besparingsskogar</t>
        </is>
      </c>
      <c r="G180" t="n">
        <v>5.3</v>
      </c>
      <c r="H180" t="n">
        <v>0</v>
      </c>
      <c r="I180" t="n">
        <v>0</v>
      </c>
      <c r="J180" t="n">
        <v>0</v>
      </c>
      <c r="K180" t="n">
        <v>0</v>
      </c>
      <c r="L180" t="n">
        <v>0</v>
      </c>
      <c r="M180" t="n">
        <v>0</v>
      </c>
      <c r="N180" t="n">
        <v>0</v>
      </c>
      <c r="O180" t="n">
        <v>0</v>
      </c>
      <c r="P180" t="n">
        <v>0</v>
      </c>
      <c r="Q180" t="n">
        <v>0</v>
      </c>
      <c r="R180" s="2" t="inlineStr"/>
    </row>
    <row r="181" ht="15" customHeight="1">
      <c r="A181" t="inlineStr">
        <is>
          <t>A 29093-2025</t>
        </is>
      </c>
      <c r="B181" s="1" t="n">
        <v>45821.55743055556</v>
      </c>
      <c r="C181" s="1" t="n">
        <v>46168</v>
      </c>
      <c r="D181" t="inlineStr">
        <is>
          <t>UPPSALA LÄN</t>
        </is>
      </c>
      <c r="E181" t="inlineStr">
        <is>
          <t>ENKÖPING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41765-2025</t>
        </is>
      </c>
      <c r="B182" s="1" t="n">
        <v>45902</v>
      </c>
      <c r="C182" s="1" t="n">
        <v>46168</v>
      </c>
      <c r="D182" t="inlineStr">
        <is>
          <t>UPPSALA LÄN</t>
        </is>
      </c>
      <c r="E182" t="inlineStr">
        <is>
          <t>ENKÖPING</t>
        </is>
      </c>
      <c r="G182" t="n">
        <v>2.7</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46168</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24962-2023</t>
        </is>
      </c>
      <c r="B184" s="1" t="n">
        <v>45085.60123842592</v>
      </c>
      <c r="C184" s="1" t="n">
        <v>46168</v>
      </c>
      <c r="D184" t="inlineStr">
        <is>
          <t>UPPSALA LÄN</t>
        </is>
      </c>
      <c r="E184" t="inlineStr">
        <is>
          <t>ENKÖPING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44131-2023</t>
        </is>
      </c>
      <c r="B185" s="1" t="n">
        <v>45188</v>
      </c>
      <c r="C185" s="1" t="n">
        <v>46168</v>
      </c>
      <c r="D185" t="inlineStr">
        <is>
          <t>UPPSALA LÄN</t>
        </is>
      </c>
      <c r="E185" t="inlineStr">
        <is>
          <t>ENKÖPING</t>
        </is>
      </c>
      <c r="G185" t="n">
        <v>0.3</v>
      </c>
      <c r="H185" t="n">
        <v>0</v>
      </c>
      <c r="I185" t="n">
        <v>0</v>
      </c>
      <c r="J185" t="n">
        <v>0</v>
      </c>
      <c r="K185" t="n">
        <v>0</v>
      </c>
      <c r="L185" t="n">
        <v>0</v>
      </c>
      <c r="M185" t="n">
        <v>0</v>
      </c>
      <c r="N185" t="n">
        <v>0</v>
      </c>
      <c r="O185" t="n">
        <v>0</v>
      </c>
      <c r="P185" t="n">
        <v>0</v>
      </c>
      <c r="Q185" t="n">
        <v>0</v>
      </c>
      <c r="R185" s="2" t="inlineStr"/>
    </row>
    <row r="186" ht="15" customHeight="1">
      <c r="A186" t="inlineStr">
        <is>
          <t>A 29482-2022</t>
        </is>
      </c>
      <c r="B186" s="1" t="n">
        <v>44753.57703703704</v>
      </c>
      <c r="C186" s="1" t="n">
        <v>46168</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29483-2022</t>
        </is>
      </c>
      <c r="B187" s="1" t="n">
        <v>44753.57829861111</v>
      </c>
      <c r="C187" s="1" t="n">
        <v>46168</v>
      </c>
      <c r="D187" t="inlineStr">
        <is>
          <t>UPPSALA LÄN</t>
        </is>
      </c>
      <c r="E187" t="inlineStr">
        <is>
          <t>ENKÖPING</t>
        </is>
      </c>
      <c r="G187" t="n">
        <v>3.6</v>
      </c>
      <c r="H187" t="n">
        <v>0</v>
      </c>
      <c r="I187" t="n">
        <v>0</v>
      </c>
      <c r="J187" t="n">
        <v>0</v>
      </c>
      <c r="K187" t="n">
        <v>0</v>
      </c>
      <c r="L187" t="n">
        <v>0</v>
      </c>
      <c r="M187" t="n">
        <v>0</v>
      </c>
      <c r="N187" t="n">
        <v>0</v>
      </c>
      <c r="O187" t="n">
        <v>0</v>
      </c>
      <c r="P187" t="n">
        <v>0</v>
      </c>
      <c r="Q187" t="n">
        <v>0</v>
      </c>
      <c r="R187" s="2" t="inlineStr"/>
    </row>
    <row r="188" ht="15" customHeight="1">
      <c r="A188" t="inlineStr">
        <is>
          <t>A 41637-2025</t>
        </is>
      </c>
      <c r="B188" s="1" t="n">
        <v>45901</v>
      </c>
      <c r="C188" s="1" t="n">
        <v>46168</v>
      </c>
      <c r="D188" t="inlineStr">
        <is>
          <t>UPPSALA LÄN</t>
        </is>
      </c>
      <c r="E188" t="inlineStr">
        <is>
          <t>ENKÖPING</t>
        </is>
      </c>
      <c r="F188" t="inlineStr">
        <is>
          <t>Allmännings- och besparingsskogar</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37170-2021</t>
        </is>
      </c>
      <c r="B189" s="1" t="n">
        <v>44395</v>
      </c>
      <c r="C189" s="1" t="n">
        <v>46168</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47516-2022</t>
        </is>
      </c>
      <c r="B190" s="1" t="n">
        <v>44853.68895833333</v>
      </c>
      <c r="C190" s="1" t="n">
        <v>46168</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42029-2025</t>
        </is>
      </c>
      <c r="B191" s="1" t="n">
        <v>45903</v>
      </c>
      <c r="C191" s="1" t="n">
        <v>46168</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53496-2022</t>
        </is>
      </c>
      <c r="B192" s="1" t="n">
        <v>44879.57217592592</v>
      </c>
      <c r="C192" s="1" t="n">
        <v>46168</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42756-2025</t>
        </is>
      </c>
      <c r="B193" s="1" t="n">
        <v>45908</v>
      </c>
      <c r="C193" s="1" t="n">
        <v>46168</v>
      </c>
      <c r="D193" t="inlineStr">
        <is>
          <t>UPPSALA LÄN</t>
        </is>
      </c>
      <c r="E193" t="inlineStr">
        <is>
          <t>ENKÖPING</t>
        </is>
      </c>
      <c r="G193" t="n">
        <v>1.1</v>
      </c>
      <c r="H193" t="n">
        <v>0</v>
      </c>
      <c r="I193" t="n">
        <v>0</v>
      </c>
      <c r="J193" t="n">
        <v>0</v>
      </c>
      <c r="K193" t="n">
        <v>0</v>
      </c>
      <c r="L193" t="n">
        <v>0</v>
      </c>
      <c r="M193" t="n">
        <v>0</v>
      </c>
      <c r="N193" t="n">
        <v>0</v>
      </c>
      <c r="O193" t="n">
        <v>0</v>
      </c>
      <c r="P193" t="n">
        <v>0</v>
      </c>
      <c r="Q193" t="n">
        <v>0</v>
      </c>
      <c r="R193" s="2" t="inlineStr"/>
    </row>
    <row r="194" ht="15" customHeight="1">
      <c r="A194" t="inlineStr">
        <is>
          <t>A 30837-2025</t>
        </is>
      </c>
      <c r="B194" s="1" t="n">
        <v>45831.7063425926</v>
      </c>
      <c r="C194" s="1" t="n">
        <v>46168</v>
      </c>
      <c r="D194" t="inlineStr">
        <is>
          <t>UPPSALA LÄN</t>
        </is>
      </c>
      <c r="E194" t="inlineStr">
        <is>
          <t>ENKÖPING</t>
        </is>
      </c>
      <c r="G194" t="n">
        <v>3.8</v>
      </c>
      <c r="H194" t="n">
        <v>0</v>
      </c>
      <c r="I194" t="n">
        <v>0</v>
      </c>
      <c r="J194" t="n">
        <v>0</v>
      </c>
      <c r="K194" t="n">
        <v>0</v>
      </c>
      <c r="L194" t="n">
        <v>0</v>
      </c>
      <c r="M194" t="n">
        <v>0</v>
      </c>
      <c r="N194" t="n">
        <v>0</v>
      </c>
      <c r="O194" t="n">
        <v>0</v>
      </c>
      <c r="P194" t="n">
        <v>0</v>
      </c>
      <c r="Q194" t="n">
        <v>0</v>
      </c>
      <c r="R194" s="2" t="inlineStr"/>
    </row>
    <row r="195" ht="15" customHeight="1">
      <c r="A195" t="inlineStr">
        <is>
          <t>A 7870-2024</t>
        </is>
      </c>
      <c r="B195" s="1" t="n">
        <v>45350.33349537037</v>
      </c>
      <c r="C195" s="1" t="n">
        <v>46168</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28243-2023</t>
        </is>
      </c>
      <c r="B196" s="1" t="n">
        <v>45099.58885416666</v>
      </c>
      <c r="C196" s="1" t="n">
        <v>46168</v>
      </c>
      <c r="D196" t="inlineStr">
        <is>
          <t>UPPSALA LÄN</t>
        </is>
      </c>
      <c r="E196" t="inlineStr">
        <is>
          <t>ENKÖPING</t>
        </is>
      </c>
      <c r="G196" t="n">
        <v>1.9</v>
      </c>
      <c r="H196" t="n">
        <v>0</v>
      </c>
      <c r="I196" t="n">
        <v>0</v>
      </c>
      <c r="J196" t="n">
        <v>0</v>
      </c>
      <c r="K196" t="n">
        <v>0</v>
      </c>
      <c r="L196" t="n">
        <v>0</v>
      </c>
      <c r="M196" t="n">
        <v>0</v>
      </c>
      <c r="N196" t="n">
        <v>0</v>
      </c>
      <c r="O196" t="n">
        <v>0</v>
      </c>
      <c r="P196" t="n">
        <v>0</v>
      </c>
      <c r="Q196" t="n">
        <v>0</v>
      </c>
      <c r="R196" s="2" t="inlineStr"/>
    </row>
    <row r="197" ht="15" customHeight="1">
      <c r="A197" t="inlineStr">
        <is>
          <t>A 10829-2024</t>
        </is>
      </c>
      <c r="B197" s="1" t="n">
        <v>45369</v>
      </c>
      <c r="C197" s="1" t="n">
        <v>46168</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20112-2024</t>
        </is>
      </c>
      <c r="B198" s="1" t="n">
        <v>45434</v>
      </c>
      <c r="C198" s="1" t="n">
        <v>46168</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2161-2023</t>
        </is>
      </c>
      <c r="B199" s="1" t="n">
        <v>44941</v>
      </c>
      <c r="C199" s="1" t="n">
        <v>46168</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2165-2023</t>
        </is>
      </c>
      <c r="B200" s="1" t="n">
        <v>44941</v>
      </c>
      <c r="C200" s="1" t="n">
        <v>46168</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51932-2022</t>
        </is>
      </c>
      <c r="B201" s="1" t="n">
        <v>44872</v>
      </c>
      <c r="C201" s="1" t="n">
        <v>46168</v>
      </c>
      <c r="D201" t="inlineStr">
        <is>
          <t>UPPSALA LÄN</t>
        </is>
      </c>
      <c r="E201" t="inlineStr">
        <is>
          <t>ENKÖPING</t>
        </is>
      </c>
      <c r="G201" t="n">
        <v>5.5</v>
      </c>
      <c r="H201" t="n">
        <v>0</v>
      </c>
      <c r="I201" t="n">
        <v>0</v>
      </c>
      <c r="J201" t="n">
        <v>0</v>
      </c>
      <c r="K201" t="n">
        <v>0</v>
      </c>
      <c r="L201" t="n">
        <v>0</v>
      </c>
      <c r="M201" t="n">
        <v>0</v>
      </c>
      <c r="N201" t="n">
        <v>0</v>
      </c>
      <c r="O201" t="n">
        <v>0</v>
      </c>
      <c r="P201" t="n">
        <v>0</v>
      </c>
      <c r="Q201" t="n">
        <v>0</v>
      </c>
      <c r="R201" s="2" t="inlineStr"/>
    </row>
    <row r="202" ht="15" customHeight="1">
      <c r="A202" t="inlineStr">
        <is>
          <t>A 12958-2024</t>
        </is>
      </c>
      <c r="B202" s="1" t="n">
        <v>45385</v>
      </c>
      <c r="C202" s="1" t="n">
        <v>46168</v>
      </c>
      <c r="D202" t="inlineStr">
        <is>
          <t>UPPSALA LÄN</t>
        </is>
      </c>
      <c r="E202" t="inlineStr">
        <is>
          <t>ENKÖPING</t>
        </is>
      </c>
      <c r="G202" t="n">
        <v>2.1</v>
      </c>
      <c r="H202" t="n">
        <v>0</v>
      </c>
      <c r="I202" t="n">
        <v>0</v>
      </c>
      <c r="J202" t="n">
        <v>0</v>
      </c>
      <c r="K202" t="n">
        <v>0</v>
      </c>
      <c r="L202" t="n">
        <v>0</v>
      </c>
      <c r="M202" t="n">
        <v>0</v>
      </c>
      <c r="N202" t="n">
        <v>0</v>
      </c>
      <c r="O202" t="n">
        <v>0</v>
      </c>
      <c r="P202" t="n">
        <v>0</v>
      </c>
      <c r="Q202" t="n">
        <v>0</v>
      </c>
      <c r="R202" s="2" t="inlineStr"/>
    </row>
    <row r="203" ht="15" customHeight="1">
      <c r="A203" t="inlineStr">
        <is>
          <t>A 41764-2025</t>
        </is>
      </c>
      <c r="B203" s="1" t="n">
        <v>45902</v>
      </c>
      <c r="C203" s="1" t="n">
        <v>46168</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51042-2024</t>
        </is>
      </c>
      <c r="B204" s="1" t="n">
        <v>45603.4342824074</v>
      </c>
      <c r="C204" s="1" t="n">
        <v>46168</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22632-2025</t>
        </is>
      </c>
      <c r="B205" s="1" t="n">
        <v>45789.44361111111</v>
      </c>
      <c r="C205" s="1" t="n">
        <v>46168</v>
      </c>
      <c r="D205" t="inlineStr">
        <is>
          <t>UPPSALA LÄN</t>
        </is>
      </c>
      <c r="E205" t="inlineStr">
        <is>
          <t>ENKÖPING</t>
        </is>
      </c>
      <c r="G205" t="n">
        <v>2.1</v>
      </c>
      <c r="H205" t="n">
        <v>0</v>
      </c>
      <c r="I205" t="n">
        <v>0</v>
      </c>
      <c r="J205" t="n">
        <v>0</v>
      </c>
      <c r="K205" t="n">
        <v>0</v>
      </c>
      <c r="L205" t="n">
        <v>0</v>
      </c>
      <c r="M205" t="n">
        <v>0</v>
      </c>
      <c r="N205" t="n">
        <v>0</v>
      </c>
      <c r="O205" t="n">
        <v>0</v>
      </c>
      <c r="P205" t="n">
        <v>0</v>
      </c>
      <c r="Q205" t="n">
        <v>0</v>
      </c>
      <c r="R205" s="2" t="inlineStr"/>
    </row>
    <row r="206" ht="15" customHeight="1">
      <c r="A206" t="inlineStr">
        <is>
          <t>A 51037-2024</t>
        </is>
      </c>
      <c r="B206" s="1" t="n">
        <v>45603.43005787037</v>
      </c>
      <c r="C206" s="1" t="n">
        <v>46168</v>
      </c>
      <c r="D206" t="inlineStr">
        <is>
          <t>UPPSALA LÄN</t>
        </is>
      </c>
      <c r="E206" t="inlineStr">
        <is>
          <t>ENKÖPING</t>
        </is>
      </c>
      <c r="G206" t="n">
        <v>5.7</v>
      </c>
      <c r="H206" t="n">
        <v>0</v>
      </c>
      <c r="I206" t="n">
        <v>0</v>
      </c>
      <c r="J206" t="n">
        <v>0</v>
      </c>
      <c r="K206" t="n">
        <v>0</v>
      </c>
      <c r="L206" t="n">
        <v>0</v>
      </c>
      <c r="M206" t="n">
        <v>0</v>
      </c>
      <c r="N206" t="n">
        <v>0</v>
      </c>
      <c r="O206" t="n">
        <v>0</v>
      </c>
      <c r="P206" t="n">
        <v>0</v>
      </c>
      <c r="Q206" t="n">
        <v>0</v>
      </c>
      <c r="R206" s="2" t="inlineStr"/>
    </row>
    <row r="207" ht="15" customHeight="1">
      <c r="A207" t="inlineStr">
        <is>
          <t>A 32031-2025</t>
        </is>
      </c>
      <c r="B207" s="1" t="n">
        <v>45835.41712962963</v>
      </c>
      <c r="C207" s="1" t="n">
        <v>46168</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13853-2023</t>
        </is>
      </c>
      <c r="B208" s="1" t="n">
        <v>45007</v>
      </c>
      <c r="C208" s="1" t="n">
        <v>46168</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32111-2025</t>
        </is>
      </c>
      <c r="B209" s="1" t="n">
        <v>45835</v>
      </c>
      <c r="C209" s="1" t="n">
        <v>46168</v>
      </c>
      <c r="D209" t="inlineStr">
        <is>
          <t>UPPSALA LÄN</t>
        </is>
      </c>
      <c r="E209" t="inlineStr">
        <is>
          <t>ENKÖPING</t>
        </is>
      </c>
      <c r="G209" t="n">
        <v>1.7</v>
      </c>
      <c r="H209" t="n">
        <v>0</v>
      </c>
      <c r="I209" t="n">
        <v>0</v>
      </c>
      <c r="J209" t="n">
        <v>0</v>
      </c>
      <c r="K209" t="n">
        <v>0</v>
      </c>
      <c r="L209" t="n">
        <v>0</v>
      </c>
      <c r="M209" t="n">
        <v>0</v>
      </c>
      <c r="N209" t="n">
        <v>0</v>
      </c>
      <c r="O209" t="n">
        <v>0</v>
      </c>
      <c r="P209" t="n">
        <v>0</v>
      </c>
      <c r="Q209" t="n">
        <v>0</v>
      </c>
      <c r="R209" s="2" t="inlineStr"/>
    </row>
    <row r="210" ht="15" customHeight="1">
      <c r="A210" t="inlineStr">
        <is>
          <t>A 51027-2024</t>
        </is>
      </c>
      <c r="B210" s="1" t="n">
        <v>45603</v>
      </c>
      <c r="C210" s="1" t="n">
        <v>46168</v>
      </c>
      <c r="D210" t="inlineStr">
        <is>
          <t>UPPSALA LÄN</t>
        </is>
      </c>
      <c r="E210" t="inlineStr">
        <is>
          <t>ENKÖPING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63310-2021</t>
        </is>
      </c>
      <c r="B211" s="1" t="n">
        <v>44508</v>
      </c>
      <c r="C211" s="1" t="n">
        <v>46168</v>
      </c>
      <c r="D211" t="inlineStr">
        <is>
          <t>UPPSALA LÄN</t>
        </is>
      </c>
      <c r="E211" t="inlineStr">
        <is>
          <t>ENKÖPING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44419-2025</t>
        </is>
      </c>
      <c r="B212" s="1" t="n">
        <v>45916.54671296296</v>
      </c>
      <c r="C212" s="1" t="n">
        <v>46168</v>
      </c>
      <c r="D212" t="inlineStr">
        <is>
          <t>UPPSALA LÄN</t>
        </is>
      </c>
      <c r="E212" t="inlineStr">
        <is>
          <t>ENKÖPING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43999-2025</t>
        </is>
      </c>
      <c r="B213" s="1" t="n">
        <v>45915.45158564814</v>
      </c>
      <c r="C213" s="1" t="n">
        <v>46168</v>
      </c>
      <c r="D213" t="inlineStr">
        <is>
          <t>UPPSALA LÄN</t>
        </is>
      </c>
      <c r="E213" t="inlineStr">
        <is>
          <t>ENKÖPING</t>
        </is>
      </c>
      <c r="G213" t="n">
        <v>4.1</v>
      </c>
      <c r="H213" t="n">
        <v>0</v>
      </c>
      <c r="I213" t="n">
        <v>0</v>
      </c>
      <c r="J213" t="n">
        <v>0</v>
      </c>
      <c r="K213" t="n">
        <v>0</v>
      </c>
      <c r="L213" t="n">
        <v>0</v>
      </c>
      <c r="M213" t="n">
        <v>0</v>
      </c>
      <c r="N213" t="n">
        <v>0</v>
      </c>
      <c r="O213" t="n">
        <v>0</v>
      </c>
      <c r="P213" t="n">
        <v>0</v>
      </c>
      <c r="Q213" t="n">
        <v>0</v>
      </c>
      <c r="R213" s="2" t="inlineStr"/>
    </row>
    <row r="214" ht="15" customHeight="1">
      <c r="A214" t="inlineStr">
        <is>
          <t>A 32477-2025</t>
        </is>
      </c>
      <c r="B214" s="1" t="n">
        <v>45838.43098379629</v>
      </c>
      <c r="C214" s="1" t="n">
        <v>46168</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61106-2022</t>
        </is>
      </c>
      <c r="B215" s="1" t="n">
        <v>44915.4128587963</v>
      </c>
      <c r="C215" s="1" t="n">
        <v>46168</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9171-2024</t>
        </is>
      </c>
      <c r="B216" s="1" t="n">
        <v>45358</v>
      </c>
      <c r="C216" s="1" t="n">
        <v>46168</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671-2022</t>
        </is>
      </c>
      <c r="B217" s="1" t="n">
        <v>44568</v>
      </c>
      <c r="C217" s="1" t="n">
        <v>46168</v>
      </c>
      <c r="D217" t="inlineStr">
        <is>
          <t>UPPSALA LÄN</t>
        </is>
      </c>
      <c r="E217" t="inlineStr">
        <is>
          <t>ENKÖPING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11005-2023</t>
        </is>
      </c>
      <c r="B218" s="1" t="n">
        <v>44991</v>
      </c>
      <c r="C218" s="1" t="n">
        <v>46168</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15740-2025</t>
        </is>
      </c>
      <c r="B219" s="1" t="n">
        <v>45748</v>
      </c>
      <c r="C219" s="1" t="n">
        <v>46168</v>
      </c>
      <c r="D219" t="inlineStr">
        <is>
          <t>UPPSALA LÄN</t>
        </is>
      </c>
      <c r="E219" t="inlineStr">
        <is>
          <t>ENKÖPING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57848-2024</t>
        </is>
      </c>
      <c r="B220" s="1" t="n">
        <v>45631.40947916666</v>
      </c>
      <c r="C220" s="1" t="n">
        <v>46168</v>
      </c>
      <c r="D220" t="inlineStr">
        <is>
          <t>UPPSALA LÄN</t>
        </is>
      </c>
      <c r="E220" t="inlineStr">
        <is>
          <t>ENKÖPING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29918-2023</t>
        </is>
      </c>
      <c r="B221" s="1" t="n">
        <v>45099</v>
      </c>
      <c r="C221" s="1" t="n">
        <v>46168</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18994-2025</t>
        </is>
      </c>
      <c r="B222" s="1" t="n">
        <v>45764.57350694444</v>
      </c>
      <c r="C222" s="1" t="n">
        <v>46168</v>
      </c>
      <c r="D222" t="inlineStr">
        <is>
          <t>UPPSALA LÄN</t>
        </is>
      </c>
      <c r="E222" t="inlineStr">
        <is>
          <t>ENKÖPING</t>
        </is>
      </c>
      <c r="G222" t="n">
        <v>3.8</v>
      </c>
      <c r="H222" t="n">
        <v>0</v>
      </c>
      <c r="I222" t="n">
        <v>0</v>
      </c>
      <c r="J222" t="n">
        <v>0</v>
      </c>
      <c r="K222" t="n">
        <v>0</v>
      </c>
      <c r="L222" t="n">
        <v>0</v>
      </c>
      <c r="M222" t="n">
        <v>0</v>
      </c>
      <c r="N222" t="n">
        <v>0</v>
      </c>
      <c r="O222" t="n">
        <v>0</v>
      </c>
      <c r="P222" t="n">
        <v>0</v>
      </c>
      <c r="Q222" t="n">
        <v>0</v>
      </c>
      <c r="R222" s="2" t="inlineStr"/>
    </row>
    <row r="223" ht="15" customHeight="1">
      <c r="A223" t="inlineStr">
        <is>
          <t>A 49601-2024</t>
        </is>
      </c>
      <c r="B223" s="1" t="n">
        <v>45596.56288194445</v>
      </c>
      <c r="C223" s="1" t="n">
        <v>46168</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58384-2022</t>
        </is>
      </c>
      <c r="B224" s="1" t="n">
        <v>44901</v>
      </c>
      <c r="C224" s="1" t="n">
        <v>46168</v>
      </c>
      <c r="D224" t="inlineStr">
        <is>
          <t>UPPSALA LÄN</t>
        </is>
      </c>
      <c r="E224" t="inlineStr">
        <is>
          <t>ENKÖPING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43016-2021</t>
        </is>
      </c>
      <c r="B225" s="1" t="n">
        <v>44431</v>
      </c>
      <c r="C225" s="1" t="n">
        <v>46168</v>
      </c>
      <c r="D225" t="inlineStr">
        <is>
          <t>UPPSALA LÄN</t>
        </is>
      </c>
      <c r="E225" t="inlineStr">
        <is>
          <t>ENKÖPING</t>
        </is>
      </c>
      <c r="G225" t="n">
        <v>1.5</v>
      </c>
      <c r="H225" t="n">
        <v>0</v>
      </c>
      <c r="I225" t="n">
        <v>0</v>
      </c>
      <c r="J225" t="n">
        <v>0</v>
      </c>
      <c r="K225" t="n">
        <v>0</v>
      </c>
      <c r="L225" t="n">
        <v>0</v>
      </c>
      <c r="M225" t="n">
        <v>0</v>
      </c>
      <c r="N225" t="n">
        <v>0</v>
      </c>
      <c r="O225" t="n">
        <v>0</v>
      </c>
      <c r="P225" t="n">
        <v>0</v>
      </c>
      <c r="Q225" t="n">
        <v>0</v>
      </c>
      <c r="R225" s="2" t="inlineStr"/>
    </row>
    <row r="226" ht="15" customHeight="1">
      <c r="A226" t="inlineStr">
        <is>
          <t>A 15893-2024</t>
        </is>
      </c>
      <c r="B226" s="1" t="n">
        <v>45405</v>
      </c>
      <c r="C226" s="1" t="n">
        <v>46168</v>
      </c>
      <c r="D226" t="inlineStr">
        <is>
          <t>UPPSALA LÄN</t>
        </is>
      </c>
      <c r="E226" t="inlineStr">
        <is>
          <t>ENKÖPING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33343-2024</t>
        </is>
      </c>
      <c r="B227" s="1" t="n">
        <v>45519</v>
      </c>
      <c r="C227" s="1" t="n">
        <v>46168</v>
      </c>
      <c r="D227" t="inlineStr">
        <is>
          <t>UPPSALA LÄN</t>
        </is>
      </c>
      <c r="E227" t="inlineStr">
        <is>
          <t>ENKÖPING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57142-2021</t>
        </is>
      </c>
      <c r="B228" s="1" t="n">
        <v>44482</v>
      </c>
      <c r="C228" s="1" t="n">
        <v>46168</v>
      </c>
      <c r="D228" t="inlineStr">
        <is>
          <t>UPPSALA LÄN</t>
        </is>
      </c>
      <c r="E228" t="inlineStr">
        <is>
          <t>ENKÖPING</t>
        </is>
      </c>
      <c r="G228" t="n">
        <v>0.7</v>
      </c>
      <c r="H228" t="n">
        <v>0</v>
      </c>
      <c r="I228" t="n">
        <v>0</v>
      </c>
      <c r="J228" t="n">
        <v>0</v>
      </c>
      <c r="K228" t="n">
        <v>0</v>
      </c>
      <c r="L228" t="n">
        <v>0</v>
      </c>
      <c r="M228" t="n">
        <v>0</v>
      </c>
      <c r="N228" t="n">
        <v>0</v>
      </c>
      <c r="O228" t="n">
        <v>0</v>
      </c>
      <c r="P228" t="n">
        <v>0</v>
      </c>
      <c r="Q228" t="n">
        <v>0</v>
      </c>
      <c r="R228" s="2" t="inlineStr"/>
    </row>
    <row r="229" ht="15" customHeight="1">
      <c r="A229" t="inlineStr">
        <is>
          <t>A 57153-2021</t>
        </is>
      </c>
      <c r="B229" s="1" t="n">
        <v>44482</v>
      </c>
      <c r="C229" s="1" t="n">
        <v>46168</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40812-2022</t>
        </is>
      </c>
      <c r="B230" s="1" t="n">
        <v>44824.68791666667</v>
      </c>
      <c r="C230" s="1" t="n">
        <v>46168</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24291-2024</t>
        </is>
      </c>
      <c r="B231" s="1" t="n">
        <v>45457.4584837963</v>
      </c>
      <c r="C231" s="1" t="n">
        <v>46168</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5188-2022</t>
        </is>
      </c>
      <c r="B232" s="1" t="n">
        <v>44594.4471412037</v>
      </c>
      <c r="C232" s="1" t="n">
        <v>46168</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19014-2025</t>
        </is>
      </c>
      <c r="B233" s="1" t="n">
        <v>45764.59631944444</v>
      </c>
      <c r="C233" s="1" t="n">
        <v>46168</v>
      </c>
      <c r="D233" t="inlineStr">
        <is>
          <t>UPPSALA LÄN</t>
        </is>
      </c>
      <c r="E233" t="inlineStr">
        <is>
          <t>ENKÖPING</t>
        </is>
      </c>
      <c r="G233" t="n">
        <v>0.2</v>
      </c>
      <c r="H233" t="n">
        <v>0</v>
      </c>
      <c r="I233" t="n">
        <v>0</v>
      </c>
      <c r="J233" t="n">
        <v>0</v>
      </c>
      <c r="K233" t="n">
        <v>0</v>
      </c>
      <c r="L233" t="n">
        <v>0</v>
      </c>
      <c r="M233" t="n">
        <v>0</v>
      </c>
      <c r="N233" t="n">
        <v>0</v>
      </c>
      <c r="O233" t="n">
        <v>0</v>
      </c>
      <c r="P233" t="n">
        <v>0</v>
      </c>
      <c r="Q233" t="n">
        <v>0</v>
      </c>
      <c r="R233" s="2" t="inlineStr"/>
    </row>
    <row r="234" ht="15" customHeight="1">
      <c r="A234" t="inlineStr">
        <is>
          <t>A 17844-2025</t>
        </is>
      </c>
      <c r="B234" s="1" t="n">
        <v>45758.59920138889</v>
      </c>
      <c r="C234" s="1" t="n">
        <v>46168</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43691-2024</t>
        </is>
      </c>
      <c r="B235" s="1" t="n">
        <v>45569</v>
      </c>
      <c r="C235" s="1" t="n">
        <v>46168</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45755-2025</t>
        </is>
      </c>
      <c r="B236" s="1" t="n">
        <v>45923.50240740741</v>
      </c>
      <c r="C236" s="1" t="n">
        <v>46168</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46590-2025</t>
        </is>
      </c>
      <c r="B237" s="1" t="n">
        <v>45926.39542824074</v>
      </c>
      <c r="C237" s="1" t="n">
        <v>46168</v>
      </c>
      <c r="D237" t="inlineStr">
        <is>
          <t>UPPSALA LÄN</t>
        </is>
      </c>
      <c r="E237" t="inlineStr">
        <is>
          <t>ENKÖPING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29513-2025</t>
        </is>
      </c>
      <c r="B238" s="1" t="n">
        <v>45825</v>
      </c>
      <c r="C238" s="1" t="n">
        <v>46168</v>
      </c>
      <c r="D238" t="inlineStr">
        <is>
          <t>UPPSALA LÄN</t>
        </is>
      </c>
      <c r="E238" t="inlineStr">
        <is>
          <t>ENKÖPING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19376-2024</t>
        </is>
      </c>
      <c r="B239" s="1" t="n">
        <v>45429</v>
      </c>
      <c r="C239" s="1" t="n">
        <v>46168</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34989-2025</t>
        </is>
      </c>
      <c r="B240" s="1" t="n">
        <v>45849</v>
      </c>
      <c r="C240" s="1" t="n">
        <v>46168</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34990-2025</t>
        </is>
      </c>
      <c r="B241" s="1" t="n">
        <v>45849.78916666667</v>
      </c>
      <c r="C241" s="1" t="n">
        <v>46168</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44232-2022</t>
        </is>
      </c>
      <c r="B242" s="1" t="n">
        <v>44839</v>
      </c>
      <c r="C242" s="1" t="n">
        <v>46168</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33670-2024</t>
        </is>
      </c>
      <c r="B243" s="1" t="n">
        <v>45520</v>
      </c>
      <c r="C243" s="1" t="n">
        <v>46168</v>
      </c>
      <c r="D243" t="inlineStr">
        <is>
          <t>UPPSALA LÄN</t>
        </is>
      </c>
      <c r="E243" t="inlineStr">
        <is>
          <t>ENKÖPING</t>
        </is>
      </c>
      <c r="G243" t="n">
        <v>1.9</v>
      </c>
      <c r="H243" t="n">
        <v>0</v>
      </c>
      <c r="I243" t="n">
        <v>0</v>
      </c>
      <c r="J243" t="n">
        <v>0</v>
      </c>
      <c r="K243" t="n">
        <v>0</v>
      </c>
      <c r="L243" t="n">
        <v>0</v>
      </c>
      <c r="M243" t="n">
        <v>0</v>
      </c>
      <c r="N243" t="n">
        <v>0</v>
      </c>
      <c r="O243" t="n">
        <v>0</v>
      </c>
      <c r="P243" t="n">
        <v>0</v>
      </c>
      <c r="Q243" t="n">
        <v>0</v>
      </c>
      <c r="R243" s="2" t="inlineStr"/>
    </row>
    <row r="244" ht="15" customHeight="1">
      <c r="A244" t="inlineStr">
        <is>
          <t>A 21501-2025</t>
        </is>
      </c>
      <c r="B244" s="1" t="n">
        <v>45782</v>
      </c>
      <c r="C244" s="1" t="n">
        <v>46168</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47428-2023</t>
        </is>
      </c>
      <c r="B245" s="1" t="n">
        <v>45202.66664351852</v>
      </c>
      <c r="C245" s="1" t="n">
        <v>46168</v>
      </c>
      <c r="D245" t="inlineStr">
        <is>
          <t>UPPSALA LÄN</t>
        </is>
      </c>
      <c r="E245" t="inlineStr">
        <is>
          <t>ENKÖPING</t>
        </is>
      </c>
      <c r="G245" t="n">
        <v>3</v>
      </c>
      <c r="H245" t="n">
        <v>0</v>
      </c>
      <c r="I245" t="n">
        <v>0</v>
      </c>
      <c r="J245" t="n">
        <v>0</v>
      </c>
      <c r="K245" t="n">
        <v>0</v>
      </c>
      <c r="L245" t="n">
        <v>0</v>
      </c>
      <c r="M245" t="n">
        <v>0</v>
      </c>
      <c r="N245" t="n">
        <v>0</v>
      </c>
      <c r="O245" t="n">
        <v>0</v>
      </c>
      <c r="P245" t="n">
        <v>0</v>
      </c>
      <c r="Q245" t="n">
        <v>0</v>
      </c>
      <c r="R245" s="2" t="inlineStr"/>
    </row>
    <row r="246" ht="15" customHeight="1">
      <c r="A246" t="inlineStr">
        <is>
          <t>A 47441-2025</t>
        </is>
      </c>
      <c r="B246" s="1" t="n">
        <v>45930.63986111111</v>
      </c>
      <c r="C246" s="1" t="n">
        <v>46168</v>
      </c>
      <c r="D246" t="inlineStr">
        <is>
          <t>UPPSALA LÄN</t>
        </is>
      </c>
      <c r="E246" t="inlineStr">
        <is>
          <t>ENKÖPING</t>
        </is>
      </c>
      <c r="F246" t="inlineStr">
        <is>
          <t>Allmännings- och besparingsskogar</t>
        </is>
      </c>
      <c r="G246" t="n">
        <v>11.5</v>
      </c>
      <c r="H246" t="n">
        <v>0</v>
      </c>
      <c r="I246" t="n">
        <v>0</v>
      </c>
      <c r="J246" t="n">
        <v>0</v>
      </c>
      <c r="K246" t="n">
        <v>0</v>
      </c>
      <c r="L246" t="n">
        <v>0</v>
      </c>
      <c r="M246" t="n">
        <v>0</v>
      </c>
      <c r="N246" t="n">
        <v>0</v>
      </c>
      <c r="O246" t="n">
        <v>0</v>
      </c>
      <c r="P246" t="n">
        <v>0</v>
      </c>
      <c r="Q246" t="n">
        <v>0</v>
      </c>
      <c r="R246" s="2" t="inlineStr"/>
    </row>
    <row r="247" ht="15" customHeight="1">
      <c r="A247" t="inlineStr">
        <is>
          <t>A 34987-2025</t>
        </is>
      </c>
      <c r="B247" s="1" t="n">
        <v>45849</v>
      </c>
      <c r="C247" s="1" t="n">
        <v>46168</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46940-2025</t>
        </is>
      </c>
      <c r="B248" s="1" t="n">
        <v>45929.45483796296</v>
      </c>
      <c r="C248" s="1" t="n">
        <v>46168</v>
      </c>
      <c r="D248" t="inlineStr">
        <is>
          <t>UPPSALA LÄN</t>
        </is>
      </c>
      <c r="E248" t="inlineStr">
        <is>
          <t>ENKÖPING</t>
        </is>
      </c>
      <c r="G248" t="n">
        <v>5.3</v>
      </c>
      <c r="H248" t="n">
        <v>0</v>
      </c>
      <c r="I248" t="n">
        <v>0</v>
      </c>
      <c r="J248" t="n">
        <v>0</v>
      </c>
      <c r="K248" t="n">
        <v>0</v>
      </c>
      <c r="L248" t="n">
        <v>0</v>
      </c>
      <c r="M248" t="n">
        <v>0</v>
      </c>
      <c r="N248" t="n">
        <v>0</v>
      </c>
      <c r="O248" t="n">
        <v>0</v>
      </c>
      <c r="P248" t="n">
        <v>0</v>
      </c>
      <c r="Q248" t="n">
        <v>0</v>
      </c>
      <c r="R248" s="2" t="inlineStr"/>
    </row>
    <row r="249" ht="15" customHeight="1">
      <c r="A249" t="inlineStr">
        <is>
          <t>A 34988-2025</t>
        </is>
      </c>
      <c r="B249" s="1" t="n">
        <v>45849</v>
      </c>
      <c r="C249" s="1" t="n">
        <v>46168</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19147-2024</t>
        </is>
      </c>
      <c r="B250" s="1" t="n">
        <v>45428</v>
      </c>
      <c r="C250" s="1" t="n">
        <v>46168</v>
      </c>
      <c r="D250" t="inlineStr">
        <is>
          <t>UPPSALA LÄN</t>
        </is>
      </c>
      <c r="E250" t="inlineStr">
        <is>
          <t>ENKÖPING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67982-2021</t>
        </is>
      </c>
      <c r="B251" s="1" t="n">
        <v>44525</v>
      </c>
      <c r="C251" s="1" t="n">
        <v>46168</v>
      </c>
      <c r="D251" t="inlineStr">
        <is>
          <t>UPPSALA LÄN</t>
        </is>
      </c>
      <c r="E251" t="inlineStr">
        <is>
          <t>ENKÖPING</t>
        </is>
      </c>
      <c r="G251" t="n">
        <v>1.7</v>
      </c>
      <c r="H251" t="n">
        <v>0</v>
      </c>
      <c r="I251" t="n">
        <v>0</v>
      </c>
      <c r="J251" t="n">
        <v>0</v>
      </c>
      <c r="K251" t="n">
        <v>0</v>
      </c>
      <c r="L251" t="n">
        <v>0</v>
      </c>
      <c r="M251" t="n">
        <v>0</v>
      </c>
      <c r="N251" t="n">
        <v>0</v>
      </c>
      <c r="O251" t="n">
        <v>0</v>
      </c>
      <c r="P251" t="n">
        <v>0</v>
      </c>
      <c r="Q251" t="n">
        <v>0</v>
      </c>
      <c r="R251" s="2" t="inlineStr"/>
    </row>
    <row r="252" ht="15" customHeight="1">
      <c r="A252" t="inlineStr">
        <is>
          <t>A 45362-2022</t>
        </is>
      </c>
      <c r="B252" s="1" t="n">
        <v>44844.62366898148</v>
      </c>
      <c r="C252" s="1" t="n">
        <v>46168</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56526-2022</t>
        </is>
      </c>
      <c r="B253" s="1" t="n">
        <v>44893</v>
      </c>
      <c r="C253" s="1" t="n">
        <v>46168</v>
      </c>
      <c r="D253" t="inlineStr">
        <is>
          <t>UPPSALA LÄN</t>
        </is>
      </c>
      <c r="E253" t="inlineStr">
        <is>
          <t>ENKÖPING</t>
        </is>
      </c>
      <c r="G253" t="n">
        <v>3.8</v>
      </c>
      <c r="H253" t="n">
        <v>0</v>
      </c>
      <c r="I253" t="n">
        <v>0</v>
      </c>
      <c r="J253" t="n">
        <v>0</v>
      </c>
      <c r="K253" t="n">
        <v>0</v>
      </c>
      <c r="L253" t="n">
        <v>0</v>
      </c>
      <c r="M253" t="n">
        <v>0</v>
      </c>
      <c r="N253" t="n">
        <v>0</v>
      </c>
      <c r="O253" t="n">
        <v>0</v>
      </c>
      <c r="P253" t="n">
        <v>0</v>
      </c>
      <c r="Q253" t="n">
        <v>0</v>
      </c>
      <c r="R253" s="2" t="inlineStr"/>
    </row>
    <row r="254" ht="15" customHeight="1">
      <c r="A254" t="inlineStr">
        <is>
          <t>A 57835-2024</t>
        </is>
      </c>
      <c r="B254" s="1" t="n">
        <v>45631.39947916667</v>
      </c>
      <c r="C254" s="1" t="n">
        <v>46168</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36350-2025</t>
        </is>
      </c>
      <c r="B255" s="1" t="n">
        <v>45868</v>
      </c>
      <c r="C255" s="1" t="n">
        <v>46168</v>
      </c>
      <c r="D255" t="inlineStr">
        <is>
          <t>UPPSALA LÄN</t>
        </is>
      </c>
      <c r="E255" t="inlineStr">
        <is>
          <t>ENKÖPING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21612-2023</t>
        </is>
      </c>
      <c r="B256" s="1" t="n">
        <v>45063</v>
      </c>
      <c r="C256" s="1" t="n">
        <v>46168</v>
      </c>
      <c r="D256" t="inlineStr">
        <is>
          <t>UPPSALA LÄN</t>
        </is>
      </c>
      <c r="E256" t="inlineStr">
        <is>
          <t>ENKÖPING</t>
        </is>
      </c>
      <c r="F256" t="inlineStr">
        <is>
          <t>Allmännings- och besparingsskogar</t>
        </is>
      </c>
      <c r="G256" t="n">
        <v>1</v>
      </c>
      <c r="H256" t="n">
        <v>0</v>
      </c>
      <c r="I256" t="n">
        <v>0</v>
      </c>
      <c r="J256" t="n">
        <v>0</v>
      </c>
      <c r="K256" t="n">
        <v>0</v>
      </c>
      <c r="L256" t="n">
        <v>0</v>
      </c>
      <c r="M256" t="n">
        <v>0</v>
      </c>
      <c r="N256" t="n">
        <v>0</v>
      </c>
      <c r="O256" t="n">
        <v>0</v>
      </c>
      <c r="P256" t="n">
        <v>0</v>
      </c>
      <c r="Q256" t="n">
        <v>0</v>
      </c>
      <c r="R256" s="2" t="inlineStr"/>
    </row>
    <row r="257" ht="15" customHeight="1">
      <c r="A257" t="inlineStr">
        <is>
          <t>A 39624-2023</t>
        </is>
      </c>
      <c r="B257" s="1" t="n">
        <v>45164</v>
      </c>
      <c r="C257" s="1" t="n">
        <v>46168</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60350-2022</t>
        </is>
      </c>
      <c r="B258" s="1" t="n">
        <v>44910</v>
      </c>
      <c r="C258" s="1" t="n">
        <v>46168</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28518-2024</t>
        </is>
      </c>
      <c r="B259" s="1" t="n">
        <v>45477</v>
      </c>
      <c r="C259" s="1" t="n">
        <v>46168</v>
      </c>
      <c r="D259" t="inlineStr">
        <is>
          <t>UPPSALA LÄN</t>
        </is>
      </c>
      <c r="E259" t="inlineStr">
        <is>
          <t>ENKÖPING</t>
        </is>
      </c>
      <c r="G259" t="n">
        <v>3.4</v>
      </c>
      <c r="H259" t="n">
        <v>0</v>
      </c>
      <c r="I259" t="n">
        <v>0</v>
      </c>
      <c r="J259" t="n">
        <v>0</v>
      </c>
      <c r="K259" t="n">
        <v>0</v>
      </c>
      <c r="L259" t="n">
        <v>0</v>
      </c>
      <c r="M259" t="n">
        <v>0</v>
      </c>
      <c r="N259" t="n">
        <v>0</v>
      </c>
      <c r="O259" t="n">
        <v>0</v>
      </c>
      <c r="P259" t="n">
        <v>0</v>
      </c>
      <c r="Q259" t="n">
        <v>0</v>
      </c>
      <c r="R259" s="2" t="inlineStr"/>
    </row>
    <row r="260" ht="15" customHeight="1">
      <c r="A260" t="inlineStr">
        <is>
          <t>A 36599-2025</t>
        </is>
      </c>
      <c r="B260" s="1" t="n">
        <v>45870.51723379629</v>
      </c>
      <c r="C260" s="1" t="n">
        <v>46168</v>
      </c>
      <c r="D260" t="inlineStr">
        <is>
          <t>UPPSALA LÄN</t>
        </is>
      </c>
      <c r="E260" t="inlineStr">
        <is>
          <t>ENKÖPING</t>
        </is>
      </c>
      <c r="G260" t="n">
        <v>5.9</v>
      </c>
      <c r="H260" t="n">
        <v>0</v>
      </c>
      <c r="I260" t="n">
        <v>0</v>
      </c>
      <c r="J260" t="n">
        <v>0</v>
      </c>
      <c r="K260" t="n">
        <v>0</v>
      </c>
      <c r="L260" t="n">
        <v>0</v>
      </c>
      <c r="M260" t="n">
        <v>0</v>
      </c>
      <c r="N260" t="n">
        <v>0</v>
      </c>
      <c r="O260" t="n">
        <v>0</v>
      </c>
      <c r="P260" t="n">
        <v>0</v>
      </c>
      <c r="Q260" t="n">
        <v>0</v>
      </c>
      <c r="R260" s="2" t="inlineStr"/>
    </row>
    <row r="261" ht="15" customHeight="1">
      <c r="A261" t="inlineStr">
        <is>
          <t>A 36492-2025</t>
        </is>
      </c>
      <c r="B261" s="1" t="n">
        <v>45869</v>
      </c>
      <c r="C261" s="1" t="n">
        <v>46168</v>
      </c>
      <c r="D261" t="inlineStr">
        <is>
          <t>UPPSALA LÄN</t>
        </is>
      </c>
      <c r="E261" t="inlineStr">
        <is>
          <t>ENKÖPING</t>
        </is>
      </c>
      <c r="G261" t="n">
        <v>6.3</v>
      </c>
      <c r="H261" t="n">
        <v>0</v>
      </c>
      <c r="I261" t="n">
        <v>0</v>
      </c>
      <c r="J261" t="n">
        <v>0</v>
      </c>
      <c r="K261" t="n">
        <v>0</v>
      </c>
      <c r="L261" t="n">
        <v>0</v>
      </c>
      <c r="M261" t="n">
        <v>0</v>
      </c>
      <c r="N261" t="n">
        <v>0</v>
      </c>
      <c r="O261" t="n">
        <v>0</v>
      </c>
      <c r="P261" t="n">
        <v>0</v>
      </c>
      <c r="Q261" t="n">
        <v>0</v>
      </c>
      <c r="R261" s="2" t="inlineStr"/>
    </row>
    <row r="262" ht="15" customHeight="1">
      <c r="A262" t="inlineStr">
        <is>
          <t>A 5892-2023</t>
        </is>
      </c>
      <c r="B262" s="1" t="n">
        <v>44963.64883101852</v>
      </c>
      <c r="C262" s="1" t="n">
        <v>46168</v>
      </c>
      <c r="D262" t="inlineStr">
        <is>
          <t>UPPSALA LÄN</t>
        </is>
      </c>
      <c r="E262" t="inlineStr">
        <is>
          <t>ENKÖPING</t>
        </is>
      </c>
      <c r="G262" t="n">
        <v>5.5</v>
      </c>
      <c r="H262" t="n">
        <v>0</v>
      </c>
      <c r="I262" t="n">
        <v>0</v>
      </c>
      <c r="J262" t="n">
        <v>0</v>
      </c>
      <c r="K262" t="n">
        <v>0</v>
      </c>
      <c r="L262" t="n">
        <v>0</v>
      </c>
      <c r="M262" t="n">
        <v>0</v>
      </c>
      <c r="N262" t="n">
        <v>0</v>
      </c>
      <c r="O262" t="n">
        <v>0</v>
      </c>
      <c r="P262" t="n">
        <v>0</v>
      </c>
      <c r="Q262" t="n">
        <v>0</v>
      </c>
      <c r="R262" s="2" t="inlineStr"/>
    </row>
    <row r="263" ht="15" customHeight="1">
      <c r="A263" t="inlineStr">
        <is>
          <t>A 30098-2024</t>
        </is>
      </c>
      <c r="B263" s="1" t="n">
        <v>45489.41609953704</v>
      </c>
      <c r="C263" s="1" t="n">
        <v>46168</v>
      </c>
      <c r="D263" t="inlineStr">
        <is>
          <t>UPPSALA LÄN</t>
        </is>
      </c>
      <c r="E263" t="inlineStr">
        <is>
          <t>ENKÖPING</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39858-2024</t>
        </is>
      </c>
      <c r="B264" s="1" t="n">
        <v>45553</v>
      </c>
      <c r="C264" s="1" t="n">
        <v>46168</v>
      </c>
      <c r="D264" t="inlineStr">
        <is>
          <t>UPPSALA LÄN</t>
        </is>
      </c>
      <c r="E264" t="inlineStr">
        <is>
          <t>ENKÖPING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1651-2024</t>
        </is>
      </c>
      <c r="B265" s="1" t="n">
        <v>45306.73770833333</v>
      </c>
      <c r="C265" s="1" t="n">
        <v>46168</v>
      </c>
      <c r="D265" t="inlineStr">
        <is>
          <t>UPPSALA LÄN</t>
        </is>
      </c>
      <c r="E265" t="inlineStr">
        <is>
          <t>ENKÖPING</t>
        </is>
      </c>
      <c r="G265" t="n">
        <v>10.2</v>
      </c>
      <c r="H265" t="n">
        <v>0</v>
      </c>
      <c r="I265" t="n">
        <v>0</v>
      </c>
      <c r="J265" t="n">
        <v>0</v>
      </c>
      <c r="K265" t="n">
        <v>0</v>
      </c>
      <c r="L265" t="n">
        <v>0</v>
      </c>
      <c r="M265" t="n">
        <v>0</v>
      </c>
      <c r="N265" t="n">
        <v>0</v>
      </c>
      <c r="O265" t="n">
        <v>0</v>
      </c>
      <c r="P265" t="n">
        <v>0</v>
      </c>
      <c r="Q265" t="n">
        <v>0</v>
      </c>
      <c r="R265" s="2" t="inlineStr"/>
    </row>
    <row r="266" ht="15" customHeight="1">
      <c r="A266" t="inlineStr">
        <is>
          <t>A 60289-2022</t>
        </is>
      </c>
      <c r="B266" s="1" t="n">
        <v>44910.53026620371</v>
      </c>
      <c r="C266" s="1" t="n">
        <v>46168</v>
      </c>
      <c r="D266" t="inlineStr">
        <is>
          <t>UPPSALA LÄN</t>
        </is>
      </c>
      <c r="E266" t="inlineStr">
        <is>
          <t>ENKÖPING</t>
        </is>
      </c>
      <c r="G266" t="n">
        <v>3.2</v>
      </c>
      <c r="H266" t="n">
        <v>0</v>
      </c>
      <c r="I266" t="n">
        <v>0</v>
      </c>
      <c r="J266" t="n">
        <v>0</v>
      </c>
      <c r="K266" t="n">
        <v>0</v>
      </c>
      <c r="L266" t="n">
        <v>0</v>
      </c>
      <c r="M266" t="n">
        <v>0</v>
      </c>
      <c r="N266" t="n">
        <v>0</v>
      </c>
      <c r="O266" t="n">
        <v>0</v>
      </c>
      <c r="P266" t="n">
        <v>0</v>
      </c>
      <c r="Q266" t="n">
        <v>0</v>
      </c>
      <c r="R266" s="2" t="inlineStr"/>
    </row>
    <row r="267" ht="15" customHeight="1">
      <c r="A267" t="inlineStr">
        <is>
          <t>A 48423-2025</t>
        </is>
      </c>
      <c r="B267" s="1" t="n">
        <v>45934.68024305555</v>
      </c>
      <c r="C267" s="1" t="n">
        <v>46168</v>
      </c>
      <c r="D267" t="inlineStr">
        <is>
          <t>UPPSALA LÄN</t>
        </is>
      </c>
      <c r="E267" t="inlineStr">
        <is>
          <t>ENKÖPING</t>
        </is>
      </c>
      <c r="G267" t="n">
        <v>4.3</v>
      </c>
      <c r="H267" t="n">
        <v>0</v>
      </c>
      <c r="I267" t="n">
        <v>0</v>
      </c>
      <c r="J267" t="n">
        <v>0</v>
      </c>
      <c r="K267" t="n">
        <v>0</v>
      </c>
      <c r="L267" t="n">
        <v>0</v>
      </c>
      <c r="M267" t="n">
        <v>0</v>
      </c>
      <c r="N267" t="n">
        <v>0</v>
      </c>
      <c r="O267" t="n">
        <v>0</v>
      </c>
      <c r="P267" t="n">
        <v>0</v>
      </c>
      <c r="Q267" t="n">
        <v>0</v>
      </c>
      <c r="R267" s="2" t="inlineStr"/>
    </row>
    <row r="268" ht="15" customHeight="1">
      <c r="A268" t="inlineStr">
        <is>
          <t>A 9957-2023</t>
        </is>
      </c>
      <c r="B268" s="1" t="n">
        <v>44978</v>
      </c>
      <c r="C268" s="1" t="n">
        <v>46168</v>
      </c>
      <c r="D268" t="inlineStr">
        <is>
          <t>UPPSALA LÄN</t>
        </is>
      </c>
      <c r="E268" t="inlineStr">
        <is>
          <t>ENKÖPING</t>
        </is>
      </c>
      <c r="G268" t="n">
        <v>5.9</v>
      </c>
      <c r="H268" t="n">
        <v>0</v>
      </c>
      <c r="I268" t="n">
        <v>0</v>
      </c>
      <c r="J268" t="n">
        <v>0</v>
      </c>
      <c r="K268" t="n">
        <v>0</v>
      </c>
      <c r="L268" t="n">
        <v>0</v>
      </c>
      <c r="M268" t="n">
        <v>0</v>
      </c>
      <c r="N268" t="n">
        <v>0</v>
      </c>
      <c r="O268" t="n">
        <v>0</v>
      </c>
      <c r="P268" t="n">
        <v>0</v>
      </c>
      <c r="Q268" t="n">
        <v>0</v>
      </c>
      <c r="R268" s="2" t="inlineStr"/>
    </row>
    <row r="269" ht="15" customHeight="1">
      <c r="A269" t="inlineStr">
        <is>
          <t>A 48424-2025</t>
        </is>
      </c>
      <c r="B269" s="1" t="n">
        <v>45934.69131944444</v>
      </c>
      <c r="C269" s="1" t="n">
        <v>46168</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48678-2025</t>
        </is>
      </c>
      <c r="B270" s="1" t="n">
        <v>45936.59168981481</v>
      </c>
      <c r="C270" s="1" t="n">
        <v>46168</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37319-2025</t>
        </is>
      </c>
      <c r="B271" s="1" t="n">
        <v>45876</v>
      </c>
      <c r="C271" s="1" t="n">
        <v>46168</v>
      </c>
      <c r="D271" t="inlineStr">
        <is>
          <t>UPPSALA LÄN</t>
        </is>
      </c>
      <c r="E271" t="inlineStr">
        <is>
          <t>ENKÖPING</t>
        </is>
      </c>
      <c r="G271" t="n">
        <v>9.5</v>
      </c>
      <c r="H271" t="n">
        <v>0</v>
      </c>
      <c r="I271" t="n">
        <v>0</v>
      </c>
      <c r="J271" t="n">
        <v>0</v>
      </c>
      <c r="K271" t="n">
        <v>0</v>
      </c>
      <c r="L271" t="n">
        <v>0</v>
      </c>
      <c r="M271" t="n">
        <v>0</v>
      </c>
      <c r="N271" t="n">
        <v>0</v>
      </c>
      <c r="O271" t="n">
        <v>0</v>
      </c>
      <c r="P271" t="n">
        <v>0</v>
      </c>
      <c r="Q271" t="n">
        <v>0</v>
      </c>
      <c r="R271" s="2" t="inlineStr"/>
    </row>
    <row r="272" ht="15" customHeight="1">
      <c r="A272" t="inlineStr">
        <is>
          <t>A 37296-2025</t>
        </is>
      </c>
      <c r="B272" s="1" t="n">
        <v>45876</v>
      </c>
      <c r="C272" s="1" t="n">
        <v>46168</v>
      </c>
      <c r="D272" t="inlineStr">
        <is>
          <t>UPPSALA LÄN</t>
        </is>
      </c>
      <c r="E272" t="inlineStr">
        <is>
          <t>ENKÖPING</t>
        </is>
      </c>
      <c r="G272" t="n">
        <v>9.5</v>
      </c>
      <c r="H272" t="n">
        <v>0</v>
      </c>
      <c r="I272" t="n">
        <v>0</v>
      </c>
      <c r="J272" t="n">
        <v>0</v>
      </c>
      <c r="K272" t="n">
        <v>0</v>
      </c>
      <c r="L272" t="n">
        <v>0</v>
      </c>
      <c r="M272" t="n">
        <v>0</v>
      </c>
      <c r="N272" t="n">
        <v>0</v>
      </c>
      <c r="O272" t="n">
        <v>0</v>
      </c>
      <c r="P272" t="n">
        <v>0</v>
      </c>
      <c r="Q272" t="n">
        <v>0</v>
      </c>
      <c r="R272" s="2" t="inlineStr"/>
    </row>
    <row r="273" ht="15" customHeight="1">
      <c r="A273" t="inlineStr">
        <is>
          <t>A 37498-2025</t>
        </is>
      </c>
      <c r="B273" s="1" t="n">
        <v>45877</v>
      </c>
      <c r="C273" s="1" t="n">
        <v>46168</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49068-2025</t>
        </is>
      </c>
      <c r="B274" s="1" t="n">
        <v>45937.64766203704</v>
      </c>
      <c r="C274" s="1" t="n">
        <v>46168</v>
      </c>
      <c r="D274" t="inlineStr">
        <is>
          <t>UPPSALA LÄN</t>
        </is>
      </c>
      <c r="E274" t="inlineStr">
        <is>
          <t>ENKÖPING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8152-2022</t>
        </is>
      </c>
      <c r="B275" s="1" t="n">
        <v>44609</v>
      </c>
      <c r="C275" s="1" t="n">
        <v>46168</v>
      </c>
      <c r="D275" t="inlineStr">
        <is>
          <t>UPPSALA LÄN</t>
        </is>
      </c>
      <c r="E275" t="inlineStr">
        <is>
          <t>ENKÖPING</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49622-2024</t>
        </is>
      </c>
      <c r="B276" s="1" t="n">
        <v>45596.58372685185</v>
      </c>
      <c r="C276" s="1" t="n">
        <v>46168</v>
      </c>
      <c r="D276" t="inlineStr">
        <is>
          <t>UPPSALA LÄN</t>
        </is>
      </c>
      <c r="E276" t="inlineStr">
        <is>
          <t>ENKÖPING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39439-2025</t>
        </is>
      </c>
      <c r="B277" s="1" t="n">
        <v>45889</v>
      </c>
      <c r="C277" s="1" t="n">
        <v>46168</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43103-2025</t>
        </is>
      </c>
      <c r="B278" s="1" t="n">
        <v>45909</v>
      </c>
      <c r="C278" s="1" t="n">
        <v>46168</v>
      </c>
      <c r="D278" t="inlineStr">
        <is>
          <t>UPPSALA LÄN</t>
        </is>
      </c>
      <c r="E278" t="inlineStr">
        <is>
          <t>ENKÖPING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17657-2025</t>
        </is>
      </c>
      <c r="B279" s="1" t="n">
        <v>45758.35006944444</v>
      </c>
      <c r="C279" s="1" t="n">
        <v>46168</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49073-2025</t>
        </is>
      </c>
      <c r="B280" s="1" t="n">
        <v>45937.65512731481</v>
      </c>
      <c r="C280" s="1" t="n">
        <v>46168</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21017-2023</t>
        </is>
      </c>
      <c r="B281" s="1" t="n">
        <v>45061</v>
      </c>
      <c r="C281" s="1" t="n">
        <v>46168</v>
      </c>
      <c r="D281" t="inlineStr">
        <is>
          <t>UPPSALA LÄN</t>
        </is>
      </c>
      <c r="E281" t="inlineStr">
        <is>
          <t>ENKÖPING</t>
        </is>
      </c>
      <c r="G281" t="n">
        <v>4.8</v>
      </c>
      <c r="H281" t="n">
        <v>0</v>
      </c>
      <c r="I281" t="n">
        <v>0</v>
      </c>
      <c r="J281" t="n">
        <v>0</v>
      </c>
      <c r="K281" t="n">
        <v>0</v>
      </c>
      <c r="L281" t="n">
        <v>0</v>
      </c>
      <c r="M281" t="n">
        <v>0</v>
      </c>
      <c r="N281" t="n">
        <v>0</v>
      </c>
      <c r="O281" t="n">
        <v>0</v>
      </c>
      <c r="P281" t="n">
        <v>0</v>
      </c>
      <c r="Q281" t="n">
        <v>0</v>
      </c>
      <c r="R281" s="2" t="inlineStr"/>
    </row>
    <row r="282" ht="15" customHeight="1">
      <c r="A282" t="inlineStr">
        <is>
          <t>A 31242-2024</t>
        </is>
      </c>
      <c r="B282" s="1" t="n">
        <v>45503</v>
      </c>
      <c r="C282" s="1" t="n">
        <v>46168</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15939-2022</t>
        </is>
      </c>
      <c r="B283" s="1" t="n">
        <v>44664</v>
      </c>
      <c r="C283" s="1" t="n">
        <v>46168</v>
      </c>
      <c r="D283" t="inlineStr">
        <is>
          <t>UPPSALA LÄN</t>
        </is>
      </c>
      <c r="E283" t="inlineStr">
        <is>
          <t>ENKÖPING</t>
        </is>
      </c>
      <c r="G283" t="n">
        <v>2</v>
      </c>
      <c r="H283" t="n">
        <v>0</v>
      </c>
      <c r="I283" t="n">
        <v>0</v>
      </c>
      <c r="J283" t="n">
        <v>0</v>
      </c>
      <c r="K283" t="n">
        <v>0</v>
      </c>
      <c r="L283" t="n">
        <v>0</v>
      </c>
      <c r="M283" t="n">
        <v>0</v>
      </c>
      <c r="N283" t="n">
        <v>0</v>
      </c>
      <c r="O283" t="n">
        <v>0</v>
      </c>
      <c r="P283" t="n">
        <v>0</v>
      </c>
      <c r="Q283" t="n">
        <v>0</v>
      </c>
      <c r="R283" s="2" t="inlineStr"/>
    </row>
    <row r="284" ht="15" customHeight="1">
      <c r="A284" t="inlineStr">
        <is>
          <t>A 56176-2021</t>
        </is>
      </c>
      <c r="B284" s="1" t="n">
        <v>44477</v>
      </c>
      <c r="C284" s="1" t="n">
        <v>46168</v>
      </c>
      <c r="D284" t="inlineStr">
        <is>
          <t>UPPSALA LÄN</t>
        </is>
      </c>
      <c r="E284" t="inlineStr">
        <is>
          <t>ENKÖPING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50394-2024</t>
        </is>
      </c>
      <c r="B285" s="1" t="n">
        <v>45600</v>
      </c>
      <c r="C285" s="1" t="n">
        <v>46168</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2162-2023</t>
        </is>
      </c>
      <c r="B286" s="1" t="n">
        <v>44941</v>
      </c>
      <c r="C286" s="1" t="n">
        <v>46168</v>
      </c>
      <c r="D286" t="inlineStr">
        <is>
          <t>UPPSALA LÄN</t>
        </is>
      </c>
      <c r="E286" t="inlineStr">
        <is>
          <t>ENKÖPING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56163-2021</t>
        </is>
      </c>
      <c r="B287" s="1" t="n">
        <v>44477</v>
      </c>
      <c r="C287" s="1" t="n">
        <v>46168</v>
      </c>
      <c r="D287" t="inlineStr">
        <is>
          <t>UPPSALA LÄN</t>
        </is>
      </c>
      <c r="E287" t="inlineStr">
        <is>
          <t>ENKÖPING</t>
        </is>
      </c>
      <c r="F287" t="inlineStr">
        <is>
          <t>Allmännings- och besparingsskogar</t>
        </is>
      </c>
      <c r="G287" t="n">
        <v>0.6</v>
      </c>
      <c r="H287" t="n">
        <v>0</v>
      </c>
      <c r="I287" t="n">
        <v>0</v>
      </c>
      <c r="J287" t="n">
        <v>0</v>
      </c>
      <c r="K287" t="n">
        <v>0</v>
      </c>
      <c r="L287" t="n">
        <v>0</v>
      </c>
      <c r="M287" t="n">
        <v>0</v>
      </c>
      <c r="N287" t="n">
        <v>0</v>
      </c>
      <c r="O287" t="n">
        <v>0</v>
      </c>
      <c r="P287" t="n">
        <v>0</v>
      </c>
      <c r="Q287" t="n">
        <v>0</v>
      </c>
      <c r="R287" s="2" t="inlineStr"/>
    </row>
    <row r="288" ht="15" customHeight="1">
      <c r="A288" t="inlineStr">
        <is>
          <t>A 72840-2021</t>
        </is>
      </c>
      <c r="B288" s="1" t="n">
        <v>44547</v>
      </c>
      <c r="C288" s="1" t="n">
        <v>46168</v>
      </c>
      <c r="D288" t="inlineStr">
        <is>
          <t>UPPSALA LÄN</t>
        </is>
      </c>
      <c r="E288" t="inlineStr">
        <is>
          <t>ENKÖPING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192-2026</t>
        </is>
      </c>
      <c r="B289" s="1" t="n">
        <v>46025</v>
      </c>
      <c r="C289" s="1" t="n">
        <v>46168</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28318-2024</t>
        </is>
      </c>
      <c r="B290" s="1" t="n">
        <v>45477</v>
      </c>
      <c r="C290" s="1" t="n">
        <v>46168</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51162-2025</t>
        </is>
      </c>
      <c r="B291" s="1" t="n">
        <v>45947.58820601852</v>
      </c>
      <c r="C291" s="1" t="n">
        <v>46168</v>
      </c>
      <c r="D291" t="inlineStr">
        <is>
          <t>UPPSALA LÄN</t>
        </is>
      </c>
      <c r="E291" t="inlineStr">
        <is>
          <t>ENKÖPING</t>
        </is>
      </c>
      <c r="G291" t="n">
        <v>3.4</v>
      </c>
      <c r="H291" t="n">
        <v>0</v>
      </c>
      <c r="I291" t="n">
        <v>0</v>
      </c>
      <c r="J291" t="n">
        <v>0</v>
      </c>
      <c r="K291" t="n">
        <v>0</v>
      </c>
      <c r="L291" t="n">
        <v>0</v>
      </c>
      <c r="M291" t="n">
        <v>0</v>
      </c>
      <c r="N291" t="n">
        <v>0</v>
      </c>
      <c r="O291" t="n">
        <v>0</v>
      </c>
      <c r="P291" t="n">
        <v>0</v>
      </c>
      <c r="Q291" t="n">
        <v>0</v>
      </c>
      <c r="R291" s="2" t="inlineStr"/>
    </row>
    <row r="292" ht="15" customHeight="1">
      <c r="A292" t="inlineStr">
        <is>
          <t>A 861-2026</t>
        </is>
      </c>
      <c r="B292" s="1" t="n">
        <v>46030</v>
      </c>
      <c r="C292" s="1" t="n">
        <v>46168</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51133-2025</t>
        </is>
      </c>
      <c r="B293" s="1" t="n">
        <v>45947.55598379629</v>
      </c>
      <c r="C293" s="1" t="n">
        <v>46168</v>
      </c>
      <c r="D293" t="inlineStr">
        <is>
          <t>UPPSALA LÄN</t>
        </is>
      </c>
      <c r="E293" t="inlineStr">
        <is>
          <t>ENKÖPING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37870-2023</t>
        </is>
      </c>
      <c r="B294" s="1" t="n">
        <v>45160.41996527778</v>
      </c>
      <c r="C294" s="1" t="n">
        <v>46168</v>
      </c>
      <c r="D294" t="inlineStr">
        <is>
          <t>UPPSALA LÄN</t>
        </is>
      </c>
      <c r="E294" t="inlineStr">
        <is>
          <t>ENKÖPING</t>
        </is>
      </c>
      <c r="G294" t="n">
        <v>3.5</v>
      </c>
      <c r="H294" t="n">
        <v>0</v>
      </c>
      <c r="I294" t="n">
        <v>0</v>
      </c>
      <c r="J294" t="n">
        <v>0</v>
      </c>
      <c r="K294" t="n">
        <v>0</v>
      </c>
      <c r="L294" t="n">
        <v>0</v>
      </c>
      <c r="M294" t="n">
        <v>0</v>
      </c>
      <c r="N294" t="n">
        <v>0</v>
      </c>
      <c r="O294" t="n">
        <v>0</v>
      </c>
      <c r="P294" t="n">
        <v>0</v>
      </c>
      <c r="Q294" t="n">
        <v>0</v>
      </c>
      <c r="R294" s="2" t="inlineStr"/>
    </row>
    <row r="295" ht="15" customHeight="1">
      <c r="A295" t="inlineStr">
        <is>
          <t>A 7090-2022</t>
        </is>
      </c>
      <c r="B295" s="1" t="n">
        <v>44603.59520833333</v>
      </c>
      <c r="C295" s="1" t="n">
        <v>46168</v>
      </c>
      <c r="D295" t="inlineStr">
        <is>
          <t>UPPSALA LÄN</t>
        </is>
      </c>
      <c r="E295" t="inlineStr">
        <is>
          <t>ENKÖPING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49063-2024</t>
        </is>
      </c>
      <c r="B296" s="1" t="n">
        <v>45594.59869212963</v>
      </c>
      <c r="C296" s="1" t="n">
        <v>46168</v>
      </c>
      <c r="D296" t="inlineStr">
        <is>
          <t>UPPSALA LÄN</t>
        </is>
      </c>
      <c r="E296" t="inlineStr">
        <is>
          <t>ENKÖPING</t>
        </is>
      </c>
      <c r="G296" t="n">
        <v>1.5</v>
      </c>
      <c r="H296" t="n">
        <v>0</v>
      </c>
      <c r="I296" t="n">
        <v>0</v>
      </c>
      <c r="J296" t="n">
        <v>0</v>
      </c>
      <c r="K296" t="n">
        <v>0</v>
      </c>
      <c r="L296" t="n">
        <v>0</v>
      </c>
      <c r="M296" t="n">
        <v>0</v>
      </c>
      <c r="N296" t="n">
        <v>0</v>
      </c>
      <c r="O296" t="n">
        <v>0</v>
      </c>
      <c r="P296" t="n">
        <v>0</v>
      </c>
      <c r="Q296" t="n">
        <v>0</v>
      </c>
      <c r="R296" s="2" t="inlineStr"/>
    </row>
    <row r="297" ht="15" customHeight="1">
      <c r="A297" t="inlineStr">
        <is>
          <t>A 14083-2025</t>
        </is>
      </c>
      <c r="B297" s="1" t="n">
        <v>45740</v>
      </c>
      <c r="C297" s="1" t="n">
        <v>46168</v>
      </c>
      <c r="D297" t="inlineStr">
        <is>
          <t>UPPSALA LÄN</t>
        </is>
      </c>
      <c r="E297" t="inlineStr">
        <is>
          <t>ENKÖPING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19298-2023</t>
        </is>
      </c>
      <c r="B298" s="1" t="n">
        <v>45048</v>
      </c>
      <c r="C298" s="1" t="n">
        <v>46168</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26017-2025</t>
        </is>
      </c>
      <c r="B299" s="1" t="n">
        <v>45804</v>
      </c>
      <c r="C299" s="1" t="n">
        <v>46168</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15409-2025</t>
        </is>
      </c>
      <c r="B300" s="1" t="n">
        <v>45747</v>
      </c>
      <c r="C300" s="1" t="n">
        <v>46168</v>
      </c>
      <c r="D300" t="inlineStr">
        <is>
          <t>UPPSALA LÄN</t>
        </is>
      </c>
      <c r="E300" t="inlineStr">
        <is>
          <t>ENKÖPING</t>
        </is>
      </c>
      <c r="G300" t="n">
        <v>2.5</v>
      </c>
      <c r="H300" t="n">
        <v>0</v>
      </c>
      <c r="I300" t="n">
        <v>0</v>
      </c>
      <c r="J300" t="n">
        <v>0</v>
      </c>
      <c r="K300" t="n">
        <v>0</v>
      </c>
      <c r="L300" t="n">
        <v>0</v>
      </c>
      <c r="M300" t="n">
        <v>0</v>
      </c>
      <c r="N300" t="n">
        <v>0</v>
      </c>
      <c r="O300" t="n">
        <v>0</v>
      </c>
      <c r="P300" t="n">
        <v>0</v>
      </c>
      <c r="Q300" t="n">
        <v>0</v>
      </c>
      <c r="R300" s="2" t="inlineStr"/>
    </row>
    <row r="301" ht="15" customHeight="1">
      <c r="A301" t="inlineStr">
        <is>
          <t>A 2218-2026</t>
        </is>
      </c>
      <c r="B301" s="1" t="n">
        <v>46036.50010416667</v>
      </c>
      <c r="C301" s="1" t="n">
        <v>46168</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2258-2026</t>
        </is>
      </c>
      <c r="B302" s="1" t="n">
        <v>46036</v>
      </c>
      <c r="C302" s="1" t="n">
        <v>46168</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34617-2022</t>
        </is>
      </c>
      <c r="B303" s="1" t="n">
        <v>44795</v>
      </c>
      <c r="C303" s="1" t="n">
        <v>46168</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14402-2023</t>
        </is>
      </c>
      <c r="B304" s="1" t="n">
        <v>45012</v>
      </c>
      <c r="C304" s="1" t="n">
        <v>46168</v>
      </c>
      <c r="D304" t="inlineStr">
        <is>
          <t>UPPSALA LÄN</t>
        </is>
      </c>
      <c r="E304" t="inlineStr">
        <is>
          <t>ENKÖPING</t>
        </is>
      </c>
      <c r="G304" t="n">
        <v>9.5</v>
      </c>
      <c r="H304" t="n">
        <v>0</v>
      </c>
      <c r="I304" t="n">
        <v>0</v>
      </c>
      <c r="J304" t="n">
        <v>0</v>
      </c>
      <c r="K304" t="n">
        <v>0</v>
      </c>
      <c r="L304" t="n">
        <v>0</v>
      </c>
      <c r="M304" t="n">
        <v>0</v>
      </c>
      <c r="N304" t="n">
        <v>0</v>
      </c>
      <c r="O304" t="n">
        <v>0</v>
      </c>
      <c r="P304" t="n">
        <v>0</v>
      </c>
      <c r="Q304" t="n">
        <v>0</v>
      </c>
      <c r="R304" s="2" t="inlineStr"/>
    </row>
    <row r="305" ht="15" customHeight="1">
      <c r="A305" t="inlineStr">
        <is>
          <t>A 40202-2024</t>
        </is>
      </c>
      <c r="B305" s="1" t="n">
        <v>45554</v>
      </c>
      <c r="C305" s="1" t="n">
        <v>46168</v>
      </c>
      <c r="D305" t="inlineStr">
        <is>
          <t>UPPSALA LÄN</t>
        </is>
      </c>
      <c r="E305" t="inlineStr">
        <is>
          <t>ENKÖPING</t>
        </is>
      </c>
      <c r="G305" t="n">
        <v>6.2</v>
      </c>
      <c r="H305" t="n">
        <v>0</v>
      </c>
      <c r="I305" t="n">
        <v>0</v>
      </c>
      <c r="J305" t="n">
        <v>0</v>
      </c>
      <c r="K305" t="n">
        <v>0</v>
      </c>
      <c r="L305" t="n">
        <v>0</v>
      </c>
      <c r="M305" t="n">
        <v>0</v>
      </c>
      <c r="N305" t="n">
        <v>0</v>
      </c>
      <c r="O305" t="n">
        <v>0</v>
      </c>
      <c r="P305" t="n">
        <v>0</v>
      </c>
      <c r="Q305" t="n">
        <v>0</v>
      </c>
      <c r="R305" s="2" t="inlineStr"/>
    </row>
    <row r="306" ht="15" customHeight="1">
      <c r="A306" t="inlineStr">
        <is>
          <t>A 40223-2024</t>
        </is>
      </c>
      <c r="B306" s="1" t="n">
        <v>45554</v>
      </c>
      <c r="C306" s="1" t="n">
        <v>46168</v>
      </c>
      <c r="D306" t="inlineStr">
        <is>
          <t>UPPSALA LÄN</t>
        </is>
      </c>
      <c r="E306" t="inlineStr">
        <is>
          <t>ENKÖPING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26011-2025</t>
        </is>
      </c>
      <c r="B307" s="1" t="n">
        <v>45804.67412037037</v>
      </c>
      <c r="C307" s="1" t="n">
        <v>46168</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69879-2021</t>
        </is>
      </c>
      <c r="B308" s="1" t="n">
        <v>44532</v>
      </c>
      <c r="C308" s="1" t="n">
        <v>46168</v>
      </c>
      <c r="D308" t="inlineStr">
        <is>
          <t>UPPSALA LÄN</t>
        </is>
      </c>
      <c r="E308" t="inlineStr">
        <is>
          <t>ENKÖPING</t>
        </is>
      </c>
      <c r="G308" t="n">
        <v>4.2</v>
      </c>
      <c r="H308" t="n">
        <v>0</v>
      </c>
      <c r="I308" t="n">
        <v>0</v>
      </c>
      <c r="J308" t="n">
        <v>0</v>
      </c>
      <c r="K308" t="n">
        <v>0</v>
      </c>
      <c r="L308" t="n">
        <v>0</v>
      </c>
      <c r="M308" t="n">
        <v>0</v>
      </c>
      <c r="N308" t="n">
        <v>0</v>
      </c>
      <c r="O308" t="n">
        <v>0</v>
      </c>
      <c r="P308" t="n">
        <v>0</v>
      </c>
      <c r="Q308" t="n">
        <v>0</v>
      </c>
      <c r="R308" s="2" t="inlineStr"/>
    </row>
    <row r="309" ht="15" customHeight="1">
      <c r="A309" t="inlineStr">
        <is>
          <t>A 19013-2025</t>
        </is>
      </c>
      <c r="B309" s="1" t="n">
        <v>45764.59533564815</v>
      </c>
      <c r="C309" s="1" t="n">
        <v>46168</v>
      </c>
      <c r="D309" t="inlineStr">
        <is>
          <t>UPPSALA LÄN</t>
        </is>
      </c>
      <c r="E309" t="inlineStr">
        <is>
          <t>ENKÖPING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57335-2024</t>
        </is>
      </c>
      <c r="B310" s="1" t="n">
        <v>45629.63302083333</v>
      </c>
      <c r="C310" s="1" t="n">
        <v>46168</v>
      </c>
      <c r="D310" t="inlineStr">
        <is>
          <t>UPPSALA LÄN</t>
        </is>
      </c>
      <c r="E310" t="inlineStr">
        <is>
          <t>ENKÖPING</t>
        </is>
      </c>
      <c r="G310" t="n">
        <v>2.1</v>
      </c>
      <c r="H310" t="n">
        <v>0</v>
      </c>
      <c r="I310" t="n">
        <v>0</v>
      </c>
      <c r="J310" t="n">
        <v>0</v>
      </c>
      <c r="K310" t="n">
        <v>0</v>
      </c>
      <c r="L310" t="n">
        <v>0</v>
      </c>
      <c r="M310" t="n">
        <v>0</v>
      </c>
      <c r="N310" t="n">
        <v>0</v>
      </c>
      <c r="O310" t="n">
        <v>0</v>
      </c>
      <c r="P310" t="n">
        <v>0</v>
      </c>
      <c r="Q310" t="n">
        <v>0</v>
      </c>
      <c r="R310" s="2" t="inlineStr"/>
    </row>
    <row r="311" ht="15" customHeight="1">
      <c r="A311" t="inlineStr">
        <is>
          <t>A 23301-2024</t>
        </is>
      </c>
      <c r="B311" s="1" t="n">
        <v>45453.4396412037</v>
      </c>
      <c r="C311" s="1" t="n">
        <v>46168</v>
      </c>
      <c r="D311" t="inlineStr">
        <is>
          <t>UPPSALA LÄN</t>
        </is>
      </c>
      <c r="E311" t="inlineStr">
        <is>
          <t>ENKÖPING</t>
        </is>
      </c>
      <c r="G311" t="n">
        <v>4.3</v>
      </c>
      <c r="H311" t="n">
        <v>0</v>
      </c>
      <c r="I311" t="n">
        <v>0</v>
      </c>
      <c r="J311" t="n">
        <v>0</v>
      </c>
      <c r="K311" t="n">
        <v>0</v>
      </c>
      <c r="L311" t="n">
        <v>0</v>
      </c>
      <c r="M311" t="n">
        <v>0</v>
      </c>
      <c r="N311" t="n">
        <v>0</v>
      </c>
      <c r="O311" t="n">
        <v>0</v>
      </c>
      <c r="P311" t="n">
        <v>0</v>
      </c>
      <c r="Q311" t="n">
        <v>0</v>
      </c>
      <c r="R311" s="2" t="inlineStr"/>
    </row>
    <row r="312" ht="15" customHeight="1">
      <c r="A312" t="inlineStr">
        <is>
          <t>A 39115-2024</t>
        </is>
      </c>
      <c r="B312" s="1" t="n">
        <v>45548</v>
      </c>
      <c r="C312" s="1" t="n">
        <v>46168</v>
      </c>
      <c r="D312" t="inlineStr">
        <is>
          <t>UPPSALA LÄN</t>
        </is>
      </c>
      <c r="E312" t="inlineStr">
        <is>
          <t>ENKÖPING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2833-2025</t>
        </is>
      </c>
      <c r="B313" s="1" t="n">
        <v>45677.63206018518</v>
      </c>
      <c r="C313" s="1" t="n">
        <v>46168</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12020-2024</t>
        </is>
      </c>
      <c r="B314" s="1" t="n">
        <v>45377</v>
      </c>
      <c r="C314" s="1" t="n">
        <v>46168</v>
      </c>
      <c r="D314" t="inlineStr">
        <is>
          <t>UPPSALA LÄN</t>
        </is>
      </c>
      <c r="E314" t="inlineStr">
        <is>
          <t>ENKÖPING</t>
        </is>
      </c>
      <c r="G314" t="n">
        <v>2</v>
      </c>
      <c r="H314" t="n">
        <v>0</v>
      </c>
      <c r="I314" t="n">
        <v>0</v>
      </c>
      <c r="J314" t="n">
        <v>0</v>
      </c>
      <c r="K314" t="n">
        <v>0</v>
      </c>
      <c r="L314" t="n">
        <v>0</v>
      </c>
      <c r="M314" t="n">
        <v>0</v>
      </c>
      <c r="N314" t="n">
        <v>0</v>
      </c>
      <c r="O314" t="n">
        <v>0</v>
      </c>
      <c r="P314" t="n">
        <v>0</v>
      </c>
      <c r="Q314" t="n">
        <v>0</v>
      </c>
      <c r="R314" s="2" t="inlineStr"/>
    </row>
    <row r="315" ht="15" customHeight="1">
      <c r="A315" t="inlineStr">
        <is>
          <t>A 54263-2025</t>
        </is>
      </c>
      <c r="B315" s="1" t="n">
        <v>45964.66271990741</v>
      </c>
      <c r="C315" s="1" t="n">
        <v>46168</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2850-2025</t>
        </is>
      </c>
      <c r="B316" s="1" t="n">
        <v>45677</v>
      </c>
      <c r="C316" s="1" t="n">
        <v>46168</v>
      </c>
      <c r="D316" t="inlineStr">
        <is>
          <t>UPPSALA LÄN</t>
        </is>
      </c>
      <c r="E316" t="inlineStr">
        <is>
          <t>ENKÖPING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33619-2022</t>
        </is>
      </c>
      <c r="B317" s="1" t="n">
        <v>44789</v>
      </c>
      <c r="C317" s="1" t="n">
        <v>46168</v>
      </c>
      <c r="D317" t="inlineStr">
        <is>
          <t>UPPSALA LÄN</t>
        </is>
      </c>
      <c r="E317" t="inlineStr">
        <is>
          <t>ENKÖPING</t>
        </is>
      </c>
      <c r="F317" t="inlineStr">
        <is>
          <t>Allmännings- och besparingsskogar</t>
        </is>
      </c>
      <c r="G317" t="n">
        <v>4.5</v>
      </c>
      <c r="H317" t="n">
        <v>0</v>
      </c>
      <c r="I317" t="n">
        <v>0</v>
      </c>
      <c r="J317" t="n">
        <v>0</v>
      </c>
      <c r="K317" t="n">
        <v>0</v>
      </c>
      <c r="L317" t="n">
        <v>0</v>
      </c>
      <c r="M317" t="n">
        <v>0</v>
      </c>
      <c r="N317" t="n">
        <v>0</v>
      </c>
      <c r="O317" t="n">
        <v>0</v>
      </c>
      <c r="P317" t="n">
        <v>0</v>
      </c>
      <c r="Q317" t="n">
        <v>0</v>
      </c>
      <c r="R317" s="2" t="inlineStr"/>
    </row>
    <row r="318" ht="15" customHeight="1">
      <c r="A318" t="inlineStr">
        <is>
          <t>A 31604-2023</t>
        </is>
      </c>
      <c r="B318" s="1" t="n">
        <v>45117.50368055556</v>
      </c>
      <c r="C318" s="1" t="n">
        <v>46168</v>
      </c>
      <c r="D318" t="inlineStr">
        <is>
          <t>UPPSALA LÄN</t>
        </is>
      </c>
      <c r="E318" t="inlineStr">
        <is>
          <t>ENKÖPING</t>
        </is>
      </c>
      <c r="G318" t="n">
        <v>3.5</v>
      </c>
      <c r="H318" t="n">
        <v>0</v>
      </c>
      <c r="I318" t="n">
        <v>0</v>
      </c>
      <c r="J318" t="n">
        <v>0</v>
      </c>
      <c r="K318" t="n">
        <v>0</v>
      </c>
      <c r="L318" t="n">
        <v>0</v>
      </c>
      <c r="M318" t="n">
        <v>0</v>
      </c>
      <c r="N318" t="n">
        <v>0</v>
      </c>
      <c r="O318" t="n">
        <v>0</v>
      </c>
      <c r="P318" t="n">
        <v>0</v>
      </c>
      <c r="Q318" t="n">
        <v>0</v>
      </c>
      <c r="R318" s="2" t="inlineStr"/>
    </row>
    <row r="319" ht="15" customHeight="1">
      <c r="A319" t="inlineStr">
        <is>
          <t>A 54844-2025</t>
        </is>
      </c>
      <c r="B319" s="1" t="n">
        <v>45966.69570601852</v>
      </c>
      <c r="C319" s="1" t="n">
        <v>46168</v>
      </c>
      <c r="D319" t="inlineStr">
        <is>
          <t>UPPSALA LÄN</t>
        </is>
      </c>
      <c r="E319" t="inlineStr">
        <is>
          <t>ENKÖPING</t>
        </is>
      </c>
      <c r="G319" t="n">
        <v>5.5</v>
      </c>
      <c r="H319" t="n">
        <v>0</v>
      </c>
      <c r="I319" t="n">
        <v>0</v>
      </c>
      <c r="J319" t="n">
        <v>0</v>
      </c>
      <c r="K319" t="n">
        <v>0</v>
      </c>
      <c r="L319" t="n">
        <v>0</v>
      </c>
      <c r="M319" t="n">
        <v>0</v>
      </c>
      <c r="N319" t="n">
        <v>0</v>
      </c>
      <c r="O319" t="n">
        <v>0</v>
      </c>
      <c r="P319" t="n">
        <v>0</v>
      </c>
      <c r="Q319" t="n">
        <v>0</v>
      </c>
      <c r="R319" s="2" t="inlineStr"/>
    </row>
    <row r="320" ht="15" customHeight="1">
      <c r="A320" t="inlineStr">
        <is>
          <t>A 54758-2025</t>
        </is>
      </c>
      <c r="B320" s="1" t="n">
        <v>45966.59737268519</v>
      </c>
      <c r="C320" s="1" t="n">
        <v>46168</v>
      </c>
      <c r="D320" t="inlineStr">
        <is>
          <t>UPPSALA LÄN</t>
        </is>
      </c>
      <c r="E320" t="inlineStr">
        <is>
          <t>ENKÖPING</t>
        </is>
      </c>
      <c r="G320" t="n">
        <v>3.3</v>
      </c>
      <c r="H320" t="n">
        <v>0</v>
      </c>
      <c r="I320" t="n">
        <v>0</v>
      </c>
      <c r="J320" t="n">
        <v>0</v>
      </c>
      <c r="K320" t="n">
        <v>0</v>
      </c>
      <c r="L320" t="n">
        <v>0</v>
      </c>
      <c r="M320" t="n">
        <v>0</v>
      </c>
      <c r="N320" t="n">
        <v>0</v>
      </c>
      <c r="O320" t="n">
        <v>0</v>
      </c>
      <c r="P320" t="n">
        <v>0</v>
      </c>
      <c r="Q320" t="n">
        <v>0</v>
      </c>
      <c r="R320" s="2" t="inlineStr"/>
    </row>
    <row r="321" ht="15" customHeight="1">
      <c r="A321" t="inlineStr">
        <is>
          <t>A 54541-2025</t>
        </is>
      </c>
      <c r="B321" s="1" t="n">
        <v>45965.64733796296</v>
      </c>
      <c r="C321" s="1" t="n">
        <v>46168</v>
      </c>
      <c r="D321" t="inlineStr">
        <is>
          <t>UPPSALA LÄN</t>
        </is>
      </c>
      <c r="E321" t="inlineStr">
        <is>
          <t>ENKÖPING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59602-2024</t>
        </is>
      </c>
      <c r="B322" s="1" t="n">
        <v>45638</v>
      </c>
      <c r="C322" s="1" t="n">
        <v>46168</v>
      </c>
      <c r="D322" t="inlineStr">
        <is>
          <t>UPPSALA LÄN</t>
        </is>
      </c>
      <c r="E322" t="inlineStr">
        <is>
          <t>ENKÖPING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5104-2026</t>
        </is>
      </c>
      <c r="B323" s="1" t="n">
        <v>46049.56914351852</v>
      </c>
      <c r="C323" s="1" t="n">
        <v>46168</v>
      </c>
      <c r="D323" t="inlineStr">
        <is>
          <t>UPPSALA LÄN</t>
        </is>
      </c>
      <c r="E323" t="inlineStr">
        <is>
          <t>ENKÖPING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5569-2026</t>
        </is>
      </c>
      <c r="B324" s="1" t="n">
        <v>46050.89431712963</v>
      </c>
      <c r="C324" s="1" t="n">
        <v>46168</v>
      </c>
      <c r="D324" t="inlineStr">
        <is>
          <t>UPPSALA LÄN</t>
        </is>
      </c>
      <c r="E324" t="inlineStr">
        <is>
          <t>ENKÖPING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14243-2025</t>
        </is>
      </c>
      <c r="B325" s="1" t="n">
        <v>45740.61288194444</v>
      </c>
      <c r="C325" s="1" t="n">
        <v>46168</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19488-2022</t>
        </is>
      </c>
      <c r="B326" s="1" t="n">
        <v>44693</v>
      </c>
      <c r="C326" s="1" t="n">
        <v>46168</v>
      </c>
      <c r="D326" t="inlineStr">
        <is>
          <t>UPPSALA LÄN</t>
        </is>
      </c>
      <c r="E326" t="inlineStr">
        <is>
          <t>ENKÖPING</t>
        </is>
      </c>
      <c r="G326" t="n">
        <v>7.8</v>
      </c>
      <c r="H326" t="n">
        <v>0</v>
      </c>
      <c r="I326" t="n">
        <v>0</v>
      </c>
      <c r="J326" t="n">
        <v>0</v>
      </c>
      <c r="K326" t="n">
        <v>0</v>
      </c>
      <c r="L326" t="n">
        <v>0</v>
      </c>
      <c r="M326" t="n">
        <v>0</v>
      </c>
      <c r="N326" t="n">
        <v>0</v>
      </c>
      <c r="O326" t="n">
        <v>0</v>
      </c>
      <c r="P326" t="n">
        <v>0</v>
      </c>
      <c r="Q326" t="n">
        <v>0</v>
      </c>
      <c r="R326" s="2" t="inlineStr"/>
    </row>
    <row r="327" ht="15" customHeight="1">
      <c r="A327" t="inlineStr">
        <is>
          <t>A 5948-2026</t>
        </is>
      </c>
      <c r="B327" s="1" t="n">
        <v>46052</v>
      </c>
      <c r="C327" s="1" t="n">
        <v>46168</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6031-2026</t>
        </is>
      </c>
      <c r="B328" s="1" t="n">
        <v>46052.61201388889</v>
      </c>
      <c r="C328" s="1" t="n">
        <v>46168</v>
      </c>
      <c r="D328" t="inlineStr">
        <is>
          <t>UPPSALA LÄN</t>
        </is>
      </c>
      <c r="E328" t="inlineStr">
        <is>
          <t>ENKÖPING</t>
        </is>
      </c>
      <c r="G328" t="n">
        <v>4.1</v>
      </c>
      <c r="H328" t="n">
        <v>0</v>
      </c>
      <c r="I328" t="n">
        <v>0</v>
      </c>
      <c r="J328" t="n">
        <v>0</v>
      </c>
      <c r="K328" t="n">
        <v>0</v>
      </c>
      <c r="L328" t="n">
        <v>0</v>
      </c>
      <c r="M328" t="n">
        <v>0</v>
      </c>
      <c r="N328" t="n">
        <v>0</v>
      </c>
      <c r="O328" t="n">
        <v>0</v>
      </c>
      <c r="P328" t="n">
        <v>0</v>
      </c>
      <c r="Q328" t="n">
        <v>0</v>
      </c>
      <c r="R328" s="2" t="inlineStr"/>
    </row>
    <row r="329" ht="15" customHeight="1">
      <c r="A329" t="inlineStr">
        <is>
          <t>A 55567-2025</t>
        </is>
      </c>
      <c r="B329" s="1" t="n">
        <v>45971.65589120371</v>
      </c>
      <c r="C329" s="1" t="n">
        <v>46168</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6047-2026</t>
        </is>
      </c>
      <c r="B330" s="1" t="n">
        <v>46052.62738425926</v>
      </c>
      <c r="C330" s="1" t="n">
        <v>46168</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41826-2024</t>
        </is>
      </c>
      <c r="B331" s="1" t="n">
        <v>45561</v>
      </c>
      <c r="C331" s="1" t="n">
        <v>46168</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16916-2022</t>
        </is>
      </c>
      <c r="B332" s="1" t="n">
        <v>44676</v>
      </c>
      <c r="C332" s="1" t="n">
        <v>46168</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69344-2021</t>
        </is>
      </c>
      <c r="B333" s="1" t="n">
        <v>44531</v>
      </c>
      <c r="C333" s="1" t="n">
        <v>46168</v>
      </c>
      <c r="D333" t="inlineStr">
        <is>
          <t>UPPSALA LÄN</t>
        </is>
      </c>
      <c r="E333" t="inlineStr">
        <is>
          <t>ENKÖPING</t>
        </is>
      </c>
      <c r="G333" t="n">
        <v>2.9</v>
      </c>
      <c r="H333" t="n">
        <v>0</v>
      </c>
      <c r="I333" t="n">
        <v>0</v>
      </c>
      <c r="J333" t="n">
        <v>0</v>
      </c>
      <c r="K333" t="n">
        <v>0</v>
      </c>
      <c r="L333" t="n">
        <v>0</v>
      </c>
      <c r="M333" t="n">
        <v>0</v>
      </c>
      <c r="N333" t="n">
        <v>0</v>
      </c>
      <c r="O333" t="n">
        <v>0</v>
      </c>
      <c r="P333" t="n">
        <v>0</v>
      </c>
      <c r="Q333" t="n">
        <v>0</v>
      </c>
      <c r="R333" s="2" t="inlineStr"/>
    </row>
    <row r="334" ht="15" customHeight="1">
      <c r="A334" t="inlineStr">
        <is>
          <t>A 44115-2024</t>
        </is>
      </c>
      <c r="B334" s="1" t="n">
        <v>45572</v>
      </c>
      <c r="C334" s="1" t="n">
        <v>46168</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30634-2022</t>
        </is>
      </c>
      <c r="B335" s="1" t="n">
        <v>44763.45711805556</v>
      </c>
      <c r="C335" s="1" t="n">
        <v>46168</v>
      </c>
      <c r="D335" t="inlineStr">
        <is>
          <t>UPPSALA LÄN</t>
        </is>
      </c>
      <c r="E335" t="inlineStr">
        <is>
          <t>ENKÖPING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7003-2026</t>
        </is>
      </c>
      <c r="B336" s="1" t="n">
        <v>46057.63243055555</v>
      </c>
      <c r="C336" s="1" t="n">
        <v>46168</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34124-2021</t>
        </is>
      </c>
      <c r="B337" s="1" t="n">
        <v>44379</v>
      </c>
      <c r="C337" s="1" t="n">
        <v>46168</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43697-2024</t>
        </is>
      </c>
      <c r="B338" s="1" t="n">
        <v>45569</v>
      </c>
      <c r="C338" s="1" t="n">
        <v>46168</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56625-2025</t>
        </is>
      </c>
      <c r="B339" s="1" t="n">
        <v>45975.60608796297</v>
      </c>
      <c r="C339" s="1" t="n">
        <v>46168</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7008-2026</t>
        </is>
      </c>
      <c r="B340" s="1" t="n">
        <v>46057.63806712963</v>
      </c>
      <c r="C340" s="1" t="n">
        <v>46168</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57294-2025</t>
        </is>
      </c>
      <c r="B341" s="1" t="n">
        <v>45979</v>
      </c>
      <c r="C341" s="1" t="n">
        <v>46168</v>
      </c>
      <c r="D341" t="inlineStr">
        <is>
          <t>UPPSALA LÄN</t>
        </is>
      </c>
      <c r="E341" t="inlineStr">
        <is>
          <t>ENKÖPING</t>
        </is>
      </c>
      <c r="G341" t="n">
        <v>6.2</v>
      </c>
      <c r="H341" t="n">
        <v>0</v>
      </c>
      <c r="I341" t="n">
        <v>0</v>
      </c>
      <c r="J341" t="n">
        <v>0</v>
      </c>
      <c r="K341" t="n">
        <v>0</v>
      </c>
      <c r="L341" t="n">
        <v>0</v>
      </c>
      <c r="M341" t="n">
        <v>0</v>
      </c>
      <c r="N341" t="n">
        <v>0</v>
      </c>
      <c r="O341" t="n">
        <v>0</v>
      </c>
      <c r="P341" t="n">
        <v>0</v>
      </c>
      <c r="Q341" t="n">
        <v>0</v>
      </c>
      <c r="R341" s="2" t="inlineStr"/>
    </row>
    <row r="342" ht="15" customHeight="1">
      <c r="A342" t="inlineStr">
        <is>
          <t>A 3300-2025</t>
        </is>
      </c>
      <c r="B342" s="1" t="n">
        <v>45679</v>
      </c>
      <c r="C342" s="1" t="n">
        <v>46168</v>
      </c>
      <c r="D342" t="inlineStr">
        <is>
          <t>UPPSALA LÄN</t>
        </is>
      </c>
      <c r="E342" t="inlineStr">
        <is>
          <t>ENKÖPING</t>
        </is>
      </c>
      <c r="G342" t="n">
        <v>8.9</v>
      </c>
      <c r="H342" t="n">
        <v>0</v>
      </c>
      <c r="I342" t="n">
        <v>0</v>
      </c>
      <c r="J342" t="n">
        <v>0</v>
      </c>
      <c r="K342" t="n">
        <v>0</v>
      </c>
      <c r="L342" t="n">
        <v>0</v>
      </c>
      <c r="M342" t="n">
        <v>0</v>
      </c>
      <c r="N342" t="n">
        <v>0</v>
      </c>
      <c r="O342" t="n">
        <v>0</v>
      </c>
      <c r="P342" t="n">
        <v>0</v>
      </c>
      <c r="Q342" t="n">
        <v>0</v>
      </c>
      <c r="R342" s="2" t="inlineStr"/>
    </row>
    <row r="343" ht="15" customHeight="1">
      <c r="A343" t="inlineStr">
        <is>
          <t>A 58025-2025</t>
        </is>
      </c>
      <c r="B343" s="1" t="n">
        <v>45982</v>
      </c>
      <c r="C343" s="1" t="n">
        <v>46168</v>
      </c>
      <c r="D343" t="inlineStr">
        <is>
          <t>UPPSALA LÄN</t>
        </is>
      </c>
      <c r="E343" t="inlineStr">
        <is>
          <t>ENKÖPING</t>
        </is>
      </c>
      <c r="G343" t="n">
        <v>3.2</v>
      </c>
      <c r="H343" t="n">
        <v>0</v>
      </c>
      <c r="I343" t="n">
        <v>0</v>
      </c>
      <c r="J343" t="n">
        <v>0</v>
      </c>
      <c r="K343" t="n">
        <v>0</v>
      </c>
      <c r="L343" t="n">
        <v>0</v>
      </c>
      <c r="M343" t="n">
        <v>0</v>
      </c>
      <c r="N343" t="n">
        <v>0</v>
      </c>
      <c r="O343" t="n">
        <v>0</v>
      </c>
      <c r="P343" t="n">
        <v>0</v>
      </c>
      <c r="Q343" t="n">
        <v>0</v>
      </c>
      <c r="R343" s="2" t="inlineStr"/>
    </row>
    <row r="344" ht="15" customHeight="1">
      <c r="A344" t="inlineStr">
        <is>
          <t>A 27983-2024</t>
        </is>
      </c>
      <c r="B344" s="1" t="n">
        <v>45476</v>
      </c>
      <c r="C344" s="1" t="n">
        <v>46168</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8309-2026</t>
        </is>
      </c>
      <c r="B345" s="1" t="n">
        <v>46064.59081018518</v>
      </c>
      <c r="C345" s="1" t="n">
        <v>46168</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51010-2024</t>
        </is>
      </c>
      <c r="B346" s="1" t="n">
        <v>45603.39285879629</v>
      </c>
      <c r="C346" s="1" t="n">
        <v>46168</v>
      </c>
      <c r="D346" t="inlineStr">
        <is>
          <t>UPPSALA LÄN</t>
        </is>
      </c>
      <c r="E346" t="inlineStr">
        <is>
          <t>ENKÖPING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51120-2023</t>
        </is>
      </c>
      <c r="B347" s="1" t="n">
        <v>45219.3088425926</v>
      </c>
      <c r="C347" s="1" t="n">
        <v>46168</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26319-2022</t>
        </is>
      </c>
      <c r="B348" s="1" t="n">
        <v>44735</v>
      </c>
      <c r="C348" s="1" t="n">
        <v>46168</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54357-2023</t>
        </is>
      </c>
      <c r="B349" s="1" t="n">
        <v>45225</v>
      </c>
      <c r="C349" s="1" t="n">
        <v>46168</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57188-2025</t>
        </is>
      </c>
      <c r="B350" s="1" t="n">
        <v>45979</v>
      </c>
      <c r="C350" s="1" t="n">
        <v>46168</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63402-2023</t>
        </is>
      </c>
      <c r="B351" s="1" t="n">
        <v>45274.50646990741</v>
      </c>
      <c r="C351" s="1" t="n">
        <v>46168</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9148-2026</t>
        </is>
      </c>
      <c r="B352" s="1" t="n">
        <v>46070.30946759259</v>
      </c>
      <c r="C352" s="1" t="n">
        <v>46168</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53208-2023</t>
        </is>
      </c>
      <c r="B353" s="1" t="n">
        <v>45226</v>
      </c>
      <c r="C353" s="1" t="n">
        <v>46168</v>
      </c>
      <c r="D353" t="inlineStr">
        <is>
          <t>UPPSALA LÄN</t>
        </is>
      </c>
      <c r="E353" t="inlineStr">
        <is>
          <t>ENKÖPING</t>
        </is>
      </c>
      <c r="G353" t="n">
        <v>4.3</v>
      </c>
      <c r="H353" t="n">
        <v>0</v>
      </c>
      <c r="I353" t="n">
        <v>0</v>
      </c>
      <c r="J353" t="n">
        <v>0</v>
      </c>
      <c r="K353" t="n">
        <v>0</v>
      </c>
      <c r="L353" t="n">
        <v>0</v>
      </c>
      <c r="M353" t="n">
        <v>0</v>
      </c>
      <c r="N353" t="n">
        <v>0</v>
      </c>
      <c r="O353" t="n">
        <v>0</v>
      </c>
      <c r="P353" t="n">
        <v>0</v>
      </c>
      <c r="Q353" t="n">
        <v>0</v>
      </c>
      <c r="R353" s="2" t="inlineStr"/>
    </row>
    <row r="354" ht="15" customHeight="1">
      <c r="A354" t="inlineStr">
        <is>
          <t>A 59668-2025</t>
        </is>
      </c>
      <c r="B354" s="1" t="n">
        <v>45992.45567129629</v>
      </c>
      <c r="C354" s="1" t="n">
        <v>46168</v>
      </c>
      <c r="D354" t="inlineStr">
        <is>
          <t>UPPSALA LÄN</t>
        </is>
      </c>
      <c r="E354" t="inlineStr">
        <is>
          <t>ENKÖPING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9467-2026</t>
        </is>
      </c>
      <c r="B355" s="1" t="n">
        <v>46071.50694444445</v>
      </c>
      <c r="C355" s="1" t="n">
        <v>46168</v>
      </c>
      <c r="D355" t="inlineStr">
        <is>
          <t>UPPSALA LÄN</t>
        </is>
      </c>
      <c r="E355" t="inlineStr">
        <is>
          <t>ENKÖPING</t>
        </is>
      </c>
      <c r="G355" t="n">
        <v>5.9</v>
      </c>
      <c r="H355" t="n">
        <v>0</v>
      </c>
      <c r="I355" t="n">
        <v>0</v>
      </c>
      <c r="J355" t="n">
        <v>0</v>
      </c>
      <c r="K355" t="n">
        <v>0</v>
      </c>
      <c r="L355" t="n">
        <v>0</v>
      </c>
      <c r="M355" t="n">
        <v>0</v>
      </c>
      <c r="N355" t="n">
        <v>0</v>
      </c>
      <c r="O355" t="n">
        <v>0</v>
      </c>
      <c r="P355" t="n">
        <v>0</v>
      </c>
      <c r="Q355" t="n">
        <v>0</v>
      </c>
      <c r="R355" s="2" t="inlineStr"/>
    </row>
    <row r="356" ht="15" customHeight="1">
      <c r="A356" t="inlineStr">
        <is>
          <t>A 9474-2026</t>
        </is>
      </c>
      <c r="B356" s="1" t="n">
        <v>46071.52324074074</v>
      </c>
      <c r="C356" s="1" t="n">
        <v>46168</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9469-2026</t>
        </is>
      </c>
      <c r="B357" s="1" t="n">
        <v>46071.51248842593</v>
      </c>
      <c r="C357" s="1" t="n">
        <v>46168</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59964-2025</t>
        </is>
      </c>
      <c r="B358" s="1" t="n">
        <v>45993.48043981481</v>
      </c>
      <c r="C358" s="1" t="n">
        <v>46168</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60174-2025</t>
        </is>
      </c>
      <c r="B359" s="1" t="n">
        <v>45994.45039351852</v>
      </c>
      <c r="C359" s="1" t="n">
        <v>46168</v>
      </c>
      <c r="D359" t="inlineStr">
        <is>
          <t>UPPSALA LÄN</t>
        </is>
      </c>
      <c r="E359" t="inlineStr">
        <is>
          <t>ENKÖPING</t>
        </is>
      </c>
      <c r="G359" t="n">
        <v>2.8</v>
      </c>
      <c r="H359" t="n">
        <v>0</v>
      </c>
      <c r="I359" t="n">
        <v>0</v>
      </c>
      <c r="J359" t="n">
        <v>0</v>
      </c>
      <c r="K359" t="n">
        <v>0</v>
      </c>
      <c r="L359" t="n">
        <v>0</v>
      </c>
      <c r="M359" t="n">
        <v>0</v>
      </c>
      <c r="N359" t="n">
        <v>0</v>
      </c>
      <c r="O359" t="n">
        <v>0</v>
      </c>
      <c r="P359" t="n">
        <v>0</v>
      </c>
      <c r="Q359" t="n">
        <v>0</v>
      </c>
      <c r="R359" s="2" t="inlineStr"/>
    </row>
    <row r="360" ht="15" customHeight="1">
      <c r="A360" t="inlineStr">
        <is>
          <t>A 60175-2025</t>
        </is>
      </c>
      <c r="B360" s="1" t="n">
        <v>45994.45378472222</v>
      </c>
      <c r="C360" s="1" t="n">
        <v>46168</v>
      </c>
      <c r="D360" t="inlineStr">
        <is>
          <t>UPPSALA LÄN</t>
        </is>
      </c>
      <c r="E360" t="inlineStr">
        <is>
          <t>ENKÖPING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22912-2024</t>
        </is>
      </c>
      <c r="B361" s="1" t="n">
        <v>45448.73118055556</v>
      </c>
      <c r="C361" s="1" t="n">
        <v>46168</v>
      </c>
      <c r="D361" t="inlineStr">
        <is>
          <t>UPPSALA LÄN</t>
        </is>
      </c>
      <c r="E361" t="inlineStr">
        <is>
          <t>ENKÖPING</t>
        </is>
      </c>
      <c r="G361" t="n">
        <v>2.8</v>
      </c>
      <c r="H361" t="n">
        <v>0</v>
      </c>
      <c r="I361" t="n">
        <v>0</v>
      </c>
      <c r="J361" t="n">
        <v>0</v>
      </c>
      <c r="K361" t="n">
        <v>0</v>
      </c>
      <c r="L361" t="n">
        <v>0</v>
      </c>
      <c r="M361" t="n">
        <v>0</v>
      </c>
      <c r="N361" t="n">
        <v>0</v>
      </c>
      <c r="O361" t="n">
        <v>0</v>
      </c>
      <c r="P361" t="n">
        <v>0</v>
      </c>
      <c r="Q361" t="n">
        <v>0</v>
      </c>
      <c r="R361" s="2" t="inlineStr"/>
    </row>
    <row r="362" ht="15" customHeight="1">
      <c r="A362" t="inlineStr">
        <is>
          <t>A 18259-2025</t>
        </is>
      </c>
      <c r="B362" s="1" t="n">
        <v>45762</v>
      </c>
      <c r="C362" s="1" t="n">
        <v>46168</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60125-2024</t>
        </is>
      </c>
      <c r="B363" s="1" t="n">
        <v>45642</v>
      </c>
      <c r="C363" s="1" t="n">
        <v>46168</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62158-2023</t>
        </is>
      </c>
      <c r="B364" s="1" t="n">
        <v>45267</v>
      </c>
      <c r="C364" s="1" t="n">
        <v>46168</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60340-2025</t>
        </is>
      </c>
      <c r="B365" s="1" t="n">
        <v>45994.83415509259</v>
      </c>
      <c r="C365" s="1" t="n">
        <v>46168</v>
      </c>
      <c r="D365" t="inlineStr">
        <is>
          <t>UPPSALA LÄN</t>
        </is>
      </c>
      <c r="E365" t="inlineStr">
        <is>
          <t>ENKÖPING</t>
        </is>
      </c>
      <c r="G365" t="n">
        <v>5.6</v>
      </c>
      <c r="H365" t="n">
        <v>0</v>
      </c>
      <c r="I365" t="n">
        <v>0</v>
      </c>
      <c r="J365" t="n">
        <v>0</v>
      </c>
      <c r="K365" t="n">
        <v>0</v>
      </c>
      <c r="L365" t="n">
        <v>0</v>
      </c>
      <c r="M365" t="n">
        <v>0</v>
      </c>
      <c r="N365" t="n">
        <v>0</v>
      </c>
      <c r="O365" t="n">
        <v>0</v>
      </c>
      <c r="P365" t="n">
        <v>0</v>
      </c>
      <c r="Q365" t="n">
        <v>0</v>
      </c>
      <c r="R365" s="2" t="inlineStr"/>
    </row>
    <row r="366" ht="15" customHeight="1">
      <c r="A366" t="inlineStr">
        <is>
          <t>A 60874-2023</t>
        </is>
      </c>
      <c r="B366" s="1" t="n">
        <v>45261.06280092592</v>
      </c>
      <c r="C366" s="1" t="n">
        <v>46168</v>
      </c>
      <c r="D366" t="inlineStr">
        <is>
          <t>UPPSALA LÄN</t>
        </is>
      </c>
      <c r="E366" t="inlineStr">
        <is>
          <t>ENKÖPING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60947-2025</t>
        </is>
      </c>
      <c r="B367" s="1" t="n">
        <v>45999</v>
      </c>
      <c r="C367" s="1" t="n">
        <v>46168</v>
      </c>
      <c r="D367" t="inlineStr">
        <is>
          <t>UPPSALA LÄN</t>
        </is>
      </c>
      <c r="E367" t="inlineStr">
        <is>
          <t>ENKÖPING</t>
        </is>
      </c>
      <c r="G367" t="n">
        <v>4</v>
      </c>
      <c r="H367" t="n">
        <v>0</v>
      </c>
      <c r="I367" t="n">
        <v>0</v>
      </c>
      <c r="J367" t="n">
        <v>0</v>
      </c>
      <c r="K367" t="n">
        <v>0</v>
      </c>
      <c r="L367" t="n">
        <v>0</v>
      </c>
      <c r="M367" t="n">
        <v>0</v>
      </c>
      <c r="N367" t="n">
        <v>0</v>
      </c>
      <c r="O367" t="n">
        <v>0</v>
      </c>
      <c r="P367" t="n">
        <v>0</v>
      </c>
      <c r="Q367" t="n">
        <v>0</v>
      </c>
      <c r="R367" s="2" t="inlineStr"/>
    </row>
    <row r="368" ht="15" customHeight="1">
      <c r="A368" t="inlineStr">
        <is>
          <t>A 29477-2025</t>
        </is>
      </c>
      <c r="B368" s="1" t="n">
        <v>45824.71537037037</v>
      </c>
      <c r="C368" s="1" t="n">
        <v>46168</v>
      </c>
      <c r="D368" t="inlineStr">
        <is>
          <t>UPPSALA LÄN</t>
        </is>
      </c>
      <c r="E368" t="inlineStr">
        <is>
          <t>ENKÖPING</t>
        </is>
      </c>
      <c r="G368" t="n">
        <v>13.4</v>
      </c>
      <c r="H368" t="n">
        <v>0</v>
      </c>
      <c r="I368" t="n">
        <v>0</v>
      </c>
      <c r="J368" t="n">
        <v>0</v>
      </c>
      <c r="K368" t="n">
        <v>0</v>
      </c>
      <c r="L368" t="n">
        <v>0</v>
      </c>
      <c r="M368" t="n">
        <v>0</v>
      </c>
      <c r="N368" t="n">
        <v>0</v>
      </c>
      <c r="O368" t="n">
        <v>0</v>
      </c>
      <c r="P368" t="n">
        <v>0</v>
      </c>
      <c r="Q368" t="n">
        <v>0</v>
      </c>
      <c r="R368" s="2" t="inlineStr"/>
    </row>
    <row r="369" ht="15" customHeight="1">
      <c r="A369" t="inlineStr">
        <is>
          <t>A 60934-2025</t>
        </is>
      </c>
      <c r="B369" s="1" t="n">
        <v>45999</v>
      </c>
      <c r="C369" s="1" t="n">
        <v>46168</v>
      </c>
      <c r="D369" t="inlineStr">
        <is>
          <t>UPPSALA LÄN</t>
        </is>
      </c>
      <c r="E369" t="inlineStr">
        <is>
          <t>ENKÖPING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61437-2025</t>
        </is>
      </c>
      <c r="B370" s="1" t="n">
        <v>46001.5659375</v>
      </c>
      <c r="C370" s="1" t="n">
        <v>46168</v>
      </c>
      <c r="D370" t="inlineStr">
        <is>
          <t>UPPSALA LÄN</t>
        </is>
      </c>
      <c r="E370" t="inlineStr">
        <is>
          <t>ENKÖPING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3550-2023</t>
        </is>
      </c>
      <c r="B371" s="1" t="n">
        <v>44950</v>
      </c>
      <c r="C371" s="1" t="n">
        <v>46168</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38941-2025</t>
        </is>
      </c>
      <c r="B372" s="1" t="n">
        <v>45887</v>
      </c>
      <c r="C372" s="1" t="n">
        <v>46168</v>
      </c>
      <c r="D372" t="inlineStr">
        <is>
          <t>UPPSALA LÄN</t>
        </is>
      </c>
      <c r="E372" t="inlineStr">
        <is>
          <t>ENKÖPING</t>
        </is>
      </c>
      <c r="F372" t="inlineStr">
        <is>
          <t>Övriga statliga verk och myndigheter</t>
        </is>
      </c>
      <c r="G372" t="n">
        <v>0.6</v>
      </c>
      <c r="H372" t="n">
        <v>0</v>
      </c>
      <c r="I372" t="n">
        <v>0</v>
      </c>
      <c r="J372" t="n">
        <v>0</v>
      </c>
      <c r="K372" t="n">
        <v>0</v>
      </c>
      <c r="L372" t="n">
        <v>0</v>
      </c>
      <c r="M372" t="n">
        <v>0</v>
      </c>
      <c r="N372" t="n">
        <v>0</v>
      </c>
      <c r="O372" t="n">
        <v>0</v>
      </c>
      <c r="P372" t="n">
        <v>0</v>
      </c>
      <c r="Q372" t="n">
        <v>0</v>
      </c>
      <c r="R372" s="2" t="inlineStr"/>
    </row>
    <row r="373" ht="15" customHeight="1">
      <c r="A373" t="inlineStr">
        <is>
          <t>A 9667-2024</t>
        </is>
      </c>
      <c r="B373" s="1" t="n">
        <v>45362.45130787037</v>
      </c>
      <c r="C373" s="1" t="n">
        <v>46168</v>
      </c>
      <c r="D373" t="inlineStr">
        <is>
          <t>UPPSALA LÄN</t>
        </is>
      </c>
      <c r="E373" t="inlineStr">
        <is>
          <t>ENKÖPING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61778-2025</t>
        </is>
      </c>
      <c r="B374" s="1" t="n">
        <v>46002.66555555556</v>
      </c>
      <c r="C374" s="1" t="n">
        <v>46168</v>
      </c>
      <c r="D374" t="inlineStr">
        <is>
          <t>UPPSALA LÄN</t>
        </is>
      </c>
      <c r="E374" t="inlineStr">
        <is>
          <t>ENKÖPING</t>
        </is>
      </c>
      <c r="G374" t="n">
        <v>3.2</v>
      </c>
      <c r="H374" t="n">
        <v>0</v>
      </c>
      <c r="I374" t="n">
        <v>0</v>
      </c>
      <c r="J374" t="n">
        <v>0</v>
      </c>
      <c r="K374" t="n">
        <v>0</v>
      </c>
      <c r="L374" t="n">
        <v>0</v>
      </c>
      <c r="M374" t="n">
        <v>0</v>
      </c>
      <c r="N374" t="n">
        <v>0</v>
      </c>
      <c r="O374" t="n">
        <v>0</v>
      </c>
      <c r="P374" t="n">
        <v>0</v>
      </c>
      <c r="Q374" t="n">
        <v>0</v>
      </c>
      <c r="R374" s="2" t="inlineStr"/>
    </row>
    <row r="375" ht="15" customHeight="1">
      <c r="A375" t="inlineStr">
        <is>
          <t>A 26292-2022</t>
        </is>
      </c>
      <c r="B375" s="1" t="n">
        <v>44735</v>
      </c>
      <c r="C375" s="1" t="n">
        <v>46168</v>
      </c>
      <c r="D375" t="inlineStr">
        <is>
          <t>UPPSALA LÄN</t>
        </is>
      </c>
      <c r="E375" t="inlineStr">
        <is>
          <t>ENKÖPING</t>
        </is>
      </c>
      <c r="F375" t="inlineStr">
        <is>
          <t>Kyrkan</t>
        </is>
      </c>
      <c r="G375" t="n">
        <v>4.6</v>
      </c>
      <c r="H375" t="n">
        <v>0</v>
      </c>
      <c r="I375" t="n">
        <v>0</v>
      </c>
      <c r="J375" t="n">
        <v>0</v>
      </c>
      <c r="K375" t="n">
        <v>0</v>
      </c>
      <c r="L375" t="n">
        <v>0</v>
      </c>
      <c r="M375" t="n">
        <v>0</v>
      </c>
      <c r="N375" t="n">
        <v>0</v>
      </c>
      <c r="O375" t="n">
        <v>0</v>
      </c>
      <c r="P375" t="n">
        <v>0</v>
      </c>
      <c r="Q375" t="n">
        <v>0</v>
      </c>
      <c r="R375" s="2" t="inlineStr"/>
    </row>
    <row r="376" ht="15" customHeight="1">
      <c r="A376" t="inlineStr">
        <is>
          <t>A 18565-2026</t>
        </is>
      </c>
      <c r="B376" s="1" t="n">
        <v>46127.5871412037</v>
      </c>
      <c r="C376" s="1" t="n">
        <v>46168</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61811-2025</t>
        </is>
      </c>
      <c r="B377" s="1" t="n">
        <v>46002.90059027778</v>
      </c>
      <c r="C377" s="1" t="n">
        <v>46168</v>
      </c>
      <c r="D377" t="inlineStr">
        <is>
          <t>UPPSALA LÄN</t>
        </is>
      </c>
      <c r="E377" t="inlineStr">
        <is>
          <t>ENKÖPING</t>
        </is>
      </c>
      <c r="F377" t="inlineStr">
        <is>
          <t>Allmännings- och besparingsskogar</t>
        </is>
      </c>
      <c r="G377" t="n">
        <v>4.7</v>
      </c>
      <c r="H377" t="n">
        <v>0</v>
      </c>
      <c r="I377" t="n">
        <v>0</v>
      </c>
      <c r="J377" t="n">
        <v>0</v>
      </c>
      <c r="K377" t="n">
        <v>0</v>
      </c>
      <c r="L377" t="n">
        <v>0</v>
      </c>
      <c r="M377" t="n">
        <v>0</v>
      </c>
      <c r="N377" t="n">
        <v>0</v>
      </c>
      <c r="O377" t="n">
        <v>0</v>
      </c>
      <c r="P377" t="n">
        <v>0</v>
      </c>
      <c r="Q377" t="n">
        <v>0</v>
      </c>
      <c r="R377" s="2" t="inlineStr"/>
    </row>
    <row r="378" ht="15" customHeight="1">
      <c r="A378" t="inlineStr">
        <is>
          <t>A 61207-2023</t>
        </is>
      </c>
      <c r="B378" s="1" t="n">
        <v>45264.39444444444</v>
      </c>
      <c r="C378" s="1" t="n">
        <v>46168</v>
      </c>
      <c r="D378" t="inlineStr">
        <is>
          <t>UPPSALA LÄN</t>
        </is>
      </c>
      <c r="E378" t="inlineStr">
        <is>
          <t>ENKÖPING</t>
        </is>
      </c>
      <c r="G378" t="n">
        <v>10.8</v>
      </c>
      <c r="H378" t="n">
        <v>0</v>
      </c>
      <c r="I378" t="n">
        <v>0</v>
      </c>
      <c r="J378" t="n">
        <v>0</v>
      </c>
      <c r="K378" t="n">
        <v>0</v>
      </c>
      <c r="L378" t="n">
        <v>0</v>
      </c>
      <c r="M378" t="n">
        <v>0</v>
      </c>
      <c r="N378" t="n">
        <v>0</v>
      </c>
      <c r="O378" t="n">
        <v>0</v>
      </c>
      <c r="P378" t="n">
        <v>0</v>
      </c>
      <c r="Q378" t="n">
        <v>0</v>
      </c>
      <c r="R378" s="2" t="inlineStr"/>
    </row>
    <row r="379" ht="15" customHeight="1">
      <c r="A379" t="inlineStr">
        <is>
          <t>A 18562-2026</t>
        </is>
      </c>
      <c r="B379" s="1" t="n">
        <v>46127</v>
      </c>
      <c r="C379" s="1" t="n">
        <v>46168</v>
      </c>
      <c r="D379" t="inlineStr">
        <is>
          <t>UPPSALA LÄN</t>
        </is>
      </c>
      <c r="E379" t="inlineStr">
        <is>
          <t>ENKÖPING</t>
        </is>
      </c>
      <c r="G379" t="n">
        <v>4</v>
      </c>
      <c r="H379" t="n">
        <v>0</v>
      </c>
      <c r="I379" t="n">
        <v>0</v>
      </c>
      <c r="J379" t="n">
        <v>0</v>
      </c>
      <c r="K379" t="n">
        <v>0</v>
      </c>
      <c r="L379" t="n">
        <v>0</v>
      </c>
      <c r="M379" t="n">
        <v>0</v>
      </c>
      <c r="N379" t="n">
        <v>0</v>
      </c>
      <c r="O379" t="n">
        <v>0</v>
      </c>
      <c r="P379" t="n">
        <v>0</v>
      </c>
      <c r="Q379" t="n">
        <v>0</v>
      </c>
      <c r="R379" s="2" t="inlineStr"/>
    </row>
    <row r="380" ht="15" customHeight="1">
      <c r="A380" t="inlineStr">
        <is>
          <t>A 18643-2026</t>
        </is>
      </c>
      <c r="B380" s="1" t="n">
        <v>46128.33024305556</v>
      </c>
      <c r="C380" s="1" t="n">
        <v>46168</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61889-2025</t>
        </is>
      </c>
      <c r="B381" s="1" t="n">
        <v>46003.44765046296</v>
      </c>
      <c r="C381" s="1" t="n">
        <v>46168</v>
      </c>
      <c r="D381" t="inlineStr">
        <is>
          <t>UPPSALA LÄN</t>
        </is>
      </c>
      <c r="E381" t="inlineStr">
        <is>
          <t>ENKÖPING</t>
        </is>
      </c>
      <c r="G381" t="n">
        <v>2.3</v>
      </c>
      <c r="H381" t="n">
        <v>0</v>
      </c>
      <c r="I381" t="n">
        <v>0</v>
      </c>
      <c r="J381" t="n">
        <v>0</v>
      </c>
      <c r="K381" t="n">
        <v>0</v>
      </c>
      <c r="L381" t="n">
        <v>0</v>
      </c>
      <c r="M381" t="n">
        <v>0</v>
      </c>
      <c r="N381" t="n">
        <v>0</v>
      </c>
      <c r="O381" t="n">
        <v>0</v>
      </c>
      <c r="P381" t="n">
        <v>0</v>
      </c>
      <c r="Q381" t="n">
        <v>0</v>
      </c>
      <c r="R381" s="2" t="inlineStr"/>
    </row>
    <row r="382" ht="15" customHeight="1">
      <c r="A382" t="inlineStr">
        <is>
          <t>A 18806-2026</t>
        </is>
      </c>
      <c r="B382" s="1" t="n">
        <v>46128.63238425926</v>
      </c>
      <c r="C382" s="1" t="n">
        <v>46168</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18644-2026</t>
        </is>
      </c>
      <c r="B383" s="1" t="n">
        <v>46128.33157407407</v>
      </c>
      <c r="C383" s="1" t="n">
        <v>46168</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62772-2025</t>
        </is>
      </c>
      <c r="B384" s="1" t="n">
        <v>46008.60365740741</v>
      </c>
      <c r="C384" s="1" t="n">
        <v>46168</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62599-2025</t>
        </is>
      </c>
      <c r="B385" s="1" t="n">
        <v>46007.91961805556</v>
      </c>
      <c r="C385" s="1" t="n">
        <v>46168</v>
      </c>
      <c r="D385" t="inlineStr">
        <is>
          <t>UPPSALA LÄN</t>
        </is>
      </c>
      <c r="E385" t="inlineStr">
        <is>
          <t>ENKÖPING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62601-2025</t>
        </is>
      </c>
      <c r="B386" s="1" t="n">
        <v>46007.92395833333</v>
      </c>
      <c r="C386" s="1" t="n">
        <v>46168</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62602-2025</t>
        </is>
      </c>
      <c r="B387" s="1" t="n">
        <v>46007.92581018519</v>
      </c>
      <c r="C387" s="1" t="n">
        <v>46168</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840-2025</t>
        </is>
      </c>
      <c r="B388" s="1" t="n">
        <v>45665</v>
      </c>
      <c r="C388" s="1" t="n">
        <v>46168</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62600-2025</t>
        </is>
      </c>
      <c r="B389" s="1" t="n">
        <v>46007.92175925926</v>
      </c>
      <c r="C389" s="1" t="n">
        <v>46168</v>
      </c>
      <c r="D389" t="inlineStr">
        <is>
          <t>UPPSALA LÄN</t>
        </is>
      </c>
      <c r="E389" t="inlineStr">
        <is>
          <t>ENKÖPING</t>
        </is>
      </c>
      <c r="G389" t="n">
        <v>2</v>
      </c>
      <c r="H389" t="n">
        <v>0</v>
      </c>
      <c r="I389" t="n">
        <v>0</v>
      </c>
      <c r="J389" t="n">
        <v>0</v>
      </c>
      <c r="K389" t="n">
        <v>0</v>
      </c>
      <c r="L389" t="n">
        <v>0</v>
      </c>
      <c r="M389" t="n">
        <v>0</v>
      </c>
      <c r="N389" t="n">
        <v>0</v>
      </c>
      <c r="O389" t="n">
        <v>0</v>
      </c>
      <c r="P389" t="n">
        <v>0</v>
      </c>
      <c r="Q389" t="n">
        <v>0</v>
      </c>
      <c r="R389" s="2" t="inlineStr"/>
    </row>
    <row r="390" ht="15" customHeight="1">
      <c r="A390" t="inlineStr">
        <is>
          <t>A 63128-2025</t>
        </is>
      </c>
      <c r="B390" s="1" t="n">
        <v>46009</v>
      </c>
      <c r="C390" s="1" t="n">
        <v>46168</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44623.56711805556</v>
      </c>
      <c r="C391" s="1" t="n">
        <v>46168</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45142-2023</t>
        </is>
      </c>
      <c r="B392" s="1" t="n">
        <v>45191.4702662037</v>
      </c>
      <c r="C392" s="1" t="n">
        <v>46168</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57998-2024</t>
        </is>
      </c>
      <c r="B393" s="1" t="n">
        <v>45631</v>
      </c>
      <c r="C393" s="1" t="n">
        <v>46168</v>
      </c>
      <c r="D393" t="inlineStr">
        <is>
          <t>UPPSALA LÄN</t>
        </is>
      </c>
      <c r="E393" t="inlineStr">
        <is>
          <t>ENKÖPING</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12411-2026</t>
        </is>
      </c>
      <c r="B394" s="1" t="n">
        <v>46090.42670138889</v>
      </c>
      <c r="C394" s="1" t="n">
        <v>46168</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14332-2024</t>
        </is>
      </c>
      <c r="B395" s="1" t="n">
        <v>45393</v>
      </c>
      <c r="C395" s="1" t="n">
        <v>46168</v>
      </c>
      <c r="D395" t="inlineStr">
        <is>
          <t>UPPSALA LÄN</t>
        </is>
      </c>
      <c r="E395" t="inlineStr">
        <is>
          <t>ENKÖPING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18831-2023</t>
        </is>
      </c>
      <c r="B396" s="1" t="n">
        <v>45044.40798611111</v>
      </c>
      <c r="C396" s="1" t="n">
        <v>46168</v>
      </c>
      <c r="D396" t="inlineStr">
        <is>
          <t>UPPSALA LÄN</t>
        </is>
      </c>
      <c r="E396" t="inlineStr">
        <is>
          <t>ENKÖPING</t>
        </is>
      </c>
      <c r="G396" t="n">
        <v>4.3</v>
      </c>
      <c r="H396" t="n">
        <v>0</v>
      </c>
      <c r="I396" t="n">
        <v>0</v>
      </c>
      <c r="J396" t="n">
        <v>0</v>
      </c>
      <c r="K396" t="n">
        <v>0</v>
      </c>
      <c r="L396" t="n">
        <v>0</v>
      </c>
      <c r="M396" t="n">
        <v>0</v>
      </c>
      <c r="N396" t="n">
        <v>0</v>
      </c>
      <c r="O396" t="n">
        <v>0</v>
      </c>
      <c r="P396" t="n">
        <v>0</v>
      </c>
      <c r="Q396" t="n">
        <v>0</v>
      </c>
      <c r="R396" s="2" t="inlineStr"/>
    </row>
    <row r="397" ht="15" customHeight="1">
      <c r="A397" t="inlineStr">
        <is>
          <t>A 7167-2026</t>
        </is>
      </c>
      <c r="B397" s="1" t="n">
        <v>46058.45677083333</v>
      </c>
      <c r="C397" s="1" t="n">
        <v>46168</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7168-2026</t>
        </is>
      </c>
      <c r="B398" s="1" t="n">
        <v>46058.45831018518</v>
      </c>
      <c r="C398" s="1" t="n">
        <v>46168</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7172-2026</t>
        </is>
      </c>
      <c r="B399" s="1" t="n">
        <v>46058.46113425926</v>
      </c>
      <c r="C399" s="1" t="n">
        <v>46168</v>
      </c>
      <c r="D399" t="inlineStr">
        <is>
          <t>UPPSALA LÄN</t>
        </is>
      </c>
      <c r="E399" t="inlineStr">
        <is>
          <t>ENKÖPING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43506-2023</t>
        </is>
      </c>
      <c r="B400" s="1" t="n">
        <v>45181</v>
      </c>
      <c r="C400" s="1" t="n">
        <v>46168</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60848-2025</t>
        </is>
      </c>
      <c r="B401" s="1" t="n">
        <v>45999</v>
      </c>
      <c r="C401" s="1" t="n">
        <v>46168</v>
      </c>
      <c r="D401" t="inlineStr">
        <is>
          <t>UPPSALA LÄN</t>
        </is>
      </c>
      <c r="E401" t="inlineStr">
        <is>
          <t>ENKÖPING</t>
        </is>
      </c>
      <c r="G401" t="n">
        <v>2.5</v>
      </c>
      <c r="H401" t="n">
        <v>0</v>
      </c>
      <c r="I401" t="n">
        <v>0</v>
      </c>
      <c r="J401" t="n">
        <v>0</v>
      </c>
      <c r="K401" t="n">
        <v>0</v>
      </c>
      <c r="L401" t="n">
        <v>0</v>
      </c>
      <c r="M401" t="n">
        <v>0</v>
      </c>
      <c r="N401" t="n">
        <v>0</v>
      </c>
      <c r="O401" t="n">
        <v>0</v>
      </c>
      <c r="P401" t="n">
        <v>0</v>
      </c>
      <c r="Q401" t="n">
        <v>0</v>
      </c>
      <c r="R401" s="2" t="inlineStr"/>
    </row>
    <row r="402" ht="15" customHeight="1">
      <c r="A402" t="inlineStr">
        <is>
          <t>A 12997-2026</t>
        </is>
      </c>
      <c r="B402" s="1" t="n">
        <v>46092.6834375</v>
      </c>
      <c r="C402" s="1" t="n">
        <v>46168</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5953-2026</t>
        </is>
      </c>
      <c r="B403" s="1" t="n">
        <v>46052.49119212963</v>
      </c>
      <c r="C403" s="1" t="n">
        <v>46168</v>
      </c>
      <c r="D403" t="inlineStr">
        <is>
          <t>UPPSALA LÄN</t>
        </is>
      </c>
      <c r="E403" t="inlineStr">
        <is>
          <t>ENKÖPING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33581-2023</t>
        </is>
      </c>
      <c r="B404" s="1" t="n">
        <v>45131</v>
      </c>
      <c r="C404" s="1" t="n">
        <v>46168</v>
      </c>
      <c r="D404" t="inlineStr">
        <is>
          <t>UPPSALA LÄN</t>
        </is>
      </c>
      <c r="E404" t="inlineStr">
        <is>
          <t>ENKÖPING</t>
        </is>
      </c>
      <c r="G404" t="n">
        <v>3.5</v>
      </c>
      <c r="H404" t="n">
        <v>0</v>
      </c>
      <c r="I404" t="n">
        <v>0</v>
      </c>
      <c r="J404" t="n">
        <v>0</v>
      </c>
      <c r="K404" t="n">
        <v>0</v>
      </c>
      <c r="L404" t="n">
        <v>0</v>
      </c>
      <c r="M404" t="n">
        <v>0</v>
      </c>
      <c r="N404" t="n">
        <v>0</v>
      </c>
      <c r="O404" t="n">
        <v>0</v>
      </c>
      <c r="P404" t="n">
        <v>0</v>
      </c>
      <c r="Q404" t="n">
        <v>0</v>
      </c>
      <c r="R404" s="2" t="inlineStr"/>
    </row>
    <row r="405" ht="15" customHeight="1">
      <c r="A405" t="inlineStr">
        <is>
          <t>A 14004-2023</t>
        </is>
      </c>
      <c r="B405" s="1" t="n">
        <v>45008</v>
      </c>
      <c r="C405" s="1" t="n">
        <v>46168</v>
      </c>
      <c r="D405" t="inlineStr">
        <is>
          <t>UPPSALA LÄN</t>
        </is>
      </c>
      <c r="E405" t="inlineStr">
        <is>
          <t>ENKÖPING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12996-2026</t>
        </is>
      </c>
      <c r="B406" s="1" t="n">
        <v>46092.68149305556</v>
      </c>
      <c r="C406" s="1" t="n">
        <v>46168</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37115-2024</t>
        </is>
      </c>
      <c r="B407" s="1" t="n">
        <v>45539</v>
      </c>
      <c r="C407" s="1" t="n">
        <v>46168</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51012-2024</t>
        </is>
      </c>
      <c r="B408" s="1" t="n">
        <v>45603.39686342593</v>
      </c>
      <c r="C408" s="1" t="n">
        <v>46168</v>
      </c>
      <c r="D408" t="inlineStr">
        <is>
          <t>UPPSALA LÄN</t>
        </is>
      </c>
      <c r="E408" t="inlineStr">
        <is>
          <t>ENKÖPING</t>
        </is>
      </c>
      <c r="G408" t="n">
        <v>2.7</v>
      </c>
      <c r="H408" t="n">
        <v>0</v>
      </c>
      <c r="I408" t="n">
        <v>0</v>
      </c>
      <c r="J408" t="n">
        <v>0</v>
      </c>
      <c r="K408" t="n">
        <v>0</v>
      </c>
      <c r="L408" t="n">
        <v>0</v>
      </c>
      <c r="M408" t="n">
        <v>0</v>
      </c>
      <c r="N408" t="n">
        <v>0</v>
      </c>
      <c r="O408" t="n">
        <v>0</v>
      </c>
      <c r="P408" t="n">
        <v>0</v>
      </c>
      <c r="Q408" t="n">
        <v>0</v>
      </c>
      <c r="R408" s="2" t="inlineStr"/>
    </row>
    <row r="409" ht="15" customHeight="1">
      <c r="A409" t="inlineStr">
        <is>
          <t>A 1960-2022</t>
        </is>
      </c>
      <c r="B409" s="1" t="n">
        <v>44575</v>
      </c>
      <c r="C409" s="1" t="n">
        <v>46168</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13590-2026</t>
        </is>
      </c>
      <c r="B410" s="1" t="n">
        <v>46096</v>
      </c>
      <c r="C410" s="1" t="n">
        <v>46168</v>
      </c>
      <c r="D410" t="inlineStr">
        <is>
          <t>UPPSALA LÄN</t>
        </is>
      </c>
      <c r="E410" t="inlineStr">
        <is>
          <t>ENKÖPING</t>
        </is>
      </c>
      <c r="G410" t="n">
        <v>2.3</v>
      </c>
      <c r="H410" t="n">
        <v>0</v>
      </c>
      <c r="I410" t="n">
        <v>0</v>
      </c>
      <c r="J410" t="n">
        <v>0</v>
      </c>
      <c r="K410" t="n">
        <v>0</v>
      </c>
      <c r="L410" t="n">
        <v>0</v>
      </c>
      <c r="M410" t="n">
        <v>0</v>
      </c>
      <c r="N410" t="n">
        <v>0</v>
      </c>
      <c r="O410" t="n">
        <v>0</v>
      </c>
      <c r="P410" t="n">
        <v>0</v>
      </c>
      <c r="Q410" t="n">
        <v>0</v>
      </c>
      <c r="R410" s="2" t="inlineStr"/>
    </row>
    <row r="411" ht="15" customHeight="1">
      <c r="A411" t="inlineStr">
        <is>
          <t>A 18028-2023</t>
        </is>
      </c>
      <c r="B411" s="1" t="n">
        <v>45040</v>
      </c>
      <c r="C411" s="1" t="n">
        <v>46168</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27837-2025</t>
        </is>
      </c>
      <c r="B412" s="1" t="n">
        <v>45817.37207175926</v>
      </c>
      <c r="C412" s="1" t="n">
        <v>46168</v>
      </c>
      <c r="D412" t="inlineStr">
        <is>
          <t>UPPSALA LÄN</t>
        </is>
      </c>
      <c r="E412" t="inlineStr">
        <is>
          <t>ENKÖPING</t>
        </is>
      </c>
      <c r="G412" t="n">
        <v>7.3</v>
      </c>
      <c r="H412" t="n">
        <v>0</v>
      </c>
      <c r="I412" t="n">
        <v>0</v>
      </c>
      <c r="J412" t="n">
        <v>0</v>
      </c>
      <c r="K412" t="n">
        <v>0</v>
      </c>
      <c r="L412" t="n">
        <v>0</v>
      </c>
      <c r="M412" t="n">
        <v>0</v>
      </c>
      <c r="N412" t="n">
        <v>0</v>
      </c>
      <c r="O412" t="n">
        <v>0</v>
      </c>
      <c r="P412" t="n">
        <v>0</v>
      </c>
      <c r="Q412" t="n">
        <v>0</v>
      </c>
      <c r="R412" s="2" t="inlineStr"/>
    </row>
    <row r="413" ht="15" customHeight="1">
      <c r="A413" t="inlineStr">
        <is>
          <t>A 14178-2026</t>
        </is>
      </c>
      <c r="B413" s="1" t="n">
        <v>46099.49608796297</v>
      </c>
      <c r="C413" s="1" t="n">
        <v>46168</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49568-2022</t>
        </is>
      </c>
      <c r="B414" s="1" t="n">
        <v>44862.32791666667</v>
      </c>
      <c r="C414" s="1" t="n">
        <v>46168</v>
      </c>
      <c r="D414" t="inlineStr">
        <is>
          <t>UPPSALA LÄN</t>
        </is>
      </c>
      <c r="E414" t="inlineStr">
        <is>
          <t>ENKÖPING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42459-2024</t>
        </is>
      </c>
      <c r="B415" s="1" t="n">
        <v>45565</v>
      </c>
      <c r="C415" s="1" t="n">
        <v>46168</v>
      </c>
      <c r="D415" t="inlineStr">
        <is>
          <t>UPPSALA LÄN</t>
        </is>
      </c>
      <c r="E415" t="inlineStr">
        <is>
          <t>ENKÖPING</t>
        </is>
      </c>
      <c r="G415" t="n">
        <v>3.6</v>
      </c>
      <c r="H415" t="n">
        <v>0</v>
      </c>
      <c r="I415" t="n">
        <v>0</v>
      </c>
      <c r="J415" t="n">
        <v>0</v>
      </c>
      <c r="K415" t="n">
        <v>0</v>
      </c>
      <c r="L415" t="n">
        <v>0</v>
      </c>
      <c r="M415" t="n">
        <v>0</v>
      </c>
      <c r="N415" t="n">
        <v>0</v>
      </c>
      <c r="O415" t="n">
        <v>0</v>
      </c>
      <c r="P415" t="n">
        <v>0</v>
      </c>
      <c r="Q415" t="n">
        <v>0</v>
      </c>
      <c r="R415" s="2" t="inlineStr"/>
    </row>
    <row r="416" ht="15" customHeight="1">
      <c r="A416" t="inlineStr">
        <is>
          <t>A 14260-2026</t>
        </is>
      </c>
      <c r="B416" s="1" t="n">
        <v>46099.63395833333</v>
      </c>
      <c r="C416" s="1" t="n">
        <v>46168</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14298-2026</t>
        </is>
      </c>
      <c r="B417" s="1" t="n">
        <v>46099</v>
      </c>
      <c r="C417" s="1" t="n">
        <v>46168</v>
      </c>
      <c r="D417" t="inlineStr">
        <is>
          <t>UPPSALA LÄN</t>
        </is>
      </c>
      <c r="E417" t="inlineStr">
        <is>
          <t>ENKÖPING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14182-2026</t>
        </is>
      </c>
      <c r="B418" s="1" t="n">
        <v>46099.49839120371</v>
      </c>
      <c r="C418" s="1" t="n">
        <v>46168</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14229-2026</t>
        </is>
      </c>
      <c r="B419" s="1" t="n">
        <v>46099</v>
      </c>
      <c r="C419" s="1" t="n">
        <v>46168</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48864-2022</t>
        </is>
      </c>
      <c r="B420" s="1" t="n">
        <v>44859</v>
      </c>
      <c r="C420" s="1" t="n">
        <v>46168</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31622-2022</t>
        </is>
      </c>
      <c r="B421" s="1" t="n">
        <v>44775</v>
      </c>
      <c r="C421" s="1" t="n">
        <v>46168</v>
      </c>
      <c r="D421" t="inlineStr">
        <is>
          <t>UPPSALA LÄN</t>
        </is>
      </c>
      <c r="E421" t="inlineStr">
        <is>
          <t>ENKÖPING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41828-2024</t>
        </is>
      </c>
      <c r="B422" s="1" t="n">
        <v>45561</v>
      </c>
      <c r="C422" s="1" t="n">
        <v>46168</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14296-2026</t>
        </is>
      </c>
      <c r="B423" s="1" t="n">
        <v>46099.7181712963</v>
      </c>
      <c r="C423" s="1" t="n">
        <v>46168</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46168</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57147-2021</t>
        </is>
      </c>
      <c r="B425" s="1" t="n">
        <v>44482</v>
      </c>
      <c r="C425" s="1" t="n">
        <v>46168</v>
      </c>
      <c r="D425" t="inlineStr">
        <is>
          <t>UPPSALA LÄN</t>
        </is>
      </c>
      <c r="E425" t="inlineStr">
        <is>
          <t>ENKÖPING</t>
        </is>
      </c>
      <c r="G425" t="n">
        <v>5.7</v>
      </c>
      <c r="H425" t="n">
        <v>0</v>
      </c>
      <c r="I425" t="n">
        <v>0</v>
      </c>
      <c r="J425" t="n">
        <v>0</v>
      </c>
      <c r="K425" t="n">
        <v>0</v>
      </c>
      <c r="L425" t="n">
        <v>0</v>
      </c>
      <c r="M425" t="n">
        <v>0</v>
      </c>
      <c r="N425" t="n">
        <v>0</v>
      </c>
      <c r="O425" t="n">
        <v>0</v>
      </c>
      <c r="P425" t="n">
        <v>0</v>
      </c>
      <c r="Q425" t="n">
        <v>0</v>
      </c>
      <c r="R425" s="2" t="inlineStr"/>
    </row>
    <row r="426" ht="15" customHeight="1">
      <c r="A426" t="inlineStr">
        <is>
          <t>A 15003-2026</t>
        </is>
      </c>
      <c r="B426" s="1" t="n">
        <v>46104.60931712963</v>
      </c>
      <c r="C426" s="1" t="n">
        <v>46168</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10465-2022</t>
        </is>
      </c>
      <c r="B427" s="1" t="n">
        <v>44623</v>
      </c>
      <c r="C427" s="1" t="n">
        <v>46168</v>
      </c>
      <c r="D427" t="inlineStr">
        <is>
          <t>UPPSALA LÄN</t>
        </is>
      </c>
      <c r="E427" t="inlineStr">
        <is>
          <t>ENKÖPING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47909-2024</t>
        </is>
      </c>
      <c r="B428" s="1" t="n">
        <v>45589.31866898148</v>
      </c>
      <c r="C428" s="1" t="n">
        <v>46168</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52005-2024</t>
        </is>
      </c>
      <c r="B429" s="1" t="n">
        <v>45607.7627662037</v>
      </c>
      <c r="C429" s="1" t="n">
        <v>46168</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5013-2025</t>
        </is>
      </c>
      <c r="B430" s="1" t="n">
        <v>45691</v>
      </c>
      <c r="C430" s="1" t="n">
        <v>46168</v>
      </c>
      <c r="D430" t="inlineStr">
        <is>
          <t>UPPSALA LÄN</t>
        </is>
      </c>
      <c r="E430" t="inlineStr">
        <is>
          <t>ENKÖPING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11503-2024</t>
        </is>
      </c>
      <c r="B431" s="1" t="n">
        <v>45372.68020833333</v>
      </c>
      <c r="C431" s="1" t="n">
        <v>46168</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7175-2026</t>
        </is>
      </c>
      <c r="B432" s="1" t="n">
        <v>46058.46399305556</v>
      </c>
      <c r="C432" s="1" t="n">
        <v>46168</v>
      </c>
      <c r="D432" t="inlineStr">
        <is>
          <t>UPPSALA LÄN</t>
        </is>
      </c>
      <c r="E432" t="inlineStr">
        <is>
          <t>ENKÖPING</t>
        </is>
      </c>
      <c r="G432" t="n">
        <v>2</v>
      </c>
      <c r="H432" t="n">
        <v>0</v>
      </c>
      <c r="I432" t="n">
        <v>0</v>
      </c>
      <c r="J432" t="n">
        <v>0</v>
      </c>
      <c r="K432" t="n">
        <v>0</v>
      </c>
      <c r="L432" t="n">
        <v>0</v>
      </c>
      <c r="M432" t="n">
        <v>0</v>
      </c>
      <c r="N432" t="n">
        <v>0</v>
      </c>
      <c r="O432" t="n">
        <v>0</v>
      </c>
      <c r="P432" t="n">
        <v>0</v>
      </c>
      <c r="Q432" t="n">
        <v>0</v>
      </c>
      <c r="R432" s="2" t="inlineStr"/>
    </row>
    <row r="433" ht="15" customHeight="1">
      <c r="A433" t="inlineStr">
        <is>
          <t>A 53586-2024</t>
        </is>
      </c>
      <c r="B433" s="1" t="n">
        <v>45614</v>
      </c>
      <c r="C433" s="1" t="n">
        <v>46168</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15547-2026</t>
        </is>
      </c>
      <c r="B434" s="1" t="n">
        <v>46106.52613425926</v>
      </c>
      <c r="C434" s="1" t="n">
        <v>46168</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51034-2024</t>
        </is>
      </c>
      <c r="B435" s="1" t="n">
        <v>45603.4262037037</v>
      </c>
      <c r="C435" s="1" t="n">
        <v>46168</v>
      </c>
      <c r="D435" t="inlineStr">
        <is>
          <t>UPPSALA LÄN</t>
        </is>
      </c>
      <c r="E435" t="inlineStr">
        <is>
          <t>ENKÖPING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51036-2024</t>
        </is>
      </c>
      <c r="B436" s="1" t="n">
        <v>45603.42839120371</v>
      </c>
      <c r="C436" s="1" t="n">
        <v>46168</v>
      </c>
      <c r="D436" t="inlineStr">
        <is>
          <t>UPPSALA LÄN</t>
        </is>
      </c>
      <c r="E436" t="inlineStr">
        <is>
          <t>ENKÖPING</t>
        </is>
      </c>
      <c r="G436" t="n">
        <v>2.6</v>
      </c>
      <c r="H436" t="n">
        <v>0</v>
      </c>
      <c r="I436" t="n">
        <v>0</v>
      </c>
      <c r="J436" t="n">
        <v>0</v>
      </c>
      <c r="K436" t="n">
        <v>0</v>
      </c>
      <c r="L436" t="n">
        <v>0</v>
      </c>
      <c r="M436" t="n">
        <v>0</v>
      </c>
      <c r="N436" t="n">
        <v>0</v>
      </c>
      <c r="O436" t="n">
        <v>0</v>
      </c>
      <c r="P436" t="n">
        <v>0</v>
      </c>
      <c r="Q436" t="n">
        <v>0</v>
      </c>
      <c r="R436" s="2" t="inlineStr"/>
    </row>
    <row r="437" ht="15" customHeight="1">
      <c r="A437" t="inlineStr">
        <is>
          <t>A 43492-2023</t>
        </is>
      </c>
      <c r="B437" s="1" t="n">
        <v>45181</v>
      </c>
      <c r="C437" s="1" t="n">
        <v>46168</v>
      </c>
      <c r="D437" t="inlineStr">
        <is>
          <t>UPPSALA LÄN</t>
        </is>
      </c>
      <c r="E437" t="inlineStr">
        <is>
          <t>ENKÖPING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25990-2025</t>
        </is>
      </c>
      <c r="B438" s="1" t="n">
        <v>45804.65229166667</v>
      </c>
      <c r="C438" s="1" t="n">
        <v>46168</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21862-2026</t>
        </is>
      </c>
      <c r="B439" s="1" t="n">
        <v>46150.55599537037</v>
      </c>
      <c r="C439" s="1" t="n">
        <v>46168</v>
      </c>
      <c r="D439" t="inlineStr">
        <is>
          <t>UPPSALA LÄN</t>
        </is>
      </c>
      <c r="E439" t="inlineStr">
        <is>
          <t>ENKÖPING</t>
        </is>
      </c>
      <c r="G439" t="n">
        <v>4.1</v>
      </c>
      <c r="H439" t="n">
        <v>0</v>
      </c>
      <c r="I439" t="n">
        <v>0</v>
      </c>
      <c r="J439" t="n">
        <v>0</v>
      </c>
      <c r="K439" t="n">
        <v>0</v>
      </c>
      <c r="L439" t="n">
        <v>0</v>
      </c>
      <c r="M439" t="n">
        <v>0</v>
      </c>
      <c r="N439" t="n">
        <v>0</v>
      </c>
      <c r="O439" t="n">
        <v>0</v>
      </c>
      <c r="P439" t="n">
        <v>0</v>
      </c>
      <c r="Q439" t="n">
        <v>0</v>
      </c>
      <c r="R439" s="2" t="inlineStr"/>
    </row>
    <row r="440" ht="15" customHeight="1">
      <c r="A440" t="inlineStr">
        <is>
          <t>A 2164-2023</t>
        </is>
      </c>
      <c r="B440" s="1" t="n">
        <v>44941</v>
      </c>
      <c r="C440" s="1" t="n">
        <v>46168</v>
      </c>
      <c r="D440" t="inlineStr">
        <is>
          <t>UPPSALA LÄN</t>
        </is>
      </c>
      <c r="E440" t="inlineStr">
        <is>
          <t>ENKÖPING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1536-2024</t>
        </is>
      </c>
      <c r="B441" s="1" t="n">
        <v>45306</v>
      </c>
      <c r="C441" s="1" t="n">
        <v>46168</v>
      </c>
      <c r="D441" t="inlineStr">
        <is>
          <t>UPPSALA LÄN</t>
        </is>
      </c>
      <c r="E441" t="inlineStr">
        <is>
          <t>ENKÖPING</t>
        </is>
      </c>
      <c r="F441" t="inlineStr">
        <is>
          <t>Kyrkan</t>
        </is>
      </c>
      <c r="G441" t="n">
        <v>5.6</v>
      </c>
      <c r="H441" t="n">
        <v>0</v>
      </c>
      <c r="I441" t="n">
        <v>0</v>
      </c>
      <c r="J441" t="n">
        <v>0</v>
      </c>
      <c r="K441" t="n">
        <v>0</v>
      </c>
      <c r="L441" t="n">
        <v>0</v>
      </c>
      <c r="M441" t="n">
        <v>0</v>
      </c>
      <c r="N441" t="n">
        <v>0</v>
      </c>
      <c r="O441" t="n">
        <v>0</v>
      </c>
      <c r="P441" t="n">
        <v>0</v>
      </c>
      <c r="Q441" t="n">
        <v>0</v>
      </c>
      <c r="R441" s="2" t="inlineStr"/>
    </row>
    <row r="442" ht="15" customHeight="1">
      <c r="A442" t="inlineStr">
        <is>
          <t>A 6049-2026</t>
        </is>
      </c>
      <c r="B442" s="1" t="n">
        <v>46052.63005787037</v>
      </c>
      <c r="C442" s="1" t="n">
        <v>46168</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2974-2025</t>
        </is>
      </c>
      <c r="B443" s="1" t="n">
        <v>45678.47168981482</v>
      </c>
      <c r="C443" s="1" t="n">
        <v>46168</v>
      </c>
      <c r="D443" t="inlineStr">
        <is>
          <t>UPPSALA LÄN</t>
        </is>
      </c>
      <c r="E443" t="inlineStr">
        <is>
          <t>ENKÖPING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16916-2023</t>
        </is>
      </c>
      <c r="B444" s="1" t="n">
        <v>45033.58347222222</v>
      </c>
      <c r="C444" s="1" t="n">
        <v>46168</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6041-2026</t>
        </is>
      </c>
      <c r="B445" s="1" t="n">
        <v>46052.62184027778</v>
      </c>
      <c r="C445" s="1" t="n">
        <v>46168</v>
      </c>
      <c r="D445" t="inlineStr">
        <is>
          <t>UPPSALA LÄN</t>
        </is>
      </c>
      <c r="E445" t="inlineStr">
        <is>
          <t>ENKÖPING</t>
        </is>
      </c>
      <c r="G445" t="n">
        <v>4</v>
      </c>
      <c r="H445" t="n">
        <v>0</v>
      </c>
      <c r="I445" t="n">
        <v>0</v>
      </c>
      <c r="J445" t="n">
        <v>0</v>
      </c>
      <c r="K445" t="n">
        <v>0</v>
      </c>
      <c r="L445" t="n">
        <v>0</v>
      </c>
      <c r="M445" t="n">
        <v>0</v>
      </c>
      <c r="N445" t="n">
        <v>0</v>
      </c>
      <c r="O445" t="n">
        <v>0</v>
      </c>
      <c r="P445" t="n">
        <v>0</v>
      </c>
      <c r="Q445" t="n">
        <v>0</v>
      </c>
      <c r="R445" s="2" t="inlineStr"/>
    </row>
    <row r="446" ht="15" customHeight="1">
      <c r="A446" t="inlineStr">
        <is>
          <t>A 6044-2026</t>
        </is>
      </c>
      <c r="B446" s="1" t="n">
        <v>46052.62506944445</v>
      </c>
      <c r="C446" s="1" t="n">
        <v>46168</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9257-2026</t>
        </is>
      </c>
      <c r="B447" s="1" t="n">
        <v>46070.51166666667</v>
      </c>
      <c r="C447" s="1" t="n">
        <v>46168</v>
      </c>
      <c r="D447" t="inlineStr">
        <is>
          <t>UPPSALA LÄN</t>
        </is>
      </c>
      <c r="E447" t="inlineStr">
        <is>
          <t>ENKÖPING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16920-2023</t>
        </is>
      </c>
      <c r="B448" s="1" t="n">
        <v>45033.59030092593</v>
      </c>
      <c r="C448" s="1" t="n">
        <v>46168</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33955-2024</t>
        </is>
      </c>
      <c r="B449" s="1" t="n">
        <v>45523.46952546296</v>
      </c>
      <c r="C449" s="1" t="n">
        <v>46168</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6172-2023</t>
        </is>
      </c>
      <c r="B450" s="1" t="n">
        <v>44964.68663194445</v>
      </c>
      <c r="C450" s="1" t="n">
        <v>46168</v>
      </c>
      <c r="D450" t="inlineStr">
        <is>
          <t>UPPSALA LÄN</t>
        </is>
      </c>
      <c r="E450" t="inlineStr">
        <is>
          <t>ENKÖPING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10409-2025</t>
        </is>
      </c>
      <c r="B451" s="1" t="n">
        <v>45720.631875</v>
      </c>
      <c r="C451" s="1" t="n">
        <v>46168</v>
      </c>
      <c r="D451" t="inlineStr">
        <is>
          <t>UPPSALA LÄN</t>
        </is>
      </c>
      <c r="E451" t="inlineStr">
        <is>
          <t>ENKÖPING</t>
        </is>
      </c>
      <c r="G451" t="n">
        <v>2.2</v>
      </c>
      <c r="H451" t="n">
        <v>0</v>
      </c>
      <c r="I451" t="n">
        <v>0</v>
      </c>
      <c r="J451" t="n">
        <v>0</v>
      </c>
      <c r="K451" t="n">
        <v>0</v>
      </c>
      <c r="L451" t="n">
        <v>0</v>
      </c>
      <c r="M451" t="n">
        <v>0</v>
      </c>
      <c r="N451" t="n">
        <v>0</v>
      </c>
      <c r="O451" t="n">
        <v>0</v>
      </c>
      <c r="P451" t="n">
        <v>0</v>
      </c>
      <c r="Q451" t="n">
        <v>0</v>
      </c>
      <c r="R451" s="2" t="inlineStr"/>
    </row>
    <row r="452" ht="15" customHeight="1">
      <c r="A452" t="inlineStr">
        <is>
          <t>A 25989-2025</t>
        </is>
      </c>
      <c r="B452" s="1" t="n">
        <v>45804.65050925926</v>
      </c>
      <c r="C452" s="1" t="n">
        <v>46168</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52388-2024</t>
        </is>
      </c>
      <c r="B453" s="1" t="n">
        <v>45609.42939814815</v>
      </c>
      <c r="C453" s="1" t="n">
        <v>46168</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22315-2026</t>
        </is>
      </c>
      <c r="B454" s="1" t="n">
        <v>46154.49106481481</v>
      </c>
      <c r="C454" s="1" t="n">
        <v>46168</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1992-2022</t>
        </is>
      </c>
      <c r="B455" s="1" t="n">
        <v>44575.56153935185</v>
      </c>
      <c r="C455" s="1" t="n">
        <v>46168</v>
      </c>
      <c r="D455" t="inlineStr">
        <is>
          <t>UPPSALA LÄN</t>
        </is>
      </c>
      <c r="E455" t="inlineStr">
        <is>
          <t>ENKÖPING</t>
        </is>
      </c>
      <c r="G455" t="n">
        <v>2.8</v>
      </c>
      <c r="H455" t="n">
        <v>0</v>
      </c>
      <c r="I455" t="n">
        <v>0</v>
      </c>
      <c r="J455" t="n">
        <v>0</v>
      </c>
      <c r="K455" t="n">
        <v>0</v>
      </c>
      <c r="L455" t="n">
        <v>0</v>
      </c>
      <c r="M455" t="n">
        <v>0</v>
      </c>
      <c r="N455" t="n">
        <v>0</v>
      </c>
      <c r="O455" t="n">
        <v>0</v>
      </c>
      <c r="P455" t="n">
        <v>0</v>
      </c>
      <c r="Q455" t="n">
        <v>0</v>
      </c>
      <c r="R455" s="2" t="inlineStr"/>
    </row>
    <row r="456" ht="15" customHeight="1">
      <c r="A456" t="inlineStr">
        <is>
          <t>A 6626-2023</t>
        </is>
      </c>
      <c r="B456" s="1" t="n">
        <v>44966.55946759259</v>
      </c>
      <c r="C456" s="1" t="n">
        <v>46168</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48843-2023</t>
        </is>
      </c>
      <c r="B457" s="1" t="n">
        <v>45209</v>
      </c>
      <c r="C457" s="1" t="n">
        <v>46168</v>
      </c>
      <c r="D457" t="inlineStr">
        <is>
          <t>UPPSALA LÄN</t>
        </is>
      </c>
      <c r="E457" t="inlineStr">
        <is>
          <t>ENKÖPING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57940-2022</t>
        </is>
      </c>
      <c r="B458" s="1" t="n">
        <v>44900</v>
      </c>
      <c r="C458" s="1" t="n">
        <v>46168</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35079-2024</t>
        </is>
      </c>
      <c r="B459" s="1" t="n">
        <v>45527.66770833333</v>
      </c>
      <c r="C459" s="1" t="n">
        <v>46168</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53595-2023</t>
        </is>
      </c>
      <c r="B460" s="1" t="n">
        <v>45223</v>
      </c>
      <c r="C460" s="1" t="n">
        <v>46168</v>
      </c>
      <c r="D460" t="inlineStr">
        <is>
          <t>UPPSALA LÄN</t>
        </is>
      </c>
      <c r="E460" t="inlineStr">
        <is>
          <t>ENKÖPING</t>
        </is>
      </c>
      <c r="G460" t="n">
        <v>2.6</v>
      </c>
      <c r="H460" t="n">
        <v>0</v>
      </c>
      <c r="I460" t="n">
        <v>0</v>
      </c>
      <c r="J460" t="n">
        <v>0</v>
      </c>
      <c r="K460" t="n">
        <v>0</v>
      </c>
      <c r="L460" t="n">
        <v>0</v>
      </c>
      <c r="M460" t="n">
        <v>0</v>
      </c>
      <c r="N460" t="n">
        <v>0</v>
      </c>
      <c r="O460" t="n">
        <v>0</v>
      </c>
      <c r="P460" t="n">
        <v>0</v>
      </c>
      <c r="Q460" t="n">
        <v>0</v>
      </c>
      <c r="R460" s="2" t="inlineStr"/>
    </row>
    <row r="461" ht="15" customHeight="1">
      <c r="A461" t="inlineStr">
        <is>
          <t>A 21686-2022</t>
        </is>
      </c>
      <c r="B461" s="1" t="n">
        <v>44707</v>
      </c>
      <c r="C461" s="1" t="n">
        <v>46168</v>
      </c>
      <c r="D461" t="inlineStr">
        <is>
          <t>UPPSALA LÄN</t>
        </is>
      </c>
      <c r="E461" t="inlineStr">
        <is>
          <t>ENKÖPING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29479-2022</t>
        </is>
      </c>
      <c r="B462" s="1" t="n">
        <v>44753.57265046296</v>
      </c>
      <c r="C462" s="1" t="n">
        <v>46168</v>
      </c>
      <c r="D462" t="inlineStr">
        <is>
          <t>UPPSALA LÄN</t>
        </is>
      </c>
      <c r="E462" t="inlineStr">
        <is>
          <t>ENKÖPING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60533-2021</t>
        </is>
      </c>
      <c r="B463" s="1" t="n">
        <v>44496</v>
      </c>
      <c r="C463" s="1" t="n">
        <v>46168</v>
      </c>
      <c r="D463" t="inlineStr">
        <is>
          <t>UPPSALA LÄN</t>
        </is>
      </c>
      <c r="E463" t="inlineStr">
        <is>
          <t>ENKÖPING</t>
        </is>
      </c>
      <c r="G463" t="n">
        <v>2.2</v>
      </c>
      <c r="H463" t="n">
        <v>0</v>
      </c>
      <c r="I463" t="n">
        <v>0</v>
      </c>
      <c r="J463" t="n">
        <v>0</v>
      </c>
      <c r="K463" t="n">
        <v>0</v>
      </c>
      <c r="L463" t="n">
        <v>0</v>
      </c>
      <c r="M463" t="n">
        <v>0</v>
      </c>
      <c r="N463" t="n">
        <v>0</v>
      </c>
      <c r="O463" t="n">
        <v>0</v>
      </c>
      <c r="P463" t="n">
        <v>0</v>
      </c>
      <c r="Q463" t="n">
        <v>0</v>
      </c>
      <c r="R463" s="2" t="inlineStr"/>
    </row>
    <row r="464" ht="15" customHeight="1">
      <c r="A464" t="inlineStr">
        <is>
          <t>A 15757-2023</t>
        </is>
      </c>
      <c r="B464" s="1" t="n">
        <v>45021</v>
      </c>
      <c r="C464" s="1" t="n">
        <v>46168</v>
      </c>
      <c r="D464" t="inlineStr">
        <is>
          <t>UPPSALA LÄN</t>
        </is>
      </c>
      <c r="E464" t="inlineStr">
        <is>
          <t>ENKÖPING</t>
        </is>
      </c>
      <c r="G464" t="n">
        <v>3</v>
      </c>
      <c r="H464" t="n">
        <v>0</v>
      </c>
      <c r="I464" t="n">
        <v>0</v>
      </c>
      <c r="J464" t="n">
        <v>0</v>
      </c>
      <c r="K464" t="n">
        <v>0</v>
      </c>
      <c r="L464" t="n">
        <v>0</v>
      </c>
      <c r="M464" t="n">
        <v>0</v>
      </c>
      <c r="N464" t="n">
        <v>0</v>
      </c>
      <c r="O464" t="n">
        <v>0</v>
      </c>
      <c r="P464" t="n">
        <v>0</v>
      </c>
      <c r="Q464" t="n">
        <v>0</v>
      </c>
      <c r="R464" s="2" t="inlineStr"/>
    </row>
    <row r="465" ht="15" customHeight="1">
      <c r="A465" t="inlineStr">
        <is>
          <t>A 43230-2023</t>
        </is>
      </c>
      <c r="B465" s="1" t="n">
        <v>45183</v>
      </c>
      <c r="C465" s="1" t="n">
        <v>46168</v>
      </c>
      <c r="D465" t="inlineStr">
        <is>
          <t>UPPSALA LÄN</t>
        </is>
      </c>
      <c r="E465" t="inlineStr">
        <is>
          <t>ENKÖPING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56886-2023</t>
        </is>
      </c>
      <c r="B466" s="1" t="n">
        <v>45239</v>
      </c>
      <c r="C466" s="1" t="n">
        <v>46168</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51011-2024</t>
        </is>
      </c>
      <c r="B467" s="1" t="n">
        <v>45603.39427083333</v>
      </c>
      <c r="C467" s="1" t="n">
        <v>46168</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49525-2021</t>
        </is>
      </c>
      <c r="B468" s="1" t="n">
        <v>44455</v>
      </c>
      <c r="C468" s="1" t="n">
        <v>46168</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23202-2026</t>
        </is>
      </c>
      <c r="B469" s="1" t="n">
        <v>46162.19833333333</v>
      </c>
      <c r="C469" s="1" t="n">
        <v>46168</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17418-2026</t>
        </is>
      </c>
      <c r="B470" s="1" t="n">
        <v>46120.3591087963</v>
      </c>
      <c r="C470" s="1" t="n">
        <v>46168</v>
      </c>
      <c r="D470" t="inlineStr">
        <is>
          <t>UPPSALA LÄN</t>
        </is>
      </c>
      <c r="E470" t="inlineStr">
        <is>
          <t>ENKÖPING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12102-2024</t>
        </is>
      </c>
      <c r="B471" s="1" t="n">
        <v>45377</v>
      </c>
      <c r="C471" s="1" t="n">
        <v>46168</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58961-2024</t>
        </is>
      </c>
      <c r="B472" s="1" t="n">
        <v>45636.585</v>
      </c>
      <c r="C472" s="1" t="n">
        <v>46168</v>
      </c>
      <c r="D472" t="inlineStr">
        <is>
          <t>UPPSALA LÄN</t>
        </is>
      </c>
      <c r="E472" t="inlineStr">
        <is>
          <t>ENKÖPING</t>
        </is>
      </c>
      <c r="G472" t="n">
        <v>4</v>
      </c>
      <c r="H472" t="n">
        <v>0</v>
      </c>
      <c r="I472" t="n">
        <v>0</v>
      </c>
      <c r="J472" t="n">
        <v>0</v>
      </c>
      <c r="K472" t="n">
        <v>0</v>
      </c>
      <c r="L472" t="n">
        <v>0</v>
      </c>
      <c r="M472" t="n">
        <v>0</v>
      </c>
      <c r="N472" t="n">
        <v>0</v>
      </c>
      <c r="O472" t="n">
        <v>0</v>
      </c>
      <c r="P472" t="n">
        <v>0</v>
      </c>
      <c r="Q472" t="n">
        <v>0</v>
      </c>
      <c r="R472" s="2" t="inlineStr"/>
    </row>
    <row r="473" ht="15" customHeight="1">
      <c r="A473" t="inlineStr">
        <is>
          <t>A 45283-2022</t>
        </is>
      </c>
      <c r="B473" s="1" t="n">
        <v>44844</v>
      </c>
      <c r="C473" s="1" t="n">
        <v>46168</v>
      </c>
      <c r="D473" t="inlineStr">
        <is>
          <t>UPPSALA LÄN</t>
        </is>
      </c>
      <c r="E473" t="inlineStr">
        <is>
          <t>ENKÖPING</t>
        </is>
      </c>
      <c r="G473" t="n">
        <v>5.9</v>
      </c>
      <c r="H473" t="n">
        <v>0</v>
      </c>
      <c r="I473" t="n">
        <v>0</v>
      </c>
      <c r="J473" t="n">
        <v>0</v>
      </c>
      <c r="K473" t="n">
        <v>0</v>
      </c>
      <c r="L473" t="n">
        <v>0</v>
      </c>
      <c r="M473" t="n">
        <v>0</v>
      </c>
      <c r="N473" t="n">
        <v>0</v>
      </c>
      <c r="O473" t="n">
        <v>0</v>
      </c>
      <c r="P473" t="n">
        <v>0</v>
      </c>
      <c r="Q473" t="n">
        <v>0</v>
      </c>
      <c r="R473" s="2" t="inlineStr"/>
    </row>
    <row r="474" ht="15" customHeight="1">
      <c r="A474" t="inlineStr">
        <is>
          <t>A 845-2025</t>
        </is>
      </c>
      <c r="B474" s="1" t="n">
        <v>45665</v>
      </c>
      <c r="C474" s="1" t="n">
        <v>46168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849-2025</t>
        </is>
      </c>
      <c r="B475" s="1" t="n">
        <v>45665</v>
      </c>
      <c r="C475" s="1" t="n">
        <v>46168</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17419-2026</t>
        </is>
      </c>
      <c r="B476" s="1" t="n">
        <v>46120.36064814815</v>
      </c>
      <c r="C476" s="1" t="n">
        <v>46168</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57328-2024</t>
        </is>
      </c>
      <c r="B477" s="1" t="n">
        <v>45629.62798611111</v>
      </c>
      <c r="C477" s="1" t="n">
        <v>46168</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23882-2026</t>
        </is>
      </c>
      <c r="B478" s="1" t="n">
        <v>46167.448125</v>
      </c>
      <c r="C478" s="1" t="n">
        <v>46168</v>
      </c>
      <c r="D478" t="inlineStr">
        <is>
          <t>UPPSALA LÄN</t>
        </is>
      </c>
      <c r="E478" t="inlineStr">
        <is>
          <t>ENKÖPING</t>
        </is>
      </c>
      <c r="G478" t="n">
        <v>8.5</v>
      </c>
      <c r="H478" t="n">
        <v>0</v>
      </c>
      <c r="I478" t="n">
        <v>0</v>
      </c>
      <c r="J478" t="n">
        <v>0</v>
      </c>
      <c r="K478" t="n">
        <v>0</v>
      </c>
      <c r="L478" t="n">
        <v>0</v>
      </c>
      <c r="M478" t="n">
        <v>0</v>
      </c>
      <c r="N478" t="n">
        <v>0</v>
      </c>
      <c r="O478" t="n">
        <v>0</v>
      </c>
      <c r="P478" t="n">
        <v>0</v>
      </c>
      <c r="Q478" t="n">
        <v>0</v>
      </c>
      <c r="R478" s="2" t="inlineStr"/>
    </row>
    <row r="479" ht="15" customHeight="1">
      <c r="A479" t="inlineStr">
        <is>
          <t>A 23889-2026</t>
        </is>
      </c>
      <c r="B479" s="1" t="n">
        <v>46167.45914351852</v>
      </c>
      <c r="C479" s="1" t="n">
        <v>46168</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58147-2024</t>
        </is>
      </c>
      <c r="B480" s="1" t="n">
        <v>45632.4334375</v>
      </c>
      <c r="C480" s="1" t="n">
        <v>46168</v>
      </c>
      <c r="D480" t="inlineStr">
        <is>
          <t>UPPSALA LÄN</t>
        </is>
      </c>
      <c r="E480" t="inlineStr">
        <is>
          <t>ENKÖPING</t>
        </is>
      </c>
      <c r="G480" t="n">
        <v>3</v>
      </c>
      <c r="H480" t="n">
        <v>0</v>
      </c>
      <c r="I480" t="n">
        <v>0</v>
      </c>
      <c r="J480" t="n">
        <v>0</v>
      </c>
      <c r="K480" t="n">
        <v>0</v>
      </c>
      <c r="L480" t="n">
        <v>0</v>
      </c>
      <c r="M480" t="n">
        <v>0</v>
      </c>
      <c r="N480" t="n">
        <v>0</v>
      </c>
      <c r="O480" t="n">
        <v>0</v>
      </c>
      <c r="P480" t="n">
        <v>0</v>
      </c>
      <c r="Q480" t="n">
        <v>0</v>
      </c>
      <c r="R480" s="2" t="inlineStr"/>
    </row>
    <row r="481" ht="15" customHeight="1">
      <c r="A481" t="inlineStr">
        <is>
          <t>A 18302-2025</t>
        </is>
      </c>
      <c r="B481" s="1" t="n">
        <v>45762</v>
      </c>
      <c r="C481" s="1" t="n">
        <v>46168</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34735-2023</t>
        </is>
      </c>
      <c r="B482" s="1" t="n">
        <v>45139</v>
      </c>
      <c r="C482" s="1" t="n">
        <v>46168</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56837-2024</t>
        </is>
      </c>
      <c r="B483" s="1" t="n">
        <v>45628</v>
      </c>
      <c r="C483" s="1" t="n">
        <v>46168</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30514-2021</t>
        </is>
      </c>
      <c r="B484" s="1" t="n">
        <v>44364</v>
      </c>
      <c r="C484" s="1" t="n">
        <v>46168</v>
      </c>
      <c r="D484" t="inlineStr">
        <is>
          <t>UPPSALA LÄN</t>
        </is>
      </c>
      <c r="E484" t="inlineStr">
        <is>
          <t>ENKÖPING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55876-2024</t>
        </is>
      </c>
      <c r="B485" s="1" t="n">
        <v>45623.5546412037</v>
      </c>
      <c r="C485" s="1" t="n">
        <v>46168</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25334-2023</t>
        </is>
      </c>
      <c r="B486" s="1" t="n">
        <v>45083</v>
      </c>
      <c r="C486" s="1" t="n">
        <v>46168</v>
      </c>
      <c r="D486" t="inlineStr">
        <is>
          <t>UPPSALA LÄN</t>
        </is>
      </c>
      <c r="E486" t="inlineStr">
        <is>
          <t>ENKÖPING</t>
        </is>
      </c>
      <c r="G486" t="n">
        <v>0.2</v>
      </c>
      <c r="H486" t="n">
        <v>0</v>
      </c>
      <c r="I486" t="n">
        <v>0</v>
      </c>
      <c r="J486" t="n">
        <v>0</v>
      </c>
      <c r="K486" t="n">
        <v>0</v>
      </c>
      <c r="L486" t="n">
        <v>0</v>
      </c>
      <c r="M486" t="n">
        <v>0</v>
      </c>
      <c r="N486" t="n">
        <v>0</v>
      </c>
      <c r="O486" t="n">
        <v>0</v>
      </c>
      <c r="P486" t="n">
        <v>0</v>
      </c>
      <c r="Q486" t="n">
        <v>0</v>
      </c>
      <c r="R486" s="2" t="inlineStr"/>
    </row>
    <row r="487" ht="15" customHeight="1">
      <c r="A487" t="inlineStr">
        <is>
          <t>A 33349-2024</t>
        </is>
      </c>
      <c r="B487" s="1" t="n">
        <v>45519</v>
      </c>
      <c r="C487" s="1" t="n">
        <v>46168</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57209-2024</t>
        </is>
      </c>
      <c r="B488" s="1" t="n">
        <v>45629.49311342592</v>
      </c>
      <c r="C488" s="1" t="n">
        <v>46168</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13110-2023</t>
        </is>
      </c>
      <c r="B489" s="1" t="n">
        <v>45001</v>
      </c>
      <c r="C489" s="1" t="n">
        <v>46168</v>
      </c>
      <c r="D489" t="inlineStr">
        <is>
          <t>UPPSALA LÄN</t>
        </is>
      </c>
      <c r="E489" t="inlineStr">
        <is>
          <t>ENKÖPING</t>
        </is>
      </c>
      <c r="G489" t="n">
        <v>2.5</v>
      </c>
      <c r="H489" t="n">
        <v>0</v>
      </c>
      <c r="I489" t="n">
        <v>0</v>
      </c>
      <c r="J489" t="n">
        <v>0</v>
      </c>
      <c r="K489" t="n">
        <v>0</v>
      </c>
      <c r="L489" t="n">
        <v>0</v>
      </c>
      <c r="M489" t="n">
        <v>0</v>
      </c>
      <c r="N489" t="n">
        <v>0</v>
      </c>
      <c r="O489" t="n">
        <v>0</v>
      </c>
      <c r="P489" t="n">
        <v>0</v>
      </c>
      <c r="Q489" t="n">
        <v>0</v>
      </c>
      <c r="R489" s="2" t="inlineStr"/>
    </row>
    <row r="490" ht="15" customHeight="1">
      <c r="A490" t="inlineStr">
        <is>
          <t>A 49627-2024</t>
        </is>
      </c>
      <c r="B490" s="1" t="n">
        <v>45596.59140046296</v>
      </c>
      <c r="C490" s="1" t="n">
        <v>46168</v>
      </c>
      <c r="D490" t="inlineStr">
        <is>
          <t>UPPSALA LÄN</t>
        </is>
      </c>
      <c r="E490" t="inlineStr">
        <is>
          <t>ENKÖPING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9231-2023</t>
        </is>
      </c>
      <c r="B491" s="1" t="n">
        <v>44980</v>
      </c>
      <c r="C491" s="1" t="n">
        <v>46168</v>
      </c>
      <c r="D491" t="inlineStr">
        <is>
          <t>UPPSALA LÄN</t>
        </is>
      </c>
      <c r="E491" t="inlineStr">
        <is>
          <t>ENKÖPING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27538-2023</t>
        </is>
      </c>
      <c r="B492" s="1" t="n">
        <v>45097</v>
      </c>
      <c r="C492" s="1" t="n">
        <v>46168</v>
      </c>
      <c r="D492" t="inlineStr">
        <is>
          <t>UPPSALA LÄN</t>
        </is>
      </c>
      <c r="E492" t="inlineStr">
        <is>
          <t>ENKÖPING</t>
        </is>
      </c>
      <c r="G492" t="n">
        <v>5.8</v>
      </c>
      <c r="H492" t="n">
        <v>0</v>
      </c>
      <c r="I492" t="n">
        <v>0</v>
      </c>
      <c r="J492" t="n">
        <v>0</v>
      </c>
      <c r="K492" t="n">
        <v>0</v>
      </c>
      <c r="L492" t="n">
        <v>0</v>
      </c>
      <c r="M492" t="n">
        <v>0</v>
      </c>
      <c r="N492" t="n">
        <v>0</v>
      </c>
      <c r="O492" t="n">
        <v>0</v>
      </c>
      <c r="P492" t="n">
        <v>0</v>
      </c>
      <c r="Q492" t="n">
        <v>0</v>
      </c>
      <c r="R492" s="2" t="inlineStr"/>
    </row>
    <row r="493" ht="15" customHeight="1">
      <c r="A493" t="inlineStr">
        <is>
          <t>A 18821-2023</t>
        </is>
      </c>
      <c r="B493" s="1" t="n">
        <v>45044.3782175926</v>
      </c>
      <c r="C493" s="1" t="n">
        <v>46168</v>
      </c>
      <c r="D493" t="inlineStr">
        <is>
          <t>UPPSALA LÄN</t>
        </is>
      </c>
      <c r="E493" t="inlineStr">
        <is>
          <t>ENKÖPING</t>
        </is>
      </c>
      <c r="G493" t="n">
        <v>6</v>
      </c>
      <c r="H493" t="n">
        <v>0</v>
      </c>
      <c r="I493" t="n">
        <v>0</v>
      </c>
      <c r="J493" t="n">
        <v>0</v>
      </c>
      <c r="K493" t="n">
        <v>0</v>
      </c>
      <c r="L493" t="n">
        <v>0</v>
      </c>
      <c r="M493" t="n">
        <v>0</v>
      </c>
      <c r="N493" t="n">
        <v>0</v>
      </c>
      <c r="O493" t="n">
        <v>0</v>
      </c>
      <c r="P493" t="n">
        <v>0</v>
      </c>
      <c r="Q493" t="n">
        <v>0</v>
      </c>
      <c r="R493" s="2" t="inlineStr"/>
    </row>
    <row r="494" ht="15" customHeight="1">
      <c r="A494" t="inlineStr">
        <is>
          <t>A 53587-2024</t>
        </is>
      </c>
      <c r="B494" s="1" t="n">
        <v>45614.66953703704</v>
      </c>
      <c r="C494" s="1" t="n">
        <v>46168</v>
      </c>
      <c r="D494" t="inlineStr">
        <is>
          <t>UPPSALA LÄN</t>
        </is>
      </c>
      <c r="E494" t="inlineStr">
        <is>
          <t>ENKÖPING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52380-2024</t>
        </is>
      </c>
      <c r="B495" s="1" t="n">
        <v>45609</v>
      </c>
      <c r="C495" s="1" t="n">
        <v>46168</v>
      </c>
      <c r="D495" t="inlineStr">
        <is>
          <t>UPPSALA LÄN</t>
        </is>
      </c>
      <c r="E495" t="inlineStr">
        <is>
          <t>ENKÖPING</t>
        </is>
      </c>
      <c r="G495" t="n">
        <v>1.8</v>
      </c>
      <c r="H495" t="n">
        <v>0</v>
      </c>
      <c r="I495" t="n">
        <v>0</v>
      </c>
      <c r="J495" t="n">
        <v>0</v>
      </c>
      <c r="K495" t="n">
        <v>0</v>
      </c>
      <c r="L495" t="n">
        <v>0</v>
      </c>
      <c r="M495" t="n">
        <v>0</v>
      </c>
      <c r="N495" t="n">
        <v>0</v>
      </c>
      <c r="O495" t="n">
        <v>0</v>
      </c>
      <c r="P495" t="n">
        <v>0</v>
      </c>
      <c r="Q495" t="n">
        <v>0</v>
      </c>
      <c r="R495" s="2" t="inlineStr"/>
    </row>
    <row r="496" ht="15" customHeight="1">
      <c r="A496" t="inlineStr">
        <is>
          <t>A 9041-2023</t>
        </is>
      </c>
      <c r="B496" s="1" t="n">
        <v>44979</v>
      </c>
      <c r="C496" s="1" t="n">
        <v>46168</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27786-2023</t>
        </is>
      </c>
      <c r="B497" s="1" t="n">
        <v>45098</v>
      </c>
      <c r="C497" s="1" t="n">
        <v>46168</v>
      </c>
      <c r="D497" t="inlineStr">
        <is>
          <t>UPPSALA LÄN</t>
        </is>
      </c>
      <c r="E497" t="inlineStr">
        <is>
          <t>ENKÖPING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15942-2022</t>
        </is>
      </c>
      <c r="B498" s="1" t="n">
        <v>44664</v>
      </c>
      <c r="C498" s="1" t="n">
        <v>46168</v>
      </c>
      <c r="D498" t="inlineStr">
        <is>
          <t>UPPSALA LÄN</t>
        </is>
      </c>
      <c r="E498" t="inlineStr">
        <is>
          <t>ENKÖPING</t>
        </is>
      </c>
      <c r="G498" t="n">
        <v>6.6</v>
      </c>
      <c r="H498" t="n">
        <v>0</v>
      </c>
      <c r="I498" t="n">
        <v>0</v>
      </c>
      <c r="J498" t="n">
        <v>0</v>
      </c>
      <c r="K498" t="n">
        <v>0</v>
      </c>
      <c r="L498" t="n">
        <v>0</v>
      </c>
      <c r="M498" t="n">
        <v>0</v>
      </c>
      <c r="N498" t="n">
        <v>0</v>
      </c>
      <c r="O498" t="n">
        <v>0</v>
      </c>
      <c r="P498" t="n">
        <v>0</v>
      </c>
      <c r="Q498" t="n">
        <v>0</v>
      </c>
      <c r="R498" s="2" t="inlineStr"/>
    </row>
    <row r="499" ht="15" customHeight="1">
      <c r="A499" t="inlineStr">
        <is>
          <t>A 50006-2023</t>
        </is>
      </c>
      <c r="B499" s="1" t="n">
        <v>45215</v>
      </c>
      <c r="C499" s="1" t="n">
        <v>46168</v>
      </c>
      <c r="D499" t="inlineStr">
        <is>
          <t>UPPSALA LÄN</t>
        </is>
      </c>
      <c r="E499" t="inlineStr">
        <is>
          <t>ENKÖPING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1695-2025</t>
        </is>
      </c>
      <c r="B500" s="1" t="n">
        <v>45670</v>
      </c>
      <c r="C500" s="1" t="n">
        <v>46168</v>
      </c>
      <c r="D500" t="inlineStr">
        <is>
          <t>UPPSALA LÄN</t>
        </is>
      </c>
      <c r="E500" t="inlineStr">
        <is>
          <t>ENKÖPING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59027-2024</t>
        </is>
      </c>
      <c r="B501" s="1" t="n">
        <v>45636.68755787037</v>
      </c>
      <c r="C501" s="1" t="n">
        <v>46168</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53607-2023</t>
        </is>
      </c>
      <c r="B502" s="1" t="n">
        <v>45230</v>
      </c>
      <c r="C502" s="1" t="n">
        <v>46168</v>
      </c>
      <c r="D502" t="inlineStr">
        <is>
          <t>UPPSALA LÄN</t>
        </is>
      </c>
      <c r="E502" t="inlineStr">
        <is>
          <t>ENKÖPING</t>
        </is>
      </c>
      <c r="F502" t="inlineStr">
        <is>
          <t>Allmännings- och besparingsskogar</t>
        </is>
      </c>
      <c r="G502" t="n">
        <v>6.3</v>
      </c>
      <c r="H502" t="n">
        <v>0</v>
      </c>
      <c r="I502" t="n">
        <v>0</v>
      </c>
      <c r="J502" t="n">
        <v>0</v>
      </c>
      <c r="K502" t="n">
        <v>0</v>
      </c>
      <c r="L502" t="n">
        <v>0</v>
      </c>
      <c r="M502" t="n">
        <v>0</v>
      </c>
      <c r="N502" t="n">
        <v>0</v>
      </c>
      <c r="O502" t="n">
        <v>0</v>
      </c>
      <c r="P502" t="n">
        <v>0</v>
      </c>
      <c r="Q502" t="n">
        <v>0</v>
      </c>
      <c r="R502" s="2" t="inlineStr"/>
    </row>
    <row r="503" ht="15" customHeight="1">
      <c r="A503" t="inlineStr">
        <is>
          <t>A 59497-2022</t>
        </is>
      </c>
      <c r="B503" s="1" t="n">
        <v>44907.48258101852</v>
      </c>
      <c r="C503" s="1" t="n">
        <v>46168</v>
      </c>
      <c r="D503" t="inlineStr">
        <is>
          <t>UPPSALA LÄN</t>
        </is>
      </c>
      <c r="E503" t="inlineStr">
        <is>
          <t>ENKÖPING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49614-2024</t>
        </is>
      </c>
      <c r="B504" s="1" t="n">
        <v>45596.57716435185</v>
      </c>
      <c r="C504" s="1" t="n">
        <v>46168</v>
      </c>
      <c r="D504" t="inlineStr">
        <is>
          <t>UPPSALA LÄN</t>
        </is>
      </c>
      <c r="E504" t="inlineStr">
        <is>
          <t>ENKÖPING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49632-2024</t>
        </is>
      </c>
      <c r="B505" s="1" t="n">
        <v>45596</v>
      </c>
      <c r="C505" s="1" t="n">
        <v>46168</v>
      </c>
      <c r="D505" t="inlineStr">
        <is>
          <t>UPPSALA LÄN</t>
        </is>
      </c>
      <c r="E505" t="inlineStr">
        <is>
          <t>ENKÖPING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51030-2024</t>
        </is>
      </c>
      <c r="B506" s="1" t="n">
        <v>45603</v>
      </c>
      <c r="C506" s="1" t="n">
        <v>46168</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15405-2025</t>
        </is>
      </c>
      <c r="B507" s="1" t="n">
        <v>45747.44670138889</v>
      </c>
      <c r="C507" s="1" t="n">
        <v>46168</v>
      </c>
      <c r="D507" t="inlineStr">
        <is>
          <t>UPPSALA LÄN</t>
        </is>
      </c>
      <c r="E507" t="inlineStr">
        <is>
          <t>ENKÖPING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12878-2025</t>
        </is>
      </c>
      <c r="B508" s="1" t="n">
        <v>45733.68571759259</v>
      </c>
      <c r="C508" s="1" t="n">
        <v>46168</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52889-2022</t>
        </is>
      </c>
      <c r="B509" s="1" t="n">
        <v>44875</v>
      </c>
      <c r="C509" s="1" t="n">
        <v>46168</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47681-2024</t>
        </is>
      </c>
      <c r="B510" s="1" t="n">
        <v>45588</v>
      </c>
      <c r="C510" s="1" t="n">
        <v>46168</v>
      </c>
      <c r="D510" t="inlineStr">
        <is>
          <t>UPPSALA LÄN</t>
        </is>
      </c>
      <c r="E510" t="inlineStr">
        <is>
          <t>ENKÖPING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12754-2025</t>
        </is>
      </c>
      <c r="B511" s="1" t="n">
        <v>45733.56331018519</v>
      </c>
      <c r="C511" s="1" t="n">
        <v>46168</v>
      </c>
      <c r="D511" t="inlineStr">
        <is>
          <t>UPPSALA LÄN</t>
        </is>
      </c>
      <c r="E511" t="inlineStr">
        <is>
          <t>ENKÖPING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54588-2024</t>
        </is>
      </c>
      <c r="B512" s="1" t="n">
        <v>45617</v>
      </c>
      <c r="C512" s="1" t="n">
        <v>46168</v>
      </c>
      <c r="D512" t="inlineStr">
        <is>
          <t>UPPSALA LÄN</t>
        </is>
      </c>
      <c r="E512" t="inlineStr">
        <is>
          <t>ENKÖPING</t>
        </is>
      </c>
      <c r="G512" t="n">
        <v>3.7</v>
      </c>
      <c r="H512" t="n">
        <v>0</v>
      </c>
      <c r="I512" t="n">
        <v>0</v>
      </c>
      <c r="J512" t="n">
        <v>0</v>
      </c>
      <c r="K512" t="n">
        <v>0</v>
      </c>
      <c r="L512" t="n">
        <v>0</v>
      </c>
      <c r="M512" t="n">
        <v>0</v>
      </c>
      <c r="N512" t="n">
        <v>0</v>
      </c>
      <c r="O512" t="n">
        <v>0</v>
      </c>
      <c r="P512" t="n">
        <v>0</v>
      </c>
      <c r="Q512" t="n">
        <v>0</v>
      </c>
      <c r="R512" s="2" t="inlineStr"/>
    </row>
    <row r="513" ht="15" customHeight="1">
      <c r="A513" t="inlineStr">
        <is>
          <t>A 56713-2024</t>
        </is>
      </c>
      <c r="B513" s="1" t="n">
        <v>45628</v>
      </c>
      <c r="C513" s="1" t="n">
        <v>46168</v>
      </c>
      <c r="D513" t="inlineStr">
        <is>
          <t>UPPSALA LÄN</t>
        </is>
      </c>
      <c r="E513" t="inlineStr">
        <is>
          <t>ENKÖPING</t>
        </is>
      </c>
      <c r="G513" t="n">
        <v>1.7</v>
      </c>
      <c r="H513" t="n">
        <v>0</v>
      </c>
      <c r="I513" t="n">
        <v>0</v>
      </c>
      <c r="J513" t="n">
        <v>0</v>
      </c>
      <c r="K513" t="n">
        <v>0</v>
      </c>
      <c r="L513" t="n">
        <v>0</v>
      </c>
      <c r="M513" t="n">
        <v>0</v>
      </c>
      <c r="N513" t="n">
        <v>0</v>
      </c>
      <c r="O513" t="n">
        <v>0</v>
      </c>
      <c r="P513" t="n">
        <v>0</v>
      </c>
      <c r="Q513" t="n">
        <v>0</v>
      </c>
      <c r="R513" s="2" t="inlineStr"/>
    </row>
    <row r="514" ht="15" customHeight="1">
      <c r="A514" t="inlineStr">
        <is>
          <t>A 51524-2022</t>
        </is>
      </c>
      <c r="B514" s="1" t="n">
        <v>44869</v>
      </c>
      <c r="C514" s="1" t="n">
        <v>46168</v>
      </c>
      <c r="D514" t="inlineStr">
        <is>
          <t>UPPSALA LÄN</t>
        </is>
      </c>
      <c r="E514" t="inlineStr">
        <is>
          <t>ENKÖPING</t>
        </is>
      </c>
      <c r="G514" t="n">
        <v>6.6</v>
      </c>
      <c r="H514" t="n">
        <v>0</v>
      </c>
      <c r="I514" t="n">
        <v>0</v>
      </c>
      <c r="J514" t="n">
        <v>0</v>
      </c>
      <c r="K514" t="n">
        <v>0</v>
      </c>
      <c r="L514" t="n">
        <v>0</v>
      </c>
      <c r="M514" t="n">
        <v>0</v>
      </c>
      <c r="N514" t="n">
        <v>0</v>
      </c>
      <c r="O514" t="n">
        <v>0</v>
      </c>
      <c r="P514" t="n">
        <v>0</v>
      </c>
      <c r="Q514" t="n">
        <v>0</v>
      </c>
      <c r="R514" s="2" t="inlineStr"/>
    </row>
    <row r="515" ht="15" customHeight="1">
      <c r="A515" t="inlineStr">
        <is>
          <t>A 8137-2025</t>
        </is>
      </c>
      <c r="B515" s="1" t="n">
        <v>45707.8561574074</v>
      </c>
      <c r="C515" s="1" t="n">
        <v>46168</v>
      </c>
      <c r="D515" t="inlineStr">
        <is>
          <t>UPPSALA LÄN</t>
        </is>
      </c>
      <c r="E515" t="inlineStr">
        <is>
          <t>ENKÖPING</t>
        </is>
      </c>
      <c r="G515" t="n">
        <v>0.4</v>
      </c>
      <c r="H515" t="n">
        <v>0</v>
      </c>
      <c r="I515" t="n">
        <v>0</v>
      </c>
      <c r="J515" t="n">
        <v>0</v>
      </c>
      <c r="K515" t="n">
        <v>0</v>
      </c>
      <c r="L515" t="n">
        <v>0</v>
      </c>
      <c r="M515" t="n">
        <v>0</v>
      </c>
      <c r="N515" t="n">
        <v>0</v>
      </c>
      <c r="O515" t="n">
        <v>0</v>
      </c>
      <c r="P515" t="n">
        <v>0</v>
      </c>
      <c r="Q515" t="n">
        <v>0</v>
      </c>
      <c r="R515" s="2" t="inlineStr"/>
    </row>
    <row r="516" ht="15" customHeight="1">
      <c r="A516" t="inlineStr">
        <is>
          <t>A 7868-2024</t>
        </is>
      </c>
      <c r="B516" s="1" t="n">
        <v>45350.33020833333</v>
      </c>
      <c r="C516" s="1" t="n">
        <v>46168</v>
      </c>
      <c r="D516" t="inlineStr">
        <is>
          <t>UPPSALA LÄN</t>
        </is>
      </c>
      <c r="E516" t="inlineStr">
        <is>
          <t>ENKÖPING</t>
        </is>
      </c>
      <c r="G516" t="n">
        <v>0.3</v>
      </c>
      <c r="H516" t="n">
        <v>0</v>
      </c>
      <c r="I516" t="n">
        <v>0</v>
      </c>
      <c r="J516" t="n">
        <v>0</v>
      </c>
      <c r="K516" t="n">
        <v>0</v>
      </c>
      <c r="L516" t="n">
        <v>0</v>
      </c>
      <c r="M516" t="n">
        <v>0</v>
      </c>
      <c r="N516" t="n">
        <v>0</v>
      </c>
      <c r="O516" t="n">
        <v>0</v>
      </c>
      <c r="P516" t="n">
        <v>0</v>
      </c>
      <c r="Q516" t="n">
        <v>0</v>
      </c>
      <c r="R516" s="2" t="inlineStr"/>
    </row>
    <row r="517" ht="15" customHeight="1">
      <c r="A517" t="inlineStr">
        <is>
          <t>A 51008-2024</t>
        </is>
      </c>
      <c r="B517" s="1" t="n">
        <v>45603.39041666667</v>
      </c>
      <c r="C517" s="1" t="n">
        <v>46168</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35052-2024</t>
        </is>
      </c>
      <c r="B518" s="1" t="n">
        <v>45527.6516087963</v>
      </c>
      <c r="C518" s="1" t="n">
        <v>46168</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c r="A519" t="inlineStr">
        <is>
          <t>A 14518-2025</t>
        </is>
      </c>
      <c r="B519" s="1" t="n">
        <v>45741</v>
      </c>
      <c r="C519" s="1" t="n">
        <v>46168</v>
      </c>
      <c r="D519" t="inlineStr">
        <is>
          <t>UPPSALA LÄN</t>
        </is>
      </c>
      <c r="E519" t="inlineStr">
        <is>
          <t>ENKÖPING</t>
        </is>
      </c>
      <c r="G519" t="n">
        <v>2</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2026-05-26T10:53:32Z</dcterms:created>
  <dcterms:modified xmlns:dcterms="http://purl.org/dc/terms/" xmlns:xsi="http://www.w3.org/2001/XMLSchema-instance" xsi:type="dcterms:W3CDTF">2026-05-26T10:53:33Z</dcterms:modified>
</cp:coreProperties>
</file>