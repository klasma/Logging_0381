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45583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45583</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45583</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45583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45583</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45583</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45583</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45583</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45583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45583</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45583</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45583</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45583</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45583</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45583</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45583</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45583</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45583</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45583</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45583</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45583</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45583</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45583</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45583</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45583</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45583</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45583</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45583</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45583</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36523-2021</t>
        </is>
      </c>
      <c r="B31" s="1" t="n">
        <v>44391</v>
      </c>
      <c r="C31" s="1" t="n">
        <v>45583</v>
      </c>
      <c r="D31" t="inlineStr">
        <is>
          <t>UPPSALA LÄN</t>
        </is>
      </c>
      <c r="E31" t="inlineStr">
        <is>
          <t>ENKÖPING</t>
        </is>
      </c>
      <c r="G31" t="n">
        <v>3.5</v>
      </c>
      <c r="H31" t="n">
        <v>1</v>
      </c>
      <c r="I31" t="n">
        <v>0</v>
      </c>
      <c r="J31" t="n">
        <v>1</v>
      </c>
      <c r="K31" t="n">
        <v>0</v>
      </c>
      <c r="L31" t="n">
        <v>0</v>
      </c>
      <c r="M31" t="n">
        <v>0</v>
      </c>
      <c r="N31" t="n">
        <v>0</v>
      </c>
      <c r="O31" t="n">
        <v>1</v>
      </c>
      <c r="P31" t="n">
        <v>0</v>
      </c>
      <c r="Q31" t="n">
        <v>1</v>
      </c>
      <c r="R31" s="2" t="inlineStr">
        <is>
          <t>Spillkråka</t>
        </is>
      </c>
      <c r="S31">
        <f>HYPERLINK("https://klasma.github.io/Logging_0381/artfynd/A 36523-2021 artfynd.xlsx", "A 36523-2021")</f>
        <v/>
      </c>
      <c r="T31">
        <f>HYPERLINK("https://klasma.github.io/Logging_0381/kartor/A 36523-2021 karta.png", "A 36523-2021")</f>
        <v/>
      </c>
      <c r="V31">
        <f>HYPERLINK("https://klasma.github.io/Logging_0381/klagomål/A 36523-2021 FSC-klagomål.docx", "A 36523-2021")</f>
        <v/>
      </c>
      <c r="W31">
        <f>HYPERLINK("https://klasma.github.io/Logging_0381/klagomålsmail/A 36523-2021 FSC-klagomål mail.docx", "A 36523-2021")</f>
        <v/>
      </c>
      <c r="X31">
        <f>HYPERLINK("https://klasma.github.io/Logging_0381/tillsyn/A 36523-2021 tillsynsbegäran.docx", "A 36523-2021")</f>
        <v/>
      </c>
      <c r="Y31">
        <f>HYPERLINK("https://klasma.github.io/Logging_0381/tillsynsmail/A 36523-2021 tillsynsbegäran mail.docx", "A 36523-2021")</f>
        <v/>
      </c>
      <c r="Z31">
        <f>HYPERLINK("https://klasma.github.io/Logging_0381/fåglar/A 36523-2021 prioriterade fågelarter.docx", "A 36523-2021")</f>
        <v/>
      </c>
    </row>
    <row r="32" ht="15" customHeight="1">
      <c r="A32" t="inlineStr">
        <is>
          <t>A 60855-2021</t>
        </is>
      </c>
      <c r="B32" s="1" t="n">
        <v>44497</v>
      </c>
      <c r="C32" s="1" t="n">
        <v>45583</v>
      </c>
      <c r="D32" t="inlineStr">
        <is>
          <t>UPPSALA LÄN</t>
        </is>
      </c>
      <c r="E32" t="inlineStr">
        <is>
          <t>ENKÖPING</t>
        </is>
      </c>
      <c r="G32" t="n">
        <v>1.2</v>
      </c>
      <c r="H32" t="n">
        <v>1</v>
      </c>
      <c r="I32" t="n">
        <v>0</v>
      </c>
      <c r="J32" t="n">
        <v>0</v>
      </c>
      <c r="K32" t="n">
        <v>1</v>
      </c>
      <c r="L32" t="n">
        <v>0</v>
      </c>
      <c r="M32" t="n">
        <v>0</v>
      </c>
      <c r="N32" t="n">
        <v>0</v>
      </c>
      <c r="O32" t="n">
        <v>1</v>
      </c>
      <c r="P32" t="n">
        <v>1</v>
      </c>
      <c r="Q32" t="n">
        <v>1</v>
      </c>
      <c r="R32" s="2" t="inlineStr">
        <is>
          <t>Knärot</t>
        </is>
      </c>
      <c r="S32">
        <f>HYPERLINK("https://klasma.github.io/Logging_0381/artfynd/A 60855-2021 artfynd.xlsx", "A 60855-2021")</f>
        <v/>
      </c>
      <c r="T32">
        <f>HYPERLINK("https://klasma.github.io/Logging_0381/kartor/A 60855-2021 karta.png", "A 60855-2021")</f>
        <v/>
      </c>
      <c r="U32">
        <f>HYPERLINK("https://klasma.github.io/Logging_0381/knärot/A 60855-2021 karta knärot.png", "A 60855-2021")</f>
        <v/>
      </c>
      <c r="V32">
        <f>HYPERLINK("https://klasma.github.io/Logging_0381/klagomål/A 60855-2021 FSC-klagomål.docx", "A 60855-2021")</f>
        <v/>
      </c>
      <c r="W32">
        <f>HYPERLINK("https://klasma.github.io/Logging_0381/klagomålsmail/A 60855-2021 FSC-klagomål mail.docx", "A 60855-2021")</f>
        <v/>
      </c>
      <c r="X32">
        <f>HYPERLINK("https://klasma.github.io/Logging_0381/tillsyn/A 60855-2021 tillsynsbegäran.docx", "A 60855-2021")</f>
        <v/>
      </c>
      <c r="Y32">
        <f>HYPERLINK("https://klasma.github.io/Logging_0381/tillsynsmail/A 60855-2021 tillsynsbegäran mail.docx", "A 60855-2021")</f>
        <v/>
      </c>
    </row>
    <row r="33" ht="15" customHeight="1">
      <c r="A33" t="inlineStr">
        <is>
          <t>A 74028-2021</t>
        </is>
      </c>
      <c r="B33" s="1" t="n">
        <v>44557</v>
      </c>
      <c r="C33" s="1" t="n">
        <v>45583</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74028-2021 artfynd.xlsx", "A 74028-2021")</f>
        <v/>
      </c>
      <c r="T33">
        <f>HYPERLINK("https://klasma.github.io/Logging_0381/kartor/A 74028-2021 karta.png", "A 74028-2021")</f>
        <v/>
      </c>
      <c r="V33">
        <f>HYPERLINK("https://klasma.github.io/Logging_0381/klagomål/A 74028-2021 FSC-klagomål.docx", "A 74028-2021")</f>
        <v/>
      </c>
      <c r="W33">
        <f>HYPERLINK("https://klasma.github.io/Logging_0381/klagomålsmail/A 74028-2021 FSC-klagomål mail.docx", "A 74028-2021")</f>
        <v/>
      </c>
      <c r="X33">
        <f>HYPERLINK("https://klasma.github.io/Logging_0381/tillsyn/A 74028-2021 tillsynsbegäran.docx", "A 74028-2021")</f>
        <v/>
      </c>
      <c r="Y33">
        <f>HYPERLINK("https://klasma.github.io/Logging_0381/tillsynsmail/A 74028-2021 tillsynsbegäran mail.docx", "A 74028-2021")</f>
        <v/>
      </c>
      <c r="Z33">
        <f>HYPERLINK("https://klasma.github.io/Logging_0381/fåglar/A 74028-2021 prioriterade fågelarter.docx", "A 74028-2021")</f>
        <v/>
      </c>
    </row>
    <row r="34" ht="15" customHeight="1">
      <c r="A34" t="inlineStr">
        <is>
          <t>A 18588-2022</t>
        </is>
      </c>
      <c r="B34" s="1" t="n">
        <v>44687</v>
      </c>
      <c r="C34" s="1" t="n">
        <v>45583</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45583</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1524-2023</t>
        </is>
      </c>
      <c r="B36" s="1" t="n">
        <v>44935</v>
      </c>
      <c r="C36" s="1" t="n">
        <v>45583</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Skogsduva</t>
        </is>
      </c>
      <c r="S36">
        <f>HYPERLINK("https://klasma.github.io/Logging_0381/artfynd/A 1524-2023 artfynd.xlsx", "A 1524-2023")</f>
        <v/>
      </c>
      <c r="T36">
        <f>HYPERLINK("https://klasma.github.io/Logging_0381/kartor/A 1524-2023 karta.png", "A 1524-2023")</f>
        <v/>
      </c>
      <c r="V36">
        <f>HYPERLINK("https://klasma.github.io/Logging_0381/klagomål/A 1524-2023 FSC-klagomål.docx", "A 1524-2023")</f>
        <v/>
      </c>
      <c r="W36">
        <f>HYPERLINK("https://klasma.github.io/Logging_0381/klagomålsmail/A 1524-2023 FSC-klagomål mail.docx", "A 1524-2023")</f>
        <v/>
      </c>
      <c r="X36">
        <f>HYPERLINK("https://klasma.github.io/Logging_0381/tillsyn/A 1524-2023 tillsynsbegäran.docx", "A 1524-2023")</f>
        <v/>
      </c>
      <c r="Y36">
        <f>HYPERLINK("https://klasma.github.io/Logging_0381/tillsynsmail/A 1524-2023 tillsynsbegäran mail.docx", "A 1524-2023")</f>
        <v/>
      </c>
      <c r="Z36">
        <f>HYPERLINK("https://klasma.github.io/Logging_0381/fåglar/A 1524-2023 prioriterade fågelarter.docx", "A 1524-2023")</f>
        <v/>
      </c>
    </row>
    <row r="37" ht="15" customHeight="1">
      <c r="A37" t="inlineStr">
        <is>
          <t>A 39623-2023</t>
        </is>
      </c>
      <c r="B37" s="1" t="n">
        <v>45164</v>
      </c>
      <c r="C37" s="1" t="n">
        <v>45583</v>
      </c>
      <c r="D37" t="inlineStr">
        <is>
          <t>UPPSALA LÄN</t>
        </is>
      </c>
      <c r="E37" t="inlineStr">
        <is>
          <t>ENKÖPING</t>
        </is>
      </c>
      <c r="G37" t="n">
        <v>7.6</v>
      </c>
      <c r="H37" t="n">
        <v>0</v>
      </c>
      <c r="I37" t="n">
        <v>1</v>
      </c>
      <c r="J37" t="n">
        <v>0</v>
      </c>
      <c r="K37" t="n">
        <v>0</v>
      </c>
      <c r="L37" t="n">
        <v>0</v>
      </c>
      <c r="M37" t="n">
        <v>0</v>
      </c>
      <c r="N37" t="n">
        <v>0</v>
      </c>
      <c r="O37" t="n">
        <v>0</v>
      </c>
      <c r="P37" t="n">
        <v>0</v>
      </c>
      <c r="Q37" t="n">
        <v>1</v>
      </c>
      <c r="R37" s="2" t="inlineStr">
        <is>
          <t>Strimspindling</t>
        </is>
      </c>
      <c r="S37">
        <f>HYPERLINK("https://klasma.github.io/Logging_0381/artfynd/A 39623-2023 artfynd.xlsx", "A 39623-2023")</f>
        <v/>
      </c>
      <c r="T37">
        <f>HYPERLINK("https://klasma.github.io/Logging_0381/kartor/A 39623-2023 karta.png", "A 39623-2023")</f>
        <v/>
      </c>
      <c r="V37">
        <f>HYPERLINK("https://klasma.github.io/Logging_0381/klagomål/A 39623-2023 FSC-klagomål.docx", "A 39623-2023")</f>
        <v/>
      </c>
      <c r="W37">
        <f>HYPERLINK("https://klasma.github.io/Logging_0381/klagomålsmail/A 39623-2023 FSC-klagomål mail.docx", "A 39623-2023")</f>
        <v/>
      </c>
      <c r="X37">
        <f>HYPERLINK("https://klasma.github.io/Logging_0381/tillsyn/A 39623-2023 tillsynsbegäran.docx", "A 39623-2023")</f>
        <v/>
      </c>
      <c r="Y37">
        <f>HYPERLINK("https://klasma.github.io/Logging_0381/tillsynsmail/A 39623-2023 tillsynsbegäran mail.docx", "A 39623-2023")</f>
        <v/>
      </c>
    </row>
    <row r="38" ht="15" customHeight="1">
      <c r="A38" t="inlineStr">
        <is>
          <t>A 45116-2023</t>
        </is>
      </c>
      <c r="B38" s="1" t="n">
        <v>45191</v>
      </c>
      <c r="C38" s="1" t="n">
        <v>45583</v>
      </c>
      <c r="D38" t="inlineStr">
        <is>
          <t>UPPSALA LÄN</t>
        </is>
      </c>
      <c r="E38" t="inlineStr">
        <is>
          <t>ENKÖPING</t>
        </is>
      </c>
      <c r="G38" t="n">
        <v>2</v>
      </c>
      <c r="H38" t="n">
        <v>0</v>
      </c>
      <c r="I38" t="n">
        <v>1</v>
      </c>
      <c r="J38" t="n">
        <v>0</v>
      </c>
      <c r="K38" t="n">
        <v>0</v>
      </c>
      <c r="L38" t="n">
        <v>0</v>
      </c>
      <c r="M38" t="n">
        <v>0</v>
      </c>
      <c r="N38" t="n">
        <v>0</v>
      </c>
      <c r="O38" t="n">
        <v>0</v>
      </c>
      <c r="P38" t="n">
        <v>0</v>
      </c>
      <c r="Q38" t="n">
        <v>1</v>
      </c>
      <c r="R38" s="2" t="inlineStr">
        <is>
          <t>Rävticka</t>
        </is>
      </c>
      <c r="S38">
        <f>HYPERLINK("https://klasma.github.io/Logging_0381/artfynd/A 45116-2023 artfynd.xlsx", "A 45116-2023")</f>
        <v/>
      </c>
      <c r="T38">
        <f>HYPERLINK("https://klasma.github.io/Logging_0381/kartor/A 45116-2023 karta.png", "A 45116-2023")</f>
        <v/>
      </c>
      <c r="V38">
        <f>HYPERLINK("https://klasma.github.io/Logging_0381/klagomål/A 45116-2023 FSC-klagomål.docx", "A 45116-2023")</f>
        <v/>
      </c>
      <c r="W38">
        <f>HYPERLINK("https://klasma.github.io/Logging_0381/klagomålsmail/A 45116-2023 FSC-klagomål mail.docx", "A 45116-2023")</f>
        <v/>
      </c>
      <c r="X38">
        <f>HYPERLINK("https://klasma.github.io/Logging_0381/tillsyn/A 45116-2023 tillsynsbegäran.docx", "A 45116-2023")</f>
        <v/>
      </c>
      <c r="Y38">
        <f>HYPERLINK("https://klasma.github.io/Logging_0381/tillsynsmail/A 45116-2023 tillsynsbegäran mail.docx", "A 45116-2023")</f>
        <v/>
      </c>
    </row>
    <row r="39" ht="15" customHeight="1">
      <c r="A39" t="inlineStr">
        <is>
          <t>A 45617-2023</t>
        </is>
      </c>
      <c r="B39" s="1" t="n">
        <v>45194</v>
      </c>
      <c r="C39" s="1" t="n">
        <v>45583</v>
      </c>
      <c r="D39" t="inlineStr">
        <is>
          <t>UPPSALA LÄN</t>
        </is>
      </c>
      <c r="E39" t="inlineStr">
        <is>
          <t>ENKÖPING</t>
        </is>
      </c>
      <c r="G39" t="n">
        <v>2.9</v>
      </c>
      <c r="H39" t="n">
        <v>1</v>
      </c>
      <c r="I39" t="n">
        <v>0</v>
      </c>
      <c r="J39" t="n">
        <v>0</v>
      </c>
      <c r="K39" t="n">
        <v>1</v>
      </c>
      <c r="L39" t="n">
        <v>0</v>
      </c>
      <c r="M39" t="n">
        <v>0</v>
      </c>
      <c r="N39" t="n">
        <v>0</v>
      </c>
      <c r="O39" t="n">
        <v>1</v>
      </c>
      <c r="P39" t="n">
        <v>1</v>
      </c>
      <c r="Q39" t="n">
        <v>1</v>
      </c>
      <c r="R39" s="2" t="inlineStr">
        <is>
          <t>Knärot</t>
        </is>
      </c>
      <c r="S39">
        <f>HYPERLINK("https://klasma.github.io/Logging_0381/artfynd/A 45617-2023 artfynd.xlsx", "A 45617-2023")</f>
        <v/>
      </c>
      <c r="T39">
        <f>HYPERLINK("https://klasma.github.io/Logging_0381/kartor/A 45617-2023 karta.png", "A 45617-2023")</f>
        <v/>
      </c>
      <c r="U39">
        <f>HYPERLINK("https://klasma.github.io/Logging_0381/knärot/A 45617-2023 karta knärot.png", "A 45617-2023")</f>
        <v/>
      </c>
      <c r="V39">
        <f>HYPERLINK("https://klasma.github.io/Logging_0381/klagomål/A 45617-2023 FSC-klagomål.docx", "A 45617-2023")</f>
        <v/>
      </c>
      <c r="W39">
        <f>HYPERLINK("https://klasma.github.io/Logging_0381/klagomålsmail/A 45617-2023 FSC-klagomål mail.docx", "A 45617-2023")</f>
        <v/>
      </c>
      <c r="X39">
        <f>HYPERLINK("https://klasma.github.io/Logging_0381/tillsyn/A 45617-2023 tillsynsbegäran.docx", "A 45617-2023")</f>
        <v/>
      </c>
      <c r="Y39">
        <f>HYPERLINK("https://klasma.github.io/Logging_0381/tillsynsmail/A 45617-2023 tillsynsbegäran mail.docx", "A 45617-2023")</f>
        <v/>
      </c>
    </row>
    <row r="40" ht="15" customHeight="1">
      <c r="A40" t="inlineStr">
        <is>
          <t>A 51382-2023</t>
        </is>
      </c>
      <c r="B40" s="1" t="n">
        <v>45219</v>
      </c>
      <c r="C40" s="1" t="n">
        <v>45583</v>
      </c>
      <c r="D40" t="inlineStr">
        <is>
          <t>UPPSALA LÄN</t>
        </is>
      </c>
      <c r="E40" t="inlineStr">
        <is>
          <t>ENKÖPING</t>
        </is>
      </c>
      <c r="F40" t="inlineStr">
        <is>
          <t>Allmännings- och besparingsskogar</t>
        </is>
      </c>
      <c r="G40" t="n">
        <v>15.9</v>
      </c>
      <c r="H40" t="n">
        <v>0</v>
      </c>
      <c r="I40" t="n">
        <v>0</v>
      </c>
      <c r="J40" t="n">
        <v>1</v>
      </c>
      <c r="K40" t="n">
        <v>0</v>
      </c>
      <c r="L40" t="n">
        <v>0</v>
      </c>
      <c r="M40" t="n">
        <v>0</v>
      </c>
      <c r="N40" t="n">
        <v>0</v>
      </c>
      <c r="O40" t="n">
        <v>1</v>
      </c>
      <c r="P40" t="n">
        <v>0</v>
      </c>
      <c r="Q40" t="n">
        <v>1</v>
      </c>
      <c r="R40" s="2" t="inlineStr">
        <is>
          <t>Krusfrö</t>
        </is>
      </c>
      <c r="S40">
        <f>HYPERLINK("https://klasma.github.io/Logging_0381/artfynd/A 51382-2023 artfynd.xlsx", "A 51382-2023")</f>
        <v/>
      </c>
      <c r="T40">
        <f>HYPERLINK("https://klasma.github.io/Logging_0381/kartor/A 51382-2023 karta.png", "A 51382-2023")</f>
        <v/>
      </c>
      <c r="V40">
        <f>HYPERLINK("https://klasma.github.io/Logging_0381/klagomål/A 51382-2023 FSC-klagomål.docx", "A 51382-2023")</f>
        <v/>
      </c>
      <c r="W40">
        <f>HYPERLINK("https://klasma.github.io/Logging_0381/klagomålsmail/A 51382-2023 FSC-klagomål mail.docx", "A 51382-2023")</f>
        <v/>
      </c>
      <c r="X40">
        <f>HYPERLINK("https://klasma.github.io/Logging_0381/tillsyn/A 51382-2023 tillsynsbegäran.docx", "A 51382-2023")</f>
        <v/>
      </c>
      <c r="Y40">
        <f>HYPERLINK("https://klasma.github.io/Logging_0381/tillsynsmail/A 51382-2023 tillsynsbegäran mail.docx", "A 51382-2023")</f>
        <v/>
      </c>
    </row>
    <row r="41" ht="15" customHeight="1">
      <c r="A41" t="inlineStr">
        <is>
          <t>A 53342-2023</t>
        </is>
      </c>
      <c r="B41" s="1" t="n">
        <v>45229</v>
      </c>
      <c r="C41" s="1" t="n">
        <v>45583</v>
      </c>
      <c r="D41" t="inlineStr">
        <is>
          <t>UPPSALA LÄN</t>
        </is>
      </c>
      <c r="E41" t="inlineStr">
        <is>
          <t>ENKÖPING</t>
        </is>
      </c>
      <c r="G41" t="n">
        <v>28.8</v>
      </c>
      <c r="H41" t="n">
        <v>0</v>
      </c>
      <c r="I41" t="n">
        <v>0</v>
      </c>
      <c r="J41" t="n">
        <v>1</v>
      </c>
      <c r="K41" t="n">
        <v>0</v>
      </c>
      <c r="L41" t="n">
        <v>0</v>
      </c>
      <c r="M41" t="n">
        <v>0</v>
      </c>
      <c r="N41" t="n">
        <v>0</v>
      </c>
      <c r="O41" t="n">
        <v>1</v>
      </c>
      <c r="P41" t="n">
        <v>0</v>
      </c>
      <c r="Q41" t="n">
        <v>1</v>
      </c>
      <c r="R41" s="2" t="inlineStr">
        <is>
          <t>Tallticka</t>
        </is>
      </c>
      <c r="S41">
        <f>HYPERLINK("https://klasma.github.io/Logging_0381/artfynd/A 53342-2023 artfynd.xlsx", "A 53342-2023")</f>
        <v/>
      </c>
      <c r="T41">
        <f>HYPERLINK("https://klasma.github.io/Logging_0381/kartor/A 53342-2023 karta.png", "A 53342-2023")</f>
        <v/>
      </c>
      <c r="V41">
        <f>HYPERLINK("https://klasma.github.io/Logging_0381/klagomål/A 53342-2023 FSC-klagomål.docx", "A 53342-2023")</f>
        <v/>
      </c>
      <c r="W41">
        <f>HYPERLINK("https://klasma.github.io/Logging_0381/klagomålsmail/A 53342-2023 FSC-klagomål mail.docx", "A 53342-2023")</f>
        <v/>
      </c>
      <c r="X41">
        <f>HYPERLINK("https://klasma.github.io/Logging_0381/tillsyn/A 53342-2023 tillsynsbegäran.docx", "A 53342-2023")</f>
        <v/>
      </c>
      <c r="Y41">
        <f>HYPERLINK("https://klasma.github.io/Logging_0381/tillsynsmail/A 53342-2023 tillsynsbegäran mail.docx", "A 53342-2023")</f>
        <v/>
      </c>
    </row>
    <row r="42" ht="15" customHeight="1">
      <c r="A42" t="inlineStr">
        <is>
          <t>A 425-2024</t>
        </is>
      </c>
      <c r="B42" s="1" t="n">
        <v>45296</v>
      </c>
      <c r="C42" s="1" t="n">
        <v>45583</v>
      </c>
      <c r="D42" t="inlineStr">
        <is>
          <t>UPPSALA LÄN</t>
        </is>
      </c>
      <c r="E42" t="inlineStr">
        <is>
          <t>ENKÖPING</t>
        </is>
      </c>
      <c r="G42" t="n">
        <v>8.300000000000001</v>
      </c>
      <c r="H42" t="n">
        <v>1</v>
      </c>
      <c r="I42" t="n">
        <v>0</v>
      </c>
      <c r="J42" t="n">
        <v>0</v>
      </c>
      <c r="K42" t="n">
        <v>0</v>
      </c>
      <c r="L42" t="n">
        <v>0</v>
      </c>
      <c r="M42" t="n">
        <v>0</v>
      </c>
      <c r="N42" t="n">
        <v>0</v>
      </c>
      <c r="O42" t="n">
        <v>0</v>
      </c>
      <c r="P42" t="n">
        <v>0</v>
      </c>
      <c r="Q42" t="n">
        <v>1</v>
      </c>
      <c r="R42" s="2" t="inlineStr">
        <is>
          <t>Orre</t>
        </is>
      </c>
      <c r="S42">
        <f>HYPERLINK("https://klasma.github.io/Logging_0381/artfynd/A 425-2024 artfynd.xlsx", "A 425-2024")</f>
        <v/>
      </c>
      <c r="T42">
        <f>HYPERLINK("https://klasma.github.io/Logging_0381/kartor/A 425-2024 karta.png", "A 425-2024")</f>
        <v/>
      </c>
      <c r="V42">
        <f>HYPERLINK("https://klasma.github.io/Logging_0381/klagomål/A 425-2024 FSC-klagomål.docx", "A 425-2024")</f>
        <v/>
      </c>
      <c r="W42">
        <f>HYPERLINK("https://klasma.github.io/Logging_0381/klagomålsmail/A 425-2024 FSC-klagomål mail.docx", "A 425-2024")</f>
        <v/>
      </c>
      <c r="X42">
        <f>HYPERLINK("https://klasma.github.io/Logging_0381/tillsyn/A 425-2024 tillsynsbegäran.docx", "A 425-2024")</f>
        <v/>
      </c>
      <c r="Y42">
        <f>HYPERLINK("https://klasma.github.io/Logging_0381/tillsynsmail/A 425-2024 tillsynsbegäran mail.docx", "A 425-2024")</f>
        <v/>
      </c>
      <c r="Z42">
        <f>HYPERLINK("https://klasma.github.io/Logging_0381/fåglar/A 425-2024 prioriterade fågelarter.docx", "A 425-2024")</f>
        <v/>
      </c>
    </row>
    <row r="43" ht="15" customHeight="1">
      <c r="A43" t="inlineStr">
        <is>
          <t>A 13255-2024</t>
        </is>
      </c>
      <c r="B43" s="1" t="n">
        <v>45386</v>
      </c>
      <c r="C43" s="1" t="n">
        <v>45583</v>
      </c>
      <c r="D43" t="inlineStr">
        <is>
          <t>UPPSALA LÄN</t>
        </is>
      </c>
      <c r="E43" t="inlineStr">
        <is>
          <t>ENKÖPING</t>
        </is>
      </c>
      <c r="G43" t="n">
        <v>3.8</v>
      </c>
      <c r="H43" t="n">
        <v>0</v>
      </c>
      <c r="I43" t="n">
        <v>1</v>
      </c>
      <c r="J43" t="n">
        <v>0</v>
      </c>
      <c r="K43" t="n">
        <v>0</v>
      </c>
      <c r="L43" t="n">
        <v>0</v>
      </c>
      <c r="M43" t="n">
        <v>0</v>
      </c>
      <c r="N43" t="n">
        <v>0</v>
      </c>
      <c r="O43" t="n">
        <v>0</v>
      </c>
      <c r="P43" t="n">
        <v>0</v>
      </c>
      <c r="Q43" t="n">
        <v>1</v>
      </c>
      <c r="R43" s="2" t="inlineStr">
        <is>
          <t>Stor aspticka</t>
        </is>
      </c>
      <c r="S43">
        <f>HYPERLINK("https://klasma.github.io/Logging_0381/artfynd/A 13255-2024 artfynd.xlsx", "A 13255-2024")</f>
        <v/>
      </c>
      <c r="T43">
        <f>HYPERLINK("https://klasma.github.io/Logging_0381/kartor/A 13255-2024 karta.png", "A 13255-2024")</f>
        <v/>
      </c>
      <c r="V43">
        <f>HYPERLINK("https://klasma.github.io/Logging_0381/klagomål/A 13255-2024 FSC-klagomål.docx", "A 13255-2024")</f>
        <v/>
      </c>
      <c r="W43">
        <f>HYPERLINK("https://klasma.github.io/Logging_0381/klagomålsmail/A 13255-2024 FSC-klagomål mail.docx", "A 13255-2024")</f>
        <v/>
      </c>
      <c r="X43">
        <f>HYPERLINK("https://klasma.github.io/Logging_0381/tillsyn/A 13255-2024 tillsynsbegäran.docx", "A 13255-2024")</f>
        <v/>
      </c>
      <c r="Y43">
        <f>HYPERLINK("https://klasma.github.io/Logging_0381/tillsynsmail/A 13255-2024 tillsynsbegäran mail.docx", "A 13255-2024")</f>
        <v/>
      </c>
    </row>
    <row r="44" ht="15" customHeight="1">
      <c r="A44" t="inlineStr">
        <is>
          <t>A 16864-2024</t>
        </is>
      </c>
      <c r="B44" s="1" t="n">
        <v>45411</v>
      </c>
      <c r="C44" s="1" t="n">
        <v>45583</v>
      </c>
      <c r="D44" t="inlineStr">
        <is>
          <t>UPPSALA LÄN</t>
        </is>
      </c>
      <c r="E44" t="inlineStr">
        <is>
          <t>ENKÖPING</t>
        </is>
      </c>
      <c r="G44" t="n">
        <v>5.9</v>
      </c>
      <c r="H44" t="n">
        <v>1</v>
      </c>
      <c r="I44" t="n">
        <v>0</v>
      </c>
      <c r="J44" t="n">
        <v>1</v>
      </c>
      <c r="K44" t="n">
        <v>0</v>
      </c>
      <c r="L44" t="n">
        <v>0</v>
      </c>
      <c r="M44" t="n">
        <v>0</v>
      </c>
      <c r="N44" t="n">
        <v>0</v>
      </c>
      <c r="O44" t="n">
        <v>1</v>
      </c>
      <c r="P44" t="n">
        <v>0</v>
      </c>
      <c r="Q44" t="n">
        <v>1</v>
      </c>
      <c r="R44" s="2" t="inlineStr">
        <is>
          <t>Spillkråka</t>
        </is>
      </c>
      <c r="S44">
        <f>HYPERLINK("https://klasma.github.io/Logging_0381/artfynd/A 16864-2024 artfynd.xlsx", "A 16864-2024")</f>
        <v/>
      </c>
      <c r="T44">
        <f>HYPERLINK("https://klasma.github.io/Logging_0381/kartor/A 16864-2024 karta.png", "A 16864-2024")</f>
        <v/>
      </c>
      <c r="V44">
        <f>HYPERLINK("https://klasma.github.io/Logging_0381/klagomål/A 16864-2024 FSC-klagomål.docx", "A 16864-2024")</f>
        <v/>
      </c>
      <c r="W44">
        <f>HYPERLINK("https://klasma.github.io/Logging_0381/klagomålsmail/A 16864-2024 FSC-klagomål mail.docx", "A 16864-2024")</f>
        <v/>
      </c>
      <c r="X44">
        <f>HYPERLINK("https://klasma.github.io/Logging_0381/tillsyn/A 16864-2024 tillsynsbegäran.docx", "A 16864-2024")</f>
        <v/>
      </c>
      <c r="Y44">
        <f>HYPERLINK("https://klasma.github.io/Logging_0381/tillsynsmail/A 16864-2024 tillsynsbegäran mail.docx", "A 16864-2024")</f>
        <v/>
      </c>
      <c r="Z44">
        <f>HYPERLINK("https://klasma.github.io/Logging_0381/fåglar/A 16864-2024 prioriterade fågelarter.docx", "A 16864-2024")</f>
        <v/>
      </c>
    </row>
    <row r="45" ht="15" customHeight="1">
      <c r="A45" t="inlineStr">
        <is>
          <t>A 17942-2024</t>
        </is>
      </c>
      <c r="B45" s="1" t="n">
        <v>45419</v>
      </c>
      <c r="C45" s="1" t="n">
        <v>45583</v>
      </c>
      <c r="D45" t="inlineStr">
        <is>
          <t>UPPSALA LÄN</t>
        </is>
      </c>
      <c r="E45" t="inlineStr">
        <is>
          <t>ENKÖPING</t>
        </is>
      </c>
      <c r="G45" t="n">
        <v>0.8</v>
      </c>
      <c r="H45" t="n">
        <v>0</v>
      </c>
      <c r="I45" t="n">
        <v>0</v>
      </c>
      <c r="J45" t="n">
        <v>1</v>
      </c>
      <c r="K45" t="n">
        <v>0</v>
      </c>
      <c r="L45" t="n">
        <v>0</v>
      </c>
      <c r="M45" t="n">
        <v>0</v>
      </c>
      <c r="N45" t="n">
        <v>0</v>
      </c>
      <c r="O45" t="n">
        <v>1</v>
      </c>
      <c r="P45" t="n">
        <v>0</v>
      </c>
      <c r="Q45" t="n">
        <v>1</v>
      </c>
      <c r="R45" s="2" t="inlineStr">
        <is>
          <t>Ängsskära</t>
        </is>
      </c>
      <c r="S45">
        <f>HYPERLINK("https://klasma.github.io/Logging_0381/artfynd/A 17942-2024 artfynd.xlsx", "A 17942-2024")</f>
        <v/>
      </c>
      <c r="T45">
        <f>HYPERLINK("https://klasma.github.io/Logging_0381/kartor/A 17942-2024 karta.png", "A 17942-2024")</f>
        <v/>
      </c>
      <c r="V45">
        <f>HYPERLINK("https://klasma.github.io/Logging_0381/klagomål/A 17942-2024 FSC-klagomål.docx", "A 17942-2024")</f>
        <v/>
      </c>
      <c r="W45">
        <f>HYPERLINK("https://klasma.github.io/Logging_0381/klagomålsmail/A 17942-2024 FSC-klagomål mail.docx", "A 17942-2024")</f>
        <v/>
      </c>
      <c r="X45">
        <f>HYPERLINK("https://klasma.github.io/Logging_0381/tillsyn/A 17942-2024 tillsynsbegäran.docx", "A 17942-2024")</f>
        <v/>
      </c>
      <c r="Y45">
        <f>HYPERLINK("https://klasma.github.io/Logging_0381/tillsynsmail/A 17942-2024 tillsynsbegäran mail.docx", "A 17942-2024")</f>
        <v/>
      </c>
    </row>
    <row r="46" ht="15" customHeight="1">
      <c r="A46" t="inlineStr">
        <is>
          <t>A 18416-2024</t>
        </is>
      </c>
      <c r="B46" s="1" t="n">
        <v>45425</v>
      </c>
      <c r="C46" s="1" t="n">
        <v>45583</v>
      </c>
      <c r="D46" t="inlineStr">
        <is>
          <t>UPPSALA LÄN</t>
        </is>
      </c>
      <c r="E46" t="inlineStr">
        <is>
          <t>ENKÖPING</t>
        </is>
      </c>
      <c r="G46" t="n">
        <v>4.5</v>
      </c>
      <c r="H46" t="n">
        <v>1</v>
      </c>
      <c r="I46" t="n">
        <v>1</v>
      </c>
      <c r="J46" t="n">
        <v>0</v>
      </c>
      <c r="K46" t="n">
        <v>0</v>
      </c>
      <c r="L46" t="n">
        <v>0</v>
      </c>
      <c r="M46" t="n">
        <v>0</v>
      </c>
      <c r="N46" t="n">
        <v>0</v>
      </c>
      <c r="O46" t="n">
        <v>0</v>
      </c>
      <c r="P46" t="n">
        <v>0</v>
      </c>
      <c r="Q46" t="n">
        <v>1</v>
      </c>
      <c r="R46" s="2" t="inlineStr">
        <is>
          <t>Grön sköldmossa</t>
        </is>
      </c>
      <c r="S46">
        <f>HYPERLINK("https://klasma.github.io/Logging_0381/artfynd/A 18416-2024 artfynd.xlsx", "A 18416-2024")</f>
        <v/>
      </c>
      <c r="T46">
        <f>HYPERLINK("https://klasma.github.io/Logging_0381/kartor/A 18416-2024 karta.png", "A 18416-2024")</f>
        <v/>
      </c>
      <c r="V46">
        <f>HYPERLINK("https://klasma.github.io/Logging_0381/klagomål/A 18416-2024 FSC-klagomål.docx", "A 18416-2024")</f>
        <v/>
      </c>
      <c r="W46">
        <f>HYPERLINK("https://klasma.github.io/Logging_0381/klagomålsmail/A 18416-2024 FSC-klagomål mail.docx", "A 18416-2024")</f>
        <v/>
      </c>
      <c r="X46">
        <f>HYPERLINK("https://klasma.github.io/Logging_0381/tillsyn/A 18416-2024 tillsynsbegäran.docx", "A 18416-2024")</f>
        <v/>
      </c>
      <c r="Y46">
        <f>HYPERLINK("https://klasma.github.io/Logging_0381/tillsynsmail/A 18416-2024 tillsynsbegäran mail.docx", "A 18416-2024")</f>
        <v/>
      </c>
    </row>
    <row r="47" ht="15" customHeight="1">
      <c r="A47" t="inlineStr">
        <is>
          <t>A 28847-2024</t>
        </is>
      </c>
      <c r="B47" s="1" t="n">
        <v>45478</v>
      </c>
      <c r="C47" s="1" t="n">
        <v>45583</v>
      </c>
      <c r="D47" t="inlineStr">
        <is>
          <t>UPPSALA LÄN</t>
        </is>
      </c>
      <c r="E47" t="inlineStr">
        <is>
          <t>ENKÖPING</t>
        </is>
      </c>
      <c r="G47" t="n">
        <v>3</v>
      </c>
      <c r="H47" t="n">
        <v>1</v>
      </c>
      <c r="I47" t="n">
        <v>0</v>
      </c>
      <c r="J47" t="n">
        <v>0</v>
      </c>
      <c r="K47" t="n">
        <v>0</v>
      </c>
      <c r="L47" t="n">
        <v>0</v>
      </c>
      <c r="M47" t="n">
        <v>0</v>
      </c>
      <c r="N47" t="n">
        <v>0</v>
      </c>
      <c r="O47" t="n">
        <v>0</v>
      </c>
      <c r="P47" t="n">
        <v>0</v>
      </c>
      <c r="Q47" t="n">
        <v>1</v>
      </c>
      <c r="R47" s="2" t="inlineStr">
        <is>
          <t>Revlummer</t>
        </is>
      </c>
      <c r="S47">
        <f>HYPERLINK("https://klasma.github.io/Logging_0381/artfynd/A 28847-2024 artfynd.xlsx", "A 28847-2024")</f>
        <v/>
      </c>
      <c r="T47">
        <f>HYPERLINK("https://klasma.github.io/Logging_0381/kartor/A 28847-2024 karta.png", "A 28847-2024")</f>
        <v/>
      </c>
      <c r="V47">
        <f>HYPERLINK("https://klasma.github.io/Logging_0381/klagomål/A 28847-2024 FSC-klagomål.docx", "A 28847-2024")</f>
        <v/>
      </c>
      <c r="W47">
        <f>HYPERLINK("https://klasma.github.io/Logging_0381/klagomålsmail/A 28847-2024 FSC-klagomål mail.docx", "A 28847-2024")</f>
        <v/>
      </c>
      <c r="X47">
        <f>HYPERLINK("https://klasma.github.io/Logging_0381/tillsyn/A 28847-2024 tillsynsbegäran.docx", "A 28847-2024")</f>
        <v/>
      </c>
      <c r="Y47">
        <f>HYPERLINK("https://klasma.github.io/Logging_0381/tillsynsmail/A 28847-2024 tillsynsbegäran mail.docx", "A 28847-2024")</f>
        <v/>
      </c>
    </row>
    <row r="48" ht="15" customHeight="1">
      <c r="A48" t="inlineStr">
        <is>
          <t>A 28900-2024</t>
        </is>
      </c>
      <c r="B48" s="1" t="n">
        <v>45480</v>
      </c>
      <c r="C48" s="1" t="n">
        <v>45583</v>
      </c>
      <c r="D48" t="inlineStr">
        <is>
          <t>UPPSALA LÄN</t>
        </is>
      </c>
      <c r="E48" t="inlineStr">
        <is>
          <t>ENKÖPING</t>
        </is>
      </c>
      <c r="G48" t="n">
        <v>8.6</v>
      </c>
      <c r="H48" t="n">
        <v>1</v>
      </c>
      <c r="I48" t="n">
        <v>0</v>
      </c>
      <c r="J48" t="n">
        <v>0</v>
      </c>
      <c r="K48" t="n">
        <v>0</v>
      </c>
      <c r="L48" t="n">
        <v>0</v>
      </c>
      <c r="M48" t="n">
        <v>0</v>
      </c>
      <c r="N48" t="n">
        <v>0</v>
      </c>
      <c r="O48" t="n">
        <v>0</v>
      </c>
      <c r="P48" t="n">
        <v>0</v>
      </c>
      <c r="Q48" t="n">
        <v>1</v>
      </c>
      <c r="R48" s="2" t="inlineStr">
        <is>
          <t>Blåsippa</t>
        </is>
      </c>
      <c r="S48">
        <f>HYPERLINK("https://klasma.github.io/Logging_0381/artfynd/A 28900-2024 artfynd.xlsx", "A 28900-2024")</f>
        <v/>
      </c>
      <c r="T48">
        <f>HYPERLINK("https://klasma.github.io/Logging_0381/kartor/A 28900-2024 karta.png", "A 28900-2024")</f>
        <v/>
      </c>
      <c r="V48">
        <f>HYPERLINK("https://klasma.github.io/Logging_0381/klagomål/A 28900-2024 FSC-klagomål.docx", "A 28900-2024")</f>
        <v/>
      </c>
      <c r="W48">
        <f>HYPERLINK("https://klasma.github.io/Logging_0381/klagomålsmail/A 28900-2024 FSC-klagomål mail.docx", "A 28900-2024")</f>
        <v/>
      </c>
      <c r="X48">
        <f>HYPERLINK("https://klasma.github.io/Logging_0381/tillsyn/A 28900-2024 tillsynsbegäran.docx", "A 28900-2024")</f>
        <v/>
      </c>
      <c r="Y48">
        <f>HYPERLINK("https://klasma.github.io/Logging_0381/tillsynsmail/A 28900-2024 tillsynsbegäran mail.docx", "A 28900-2024")</f>
        <v/>
      </c>
    </row>
    <row r="49" ht="15" customHeight="1">
      <c r="A49" t="inlineStr">
        <is>
          <t>A 32694-2024</t>
        </is>
      </c>
      <c r="B49" s="1" t="n">
        <v>45516</v>
      </c>
      <c r="C49" s="1" t="n">
        <v>45583</v>
      </c>
      <c r="D49" t="inlineStr">
        <is>
          <t>UPPSALA LÄN</t>
        </is>
      </c>
      <c r="E49" t="inlineStr">
        <is>
          <t>ENKÖPING</t>
        </is>
      </c>
      <c r="G49" t="n">
        <v>5.6</v>
      </c>
      <c r="H49" t="n">
        <v>1</v>
      </c>
      <c r="I49" t="n">
        <v>0</v>
      </c>
      <c r="J49" t="n">
        <v>0</v>
      </c>
      <c r="K49" t="n">
        <v>1</v>
      </c>
      <c r="L49" t="n">
        <v>0</v>
      </c>
      <c r="M49" t="n">
        <v>0</v>
      </c>
      <c r="N49" t="n">
        <v>0</v>
      </c>
      <c r="O49" t="n">
        <v>1</v>
      </c>
      <c r="P49" t="n">
        <v>1</v>
      </c>
      <c r="Q49" t="n">
        <v>1</v>
      </c>
      <c r="R49" s="2" t="inlineStr">
        <is>
          <t>Knärot</t>
        </is>
      </c>
      <c r="S49">
        <f>HYPERLINK("https://klasma.github.io/Logging_0381/artfynd/A 32694-2024 artfynd.xlsx", "A 32694-2024")</f>
        <v/>
      </c>
      <c r="T49">
        <f>HYPERLINK("https://klasma.github.io/Logging_0381/kartor/A 32694-2024 karta.png", "A 32694-2024")</f>
        <v/>
      </c>
      <c r="U49">
        <f>HYPERLINK("https://klasma.github.io/Logging_0381/knärot/A 32694-2024 karta knärot.png", "A 32694-2024")</f>
        <v/>
      </c>
      <c r="V49">
        <f>HYPERLINK("https://klasma.github.io/Logging_0381/klagomål/A 32694-2024 FSC-klagomål.docx", "A 32694-2024")</f>
        <v/>
      </c>
      <c r="W49">
        <f>HYPERLINK("https://klasma.github.io/Logging_0381/klagomålsmail/A 32694-2024 FSC-klagomål mail.docx", "A 32694-2024")</f>
        <v/>
      </c>
      <c r="X49">
        <f>HYPERLINK("https://klasma.github.io/Logging_0381/tillsyn/A 32694-2024 tillsynsbegäran.docx", "A 32694-2024")</f>
        <v/>
      </c>
      <c r="Y49">
        <f>HYPERLINK("https://klasma.github.io/Logging_0381/tillsynsmail/A 32694-2024 tillsynsbegäran mail.docx", "A 32694-2024")</f>
        <v/>
      </c>
    </row>
    <row r="50" ht="15" customHeight="1">
      <c r="A50" t="inlineStr">
        <is>
          <t>A 33339-2024</t>
        </is>
      </c>
      <c r="B50" s="1" t="n">
        <v>45519</v>
      </c>
      <c r="C50" s="1" t="n">
        <v>45583</v>
      </c>
      <c r="D50" t="inlineStr">
        <is>
          <t>UPPSALA LÄN</t>
        </is>
      </c>
      <c r="E50" t="inlineStr">
        <is>
          <t>ENKÖPING</t>
        </is>
      </c>
      <c r="G50" t="n">
        <v>2.3</v>
      </c>
      <c r="H50" t="n">
        <v>0</v>
      </c>
      <c r="I50" t="n">
        <v>0</v>
      </c>
      <c r="J50" t="n">
        <v>1</v>
      </c>
      <c r="K50" t="n">
        <v>0</v>
      </c>
      <c r="L50" t="n">
        <v>0</v>
      </c>
      <c r="M50" t="n">
        <v>0</v>
      </c>
      <c r="N50" t="n">
        <v>0</v>
      </c>
      <c r="O50" t="n">
        <v>1</v>
      </c>
      <c r="P50" t="n">
        <v>0</v>
      </c>
      <c r="Q50" t="n">
        <v>1</v>
      </c>
      <c r="R50" s="2" t="inlineStr">
        <is>
          <t>Ullticka</t>
        </is>
      </c>
      <c r="S50">
        <f>HYPERLINK("https://klasma.github.io/Logging_0381/artfynd/A 33339-2024 artfynd.xlsx", "A 33339-2024")</f>
        <v/>
      </c>
      <c r="T50">
        <f>HYPERLINK("https://klasma.github.io/Logging_0381/kartor/A 33339-2024 karta.png", "A 33339-2024")</f>
        <v/>
      </c>
      <c r="V50">
        <f>HYPERLINK("https://klasma.github.io/Logging_0381/klagomål/A 33339-2024 FSC-klagomål.docx", "A 33339-2024")</f>
        <v/>
      </c>
      <c r="W50">
        <f>HYPERLINK("https://klasma.github.io/Logging_0381/klagomålsmail/A 33339-2024 FSC-klagomål mail.docx", "A 33339-2024")</f>
        <v/>
      </c>
      <c r="X50">
        <f>HYPERLINK("https://klasma.github.io/Logging_0381/tillsyn/A 33339-2024 tillsynsbegäran.docx", "A 33339-2024")</f>
        <v/>
      </c>
      <c r="Y50">
        <f>HYPERLINK("https://klasma.github.io/Logging_0381/tillsynsmail/A 33339-2024 tillsynsbegäran mail.docx", "A 33339-2024")</f>
        <v/>
      </c>
    </row>
    <row r="51" ht="15" customHeight="1">
      <c r="A51" t="inlineStr">
        <is>
          <t>A 18148-2019</t>
        </is>
      </c>
      <c r="B51" s="1" t="n">
        <v>43558</v>
      </c>
      <c r="C51" s="1" t="n">
        <v>45583</v>
      </c>
      <c r="D51" t="inlineStr">
        <is>
          <t>UPPSALA LÄN</t>
        </is>
      </c>
      <c r="E51" t="inlineStr">
        <is>
          <t>ENKÖPING</t>
        </is>
      </c>
      <c r="G51" t="n">
        <v>4.5</v>
      </c>
      <c r="H51" t="n">
        <v>0</v>
      </c>
      <c r="I51" t="n">
        <v>0</v>
      </c>
      <c r="J51" t="n">
        <v>0</v>
      </c>
      <c r="K51" t="n">
        <v>0</v>
      </c>
      <c r="L51" t="n">
        <v>0</v>
      </c>
      <c r="M51" t="n">
        <v>0</v>
      </c>
      <c r="N51" t="n">
        <v>0</v>
      </c>
      <c r="O51" t="n">
        <v>0</v>
      </c>
      <c r="P51" t="n">
        <v>0</v>
      </c>
      <c r="Q51" t="n">
        <v>0</v>
      </c>
      <c r="R51" s="2" t="inlineStr"/>
    </row>
    <row r="52" ht="15" customHeight="1">
      <c r="A52" t="inlineStr">
        <is>
          <t>A 22750-2019</t>
        </is>
      </c>
      <c r="B52" s="1" t="n">
        <v>43588</v>
      </c>
      <c r="C52" s="1" t="n">
        <v>45583</v>
      </c>
      <c r="D52" t="inlineStr">
        <is>
          <t>UPPSALA LÄN</t>
        </is>
      </c>
      <c r="E52" t="inlineStr">
        <is>
          <t>ENKÖPING</t>
        </is>
      </c>
      <c r="G52" t="n">
        <v>1.1</v>
      </c>
      <c r="H52" t="n">
        <v>0</v>
      </c>
      <c r="I52" t="n">
        <v>0</v>
      </c>
      <c r="J52" t="n">
        <v>0</v>
      </c>
      <c r="K52" t="n">
        <v>0</v>
      </c>
      <c r="L52" t="n">
        <v>0</v>
      </c>
      <c r="M52" t="n">
        <v>0</v>
      </c>
      <c r="N52" t="n">
        <v>0</v>
      </c>
      <c r="O52" t="n">
        <v>0</v>
      </c>
      <c r="P52" t="n">
        <v>0</v>
      </c>
      <c r="Q52" t="n">
        <v>0</v>
      </c>
      <c r="R52" s="2" t="inlineStr"/>
    </row>
    <row r="53" ht="15" customHeight="1">
      <c r="A53" t="inlineStr">
        <is>
          <t>A 23328-2019</t>
        </is>
      </c>
      <c r="B53" s="1" t="n">
        <v>43593</v>
      </c>
      <c r="C53" s="1" t="n">
        <v>45583</v>
      </c>
      <c r="D53" t="inlineStr">
        <is>
          <t>UPPSALA LÄN</t>
        </is>
      </c>
      <c r="E53" t="inlineStr">
        <is>
          <t>ENKÖPING</t>
        </is>
      </c>
      <c r="G53" t="n">
        <v>0.6</v>
      </c>
      <c r="H53" t="n">
        <v>0</v>
      </c>
      <c r="I53" t="n">
        <v>0</v>
      </c>
      <c r="J53" t="n">
        <v>0</v>
      </c>
      <c r="K53" t="n">
        <v>0</v>
      </c>
      <c r="L53" t="n">
        <v>0</v>
      </c>
      <c r="M53" t="n">
        <v>0</v>
      </c>
      <c r="N53" t="n">
        <v>0</v>
      </c>
      <c r="O53" t="n">
        <v>0</v>
      </c>
      <c r="P53" t="n">
        <v>0</v>
      </c>
      <c r="Q53" t="n">
        <v>0</v>
      </c>
      <c r="R53" s="2" t="inlineStr"/>
    </row>
    <row r="54" ht="15" customHeight="1">
      <c r="A54" t="inlineStr">
        <is>
          <t>A 26926-2019</t>
        </is>
      </c>
      <c r="B54" s="1" t="n">
        <v>43613</v>
      </c>
      <c r="C54" s="1" t="n">
        <v>45583</v>
      </c>
      <c r="D54" t="inlineStr">
        <is>
          <t>UPPSALA LÄN</t>
        </is>
      </c>
      <c r="E54" t="inlineStr">
        <is>
          <t>ENKÖPING</t>
        </is>
      </c>
      <c r="G54" t="n">
        <v>1.4</v>
      </c>
      <c r="H54" t="n">
        <v>0</v>
      </c>
      <c r="I54" t="n">
        <v>0</v>
      </c>
      <c r="J54" t="n">
        <v>0</v>
      </c>
      <c r="K54" t="n">
        <v>0</v>
      </c>
      <c r="L54" t="n">
        <v>0</v>
      </c>
      <c r="M54" t="n">
        <v>0</v>
      </c>
      <c r="N54" t="n">
        <v>0</v>
      </c>
      <c r="O54" t="n">
        <v>0</v>
      </c>
      <c r="P54" t="n">
        <v>0</v>
      </c>
      <c r="Q54" t="n">
        <v>0</v>
      </c>
      <c r="R54" s="2" t="inlineStr"/>
    </row>
    <row r="55" ht="15" customHeight="1">
      <c r="A55" t="inlineStr">
        <is>
          <t>A 28134-2019</t>
        </is>
      </c>
      <c r="B55" s="1" t="n">
        <v>43621</v>
      </c>
      <c r="C55" s="1" t="n">
        <v>45583</v>
      </c>
      <c r="D55" t="inlineStr">
        <is>
          <t>UPPSALA LÄN</t>
        </is>
      </c>
      <c r="E55" t="inlineStr">
        <is>
          <t>ENKÖPING</t>
        </is>
      </c>
      <c r="G55" t="n">
        <v>0.9</v>
      </c>
      <c r="H55" t="n">
        <v>0</v>
      </c>
      <c r="I55" t="n">
        <v>0</v>
      </c>
      <c r="J55" t="n">
        <v>0</v>
      </c>
      <c r="K55" t="n">
        <v>0</v>
      </c>
      <c r="L55" t="n">
        <v>0</v>
      </c>
      <c r="M55" t="n">
        <v>0</v>
      </c>
      <c r="N55" t="n">
        <v>0</v>
      </c>
      <c r="O55" t="n">
        <v>0</v>
      </c>
      <c r="P55" t="n">
        <v>0</v>
      </c>
      <c r="Q55" t="n">
        <v>0</v>
      </c>
      <c r="R55" s="2" t="inlineStr"/>
    </row>
    <row r="56" ht="15" customHeight="1">
      <c r="A56" t="inlineStr">
        <is>
          <t>A 30036-2019</t>
        </is>
      </c>
      <c r="B56" s="1" t="n">
        <v>43633</v>
      </c>
      <c r="C56" s="1" t="n">
        <v>45583</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29979-2019</t>
        </is>
      </c>
      <c r="B57" s="1" t="n">
        <v>43633</v>
      </c>
      <c r="C57" s="1" t="n">
        <v>45583</v>
      </c>
      <c r="D57" t="inlineStr">
        <is>
          <t>UPPSALA LÄN</t>
        </is>
      </c>
      <c r="E57" t="inlineStr">
        <is>
          <t>ENKÖPING</t>
        </is>
      </c>
      <c r="G57" t="n">
        <v>2.3</v>
      </c>
      <c r="H57" t="n">
        <v>0</v>
      </c>
      <c r="I57" t="n">
        <v>0</v>
      </c>
      <c r="J57" t="n">
        <v>0</v>
      </c>
      <c r="K57" t="n">
        <v>0</v>
      </c>
      <c r="L57" t="n">
        <v>0</v>
      </c>
      <c r="M57" t="n">
        <v>0</v>
      </c>
      <c r="N57" t="n">
        <v>0</v>
      </c>
      <c r="O57" t="n">
        <v>0</v>
      </c>
      <c r="P57" t="n">
        <v>0</v>
      </c>
      <c r="Q57" t="n">
        <v>0</v>
      </c>
      <c r="R57" s="2" t="inlineStr"/>
    </row>
    <row r="58" ht="15" customHeight="1">
      <c r="A58" t="inlineStr">
        <is>
          <t>A 31081-2019</t>
        </is>
      </c>
      <c r="B58" s="1" t="n">
        <v>43640</v>
      </c>
      <c r="C58" s="1" t="n">
        <v>45583</v>
      </c>
      <c r="D58" t="inlineStr">
        <is>
          <t>UPPSALA LÄN</t>
        </is>
      </c>
      <c r="E58" t="inlineStr">
        <is>
          <t>ENKÖPING</t>
        </is>
      </c>
      <c r="G58" t="n">
        <v>3.1</v>
      </c>
      <c r="H58" t="n">
        <v>0</v>
      </c>
      <c r="I58" t="n">
        <v>0</v>
      </c>
      <c r="J58" t="n">
        <v>0</v>
      </c>
      <c r="K58" t="n">
        <v>0</v>
      </c>
      <c r="L58" t="n">
        <v>0</v>
      </c>
      <c r="M58" t="n">
        <v>0</v>
      </c>
      <c r="N58" t="n">
        <v>0</v>
      </c>
      <c r="O58" t="n">
        <v>0</v>
      </c>
      <c r="P58" t="n">
        <v>0</v>
      </c>
      <c r="Q58" t="n">
        <v>0</v>
      </c>
      <c r="R58" s="2" t="inlineStr"/>
    </row>
    <row r="59" ht="15" customHeight="1">
      <c r="A59" t="inlineStr">
        <is>
          <t>A 31074-2019</t>
        </is>
      </c>
      <c r="B59" s="1" t="n">
        <v>43640</v>
      </c>
      <c r="C59" s="1" t="n">
        <v>45583</v>
      </c>
      <c r="D59" t="inlineStr">
        <is>
          <t>UPPSALA LÄN</t>
        </is>
      </c>
      <c r="E59" t="inlineStr">
        <is>
          <t>ENKÖPING</t>
        </is>
      </c>
      <c r="G59" t="n">
        <v>1.3</v>
      </c>
      <c r="H59" t="n">
        <v>0</v>
      </c>
      <c r="I59" t="n">
        <v>0</v>
      </c>
      <c r="J59" t="n">
        <v>0</v>
      </c>
      <c r="K59" t="n">
        <v>0</v>
      </c>
      <c r="L59" t="n">
        <v>0</v>
      </c>
      <c r="M59" t="n">
        <v>0</v>
      </c>
      <c r="N59" t="n">
        <v>0</v>
      </c>
      <c r="O59" t="n">
        <v>0</v>
      </c>
      <c r="P59" t="n">
        <v>0</v>
      </c>
      <c r="Q59" t="n">
        <v>0</v>
      </c>
      <c r="R59" s="2" t="inlineStr"/>
    </row>
    <row r="60" ht="15" customHeight="1">
      <c r="A60" t="inlineStr">
        <is>
          <t>A 32310-2019</t>
        </is>
      </c>
      <c r="B60" s="1" t="n">
        <v>43644</v>
      </c>
      <c r="C60" s="1" t="n">
        <v>45583</v>
      </c>
      <c r="D60" t="inlineStr">
        <is>
          <t>UPPSALA LÄN</t>
        </is>
      </c>
      <c r="E60" t="inlineStr">
        <is>
          <t>ENKÖPING</t>
        </is>
      </c>
      <c r="G60" t="n">
        <v>2.7</v>
      </c>
      <c r="H60" t="n">
        <v>0</v>
      </c>
      <c r="I60" t="n">
        <v>0</v>
      </c>
      <c r="J60" t="n">
        <v>0</v>
      </c>
      <c r="K60" t="n">
        <v>0</v>
      </c>
      <c r="L60" t="n">
        <v>0</v>
      </c>
      <c r="M60" t="n">
        <v>0</v>
      </c>
      <c r="N60" t="n">
        <v>0</v>
      </c>
      <c r="O60" t="n">
        <v>0</v>
      </c>
      <c r="P60" t="n">
        <v>0</v>
      </c>
      <c r="Q60" t="n">
        <v>0</v>
      </c>
      <c r="R60" s="2" t="inlineStr"/>
    </row>
    <row r="61" ht="15" customHeight="1">
      <c r="A61" t="inlineStr">
        <is>
          <t>A 32640-2019</t>
        </is>
      </c>
      <c r="B61" s="1" t="n">
        <v>43647</v>
      </c>
      <c r="C61" s="1" t="n">
        <v>45583</v>
      </c>
      <c r="D61" t="inlineStr">
        <is>
          <t>UPPSALA LÄN</t>
        </is>
      </c>
      <c r="E61" t="inlineStr">
        <is>
          <t>ENKÖPING</t>
        </is>
      </c>
      <c r="G61" t="n">
        <v>1.5</v>
      </c>
      <c r="H61" t="n">
        <v>0</v>
      </c>
      <c r="I61" t="n">
        <v>0</v>
      </c>
      <c r="J61" t="n">
        <v>0</v>
      </c>
      <c r="K61" t="n">
        <v>0</v>
      </c>
      <c r="L61" t="n">
        <v>0</v>
      </c>
      <c r="M61" t="n">
        <v>0</v>
      </c>
      <c r="N61" t="n">
        <v>0</v>
      </c>
      <c r="O61" t="n">
        <v>0</v>
      </c>
      <c r="P61" t="n">
        <v>0</v>
      </c>
      <c r="Q61" t="n">
        <v>0</v>
      </c>
      <c r="R61" s="2" t="inlineStr"/>
    </row>
    <row r="62" ht="15" customHeight="1">
      <c r="A62" t="inlineStr">
        <is>
          <t>A 33339-2019</t>
        </is>
      </c>
      <c r="B62" s="1" t="n">
        <v>43650</v>
      </c>
      <c r="C62" s="1" t="n">
        <v>45583</v>
      </c>
      <c r="D62" t="inlineStr">
        <is>
          <t>UPPSALA LÄN</t>
        </is>
      </c>
      <c r="E62" t="inlineStr">
        <is>
          <t>ENKÖPING</t>
        </is>
      </c>
      <c r="G62" t="n">
        <v>3.3</v>
      </c>
      <c r="H62" t="n">
        <v>0</v>
      </c>
      <c r="I62" t="n">
        <v>0</v>
      </c>
      <c r="J62" t="n">
        <v>0</v>
      </c>
      <c r="K62" t="n">
        <v>0</v>
      </c>
      <c r="L62" t="n">
        <v>0</v>
      </c>
      <c r="M62" t="n">
        <v>0</v>
      </c>
      <c r="N62" t="n">
        <v>0</v>
      </c>
      <c r="O62" t="n">
        <v>0</v>
      </c>
      <c r="P62" t="n">
        <v>0</v>
      </c>
      <c r="Q62" t="n">
        <v>0</v>
      </c>
      <c r="R62" s="2" t="inlineStr"/>
    </row>
    <row r="63" ht="15" customHeight="1">
      <c r="A63" t="inlineStr">
        <is>
          <t>A 35752-2019</t>
        </is>
      </c>
      <c r="B63" s="1" t="n">
        <v>43665</v>
      </c>
      <c r="C63" s="1" t="n">
        <v>45583</v>
      </c>
      <c r="D63" t="inlineStr">
        <is>
          <t>UPPSALA LÄN</t>
        </is>
      </c>
      <c r="E63" t="inlineStr">
        <is>
          <t>ENKÖPING</t>
        </is>
      </c>
      <c r="G63" t="n">
        <v>2.9</v>
      </c>
      <c r="H63" t="n">
        <v>0</v>
      </c>
      <c r="I63" t="n">
        <v>0</v>
      </c>
      <c r="J63" t="n">
        <v>0</v>
      </c>
      <c r="K63" t="n">
        <v>0</v>
      </c>
      <c r="L63" t="n">
        <v>0</v>
      </c>
      <c r="M63" t="n">
        <v>0</v>
      </c>
      <c r="N63" t="n">
        <v>0</v>
      </c>
      <c r="O63" t="n">
        <v>0</v>
      </c>
      <c r="P63" t="n">
        <v>0</v>
      </c>
      <c r="Q63" t="n">
        <v>0</v>
      </c>
      <c r="R63" s="2" t="inlineStr"/>
    </row>
    <row r="64" ht="15" customHeight="1">
      <c r="A64" t="inlineStr">
        <is>
          <t>A 36370-2019</t>
        </is>
      </c>
      <c r="B64" s="1" t="n">
        <v>43670</v>
      </c>
      <c r="C64" s="1" t="n">
        <v>45583</v>
      </c>
      <c r="D64" t="inlineStr">
        <is>
          <t>UPPSALA LÄN</t>
        </is>
      </c>
      <c r="E64" t="inlineStr">
        <is>
          <t>ENKÖPING</t>
        </is>
      </c>
      <c r="G64" t="n">
        <v>26.9</v>
      </c>
      <c r="H64" t="n">
        <v>0</v>
      </c>
      <c r="I64" t="n">
        <v>0</v>
      </c>
      <c r="J64" t="n">
        <v>0</v>
      </c>
      <c r="K64" t="n">
        <v>0</v>
      </c>
      <c r="L64" t="n">
        <v>0</v>
      </c>
      <c r="M64" t="n">
        <v>0</v>
      </c>
      <c r="N64" t="n">
        <v>0</v>
      </c>
      <c r="O64" t="n">
        <v>0</v>
      </c>
      <c r="P64" t="n">
        <v>0</v>
      </c>
      <c r="Q64" t="n">
        <v>0</v>
      </c>
      <c r="R64" s="2" t="inlineStr"/>
    </row>
    <row r="65" ht="15" customHeight="1">
      <c r="A65" t="inlineStr">
        <is>
          <t>A 36733-2019</t>
        </is>
      </c>
      <c r="B65" s="1" t="n">
        <v>43672</v>
      </c>
      <c r="C65" s="1" t="n">
        <v>45583</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37519-2019</t>
        </is>
      </c>
      <c r="B66" s="1" t="n">
        <v>43679</v>
      </c>
      <c r="C66" s="1" t="n">
        <v>45583</v>
      </c>
      <c r="D66" t="inlineStr">
        <is>
          <t>UPPSALA LÄN</t>
        </is>
      </c>
      <c r="E66" t="inlineStr">
        <is>
          <t>ENKÖPING</t>
        </is>
      </c>
      <c r="G66" t="n">
        <v>1</v>
      </c>
      <c r="H66" t="n">
        <v>0</v>
      </c>
      <c r="I66" t="n">
        <v>0</v>
      </c>
      <c r="J66" t="n">
        <v>0</v>
      </c>
      <c r="K66" t="n">
        <v>0</v>
      </c>
      <c r="L66" t="n">
        <v>0</v>
      </c>
      <c r="M66" t="n">
        <v>0</v>
      </c>
      <c r="N66" t="n">
        <v>0</v>
      </c>
      <c r="O66" t="n">
        <v>0</v>
      </c>
      <c r="P66" t="n">
        <v>0</v>
      </c>
      <c r="Q66" t="n">
        <v>0</v>
      </c>
      <c r="R66" s="2" t="inlineStr"/>
    </row>
    <row r="67" ht="15" customHeight="1">
      <c r="A67" t="inlineStr">
        <is>
          <t>A 37702-2019</t>
        </is>
      </c>
      <c r="B67" s="1" t="n">
        <v>43682</v>
      </c>
      <c r="C67" s="1" t="n">
        <v>45583</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37700-2019</t>
        </is>
      </c>
      <c r="B68" s="1" t="n">
        <v>43682</v>
      </c>
      <c r="C68" s="1" t="n">
        <v>45583</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37936-2019</t>
        </is>
      </c>
      <c r="B69" s="1" t="n">
        <v>43683</v>
      </c>
      <c r="C69" s="1" t="n">
        <v>45583</v>
      </c>
      <c r="D69" t="inlineStr">
        <is>
          <t>UPPSALA LÄN</t>
        </is>
      </c>
      <c r="E69" t="inlineStr">
        <is>
          <t>ENKÖPING</t>
        </is>
      </c>
      <c r="G69" t="n">
        <v>0.9</v>
      </c>
      <c r="H69" t="n">
        <v>0</v>
      </c>
      <c r="I69" t="n">
        <v>0</v>
      </c>
      <c r="J69" t="n">
        <v>0</v>
      </c>
      <c r="K69" t="n">
        <v>0</v>
      </c>
      <c r="L69" t="n">
        <v>0</v>
      </c>
      <c r="M69" t="n">
        <v>0</v>
      </c>
      <c r="N69" t="n">
        <v>0</v>
      </c>
      <c r="O69" t="n">
        <v>0</v>
      </c>
      <c r="P69" t="n">
        <v>0</v>
      </c>
      <c r="Q69" t="n">
        <v>0</v>
      </c>
      <c r="R69" s="2" t="inlineStr"/>
    </row>
    <row r="70" ht="15" customHeight="1">
      <c r="A70" t="inlineStr">
        <is>
          <t>A 38204-2019</t>
        </is>
      </c>
      <c r="B70" s="1" t="n">
        <v>43683</v>
      </c>
      <c r="C70" s="1" t="n">
        <v>45583</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38189-2019</t>
        </is>
      </c>
      <c r="B71" s="1" t="n">
        <v>43684</v>
      </c>
      <c r="C71" s="1" t="n">
        <v>45583</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38205-2019</t>
        </is>
      </c>
      <c r="B72" s="1" t="n">
        <v>43684</v>
      </c>
      <c r="C72" s="1" t="n">
        <v>45583</v>
      </c>
      <c r="D72" t="inlineStr">
        <is>
          <t>UPPSALA LÄN</t>
        </is>
      </c>
      <c r="E72" t="inlineStr">
        <is>
          <t>ENKÖPING</t>
        </is>
      </c>
      <c r="G72" t="n">
        <v>0.5</v>
      </c>
      <c r="H72" t="n">
        <v>0</v>
      </c>
      <c r="I72" t="n">
        <v>0</v>
      </c>
      <c r="J72" t="n">
        <v>0</v>
      </c>
      <c r="K72" t="n">
        <v>0</v>
      </c>
      <c r="L72" t="n">
        <v>0</v>
      </c>
      <c r="M72" t="n">
        <v>0</v>
      </c>
      <c r="N72" t="n">
        <v>0</v>
      </c>
      <c r="O72" t="n">
        <v>0</v>
      </c>
      <c r="P72" t="n">
        <v>0</v>
      </c>
      <c r="Q72" t="n">
        <v>0</v>
      </c>
      <c r="R72" s="2" t="inlineStr"/>
    </row>
    <row r="73" ht="15" customHeight="1">
      <c r="A73" t="inlineStr">
        <is>
          <t>A 38475-2019</t>
        </is>
      </c>
      <c r="B73" s="1" t="n">
        <v>43685</v>
      </c>
      <c r="C73" s="1" t="n">
        <v>45583</v>
      </c>
      <c r="D73" t="inlineStr">
        <is>
          <t>UPPSALA LÄN</t>
        </is>
      </c>
      <c r="E73" t="inlineStr">
        <is>
          <t>ENKÖPING</t>
        </is>
      </c>
      <c r="G73" t="n">
        <v>1.9</v>
      </c>
      <c r="H73" t="n">
        <v>0</v>
      </c>
      <c r="I73" t="n">
        <v>0</v>
      </c>
      <c r="J73" t="n">
        <v>0</v>
      </c>
      <c r="K73" t="n">
        <v>0</v>
      </c>
      <c r="L73" t="n">
        <v>0</v>
      </c>
      <c r="M73" t="n">
        <v>0</v>
      </c>
      <c r="N73" t="n">
        <v>0</v>
      </c>
      <c r="O73" t="n">
        <v>0</v>
      </c>
      <c r="P73" t="n">
        <v>0</v>
      </c>
      <c r="Q73" t="n">
        <v>0</v>
      </c>
      <c r="R73" s="2" t="inlineStr"/>
    </row>
    <row r="74" ht="15" customHeight="1">
      <c r="A74" t="inlineStr">
        <is>
          <t>A 38896-2019</t>
        </is>
      </c>
      <c r="B74" s="1" t="n">
        <v>43689</v>
      </c>
      <c r="C74" s="1" t="n">
        <v>45583</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38899-2019</t>
        </is>
      </c>
      <c r="B75" s="1" t="n">
        <v>43689</v>
      </c>
      <c r="C75" s="1" t="n">
        <v>45583</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40247-2019</t>
        </is>
      </c>
      <c r="B76" s="1" t="n">
        <v>43695</v>
      </c>
      <c r="C76" s="1" t="n">
        <v>45583</v>
      </c>
      <c r="D76" t="inlineStr">
        <is>
          <t>UPPSALA LÄN</t>
        </is>
      </c>
      <c r="E76" t="inlineStr">
        <is>
          <t>ENKÖPING</t>
        </is>
      </c>
      <c r="G76" t="n">
        <v>2.6</v>
      </c>
      <c r="H76" t="n">
        <v>0</v>
      </c>
      <c r="I76" t="n">
        <v>0</v>
      </c>
      <c r="J76" t="n">
        <v>0</v>
      </c>
      <c r="K76" t="n">
        <v>0</v>
      </c>
      <c r="L76" t="n">
        <v>0</v>
      </c>
      <c r="M76" t="n">
        <v>0</v>
      </c>
      <c r="N76" t="n">
        <v>0</v>
      </c>
      <c r="O76" t="n">
        <v>0</v>
      </c>
      <c r="P76" t="n">
        <v>0</v>
      </c>
      <c r="Q76" t="n">
        <v>0</v>
      </c>
      <c r="R76" s="2" t="inlineStr"/>
    </row>
    <row r="77" ht="15" customHeight="1">
      <c r="A77" t="inlineStr">
        <is>
          <t>A 40839-2019</t>
        </is>
      </c>
      <c r="B77" s="1" t="n">
        <v>43697</v>
      </c>
      <c r="C77" s="1" t="n">
        <v>45583</v>
      </c>
      <c r="D77" t="inlineStr">
        <is>
          <t>UPPSALA LÄN</t>
        </is>
      </c>
      <c r="E77" t="inlineStr">
        <is>
          <t>ENKÖPING</t>
        </is>
      </c>
      <c r="G77" t="n">
        <v>1.9</v>
      </c>
      <c r="H77" t="n">
        <v>0</v>
      </c>
      <c r="I77" t="n">
        <v>0</v>
      </c>
      <c r="J77" t="n">
        <v>0</v>
      </c>
      <c r="K77" t="n">
        <v>0</v>
      </c>
      <c r="L77" t="n">
        <v>0</v>
      </c>
      <c r="M77" t="n">
        <v>0</v>
      </c>
      <c r="N77" t="n">
        <v>0</v>
      </c>
      <c r="O77" t="n">
        <v>0</v>
      </c>
      <c r="P77" t="n">
        <v>0</v>
      </c>
      <c r="Q77" t="n">
        <v>0</v>
      </c>
      <c r="R77" s="2" t="inlineStr"/>
    </row>
    <row r="78" ht="15" customHeight="1">
      <c r="A78" t="inlineStr">
        <is>
          <t>A 40843-2019</t>
        </is>
      </c>
      <c r="B78" s="1" t="n">
        <v>43697</v>
      </c>
      <c r="C78" s="1" t="n">
        <v>45583</v>
      </c>
      <c r="D78" t="inlineStr">
        <is>
          <t>UPPSALA LÄN</t>
        </is>
      </c>
      <c r="E78" t="inlineStr">
        <is>
          <t>ENKÖPING</t>
        </is>
      </c>
      <c r="G78" t="n">
        <v>1.6</v>
      </c>
      <c r="H78" t="n">
        <v>0</v>
      </c>
      <c r="I78" t="n">
        <v>0</v>
      </c>
      <c r="J78" t="n">
        <v>0</v>
      </c>
      <c r="K78" t="n">
        <v>0</v>
      </c>
      <c r="L78" t="n">
        <v>0</v>
      </c>
      <c r="M78" t="n">
        <v>0</v>
      </c>
      <c r="N78" t="n">
        <v>0</v>
      </c>
      <c r="O78" t="n">
        <v>0</v>
      </c>
      <c r="P78" t="n">
        <v>0</v>
      </c>
      <c r="Q78" t="n">
        <v>0</v>
      </c>
      <c r="R78" s="2" t="inlineStr"/>
    </row>
    <row r="79" ht="15" customHeight="1">
      <c r="A79" t="inlineStr">
        <is>
          <t>A 41512-2019</t>
        </is>
      </c>
      <c r="B79" s="1" t="n">
        <v>43699</v>
      </c>
      <c r="C79" s="1" t="n">
        <v>45583</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42350-2019</t>
        </is>
      </c>
      <c r="B80" s="1" t="n">
        <v>43703</v>
      </c>
      <c r="C80" s="1" t="n">
        <v>45583</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42624-2019</t>
        </is>
      </c>
      <c r="B81" s="1" t="n">
        <v>43704</v>
      </c>
      <c r="C81" s="1" t="n">
        <v>45583</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42829-2019</t>
        </is>
      </c>
      <c r="B82" s="1" t="n">
        <v>43705</v>
      </c>
      <c r="C82" s="1" t="n">
        <v>45583</v>
      </c>
      <c r="D82" t="inlineStr">
        <is>
          <t>UPPSALA LÄN</t>
        </is>
      </c>
      <c r="E82" t="inlineStr">
        <is>
          <t>ENKÖPING</t>
        </is>
      </c>
      <c r="G82" t="n">
        <v>6.7</v>
      </c>
      <c r="H82" t="n">
        <v>0</v>
      </c>
      <c r="I82" t="n">
        <v>0</v>
      </c>
      <c r="J82" t="n">
        <v>0</v>
      </c>
      <c r="K82" t="n">
        <v>0</v>
      </c>
      <c r="L82" t="n">
        <v>0</v>
      </c>
      <c r="M82" t="n">
        <v>0</v>
      </c>
      <c r="N82" t="n">
        <v>0</v>
      </c>
      <c r="O82" t="n">
        <v>0</v>
      </c>
      <c r="P82" t="n">
        <v>0</v>
      </c>
      <c r="Q82" t="n">
        <v>0</v>
      </c>
      <c r="R82" s="2" t="inlineStr"/>
    </row>
    <row r="83" ht="15" customHeight="1">
      <c r="A83" t="inlineStr">
        <is>
          <t>A 43308-2019</t>
        </is>
      </c>
      <c r="B83" s="1" t="n">
        <v>43706</v>
      </c>
      <c r="C83" s="1" t="n">
        <v>45583</v>
      </c>
      <c r="D83" t="inlineStr">
        <is>
          <t>UPPSALA LÄN</t>
        </is>
      </c>
      <c r="E83" t="inlineStr">
        <is>
          <t>ENKÖPING</t>
        </is>
      </c>
      <c r="G83" t="n">
        <v>3.3</v>
      </c>
      <c r="H83" t="n">
        <v>0</v>
      </c>
      <c r="I83" t="n">
        <v>0</v>
      </c>
      <c r="J83" t="n">
        <v>0</v>
      </c>
      <c r="K83" t="n">
        <v>0</v>
      </c>
      <c r="L83" t="n">
        <v>0</v>
      </c>
      <c r="M83" t="n">
        <v>0</v>
      </c>
      <c r="N83" t="n">
        <v>0</v>
      </c>
      <c r="O83" t="n">
        <v>0</v>
      </c>
      <c r="P83" t="n">
        <v>0</v>
      </c>
      <c r="Q83" t="n">
        <v>0</v>
      </c>
      <c r="R83" s="2" t="inlineStr"/>
    </row>
    <row r="84" ht="15" customHeight="1">
      <c r="A84" t="inlineStr">
        <is>
          <t>A 43998-2019</t>
        </is>
      </c>
      <c r="B84" s="1" t="n">
        <v>43709</v>
      </c>
      <c r="C84" s="1" t="n">
        <v>45583</v>
      </c>
      <c r="D84" t="inlineStr">
        <is>
          <t>UPPSALA LÄN</t>
        </is>
      </c>
      <c r="E84" t="inlineStr">
        <is>
          <t>ENKÖPING</t>
        </is>
      </c>
      <c r="G84" t="n">
        <v>1.3</v>
      </c>
      <c r="H84" t="n">
        <v>0</v>
      </c>
      <c r="I84" t="n">
        <v>0</v>
      </c>
      <c r="J84" t="n">
        <v>0</v>
      </c>
      <c r="K84" t="n">
        <v>0</v>
      </c>
      <c r="L84" t="n">
        <v>0</v>
      </c>
      <c r="M84" t="n">
        <v>0</v>
      </c>
      <c r="N84" t="n">
        <v>0</v>
      </c>
      <c r="O84" t="n">
        <v>0</v>
      </c>
      <c r="P84" t="n">
        <v>0</v>
      </c>
      <c r="Q84" t="n">
        <v>0</v>
      </c>
      <c r="R84" s="2" t="inlineStr"/>
    </row>
    <row r="85" ht="15" customHeight="1">
      <c r="A85" t="inlineStr">
        <is>
          <t>A 43999-2019</t>
        </is>
      </c>
      <c r="B85" s="1" t="n">
        <v>43709</v>
      </c>
      <c r="C85" s="1" t="n">
        <v>45583</v>
      </c>
      <c r="D85" t="inlineStr">
        <is>
          <t>UPPSALA LÄN</t>
        </is>
      </c>
      <c r="E85" t="inlineStr">
        <is>
          <t>ENKÖPING</t>
        </is>
      </c>
      <c r="G85" t="n">
        <v>0.1</v>
      </c>
      <c r="H85" t="n">
        <v>0</v>
      </c>
      <c r="I85" t="n">
        <v>0</v>
      </c>
      <c r="J85" t="n">
        <v>0</v>
      </c>
      <c r="K85" t="n">
        <v>0</v>
      </c>
      <c r="L85" t="n">
        <v>0</v>
      </c>
      <c r="M85" t="n">
        <v>0</v>
      </c>
      <c r="N85" t="n">
        <v>0</v>
      </c>
      <c r="O85" t="n">
        <v>0</v>
      </c>
      <c r="P85" t="n">
        <v>0</v>
      </c>
      <c r="Q85" t="n">
        <v>0</v>
      </c>
      <c r="R85" s="2" t="inlineStr"/>
    </row>
    <row r="86" ht="15" customHeight="1">
      <c r="A86" t="inlineStr">
        <is>
          <t>A 44749-2019</t>
        </is>
      </c>
      <c r="B86" s="1" t="n">
        <v>43712</v>
      </c>
      <c r="C86" s="1" t="n">
        <v>45583</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45007-2019</t>
        </is>
      </c>
      <c r="B87" s="1" t="n">
        <v>43713</v>
      </c>
      <c r="C87" s="1" t="n">
        <v>45583</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45481-2019</t>
        </is>
      </c>
      <c r="B88" s="1" t="n">
        <v>43714</v>
      </c>
      <c r="C88" s="1" t="n">
        <v>45583</v>
      </c>
      <c r="D88" t="inlineStr">
        <is>
          <t>UPPSALA LÄN</t>
        </is>
      </c>
      <c r="E88" t="inlineStr">
        <is>
          <t>ENKÖPING</t>
        </is>
      </c>
      <c r="G88" t="n">
        <v>2</v>
      </c>
      <c r="H88" t="n">
        <v>0</v>
      </c>
      <c r="I88" t="n">
        <v>0</v>
      </c>
      <c r="J88" t="n">
        <v>0</v>
      </c>
      <c r="K88" t="n">
        <v>0</v>
      </c>
      <c r="L88" t="n">
        <v>0</v>
      </c>
      <c r="M88" t="n">
        <v>0</v>
      </c>
      <c r="N88" t="n">
        <v>0</v>
      </c>
      <c r="O88" t="n">
        <v>0</v>
      </c>
      <c r="P88" t="n">
        <v>0</v>
      </c>
      <c r="Q88" t="n">
        <v>0</v>
      </c>
      <c r="R88" s="2" t="inlineStr"/>
    </row>
    <row r="89" ht="15" customHeight="1">
      <c r="A89" t="inlineStr">
        <is>
          <t>A 45729-2019</t>
        </is>
      </c>
      <c r="B89" s="1" t="n">
        <v>43717</v>
      </c>
      <c r="C89" s="1" t="n">
        <v>45583</v>
      </c>
      <c r="D89" t="inlineStr">
        <is>
          <t>UPPSALA LÄN</t>
        </is>
      </c>
      <c r="E89" t="inlineStr">
        <is>
          <t>ENKÖPING</t>
        </is>
      </c>
      <c r="G89" t="n">
        <v>0.3</v>
      </c>
      <c r="H89" t="n">
        <v>0</v>
      </c>
      <c r="I89" t="n">
        <v>0</v>
      </c>
      <c r="J89" t="n">
        <v>0</v>
      </c>
      <c r="K89" t="n">
        <v>0</v>
      </c>
      <c r="L89" t="n">
        <v>0</v>
      </c>
      <c r="M89" t="n">
        <v>0</v>
      </c>
      <c r="N89" t="n">
        <v>0</v>
      </c>
      <c r="O89" t="n">
        <v>0</v>
      </c>
      <c r="P89" t="n">
        <v>0</v>
      </c>
      <c r="Q89" t="n">
        <v>0</v>
      </c>
      <c r="R89" s="2" t="inlineStr"/>
    </row>
    <row r="90" ht="15" customHeight="1">
      <c r="A90" t="inlineStr">
        <is>
          <t>A 45767-2019</t>
        </is>
      </c>
      <c r="B90" s="1" t="n">
        <v>43717</v>
      </c>
      <c r="C90" s="1" t="n">
        <v>45583</v>
      </c>
      <c r="D90" t="inlineStr">
        <is>
          <t>UPPSALA LÄN</t>
        </is>
      </c>
      <c r="E90" t="inlineStr">
        <is>
          <t>ENKÖPING</t>
        </is>
      </c>
      <c r="G90" t="n">
        <v>2.6</v>
      </c>
      <c r="H90" t="n">
        <v>0</v>
      </c>
      <c r="I90" t="n">
        <v>0</v>
      </c>
      <c r="J90" t="n">
        <v>0</v>
      </c>
      <c r="K90" t="n">
        <v>0</v>
      </c>
      <c r="L90" t="n">
        <v>0</v>
      </c>
      <c r="M90" t="n">
        <v>0</v>
      </c>
      <c r="N90" t="n">
        <v>0</v>
      </c>
      <c r="O90" t="n">
        <v>0</v>
      </c>
      <c r="P90" t="n">
        <v>0</v>
      </c>
      <c r="Q90" t="n">
        <v>0</v>
      </c>
      <c r="R90" s="2" t="inlineStr"/>
    </row>
    <row r="91" ht="15" customHeight="1">
      <c r="A91" t="inlineStr">
        <is>
          <t>A 45784-2019</t>
        </is>
      </c>
      <c r="B91" s="1" t="n">
        <v>43717</v>
      </c>
      <c r="C91" s="1" t="n">
        <v>45583</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46292-2019</t>
        </is>
      </c>
      <c r="B92" s="1" t="n">
        <v>43718</v>
      </c>
      <c r="C92" s="1" t="n">
        <v>45583</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46274-2019</t>
        </is>
      </c>
      <c r="B93" s="1" t="n">
        <v>43718</v>
      </c>
      <c r="C93" s="1" t="n">
        <v>45583</v>
      </c>
      <c r="D93" t="inlineStr">
        <is>
          <t>UPPSALA LÄN</t>
        </is>
      </c>
      <c r="E93" t="inlineStr">
        <is>
          <t>ENKÖPING</t>
        </is>
      </c>
      <c r="G93" t="n">
        <v>1</v>
      </c>
      <c r="H93" t="n">
        <v>0</v>
      </c>
      <c r="I93" t="n">
        <v>0</v>
      </c>
      <c r="J93" t="n">
        <v>0</v>
      </c>
      <c r="K93" t="n">
        <v>0</v>
      </c>
      <c r="L93" t="n">
        <v>0</v>
      </c>
      <c r="M93" t="n">
        <v>0</v>
      </c>
      <c r="N93" t="n">
        <v>0</v>
      </c>
      <c r="O93" t="n">
        <v>0</v>
      </c>
      <c r="P93" t="n">
        <v>0</v>
      </c>
      <c r="Q93" t="n">
        <v>0</v>
      </c>
      <c r="R93" s="2" t="inlineStr"/>
    </row>
    <row r="94" ht="15" customHeight="1">
      <c r="A94" t="inlineStr">
        <is>
          <t>A 46971-2019</t>
        </is>
      </c>
      <c r="B94" s="1" t="n">
        <v>43720</v>
      </c>
      <c r="C94" s="1" t="n">
        <v>45583</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47039-2019</t>
        </is>
      </c>
      <c r="B95" s="1" t="n">
        <v>43720</v>
      </c>
      <c r="C95" s="1" t="n">
        <v>45583</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47368-2019</t>
        </is>
      </c>
      <c r="B96" s="1" t="n">
        <v>43721</v>
      </c>
      <c r="C96" s="1" t="n">
        <v>45583</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47476-2019</t>
        </is>
      </c>
      <c r="B97" s="1" t="n">
        <v>43724</v>
      </c>
      <c r="C97" s="1" t="n">
        <v>45583</v>
      </c>
      <c r="D97" t="inlineStr">
        <is>
          <t>UPPSALA LÄN</t>
        </is>
      </c>
      <c r="E97" t="inlineStr">
        <is>
          <t>ENKÖPING</t>
        </is>
      </c>
      <c r="G97" t="n">
        <v>0.4</v>
      </c>
      <c r="H97" t="n">
        <v>0</v>
      </c>
      <c r="I97" t="n">
        <v>0</v>
      </c>
      <c r="J97" t="n">
        <v>0</v>
      </c>
      <c r="K97" t="n">
        <v>0</v>
      </c>
      <c r="L97" t="n">
        <v>0</v>
      </c>
      <c r="M97" t="n">
        <v>0</v>
      </c>
      <c r="N97" t="n">
        <v>0</v>
      </c>
      <c r="O97" t="n">
        <v>0</v>
      </c>
      <c r="P97" t="n">
        <v>0</v>
      </c>
      <c r="Q97" t="n">
        <v>0</v>
      </c>
      <c r="R97" s="2" t="inlineStr"/>
    </row>
    <row r="98" ht="15" customHeight="1">
      <c r="A98" t="inlineStr">
        <is>
          <t>A 48098-2019</t>
        </is>
      </c>
      <c r="B98" s="1" t="n">
        <v>43725</v>
      </c>
      <c r="C98" s="1" t="n">
        <v>45583</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48095-2019</t>
        </is>
      </c>
      <c r="B99" s="1" t="n">
        <v>43725</v>
      </c>
      <c r="C99" s="1" t="n">
        <v>45583</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48096-2019</t>
        </is>
      </c>
      <c r="B100" s="1" t="n">
        <v>43725</v>
      </c>
      <c r="C100" s="1" t="n">
        <v>45583</v>
      </c>
      <c r="D100" t="inlineStr">
        <is>
          <t>UPPSALA LÄN</t>
        </is>
      </c>
      <c r="E100" t="inlineStr">
        <is>
          <t>ENKÖPING</t>
        </is>
      </c>
      <c r="G100" t="n">
        <v>0.2</v>
      </c>
      <c r="H100" t="n">
        <v>0</v>
      </c>
      <c r="I100" t="n">
        <v>0</v>
      </c>
      <c r="J100" t="n">
        <v>0</v>
      </c>
      <c r="K100" t="n">
        <v>0</v>
      </c>
      <c r="L100" t="n">
        <v>0</v>
      </c>
      <c r="M100" t="n">
        <v>0</v>
      </c>
      <c r="N100" t="n">
        <v>0</v>
      </c>
      <c r="O100" t="n">
        <v>0</v>
      </c>
      <c r="P100" t="n">
        <v>0</v>
      </c>
      <c r="Q100" t="n">
        <v>0</v>
      </c>
      <c r="R100" s="2" t="inlineStr"/>
    </row>
    <row r="101" ht="15" customHeight="1">
      <c r="A101" t="inlineStr">
        <is>
          <t>A 48515-2019</t>
        </is>
      </c>
      <c r="B101" s="1" t="n">
        <v>43727</v>
      </c>
      <c r="C101" s="1" t="n">
        <v>45583</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48511-2019</t>
        </is>
      </c>
      <c r="B102" s="1" t="n">
        <v>43727</v>
      </c>
      <c r="C102" s="1" t="n">
        <v>45583</v>
      </c>
      <c r="D102" t="inlineStr">
        <is>
          <t>UPPSALA LÄN</t>
        </is>
      </c>
      <c r="E102" t="inlineStr">
        <is>
          <t>ENKÖPING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49856-2019</t>
        </is>
      </c>
      <c r="B103" s="1" t="n">
        <v>43733</v>
      </c>
      <c r="C103" s="1" t="n">
        <v>45583</v>
      </c>
      <c r="D103" t="inlineStr">
        <is>
          <t>UPPSALA LÄN</t>
        </is>
      </c>
      <c r="E103" t="inlineStr">
        <is>
          <t>ENKÖPING</t>
        </is>
      </c>
      <c r="G103" t="n">
        <v>9.9</v>
      </c>
      <c r="H103" t="n">
        <v>0</v>
      </c>
      <c r="I103" t="n">
        <v>0</v>
      </c>
      <c r="J103" t="n">
        <v>0</v>
      </c>
      <c r="K103" t="n">
        <v>0</v>
      </c>
      <c r="L103" t="n">
        <v>0</v>
      </c>
      <c r="M103" t="n">
        <v>0</v>
      </c>
      <c r="N103" t="n">
        <v>0</v>
      </c>
      <c r="O103" t="n">
        <v>0</v>
      </c>
      <c r="P103" t="n">
        <v>0</v>
      </c>
      <c r="Q103" t="n">
        <v>0</v>
      </c>
      <c r="R103" s="2" t="inlineStr"/>
    </row>
    <row r="104" ht="15" customHeight="1">
      <c r="A104" t="inlineStr">
        <is>
          <t>A 49941-2019</t>
        </is>
      </c>
      <c r="B104" s="1" t="n">
        <v>43733</v>
      </c>
      <c r="C104" s="1" t="n">
        <v>45583</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50893-2019</t>
        </is>
      </c>
      <c r="B105" s="1" t="n">
        <v>43738</v>
      </c>
      <c r="C105" s="1" t="n">
        <v>45583</v>
      </c>
      <c r="D105" t="inlineStr">
        <is>
          <t>UPPSALA LÄN</t>
        </is>
      </c>
      <c r="E105" t="inlineStr">
        <is>
          <t>ENKÖPING</t>
        </is>
      </c>
      <c r="G105" t="n">
        <v>4.3</v>
      </c>
      <c r="H105" t="n">
        <v>0</v>
      </c>
      <c r="I105" t="n">
        <v>0</v>
      </c>
      <c r="J105" t="n">
        <v>0</v>
      </c>
      <c r="K105" t="n">
        <v>0</v>
      </c>
      <c r="L105" t="n">
        <v>0</v>
      </c>
      <c r="M105" t="n">
        <v>0</v>
      </c>
      <c r="N105" t="n">
        <v>0</v>
      </c>
      <c r="O105" t="n">
        <v>0</v>
      </c>
      <c r="P105" t="n">
        <v>0</v>
      </c>
      <c r="Q105" t="n">
        <v>0</v>
      </c>
      <c r="R105" s="2" t="inlineStr"/>
    </row>
    <row r="106" ht="15" customHeight="1">
      <c r="A106" t="inlineStr">
        <is>
          <t>A 52516-2019</t>
        </is>
      </c>
      <c r="B106" s="1" t="n">
        <v>43738</v>
      </c>
      <c r="C106" s="1" t="n">
        <v>45583</v>
      </c>
      <c r="D106" t="inlineStr">
        <is>
          <t>UPPSALA LÄN</t>
        </is>
      </c>
      <c r="E106" t="inlineStr">
        <is>
          <t>ENKÖPING</t>
        </is>
      </c>
      <c r="G106" t="n">
        <v>1.7</v>
      </c>
      <c r="H106" t="n">
        <v>0</v>
      </c>
      <c r="I106" t="n">
        <v>0</v>
      </c>
      <c r="J106" t="n">
        <v>0</v>
      </c>
      <c r="K106" t="n">
        <v>0</v>
      </c>
      <c r="L106" t="n">
        <v>0</v>
      </c>
      <c r="M106" t="n">
        <v>0</v>
      </c>
      <c r="N106" t="n">
        <v>0</v>
      </c>
      <c r="O106" t="n">
        <v>0</v>
      </c>
      <c r="P106" t="n">
        <v>0</v>
      </c>
      <c r="Q106" t="n">
        <v>0</v>
      </c>
      <c r="R106" s="2" t="inlineStr"/>
    </row>
    <row r="107" ht="15" customHeight="1">
      <c r="A107" t="inlineStr">
        <is>
          <t>A 51782-2019</t>
        </is>
      </c>
      <c r="B107" s="1" t="n">
        <v>43741</v>
      </c>
      <c r="C107" s="1" t="n">
        <v>45583</v>
      </c>
      <c r="D107" t="inlineStr">
        <is>
          <t>UPPSALA LÄN</t>
        </is>
      </c>
      <c r="E107" t="inlineStr">
        <is>
          <t>ENKÖPING</t>
        </is>
      </c>
      <c r="G107" t="n">
        <v>2.5</v>
      </c>
      <c r="H107" t="n">
        <v>0</v>
      </c>
      <c r="I107" t="n">
        <v>0</v>
      </c>
      <c r="J107" t="n">
        <v>0</v>
      </c>
      <c r="K107" t="n">
        <v>0</v>
      </c>
      <c r="L107" t="n">
        <v>0</v>
      </c>
      <c r="M107" t="n">
        <v>0</v>
      </c>
      <c r="N107" t="n">
        <v>0</v>
      </c>
      <c r="O107" t="n">
        <v>0</v>
      </c>
      <c r="P107" t="n">
        <v>0</v>
      </c>
      <c r="Q107" t="n">
        <v>0</v>
      </c>
      <c r="R107" s="2" t="inlineStr"/>
    </row>
    <row r="108" ht="15" customHeight="1">
      <c r="A108" t="inlineStr">
        <is>
          <t>A 51802-2019</t>
        </is>
      </c>
      <c r="B108" s="1" t="n">
        <v>43741</v>
      </c>
      <c r="C108" s="1" t="n">
        <v>45583</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51836-2019</t>
        </is>
      </c>
      <c r="B109" s="1" t="n">
        <v>43741</v>
      </c>
      <c r="C109" s="1" t="n">
        <v>45583</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51805-2019</t>
        </is>
      </c>
      <c r="B110" s="1" t="n">
        <v>43741</v>
      </c>
      <c r="C110" s="1" t="n">
        <v>45583</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51905-2019</t>
        </is>
      </c>
      <c r="B111" s="1" t="n">
        <v>43741</v>
      </c>
      <c r="C111" s="1" t="n">
        <v>45583</v>
      </c>
      <c r="D111" t="inlineStr">
        <is>
          <t>UPPSALA LÄN</t>
        </is>
      </c>
      <c r="E111" t="inlineStr">
        <is>
          <t>ENKÖPING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51912-2019</t>
        </is>
      </c>
      <c r="B112" s="1" t="n">
        <v>43741</v>
      </c>
      <c r="C112" s="1" t="n">
        <v>45583</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52524-2019</t>
        </is>
      </c>
      <c r="B113" s="1" t="n">
        <v>43745</v>
      </c>
      <c r="C113" s="1" t="n">
        <v>45583</v>
      </c>
      <c r="D113" t="inlineStr">
        <is>
          <t>UPPSALA LÄN</t>
        </is>
      </c>
      <c r="E113" t="inlineStr">
        <is>
          <t>ENKÖPING</t>
        </is>
      </c>
      <c r="G113" t="n">
        <v>2</v>
      </c>
      <c r="H113" t="n">
        <v>0</v>
      </c>
      <c r="I113" t="n">
        <v>0</v>
      </c>
      <c r="J113" t="n">
        <v>0</v>
      </c>
      <c r="K113" t="n">
        <v>0</v>
      </c>
      <c r="L113" t="n">
        <v>0</v>
      </c>
      <c r="M113" t="n">
        <v>0</v>
      </c>
      <c r="N113" t="n">
        <v>0</v>
      </c>
      <c r="O113" t="n">
        <v>0</v>
      </c>
      <c r="P113" t="n">
        <v>0</v>
      </c>
      <c r="Q113" t="n">
        <v>0</v>
      </c>
      <c r="R113" s="2" t="inlineStr"/>
    </row>
    <row r="114" ht="15" customHeight="1">
      <c r="A114" t="inlineStr">
        <is>
          <t>A 52394-2019</t>
        </is>
      </c>
      <c r="B114" s="1" t="n">
        <v>43745</v>
      </c>
      <c r="C114" s="1" t="n">
        <v>45583</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52726-2019</t>
        </is>
      </c>
      <c r="B115" s="1" t="n">
        <v>43746</v>
      </c>
      <c r="C115" s="1" t="n">
        <v>45583</v>
      </c>
      <c r="D115" t="inlineStr">
        <is>
          <t>UPPSALA LÄN</t>
        </is>
      </c>
      <c r="E115" t="inlineStr">
        <is>
          <t>ENKÖPING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53840-2019</t>
        </is>
      </c>
      <c r="B116" s="1" t="n">
        <v>43752</v>
      </c>
      <c r="C116" s="1" t="n">
        <v>45583</v>
      </c>
      <c r="D116" t="inlineStr">
        <is>
          <t>UPPSALA LÄN</t>
        </is>
      </c>
      <c r="E116" t="inlineStr">
        <is>
          <t>ENKÖPING</t>
        </is>
      </c>
      <c r="G116" t="n">
        <v>10.1</v>
      </c>
      <c r="H116" t="n">
        <v>0</v>
      </c>
      <c r="I116" t="n">
        <v>0</v>
      </c>
      <c r="J116" t="n">
        <v>0</v>
      </c>
      <c r="K116" t="n">
        <v>0</v>
      </c>
      <c r="L116" t="n">
        <v>0</v>
      </c>
      <c r="M116" t="n">
        <v>0</v>
      </c>
      <c r="N116" t="n">
        <v>0</v>
      </c>
      <c r="O116" t="n">
        <v>0</v>
      </c>
      <c r="P116" t="n">
        <v>0</v>
      </c>
      <c r="Q116" t="n">
        <v>0</v>
      </c>
      <c r="R116" s="2" t="inlineStr"/>
    </row>
    <row r="117" ht="15" customHeight="1">
      <c r="A117" t="inlineStr">
        <is>
          <t>A 56153-2019</t>
        </is>
      </c>
      <c r="B117" s="1" t="n">
        <v>43756</v>
      </c>
      <c r="C117" s="1" t="n">
        <v>45583</v>
      </c>
      <c r="D117" t="inlineStr">
        <is>
          <t>UPPSALA LÄN</t>
        </is>
      </c>
      <c r="E117" t="inlineStr">
        <is>
          <t>ENKÖPING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55516-2019</t>
        </is>
      </c>
      <c r="B118" s="1" t="n">
        <v>43759</v>
      </c>
      <c r="C118" s="1" t="n">
        <v>45583</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55872-2019</t>
        </is>
      </c>
      <c r="B119" s="1" t="n">
        <v>43759</v>
      </c>
      <c r="C119" s="1" t="n">
        <v>45583</v>
      </c>
      <c r="D119" t="inlineStr">
        <is>
          <t>UPPSALA LÄN</t>
        </is>
      </c>
      <c r="E119" t="inlineStr">
        <is>
          <t>ENKÖPING</t>
        </is>
      </c>
      <c r="G119" t="n">
        <v>0.7</v>
      </c>
      <c r="H119" t="n">
        <v>0</v>
      </c>
      <c r="I119" t="n">
        <v>0</v>
      </c>
      <c r="J119" t="n">
        <v>0</v>
      </c>
      <c r="K119" t="n">
        <v>0</v>
      </c>
      <c r="L119" t="n">
        <v>0</v>
      </c>
      <c r="M119" t="n">
        <v>0</v>
      </c>
      <c r="N119" t="n">
        <v>0</v>
      </c>
      <c r="O119" t="n">
        <v>0</v>
      </c>
      <c r="P119" t="n">
        <v>0</v>
      </c>
      <c r="Q119" t="n">
        <v>0</v>
      </c>
      <c r="R119" s="2" t="inlineStr"/>
    </row>
    <row r="120" ht="15" customHeight="1">
      <c r="A120" t="inlineStr">
        <is>
          <t>A 55512-2019</t>
        </is>
      </c>
      <c r="B120" s="1" t="n">
        <v>43759</v>
      </c>
      <c r="C120" s="1" t="n">
        <v>45583</v>
      </c>
      <c r="D120" t="inlineStr">
        <is>
          <t>UPPSALA LÄN</t>
        </is>
      </c>
      <c r="E120" t="inlineStr">
        <is>
          <t>ENKÖPING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56309-2019</t>
        </is>
      </c>
      <c r="B121" s="1" t="n">
        <v>43762</v>
      </c>
      <c r="C121" s="1" t="n">
        <v>45583</v>
      </c>
      <c r="D121" t="inlineStr">
        <is>
          <t>UPPSALA LÄN</t>
        </is>
      </c>
      <c r="E121" t="inlineStr">
        <is>
          <t>ENKÖPING</t>
        </is>
      </c>
      <c r="G121" t="n">
        <v>2.6</v>
      </c>
      <c r="H121" t="n">
        <v>0</v>
      </c>
      <c r="I121" t="n">
        <v>0</v>
      </c>
      <c r="J121" t="n">
        <v>0</v>
      </c>
      <c r="K121" t="n">
        <v>0</v>
      </c>
      <c r="L121" t="n">
        <v>0</v>
      </c>
      <c r="M121" t="n">
        <v>0</v>
      </c>
      <c r="N121" t="n">
        <v>0</v>
      </c>
      <c r="O121" t="n">
        <v>0</v>
      </c>
      <c r="P121" t="n">
        <v>0</v>
      </c>
      <c r="Q121" t="n">
        <v>0</v>
      </c>
      <c r="R121" s="2" t="inlineStr"/>
    </row>
    <row r="122" ht="15" customHeight="1">
      <c r="A122" t="inlineStr">
        <is>
          <t>A 56932-2019</t>
        </is>
      </c>
      <c r="B122" s="1" t="n">
        <v>43766</v>
      </c>
      <c r="C122" s="1" t="n">
        <v>45583</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56910-2019</t>
        </is>
      </c>
      <c r="B123" s="1" t="n">
        <v>43766</v>
      </c>
      <c r="C123" s="1" t="n">
        <v>45583</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57066-2019</t>
        </is>
      </c>
      <c r="B124" s="1" t="n">
        <v>43766</v>
      </c>
      <c r="C124" s="1" t="n">
        <v>45583</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56897-2019</t>
        </is>
      </c>
      <c r="B125" s="1" t="n">
        <v>43766</v>
      </c>
      <c r="C125" s="1" t="n">
        <v>45583</v>
      </c>
      <c r="D125" t="inlineStr">
        <is>
          <t>UPPSALA LÄN</t>
        </is>
      </c>
      <c r="E125" t="inlineStr">
        <is>
          <t>ENKÖPING</t>
        </is>
      </c>
      <c r="G125" t="n">
        <v>0.4</v>
      </c>
      <c r="H125" t="n">
        <v>0</v>
      </c>
      <c r="I125" t="n">
        <v>0</v>
      </c>
      <c r="J125" t="n">
        <v>0</v>
      </c>
      <c r="K125" t="n">
        <v>0</v>
      </c>
      <c r="L125" t="n">
        <v>0</v>
      </c>
      <c r="M125" t="n">
        <v>0</v>
      </c>
      <c r="N125" t="n">
        <v>0</v>
      </c>
      <c r="O125" t="n">
        <v>0</v>
      </c>
      <c r="P125" t="n">
        <v>0</v>
      </c>
      <c r="Q125" t="n">
        <v>0</v>
      </c>
      <c r="R125" s="2" t="inlineStr"/>
    </row>
    <row r="126" ht="15" customHeight="1">
      <c r="A126" t="inlineStr">
        <is>
          <t>A 57126-2019</t>
        </is>
      </c>
      <c r="B126" s="1" t="n">
        <v>43766</v>
      </c>
      <c r="C126" s="1" t="n">
        <v>45583</v>
      </c>
      <c r="D126" t="inlineStr">
        <is>
          <t>UPPSALA LÄN</t>
        </is>
      </c>
      <c r="E126" t="inlineStr">
        <is>
          <t>ENKÖPING</t>
        </is>
      </c>
      <c r="G126" t="n">
        <v>3.3</v>
      </c>
      <c r="H126" t="n">
        <v>0</v>
      </c>
      <c r="I126" t="n">
        <v>0</v>
      </c>
      <c r="J126" t="n">
        <v>0</v>
      </c>
      <c r="K126" t="n">
        <v>0</v>
      </c>
      <c r="L126" t="n">
        <v>0</v>
      </c>
      <c r="M126" t="n">
        <v>0</v>
      </c>
      <c r="N126" t="n">
        <v>0</v>
      </c>
      <c r="O126" t="n">
        <v>0</v>
      </c>
      <c r="P126" t="n">
        <v>0</v>
      </c>
      <c r="Q126" t="n">
        <v>0</v>
      </c>
      <c r="R126" s="2" t="inlineStr"/>
    </row>
    <row r="127" ht="15" customHeight="1">
      <c r="A127" t="inlineStr">
        <is>
          <t>A 57813-2019</t>
        </is>
      </c>
      <c r="B127" s="1" t="n">
        <v>43768</v>
      </c>
      <c r="C127" s="1" t="n">
        <v>45583</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57821-2019</t>
        </is>
      </c>
      <c r="B128" s="1" t="n">
        <v>43768</v>
      </c>
      <c r="C128" s="1" t="n">
        <v>45583</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57820-2019</t>
        </is>
      </c>
      <c r="B129" s="1" t="n">
        <v>43768</v>
      </c>
      <c r="C129" s="1" t="n">
        <v>45583</v>
      </c>
      <c r="D129" t="inlineStr">
        <is>
          <t>UPPSALA LÄN</t>
        </is>
      </c>
      <c r="E129" t="inlineStr">
        <is>
          <t>ENKÖPING</t>
        </is>
      </c>
      <c r="G129" t="n">
        <v>0.3</v>
      </c>
      <c r="H129" t="n">
        <v>0</v>
      </c>
      <c r="I129" t="n">
        <v>0</v>
      </c>
      <c r="J129" t="n">
        <v>0</v>
      </c>
      <c r="K129" t="n">
        <v>0</v>
      </c>
      <c r="L129" t="n">
        <v>0</v>
      </c>
      <c r="M129" t="n">
        <v>0</v>
      </c>
      <c r="N129" t="n">
        <v>0</v>
      </c>
      <c r="O129" t="n">
        <v>0</v>
      </c>
      <c r="P129" t="n">
        <v>0</v>
      </c>
      <c r="Q129" t="n">
        <v>0</v>
      </c>
      <c r="R129" s="2" t="inlineStr"/>
    </row>
    <row r="130" ht="15" customHeight="1">
      <c r="A130" t="inlineStr">
        <is>
          <t>A 58491-2019</t>
        </is>
      </c>
      <c r="B130" s="1" t="n">
        <v>43773</v>
      </c>
      <c r="C130" s="1" t="n">
        <v>45583</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58558-2019</t>
        </is>
      </c>
      <c r="B131" s="1" t="n">
        <v>43773</v>
      </c>
      <c r="C131" s="1" t="n">
        <v>45583</v>
      </c>
      <c r="D131" t="inlineStr">
        <is>
          <t>UPPSALA LÄN</t>
        </is>
      </c>
      <c r="E131" t="inlineStr">
        <is>
          <t>ENKÖPING</t>
        </is>
      </c>
      <c r="G131" t="n">
        <v>2.3</v>
      </c>
      <c r="H131" t="n">
        <v>0</v>
      </c>
      <c r="I131" t="n">
        <v>0</v>
      </c>
      <c r="J131" t="n">
        <v>0</v>
      </c>
      <c r="K131" t="n">
        <v>0</v>
      </c>
      <c r="L131" t="n">
        <v>0</v>
      </c>
      <c r="M131" t="n">
        <v>0</v>
      </c>
      <c r="N131" t="n">
        <v>0</v>
      </c>
      <c r="O131" t="n">
        <v>0</v>
      </c>
      <c r="P131" t="n">
        <v>0</v>
      </c>
      <c r="Q131" t="n">
        <v>0</v>
      </c>
      <c r="R131" s="2" t="inlineStr"/>
    </row>
    <row r="132" ht="15" customHeight="1">
      <c r="A132" t="inlineStr">
        <is>
          <t>A 60054-2019</t>
        </is>
      </c>
      <c r="B132" s="1" t="n">
        <v>43775</v>
      </c>
      <c r="C132" s="1" t="n">
        <v>45583</v>
      </c>
      <c r="D132" t="inlineStr">
        <is>
          <t>UPPSALA LÄN</t>
        </is>
      </c>
      <c r="E132" t="inlineStr">
        <is>
          <t>ENKÖPING</t>
        </is>
      </c>
      <c r="G132" t="n">
        <v>18.4</v>
      </c>
      <c r="H132" t="n">
        <v>0</v>
      </c>
      <c r="I132" t="n">
        <v>0</v>
      </c>
      <c r="J132" t="n">
        <v>0</v>
      </c>
      <c r="K132" t="n">
        <v>0</v>
      </c>
      <c r="L132" t="n">
        <v>0</v>
      </c>
      <c r="M132" t="n">
        <v>0</v>
      </c>
      <c r="N132" t="n">
        <v>0</v>
      </c>
      <c r="O132" t="n">
        <v>0</v>
      </c>
      <c r="P132" t="n">
        <v>0</v>
      </c>
      <c r="Q132" t="n">
        <v>0</v>
      </c>
      <c r="R132" s="2" t="inlineStr"/>
    </row>
    <row r="133" ht="15" customHeight="1">
      <c r="A133" t="inlineStr">
        <is>
          <t>A 59600-2019</t>
        </is>
      </c>
      <c r="B133" s="1" t="n">
        <v>43776</v>
      </c>
      <c r="C133" s="1" t="n">
        <v>45583</v>
      </c>
      <c r="D133" t="inlineStr">
        <is>
          <t>UPPSALA LÄN</t>
        </is>
      </c>
      <c r="E133" t="inlineStr">
        <is>
          <t>ENKÖPING</t>
        </is>
      </c>
      <c r="G133" t="n">
        <v>1.7</v>
      </c>
      <c r="H133" t="n">
        <v>0</v>
      </c>
      <c r="I133" t="n">
        <v>0</v>
      </c>
      <c r="J133" t="n">
        <v>0</v>
      </c>
      <c r="K133" t="n">
        <v>0</v>
      </c>
      <c r="L133" t="n">
        <v>0</v>
      </c>
      <c r="M133" t="n">
        <v>0</v>
      </c>
      <c r="N133" t="n">
        <v>0</v>
      </c>
      <c r="O133" t="n">
        <v>0</v>
      </c>
      <c r="P133" t="n">
        <v>0</v>
      </c>
      <c r="Q133" t="n">
        <v>0</v>
      </c>
      <c r="R133" s="2" t="inlineStr"/>
    </row>
    <row r="134" ht="15" customHeight="1">
      <c r="A134" t="inlineStr">
        <is>
          <t>A 60070-2019</t>
        </is>
      </c>
      <c r="B134" s="1" t="n">
        <v>43777</v>
      </c>
      <c r="C134" s="1" t="n">
        <v>45583</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60062-2019</t>
        </is>
      </c>
      <c r="B135" s="1" t="n">
        <v>43777</v>
      </c>
      <c r="C135" s="1" t="n">
        <v>45583</v>
      </c>
      <c r="D135" t="inlineStr">
        <is>
          <t>UPPSALA LÄN</t>
        </is>
      </c>
      <c r="E135" t="inlineStr">
        <is>
          <t>ENKÖPING</t>
        </is>
      </c>
      <c r="G135" t="n">
        <v>6.4</v>
      </c>
      <c r="H135" t="n">
        <v>0</v>
      </c>
      <c r="I135" t="n">
        <v>0</v>
      </c>
      <c r="J135" t="n">
        <v>0</v>
      </c>
      <c r="K135" t="n">
        <v>0</v>
      </c>
      <c r="L135" t="n">
        <v>0</v>
      </c>
      <c r="M135" t="n">
        <v>0</v>
      </c>
      <c r="N135" t="n">
        <v>0</v>
      </c>
      <c r="O135" t="n">
        <v>0</v>
      </c>
      <c r="P135" t="n">
        <v>0</v>
      </c>
      <c r="Q135" t="n">
        <v>0</v>
      </c>
      <c r="R135" s="2" t="inlineStr"/>
    </row>
    <row r="136" ht="15" customHeight="1">
      <c r="A136" t="inlineStr">
        <is>
          <t>A 61005-2019</t>
        </is>
      </c>
      <c r="B136" s="1" t="n">
        <v>43782</v>
      </c>
      <c r="C136" s="1" t="n">
        <v>45583</v>
      </c>
      <c r="D136" t="inlineStr">
        <is>
          <t>UPPSALA LÄN</t>
        </is>
      </c>
      <c r="E136" t="inlineStr">
        <is>
          <t>ENKÖPING</t>
        </is>
      </c>
      <c r="G136" t="n">
        <v>11.8</v>
      </c>
      <c r="H136" t="n">
        <v>0</v>
      </c>
      <c r="I136" t="n">
        <v>0</v>
      </c>
      <c r="J136" t="n">
        <v>0</v>
      </c>
      <c r="K136" t="n">
        <v>0</v>
      </c>
      <c r="L136" t="n">
        <v>0</v>
      </c>
      <c r="M136" t="n">
        <v>0</v>
      </c>
      <c r="N136" t="n">
        <v>0</v>
      </c>
      <c r="O136" t="n">
        <v>0</v>
      </c>
      <c r="P136" t="n">
        <v>0</v>
      </c>
      <c r="Q136" t="n">
        <v>0</v>
      </c>
      <c r="R136" s="2" t="inlineStr"/>
    </row>
    <row r="137" ht="15" customHeight="1">
      <c r="A137" t="inlineStr">
        <is>
          <t>A 62868-2019</t>
        </is>
      </c>
      <c r="B137" s="1" t="n">
        <v>43790</v>
      </c>
      <c r="C137" s="1" t="n">
        <v>45583</v>
      </c>
      <c r="D137" t="inlineStr">
        <is>
          <t>UPPSALA LÄN</t>
        </is>
      </c>
      <c r="E137" t="inlineStr">
        <is>
          <t>ENKÖPING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65182-2019</t>
        </is>
      </c>
      <c r="B138" s="1" t="n">
        <v>43802</v>
      </c>
      <c r="C138" s="1" t="n">
        <v>45583</v>
      </c>
      <c r="D138" t="inlineStr">
        <is>
          <t>UPPSALA LÄN</t>
        </is>
      </c>
      <c r="E138" t="inlineStr">
        <is>
          <t>ENKÖPING</t>
        </is>
      </c>
      <c r="G138" t="n">
        <v>1.5</v>
      </c>
      <c r="H138" t="n">
        <v>0</v>
      </c>
      <c r="I138" t="n">
        <v>0</v>
      </c>
      <c r="J138" t="n">
        <v>0</v>
      </c>
      <c r="K138" t="n">
        <v>0</v>
      </c>
      <c r="L138" t="n">
        <v>0</v>
      </c>
      <c r="M138" t="n">
        <v>0</v>
      </c>
      <c r="N138" t="n">
        <v>0</v>
      </c>
      <c r="O138" t="n">
        <v>0</v>
      </c>
      <c r="P138" t="n">
        <v>0</v>
      </c>
      <c r="Q138" t="n">
        <v>0</v>
      </c>
      <c r="R138" s="2" t="inlineStr"/>
    </row>
    <row r="139" ht="15" customHeight="1">
      <c r="A139" t="inlineStr">
        <is>
          <t>A 66556-2019</t>
        </is>
      </c>
      <c r="B139" s="1" t="n">
        <v>43803</v>
      </c>
      <c r="C139" s="1" t="n">
        <v>45583</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66298-2019</t>
        </is>
      </c>
      <c r="B140" s="1" t="n">
        <v>43808</v>
      </c>
      <c r="C140" s="1" t="n">
        <v>45583</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67190-2019</t>
        </is>
      </c>
      <c r="B141" s="1" t="n">
        <v>43811</v>
      </c>
      <c r="C141" s="1" t="n">
        <v>45583</v>
      </c>
      <c r="D141" t="inlineStr">
        <is>
          <t>UPPSALA LÄN</t>
        </is>
      </c>
      <c r="E141" t="inlineStr">
        <is>
          <t>ENKÖPING</t>
        </is>
      </c>
      <c r="G141" t="n">
        <v>1.3</v>
      </c>
      <c r="H141" t="n">
        <v>0</v>
      </c>
      <c r="I141" t="n">
        <v>0</v>
      </c>
      <c r="J141" t="n">
        <v>0</v>
      </c>
      <c r="K141" t="n">
        <v>0</v>
      </c>
      <c r="L141" t="n">
        <v>0</v>
      </c>
      <c r="M141" t="n">
        <v>0</v>
      </c>
      <c r="N141" t="n">
        <v>0</v>
      </c>
      <c r="O141" t="n">
        <v>0</v>
      </c>
      <c r="P141" t="n">
        <v>0</v>
      </c>
      <c r="Q141" t="n">
        <v>0</v>
      </c>
      <c r="R141" s="2" t="inlineStr"/>
    </row>
    <row r="142" ht="15" customHeight="1">
      <c r="A142" t="inlineStr">
        <is>
          <t>A 67196-2019</t>
        </is>
      </c>
      <c r="B142" s="1" t="n">
        <v>43811</v>
      </c>
      <c r="C142" s="1" t="n">
        <v>45583</v>
      </c>
      <c r="D142" t="inlineStr">
        <is>
          <t>UPPSALA LÄN</t>
        </is>
      </c>
      <c r="E142" t="inlineStr">
        <is>
          <t>ENKÖPING</t>
        </is>
      </c>
      <c r="G142" t="n">
        <v>2.9</v>
      </c>
      <c r="H142" t="n">
        <v>0</v>
      </c>
      <c r="I142" t="n">
        <v>0</v>
      </c>
      <c r="J142" t="n">
        <v>0</v>
      </c>
      <c r="K142" t="n">
        <v>0</v>
      </c>
      <c r="L142" t="n">
        <v>0</v>
      </c>
      <c r="M142" t="n">
        <v>0</v>
      </c>
      <c r="N142" t="n">
        <v>0</v>
      </c>
      <c r="O142" t="n">
        <v>0</v>
      </c>
      <c r="P142" t="n">
        <v>0</v>
      </c>
      <c r="Q142" t="n">
        <v>0</v>
      </c>
      <c r="R142" s="2" t="inlineStr"/>
    </row>
    <row r="143" ht="15" customHeight="1">
      <c r="A143" t="inlineStr">
        <is>
          <t>A 67244-2019</t>
        </is>
      </c>
      <c r="B143" s="1" t="n">
        <v>43812</v>
      </c>
      <c r="C143" s="1" t="n">
        <v>45583</v>
      </c>
      <c r="D143" t="inlineStr">
        <is>
          <t>UPPSALA LÄN</t>
        </is>
      </c>
      <c r="E143" t="inlineStr">
        <is>
          <t>ENKÖPING</t>
        </is>
      </c>
      <c r="G143" t="n">
        <v>3.2</v>
      </c>
      <c r="H143" t="n">
        <v>0</v>
      </c>
      <c r="I143" t="n">
        <v>0</v>
      </c>
      <c r="J143" t="n">
        <v>0</v>
      </c>
      <c r="K143" t="n">
        <v>0</v>
      </c>
      <c r="L143" t="n">
        <v>0</v>
      </c>
      <c r="M143" t="n">
        <v>0</v>
      </c>
      <c r="N143" t="n">
        <v>0</v>
      </c>
      <c r="O143" t="n">
        <v>0</v>
      </c>
      <c r="P143" t="n">
        <v>0</v>
      </c>
      <c r="Q143" t="n">
        <v>0</v>
      </c>
      <c r="R143" s="2" t="inlineStr"/>
    </row>
    <row r="144" ht="15" customHeight="1">
      <c r="A144" t="inlineStr">
        <is>
          <t>A 67448-2019</t>
        </is>
      </c>
      <c r="B144" s="1" t="n">
        <v>43812</v>
      </c>
      <c r="C144" s="1" t="n">
        <v>45583</v>
      </c>
      <c r="D144" t="inlineStr">
        <is>
          <t>UPPSALA LÄN</t>
        </is>
      </c>
      <c r="E144" t="inlineStr">
        <is>
          <t>ENKÖPING</t>
        </is>
      </c>
      <c r="F144" t="inlineStr">
        <is>
          <t>Allmännings- och besparingsskogar</t>
        </is>
      </c>
      <c r="G144" t="n">
        <v>15.1</v>
      </c>
      <c r="H144" t="n">
        <v>0</v>
      </c>
      <c r="I144" t="n">
        <v>0</v>
      </c>
      <c r="J144" t="n">
        <v>0</v>
      </c>
      <c r="K144" t="n">
        <v>0</v>
      </c>
      <c r="L144" t="n">
        <v>0</v>
      </c>
      <c r="M144" t="n">
        <v>0</v>
      </c>
      <c r="N144" t="n">
        <v>0</v>
      </c>
      <c r="O144" t="n">
        <v>0</v>
      </c>
      <c r="P144" t="n">
        <v>0</v>
      </c>
      <c r="Q144" t="n">
        <v>0</v>
      </c>
      <c r="R144" s="2" t="inlineStr"/>
    </row>
    <row r="145" ht="15" customHeight="1">
      <c r="A145" t="inlineStr">
        <is>
          <t>A 68186-2019</t>
        </is>
      </c>
      <c r="B145" s="1" t="n">
        <v>43817</v>
      </c>
      <c r="C145" s="1" t="n">
        <v>45583</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68188-2019</t>
        </is>
      </c>
      <c r="B146" s="1" t="n">
        <v>43817</v>
      </c>
      <c r="C146" s="1" t="n">
        <v>45583</v>
      </c>
      <c r="D146" t="inlineStr">
        <is>
          <t>UPPSALA LÄN</t>
        </is>
      </c>
      <c r="E146" t="inlineStr">
        <is>
          <t>ENKÖPING</t>
        </is>
      </c>
      <c r="G146" t="n">
        <v>1.2</v>
      </c>
      <c r="H146" t="n">
        <v>0</v>
      </c>
      <c r="I146" t="n">
        <v>0</v>
      </c>
      <c r="J146" t="n">
        <v>0</v>
      </c>
      <c r="K146" t="n">
        <v>0</v>
      </c>
      <c r="L146" t="n">
        <v>0</v>
      </c>
      <c r="M146" t="n">
        <v>0</v>
      </c>
      <c r="N146" t="n">
        <v>0</v>
      </c>
      <c r="O146" t="n">
        <v>0</v>
      </c>
      <c r="P146" t="n">
        <v>0</v>
      </c>
      <c r="Q146" t="n">
        <v>0</v>
      </c>
      <c r="R146" s="2" t="inlineStr"/>
    </row>
    <row r="147" ht="15" customHeight="1">
      <c r="A147" t="inlineStr">
        <is>
          <t>A 69015-2019</t>
        </is>
      </c>
      <c r="B147" s="1" t="n">
        <v>43826</v>
      </c>
      <c r="C147" s="1" t="n">
        <v>45583</v>
      </c>
      <c r="D147" t="inlineStr">
        <is>
          <t>UPPSALA LÄN</t>
        </is>
      </c>
      <c r="E147" t="inlineStr">
        <is>
          <t>ENKÖPING</t>
        </is>
      </c>
      <c r="G147" t="n">
        <v>15.7</v>
      </c>
      <c r="H147" t="n">
        <v>0</v>
      </c>
      <c r="I147" t="n">
        <v>0</v>
      </c>
      <c r="J147" t="n">
        <v>0</v>
      </c>
      <c r="K147" t="n">
        <v>0</v>
      </c>
      <c r="L147" t="n">
        <v>0</v>
      </c>
      <c r="M147" t="n">
        <v>0</v>
      </c>
      <c r="N147" t="n">
        <v>0</v>
      </c>
      <c r="O147" t="n">
        <v>0</v>
      </c>
      <c r="P147" t="n">
        <v>0</v>
      </c>
      <c r="Q147" t="n">
        <v>0</v>
      </c>
      <c r="R147" s="2" t="inlineStr"/>
    </row>
    <row r="148" ht="15" customHeight="1">
      <c r="A148" t="inlineStr">
        <is>
          <t>A 69029-2019</t>
        </is>
      </c>
      <c r="B148" s="1" t="n">
        <v>43826</v>
      </c>
      <c r="C148" s="1" t="n">
        <v>45583</v>
      </c>
      <c r="D148" t="inlineStr">
        <is>
          <t>UPPSALA LÄN</t>
        </is>
      </c>
      <c r="E148" t="inlineStr">
        <is>
          <t>ENKÖPING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69016-2019</t>
        </is>
      </c>
      <c r="B149" s="1" t="n">
        <v>43826</v>
      </c>
      <c r="C149" s="1" t="n">
        <v>45583</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69020-2019</t>
        </is>
      </c>
      <c r="B150" s="1" t="n">
        <v>43826</v>
      </c>
      <c r="C150" s="1" t="n">
        <v>45583</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38-2020</t>
        </is>
      </c>
      <c r="B151" s="1" t="n">
        <v>43832</v>
      </c>
      <c r="C151" s="1" t="n">
        <v>45583</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499-2020</t>
        </is>
      </c>
      <c r="B152" s="1" t="n">
        <v>43837</v>
      </c>
      <c r="C152" s="1" t="n">
        <v>45583</v>
      </c>
      <c r="D152" t="inlineStr">
        <is>
          <t>UPPSALA LÄN</t>
        </is>
      </c>
      <c r="E152" t="inlineStr">
        <is>
          <t>ENKÖPING</t>
        </is>
      </c>
      <c r="G152" t="n">
        <v>4.9</v>
      </c>
      <c r="H152" t="n">
        <v>0</v>
      </c>
      <c r="I152" t="n">
        <v>0</v>
      </c>
      <c r="J152" t="n">
        <v>0</v>
      </c>
      <c r="K152" t="n">
        <v>0</v>
      </c>
      <c r="L152" t="n">
        <v>0</v>
      </c>
      <c r="M152" t="n">
        <v>0</v>
      </c>
      <c r="N152" t="n">
        <v>0</v>
      </c>
      <c r="O152" t="n">
        <v>0</v>
      </c>
      <c r="P152" t="n">
        <v>0</v>
      </c>
      <c r="Q152" t="n">
        <v>0</v>
      </c>
      <c r="R152" s="2" t="inlineStr"/>
    </row>
    <row r="153" ht="15" customHeight="1">
      <c r="A153" t="inlineStr">
        <is>
          <t>A 724-2020</t>
        </is>
      </c>
      <c r="B153" s="1" t="n">
        <v>43838</v>
      </c>
      <c r="C153" s="1" t="n">
        <v>45583</v>
      </c>
      <c r="D153" t="inlineStr">
        <is>
          <t>UPPSALA LÄN</t>
        </is>
      </c>
      <c r="E153" t="inlineStr">
        <is>
          <t>ENKÖPING</t>
        </is>
      </c>
      <c r="G153" t="n">
        <v>0.3</v>
      </c>
      <c r="H153" t="n">
        <v>0</v>
      </c>
      <c r="I153" t="n">
        <v>0</v>
      </c>
      <c r="J153" t="n">
        <v>0</v>
      </c>
      <c r="K153" t="n">
        <v>0</v>
      </c>
      <c r="L153" t="n">
        <v>0</v>
      </c>
      <c r="M153" t="n">
        <v>0</v>
      </c>
      <c r="N153" t="n">
        <v>0</v>
      </c>
      <c r="O153" t="n">
        <v>0</v>
      </c>
      <c r="P153" t="n">
        <v>0</v>
      </c>
      <c r="Q153" t="n">
        <v>0</v>
      </c>
      <c r="R153" s="2" t="inlineStr"/>
    </row>
    <row r="154" ht="15" customHeight="1">
      <c r="A154" t="inlineStr">
        <is>
          <t>A 892-2020</t>
        </is>
      </c>
      <c r="B154" s="1" t="n">
        <v>43839</v>
      </c>
      <c r="C154" s="1" t="n">
        <v>45583</v>
      </c>
      <c r="D154" t="inlineStr">
        <is>
          <t>UPPSALA LÄN</t>
        </is>
      </c>
      <c r="E154" t="inlineStr">
        <is>
          <t>ENKÖPING</t>
        </is>
      </c>
      <c r="G154" t="n">
        <v>2.1</v>
      </c>
      <c r="H154" t="n">
        <v>0</v>
      </c>
      <c r="I154" t="n">
        <v>0</v>
      </c>
      <c r="J154" t="n">
        <v>0</v>
      </c>
      <c r="K154" t="n">
        <v>0</v>
      </c>
      <c r="L154" t="n">
        <v>0</v>
      </c>
      <c r="M154" t="n">
        <v>0</v>
      </c>
      <c r="N154" t="n">
        <v>0</v>
      </c>
      <c r="O154" t="n">
        <v>0</v>
      </c>
      <c r="P154" t="n">
        <v>0</v>
      </c>
      <c r="Q154" t="n">
        <v>0</v>
      </c>
      <c r="R154" s="2" t="inlineStr"/>
    </row>
    <row r="155" ht="15" customHeight="1">
      <c r="A155" t="inlineStr">
        <is>
          <t>A 1348-2020</t>
        </is>
      </c>
      <c r="B155" s="1" t="n">
        <v>43843</v>
      </c>
      <c r="C155" s="1" t="n">
        <v>45583</v>
      </c>
      <c r="D155" t="inlineStr">
        <is>
          <t>UPPSALA LÄN</t>
        </is>
      </c>
      <c r="E155" t="inlineStr">
        <is>
          <t>ENKÖPING</t>
        </is>
      </c>
      <c r="G155" t="n">
        <v>0.3</v>
      </c>
      <c r="H155" t="n">
        <v>0</v>
      </c>
      <c r="I155" t="n">
        <v>0</v>
      </c>
      <c r="J155" t="n">
        <v>0</v>
      </c>
      <c r="K155" t="n">
        <v>0</v>
      </c>
      <c r="L155" t="n">
        <v>0</v>
      </c>
      <c r="M155" t="n">
        <v>0</v>
      </c>
      <c r="N155" t="n">
        <v>0</v>
      </c>
      <c r="O155" t="n">
        <v>0</v>
      </c>
      <c r="P155" t="n">
        <v>0</v>
      </c>
      <c r="Q155" t="n">
        <v>0</v>
      </c>
      <c r="R155" s="2" t="inlineStr"/>
    </row>
    <row r="156" ht="15" customHeight="1">
      <c r="A156" t="inlineStr">
        <is>
          <t>A 2182-2020</t>
        </is>
      </c>
      <c r="B156" s="1" t="n">
        <v>43846</v>
      </c>
      <c r="C156" s="1" t="n">
        <v>45583</v>
      </c>
      <c r="D156" t="inlineStr">
        <is>
          <t>UPPSALA LÄN</t>
        </is>
      </c>
      <c r="E156" t="inlineStr">
        <is>
          <t>ENKÖPING</t>
        </is>
      </c>
      <c r="F156" t="inlineStr">
        <is>
          <t>Övriga statliga verk och myndigheter</t>
        </is>
      </c>
      <c r="G156" t="n">
        <v>7.7</v>
      </c>
      <c r="H156" t="n">
        <v>0</v>
      </c>
      <c r="I156" t="n">
        <v>0</v>
      </c>
      <c r="J156" t="n">
        <v>0</v>
      </c>
      <c r="K156" t="n">
        <v>0</v>
      </c>
      <c r="L156" t="n">
        <v>0</v>
      </c>
      <c r="M156" t="n">
        <v>0</v>
      </c>
      <c r="N156" t="n">
        <v>0</v>
      </c>
      <c r="O156" t="n">
        <v>0</v>
      </c>
      <c r="P156" t="n">
        <v>0</v>
      </c>
      <c r="Q156" t="n">
        <v>0</v>
      </c>
      <c r="R156" s="2" t="inlineStr"/>
    </row>
    <row r="157" ht="15" customHeight="1">
      <c r="A157" t="inlineStr">
        <is>
          <t>A 2205-2020</t>
        </is>
      </c>
      <c r="B157" s="1" t="n">
        <v>43846</v>
      </c>
      <c r="C157" s="1" t="n">
        <v>45583</v>
      </c>
      <c r="D157" t="inlineStr">
        <is>
          <t>UPPSALA LÄN</t>
        </is>
      </c>
      <c r="E157" t="inlineStr">
        <is>
          <t>ENKÖPING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2177-2020</t>
        </is>
      </c>
      <c r="B158" s="1" t="n">
        <v>43846</v>
      </c>
      <c r="C158" s="1" t="n">
        <v>45583</v>
      </c>
      <c r="D158" t="inlineStr">
        <is>
          <t>UPPSALA LÄN</t>
        </is>
      </c>
      <c r="E158" t="inlineStr">
        <is>
          <t>ENKÖPING</t>
        </is>
      </c>
      <c r="F158" t="inlineStr">
        <is>
          <t>Övriga statliga verk och myndigheter</t>
        </is>
      </c>
      <c r="G158" t="n">
        <v>10.2</v>
      </c>
      <c r="H158" t="n">
        <v>0</v>
      </c>
      <c r="I158" t="n">
        <v>0</v>
      </c>
      <c r="J158" t="n">
        <v>0</v>
      </c>
      <c r="K158" t="n">
        <v>0</v>
      </c>
      <c r="L158" t="n">
        <v>0</v>
      </c>
      <c r="M158" t="n">
        <v>0</v>
      </c>
      <c r="N158" t="n">
        <v>0</v>
      </c>
      <c r="O158" t="n">
        <v>0</v>
      </c>
      <c r="P158" t="n">
        <v>0</v>
      </c>
      <c r="Q158" t="n">
        <v>0</v>
      </c>
      <c r="R158" s="2" t="inlineStr"/>
    </row>
    <row r="159" ht="15" customHeight="1">
      <c r="A159" t="inlineStr">
        <is>
          <t>A 2220-2020</t>
        </is>
      </c>
      <c r="B159" s="1" t="n">
        <v>43846</v>
      </c>
      <c r="C159" s="1" t="n">
        <v>45583</v>
      </c>
      <c r="D159" t="inlineStr">
        <is>
          <t>UPPSALA LÄN</t>
        </is>
      </c>
      <c r="E159" t="inlineStr">
        <is>
          <t>ENKÖPING</t>
        </is>
      </c>
      <c r="F159" t="inlineStr">
        <is>
          <t>Övriga statliga verk och myndigheter</t>
        </is>
      </c>
      <c r="G159" t="n">
        <v>11.8</v>
      </c>
      <c r="H159" t="n">
        <v>0</v>
      </c>
      <c r="I159" t="n">
        <v>0</v>
      </c>
      <c r="J159" t="n">
        <v>0</v>
      </c>
      <c r="K159" t="n">
        <v>0</v>
      </c>
      <c r="L159" t="n">
        <v>0</v>
      </c>
      <c r="M159" t="n">
        <v>0</v>
      </c>
      <c r="N159" t="n">
        <v>0</v>
      </c>
      <c r="O159" t="n">
        <v>0</v>
      </c>
      <c r="P159" t="n">
        <v>0</v>
      </c>
      <c r="Q159" t="n">
        <v>0</v>
      </c>
      <c r="R159" s="2" t="inlineStr"/>
    </row>
    <row r="160" ht="15" customHeight="1">
      <c r="A160" t="inlineStr">
        <is>
          <t>A 2186-2020</t>
        </is>
      </c>
      <c r="B160" s="1" t="n">
        <v>43846</v>
      </c>
      <c r="C160" s="1" t="n">
        <v>45583</v>
      </c>
      <c r="D160" t="inlineStr">
        <is>
          <t>UPPSALA LÄN</t>
        </is>
      </c>
      <c r="E160" t="inlineStr">
        <is>
          <t>ENKÖPING</t>
        </is>
      </c>
      <c r="F160" t="inlineStr">
        <is>
          <t>Övriga statliga verk och myndigheter</t>
        </is>
      </c>
      <c r="G160" t="n">
        <v>12.3</v>
      </c>
      <c r="H160" t="n">
        <v>0</v>
      </c>
      <c r="I160" t="n">
        <v>0</v>
      </c>
      <c r="J160" t="n">
        <v>0</v>
      </c>
      <c r="K160" t="n">
        <v>0</v>
      </c>
      <c r="L160" t="n">
        <v>0</v>
      </c>
      <c r="M160" t="n">
        <v>0</v>
      </c>
      <c r="N160" t="n">
        <v>0</v>
      </c>
      <c r="O160" t="n">
        <v>0</v>
      </c>
      <c r="P160" t="n">
        <v>0</v>
      </c>
      <c r="Q160" t="n">
        <v>0</v>
      </c>
      <c r="R160" s="2" t="inlineStr"/>
    </row>
    <row r="161" ht="15" customHeight="1">
      <c r="A161" t="inlineStr">
        <is>
          <t>A 2225-2020</t>
        </is>
      </c>
      <c r="B161" s="1" t="n">
        <v>43846</v>
      </c>
      <c r="C161" s="1" t="n">
        <v>45583</v>
      </c>
      <c r="D161" t="inlineStr">
        <is>
          <t>UPPSALA LÄN</t>
        </is>
      </c>
      <c r="E161" t="inlineStr">
        <is>
          <t>ENKÖPING</t>
        </is>
      </c>
      <c r="F161" t="inlineStr">
        <is>
          <t>Övriga statliga verk och myndigheter</t>
        </is>
      </c>
      <c r="G161" t="n">
        <v>5.2</v>
      </c>
      <c r="H161" t="n">
        <v>0</v>
      </c>
      <c r="I161" t="n">
        <v>0</v>
      </c>
      <c r="J161" t="n">
        <v>0</v>
      </c>
      <c r="K161" t="n">
        <v>0</v>
      </c>
      <c r="L161" t="n">
        <v>0</v>
      </c>
      <c r="M161" t="n">
        <v>0</v>
      </c>
      <c r="N161" t="n">
        <v>0</v>
      </c>
      <c r="O161" t="n">
        <v>0</v>
      </c>
      <c r="P161" t="n">
        <v>0</v>
      </c>
      <c r="Q161" t="n">
        <v>0</v>
      </c>
      <c r="R161" s="2" t="inlineStr"/>
    </row>
    <row r="162" ht="15" customHeight="1">
      <c r="A162" t="inlineStr">
        <is>
          <t>A 2217-2020</t>
        </is>
      </c>
      <c r="B162" s="1" t="n">
        <v>43846</v>
      </c>
      <c r="C162" s="1" t="n">
        <v>45583</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2222-2020</t>
        </is>
      </c>
      <c r="B163" s="1" t="n">
        <v>43846</v>
      </c>
      <c r="C163" s="1" t="n">
        <v>45583</v>
      </c>
      <c r="D163" t="inlineStr">
        <is>
          <t>UPPSALA LÄN</t>
        </is>
      </c>
      <c r="E163" t="inlineStr">
        <is>
          <t>ENKÖPING</t>
        </is>
      </c>
      <c r="F163" t="inlineStr">
        <is>
          <t>Övriga statliga verk och myndigheter</t>
        </is>
      </c>
      <c r="G163" t="n">
        <v>3.3</v>
      </c>
      <c r="H163" t="n">
        <v>0</v>
      </c>
      <c r="I163" t="n">
        <v>0</v>
      </c>
      <c r="J163" t="n">
        <v>0</v>
      </c>
      <c r="K163" t="n">
        <v>0</v>
      </c>
      <c r="L163" t="n">
        <v>0</v>
      </c>
      <c r="M163" t="n">
        <v>0</v>
      </c>
      <c r="N163" t="n">
        <v>0</v>
      </c>
      <c r="O163" t="n">
        <v>0</v>
      </c>
      <c r="P163" t="n">
        <v>0</v>
      </c>
      <c r="Q163" t="n">
        <v>0</v>
      </c>
      <c r="R163" s="2" t="inlineStr"/>
    </row>
    <row r="164" ht="15" customHeight="1">
      <c r="A164" t="inlineStr">
        <is>
          <t>A 4073-2020</t>
        </is>
      </c>
      <c r="B164" s="1" t="n">
        <v>43857</v>
      </c>
      <c r="C164" s="1" t="n">
        <v>45583</v>
      </c>
      <c r="D164" t="inlineStr">
        <is>
          <t>UPPSALA LÄN</t>
        </is>
      </c>
      <c r="E164" t="inlineStr">
        <is>
          <t>ENKÖPING</t>
        </is>
      </c>
      <c r="G164" t="n">
        <v>2.4</v>
      </c>
      <c r="H164" t="n">
        <v>0</v>
      </c>
      <c r="I164" t="n">
        <v>0</v>
      </c>
      <c r="J164" t="n">
        <v>0</v>
      </c>
      <c r="K164" t="n">
        <v>0</v>
      </c>
      <c r="L164" t="n">
        <v>0</v>
      </c>
      <c r="M164" t="n">
        <v>0</v>
      </c>
      <c r="N164" t="n">
        <v>0</v>
      </c>
      <c r="O164" t="n">
        <v>0</v>
      </c>
      <c r="P164" t="n">
        <v>0</v>
      </c>
      <c r="Q164" t="n">
        <v>0</v>
      </c>
      <c r="R164" s="2" t="inlineStr"/>
    </row>
    <row r="165" ht="15" customHeight="1">
      <c r="A165" t="inlineStr">
        <is>
          <t>A 5032-2020</t>
        </is>
      </c>
      <c r="B165" s="1" t="n">
        <v>43859</v>
      </c>
      <c r="C165" s="1" t="n">
        <v>45583</v>
      </c>
      <c r="D165" t="inlineStr">
        <is>
          <t>UPPSALA LÄN</t>
        </is>
      </c>
      <c r="E165" t="inlineStr">
        <is>
          <t>ENKÖPING</t>
        </is>
      </c>
      <c r="G165" t="n">
        <v>0.9</v>
      </c>
      <c r="H165" t="n">
        <v>0</v>
      </c>
      <c r="I165" t="n">
        <v>0</v>
      </c>
      <c r="J165" t="n">
        <v>0</v>
      </c>
      <c r="K165" t="n">
        <v>0</v>
      </c>
      <c r="L165" t="n">
        <v>0</v>
      </c>
      <c r="M165" t="n">
        <v>0</v>
      </c>
      <c r="N165" t="n">
        <v>0</v>
      </c>
      <c r="O165" t="n">
        <v>0</v>
      </c>
      <c r="P165" t="n">
        <v>0</v>
      </c>
      <c r="Q165" t="n">
        <v>0</v>
      </c>
      <c r="R165" s="2" t="inlineStr"/>
    </row>
    <row r="166" ht="15" customHeight="1">
      <c r="A166" t="inlineStr">
        <is>
          <t>A 5345-2020</t>
        </is>
      </c>
      <c r="B166" s="1" t="n">
        <v>43860</v>
      </c>
      <c r="C166" s="1" t="n">
        <v>45583</v>
      </c>
      <c r="D166" t="inlineStr">
        <is>
          <t>UPPSALA LÄN</t>
        </is>
      </c>
      <c r="E166" t="inlineStr">
        <is>
          <t>ENKÖPING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5178-2020</t>
        </is>
      </c>
      <c r="B167" s="1" t="n">
        <v>43860</v>
      </c>
      <c r="C167" s="1" t="n">
        <v>45583</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6045-2020</t>
        </is>
      </c>
      <c r="B168" s="1" t="n">
        <v>43865</v>
      </c>
      <c r="C168" s="1" t="n">
        <v>45583</v>
      </c>
      <c r="D168" t="inlineStr">
        <is>
          <t>UPPSALA LÄN</t>
        </is>
      </c>
      <c r="E168" t="inlineStr">
        <is>
          <t>ENKÖPING</t>
        </is>
      </c>
      <c r="G168" t="n">
        <v>1.7</v>
      </c>
      <c r="H168" t="n">
        <v>0</v>
      </c>
      <c r="I168" t="n">
        <v>0</v>
      </c>
      <c r="J168" t="n">
        <v>0</v>
      </c>
      <c r="K168" t="n">
        <v>0</v>
      </c>
      <c r="L168" t="n">
        <v>0</v>
      </c>
      <c r="M168" t="n">
        <v>0</v>
      </c>
      <c r="N168" t="n">
        <v>0</v>
      </c>
      <c r="O168" t="n">
        <v>0</v>
      </c>
      <c r="P168" t="n">
        <v>0</v>
      </c>
      <c r="Q168" t="n">
        <v>0</v>
      </c>
      <c r="R168" s="2" t="inlineStr"/>
    </row>
    <row r="169" ht="15" customHeight="1">
      <c r="A169" t="inlineStr">
        <is>
          <t>A 6320-2020</t>
        </is>
      </c>
      <c r="B169" s="1" t="n">
        <v>43866</v>
      </c>
      <c r="C169" s="1" t="n">
        <v>45583</v>
      </c>
      <c r="D169" t="inlineStr">
        <is>
          <t>UPPSALA LÄN</t>
        </is>
      </c>
      <c r="E169" t="inlineStr">
        <is>
          <t>ENKÖPING</t>
        </is>
      </c>
      <c r="F169" t="inlineStr">
        <is>
          <t>Övriga statliga verk och myndigheter</t>
        </is>
      </c>
      <c r="G169" t="n">
        <v>1.6</v>
      </c>
      <c r="H169" t="n">
        <v>0</v>
      </c>
      <c r="I169" t="n">
        <v>0</v>
      </c>
      <c r="J169" t="n">
        <v>0</v>
      </c>
      <c r="K169" t="n">
        <v>0</v>
      </c>
      <c r="L169" t="n">
        <v>0</v>
      </c>
      <c r="M169" t="n">
        <v>0</v>
      </c>
      <c r="N169" t="n">
        <v>0</v>
      </c>
      <c r="O169" t="n">
        <v>0</v>
      </c>
      <c r="P169" t="n">
        <v>0</v>
      </c>
      <c r="Q169" t="n">
        <v>0</v>
      </c>
      <c r="R169" s="2" t="inlineStr"/>
    </row>
    <row r="170" ht="15" customHeight="1">
      <c r="A170" t="inlineStr">
        <is>
          <t>A 6345-2020</t>
        </is>
      </c>
      <c r="B170" s="1" t="n">
        <v>43866</v>
      </c>
      <c r="C170" s="1" t="n">
        <v>45583</v>
      </c>
      <c r="D170" t="inlineStr">
        <is>
          <t>UPPSALA LÄN</t>
        </is>
      </c>
      <c r="E170" t="inlineStr">
        <is>
          <t>ENKÖPING</t>
        </is>
      </c>
      <c r="G170" t="n">
        <v>1.5</v>
      </c>
      <c r="H170" t="n">
        <v>0</v>
      </c>
      <c r="I170" t="n">
        <v>0</v>
      </c>
      <c r="J170" t="n">
        <v>0</v>
      </c>
      <c r="K170" t="n">
        <v>0</v>
      </c>
      <c r="L170" t="n">
        <v>0</v>
      </c>
      <c r="M170" t="n">
        <v>0</v>
      </c>
      <c r="N170" t="n">
        <v>0</v>
      </c>
      <c r="O170" t="n">
        <v>0</v>
      </c>
      <c r="P170" t="n">
        <v>0</v>
      </c>
      <c r="Q170" t="n">
        <v>0</v>
      </c>
      <c r="R170" s="2" t="inlineStr"/>
    </row>
    <row r="171" ht="15" customHeight="1">
      <c r="A171" t="inlineStr">
        <is>
          <t>A 6700-2020</t>
        </is>
      </c>
      <c r="B171" s="1" t="n">
        <v>43866</v>
      </c>
      <c r="C171" s="1" t="n">
        <v>45583</v>
      </c>
      <c r="D171" t="inlineStr">
        <is>
          <t>UPPSALA LÄN</t>
        </is>
      </c>
      <c r="E171" t="inlineStr">
        <is>
          <t>ENKÖPING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6434-2020</t>
        </is>
      </c>
      <c r="B172" s="1" t="n">
        <v>43866</v>
      </c>
      <c r="C172" s="1" t="n">
        <v>45583</v>
      </c>
      <c r="D172" t="inlineStr">
        <is>
          <t>UPPSALA LÄN</t>
        </is>
      </c>
      <c r="E172" t="inlineStr">
        <is>
          <t>ENKÖPING</t>
        </is>
      </c>
      <c r="G172" t="n">
        <v>8.4</v>
      </c>
      <c r="H172" t="n">
        <v>0</v>
      </c>
      <c r="I172" t="n">
        <v>0</v>
      </c>
      <c r="J172" t="n">
        <v>0</v>
      </c>
      <c r="K172" t="n">
        <v>0</v>
      </c>
      <c r="L172" t="n">
        <v>0</v>
      </c>
      <c r="M172" t="n">
        <v>0</v>
      </c>
      <c r="N172" t="n">
        <v>0</v>
      </c>
      <c r="O172" t="n">
        <v>0</v>
      </c>
      <c r="P172" t="n">
        <v>0</v>
      </c>
      <c r="Q172" t="n">
        <v>0</v>
      </c>
      <c r="R172" s="2" t="inlineStr"/>
    </row>
    <row r="173" ht="15" customHeight="1">
      <c r="A173" t="inlineStr">
        <is>
          <t>A 6990-2020</t>
        </is>
      </c>
      <c r="B173" s="1" t="n">
        <v>43868</v>
      </c>
      <c r="C173" s="1" t="n">
        <v>45583</v>
      </c>
      <c r="D173" t="inlineStr">
        <is>
          <t>UPPSALA LÄN</t>
        </is>
      </c>
      <c r="E173" t="inlineStr">
        <is>
          <t>ENKÖPING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8185-2020</t>
        </is>
      </c>
      <c r="B174" s="1" t="n">
        <v>43874</v>
      </c>
      <c r="C174" s="1" t="n">
        <v>45583</v>
      </c>
      <c r="D174" t="inlineStr">
        <is>
          <t>UPPSALA LÄN</t>
        </is>
      </c>
      <c r="E174" t="inlineStr">
        <is>
          <t>ENKÖPING</t>
        </is>
      </c>
      <c r="G174" t="n">
        <v>4.7</v>
      </c>
      <c r="H174" t="n">
        <v>0</v>
      </c>
      <c r="I174" t="n">
        <v>0</v>
      </c>
      <c r="J174" t="n">
        <v>0</v>
      </c>
      <c r="K174" t="n">
        <v>0</v>
      </c>
      <c r="L174" t="n">
        <v>0</v>
      </c>
      <c r="M174" t="n">
        <v>0</v>
      </c>
      <c r="N174" t="n">
        <v>0</v>
      </c>
      <c r="O174" t="n">
        <v>0</v>
      </c>
      <c r="P174" t="n">
        <v>0</v>
      </c>
      <c r="Q174" t="n">
        <v>0</v>
      </c>
      <c r="R174" s="2" t="inlineStr"/>
    </row>
    <row r="175" ht="15" customHeight="1">
      <c r="A175" t="inlineStr">
        <is>
          <t>A 8320-2020</t>
        </is>
      </c>
      <c r="B175" s="1" t="n">
        <v>43875</v>
      </c>
      <c r="C175" s="1" t="n">
        <v>45583</v>
      </c>
      <c r="D175" t="inlineStr">
        <is>
          <t>UPPSALA LÄN</t>
        </is>
      </c>
      <c r="E175" t="inlineStr">
        <is>
          <t>ENKÖPING</t>
        </is>
      </c>
      <c r="G175" t="n">
        <v>6.1</v>
      </c>
      <c r="H175" t="n">
        <v>0</v>
      </c>
      <c r="I175" t="n">
        <v>0</v>
      </c>
      <c r="J175" t="n">
        <v>0</v>
      </c>
      <c r="K175" t="n">
        <v>0</v>
      </c>
      <c r="L175" t="n">
        <v>0</v>
      </c>
      <c r="M175" t="n">
        <v>0</v>
      </c>
      <c r="N175" t="n">
        <v>0</v>
      </c>
      <c r="O175" t="n">
        <v>0</v>
      </c>
      <c r="P175" t="n">
        <v>0</v>
      </c>
      <c r="Q175" t="n">
        <v>0</v>
      </c>
      <c r="R175" s="2" t="inlineStr"/>
    </row>
    <row r="176" ht="15" customHeight="1">
      <c r="A176" t="inlineStr">
        <is>
          <t>A 8344-2020</t>
        </is>
      </c>
      <c r="B176" s="1" t="n">
        <v>43875</v>
      </c>
      <c r="C176" s="1" t="n">
        <v>45583</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8692-2020</t>
        </is>
      </c>
      <c r="B177" s="1" t="n">
        <v>43878</v>
      </c>
      <c r="C177" s="1" t="n">
        <v>45583</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8700-2020</t>
        </is>
      </c>
      <c r="B178" s="1" t="n">
        <v>43878</v>
      </c>
      <c r="C178" s="1" t="n">
        <v>45583</v>
      </c>
      <c r="D178" t="inlineStr">
        <is>
          <t>UPPSALA LÄN</t>
        </is>
      </c>
      <c r="E178" t="inlineStr">
        <is>
          <t>ENKÖPING</t>
        </is>
      </c>
      <c r="F178" t="inlineStr">
        <is>
          <t>Kyrkan</t>
        </is>
      </c>
      <c r="G178" t="n">
        <v>1.5</v>
      </c>
      <c r="H178" t="n">
        <v>0</v>
      </c>
      <c r="I178" t="n">
        <v>0</v>
      </c>
      <c r="J178" t="n">
        <v>0</v>
      </c>
      <c r="K178" t="n">
        <v>0</v>
      </c>
      <c r="L178" t="n">
        <v>0</v>
      </c>
      <c r="M178" t="n">
        <v>0</v>
      </c>
      <c r="N178" t="n">
        <v>0</v>
      </c>
      <c r="O178" t="n">
        <v>0</v>
      </c>
      <c r="P178" t="n">
        <v>0</v>
      </c>
      <c r="Q178" t="n">
        <v>0</v>
      </c>
      <c r="R178" s="2" t="inlineStr"/>
    </row>
    <row r="179" ht="15" customHeight="1">
      <c r="A179" t="inlineStr">
        <is>
          <t>A 9122-2020</t>
        </is>
      </c>
      <c r="B179" s="1" t="n">
        <v>43879</v>
      </c>
      <c r="C179" s="1" t="n">
        <v>45583</v>
      </c>
      <c r="D179" t="inlineStr">
        <is>
          <t>UPPSALA LÄN</t>
        </is>
      </c>
      <c r="E179" t="inlineStr">
        <is>
          <t>ENKÖPING</t>
        </is>
      </c>
      <c r="G179" t="n">
        <v>0.9</v>
      </c>
      <c r="H179" t="n">
        <v>0</v>
      </c>
      <c r="I179" t="n">
        <v>0</v>
      </c>
      <c r="J179" t="n">
        <v>0</v>
      </c>
      <c r="K179" t="n">
        <v>0</v>
      </c>
      <c r="L179" t="n">
        <v>0</v>
      </c>
      <c r="M179" t="n">
        <v>0</v>
      </c>
      <c r="N179" t="n">
        <v>0</v>
      </c>
      <c r="O179" t="n">
        <v>0</v>
      </c>
      <c r="P179" t="n">
        <v>0</v>
      </c>
      <c r="Q179" t="n">
        <v>0</v>
      </c>
      <c r="R179" s="2" t="inlineStr"/>
    </row>
    <row r="180" ht="15" customHeight="1">
      <c r="A180" t="inlineStr">
        <is>
          <t>A 9351-2020</t>
        </is>
      </c>
      <c r="B180" s="1" t="n">
        <v>43880</v>
      </c>
      <c r="C180" s="1" t="n">
        <v>45583</v>
      </c>
      <c r="D180" t="inlineStr">
        <is>
          <t>UPPSALA LÄN</t>
        </is>
      </c>
      <c r="E180" t="inlineStr">
        <is>
          <t>ENKÖPING</t>
        </is>
      </c>
      <c r="G180" t="n">
        <v>2.3</v>
      </c>
      <c r="H180" t="n">
        <v>0</v>
      </c>
      <c r="I180" t="n">
        <v>0</v>
      </c>
      <c r="J180" t="n">
        <v>0</v>
      </c>
      <c r="K180" t="n">
        <v>0</v>
      </c>
      <c r="L180" t="n">
        <v>0</v>
      </c>
      <c r="M180" t="n">
        <v>0</v>
      </c>
      <c r="N180" t="n">
        <v>0</v>
      </c>
      <c r="O180" t="n">
        <v>0</v>
      </c>
      <c r="P180" t="n">
        <v>0</v>
      </c>
      <c r="Q180" t="n">
        <v>0</v>
      </c>
      <c r="R180" s="2" t="inlineStr"/>
    </row>
    <row r="181" ht="15" customHeight="1">
      <c r="A181" t="inlineStr">
        <is>
          <t>A 9380-2020</t>
        </is>
      </c>
      <c r="B181" s="1" t="n">
        <v>43880</v>
      </c>
      <c r="C181" s="1" t="n">
        <v>45583</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10795-2020</t>
        </is>
      </c>
      <c r="B182" s="1" t="n">
        <v>43888</v>
      </c>
      <c r="C182" s="1" t="n">
        <v>45583</v>
      </c>
      <c r="D182" t="inlineStr">
        <is>
          <t>UPPSALA LÄN</t>
        </is>
      </c>
      <c r="E182" t="inlineStr">
        <is>
          <t>ENKÖPING</t>
        </is>
      </c>
      <c r="G182" t="n">
        <v>1.9</v>
      </c>
      <c r="H182" t="n">
        <v>0</v>
      </c>
      <c r="I182" t="n">
        <v>0</v>
      </c>
      <c r="J182" t="n">
        <v>0</v>
      </c>
      <c r="K182" t="n">
        <v>0</v>
      </c>
      <c r="L182" t="n">
        <v>0</v>
      </c>
      <c r="M182" t="n">
        <v>0</v>
      </c>
      <c r="N182" t="n">
        <v>0</v>
      </c>
      <c r="O182" t="n">
        <v>0</v>
      </c>
      <c r="P182" t="n">
        <v>0</v>
      </c>
      <c r="Q182" t="n">
        <v>0</v>
      </c>
      <c r="R182" s="2" t="inlineStr"/>
    </row>
    <row r="183" ht="15" customHeight="1">
      <c r="A183" t="inlineStr">
        <is>
          <t>A 11060-2020</t>
        </is>
      </c>
      <c r="B183" s="1" t="n">
        <v>43889</v>
      </c>
      <c r="C183" s="1" t="n">
        <v>45583</v>
      </c>
      <c r="D183" t="inlineStr">
        <is>
          <t>UPPSALA LÄN</t>
        </is>
      </c>
      <c r="E183" t="inlineStr">
        <is>
          <t>ENKÖPING</t>
        </is>
      </c>
      <c r="G183" t="n">
        <v>22.7</v>
      </c>
      <c r="H183" t="n">
        <v>0</v>
      </c>
      <c r="I183" t="n">
        <v>0</v>
      </c>
      <c r="J183" t="n">
        <v>0</v>
      </c>
      <c r="K183" t="n">
        <v>0</v>
      </c>
      <c r="L183" t="n">
        <v>0</v>
      </c>
      <c r="M183" t="n">
        <v>0</v>
      </c>
      <c r="N183" t="n">
        <v>0</v>
      </c>
      <c r="O183" t="n">
        <v>0</v>
      </c>
      <c r="P183" t="n">
        <v>0</v>
      </c>
      <c r="Q183" t="n">
        <v>0</v>
      </c>
      <c r="R183" s="2" t="inlineStr"/>
    </row>
    <row r="184" ht="15" customHeight="1">
      <c r="A184" t="inlineStr">
        <is>
          <t>A 11228-2020</t>
        </is>
      </c>
      <c r="B184" s="1" t="n">
        <v>43892</v>
      </c>
      <c r="C184" s="1" t="n">
        <v>45583</v>
      </c>
      <c r="D184" t="inlineStr">
        <is>
          <t>UPPSALA LÄN</t>
        </is>
      </c>
      <c r="E184" t="inlineStr">
        <is>
          <t>ENKÖPING</t>
        </is>
      </c>
      <c r="G184" t="n">
        <v>3.1</v>
      </c>
      <c r="H184" t="n">
        <v>0</v>
      </c>
      <c r="I184" t="n">
        <v>0</v>
      </c>
      <c r="J184" t="n">
        <v>0</v>
      </c>
      <c r="K184" t="n">
        <v>0</v>
      </c>
      <c r="L184" t="n">
        <v>0</v>
      </c>
      <c r="M184" t="n">
        <v>0</v>
      </c>
      <c r="N184" t="n">
        <v>0</v>
      </c>
      <c r="O184" t="n">
        <v>0</v>
      </c>
      <c r="P184" t="n">
        <v>0</v>
      </c>
      <c r="Q184" t="n">
        <v>0</v>
      </c>
      <c r="R184" s="2" t="inlineStr"/>
    </row>
    <row r="185" ht="15" customHeight="1">
      <c r="A185" t="inlineStr">
        <is>
          <t>A 12272-2020</t>
        </is>
      </c>
      <c r="B185" s="1" t="n">
        <v>43895</v>
      </c>
      <c r="C185" s="1" t="n">
        <v>45583</v>
      </c>
      <c r="D185" t="inlineStr">
        <is>
          <t>UPPSALA LÄN</t>
        </is>
      </c>
      <c r="E185" t="inlineStr">
        <is>
          <t>ENKÖPING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16320-2020</t>
        </is>
      </c>
      <c r="B186" s="1" t="n">
        <v>43917</v>
      </c>
      <c r="C186" s="1" t="n">
        <v>45583</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17888-2020</t>
        </is>
      </c>
      <c r="B187" s="1" t="n">
        <v>43924</v>
      </c>
      <c r="C187" s="1" t="n">
        <v>45583</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18101-2020</t>
        </is>
      </c>
      <c r="B188" s="1" t="n">
        <v>43927</v>
      </c>
      <c r="C188" s="1" t="n">
        <v>45583</v>
      </c>
      <c r="D188" t="inlineStr">
        <is>
          <t>UPPSALA LÄN</t>
        </is>
      </c>
      <c r="E188" t="inlineStr">
        <is>
          <t>ENKÖPING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18097-2020</t>
        </is>
      </c>
      <c r="B189" s="1" t="n">
        <v>43927</v>
      </c>
      <c r="C189" s="1" t="n">
        <v>45583</v>
      </c>
      <c r="D189" t="inlineStr">
        <is>
          <t>UPPSALA LÄN</t>
        </is>
      </c>
      <c r="E189" t="inlineStr">
        <is>
          <t>ENKÖPING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18489-2020</t>
        </is>
      </c>
      <c r="B190" s="1" t="n">
        <v>43929</v>
      </c>
      <c r="C190" s="1" t="n">
        <v>45583</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18486-2020</t>
        </is>
      </c>
      <c r="B191" s="1" t="n">
        <v>43929</v>
      </c>
      <c r="C191" s="1" t="n">
        <v>45583</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19499-2020</t>
        </is>
      </c>
      <c r="B192" s="1" t="n">
        <v>43938</v>
      </c>
      <c r="C192" s="1" t="n">
        <v>45583</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19463-2020</t>
        </is>
      </c>
      <c r="B193" s="1" t="n">
        <v>43938</v>
      </c>
      <c r="C193" s="1" t="n">
        <v>45583</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20286-2020</t>
        </is>
      </c>
      <c r="B194" s="1" t="n">
        <v>43945</v>
      </c>
      <c r="C194" s="1" t="n">
        <v>45583</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20552-2020</t>
        </is>
      </c>
      <c r="B195" s="1" t="n">
        <v>43948</v>
      </c>
      <c r="C195" s="1" t="n">
        <v>45583</v>
      </c>
      <c r="D195" t="inlineStr">
        <is>
          <t>UPPSALA LÄN</t>
        </is>
      </c>
      <c r="E195" t="inlineStr">
        <is>
          <t>ENKÖPING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21573-2020</t>
        </is>
      </c>
      <c r="B196" s="1" t="n">
        <v>43956</v>
      </c>
      <c r="C196" s="1" t="n">
        <v>45583</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21651-2020</t>
        </is>
      </c>
      <c r="B197" s="1" t="n">
        <v>43957</v>
      </c>
      <c r="C197" s="1" t="n">
        <v>45583</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21666-2020</t>
        </is>
      </c>
      <c r="B198" s="1" t="n">
        <v>43957</v>
      </c>
      <c r="C198" s="1" t="n">
        <v>45583</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21896-2020</t>
        </is>
      </c>
      <c r="B199" s="1" t="n">
        <v>43958</v>
      </c>
      <c r="C199" s="1" t="n">
        <v>45583</v>
      </c>
      <c r="D199" t="inlineStr">
        <is>
          <t>UPPSALA LÄN</t>
        </is>
      </c>
      <c r="E199" t="inlineStr">
        <is>
          <t>ENKÖPING</t>
        </is>
      </c>
      <c r="G199" t="n">
        <v>0.3</v>
      </c>
      <c r="H199" t="n">
        <v>0</v>
      </c>
      <c r="I199" t="n">
        <v>0</v>
      </c>
      <c r="J199" t="n">
        <v>0</v>
      </c>
      <c r="K199" t="n">
        <v>0</v>
      </c>
      <c r="L199" t="n">
        <v>0</v>
      </c>
      <c r="M199" t="n">
        <v>0</v>
      </c>
      <c r="N199" t="n">
        <v>0</v>
      </c>
      <c r="O199" t="n">
        <v>0</v>
      </c>
      <c r="P199" t="n">
        <v>0</v>
      </c>
      <c r="Q199" t="n">
        <v>0</v>
      </c>
      <c r="R199" s="2" t="inlineStr"/>
    </row>
    <row r="200" ht="15" customHeight="1">
      <c r="A200" t="inlineStr">
        <is>
          <t>A 22772-2020</t>
        </is>
      </c>
      <c r="B200" s="1" t="n">
        <v>43964</v>
      </c>
      <c r="C200" s="1" t="n">
        <v>45583</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22816-2020</t>
        </is>
      </c>
      <c r="B201" s="1" t="n">
        <v>43964</v>
      </c>
      <c r="C201" s="1" t="n">
        <v>45583</v>
      </c>
      <c r="D201" t="inlineStr">
        <is>
          <t>UPPSALA LÄN</t>
        </is>
      </c>
      <c r="E201" t="inlineStr">
        <is>
          <t>ENKÖPING</t>
        </is>
      </c>
      <c r="G201" t="n">
        <v>3.3</v>
      </c>
      <c r="H201" t="n">
        <v>0</v>
      </c>
      <c r="I201" t="n">
        <v>0</v>
      </c>
      <c r="J201" t="n">
        <v>0</v>
      </c>
      <c r="K201" t="n">
        <v>0</v>
      </c>
      <c r="L201" t="n">
        <v>0</v>
      </c>
      <c r="M201" t="n">
        <v>0</v>
      </c>
      <c r="N201" t="n">
        <v>0</v>
      </c>
      <c r="O201" t="n">
        <v>0</v>
      </c>
      <c r="P201" t="n">
        <v>0</v>
      </c>
      <c r="Q201" t="n">
        <v>0</v>
      </c>
      <c r="R201" s="2" t="inlineStr"/>
    </row>
    <row r="202" ht="15" customHeight="1">
      <c r="A202" t="inlineStr">
        <is>
          <t>A 22970-2020</t>
        </is>
      </c>
      <c r="B202" s="1" t="n">
        <v>43965</v>
      </c>
      <c r="C202" s="1" t="n">
        <v>45583</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23782-2020</t>
        </is>
      </c>
      <c r="B203" s="1" t="n">
        <v>43970</v>
      </c>
      <c r="C203" s="1" t="n">
        <v>45583</v>
      </c>
      <c r="D203" t="inlineStr">
        <is>
          <t>UPPSALA LÄN</t>
        </is>
      </c>
      <c r="E203" t="inlineStr">
        <is>
          <t>ENKÖPING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23809-2020</t>
        </is>
      </c>
      <c r="B204" s="1" t="n">
        <v>43970</v>
      </c>
      <c r="C204" s="1" t="n">
        <v>45583</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23808-2020</t>
        </is>
      </c>
      <c r="B205" s="1" t="n">
        <v>43970</v>
      </c>
      <c r="C205" s="1" t="n">
        <v>45583</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24476-2020</t>
        </is>
      </c>
      <c r="B206" s="1" t="n">
        <v>43977</v>
      </c>
      <c r="C206" s="1" t="n">
        <v>45583</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24496-2020</t>
        </is>
      </c>
      <c r="B207" s="1" t="n">
        <v>43977</v>
      </c>
      <c r="C207" s="1" t="n">
        <v>45583</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25081-2020</t>
        </is>
      </c>
      <c r="B208" s="1" t="n">
        <v>43979</v>
      </c>
      <c r="C208" s="1" t="n">
        <v>45583</v>
      </c>
      <c r="D208" t="inlineStr">
        <is>
          <t>UPPSALA LÄN</t>
        </is>
      </c>
      <c r="E208" t="inlineStr">
        <is>
          <t>ENKÖPING</t>
        </is>
      </c>
      <c r="G208" t="n">
        <v>5.5</v>
      </c>
      <c r="H208" t="n">
        <v>0</v>
      </c>
      <c r="I208" t="n">
        <v>0</v>
      </c>
      <c r="J208" t="n">
        <v>0</v>
      </c>
      <c r="K208" t="n">
        <v>0</v>
      </c>
      <c r="L208" t="n">
        <v>0</v>
      </c>
      <c r="M208" t="n">
        <v>0</v>
      </c>
      <c r="N208" t="n">
        <v>0</v>
      </c>
      <c r="O208" t="n">
        <v>0</v>
      </c>
      <c r="P208" t="n">
        <v>0</v>
      </c>
      <c r="Q208" t="n">
        <v>0</v>
      </c>
      <c r="R208" s="2" t="inlineStr"/>
    </row>
    <row r="209" ht="15" customHeight="1">
      <c r="A209" t="inlineStr">
        <is>
          <t>A 25895-2020</t>
        </is>
      </c>
      <c r="B209" s="1" t="n">
        <v>43984</v>
      </c>
      <c r="C209" s="1" t="n">
        <v>45583</v>
      </c>
      <c r="D209" t="inlineStr">
        <is>
          <t>UPPSALA LÄN</t>
        </is>
      </c>
      <c r="E209" t="inlineStr">
        <is>
          <t>ENKÖPING</t>
        </is>
      </c>
      <c r="G209" t="n">
        <v>1.3</v>
      </c>
      <c r="H209" t="n">
        <v>0</v>
      </c>
      <c r="I209" t="n">
        <v>0</v>
      </c>
      <c r="J209" t="n">
        <v>0</v>
      </c>
      <c r="K209" t="n">
        <v>0</v>
      </c>
      <c r="L209" t="n">
        <v>0</v>
      </c>
      <c r="M209" t="n">
        <v>0</v>
      </c>
      <c r="N209" t="n">
        <v>0</v>
      </c>
      <c r="O209" t="n">
        <v>0</v>
      </c>
      <c r="P209" t="n">
        <v>0</v>
      </c>
      <c r="Q209" t="n">
        <v>0</v>
      </c>
      <c r="R209" s="2" t="inlineStr"/>
    </row>
    <row r="210" ht="15" customHeight="1">
      <c r="A210" t="inlineStr">
        <is>
          <t>A 26032-2020</t>
        </is>
      </c>
      <c r="B210" s="1" t="n">
        <v>43985</v>
      </c>
      <c r="C210" s="1" t="n">
        <v>45583</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26151-2020</t>
        </is>
      </c>
      <c r="B211" s="1" t="n">
        <v>43985</v>
      </c>
      <c r="C211" s="1" t="n">
        <v>45583</v>
      </c>
      <c r="D211" t="inlineStr">
        <is>
          <t>UPPSALA LÄN</t>
        </is>
      </c>
      <c r="E211" t="inlineStr">
        <is>
          <t>ENKÖPING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26860-2020</t>
        </is>
      </c>
      <c r="B212" s="1" t="n">
        <v>43990</v>
      </c>
      <c r="C212" s="1" t="n">
        <v>45583</v>
      </c>
      <c r="D212" t="inlineStr">
        <is>
          <t>UPPSALA LÄN</t>
        </is>
      </c>
      <c r="E212" t="inlineStr">
        <is>
          <t>ENKÖPING</t>
        </is>
      </c>
      <c r="G212" t="n">
        <v>3.7</v>
      </c>
      <c r="H212" t="n">
        <v>0</v>
      </c>
      <c r="I212" t="n">
        <v>0</v>
      </c>
      <c r="J212" t="n">
        <v>0</v>
      </c>
      <c r="K212" t="n">
        <v>0</v>
      </c>
      <c r="L212" t="n">
        <v>0</v>
      </c>
      <c r="M212" t="n">
        <v>0</v>
      </c>
      <c r="N212" t="n">
        <v>0</v>
      </c>
      <c r="O212" t="n">
        <v>0</v>
      </c>
      <c r="P212" t="n">
        <v>0</v>
      </c>
      <c r="Q212" t="n">
        <v>0</v>
      </c>
      <c r="R212" s="2" t="inlineStr"/>
    </row>
    <row r="213" ht="15" customHeight="1">
      <c r="A213" t="inlineStr">
        <is>
          <t>A 28799-2020</t>
        </is>
      </c>
      <c r="B213" s="1" t="n">
        <v>44000</v>
      </c>
      <c r="C213" s="1" t="n">
        <v>45583</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28801-2020</t>
        </is>
      </c>
      <c r="B214" s="1" t="n">
        <v>44000</v>
      </c>
      <c r="C214" s="1" t="n">
        <v>45583</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29934-2020</t>
        </is>
      </c>
      <c r="B215" s="1" t="n">
        <v>44006</v>
      </c>
      <c r="C215" s="1" t="n">
        <v>45583</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29948-2020</t>
        </is>
      </c>
      <c r="B216" s="1" t="n">
        <v>44006</v>
      </c>
      <c r="C216" s="1" t="n">
        <v>45583</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30280-2020</t>
        </is>
      </c>
      <c r="B217" s="1" t="n">
        <v>44007</v>
      </c>
      <c r="C217" s="1" t="n">
        <v>45583</v>
      </c>
      <c r="D217" t="inlineStr">
        <is>
          <t>UPPSALA LÄN</t>
        </is>
      </c>
      <c r="E217" t="inlineStr">
        <is>
          <t>ENKÖPING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30571-2020</t>
        </is>
      </c>
      <c r="B218" s="1" t="n">
        <v>44008</v>
      </c>
      <c r="C218" s="1" t="n">
        <v>45583</v>
      </c>
      <c r="D218" t="inlineStr">
        <is>
          <t>UPPSALA LÄN</t>
        </is>
      </c>
      <c r="E218" t="inlineStr">
        <is>
          <t>ENKÖPING</t>
        </is>
      </c>
      <c r="G218" t="n">
        <v>8.9</v>
      </c>
      <c r="H218" t="n">
        <v>0</v>
      </c>
      <c r="I218" t="n">
        <v>0</v>
      </c>
      <c r="J218" t="n">
        <v>0</v>
      </c>
      <c r="K218" t="n">
        <v>0</v>
      </c>
      <c r="L218" t="n">
        <v>0</v>
      </c>
      <c r="M218" t="n">
        <v>0</v>
      </c>
      <c r="N218" t="n">
        <v>0</v>
      </c>
      <c r="O218" t="n">
        <v>0</v>
      </c>
      <c r="P218" t="n">
        <v>0</v>
      </c>
      <c r="Q218" t="n">
        <v>0</v>
      </c>
      <c r="R218" s="2" t="inlineStr"/>
    </row>
    <row r="219" ht="15" customHeight="1">
      <c r="A219" t="inlineStr">
        <is>
          <t>A 31472-2020</t>
        </is>
      </c>
      <c r="B219" s="1" t="n">
        <v>44013</v>
      </c>
      <c r="C219" s="1" t="n">
        <v>45583</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31473-2020</t>
        </is>
      </c>
      <c r="B220" s="1" t="n">
        <v>44013</v>
      </c>
      <c r="C220" s="1" t="n">
        <v>45583</v>
      </c>
      <c r="D220" t="inlineStr">
        <is>
          <t>UPPSALA LÄN</t>
        </is>
      </c>
      <c r="E220" t="inlineStr">
        <is>
          <t>ENKÖPING</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32209-2020</t>
        </is>
      </c>
      <c r="B221" s="1" t="n">
        <v>44015</v>
      </c>
      <c r="C221" s="1" t="n">
        <v>45583</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32047-2020</t>
        </is>
      </c>
      <c r="B222" s="1" t="n">
        <v>44015</v>
      </c>
      <c r="C222" s="1" t="n">
        <v>45583</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32454-2020</t>
        </is>
      </c>
      <c r="B223" s="1" t="n">
        <v>44018</v>
      </c>
      <c r="C223" s="1" t="n">
        <v>45583</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32497-2020</t>
        </is>
      </c>
      <c r="B224" s="1" t="n">
        <v>44018</v>
      </c>
      <c r="C224" s="1" t="n">
        <v>45583</v>
      </c>
      <c r="D224" t="inlineStr">
        <is>
          <t>UPPSALA LÄN</t>
        </is>
      </c>
      <c r="E224" t="inlineStr">
        <is>
          <t>ENKÖPING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33585-2020</t>
        </is>
      </c>
      <c r="B225" s="1" t="n">
        <v>44022</v>
      </c>
      <c r="C225" s="1" t="n">
        <v>45583</v>
      </c>
      <c r="D225" t="inlineStr">
        <is>
          <t>UPPSALA LÄN</t>
        </is>
      </c>
      <c r="E225" t="inlineStr">
        <is>
          <t>ENKÖPING</t>
        </is>
      </c>
      <c r="G225" t="n">
        <v>2.9</v>
      </c>
      <c r="H225" t="n">
        <v>0</v>
      </c>
      <c r="I225" t="n">
        <v>0</v>
      </c>
      <c r="J225" t="n">
        <v>0</v>
      </c>
      <c r="K225" t="n">
        <v>0</v>
      </c>
      <c r="L225" t="n">
        <v>0</v>
      </c>
      <c r="M225" t="n">
        <v>0</v>
      </c>
      <c r="N225" t="n">
        <v>0</v>
      </c>
      <c r="O225" t="n">
        <v>0</v>
      </c>
      <c r="P225" t="n">
        <v>0</v>
      </c>
      <c r="Q225" t="n">
        <v>0</v>
      </c>
      <c r="R225" s="2" t="inlineStr"/>
    </row>
    <row r="226" ht="15" customHeight="1">
      <c r="A226" t="inlineStr">
        <is>
          <t>A 37738-2020</t>
        </is>
      </c>
      <c r="B226" s="1" t="n">
        <v>44056</v>
      </c>
      <c r="C226" s="1" t="n">
        <v>45583</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39935-2020</t>
        </is>
      </c>
      <c r="B227" s="1" t="n">
        <v>44067</v>
      </c>
      <c r="C227" s="1" t="n">
        <v>45583</v>
      </c>
      <c r="D227" t="inlineStr">
        <is>
          <t>UPPSALA LÄN</t>
        </is>
      </c>
      <c r="E227" t="inlineStr">
        <is>
          <t>ENKÖPING</t>
        </is>
      </c>
      <c r="G227" t="n">
        <v>4.2</v>
      </c>
      <c r="H227" t="n">
        <v>0</v>
      </c>
      <c r="I227" t="n">
        <v>0</v>
      </c>
      <c r="J227" t="n">
        <v>0</v>
      </c>
      <c r="K227" t="n">
        <v>0</v>
      </c>
      <c r="L227" t="n">
        <v>0</v>
      </c>
      <c r="M227" t="n">
        <v>0</v>
      </c>
      <c r="N227" t="n">
        <v>0</v>
      </c>
      <c r="O227" t="n">
        <v>0</v>
      </c>
      <c r="P227" t="n">
        <v>0</v>
      </c>
      <c r="Q227" t="n">
        <v>0</v>
      </c>
      <c r="R227" s="2" t="inlineStr"/>
    </row>
    <row r="228" ht="15" customHeight="1">
      <c r="A228" t="inlineStr">
        <is>
          <t>A 45378-2020</t>
        </is>
      </c>
      <c r="B228" s="1" t="n">
        <v>44089</v>
      </c>
      <c r="C228" s="1" t="n">
        <v>45583</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46593-2020</t>
        </is>
      </c>
      <c r="B229" s="1" t="n">
        <v>44095</v>
      </c>
      <c r="C229" s="1" t="n">
        <v>45583</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48362-2020</t>
        </is>
      </c>
      <c r="B230" s="1" t="n">
        <v>44102</v>
      </c>
      <c r="C230" s="1" t="n">
        <v>45583</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48484-2020</t>
        </is>
      </c>
      <c r="B231" s="1" t="n">
        <v>44103</v>
      </c>
      <c r="C231" s="1" t="n">
        <v>45583</v>
      </c>
      <c r="D231" t="inlineStr">
        <is>
          <t>UPPSALA LÄN</t>
        </is>
      </c>
      <c r="E231" t="inlineStr">
        <is>
          <t>ENKÖPING</t>
        </is>
      </c>
      <c r="G231" t="n">
        <v>1.6</v>
      </c>
      <c r="H231" t="n">
        <v>0</v>
      </c>
      <c r="I231" t="n">
        <v>0</v>
      </c>
      <c r="J231" t="n">
        <v>0</v>
      </c>
      <c r="K231" t="n">
        <v>0</v>
      </c>
      <c r="L231" t="n">
        <v>0</v>
      </c>
      <c r="M231" t="n">
        <v>0</v>
      </c>
      <c r="N231" t="n">
        <v>0</v>
      </c>
      <c r="O231" t="n">
        <v>0</v>
      </c>
      <c r="P231" t="n">
        <v>0</v>
      </c>
      <c r="Q231" t="n">
        <v>0</v>
      </c>
      <c r="R231" s="2" t="inlineStr"/>
    </row>
    <row r="232" ht="15" customHeight="1">
      <c r="A232" t="inlineStr">
        <is>
          <t>A 51400-2020</t>
        </is>
      </c>
      <c r="B232" s="1" t="n">
        <v>44106</v>
      </c>
      <c r="C232" s="1" t="n">
        <v>45583</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51092-2020</t>
        </is>
      </c>
      <c r="B233" s="1" t="n">
        <v>44112</v>
      </c>
      <c r="C233" s="1" t="n">
        <v>45583</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51091-2020</t>
        </is>
      </c>
      <c r="B234" s="1" t="n">
        <v>44112</v>
      </c>
      <c r="C234" s="1" t="n">
        <v>45583</v>
      </c>
      <c r="D234" t="inlineStr">
        <is>
          <t>UPPSALA LÄN</t>
        </is>
      </c>
      <c r="E234" t="inlineStr">
        <is>
          <t>ENKÖPING</t>
        </is>
      </c>
      <c r="G234" t="n">
        <v>3.6</v>
      </c>
      <c r="H234" t="n">
        <v>0</v>
      </c>
      <c r="I234" t="n">
        <v>0</v>
      </c>
      <c r="J234" t="n">
        <v>0</v>
      </c>
      <c r="K234" t="n">
        <v>0</v>
      </c>
      <c r="L234" t="n">
        <v>0</v>
      </c>
      <c r="M234" t="n">
        <v>0</v>
      </c>
      <c r="N234" t="n">
        <v>0</v>
      </c>
      <c r="O234" t="n">
        <v>0</v>
      </c>
      <c r="P234" t="n">
        <v>0</v>
      </c>
      <c r="Q234" t="n">
        <v>0</v>
      </c>
      <c r="R234" s="2" t="inlineStr"/>
    </row>
    <row r="235" ht="15" customHeight="1">
      <c r="A235" t="inlineStr">
        <is>
          <t>A 52308-2020</t>
        </is>
      </c>
      <c r="B235" s="1" t="n">
        <v>44117</v>
      </c>
      <c r="C235" s="1" t="n">
        <v>45583</v>
      </c>
      <c r="D235" t="inlineStr">
        <is>
          <t>UPPSALA LÄN</t>
        </is>
      </c>
      <c r="E235" t="inlineStr">
        <is>
          <t>ENKÖPING</t>
        </is>
      </c>
      <c r="G235" t="n">
        <v>0.3</v>
      </c>
      <c r="H235" t="n">
        <v>0</v>
      </c>
      <c r="I235" t="n">
        <v>0</v>
      </c>
      <c r="J235" t="n">
        <v>0</v>
      </c>
      <c r="K235" t="n">
        <v>0</v>
      </c>
      <c r="L235" t="n">
        <v>0</v>
      </c>
      <c r="M235" t="n">
        <v>0</v>
      </c>
      <c r="N235" t="n">
        <v>0</v>
      </c>
      <c r="O235" t="n">
        <v>0</v>
      </c>
      <c r="P235" t="n">
        <v>0</v>
      </c>
      <c r="Q235" t="n">
        <v>0</v>
      </c>
      <c r="R235" s="2" t="inlineStr"/>
    </row>
    <row r="236" ht="15" customHeight="1">
      <c r="A236" t="inlineStr">
        <is>
          <t>A 52102-2020</t>
        </is>
      </c>
      <c r="B236" s="1" t="n">
        <v>44117</v>
      </c>
      <c r="C236" s="1" t="n">
        <v>45583</v>
      </c>
      <c r="D236" t="inlineStr">
        <is>
          <t>UPPSALA LÄN</t>
        </is>
      </c>
      <c r="E236" t="inlineStr">
        <is>
          <t>ENKÖPING</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52169-2020</t>
        </is>
      </c>
      <c r="B237" s="1" t="n">
        <v>44117</v>
      </c>
      <c r="C237" s="1" t="n">
        <v>45583</v>
      </c>
      <c r="D237" t="inlineStr">
        <is>
          <t>UPPSALA LÄN</t>
        </is>
      </c>
      <c r="E237" t="inlineStr">
        <is>
          <t>ENKÖPING</t>
        </is>
      </c>
      <c r="F237" t="inlineStr">
        <is>
          <t>Allmännings- och besparingsskogar</t>
        </is>
      </c>
      <c r="G237" t="n">
        <v>1.5</v>
      </c>
      <c r="H237" t="n">
        <v>0</v>
      </c>
      <c r="I237" t="n">
        <v>0</v>
      </c>
      <c r="J237" t="n">
        <v>0</v>
      </c>
      <c r="K237" t="n">
        <v>0</v>
      </c>
      <c r="L237" t="n">
        <v>0</v>
      </c>
      <c r="M237" t="n">
        <v>0</v>
      </c>
      <c r="N237" t="n">
        <v>0</v>
      </c>
      <c r="O237" t="n">
        <v>0</v>
      </c>
      <c r="P237" t="n">
        <v>0</v>
      </c>
      <c r="Q237" t="n">
        <v>0</v>
      </c>
      <c r="R237" s="2" t="inlineStr"/>
    </row>
    <row r="238" ht="15" customHeight="1">
      <c r="A238" t="inlineStr">
        <is>
          <t>A 52223-2020</t>
        </is>
      </c>
      <c r="B238" s="1" t="n">
        <v>44117</v>
      </c>
      <c r="C238" s="1" t="n">
        <v>45583</v>
      </c>
      <c r="D238" t="inlineStr">
        <is>
          <t>UPPSALA LÄN</t>
        </is>
      </c>
      <c r="E238" t="inlineStr">
        <is>
          <t>ENKÖPING</t>
        </is>
      </c>
      <c r="G238" t="n">
        <v>5.8</v>
      </c>
      <c r="H238" t="n">
        <v>0</v>
      </c>
      <c r="I238" t="n">
        <v>0</v>
      </c>
      <c r="J238" t="n">
        <v>0</v>
      </c>
      <c r="K238" t="n">
        <v>0</v>
      </c>
      <c r="L238" t="n">
        <v>0</v>
      </c>
      <c r="M238" t="n">
        <v>0</v>
      </c>
      <c r="N238" t="n">
        <v>0</v>
      </c>
      <c r="O238" t="n">
        <v>0</v>
      </c>
      <c r="P238" t="n">
        <v>0</v>
      </c>
      <c r="Q238" t="n">
        <v>0</v>
      </c>
      <c r="R238" s="2" t="inlineStr"/>
    </row>
    <row r="239" ht="15" customHeight="1">
      <c r="A239" t="inlineStr">
        <is>
          <t>A 52464-2020</t>
        </is>
      </c>
      <c r="B239" s="1" t="n">
        <v>44118</v>
      </c>
      <c r="C239" s="1" t="n">
        <v>45583</v>
      </c>
      <c r="D239" t="inlineStr">
        <is>
          <t>UPPSALA LÄN</t>
        </is>
      </c>
      <c r="E239" t="inlineStr">
        <is>
          <t>ENKÖPING</t>
        </is>
      </c>
      <c r="G239" t="n">
        <v>4.6</v>
      </c>
      <c r="H239" t="n">
        <v>0</v>
      </c>
      <c r="I239" t="n">
        <v>0</v>
      </c>
      <c r="J239" t="n">
        <v>0</v>
      </c>
      <c r="K239" t="n">
        <v>0</v>
      </c>
      <c r="L239" t="n">
        <v>0</v>
      </c>
      <c r="M239" t="n">
        <v>0</v>
      </c>
      <c r="N239" t="n">
        <v>0</v>
      </c>
      <c r="O239" t="n">
        <v>0</v>
      </c>
      <c r="P239" t="n">
        <v>0</v>
      </c>
      <c r="Q239" t="n">
        <v>0</v>
      </c>
      <c r="R239" s="2" t="inlineStr"/>
    </row>
    <row r="240" ht="15" customHeight="1">
      <c r="A240" t="inlineStr">
        <is>
          <t>A 53149-2020</t>
        </is>
      </c>
      <c r="B240" s="1" t="n">
        <v>44120</v>
      </c>
      <c r="C240" s="1" t="n">
        <v>45583</v>
      </c>
      <c r="D240" t="inlineStr">
        <is>
          <t>UPPSALA LÄN</t>
        </is>
      </c>
      <c r="E240" t="inlineStr">
        <is>
          <t>ENKÖPING</t>
        </is>
      </c>
      <c r="G240" t="n">
        <v>1.3</v>
      </c>
      <c r="H240" t="n">
        <v>0</v>
      </c>
      <c r="I240" t="n">
        <v>0</v>
      </c>
      <c r="J240" t="n">
        <v>0</v>
      </c>
      <c r="K240" t="n">
        <v>0</v>
      </c>
      <c r="L240" t="n">
        <v>0</v>
      </c>
      <c r="M240" t="n">
        <v>0</v>
      </c>
      <c r="N240" t="n">
        <v>0</v>
      </c>
      <c r="O240" t="n">
        <v>0</v>
      </c>
      <c r="P240" t="n">
        <v>0</v>
      </c>
      <c r="Q240" t="n">
        <v>0</v>
      </c>
      <c r="R240" s="2" t="inlineStr"/>
    </row>
    <row r="241" ht="15" customHeight="1">
      <c r="A241" t="inlineStr">
        <is>
          <t>A 53338-2020</t>
        </is>
      </c>
      <c r="B241" s="1" t="n">
        <v>44123</v>
      </c>
      <c r="C241" s="1" t="n">
        <v>45583</v>
      </c>
      <c r="D241" t="inlineStr">
        <is>
          <t>UPPSALA LÄN</t>
        </is>
      </c>
      <c r="E241" t="inlineStr">
        <is>
          <t>ENKÖPING</t>
        </is>
      </c>
      <c r="G241" t="n">
        <v>12.1</v>
      </c>
      <c r="H241" t="n">
        <v>0</v>
      </c>
      <c r="I241" t="n">
        <v>0</v>
      </c>
      <c r="J241" t="n">
        <v>0</v>
      </c>
      <c r="K241" t="n">
        <v>0</v>
      </c>
      <c r="L241" t="n">
        <v>0</v>
      </c>
      <c r="M241" t="n">
        <v>0</v>
      </c>
      <c r="N241" t="n">
        <v>0</v>
      </c>
      <c r="O241" t="n">
        <v>0</v>
      </c>
      <c r="P241" t="n">
        <v>0</v>
      </c>
      <c r="Q241" t="n">
        <v>0</v>
      </c>
      <c r="R241" s="2" t="inlineStr"/>
    </row>
    <row r="242" ht="15" customHeight="1">
      <c r="A242" t="inlineStr">
        <is>
          <t>A 53352-2020</t>
        </is>
      </c>
      <c r="B242" s="1" t="n">
        <v>44123</v>
      </c>
      <c r="C242" s="1" t="n">
        <v>45583</v>
      </c>
      <c r="D242" t="inlineStr">
        <is>
          <t>UPPSALA LÄN</t>
        </is>
      </c>
      <c r="E242" t="inlineStr">
        <is>
          <t>ENKÖPING</t>
        </is>
      </c>
      <c r="G242" t="n">
        <v>2.9</v>
      </c>
      <c r="H242" t="n">
        <v>0</v>
      </c>
      <c r="I242" t="n">
        <v>0</v>
      </c>
      <c r="J242" t="n">
        <v>0</v>
      </c>
      <c r="K242" t="n">
        <v>0</v>
      </c>
      <c r="L242" t="n">
        <v>0</v>
      </c>
      <c r="M242" t="n">
        <v>0</v>
      </c>
      <c r="N242" t="n">
        <v>0</v>
      </c>
      <c r="O242" t="n">
        <v>0</v>
      </c>
      <c r="P242" t="n">
        <v>0</v>
      </c>
      <c r="Q242" t="n">
        <v>0</v>
      </c>
      <c r="R242" s="2" t="inlineStr"/>
    </row>
    <row r="243" ht="15" customHeight="1">
      <c r="A243" t="inlineStr">
        <is>
          <t>A 53343-2020</t>
        </is>
      </c>
      <c r="B243" s="1" t="n">
        <v>44123</v>
      </c>
      <c r="C243" s="1" t="n">
        <v>45583</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53337-2020</t>
        </is>
      </c>
      <c r="B244" s="1" t="n">
        <v>44123</v>
      </c>
      <c r="C244" s="1" t="n">
        <v>45583</v>
      </c>
      <c r="D244" t="inlineStr">
        <is>
          <t>UPPSALA LÄN</t>
        </is>
      </c>
      <c r="E244" t="inlineStr">
        <is>
          <t>ENKÖPING</t>
        </is>
      </c>
      <c r="G244" t="n">
        <v>6.4</v>
      </c>
      <c r="H244" t="n">
        <v>0</v>
      </c>
      <c r="I244" t="n">
        <v>0</v>
      </c>
      <c r="J244" t="n">
        <v>0</v>
      </c>
      <c r="K244" t="n">
        <v>0</v>
      </c>
      <c r="L244" t="n">
        <v>0</v>
      </c>
      <c r="M244" t="n">
        <v>0</v>
      </c>
      <c r="N244" t="n">
        <v>0</v>
      </c>
      <c r="O244" t="n">
        <v>0</v>
      </c>
      <c r="P244" t="n">
        <v>0</v>
      </c>
      <c r="Q244" t="n">
        <v>0</v>
      </c>
      <c r="R244" s="2" t="inlineStr"/>
    </row>
    <row r="245" ht="15" customHeight="1">
      <c r="A245" t="inlineStr">
        <is>
          <t>A 53344-2020</t>
        </is>
      </c>
      <c r="B245" s="1" t="n">
        <v>44123</v>
      </c>
      <c r="C245" s="1" t="n">
        <v>45583</v>
      </c>
      <c r="D245" t="inlineStr">
        <is>
          <t>UPPSALA LÄN</t>
        </is>
      </c>
      <c r="E245" t="inlineStr">
        <is>
          <t>ENKÖPING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55051-2020</t>
        </is>
      </c>
      <c r="B246" s="1" t="n">
        <v>44130</v>
      </c>
      <c r="C246" s="1" t="n">
        <v>45583</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56919-2020</t>
        </is>
      </c>
      <c r="B247" s="1" t="n">
        <v>44138</v>
      </c>
      <c r="C247" s="1" t="n">
        <v>45583</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57802-2020</t>
        </is>
      </c>
      <c r="B248" s="1" t="n">
        <v>44141</v>
      </c>
      <c r="C248" s="1" t="n">
        <v>45583</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58062-2020</t>
        </is>
      </c>
      <c r="B249" s="1" t="n">
        <v>44144</v>
      </c>
      <c r="C249" s="1" t="n">
        <v>45583</v>
      </c>
      <c r="D249" t="inlineStr">
        <is>
          <t>UPPSALA LÄN</t>
        </is>
      </c>
      <c r="E249" t="inlineStr">
        <is>
          <t>ENKÖPING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58896-2020</t>
        </is>
      </c>
      <c r="B250" s="1" t="n">
        <v>44146</v>
      </c>
      <c r="C250" s="1" t="n">
        <v>45583</v>
      </c>
      <c r="D250" t="inlineStr">
        <is>
          <t>UPPSALA LÄN</t>
        </is>
      </c>
      <c r="E250" t="inlineStr">
        <is>
          <t>ENKÖPING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58798-2020</t>
        </is>
      </c>
      <c r="B251" s="1" t="n">
        <v>44146</v>
      </c>
      <c r="C251" s="1" t="n">
        <v>45583</v>
      </c>
      <c r="D251" t="inlineStr">
        <is>
          <t>UPPSALA LÄN</t>
        </is>
      </c>
      <c r="E251" t="inlineStr">
        <is>
          <t>ENKÖPING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59132-2020</t>
        </is>
      </c>
      <c r="B252" s="1" t="n">
        <v>44147</v>
      </c>
      <c r="C252" s="1" t="n">
        <v>45583</v>
      </c>
      <c r="D252" t="inlineStr">
        <is>
          <t>UPPSALA LÄN</t>
        </is>
      </c>
      <c r="E252" t="inlineStr">
        <is>
          <t>ENKÖPING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59441-2020</t>
        </is>
      </c>
      <c r="B253" s="1" t="n">
        <v>44148</v>
      </c>
      <c r="C253" s="1" t="n">
        <v>45583</v>
      </c>
      <c r="D253" t="inlineStr">
        <is>
          <t>UPPSALA LÄN</t>
        </is>
      </c>
      <c r="E253" t="inlineStr">
        <is>
          <t>ENKÖPING</t>
        </is>
      </c>
      <c r="G253" t="n">
        <v>4.8</v>
      </c>
      <c r="H253" t="n">
        <v>0</v>
      </c>
      <c r="I253" t="n">
        <v>0</v>
      </c>
      <c r="J253" t="n">
        <v>0</v>
      </c>
      <c r="K253" t="n">
        <v>0</v>
      </c>
      <c r="L253" t="n">
        <v>0</v>
      </c>
      <c r="M253" t="n">
        <v>0</v>
      </c>
      <c r="N253" t="n">
        <v>0</v>
      </c>
      <c r="O253" t="n">
        <v>0</v>
      </c>
      <c r="P253" t="n">
        <v>0</v>
      </c>
      <c r="Q253" t="n">
        <v>0</v>
      </c>
      <c r="R253" s="2" t="inlineStr"/>
    </row>
    <row r="254" ht="15" customHeight="1">
      <c r="A254" t="inlineStr">
        <is>
          <t>A 59428-2020</t>
        </is>
      </c>
      <c r="B254" s="1" t="n">
        <v>44148</v>
      </c>
      <c r="C254" s="1" t="n">
        <v>45583</v>
      </c>
      <c r="D254" t="inlineStr">
        <is>
          <t>UPPSALA LÄN</t>
        </is>
      </c>
      <c r="E254" t="inlineStr">
        <is>
          <t>ENKÖPING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60138-2020</t>
        </is>
      </c>
      <c r="B255" s="1" t="n">
        <v>44151</v>
      </c>
      <c r="C255" s="1" t="n">
        <v>45583</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61711-2020</t>
        </is>
      </c>
      <c r="B256" s="1" t="n">
        <v>44158</v>
      </c>
      <c r="C256" s="1" t="n">
        <v>45583</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63715-2020</t>
        </is>
      </c>
      <c r="B257" s="1" t="n">
        <v>44166</v>
      </c>
      <c r="C257" s="1" t="n">
        <v>45583</v>
      </c>
      <c r="D257" t="inlineStr">
        <is>
          <t>UPPSALA LÄN</t>
        </is>
      </c>
      <c r="E257" t="inlineStr">
        <is>
          <t>ENKÖPING</t>
        </is>
      </c>
      <c r="F257" t="inlineStr">
        <is>
          <t>Övriga statliga verk och myndigheter</t>
        </is>
      </c>
      <c r="G257" t="n">
        <v>5.9</v>
      </c>
      <c r="H257" t="n">
        <v>0</v>
      </c>
      <c r="I257" t="n">
        <v>0</v>
      </c>
      <c r="J257" t="n">
        <v>0</v>
      </c>
      <c r="K257" t="n">
        <v>0</v>
      </c>
      <c r="L257" t="n">
        <v>0</v>
      </c>
      <c r="M257" t="n">
        <v>0</v>
      </c>
      <c r="N257" t="n">
        <v>0</v>
      </c>
      <c r="O257" t="n">
        <v>0</v>
      </c>
      <c r="P257" t="n">
        <v>0</v>
      </c>
      <c r="Q257" t="n">
        <v>0</v>
      </c>
      <c r="R257" s="2" t="inlineStr"/>
    </row>
    <row r="258" ht="15" customHeight="1">
      <c r="A258" t="inlineStr">
        <is>
          <t>A 66517-2020</t>
        </is>
      </c>
      <c r="B258" s="1" t="n">
        <v>44178</v>
      </c>
      <c r="C258" s="1" t="n">
        <v>45583</v>
      </c>
      <c r="D258" t="inlineStr">
        <is>
          <t>UPPSALA LÄN</t>
        </is>
      </c>
      <c r="E258" t="inlineStr">
        <is>
          <t>ENKÖPING</t>
        </is>
      </c>
      <c r="G258" t="n">
        <v>4</v>
      </c>
      <c r="H258" t="n">
        <v>0</v>
      </c>
      <c r="I258" t="n">
        <v>0</v>
      </c>
      <c r="J258" t="n">
        <v>0</v>
      </c>
      <c r="K258" t="n">
        <v>0</v>
      </c>
      <c r="L258" t="n">
        <v>0</v>
      </c>
      <c r="M258" t="n">
        <v>0</v>
      </c>
      <c r="N258" t="n">
        <v>0</v>
      </c>
      <c r="O258" t="n">
        <v>0</v>
      </c>
      <c r="P258" t="n">
        <v>0</v>
      </c>
      <c r="Q258" t="n">
        <v>0</v>
      </c>
      <c r="R258" s="2" t="inlineStr"/>
    </row>
    <row r="259" ht="15" customHeight="1">
      <c r="A259" t="inlineStr">
        <is>
          <t>A 67765-2020</t>
        </is>
      </c>
      <c r="B259" s="1" t="n">
        <v>44182</v>
      </c>
      <c r="C259" s="1" t="n">
        <v>45583</v>
      </c>
      <c r="D259" t="inlineStr">
        <is>
          <t>UPPSALA LÄN</t>
        </is>
      </c>
      <c r="E259" t="inlineStr">
        <is>
          <t>ENKÖPING</t>
        </is>
      </c>
      <c r="G259" t="n">
        <v>3.6</v>
      </c>
      <c r="H259" t="n">
        <v>0</v>
      </c>
      <c r="I259" t="n">
        <v>0</v>
      </c>
      <c r="J259" t="n">
        <v>0</v>
      </c>
      <c r="K259" t="n">
        <v>0</v>
      </c>
      <c r="L259" t="n">
        <v>0</v>
      </c>
      <c r="M259" t="n">
        <v>0</v>
      </c>
      <c r="N259" t="n">
        <v>0</v>
      </c>
      <c r="O259" t="n">
        <v>0</v>
      </c>
      <c r="P259" t="n">
        <v>0</v>
      </c>
      <c r="Q259" t="n">
        <v>0</v>
      </c>
      <c r="R259" s="2" t="inlineStr"/>
    </row>
    <row r="260" ht="15" customHeight="1">
      <c r="A260" t="inlineStr">
        <is>
          <t>A 67713-2020</t>
        </is>
      </c>
      <c r="B260" s="1" t="n">
        <v>44182</v>
      </c>
      <c r="C260" s="1" t="n">
        <v>45583</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69567-2020</t>
        </is>
      </c>
      <c r="B261" s="1" t="n">
        <v>44194</v>
      </c>
      <c r="C261" s="1" t="n">
        <v>45583</v>
      </c>
      <c r="D261" t="inlineStr">
        <is>
          <t>UPPSALA LÄN</t>
        </is>
      </c>
      <c r="E261" t="inlineStr">
        <is>
          <t>ENKÖPING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3903-2021</t>
        </is>
      </c>
      <c r="B262" s="1" t="n">
        <v>44217</v>
      </c>
      <c r="C262" s="1" t="n">
        <v>45583</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4203-2021</t>
        </is>
      </c>
      <c r="B263" s="1" t="n">
        <v>44223</v>
      </c>
      <c r="C263" s="1" t="n">
        <v>45583</v>
      </c>
      <c r="D263" t="inlineStr">
        <is>
          <t>UPPSALA LÄN</t>
        </is>
      </c>
      <c r="E263" t="inlineStr">
        <is>
          <t>ENKÖPING</t>
        </is>
      </c>
      <c r="G263" t="n">
        <v>11.6</v>
      </c>
      <c r="H263" t="n">
        <v>0</v>
      </c>
      <c r="I263" t="n">
        <v>0</v>
      </c>
      <c r="J263" t="n">
        <v>0</v>
      </c>
      <c r="K263" t="n">
        <v>0</v>
      </c>
      <c r="L263" t="n">
        <v>0</v>
      </c>
      <c r="M263" t="n">
        <v>0</v>
      </c>
      <c r="N263" t="n">
        <v>0</v>
      </c>
      <c r="O263" t="n">
        <v>0</v>
      </c>
      <c r="P263" t="n">
        <v>0</v>
      </c>
      <c r="Q263" t="n">
        <v>0</v>
      </c>
      <c r="R263" s="2" t="inlineStr"/>
    </row>
    <row r="264" ht="15" customHeight="1">
      <c r="A264" t="inlineStr">
        <is>
          <t>A 4775-2021</t>
        </is>
      </c>
      <c r="B264" s="1" t="n">
        <v>44225</v>
      </c>
      <c r="C264" s="1" t="n">
        <v>45583</v>
      </c>
      <c r="D264" t="inlineStr">
        <is>
          <t>UPPSALA LÄN</t>
        </is>
      </c>
      <c r="E264" t="inlineStr">
        <is>
          <t>ENKÖPING</t>
        </is>
      </c>
      <c r="F264" t="inlineStr">
        <is>
          <t>Allmännings- och besparingsskogar</t>
        </is>
      </c>
      <c r="G264" t="n">
        <v>3.5</v>
      </c>
      <c r="H264" t="n">
        <v>0</v>
      </c>
      <c r="I264" t="n">
        <v>0</v>
      </c>
      <c r="J264" t="n">
        <v>0</v>
      </c>
      <c r="K264" t="n">
        <v>0</v>
      </c>
      <c r="L264" t="n">
        <v>0</v>
      </c>
      <c r="M264" t="n">
        <v>0</v>
      </c>
      <c r="N264" t="n">
        <v>0</v>
      </c>
      <c r="O264" t="n">
        <v>0</v>
      </c>
      <c r="P264" t="n">
        <v>0</v>
      </c>
      <c r="Q264" t="n">
        <v>0</v>
      </c>
      <c r="R264" s="2" t="inlineStr"/>
    </row>
    <row r="265" ht="15" customHeight="1">
      <c r="A265" t="inlineStr">
        <is>
          <t>A 6157-2021</t>
        </is>
      </c>
      <c r="B265" s="1" t="n">
        <v>44232</v>
      </c>
      <c r="C265" s="1" t="n">
        <v>45583</v>
      </c>
      <c r="D265" t="inlineStr">
        <is>
          <t>UPPSALA LÄN</t>
        </is>
      </c>
      <c r="E265" t="inlineStr">
        <is>
          <t>ENKÖPING</t>
        </is>
      </c>
      <c r="G265" t="n">
        <v>3.9</v>
      </c>
      <c r="H265" t="n">
        <v>0</v>
      </c>
      <c r="I265" t="n">
        <v>0</v>
      </c>
      <c r="J265" t="n">
        <v>0</v>
      </c>
      <c r="K265" t="n">
        <v>0</v>
      </c>
      <c r="L265" t="n">
        <v>0</v>
      </c>
      <c r="M265" t="n">
        <v>0</v>
      </c>
      <c r="N265" t="n">
        <v>0</v>
      </c>
      <c r="O265" t="n">
        <v>0</v>
      </c>
      <c r="P265" t="n">
        <v>0</v>
      </c>
      <c r="Q265" t="n">
        <v>0</v>
      </c>
      <c r="R265" s="2" t="inlineStr"/>
    </row>
    <row r="266" ht="15" customHeight="1">
      <c r="A266" t="inlineStr">
        <is>
          <t>A 6147-2021</t>
        </is>
      </c>
      <c r="B266" s="1" t="n">
        <v>44232</v>
      </c>
      <c r="C266" s="1" t="n">
        <v>45583</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6298-2021</t>
        </is>
      </c>
      <c r="B267" s="1" t="n">
        <v>44235</v>
      </c>
      <c r="C267" s="1" t="n">
        <v>45583</v>
      </c>
      <c r="D267" t="inlineStr">
        <is>
          <t>UPPSALA LÄN</t>
        </is>
      </c>
      <c r="E267" t="inlineStr">
        <is>
          <t>ENKÖPING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8306-2021</t>
        </is>
      </c>
      <c r="B268" s="1" t="n">
        <v>44244</v>
      </c>
      <c r="C268" s="1" t="n">
        <v>45583</v>
      </c>
      <c r="D268" t="inlineStr">
        <is>
          <t>UPPSALA LÄN</t>
        </is>
      </c>
      <c r="E268" t="inlineStr">
        <is>
          <t>ENKÖPING</t>
        </is>
      </c>
      <c r="G268" t="n">
        <v>14.9</v>
      </c>
      <c r="H268" t="n">
        <v>0</v>
      </c>
      <c r="I268" t="n">
        <v>0</v>
      </c>
      <c r="J268" t="n">
        <v>0</v>
      </c>
      <c r="K268" t="n">
        <v>0</v>
      </c>
      <c r="L268" t="n">
        <v>0</v>
      </c>
      <c r="M268" t="n">
        <v>0</v>
      </c>
      <c r="N268" t="n">
        <v>0</v>
      </c>
      <c r="O268" t="n">
        <v>0</v>
      </c>
      <c r="P268" t="n">
        <v>0</v>
      </c>
      <c r="Q268" t="n">
        <v>0</v>
      </c>
      <c r="R268" s="2" t="inlineStr"/>
    </row>
    <row r="269" ht="15" customHeight="1">
      <c r="A269" t="inlineStr">
        <is>
          <t>A 10989-2021</t>
        </is>
      </c>
      <c r="B269" s="1" t="n">
        <v>44260</v>
      </c>
      <c r="C269" s="1" t="n">
        <v>45583</v>
      </c>
      <c r="D269" t="inlineStr">
        <is>
          <t>UPPSALA LÄN</t>
        </is>
      </c>
      <c r="E269" t="inlineStr">
        <is>
          <t>ENKÖPING</t>
        </is>
      </c>
      <c r="G269" t="n">
        <v>3.5</v>
      </c>
      <c r="H269" t="n">
        <v>0</v>
      </c>
      <c r="I269" t="n">
        <v>0</v>
      </c>
      <c r="J269" t="n">
        <v>0</v>
      </c>
      <c r="K269" t="n">
        <v>0</v>
      </c>
      <c r="L269" t="n">
        <v>0</v>
      </c>
      <c r="M269" t="n">
        <v>0</v>
      </c>
      <c r="N269" t="n">
        <v>0</v>
      </c>
      <c r="O269" t="n">
        <v>0</v>
      </c>
      <c r="P269" t="n">
        <v>0</v>
      </c>
      <c r="Q269" t="n">
        <v>0</v>
      </c>
      <c r="R269" s="2" t="inlineStr"/>
    </row>
    <row r="270" ht="15" customHeight="1">
      <c r="A270" t="inlineStr">
        <is>
          <t>A 11688-2021</t>
        </is>
      </c>
      <c r="B270" s="1" t="n">
        <v>44264</v>
      </c>
      <c r="C270" s="1" t="n">
        <v>45583</v>
      </c>
      <c r="D270" t="inlineStr">
        <is>
          <t>UPPSALA LÄN</t>
        </is>
      </c>
      <c r="E270" t="inlineStr">
        <is>
          <t>ENKÖPING</t>
        </is>
      </c>
      <c r="G270" t="n">
        <v>4.7</v>
      </c>
      <c r="H270" t="n">
        <v>0</v>
      </c>
      <c r="I270" t="n">
        <v>0</v>
      </c>
      <c r="J270" t="n">
        <v>0</v>
      </c>
      <c r="K270" t="n">
        <v>0</v>
      </c>
      <c r="L270" t="n">
        <v>0</v>
      </c>
      <c r="M270" t="n">
        <v>0</v>
      </c>
      <c r="N270" t="n">
        <v>0</v>
      </c>
      <c r="O270" t="n">
        <v>0</v>
      </c>
      <c r="P270" t="n">
        <v>0</v>
      </c>
      <c r="Q270" t="n">
        <v>0</v>
      </c>
      <c r="R270" s="2" t="inlineStr"/>
    </row>
    <row r="271" ht="15" customHeight="1">
      <c r="A271" t="inlineStr">
        <is>
          <t>A 12434-2021</t>
        </is>
      </c>
      <c r="B271" s="1" t="n">
        <v>44267</v>
      </c>
      <c r="C271" s="1" t="n">
        <v>45583</v>
      </c>
      <c r="D271" t="inlineStr">
        <is>
          <t>UPPSALA LÄN</t>
        </is>
      </c>
      <c r="E271" t="inlineStr">
        <is>
          <t>ENKÖPING</t>
        </is>
      </c>
      <c r="G271" t="n">
        <v>5.3</v>
      </c>
      <c r="H271" t="n">
        <v>0</v>
      </c>
      <c r="I271" t="n">
        <v>0</v>
      </c>
      <c r="J271" t="n">
        <v>0</v>
      </c>
      <c r="K271" t="n">
        <v>0</v>
      </c>
      <c r="L271" t="n">
        <v>0</v>
      </c>
      <c r="M271" t="n">
        <v>0</v>
      </c>
      <c r="N271" t="n">
        <v>0</v>
      </c>
      <c r="O271" t="n">
        <v>0</v>
      </c>
      <c r="P271" t="n">
        <v>0</v>
      </c>
      <c r="Q271" t="n">
        <v>0</v>
      </c>
      <c r="R271" s="2" t="inlineStr"/>
    </row>
    <row r="272" ht="15" customHeight="1">
      <c r="A272" t="inlineStr">
        <is>
          <t>A 12538-2021</t>
        </is>
      </c>
      <c r="B272" s="1" t="n">
        <v>44269</v>
      </c>
      <c r="C272" s="1" t="n">
        <v>45583</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12572-2021</t>
        </is>
      </c>
      <c r="B273" s="1" t="n">
        <v>44270</v>
      </c>
      <c r="C273" s="1" t="n">
        <v>45583</v>
      </c>
      <c r="D273" t="inlineStr">
        <is>
          <t>UPPSALA LÄN</t>
        </is>
      </c>
      <c r="E273" t="inlineStr">
        <is>
          <t>ENKÖPING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12729-2021</t>
        </is>
      </c>
      <c r="B274" s="1" t="n">
        <v>44270</v>
      </c>
      <c r="C274" s="1" t="n">
        <v>45583</v>
      </c>
      <c r="D274" t="inlineStr">
        <is>
          <t>UPPSALA LÄN</t>
        </is>
      </c>
      <c r="E274" t="inlineStr">
        <is>
          <t>ENKÖPING</t>
        </is>
      </c>
      <c r="G274" t="n">
        <v>3</v>
      </c>
      <c r="H274" t="n">
        <v>0</v>
      </c>
      <c r="I274" t="n">
        <v>0</v>
      </c>
      <c r="J274" t="n">
        <v>0</v>
      </c>
      <c r="K274" t="n">
        <v>0</v>
      </c>
      <c r="L274" t="n">
        <v>0</v>
      </c>
      <c r="M274" t="n">
        <v>0</v>
      </c>
      <c r="N274" t="n">
        <v>0</v>
      </c>
      <c r="O274" t="n">
        <v>0</v>
      </c>
      <c r="P274" t="n">
        <v>0</v>
      </c>
      <c r="Q274" t="n">
        <v>0</v>
      </c>
      <c r="R274" s="2" t="inlineStr"/>
    </row>
    <row r="275" ht="15" customHeight="1">
      <c r="A275" t="inlineStr">
        <is>
          <t>A 12727-2021</t>
        </is>
      </c>
      <c r="B275" s="1" t="n">
        <v>44270</v>
      </c>
      <c r="C275" s="1" t="n">
        <v>45583</v>
      </c>
      <c r="D275" t="inlineStr">
        <is>
          <t>UPPSALA LÄN</t>
        </is>
      </c>
      <c r="E275" t="inlineStr">
        <is>
          <t>ENKÖPING</t>
        </is>
      </c>
      <c r="G275" t="n">
        <v>3.6</v>
      </c>
      <c r="H275" t="n">
        <v>0</v>
      </c>
      <c r="I275" t="n">
        <v>0</v>
      </c>
      <c r="J275" t="n">
        <v>0</v>
      </c>
      <c r="K275" t="n">
        <v>0</v>
      </c>
      <c r="L275" t="n">
        <v>0</v>
      </c>
      <c r="M275" t="n">
        <v>0</v>
      </c>
      <c r="N275" t="n">
        <v>0</v>
      </c>
      <c r="O275" t="n">
        <v>0</v>
      </c>
      <c r="P275" t="n">
        <v>0</v>
      </c>
      <c r="Q275" t="n">
        <v>0</v>
      </c>
      <c r="R275" s="2" t="inlineStr"/>
    </row>
    <row r="276" ht="15" customHeight="1">
      <c r="A276" t="inlineStr">
        <is>
          <t>A 12732-2021</t>
        </is>
      </c>
      <c r="B276" s="1" t="n">
        <v>44270</v>
      </c>
      <c r="C276" s="1" t="n">
        <v>45583</v>
      </c>
      <c r="D276" t="inlineStr">
        <is>
          <t>UPPSALA LÄN</t>
        </is>
      </c>
      <c r="E276" t="inlineStr">
        <is>
          <t>ENKÖPING</t>
        </is>
      </c>
      <c r="G276" t="n">
        <v>1.1</v>
      </c>
      <c r="H276" t="n">
        <v>0</v>
      </c>
      <c r="I276" t="n">
        <v>0</v>
      </c>
      <c r="J276" t="n">
        <v>0</v>
      </c>
      <c r="K276" t="n">
        <v>0</v>
      </c>
      <c r="L276" t="n">
        <v>0</v>
      </c>
      <c r="M276" t="n">
        <v>0</v>
      </c>
      <c r="N276" t="n">
        <v>0</v>
      </c>
      <c r="O276" t="n">
        <v>0</v>
      </c>
      <c r="P276" t="n">
        <v>0</v>
      </c>
      <c r="Q276" t="n">
        <v>0</v>
      </c>
      <c r="R276" s="2" t="inlineStr"/>
    </row>
    <row r="277" ht="15" customHeight="1">
      <c r="A277" t="inlineStr">
        <is>
          <t>A 13201-2021</t>
        </is>
      </c>
      <c r="B277" s="1" t="n">
        <v>44272</v>
      </c>
      <c r="C277" s="1" t="n">
        <v>45583</v>
      </c>
      <c r="D277" t="inlineStr">
        <is>
          <t>UPPSALA LÄN</t>
        </is>
      </c>
      <c r="E277" t="inlineStr">
        <is>
          <t>ENKÖPING</t>
        </is>
      </c>
      <c r="G277" t="n">
        <v>0.1</v>
      </c>
      <c r="H277" t="n">
        <v>0</v>
      </c>
      <c r="I277" t="n">
        <v>0</v>
      </c>
      <c r="J277" t="n">
        <v>0</v>
      </c>
      <c r="K277" t="n">
        <v>0</v>
      </c>
      <c r="L277" t="n">
        <v>0</v>
      </c>
      <c r="M277" t="n">
        <v>0</v>
      </c>
      <c r="N277" t="n">
        <v>0</v>
      </c>
      <c r="O277" t="n">
        <v>0</v>
      </c>
      <c r="P277" t="n">
        <v>0</v>
      </c>
      <c r="Q277" t="n">
        <v>0</v>
      </c>
      <c r="R277" s="2" t="inlineStr"/>
    </row>
    <row r="278" ht="15" customHeight="1">
      <c r="A278" t="inlineStr">
        <is>
          <t>A 13813-2021</t>
        </is>
      </c>
      <c r="B278" s="1" t="n">
        <v>44276</v>
      </c>
      <c r="C278" s="1" t="n">
        <v>45583</v>
      </c>
      <c r="D278" t="inlineStr">
        <is>
          <t>UPPSALA LÄN</t>
        </is>
      </c>
      <c r="E278" t="inlineStr">
        <is>
          <t>ENKÖPING</t>
        </is>
      </c>
      <c r="G278" t="n">
        <v>2.6</v>
      </c>
      <c r="H278" t="n">
        <v>0</v>
      </c>
      <c r="I278" t="n">
        <v>0</v>
      </c>
      <c r="J278" t="n">
        <v>0</v>
      </c>
      <c r="K278" t="n">
        <v>0</v>
      </c>
      <c r="L278" t="n">
        <v>0</v>
      </c>
      <c r="M278" t="n">
        <v>0</v>
      </c>
      <c r="N278" t="n">
        <v>0</v>
      </c>
      <c r="O278" t="n">
        <v>0</v>
      </c>
      <c r="P278" t="n">
        <v>0</v>
      </c>
      <c r="Q278" t="n">
        <v>0</v>
      </c>
      <c r="R278" s="2" t="inlineStr"/>
    </row>
    <row r="279" ht="15" customHeight="1">
      <c r="A279" t="inlineStr">
        <is>
          <t>A 13816-2021</t>
        </is>
      </c>
      <c r="B279" s="1" t="n">
        <v>44276</v>
      </c>
      <c r="C279" s="1" t="n">
        <v>45583</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14840-2021</t>
        </is>
      </c>
      <c r="B280" s="1" t="n">
        <v>44280</v>
      </c>
      <c r="C280" s="1" t="n">
        <v>45583</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14841-2021</t>
        </is>
      </c>
      <c r="B281" s="1" t="n">
        <v>44280</v>
      </c>
      <c r="C281" s="1" t="n">
        <v>45583</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14839-2021</t>
        </is>
      </c>
      <c r="B282" s="1" t="n">
        <v>44280</v>
      </c>
      <c r="C282" s="1" t="n">
        <v>45583</v>
      </c>
      <c r="D282" t="inlineStr">
        <is>
          <t>UPPSALA LÄN</t>
        </is>
      </c>
      <c r="E282" t="inlineStr">
        <is>
          <t>ENKÖPING</t>
        </is>
      </c>
      <c r="G282" t="n">
        <v>11.4</v>
      </c>
      <c r="H282" t="n">
        <v>0</v>
      </c>
      <c r="I282" t="n">
        <v>0</v>
      </c>
      <c r="J282" t="n">
        <v>0</v>
      </c>
      <c r="K282" t="n">
        <v>0</v>
      </c>
      <c r="L282" t="n">
        <v>0</v>
      </c>
      <c r="M282" t="n">
        <v>0</v>
      </c>
      <c r="N282" t="n">
        <v>0</v>
      </c>
      <c r="O282" t="n">
        <v>0</v>
      </c>
      <c r="P282" t="n">
        <v>0</v>
      </c>
      <c r="Q282" t="n">
        <v>0</v>
      </c>
      <c r="R282" s="2" t="inlineStr"/>
    </row>
    <row r="283" ht="15" customHeight="1">
      <c r="A283" t="inlineStr">
        <is>
          <t>A 15298-2021</t>
        </is>
      </c>
      <c r="B283" s="1" t="n">
        <v>44284</v>
      </c>
      <c r="C283" s="1" t="n">
        <v>45583</v>
      </c>
      <c r="D283" t="inlineStr">
        <is>
          <t>UPPSALA LÄN</t>
        </is>
      </c>
      <c r="E283" t="inlineStr">
        <is>
          <t>ENKÖPING</t>
        </is>
      </c>
      <c r="G283" t="n">
        <v>6</v>
      </c>
      <c r="H283" t="n">
        <v>0</v>
      </c>
      <c r="I283" t="n">
        <v>0</v>
      </c>
      <c r="J283" t="n">
        <v>0</v>
      </c>
      <c r="K283" t="n">
        <v>0</v>
      </c>
      <c r="L283" t="n">
        <v>0</v>
      </c>
      <c r="M283" t="n">
        <v>0</v>
      </c>
      <c r="N283" t="n">
        <v>0</v>
      </c>
      <c r="O283" t="n">
        <v>0</v>
      </c>
      <c r="P283" t="n">
        <v>0</v>
      </c>
      <c r="Q283" t="n">
        <v>0</v>
      </c>
      <c r="R283" s="2" t="inlineStr"/>
    </row>
    <row r="284" ht="15" customHeight="1">
      <c r="A284" t="inlineStr">
        <is>
          <t>A 15997-2021</t>
        </is>
      </c>
      <c r="B284" s="1" t="n">
        <v>44287</v>
      </c>
      <c r="C284" s="1" t="n">
        <v>45583</v>
      </c>
      <c r="D284" t="inlineStr">
        <is>
          <t>UPPSALA LÄN</t>
        </is>
      </c>
      <c r="E284" t="inlineStr">
        <is>
          <t>ENKÖPING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16309-2021</t>
        </is>
      </c>
      <c r="B285" s="1" t="n">
        <v>44292</v>
      </c>
      <c r="C285" s="1" t="n">
        <v>45583</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16498-2021</t>
        </is>
      </c>
      <c r="B286" s="1" t="n">
        <v>44293</v>
      </c>
      <c r="C286" s="1" t="n">
        <v>45583</v>
      </c>
      <c r="D286" t="inlineStr">
        <is>
          <t>UPPSALA LÄN</t>
        </is>
      </c>
      <c r="E286" t="inlineStr">
        <is>
          <t>ENKÖPING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16683-2021</t>
        </is>
      </c>
      <c r="B287" s="1" t="n">
        <v>44294</v>
      </c>
      <c r="C287" s="1" t="n">
        <v>45583</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17264-2021</t>
        </is>
      </c>
      <c r="B288" s="1" t="n">
        <v>44298</v>
      </c>
      <c r="C288" s="1" t="n">
        <v>45583</v>
      </c>
      <c r="D288" t="inlineStr">
        <is>
          <t>UPPSALA LÄN</t>
        </is>
      </c>
      <c r="E288" t="inlineStr">
        <is>
          <t>ENKÖPING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17268-2021</t>
        </is>
      </c>
      <c r="B289" s="1" t="n">
        <v>44298</v>
      </c>
      <c r="C289" s="1" t="n">
        <v>45583</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18037-2021</t>
        </is>
      </c>
      <c r="B290" s="1" t="n">
        <v>44301</v>
      </c>
      <c r="C290" s="1" t="n">
        <v>45583</v>
      </c>
      <c r="D290" t="inlineStr">
        <is>
          <t>UPPSALA LÄN</t>
        </is>
      </c>
      <c r="E290" t="inlineStr">
        <is>
          <t>ENKÖPING</t>
        </is>
      </c>
      <c r="G290" t="n">
        <v>17.2</v>
      </c>
      <c r="H290" t="n">
        <v>0</v>
      </c>
      <c r="I290" t="n">
        <v>0</v>
      </c>
      <c r="J290" t="n">
        <v>0</v>
      </c>
      <c r="K290" t="n">
        <v>0</v>
      </c>
      <c r="L290" t="n">
        <v>0</v>
      </c>
      <c r="M290" t="n">
        <v>0</v>
      </c>
      <c r="N290" t="n">
        <v>0</v>
      </c>
      <c r="O290" t="n">
        <v>0</v>
      </c>
      <c r="P290" t="n">
        <v>0</v>
      </c>
      <c r="Q290" t="n">
        <v>0</v>
      </c>
      <c r="R290" s="2" t="inlineStr"/>
    </row>
    <row r="291" ht="15" customHeight="1">
      <c r="A291" t="inlineStr">
        <is>
          <t>A 18328-2021</t>
        </is>
      </c>
      <c r="B291" s="1" t="n">
        <v>44305</v>
      </c>
      <c r="C291" s="1" t="n">
        <v>45583</v>
      </c>
      <c r="D291" t="inlineStr">
        <is>
          <t>UPPSALA LÄN</t>
        </is>
      </c>
      <c r="E291" t="inlineStr">
        <is>
          <t>ENKÖPING</t>
        </is>
      </c>
      <c r="G291" t="n">
        <v>9.4</v>
      </c>
      <c r="H291" t="n">
        <v>0</v>
      </c>
      <c r="I291" t="n">
        <v>0</v>
      </c>
      <c r="J291" t="n">
        <v>0</v>
      </c>
      <c r="K291" t="n">
        <v>0</v>
      </c>
      <c r="L291" t="n">
        <v>0</v>
      </c>
      <c r="M291" t="n">
        <v>0</v>
      </c>
      <c r="N291" t="n">
        <v>0</v>
      </c>
      <c r="O291" t="n">
        <v>0</v>
      </c>
      <c r="P291" t="n">
        <v>0</v>
      </c>
      <c r="Q291" t="n">
        <v>0</v>
      </c>
      <c r="R291" s="2" t="inlineStr"/>
    </row>
    <row r="292" ht="15" customHeight="1">
      <c r="A292" t="inlineStr">
        <is>
          <t>A 18584-2021</t>
        </is>
      </c>
      <c r="B292" s="1" t="n">
        <v>44306</v>
      </c>
      <c r="C292" s="1" t="n">
        <v>45583</v>
      </c>
      <c r="D292" t="inlineStr">
        <is>
          <t>UPPSALA LÄN</t>
        </is>
      </c>
      <c r="E292" t="inlineStr">
        <is>
          <t>ENKÖPING</t>
        </is>
      </c>
      <c r="G292" t="n">
        <v>2.9</v>
      </c>
      <c r="H292" t="n">
        <v>0</v>
      </c>
      <c r="I292" t="n">
        <v>0</v>
      </c>
      <c r="J292" t="n">
        <v>0</v>
      </c>
      <c r="K292" t="n">
        <v>0</v>
      </c>
      <c r="L292" t="n">
        <v>0</v>
      </c>
      <c r="M292" t="n">
        <v>0</v>
      </c>
      <c r="N292" t="n">
        <v>0</v>
      </c>
      <c r="O292" t="n">
        <v>0</v>
      </c>
      <c r="P292" t="n">
        <v>0</v>
      </c>
      <c r="Q292" t="n">
        <v>0</v>
      </c>
      <c r="R292" s="2" t="inlineStr"/>
    </row>
    <row r="293" ht="15" customHeight="1">
      <c r="A293" t="inlineStr">
        <is>
          <t>A 18592-2021</t>
        </is>
      </c>
      <c r="B293" s="1" t="n">
        <v>44306</v>
      </c>
      <c r="C293" s="1" t="n">
        <v>45583</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18583-2021</t>
        </is>
      </c>
      <c r="B294" s="1" t="n">
        <v>44306</v>
      </c>
      <c r="C294" s="1" t="n">
        <v>45583</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19630-2021</t>
        </is>
      </c>
      <c r="B295" s="1" t="n">
        <v>44312</v>
      </c>
      <c r="C295" s="1" t="n">
        <v>45583</v>
      </c>
      <c r="D295" t="inlineStr">
        <is>
          <t>UPPSALA LÄN</t>
        </is>
      </c>
      <c r="E295" t="inlineStr">
        <is>
          <t>ENKÖPING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20067-2021</t>
        </is>
      </c>
      <c r="B296" s="1" t="n">
        <v>44314</v>
      </c>
      <c r="C296" s="1" t="n">
        <v>45583</v>
      </c>
      <c r="D296" t="inlineStr">
        <is>
          <t>UPPSALA LÄN</t>
        </is>
      </c>
      <c r="E296" t="inlineStr">
        <is>
          <t>ENKÖPING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22057-2021</t>
        </is>
      </c>
      <c r="B297" s="1" t="n">
        <v>44323</v>
      </c>
      <c r="C297" s="1" t="n">
        <v>45583</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22058-2021</t>
        </is>
      </c>
      <c r="B298" s="1" t="n">
        <v>44323</v>
      </c>
      <c r="C298" s="1" t="n">
        <v>45583</v>
      </c>
      <c r="D298" t="inlineStr">
        <is>
          <t>UPPSALA LÄN</t>
        </is>
      </c>
      <c r="E298" t="inlineStr">
        <is>
          <t>ENKÖPING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24399-2021</t>
        </is>
      </c>
      <c r="B299" s="1" t="n">
        <v>44337</v>
      </c>
      <c r="C299" s="1" t="n">
        <v>45583</v>
      </c>
      <c r="D299" t="inlineStr">
        <is>
          <t>UPPSALA LÄN</t>
        </is>
      </c>
      <c r="E299" t="inlineStr">
        <is>
          <t>ENKÖPING</t>
        </is>
      </c>
      <c r="G299" t="n">
        <v>4</v>
      </c>
      <c r="H299" t="n">
        <v>0</v>
      </c>
      <c r="I299" t="n">
        <v>0</v>
      </c>
      <c r="J299" t="n">
        <v>0</v>
      </c>
      <c r="K299" t="n">
        <v>0</v>
      </c>
      <c r="L299" t="n">
        <v>0</v>
      </c>
      <c r="M299" t="n">
        <v>0</v>
      </c>
      <c r="N299" t="n">
        <v>0</v>
      </c>
      <c r="O299" t="n">
        <v>0</v>
      </c>
      <c r="P299" t="n">
        <v>0</v>
      </c>
      <c r="Q299" t="n">
        <v>0</v>
      </c>
      <c r="R299" s="2" t="inlineStr"/>
    </row>
    <row r="300" ht="15" customHeight="1">
      <c r="A300" t="inlineStr">
        <is>
          <t>A 25598-2021</t>
        </is>
      </c>
      <c r="B300" s="1" t="n">
        <v>44343</v>
      </c>
      <c r="C300" s="1" t="n">
        <v>45583</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27676-2021</t>
        </is>
      </c>
      <c r="B301" s="1" t="n">
        <v>44353</v>
      </c>
      <c r="C301" s="1" t="n">
        <v>45583</v>
      </c>
      <c r="D301" t="inlineStr">
        <is>
          <t>UPPSALA LÄN</t>
        </is>
      </c>
      <c r="E301" t="inlineStr">
        <is>
          <t>ENKÖPING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28368-2021</t>
        </is>
      </c>
      <c r="B302" s="1" t="n">
        <v>44356</v>
      </c>
      <c r="C302" s="1" t="n">
        <v>45583</v>
      </c>
      <c r="D302" t="inlineStr">
        <is>
          <t>UPPSALA LÄN</t>
        </is>
      </c>
      <c r="E302" t="inlineStr">
        <is>
          <t>ENKÖPING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28795-2021</t>
        </is>
      </c>
      <c r="B303" s="1" t="n">
        <v>44357</v>
      </c>
      <c r="C303" s="1" t="n">
        <v>45583</v>
      </c>
      <c r="D303" t="inlineStr">
        <is>
          <t>UPPSALA LÄN</t>
        </is>
      </c>
      <c r="E303" t="inlineStr">
        <is>
          <t>ENKÖPING</t>
        </is>
      </c>
      <c r="F303" t="inlineStr">
        <is>
          <t>Allmännings- och besparingsskogar</t>
        </is>
      </c>
      <c r="G303" t="n">
        <v>2.8</v>
      </c>
      <c r="H303" t="n">
        <v>0</v>
      </c>
      <c r="I303" t="n">
        <v>0</v>
      </c>
      <c r="J303" t="n">
        <v>0</v>
      </c>
      <c r="K303" t="n">
        <v>0</v>
      </c>
      <c r="L303" t="n">
        <v>0</v>
      </c>
      <c r="M303" t="n">
        <v>0</v>
      </c>
      <c r="N303" t="n">
        <v>0</v>
      </c>
      <c r="O303" t="n">
        <v>0</v>
      </c>
      <c r="P303" t="n">
        <v>0</v>
      </c>
      <c r="Q303" t="n">
        <v>0</v>
      </c>
      <c r="R303" s="2" t="inlineStr"/>
    </row>
    <row r="304" ht="15" customHeight="1">
      <c r="A304" t="inlineStr">
        <is>
          <t>A 29983-2021</t>
        </is>
      </c>
      <c r="B304" s="1" t="n">
        <v>44363</v>
      </c>
      <c r="C304" s="1" t="n">
        <v>45583</v>
      </c>
      <c r="D304" t="inlineStr">
        <is>
          <t>UPPSALA LÄN</t>
        </is>
      </c>
      <c r="E304" t="inlineStr">
        <is>
          <t>ENKÖPING</t>
        </is>
      </c>
      <c r="F304" t="inlineStr">
        <is>
          <t>Kommuner</t>
        </is>
      </c>
      <c r="G304" t="n">
        <v>3.1</v>
      </c>
      <c r="H304" t="n">
        <v>0</v>
      </c>
      <c r="I304" t="n">
        <v>0</v>
      </c>
      <c r="J304" t="n">
        <v>0</v>
      </c>
      <c r="K304" t="n">
        <v>0</v>
      </c>
      <c r="L304" t="n">
        <v>0</v>
      </c>
      <c r="M304" t="n">
        <v>0</v>
      </c>
      <c r="N304" t="n">
        <v>0</v>
      </c>
      <c r="O304" t="n">
        <v>0</v>
      </c>
      <c r="P304" t="n">
        <v>0</v>
      </c>
      <c r="Q304" t="n">
        <v>0</v>
      </c>
      <c r="R304" s="2" t="inlineStr"/>
    </row>
    <row r="305" ht="15" customHeight="1">
      <c r="A305" t="inlineStr">
        <is>
          <t>A 30514-2021</t>
        </is>
      </c>
      <c r="B305" s="1" t="n">
        <v>44364</v>
      </c>
      <c r="C305" s="1" t="n">
        <v>45583</v>
      </c>
      <c r="D305" t="inlineStr">
        <is>
          <t>UPPSALA LÄN</t>
        </is>
      </c>
      <c r="E305" t="inlineStr">
        <is>
          <t>ENKÖPING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31112-2021</t>
        </is>
      </c>
      <c r="B306" s="1" t="n">
        <v>44368</v>
      </c>
      <c r="C306" s="1" t="n">
        <v>45583</v>
      </c>
      <c r="D306" t="inlineStr">
        <is>
          <t>UPPSALA LÄN</t>
        </is>
      </c>
      <c r="E306" t="inlineStr">
        <is>
          <t>ENKÖPING</t>
        </is>
      </c>
      <c r="G306" t="n">
        <v>2.1</v>
      </c>
      <c r="H306" t="n">
        <v>0</v>
      </c>
      <c r="I306" t="n">
        <v>0</v>
      </c>
      <c r="J306" t="n">
        <v>0</v>
      </c>
      <c r="K306" t="n">
        <v>0</v>
      </c>
      <c r="L306" t="n">
        <v>0</v>
      </c>
      <c r="M306" t="n">
        <v>0</v>
      </c>
      <c r="N306" t="n">
        <v>0</v>
      </c>
      <c r="O306" t="n">
        <v>0</v>
      </c>
      <c r="P306" t="n">
        <v>0</v>
      </c>
      <c r="Q306" t="n">
        <v>0</v>
      </c>
      <c r="R306" s="2" t="inlineStr"/>
    </row>
    <row r="307" ht="15" customHeight="1">
      <c r="A307" t="inlineStr">
        <is>
          <t>A 31965-2021</t>
        </is>
      </c>
      <c r="B307" s="1" t="n">
        <v>44370</v>
      </c>
      <c r="C307" s="1" t="n">
        <v>45583</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34124-2021</t>
        </is>
      </c>
      <c r="B308" s="1" t="n">
        <v>44379</v>
      </c>
      <c r="C308" s="1" t="n">
        <v>45583</v>
      </c>
      <c r="D308" t="inlineStr">
        <is>
          <t>UPPSALA LÄN</t>
        </is>
      </c>
      <c r="E308" t="inlineStr">
        <is>
          <t>ENKÖPING</t>
        </is>
      </c>
      <c r="G308" t="n">
        <v>2.2</v>
      </c>
      <c r="H308" t="n">
        <v>0</v>
      </c>
      <c r="I308" t="n">
        <v>0</v>
      </c>
      <c r="J308" t="n">
        <v>0</v>
      </c>
      <c r="K308" t="n">
        <v>0</v>
      </c>
      <c r="L308" t="n">
        <v>0</v>
      </c>
      <c r="M308" t="n">
        <v>0</v>
      </c>
      <c r="N308" t="n">
        <v>0</v>
      </c>
      <c r="O308" t="n">
        <v>0</v>
      </c>
      <c r="P308" t="n">
        <v>0</v>
      </c>
      <c r="Q308" t="n">
        <v>0</v>
      </c>
      <c r="R308" s="2" t="inlineStr"/>
    </row>
    <row r="309" ht="15" customHeight="1">
      <c r="A309" t="inlineStr">
        <is>
          <t>A 35645-2021</t>
        </is>
      </c>
      <c r="B309" s="1" t="n">
        <v>44386</v>
      </c>
      <c r="C309" s="1" t="n">
        <v>45583</v>
      </c>
      <c r="D309" t="inlineStr">
        <is>
          <t>UPPSALA LÄN</t>
        </is>
      </c>
      <c r="E309" t="inlineStr">
        <is>
          <t>ENKÖPING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35643-2021</t>
        </is>
      </c>
      <c r="B310" s="1" t="n">
        <v>44386</v>
      </c>
      <c r="C310" s="1" t="n">
        <v>45583</v>
      </c>
      <c r="D310" t="inlineStr">
        <is>
          <t>UPPSALA LÄN</t>
        </is>
      </c>
      <c r="E310" t="inlineStr">
        <is>
          <t>ENKÖPING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35638-2021</t>
        </is>
      </c>
      <c r="B311" s="1" t="n">
        <v>44386</v>
      </c>
      <c r="C311" s="1" t="n">
        <v>45583</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35647-2021</t>
        </is>
      </c>
      <c r="B312" s="1" t="n">
        <v>44386</v>
      </c>
      <c r="C312" s="1" t="n">
        <v>45583</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35641-2021</t>
        </is>
      </c>
      <c r="B313" s="1" t="n">
        <v>44386</v>
      </c>
      <c r="C313" s="1" t="n">
        <v>45583</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35632-2021</t>
        </is>
      </c>
      <c r="B314" s="1" t="n">
        <v>44386</v>
      </c>
      <c r="C314" s="1" t="n">
        <v>45583</v>
      </c>
      <c r="D314" t="inlineStr">
        <is>
          <t>UPPSALA LÄN</t>
        </is>
      </c>
      <c r="E314" t="inlineStr">
        <is>
          <t>ENKÖPING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45583</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45583</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45583</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45583</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45583</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45583</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45583</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45583</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45583</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45583</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45583</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45583</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45583</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45583</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45583</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45583</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45583</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45583</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45583</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45583</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45583</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45583</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45583</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45583</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45583</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45583</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45583</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45583</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45583</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45583</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45583</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45583</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45583</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45583</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45583</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45583</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45583</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45583</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45583</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45583</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45583</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45583</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45583</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45583</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45583</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45583</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45583</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45583</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45583</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45583</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45583</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45583</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45583</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45583</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45583</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45583</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45583</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45583</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45583</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45583</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45583</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45583</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45583</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45583</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45583</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45583</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45583</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45583</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45583</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45583</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45583</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45583</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45583</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45583</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45583</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45583</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45583</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45583</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45583</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45583</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45583</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45583</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45583</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45583</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45583</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45583</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45583</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45583</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45583</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45583</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45583</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45583</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45583</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45583</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45583</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45583</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45583</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45583</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45583</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45583</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45583</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45583</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45583</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45583</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45583</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45583</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45583</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45583</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45583</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45583</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45583</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45583</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45583</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45583</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45583</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45583</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45583</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45583</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45583</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45583</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45583</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45583</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45583</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45583</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45583</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45583</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45583</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45583</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45583</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45583</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45583</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45583</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45583</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45583</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45583</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45583</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45583</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45583</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45583</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45583</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45583</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45583</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45583</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45583</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45583</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45583</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45583</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45583</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45583</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45583</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45583</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45583</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45583</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45583</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45583</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45583</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45583</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45583</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45583</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45583</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45583</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45583</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45583</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45583</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45583</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45583</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45583</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45583</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45583</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45583</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45583</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45583</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45583</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45583</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45583</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45583</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45583</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45583</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45583</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45583</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45583</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45583</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45583</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45583</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45583</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45583</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45583</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45583</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45583</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45583</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45583</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45583</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45583</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45583</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45583</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45583</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45583</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45583</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45583</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45583</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45583</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45583</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45583</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45583</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45583</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45583</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45583</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45583</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45583</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45583</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45583</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45583</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45583</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45583</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45583</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45583</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45583</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45583</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45583</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45583</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45583</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45583</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45583</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45583</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45583</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45583</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45583</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45583</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45583</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45583</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45583</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45583</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45583</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45583</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45583</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45583</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45583</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45583</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45583</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45583</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45583</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45583</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45583</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45583</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45583</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45583</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45583</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45583</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45583</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45583</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45583</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45583</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45583</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45583</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45583</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45583</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45583</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45583</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45583</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45583</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45583</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45583</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45583</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45583</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45583</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45583</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45583</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45583</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45583</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45583</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45583</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45583</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45583</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45583</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45583</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45583</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45583</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45583</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45583</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45583</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45583</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45583</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45583</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45583</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45583</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45583</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45583</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45583</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45583</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45583</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45583</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45583</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45583</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45583</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45583</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45583</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45583</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45583</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45583</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45583</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45583</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45583</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45583</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45583</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45583</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45583</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45583</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45583</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45583</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45583</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45583</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45583</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45583</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45583</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45583</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45583</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45583</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45583</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45583</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45583</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45583</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45583</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45583</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45583</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45583</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45583</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45583</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45583</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45583</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45583</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45583</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45583</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45583</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45583</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45583</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45583</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45583</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45583</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45583</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45583</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45583</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45583</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45583</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45583</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45583</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45583</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45583</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45583</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45583</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45583</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45583</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45583</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45583</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45583</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45583</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45583</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45583</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45583</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45583</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45583</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45583</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45583</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45583</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45583</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45583</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45583</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45583</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45583</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45583</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45583</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45583</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45583</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45583</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45583</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45583</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45583</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45583</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45583</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45583</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45583</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45583</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45583</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45583</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45583</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45583</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45583</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45583</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45583</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45583</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45583</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45583</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45583</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45583</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45583</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45583</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45583</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45583</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45583</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45583</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45583</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45583</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45583</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45583</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45583</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45583</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45583</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45583</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45583</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45583</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45583</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45583</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45583</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45583</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45583</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45583</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45583</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45583</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45583</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45583</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45583</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45583</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45583</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45583</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45583</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45583</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45583</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45583</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45583</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45583</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45583</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45583</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45583</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45583</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45583</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45583</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45583</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45583</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45583</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45583</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45583</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45583</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45583</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45583</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45583</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45583</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45583</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45583</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45583</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45583</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45583</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45583</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45583</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45583</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45583</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45583</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45583</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45583</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45583</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45583</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45583</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45583</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45583</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45583</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45583</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45583</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45583</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45583</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45583</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45583</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45583</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40223-2024</t>
        </is>
      </c>
      <c r="B785" s="1" t="n">
        <v>45554</v>
      </c>
      <c r="C785" s="1" t="n">
        <v>45583</v>
      </c>
      <c r="D785" t="inlineStr">
        <is>
          <t>UPPSALA LÄN</t>
        </is>
      </c>
      <c r="E785" t="inlineStr">
        <is>
          <t>ENKÖPING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40202-2024</t>
        </is>
      </c>
      <c r="B786" s="1" t="n">
        <v>45554</v>
      </c>
      <c r="C786" s="1" t="n">
        <v>45583</v>
      </c>
      <c r="D786" t="inlineStr">
        <is>
          <t>UPPSALA LÄN</t>
        </is>
      </c>
      <c r="E786" t="inlineStr">
        <is>
          <t>ENKÖPING</t>
        </is>
      </c>
      <c r="G786" t="n">
        <v>6.2</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45583</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41828-2024</t>
        </is>
      </c>
      <c r="B788" s="1" t="n">
        <v>45561</v>
      </c>
      <c r="C788" s="1" t="n">
        <v>45583</v>
      </c>
      <c r="D788" t="inlineStr">
        <is>
          <t>UPPSALA LÄN</t>
        </is>
      </c>
      <c r="E788" t="inlineStr">
        <is>
          <t>ENKÖPING</t>
        </is>
      </c>
      <c r="G788" t="n">
        <v>2.5</v>
      </c>
      <c r="H788" t="n">
        <v>0</v>
      </c>
      <c r="I788" t="n">
        <v>0</v>
      </c>
      <c r="J788" t="n">
        <v>0</v>
      </c>
      <c r="K788" t="n">
        <v>0</v>
      </c>
      <c r="L788" t="n">
        <v>0</v>
      </c>
      <c r="M788" t="n">
        <v>0</v>
      </c>
      <c r="N788" t="n">
        <v>0</v>
      </c>
      <c r="O788" t="n">
        <v>0</v>
      </c>
      <c r="P788" t="n">
        <v>0</v>
      </c>
      <c r="Q788" t="n">
        <v>0</v>
      </c>
      <c r="R788" s="2" t="inlineStr"/>
    </row>
    <row r="789" ht="15" customHeight="1">
      <c r="A789" t="inlineStr">
        <is>
          <t>A 41856-2024</t>
        </is>
      </c>
      <c r="B789" s="1" t="n">
        <v>45561</v>
      </c>
      <c r="C789" s="1" t="n">
        <v>45583</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41826-2024</t>
        </is>
      </c>
      <c r="B790" s="1" t="n">
        <v>45561</v>
      </c>
      <c r="C790" s="1" t="n">
        <v>45583</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41850-2024</t>
        </is>
      </c>
      <c r="B791" s="1" t="n">
        <v>45561</v>
      </c>
      <c r="C791" s="1" t="n">
        <v>45583</v>
      </c>
      <c r="D791" t="inlineStr">
        <is>
          <t>UPPSALA LÄN</t>
        </is>
      </c>
      <c r="E791" t="inlineStr">
        <is>
          <t>ENKÖPING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42459-2024</t>
        </is>
      </c>
      <c r="B792" s="1" t="n">
        <v>45565</v>
      </c>
      <c r="C792" s="1" t="n">
        <v>45583</v>
      </c>
      <c r="D792" t="inlineStr">
        <is>
          <t>UPPSALA LÄN</t>
        </is>
      </c>
      <c r="E792" t="inlineStr">
        <is>
          <t>ENKÖPING</t>
        </is>
      </c>
      <c r="G792" t="n">
        <v>3.6</v>
      </c>
      <c r="H792" t="n">
        <v>0</v>
      </c>
      <c r="I792" t="n">
        <v>0</v>
      </c>
      <c r="J792" t="n">
        <v>0</v>
      </c>
      <c r="K792" t="n">
        <v>0</v>
      </c>
      <c r="L792" t="n">
        <v>0</v>
      </c>
      <c r="M792" t="n">
        <v>0</v>
      </c>
      <c r="N792" t="n">
        <v>0</v>
      </c>
      <c r="O792" t="n">
        <v>0</v>
      </c>
      <c r="P792" t="n">
        <v>0</v>
      </c>
      <c r="Q792" t="n">
        <v>0</v>
      </c>
      <c r="R792" s="2" t="inlineStr"/>
    </row>
    <row r="793" ht="15" customHeight="1">
      <c r="A793" t="inlineStr">
        <is>
          <t>A 42564-2024</t>
        </is>
      </c>
      <c r="B793" s="1" t="n">
        <v>45565</v>
      </c>
      <c r="C793" s="1" t="n">
        <v>45583</v>
      </c>
      <c r="D793" t="inlineStr">
        <is>
          <t>UPPSALA LÄN</t>
        </is>
      </c>
      <c r="E793" t="inlineStr">
        <is>
          <t>ENKÖPING</t>
        </is>
      </c>
      <c r="G793" t="n">
        <v>1.7</v>
      </c>
      <c r="H793" t="n">
        <v>0</v>
      </c>
      <c r="I793" t="n">
        <v>0</v>
      </c>
      <c r="J793" t="n">
        <v>0</v>
      </c>
      <c r="K793" t="n">
        <v>0</v>
      </c>
      <c r="L793" t="n">
        <v>0</v>
      </c>
      <c r="M793" t="n">
        <v>0</v>
      </c>
      <c r="N793" t="n">
        <v>0</v>
      </c>
      <c r="O793" t="n">
        <v>0</v>
      </c>
      <c r="P793" t="n">
        <v>0</v>
      </c>
      <c r="Q793" t="n">
        <v>0</v>
      </c>
      <c r="R793" s="2" t="inlineStr"/>
    </row>
    <row r="794" ht="15" customHeight="1">
      <c r="A794" t="inlineStr">
        <is>
          <t>A 43205-2024</t>
        </is>
      </c>
      <c r="B794" s="1" t="n">
        <v>45567</v>
      </c>
      <c r="C794" s="1" t="n">
        <v>45583</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row r="795" ht="15" customHeight="1">
      <c r="A795" t="inlineStr">
        <is>
          <t>A 43697-2024</t>
        </is>
      </c>
      <c r="B795" s="1" t="n">
        <v>45569</v>
      </c>
      <c r="C795" s="1" t="n">
        <v>45583</v>
      </c>
      <c r="D795" t="inlineStr">
        <is>
          <t>UPPSALA LÄN</t>
        </is>
      </c>
      <c r="E795" t="inlineStr">
        <is>
          <t>ENKÖPING</t>
        </is>
      </c>
      <c r="G795" t="n">
        <v>2.1</v>
      </c>
      <c r="H795" t="n">
        <v>0</v>
      </c>
      <c r="I795" t="n">
        <v>0</v>
      </c>
      <c r="J795" t="n">
        <v>0</v>
      </c>
      <c r="K795" t="n">
        <v>0</v>
      </c>
      <c r="L795" t="n">
        <v>0</v>
      </c>
      <c r="M795" t="n">
        <v>0</v>
      </c>
      <c r="N795" t="n">
        <v>0</v>
      </c>
      <c r="O795" t="n">
        <v>0</v>
      </c>
      <c r="P795" t="n">
        <v>0</v>
      </c>
      <c r="Q795" t="n">
        <v>0</v>
      </c>
      <c r="R795" s="2" t="inlineStr"/>
    </row>
    <row r="796" ht="15" customHeight="1">
      <c r="A796" t="inlineStr">
        <is>
          <t>A 43691-2024</t>
        </is>
      </c>
      <c r="B796" s="1" t="n">
        <v>45569</v>
      </c>
      <c r="C796" s="1" t="n">
        <v>45583</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44115-2024</t>
        </is>
      </c>
      <c r="B797" s="1" t="n">
        <v>45572</v>
      </c>
      <c r="C797" s="1" t="n">
        <v>45583</v>
      </c>
      <c r="D797" t="inlineStr">
        <is>
          <t>UPPSALA LÄN</t>
        </is>
      </c>
      <c r="E797" t="inlineStr">
        <is>
          <t>ENKÖPING</t>
        </is>
      </c>
      <c r="G797" t="n">
        <v>0.8</v>
      </c>
      <c r="H797" t="n">
        <v>0</v>
      </c>
      <c r="I797" t="n">
        <v>0</v>
      </c>
      <c r="J797" t="n">
        <v>0</v>
      </c>
      <c r="K797" t="n">
        <v>0</v>
      </c>
      <c r="L797" t="n">
        <v>0</v>
      </c>
      <c r="M797" t="n">
        <v>0</v>
      </c>
      <c r="N797" t="n">
        <v>0</v>
      </c>
      <c r="O797" t="n">
        <v>0</v>
      </c>
      <c r="P797" t="n">
        <v>0</v>
      </c>
      <c r="Q797" t="n">
        <v>0</v>
      </c>
      <c r="R797" s="2" t="inlineStr"/>
    </row>
    <row r="798" ht="15" customHeight="1">
      <c r="A798" t="inlineStr">
        <is>
          <t>A 44084-2024</t>
        </is>
      </c>
      <c r="B798" s="1" t="n">
        <v>45572</v>
      </c>
      <c r="C798" s="1" t="n">
        <v>45583</v>
      </c>
      <c r="D798" t="inlineStr">
        <is>
          <t>UPPSALA LÄN</t>
        </is>
      </c>
      <c r="E798" t="inlineStr">
        <is>
          <t>ENKÖPING</t>
        </is>
      </c>
      <c r="G798" t="n">
        <v>1.2</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45583</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45583</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44055-2024</t>
        </is>
      </c>
      <c r="B801" s="1" t="n">
        <v>45572</v>
      </c>
      <c r="C801" s="1" t="n">
        <v>45583</v>
      </c>
      <c r="D801" t="inlineStr">
        <is>
          <t>UPPSALA LÄN</t>
        </is>
      </c>
      <c r="E801" t="inlineStr">
        <is>
          <t>ENKÖPING</t>
        </is>
      </c>
      <c r="G801" t="n">
        <v>2.6</v>
      </c>
      <c r="H801" t="n">
        <v>0</v>
      </c>
      <c r="I801" t="n">
        <v>0</v>
      </c>
      <c r="J801" t="n">
        <v>0</v>
      </c>
      <c r="K801" t="n">
        <v>0</v>
      </c>
      <c r="L801" t="n">
        <v>0</v>
      </c>
      <c r="M801" t="n">
        <v>0</v>
      </c>
      <c r="N801" t="n">
        <v>0</v>
      </c>
      <c r="O801" t="n">
        <v>0</v>
      </c>
      <c r="P801" t="n">
        <v>0</v>
      </c>
      <c r="Q801" t="n">
        <v>0</v>
      </c>
      <c r="R801" s="2" t="inlineStr"/>
    </row>
    <row r="802" ht="15" customHeight="1">
      <c r="A802" t="inlineStr">
        <is>
          <t>A 44067-2024</t>
        </is>
      </c>
      <c r="B802" s="1" t="n">
        <v>45572</v>
      </c>
      <c r="C802" s="1" t="n">
        <v>45583</v>
      </c>
      <c r="D802" t="inlineStr">
        <is>
          <t>UPPSALA LÄN</t>
        </is>
      </c>
      <c r="E802" t="inlineStr">
        <is>
          <t>ENKÖPING</t>
        </is>
      </c>
      <c r="G802" t="n">
        <v>2.9</v>
      </c>
      <c r="H802" t="n">
        <v>0</v>
      </c>
      <c r="I802" t="n">
        <v>0</v>
      </c>
      <c r="J802" t="n">
        <v>0</v>
      </c>
      <c r="K802" t="n">
        <v>0</v>
      </c>
      <c r="L802" t="n">
        <v>0</v>
      </c>
      <c r="M802" t="n">
        <v>0</v>
      </c>
      <c r="N802" t="n">
        <v>0</v>
      </c>
      <c r="O802" t="n">
        <v>0</v>
      </c>
      <c r="P802" t="n">
        <v>0</v>
      </c>
      <c r="Q802" t="n">
        <v>0</v>
      </c>
      <c r="R802" s="2" t="inlineStr"/>
    </row>
    <row r="803" ht="15" customHeight="1">
      <c r="A803" t="inlineStr">
        <is>
          <t>A 45064-2024</t>
        </is>
      </c>
      <c r="B803" s="1" t="n">
        <v>45575</v>
      </c>
      <c r="C803" s="1" t="n">
        <v>45583</v>
      </c>
      <c r="D803" t="inlineStr">
        <is>
          <t>UPPSALA LÄN</t>
        </is>
      </c>
      <c r="E803" t="inlineStr">
        <is>
          <t>ENKÖPING</t>
        </is>
      </c>
      <c r="G803" t="n">
        <v>1.7</v>
      </c>
      <c r="H803" t="n">
        <v>0</v>
      </c>
      <c r="I803" t="n">
        <v>0</v>
      </c>
      <c r="J803" t="n">
        <v>0</v>
      </c>
      <c r="K803" t="n">
        <v>0</v>
      </c>
      <c r="L803" t="n">
        <v>0</v>
      </c>
      <c r="M803" t="n">
        <v>0</v>
      </c>
      <c r="N803" t="n">
        <v>0</v>
      </c>
      <c r="O803" t="n">
        <v>0</v>
      </c>
      <c r="P803" t="n">
        <v>0</v>
      </c>
      <c r="Q803" t="n">
        <v>0</v>
      </c>
      <c r="R803" s="2" t="inlineStr"/>
    </row>
    <row r="804" ht="15" customHeight="1">
      <c r="A804" t="inlineStr">
        <is>
          <t>A 45155-2024</t>
        </is>
      </c>
      <c r="B804" s="1" t="n">
        <v>45575</v>
      </c>
      <c r="C804" s="1" t="n">
        <v>45583</v>
      </c>
      <c r="D804" t="inlineStr">
        <is>
          <t>UPPSALA LÄN</t>
        </is>
      </c>
      <c r="E804" t="inlineStr">
        <is>
          <t>ENKÖPING</t>
        </is>
      </c>
      <c r="G804" t="n">
        <v>3.9</v>
      </c>
      <c r="H804" t="n">
        <v>0</v>
      </c>
      <c r="I804" t="n">
        <v>0</v>
      </c>
      <c r="J804" t="n">
        <v>0</v>
      </c>
      <c r="K804" t="n">
        <v>0</v>
      </c>
      <c r="L804" t="n">
        <v>0</v>
      </c>
      <c r="M804" t="n">
        <v>0</v>
      </c>
      <c r="N804" t="n">
        <v>0</v>
      </c>
      <c r="O804" t="n">
        <v>0</v>
      </c>
      <c r="P804" t="n">
        <v>0</v>
      </c>
      <c r="Q804" t="n">
        <v>0</v>
      </c>
      <c r="R804" s="2" t="inlineStr"/>
    </row>
    <row r="805" ht="15" customHeight="1">
      <c r="A805" t="inlineStr">
        <is>
          <t>A 45615-2024</t>
        </is>
      </c>
      <c r="B805" s="1" t="n">
        <v>45579</v>
      </c>
      <c r="C805" s="1" t="n">
        <v>45583</v>
      </c>
      <c r="D805" t="inlineStr">
        <is>
          <t>UPPSALA LÄN</t>
        </is>
      </c>
      <c r="E805" t="inlineStr">
        <is>
          <t>ENKÖPING</t>
        </is>
      </c>
      <c r="G805" t="n">
        <v>3.2</v>
      </c>
      <c r="H805" t="n">
        <v>0</v>
      </c>
      <c r="I805" t="n">
        <v>0</v>
      </c>
      <c r="J805" t="n">
        <v>0</v>
      </c>
      <c r="K805" t="n">
        <v>0</v>
      </c>
      <c r="L805" t="n">
        <v>0</v>
      </c>
      <c r="M805" t="n">
        <v>0</v>
      </c>
      <c r="N805" t="n">
        <v>0</v>
      </c>
      <c r="O805" t="n">
        <v>0</v>
      </c>
      <c r="P805" t="n">
        <v>0</v>
      </c>
      <c r="Q805" t="n">
        <v>0</v>
      </c>
      <c r="R805" s="2" t="inlineStr"/>
    </row>
    <row r="806" ht="15" customHeight="1">
      <c r="A806" t="inlineStr">
        <is>
          <t>A 45996-2024</t>
        </is>
      </c>
      <c r="B806" s="1" t="n">
        <v>45580</v>
      </c>
      <c r="C806" s="1" t="n">
        <v>45583</v>
      </c>
      <c r="D806" t="inlineStr">
        <is>
          <t>UPPSALA LÄN</t>
        </is>
      </c>
      <c r="E806" t="inlineStr">
        <is>
          <t>ENKÖPING</t>
        </is>
      </c>
      <c r="G806" t="n">
        <v>1.6</v>
      </c>
      <c r="H806" t="n">
        <v>0</v>
      </c>
      <c r="I806" t="n">
        <v>0</v>
      </c>
      <c r="J806" t="n">
        <v>0</v>
      </c>
      <c r="K806" t="n">
        <v>0</v>
      </c>
      <c r="L806" t="n">
        <v>0</v>
      </c>
      <c r="M806" t="n">
        <v>0</v>
      </c>
      <c r="N806" t="n">
        <v>0</v>
      </c>
      <c r="O806" t="n">
        <v>0</v>
      </c>
      <c r="P806" t="n">
        <v>0</v>
      </c>
      <c r="Q806" t="n">
        <v>0</v>
      </c>
      <c r="R806" s="2" t="inlineStr"/>
    </row>
    <row r="807">
      <c r="A807" t="inlineStr">
        <is>
          <t>A 45956-2024</t>
        </is>
      </c>
      <c r="B807" s="1" t="n">
        <v>45580</v>
      </c>
      <c r="C807" s="1" t="n">
        <v>45583</v>
      </c>
      <c r="D807" t="inlineStr">
        <is>
          <t>UPPSALA LÄN</t>
        </is>
      </c>
      <c r="E807" t="inlineStr">
        <is>
          <t>ENKÖPING</t>
        </is>
      </c>
      <c r="G807" t="n">
        <v>1</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2024-10-18T13:08:50Z</dcterms:created>
  <dcterms:modified xmlns:dcterms="http://purl.org/dc/terms/" xmlns:xsi="http://www.w3.org/2001/XMLSchema-instance" xsi:type="dcterms:W3CDTF">2024-10-18T13:08:51Z</dcterms:modified>
</cp:coreProperties>
</file>