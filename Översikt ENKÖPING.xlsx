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45976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45976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45976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45976</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45976</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45976</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45976</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45976</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45976</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425-2024</t>
        </is>
      </c>
      <c r="B16" s="1" t="n">
        <v>45296</v>
      </c>
      <c r="C16" s="1" t="n">
        <v>45976</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50105-2023</t>
        </is>
      </c>
      <c r="B17" s="1" t="n">
        <v>45215</v>
      </c>
      <c r="C17" s="1" t="n">
        <v>45976</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21970-2025</t>
        </is>
      </c>
      <c r="B18" s="1" t="n">
        <v>45784.63335648148</v>
      </c>
      <c r="C18" s="1" t="n">
        <v>45976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45976</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45976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45976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45976</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45976</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17942-2024</t>
        </is>
      </c>
      <c r="B24" s="1" t="n">
        <v>45419</v>
      </c>
      <c r="C24" s="1" t="n">
        <v>45976</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33339-2024</t>
        </is>
      </c>
      <c r="B25" s="1" t="n">
        <v>45519</v>
      </c>
      <c r="C25" s="1" t="n">
        <v>45976</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1524-2023</t>
        </is>
      </c>
      <c r="B26" s="1" t="n">
        <v>44935</v>
      </c>
      <c r="C26" s="1" t="n">
        <v>45976</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45976</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52439-2025</t>
        </is>
      </c>
      <c r="B28" s="1" t="n">
        <v>45954.40697916667</v>
      </c>
      <c r="C28" s="1" t="n">
        <v>45976</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28900-2024</t>
        </is>
      </c>
      <c r="B29" s="1" t="n">
        <v>45480</v>
      </c>
      <c r="C29" s="1" t="n">
        <v>45976</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45976</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45976</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45116-2023</t>
        </is>
      </c>
      <c r="B32" s="1" t="n">
        <v>45191</v>
      </c>
      <c r="C32" s="1" t="n">
        <v>45976</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27060-2025</t>
        </is>
      </c>
      <c r="B33" s="1" t="n">
        <v>45811.63590277778</v>
      </c>
      <c r="C33" s="1" t="n">
        <v>45976</v>
      </c>
      <c r="D33" t="inlineStr">
        <is>
          <t>UPPSALA LÄN</t>
        </is>
      </c>
      <c r="E33" t="inlineStr">
        <is>
          <t>ENKÖPING</t>
        </is>
      </c>
      <c r="G33" t="n">
        <v>2.6</v>
      </c>
      <c r="H33" t="n">
        <v>0</v>
      </c>
      <c r="I33" t="n">
        <v>1</v>
      </c>
      <c r="J33" t="n">
        <v>0</v>
      </c>
      <c r="K33" t="n">
        <v>0</v>
      </c>
      <c r="L33" t="n">
        <v>0</v>
      </c>
      <c r="M33" t="n">
        <v>0</v>
      </c>
      <c r="N33" t="n">
        <v>0</v>
      </c>
      <c r="O33" t="n">
        <v>0</v>
      </c>
      <c r="P33" t="n">
        <v>0</v>
      </c>
      <c r="Q33" t="n">
        <v>1</v>
      </c>
      <c r="R33" s="2" t="inlineStr">
        <is>
          <t>Granbarkgnagare</t>
        </is>
      </c>
      <c r="S33">
        <f>HYPERLINK("https://klasma.github.io/Logging_0381/artfynd/A 27060-2025 artfynd.xlsx", "A 27060-2025")</f>
        <v/>
      </c>
      <c r="T33">
        <f>HYPERLINK("https://klasma.github.io/Logging_0381/kartor/A 27060-2025 karta.png", "A 27060-2025")</f>
        <v/>
      </c>
      <c r="V33">
        <f>HYPERLINK("https://klasma.github.io/Logging_0381/klagomål/A 27060-2025 FSC-klagomål.docx", "A 27060-2025")</f>
        <v/>
      </c>
      <c r="W33">
        <f>HYPERLINK("https://klasma.github.io/Logging_0381/klagomålsmail/A 27060-2025 FSC-klagomål mail.docx", "A 27060-2025")</f>
        <v/>
      </c>
      <c r="X33">
        <f>HYPERLINK("https://klasma.github.io/Logging_0381/tillsyn/A 27060-2025 tillsynsbegäran.docx", "A 27060-2025")</f>
        <v/>
      </c>
      <c r="Y33">
        <f>HYPERLINK("https://klasma.github.io/Logging_0381/tillsynsmail/A 27060-2025 tillsynsbegäran mail.docx", "A 27060-2025")</f>
        <v/>
      </c>
    </row>
    <row r="34" ht="15" customHeight="1">
      <c r="A34" t="inlineStr">
        <is>
          <t>A 16683-2021</t>
        </is>
      </c>
      <c r="B34" s="1" t="n">
        <v>44294.58495370371</v>
      </c>
      <c r="C34" s="1" t="n">
        <v>45976</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45976</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45976</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45976</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45976</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45976</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45976</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45976</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45976</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45976</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45976</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45976</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45976</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45976</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45976</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45976</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45976</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45976</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45976</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45976</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45976</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45976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45976</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45976</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45976</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45976</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45976</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45976</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45976</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45976</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45976</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45976</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45976</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45976</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45976</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45976</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45976</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45976</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45976</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45976</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45976</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28795-2021</t>
        </is>
      </c>
      <c r="B88" s="1" t="n">
        <v>44357</v>
      </c>
      <c r="C88" s="1" t="n">
        <v>45976</v>
      </c>
      <c r="D88" t="inlineStr">
        <is>
          <t>UPPSALA LÄN</t>
        </is>
      </c>
      <c r="E88" t="inlineStr">
        <is>
          <t>ENKÖPING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45976</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45976</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49375-2021</t>
        </is>
      </c>
      <c r="B91" s="1" t="n">
        <v>44454</v>
      </c>
      <c r="C91" s="1" t="n">
        <v>45976</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45976</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45976</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57043-2021</t>
        </is>
      </c>
      <c r="B94" s="1" t="n">
        <v>44482.53399305556</v>
      </c>
      <c r="C94" s="1" t="n">
        <v>45976</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29983-2021</t>
        </is>
      </c>
      <c r="B95" s="1" t="n">
        <v>44363</v>
      </c>
      <c r="C95" s="1" t="n">
        <v>45976</v>
      </c>
      <c r="D95" t="inlineStr">
        <is>
          <t>UPPSALA LÄN</t>
        </is>
      </c>
      <c r="E95" t="inlineStr">
        <is>
          <t>ENKÖPING</t>
        </is>
      </c>
      <c r="F95" t="inlineStr">
        <is>
          <t>Kommuner</t>
        </is>
      </c>
      <c r="G95" t="n">
        <v>3.1</v>
      </c>
      <c r="H95" t="n">
        <v>0</v>
      </c>
      <c r="I95" t="n">
        <v>0</v>
      </c>
      <c r="J95" t="n">
        <v>0</v>
      </c>
      <c r="K95" t="n">
        <v>0</v>
      </c>
      <c r="L95" t="n">
        <v>0</v>
      </c>
      <c r="M95" t="n">
        <v>0</v>
      </c>
      <c r="N95" t="n">
        <v>0</v>
      </c>
      <c r="O95" t="n">
        <v>0</v>
      </c>
      <c r="P95" t="n">
        <v>0</v>
      </c>
      <c r="Q95" t="n">
        <v>0</v>
      </c>
      <c r="R95" s="2" t="inlineStr"/>
    </row>
    <row r="96" ht="15" customHeight="1">
      <c r="A96" t="inlineStr">
        <is>
          <t>A 42021-2021</t>
        </is>
      </c>
      <c r="B96" s="1" t="n">
        <v>44426</v>
      </c>
      <c r="C96" s="1" t="n">
        <v>45976</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17467-2022</t>
        </is>
      </c>
      <c r="B97" s="1" t="n">
        <v>44679</v>
      </c>
      <c r="C97" s="1" t="n">
        <v>45976</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15021-2022</t>
        </is>
      </c>
      <c r="B98" s="1" t="n">
        <v>44657</v>
      </c>
      <c r="C98" s="1" t="n">
        <v>45976</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49063-2024</t>
        </is>
      </c>
      <c r="B99" s="1" t="n">
        <v>45594.59869212963</v>
      </c>
      <c r="C99" s="1" t="n">
        <v>45976</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13853-2023</t>
        </is>
      </c>
      <c r="B100" s="1" t="n">
        <v>45007</v>
      </c>
      <c r="C100" s="1" t="n">
        <v>45976</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45976</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45976</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45976</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50747-2022</t>
        </is>
      </c>
      <c r="B104" s="1" t="n">
        <v>44867.40162037037</v>
      </c>
      <c r="C104" s="1" t="n">
        <v>45976</v>
      </c>
      <c r="D104" t="inlineStr">
        <is>
          <t>UPPSALA LÄN</t>
        </is>
      </c>
      <c r="E104" t="inlineStr">
        <is>
          <t>ENKÖPING</t>
        </is>
      </c>
      <c r="G104" t="n">
        <v>1.5</v>
      </c>
      <c r="H104" t="n">
        <v>0</v>
      </c>
      <c r="I104" t="n">
        <v>0</v>
      </c>
      <c r="J104" t="n">
        <v>0</v>
      </c>
      <c r="K104" t="n">
        <v>0</v>
      </c>
      <c r="L104" t="n">
        <v>0</v>
      </c>
      <c r="M104" t="n">
        <v>0</v>
      </c>
      <c r="N104" t="n">
        <v>0</v>
      </c>
      <c r="O104" t="n">
        <v>0</v>
      </c>
      <c r="P104" t="n">
        <v>0</v>
      </c>
      <c r="Q104" t="n">
        <v>0</v>
      </c>
      <c r="R104" s="2" t="inlineStr"/>
    </row>
    <row r="105" ht="15" customHeight="1">
      <c r="A105" t="inlineStr">
        <is>
          <t>A 17657-2025</t>
        </is>
      </c>
      <c r="B105" s="1" t="n">
        <v>45758.35006944444</v>
      </c>
      <c r="C105" s="1" t="n">
        <v>45976</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49568-2022</t>
        </is>
      </c>
      <c r="B106" s="1" t="n">
        <v>44862.32791666667</v>
      </c>
      <c r="C106" s="1" t="n">
        <v>45976</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69567-2020</t>
        </is>
      </c>
      <c r="B107" s="1" t="n">
        <v>44194</v>
      </c>
      <c r="C107" s="1" t="n">
        <v>45976</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45976</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45976</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68127-2021</t>
        </is>
      </c>
      <c r="B110" s="1" t="n">
        <v>44526.39513888889</v>
      </c>
      <c r="C110" s="1" t="n">
        <v>45976</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31013-2022</t>
        </is>
      </c>
      <c r="B111" s="1" t="n">
        <v>44768</v>
      </c>
      <c r="C111" s="1" t="n">
        <v>45976</v>
      </c>
      <c r="D111" t="inlineStr">
        <is>
          <t>UPPSALA LÄN</t>
        </is>
      </c>
      <c r="E111" t="inlineStr">
        <is>
          <t>ENKÖPING</t>
        </is>
      </c>
      <c r="F111" t="inlineStr">
        <is>
          <t>Allmännings- och besparingsskogar</t>
        </is>
      </c>
      <c r="G111" t="n">
        <v>0.5</v>
      </c>
      <c r="H111" t="n">
        <v>0</v>
      </c>
      <c r="I111" t="n">
        <v>0</v>
      </c>
      <c r="J111" t="n">
        <v>0</v>
      </c>
      <c r="K111" t="n">
        <v>0</v>
      </c>
      <c r="L111" t="n">
        <v>0</v>
      </c>
      <c r="M111" t="n">
        <v>0</v>
      </c>
      <c r="N111" t="n">
        <v>0</v>
      </c>
      <c r="O111" t="n">
        <v>0</v>
      </c>
      <c r="P111" t="n">
        <v>0</v>
      </c>
      <c r="Q111" t="n">
        <v>0</v>
      </c>
      <c r="R111" s="2" t="inlineStr"/>
    </row>
    <row r="112" ht="15" customHeight="1">
      <c r="A112" t="inlineStr">
        <is>
          <t>A 47681-2024</t>
        </is>
      </c>
      <c r="B112" s="1" t="n">
        <v>45588</v>
      </c>
      <c r="C112" s="1" t="n">
        <v>45976</v>
      </c>
      <c r="D112" t="inlineStr">
        <is>
          <t>UPPSALA LÄN</t>
        </is>
      </c>
      <c r="E112" t="inlineStr">
        <is>
          <t>ENKÖPING</t>
        </is>
      </c>
      <c r="G112" t="n">
        <v>4.2</v>
      </c>
      <c r="H112" t="n">
        <v>0</v>
      </c>
      <c r="I112" t="n">
        <v>0</v>
      </c>
      <c r="J112" t="n">
        <v>0</v>
      </c>
      <c r="K112" t="n">
        <v>0</v>
      </c>
      <c r="L112" t="n">
        <v>0</v>
      </c>
      <c r="M112" t="n">
        <v>0</v>
      </c>
      <c r="N112" t="n">
        <v>0</v>
      </c>
      <c r="O112" t="n">
        <v>0</v>
      </c>
      <c r="P112" t="n">
        <v>0</v>
      </c>
      <c r="Q112" t="n">
        <v>0</v>
      </c>
      <c r="R112" s="2" t="inlineStr"/>
    </row>
    <row r="113" ht="15" customHeight="1">
      <c r="A113" t="inlineStr">
        <is>
          <t>A 42029-2021</t>
        </is>
      </c>
      <c r="B113" s="1" t="n">
        <v>44426</v>
      </c>
      <c r="C113" s="1" t="n">
        <v>45976</v>
      </c>
      <c r="D113" t="inlineStr">
        <is>
          <t>UPPSALA LÄN</t>
        </is>
      </c>
      <c r="E113" t="inlineStr">
        <is>
          <t>ENKÖPING</t>
        </is>
      </c>
      <c r="G113" t="n">
        <v>5.3</v>
      </c>
      <c r="H113" t="n">
        <v>0</v>
      </c>
      <c r="I113" t="n">
        <v>0</v>
      </c>
      <c r="J113" t="n">
        <v>0</v>
      </c>
      <c r="K113" t="n">
        <v>0</v>
      </c>
      <c r="L113" t="n">
        <v>0</v>
      </c>
      <c r="M113" t="n">
        <v>0</v>
      </c>
      <c r="N113" t="n">
        <v>0</v>
      </c>
      <c r="O113" t="n">
        <v>0</v>
      </c>
      <c r="P113" t="n">
        <v>0</v>
      </c>
      <c r="Q113" t="n">
        <v>0</v>
      </c>
      <c r="R113" s="2" t="inlineStr"/>
    </row>
    <row r="114" ht="15" customHeight="1">
      <c r="A114" t="inlineStr">
        <is>
          <t>A 1971-2022</t>
        </is>
      </c>
      <c r="B114" s="1" t="n">
        <v>44575</v>
      </c>
      <c r="C114" s="1" t="n">
        <v>45976</v>
      </c>
      <c r="D114" t="inlineStr">
        <is>
          <t>UPPSALA LÄN</t>
        </is>
      </c>
      <c r="E114" t="inlineStr">
        <is>
          <t>ENKÖPING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15711-2025</t>
        </is>
      </c>
      <c r="B115" s="1" t="n">
        <v>45748</v>
      </c>
      <c r="C115" s="1" t="n">
        <v>45976</v>
      </c>
      <c r="D115" t="inlineStr">
        <is>
          <t>UPPSALA LÄN</t>
        </is>
      </c>
      <c r="E115" t="inlineStr">
        <is>
          <t>ENKÖPING</t>
        </is>
      </c>
      <c r="G115" t="n">
        <v>1.3</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45976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20067-2021</t>
        </is>
      </c>
      <c r="B117" s="1" t="n">
        <v>44314</v>
      </c>
      <c r="C117" s="1" t="n">
        <v>45976</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28318-2024</t>
        </is>
      </c>
      <c r="B118" s="1" t="n">
        <v>45477</v>
      </c>
      <c r="C118" s="1" t="n">
        <v>45976</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45976</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45976</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15924-2022</t>
        </is>
      </c>
      <c r="B121" s="1" t="n">
        <v>44664</v>
      </c>
      <c r="C121" s="1" t="n">
        <v>45976</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15943-2022</t>
        </is>
      </c>
      <c r="B122" s="1" t="n">
        <v>44664.66428240741</v>
      </c>
      <c r="C122" s="1" t="n">
        <v>45976</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66517-2020</t>
        </is>
      </c>
      <c r="B123" s="1" t="n">
        <v>44178</v>
      </c>
      <c r="C123" s="1" t="n">
        <v>45976</v>
      </c>
      <c r="D123" t="inlineStr">
        <is>
          <t>UPPSALA LÄN</t>
        </is>
      </c>
      <c r="E123" t="inlineStr">
        <is>
          <t>ENKÖPING</t>
        </is>
      </c>
      <c r="G123" t="n">
        <v>4</v>
      </c>
      <c r="H123" t="n">
        <v>0</v>
      </c>
      <c r="I123" t="n">
        <v>0</v>
      </c>
      <c r="J123" t="n">
        <v>0</v>
      </c>
      <c r="K123" t="n">
        <v>0</v>
      </c>
      <c r="L123" t="n">
        <v>0</v>
      </c>
      <c r="M123" t="n">
        <v>0</v>
      </c>
      <c r="N123" t="n">
        <v>0</v>
      </c>
      <c r="O123" t="n">
        <v>0</v>
      </c>
      <c r="P123" t="n">
        <v>0</v>
      </c>
      <c r="Q123" t="n">
        <v>0</v>
      </c>
      <c r="R123" s="2" t="inlineStr"/>
    </row>
    <row r="124" ht="15" customHeight="1">
      <c r="A124" t="inlineStr">
        <is>
          <t>A 47106-2021</t>
        </is>
      </c>
      <c r="B124" s="1" t="n">
        <v>44446</v>
      </c>
      <c r="C124" s="1" t="n">
        <v>45976</v>
      </c>
      <c r="D124" t="inlineStr">
        <is>
          <t>UPPSALA LÄN</t>
        </is>
      </c>
      <c r="E124" t="inlineStr">
        <is>
          <t>ENKÖPING</t>
        </is>
      </c>
      <c r="G124" t="n">
        <v>7.6</v>
      </c>
      <c r="H124" t="n">
        <v>0</v>
      </c>
      <c r="I124" t="n">
        <v>0</v>
      </c>
      <c r="J124" t="n">
        <v>0</v>
      </c>
      <c r="K124" t="n">
        <v>0</v>
      </c>
      <c r="L124" t="n">
        <v>0</v>
      </c>
      <c r="M124" t="n">
        <v>0</v>
      </c>
      <c r="N124" t="n">
        <v>0</v>
      </c>
      <c r="O124" t="n">
        <v>0</v>
      </c>
      <c r="P124" t="n">
        <v>0</v>
      </c>
      <c r="Q124" t="n">
        <v>0</v>
      </c>
      <c r="R124" s="2" t="inlineStr"/>
    </row>
    <row r="125" ht="15" customHeight="1">
      <c r="A125" t="inlineStr">
        <is>
          <t>A 19731-2022</t>
        </is>
      </c>
      <c r="B125" s="1" t="n">
        <v>44694</v>
      </c>
      <c r="C125" s="1" t="n">
        <v>45976</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69344-2021</t>
        </is>
      </c>
      <c r="B126" s="1" t="n">
        <v>44531</v>
      </c>
      <c r="C126" s="1" t="n">
        <v>45976</v>
      </c>
      <c r="D126" t="inlineStr">
        <is>
          <t>UPPSALA LÄN</t>
        </is>
      </c>
      <c r="E126" t="inlineStr">
        <is>
          <t>ENKÖPING</t>
        </is>
      </c>
      <c r="G126" t="n">
        <v>2.9</v>
      </c>
      <c r="H126" t="n">
        <v>0</v>
      </c>
      <c r="I126" t="n">
        <v>0</v>
      </c>
      <c r="J126" t="n">
        <v>0</v>
      </c>
      <c r="K126" t="n">
        <v>0</v>
      </c>
      <c r="L126" t="n">
        <v>0</v>
      </c>
      <c r="M126" t="n">
        <v>0</v>
      </c>
      <c r="N126" t="n">
        <v>0</v>
      </c>
      <c r="O126" t="n">
        <v>0</v>
      </c>
      <c r="P126" t="n">
        <v>0</v>
      </c>
      <c r="Q126" t="n">
        <v>0</v>
      </c>
      <c r="R126" s="2" t="inlineStr"/>
    </row>
    <row r="127" ht="15" customHeight="1">
      <c r="A127" t="inlineStr">
        <is>
          <t>A 51524-2022</t>
        </is>
      </c>
      <c r="B127" s="1" t="n">
        <v>44869</v>
      </c>
      <c r="C127" s="1" t="n">
        <v>45976</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16920-2023</t>
        </is>
      </c>
      <c r="B128" s="1" t="n">
        <v>45033.59030092593</v>
      </c>
      <c r="C128" s="1" t="n">
        <v>45976</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27786-2023</t>
        </is>
      </c>
      <c r="B129" s="1" t="n">
        <v>45098</v>
      </c>
      <c r="C129" s="1" t="n">
        <v>45976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25989-2025</t>
        </is>
      </c>
      <c r="B130" s="1" t="n">
        <v>45804.65050925926</v>
      </c>
      <c r="C130" s="1" t="n">
        <v>45976</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53586-2024</t>
        </is>
      </c>
      <c r="B131" s="1" t="n">
        <v>45614</v>
      </c>
      <c r="C131" s="1" t="n">
        <v>45976</v>
      </c>
      <c r="D131" t="inlineStr">
        <is>
          <t>UPPSALA LÄN</t>
        </is>
      </c>
      <c r="E131" t="inlineStr">
        <is>
          <t>ENKÖPING</t>
        </is>
      </c>
      <c r="G131" t="n">
        <v>6.6</v>
      </c>
      <c r="H131" t="n">
        <v>0</v>
      </c>
      <c r="I131" t="n">
        <v>0</v>
      </c>
      <c r="J131" t="n">
        <v>0</v>
      </c>
      <c r="K131" t="n">
        <v>0</v>
      </c>
      <c r="L131" t="n">
        <v>0</v>
      </c>
      <c r="M131" t="n">
        <v>0</v>
      </c>
      <c r="N131" t="n">
        <v>0</v>
      </c>
      <c r="O131" t="n">
        <v>0</v>
      </c>
      <c r="P131" t="n">
        <v>0</v>
      </c>
      <c r="Q131" t="n">
        <v>0</v>
      </c>
      <c r="R131" s="2" t="inlineStr"/>
    </row>
    <row r="132" ht="15" customHeight="1">
      <c r="A132" t="inlineStr">
        <is>
          <t>A 46103-2023</t>
        </is>
      </c>
      <c r="B132" s="1" t="n">
        <v>45190</v>
      </c>
      <c r="C132" s="1" t="n">
        <v>45976</v>
      </c>
      <c r="D132" t="inlineStr">
        <is>
          <t>UPPSALA LÄN</t>
        </is>
      </c>
      <c r="E132" t="inlineStr">
        <is>
          <t>ENKÖPING</t>
        </is>
      </c>
      <c r="G132" t="n">
        <v>4.6</v>
      </c>
      <c r="H132" t="n">
        <v>0</v>
      </c>
      <c r="I132" t="n">
        <v>0</v>
      </c>
      <c r="J132" t="n">
        <v>0</v>
      </c>
      <c r="K132" t="n">
        <v>0</v>
      </c>
      <c r="L132" t="n">
        <v>0</v>
      </c>
      <c r="M132" t="n">
        <v>0</v>
      </c>
      <c r="N132" t="n">
        <v>0</v>
      </c>
      <c r="O132" t="n">
        <v>0</v>
      </c>
      <c r="P132" t="n">
        <v>0</v>
      </c>
      <c r="Q132" t="n">
        <v>0</v>
      </c>
      <c r="R132" s="2" t="inlineStr"/>
    </row>
    <row r="133" ht="15" customHeight="1">
      <c r="A133" t="inlineStr">
        <is>
          <t>A 41737-2022</t>
        </is>
      </c>
      <c r="B133" s="1" t="n">
        <v>44827.63826388889</v>
      </c>
      <c r="C133" s="1" t="n">
        <v>45976</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8137-2025</t>
        </is>
      </c>
      <c r="B134" s="1" t="n">
        <v>45707.8561574074</v>
      </c>
      <c r="C134" s="1" t="n">
        <v>45976</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36599-2025</t>
        </is>
      </c>
      <c r="B135" s="1" t="n">
        <v>45870.51723379629</v>
      </c>
      <c r="C135" s="1" t="n">
        <v>45976</v>
      </c>
      <c r="D135" t="inlineStr">
        <is>
          <t>UPPSALA LÄN</t>
        </is>
      </c>
      <c r="E135" t="inlineStr">
        <is>
          <t>ENKÖPING</t>
        </is>
      </c>
      <c r="G135" t="n">
        <v>5.9</v>
      </c>
      <c r="H135" t="n">
        <v>0</v>
      </c>
      <c r="I135" t="n">
        <v>0</v>
      </c>
      <c r="J135" t="n">
        <v>0</v>
      </c>
      <c r="K135" t="n">
        <v>0</v>
      </c>
      <c r="L135" t="n">
        <v>0</v>
      </c>
      <c r="M135" t="n">
        <v>0</v>
      </c>
      <c r="N135" t="n">
        <v>0</v>
      </c>
      <c r="O135" t="n">
        <v>0</v>
      </c>
      <c r="P135" t="n">
        <v>0</v>
      </c>
      <c r="Q135" t="n">
        <v>0</v>
      </c>
      <c r="R135" s="2" t="inlineStr"/>
    </row>
    <row r="136" ht="15" customHeight="1">
      <c r="A136" t="inlineStr">
        <is>
          <t>A 48864-2022</t>
        </is>
      </c>
      <c r="B136" s="1" t="n">
        <v>44859</v>
      </c>
      <c r="C136" s="1" t="n">
        <v>45976</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6242-2025</t>
        </is>
      </c>
      <c r="B137" s="1" t="n">
        <v>45697</v>
      </c>
      <c r="C137" s="1" t="n">
        <v>45976</v>
      </c>
      <c r="D137" t="inlineStr">
        <is>
          <t>UPPSALA LÄN</t>
        </is>
      </c>
      <c r="E137" t="inlineStr">
        <is>
          <t>ENKÖPING</t>
        </is>
      </c>
      <c r="G137" t="n">
        <v>17.9</v>
      </c>
      <c r="H137" t="n">
        <v>0</v>
      </c>
      <c r="I137" t="n">
        <v>0</v>
      </c>
      <c r="J137" t="n">
        <v>0</v>
      </c>
      <c r="K137" t="n">
        <v>0</v>
      </c>
      <c r="L137" t="n">
        <v>0</v>
      </c>
      <c r="M137" t="n">
        <v>0</v>
      </c>
      <c r="N137" t="n">
        <v>0</v>
      </c>
      <c r="O137" t="n">
        <v>0</v>
      </c>
      <c r="P137" t="n">
        <v>0</v>
      </c>
      <c r="Q137" t="n">
        <v>0</v>
      </c>
      <c r="R137" s="2" t="inlineStr"/>
    </row>
    <row r="138" ht="15" customHeight="1">
      <c r="A138" t="inlineStr">
        <is>
          <t>A 42459-2024</t>
        </is>
      </c>
      <c r="B138" s="1" t="n">
        <v>45565</v>
      </c>
      <c r="C138" s="1" t="n">
        <v>45976</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43506-2023</t>
        </is>
      </c>
      <c r="B139" s="1" t="n">
        <v>45181</v>
      </c>
      <c r="C139" s="1" t="n">
        <v>45976</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23301-2024</t>
        </is>
      </c>
      <c r="B140" s="1" t="n">
        <v>45453.4396412037</v>
      </c>
      <c r="C140" s="1" t="n">
        <v>45976</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60125-2024</t>
        </is>
      </c>
      <c r="B141" s="1" t="n">
        <v>45642</v>
      </c>
      <c r="C141" s="1" t="n">
        <v>45976</v>
      </c>
      <c r="D141" t="inlineStr">
        <is>
          <t>UPPSALA LÄN</t>
        </is>
      </c>
      <c r="E141" t="inlineStr">
        <is>
          <t>ENKÖPING</t>
        </is>
      </c>
      <c r="G141" t="n">
        <v>2.1</v>
      </c>
      <c r="H141" t="n">
        <v>0</v>
      </c>
      <c r="I141" t="n">
        <v>0</v>
      </c>
      <c r="J141" t="n">
        <v>0</v>
      </c>
      <c r="K141" t="n">
        <v>0</v>
      </c>
      <c r="L141" t="n">
        <v>0</v>
      </c>
      <c r="M141" t="n">
        <v>0</v>
      </c>
      <c r="N141" t="n">
        <v>0</v>
      </c>
      <c r="O141" t="n">
        <v>0</v>
      </c>
      <c r="P141" t="n">
        <v>0</v>
      </c>
      <c r="Q141" t="n">
        <v>0</v>
      </c>
      <c r="R141" s="2" t="inlineStr"/>
    </row>
    <row r="142" ht="15" customHeight="1">
      <c r="A142" t="inlineStr">
        <is>
          <t>A 46186-2023</t>
        </is>
      </c>
      <c r="B142" s="1" t="n">
        <v>45196</v>
      </c>
      <c r="C142" s="1" t="n">
        <v>45976</v>
      </c>
      <c r="D142" t="inlineStr">
        <is>
          <t>UPPSALA LÄN</t>
        </is>
      </c>
      <c r="E142" t="inlineStr">
        <is>
          <t>ENKÖPING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52380-2024</t>
        </is>
      </c>
      <c r="B143" s="1" t="n">
        <v>45609</v>
      </c>
      <c r="C143" s="1" t="n">
        <v>45976</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54595-2021</t>
        </is>
      </c>
      <c r="B144" s="1" t="n">
        <v>44473.58824074074</v>
      </c>
      <c r="C144" s="1" t="n">
        <v>45976</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54588-2024</t>
        </is>
      </c>
      <c r="B145" s="1" t="n">
        <v>45617</v>
      </c>
      <c r="C145" s="1" t="n">
        <v>45976</v>
      </c>
      <c r="D145" t="inlineStr">
        <is>
          <t>UPPSALA LÄN</t>
        </is>
      </c>
      <c r="E145" t="inlineStr">
        <is>
          <t>ENKÖPING</t>
        </is>
      </c>
      <c r="G145" t="n">
        <v>3.7</v>
      </c>
      <c r="H145" t="n">
        <v>0</v>
      </c>
      <c r="I145" t="n">
        <v>0</v>
      </c>
      <c r="J145" t="n">
        <v>0</v>
      </c>
      <c r="K145" t="n">
        <v>0</v>
      </c>
      <c r="L145" t="n">
        <v>0</v>
      </c>
      <c r="M145" t="n">
        <v>0</v>
      </c>
      <c r="N145" t="n">
        <v>0</v>
      </c>
      <c r="O145" t="n">
        <v>0</v>
      </c>
      <c r="P145" t="n">
        <v>0</v>
      </c>
      <c r="Q145" t="n">
        <v>0</v>
      </c>
      <c r="R145" s="2" t="inlineStr"/>
    </row>
    <row r="146" ht="15" customHeight="1">
      <c r="A146" t="inlineStr">
        <is>
          <t>A 10468-2025</t>
        </is>
      </c>
      <c r="B146" s="1" t="n">
        <v>45720</v>
      </c>
      <c r="C146" s="1" t="n">
        <v>45976</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37498-2025</t>
        </is>
      </c>
      <c r="B147" s="1" t="n">
        <v>45877</v>
      </c>
      <c r="C147" s="1" t="n">
        <v>45976</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47428-2023</t>
        </is>
      </c>
      <c r="B148" s="1" t="n">
        <v>45202.66664351852</v>
      </c>
      <c r="C148" s="1" t="n">
        <v>45976</v>
      </c>
      <c r="D148" t="inlineStr">
        <is>
          <t>UPPSALA LÄN</t>
        </is>
      </c>
      <c r="E148" t="inlineStr">
        <is>
          <t>ENKÖPING</t>
        </is>
      </c>
      <c r="G148" t="n">
        <v>3</v>
      </c>
      <c r="H148" t="n">
        <v>0</v>
      </c>
      <c r="I148" t="n">
        <v>0</v>
      </c>
      <c r="J148" t="n">
        <v>0</v>
      </c>
      <c r="K148" t="n">
        <v>0</v>
      </c>
      <c r="L148" t="n">
        <v>0</v>
      </c>
      <c r="M148" t="n">
        <v>0</v>
      </c>
      <c r="N148" t="n">
        <v>0</v>
      </c>
      <c r="O148" t="n">
        <v>0</v>
      </c>
      <c r="P148" t="n">
        <v>0</v>
      </c>
      <c r="Q148" t="n">
        <v>0</v>
      </c>
      <c r="R148" s="2" t="inlineStr"/>
    </row>
    <row r="149" ht="15" customHeight="1">
      <c r="A149" t="inlineStr">
        <is>
          <t>A 37296-2025</t>
        </is>
      </c>
      <c r="B149" s="1" t="n">
        <v>45876</v>
      </c>
      <c r="C149" s="1" t="n">
        <v>45976</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30098-2024</t>
        </is>
      </c>
      <c r="B150" s="1" t="n">
        <v>45489.41609953704</v>
      </c>
      <c r="C150" s="1" t="n">
        <v>45976</v>
      </c>
      <c r="D150" t="inlineStr">
        <is>
          <t>UPPSALA LÄN</t>
        </is>
      </c>
      <c r="E150" t="inlineStr">
        <is>
          <t>ENKÖPING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34735-2023</t>
        </is>
      </c>
      <c r="B151" s="1" t="n">
        <v>45139</v>
      </c>
      <c r="C151" s="1" t="n">
        <v>45976</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37319-2025</t>
        </is>
      </c>
      <c r="B152" s="1" t="n">
        <v>45876</v>
      </c>
      <c r="C152" s="1" t="n">
        <v>45976</v>
      </c>
      <c r="D152" t="inlineStr">
        <is>
          <t>UPPSALA LÄN</t>
        </is>
      </c>
      <c r="E152" t="inlineStr">
        <is>
          <t>ENKÖPING</t>
        </is>
      </c>
      <c r="G152" t="n">
        <v>9.5</v>
      </c>
      <c r="H152" t="n">
        <v>0</v>
      </c>
      <c r="I152" t="n">
        <v>0</v>
      </c>
      <c r="J152" t="n">
        <v>0</v>
      </c>
      <c r="K152" t="n">
        <v>0</v>
      </c>
      <c r="L152" t="n">
        <v>0</v>
      </c>
      <c r="M152" t="n">
        <v>0</v>
      </c>
      <c r="N152" t="n">
        <v>0</v>
      </c>
      <c r="O152" t="n">
        <v>0</v>
      </c>
      <c r="P152" t="n">
        <v>0</v>
      </c>
      <c r="Q152" t="n">
        <v>0</v>
      </c>
      <c r="R152" s="2" t="inlineStr"/>
    </row>
    <row r="153" ht="15" customHeight="1">
      <c r="A153" t="inlineStr">
        <is>
          <t>A 5892-2023</t>
        </is>
      </c>
      <c r="B153" s="1" t="n">
        <v>44963.64883101852</v>
      </c>
      <c r="C153" s="1" t="n">
        <v>45976</v>
      </c>
      <c r="D153" t="inlineStr">
        <is>
          <t>UPPSALA LÄN</t>
        </is>
      </c>
      <c r="E153" t="inlineStr">
        <is>
          <t>ENKÖPING</t>
        </is>
      </c>
      <c r="G153" t="n">
        <v>5.5</v>
      </c>
      <c r="H153" t="n">
        <v>0</v>
      </c>
      <c r="I153" t="n">
        <v>0</v>
      </c>
      <c r="J153" t="n">
        <v>0</v>
      </c>
      <c r="K153" t="n">
        <v>0</v>
      </c>
      <c r="L153" t="n">
        <v>0</v>
      </c>
      <c r="M153" t="n">
        <v>0</v>
      </c>
      <c r="N153" t="n">
        <v>0</v>
      </c>
      <c r="O153" t="n">
        <v>0</v>
      </c>
      <c r="P153" t="n">
        <v>0</v>
      </c>
      <c r="Q153" t="n">
        <v>0</v>
      </c>
      <c r="R153" s="2" t="inlineStr"/>
    </row>
    <row r="154" ht="15" customHeight="1">
      <c r="A154" t="inlineStr">
        <is>
          <t>A 12572-2021</t>
        </is>
      </c>
      <c r="B154" s="1" t="n">
        <v>44270.36438657407</v>
      </c>
      <c r="C154" s="1" t="n">
        <v>45976</v>
      </c>
      <c r="D154" t="inlineStr">
        <is>
          <t>UPPSALA LÄN</t>
        </is>
      </c>
      <c r="E154" t="inlineStr">
        <is>
          <t>ENKÖPING</t>
        </is>
      </c>
      <c r="G154" t="n">
        <v>3.3</v>
      </c>
      <c r="H154" t="n">
        <v>0</v>
      </c>
      <c r="I154" t="n">
        <v>0</v>
      </c>
      <c r="J154" t="n">
        <v>0</v>
      </c>
      <c r="K154" t="n">
        <v>0</v>
      </c>
      <c r="L154" t="n">
        <v>0</v>
      </c>
      <c r="M154" t="n">
        <v>0</v>
      </c>
      <c r="N154" t="n">
        <v>0</v>
      </c>
      <c r="O154" t="n">
        <v>0</v>
      </c>
      <c r="P154" t="n">
        <v>0</v>
      </c>
      <c r="Q154" t="n">
        <v>0</v>
      </c>
      <c r="R154" s="2" t="inlineStr"/>
    </row>
    <row r="155" ht="15" customHeight="1">
      <c r="A155" t="inlineStr">
        <is>
          <t>A 57328-2024</t>
        </is>
      </c>
      <c r="B155" s="1" t="n">
        <v>45629.62798611111</v>
      </c>
      <c r="C155" s="1" t="n">
        <v>45976</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671-2022</t>
        </is>
      </c>
      <c r="B156" s="1" t="n">
        <v>44568</v>
      </c>
      <c r="C156" s="1" t="n">
        <v>45976</v>
      </c>
      <c r="D156" t="inlineStr">
        <is>
          <t>UPPSALA LÄN</t>
        </is>
      </c>
      <c r="E156" t="inlineStr">
        <is>
          <t>ENKÖPING</t>
        </is>
      </c>
      <c r="G156" t="n">
        <v>3.5</v>
      </c>
      <c r="H156" t="n">
        <v>0</v>
      </c>
      <c r="I156" t="n">
        <v>0</v>
      </c>
      <c r="J156" t="n">
        <v>0</v>
      </c>
      <c r="K156" t="n">
        <v>0</v>
      </c>
      <c r="L156" t="n">
        <v>0</v>
      </c>
      <c r="M156" t="n">
        <v>0</v>
      </c>
      <c r="N156" t="n">
        <v>0</v>
      </c>
      <c r="O156" t="n">
        <v>0</v>
      </c>
      <c r="P156" t="n">
        <v>0</v>
      </c>
      <c r="Q156" t="n">
        <v>0</v>
      </c>
      <c r="R156" s="2" t="inlineStr"/>
    </row>
    <row r="157" ht="15" customHeight="1">
      <c r="A157" t="inlineStr">
        <is>
          <t>A 5211-2024</t>
        </is>
      </c>
      <c r="B157" s="1" t="n">
        <v>45330</v>
      </c>
      <c r="C157" s="1" t="n">
        <v>45976</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49622-2024</t>
        </is>
      </c>
      <c r="B158" s="1" t="n">
        <v>45596.58372685185</v>
      </c>
      <c r="C158" s="1" t="n">
        <v>45976</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43488-2023</t>
        </is>
      </c>
      <c r="B159" s="1" t="n">
        <v>45181</v>
      </c>
      <c r="C159" s="1" t="n">
        <v>45976</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10409-2025</t>
        </is>
      </c>
      <c r="B160" s="1" t="n">
        <v>45720.631875</v>
      </c>
      <c r="C160" s="1" t="n">
        <v>45976</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29482-2022</t>
        </is>
      </c>
      <c r="B161" s="1" t="n">
        <v>44753.57703703704</v>
      </c>
      <c r="C161" s="1" t="n">
        <v>45976</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29483-2022</t>
        </is>
      </c>
      <c r="B162" s="1" t="n">
        <v>44753.57829861111</v>
      </c>
      <c r="C162" s="1" t="n">
        <v>45976</v>
      </c>
      <c r="D162" t="inlineStr">
        <is>
          <t>UPPSALA LÄN</t>
        </is>
      </c>
      <c r="E162" t="inlineStr">
        <is>
          <t>ENKÖPING</t>
        </is>
      </c>
      <c r="G162" t="n">
        <v>3.6</v>
      </c>
      <c r="H162" t="n">
        <v>0</v>
      </c>
      <c r="I162" t="n">
        <v>0</v>
      </c>
      <c r="J162" t="n">
        <v>0</v>
      </c>
      <c r="K162" t="n">
        <v>0</v>
      </c>
      <c r="L162" t="n">
        <v>0</v>
      </c>
      <c r="M162" t="n">
        <v>0</v>
      </c>
      <c r="N162" t="n">
        <v>0</v>
      </c>
      <c r="O162" t="n">
        <v>0</v>
      </c>
      <c r="P162" t="n">
        <v>0</v>
      </c>
      <c r="Q162" t="n">
        <v>0</v>
      </c>
      <c r="R162" s="2" t="inlineStr"/>
    </row>
    <row r="163" ht="15" customHeight="1">
      <c r="A163" t="inlineStr">
        <is>
          <t>A 9171-2024</t>
        </is>
      </c>
      <c r="B163" s="1" t="n">
        <v>45358</v>
      </c>
      <c r="C163" s="1" t="n">
        <v>45976</v>
      </c>
      <c r="D163" t="inlineStr">
        <is>
          <t>UPPSALA LÄN</t>
        </is>
      </c>
      <c r="E163" t="inlineStr">
        <is>
          <t>ENKÖPING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18299-2025</t>
        </is>
      </c>
      <c r="B164" s="1" t="n">
        <v>45762</v>
      </c>
      <c r="C164" s="1" t="n">
        <v>45976</v>
      </c>
      <c r="D164" t="inlineStr">
        <is>
          <t>UPPSALA LÄN</t>
        </is>
      </c>
      <c r="E164" t="inlineStr">
        <is>
          <t>ENKÖPING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44232-2022</t>
        </is>
      </c>
      <c r="B165" s="1" t="n">
        <v>44839</v>
      </c>
      <c r="C165" s="1" t="n">
        <v>45976</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61106-2022</t>
        </is>
      </c>
      <c r="B166" s="1" t="n">
        <v>44915.4128587963</v>
      </c>
      <c r="C166" s="1" t="n">
        <v>45976</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21686-2022</t>
        </is>
      </c>
      <c r="B167" s="1" t="n">
        <v>44707</v>
      </c>
      <c r="C167" s="1" t="n">
        <v>45976</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18831-2023</t>
        </is>
      </c>
      <c r="B168" s="1" t="n">
        <v>45044.40798611111</v>
      </c>
      <c r="C168" s="1" t="n">
        <v>45976</v>
      </c>
      <c r="D168" t="inlineStr">
        <is>
          <t>UPPSALA LÄN</t>
        </is>
      </c>
      <c r="E168" t="inlineStr">
        <is>
          <t>ENKÖPING</t>
        </is>
      </c>
      <c r="G168" t="n">
        <v>4.3</v>
      </c>
      <c r="H168" t="n">
        <v>0</v>
      </c>
      <c r="I168" t="n">
        <v>0</v>
      </c>
      <c r="J168" t="n">
        <v>0</v>
      </c>
      <c r="K168" t="n">
        <v>0</v>
      </c>
      <c r="L168" t="n">
        <v>0</v>
      </c>
      <c r="M168" t="n">
        <v>0</v>
      </c>
      <c r="N168" t="n">
        <v>0</v>
      </c>
      <c r="O168" t="n">
        <v>0</v>
      </c>
      <c r="P168" t="n">
        <v>0</v>
      </c>
      <c r="Q168" t="n">
        <v>0</v>
      </c>
      <c r="R168" s="2" t="inlineStr"/>
    </row>
    <row r="169" ht="15" customHeight="1">
      <c r="A169" t="inlineStr">
        <is>
          <t>A 39624-2023</t>
        </is>
      </c>
      <c r="B169" s="1" t="n">
        <v>45164</v>
      </c>
      <c r="C169" s="1" t="n">
        <v>45976</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20184-2023</t>
        </is>
      </c>
      <c r="B170" s="1" t="n">
        <v>45055.5670949074</v>
      </c>
      <c r="C170" s="1" t="n">
        <v>45976</v>
      </c>
      <c r="D170" t="inlineStr">
        <is>
          <t>UPPSALA LÄN</t>
        </is>
      </c>
      <c r="E170" t="inlineStr">
        <is>
          <t>ENKÖPING</t>
        </is>
      </c>
      <c r="G170" t="n">
        <v>3.2</v>
      </c>
      <c r="H170" t="n">
        <v>0</v>
      </c>
      <c r="I170" t="n">
        <v>0</v>
      </c>
      <c r="J170" t="n">
        <v>0</v>
      </c>
      <c r="K170" t="n">
        <v>0</v>
      </c>
      <c r="L170" t="n">
        <v>0</v>
      </c>
      <c r="M170" t="n">
        <v>0</v>
      </c>
      <c r="N170" t="n">
        <v>0</v>
      </c>
      <c r="O170" t="n">
        <v>0</v>
      </c>
      <c r="P170" t="n">
        <v>0</v>
      </c>
      <c r="Q170" t="n">
        <v>0</v>
      </c>
      <c r="R170" s="2" t="inlineStr"/>
    </row>
    <row r="171" ht="15" customHeight="1">
      <c r="A171" t="inlineStr">
        <is>
          <t>A 8152-2022</t>
        </is>
      </c>
      <c r="B171" s="1" t="n">
        <v>44609</v>
      </c>
      <c r="C171" s="1" t="n">
        <v>45976</v>
      </c>
      <c r="D171" t="inlineStr">
        <is>
          <t>UPPSALA LÄN</t>
        </is>
      </c>
      <c r="E171" t="inlineStr">
        <is>
          <t>ENKÖPING</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6172-2023</t>
        </is>
      </c>
      <c r="B172" s="1" t="n">
        <v>44964.68663194445</v>
      </c>
      <c r="C172" s="1" t="n">
        <v>45976</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14402-2023</t>
        </is>
      </c>
      <c r="B173" s="1" t="n">
        <v>45012</v>
      </c>
      <c r="C173" s="1" t="n">
        <v>45976</v>
      </c>
      <c r="D173" t="inlineStr">
        <is>
          <t>UPPSALA LÄN</t>
        </is>
      </c>
      <c r="E173" t="inlineStr">
        <is>
          <t>ENKÖPING</t>
        </is>
      </c>
      <c r="G173" t="n">
        <v>9.5</v>
      </c>
      <c r="H173" t="n">
        <v>0</v>
      </c>
      <c r="I173" t="n">
        <v>0</v>
      </c>
      <c r="J173" t="n">
        <v>0</v>
      </c>
      <c r="K173" t="n">
        <v>0</v>
      </c>
      <c r="L173" t="n">
        <v>0</v>
      </c>
      <c r="M173" t="n">
        <v>0</v>
      </c>
      <c r="N173" t="n">
        <v>0</v>
      </c>
      <c r="O173" t="n">
        <v>0</v>
      </c>
      <c r="P173" t="n">
        <v>0</v>
      </c>
      <c r="Q173" t="n">
        <v>0</v>
      </c>
      <c r="R173" s="2" t="inlineStr"/>
    </row>
    <row r="174" ht="15" customHeight="1">
      <c r="A174" t="inlineStr">
        <is>
          <t>A 43230-2023</t>
        </is>
      </c>
      <c r="B174" s="1" t="n">
        <v>45183</v>
      </c>
      <c r="C174" s="1" t="n">
        <v>45976</v>
      </c>
      <c r="D174" t="inlineStr">
        <is>
          <t>UPPSALA LÄN</t>
        </is>
      </c>
      <c r="E174" t="inlineStr">
        <is>
          <t>ENKÖPING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45362-2022</t>
        </is>
      </c>
      <c r="B175" s="1" t="n">
        <v>44844.62366898148</v>
      </c>
      <c r="C175" s="1" t="n">
        <v>45976</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72840-2021</t>
        </is>
      </c>
      <c r="B176" s="1" t="n">
        <v>44547</v>
      </c>
      <c r="C176" s="1" t="n">
        <v>45976</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40223-2024</t>
        </is>
      </c>
      <c r="B177" s="1" t="n">
        <v>45554</v>
      </c>
      <c r="C177" s="1" t="n">
        <v>45976</v>
      </c>
      <c r="D177" t="inlineStr">
        <is>
          <t>UPPSALA LÄN</t>
        </is>
      </c>
      <c r="E177" t="inlineStr">
        <is>
          <t>ENKÖPING</t>
        </is>
      </c>
      <c r="G177" t="n">
        <v>1.9</v>
      </c>
      <c r="H177" t="n">
        <v>0</v>
      </c>
      <c r="I177" t="n">
        <v>0</v>
      </c>
      <c r="J177" t="n">
        <v>0</v>
      </c>
      <c r="K177" t="n">
        <v>0</v>
      </c>
      <c r="L177" t="n">
        <v>0</v>
      </c>
      <c r="M177" t="n">
        <v>0</v>
      </c>
      <c r="N177" t="n">
        <v>0</v>
      </c>
      <c r="O177" t="n">
        <v>0</v>
      </c>
      <c r="P177" t="n">
        <v>0</v>
      </c>
      <c r="Q177" t="n">
        <v>0</v>
      </c>
      <c r="R177" s="2" t="inlineStr"/>
    </row>
    <row r="178" ht="15" customHeight="1">
      <c r="A178" t="inlineStr">
        <is>
          <t>A 37035-2023</t>
        </is>
      </c>
      <c r="B178" s="1" t="n">
        <v>45155</v>
      </c>
      <c r="C178" s="1" t="n">
        <v>45976</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27983-2024</t>
        </is>
      </c>
      <c r="B179" s="1" t="n">
        <v>45476</v>
      </c>
      <c r="C179" s="1" t="n">
        <v>45976</v>
      </c>
      <c r="D179" t="inlineStr">
        <is>
          <t>UPPSALA LÄN</t>
        </is>
      </c>
      <c r="E179" t="inlineStr">
        <is>
          <t>ENKÖPING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38941-2025</t>
        </is>
      </c>
      <c r="B180" s="1" t="n">
        <v>45887</v>
      </c>
      <c r="C180" s="1" t="n">
        <v>45976</v>
      </c>
      <c r="D180" t="inlineStr">
        <is>
          <t>UPPSALA LÄN</t>
        </is>
      </c>
      <c r="E180" t="inlineStr">
        <is>
          <t>ENKÖPING</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52889-2022</t>
        </is>
      </c>
      <c r="B181" s="1" t="n">
        <v>44875</v>
      </c>
      <c r="C181" s="1" t="n">
        <v>45976</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51030-2024</t>
        </is>
      </c>
      <c r="B182" s="1" t="n">
        <v>45603</v>
      </c>
      <c r="C182" s="1" t="n">
        <v>45976</v>
      </c>
      <c r="D182" t="inlineStr">
        <is>
          <t>UPPSALA LÄN</t>
        </is>
      </c>
      <c r="E182" t="inlineStr">
        <is>
          <t>ENKÖPING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26292-2022</t>
        </is>
      </c>
      <c r="B183" s="1" t="n">
        <v>44735</v>
      </c>
      <c r="C183" s="1" t="n">
        <v>45976</v>
      </c>
      <c r="D183" t="inlineStr">
        <is>
          <t>UPPSALA LÄN</t>
        </is>
      </c>
      <c r="E183" t="inlineStr">
        <is>
          <t>ENKÖPING</t>
        </is>
      </c>
      <c r="F183" t="inlineStr">
        <is>
          <t>Kyrkan</t>
        </is>
      </c>
      <c r="G183" t="n">
        <v>4.6</v>
      </c>
      <c r="H183" t="n">
        <v>0</v>
      </c>
      <c r="I183" t="n">
        <v>0</v>
      </c>
      <c r="J183" t="n">
        <v>0</v>
      </c>
      <c r="K183" t="n">
        <v>0</v>
      </c>
      <c r="L183" t="n">
        <v>0</v>
      </c>
      <c r="M183" t="n">
        <v>0</v>
      </c>
      <c r="N183" t="n">
        <v>0</v>
      </c>
      <c r="O183" t="n">
        <v>0</v>
      </c>
      <c r="P183" t="n">
        <v>0</v>
      </c>
      <c r="Q183" t="n">
        <v>0</v>
      </c>
      <c r="R183" s="2" t="inlineStr"/>
    </row>
    <row r="184" ht="15" customHeight="1">
      <c r="A184" t="inlineStr">
        <is>
          <t>A 4044-2024</t>
        </is>
      </c>
      <c r="B184" s="1" t="n">
        <v>45323.45954861111</v>
      </c>
      <c r="C184" s="1" t="n">
        <v>45976</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34617-2022</t>
        </is>
      </c>
      <c r="B185" s="1" t="n">
        <v>44795</v>
      </c>
      <c r="C185" s="1" t="n">
        <v>45976</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1992-2022</t>
        </is>
      </c>
      <c r="B186" s="1" t="n">
        <v>44575.56153935185</v>
      </c>
      <c r="C186" s="1" t="n">
        <v>45976</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18583-2021</t>
        </is>
      </c>
      <c r="B187" s="1" t="n">
        <v>44306</v>
      </c>
      <c r="C187" s="1" t="n">
        <v>45976</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21017-2023</t>
        </is>
      </c>
      <c r="B188" s="1" t="n">
        <v>45061</v>
      </c>
      <c r="C188" s="1" t="n">
        <v>45976</v>
      </c>
      <c r="D188" t="inlineStr">
        <is>
          <t>UPPSALA LÄN</t>
        </is>
      </c>
      <c r="E188" t="inlineStr">
        <is>
          <t>ENKÖPING</t>
        </is>
      </c>
      <c r="G188" t="n">
        <v>4.8</v>
      </c>
      <c r="H188" t="n">
        <v>0</v>
      </c>
      <c r="I188" t="n">
        <v>0</v>
      </c>
      <c r="J188" t="n">
        <v>0</v>
      </c>
      <c r="K188" t="n">
        <v>0</v>
      </c>
      <c r="L188" t="n">
        <v>0</v>
      </c>
      <c r="M188" t="n">
        <v>0</v>
      </c>
      <c r="N188" t="n">
        <v>0</v>
      </c>
      <c r="O188" t="n">
        <v>0</v>
      </c>
      <c r="P188" t="n">
        <v>0</v>
      </c>
      <c r="Q188" t="n">
        <v>0</v>
      </c>
      <c r="R188" s="2" t="inlineStr"/>
    </row>
    <row r="189" ht="15" customHeight="1">
      <c r="A189" t="inlineStr">
        <is>
          <t>A 1695-2025</t>
        </is>
      </c>
      <c r="B189" s="1" t="n">
        <v>45670</v>
      </c>
      <c r="C189" s="1" t="n">
        <v>45976</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33349-2024</t>
        </is>
      </c>
      <c r="B190" s="1" t="n">
        <v>45519</v>
      </c>
      <c r="C190" s="1" t="n">
        <v>45976</v>
      </c>
      <c r="D190" t="inlineStr">
        <is>
          <t>UPPSALA LÄN</t>
        </is>
      </c>
      <c r="E190" t="inlineStr">
        <is>
          <t>ENKÖPING</t>
        </is>
      </c>
      <c r="G190" t="n">
        <v>3.6</v>
      </c>
      <c r="H190" t="n">
        <v>0</v>
      </c>
      <c r="I190" t="n">
        <v>0</v>
      </c>
      <c r="J190" t="n">
        <v>0</v>
      </c>
      <c r="K190" t="n">
        <v>0</v>
      </c>
      <c r="L190" t="n">
        <v>0</v>
      </c>
      <c r="M190" t="n">
        <v>0</v>
      </c>
      <c r="N190" t="n">
        <v>0</v>
      </c>
      <c r="O190" t="n">
        <v>0</v>
      </c>
      <c r="P190" t="n">
        <v>0</v>
      </c>
      <c r="Q190" t="n">
        <v>0</v>
      </c>
      <c r="R190" s="2" t="inlineStr"/>
    </row>
    <row r="191" ht="15" customHeight="1">
      <c r="A191" t="inlineStr">
        <is>
          <t>A 22912-2024</t>
        </is>
      </c>
      <c r="B191" s="1" t="n">
        <v>45448.73118055556</v>
      </c>
      <c r="C191" s="1" t="n">
        <v>45976</v>
      </c>
      <c r="D191" t="inlineStr">
        <is>
          <t>UPPSALA LÄN</t>
        </is>
      </c>
      <c r="E191" t="inlineStr">
        <is>
          <t>ENKÖPING</t>
        </is>
      </c>
      <c r="G191" t="n">
        <v>2.8</v>
      </c>
      <c r="H191" t="n">
        <v>0</v>
      </c>
      <c r="I191" t="n">
        <v>0</v>
      </c>
      <c r="J191" t="n">
        <v>0</v>
      </c>
      <c r="K191" t="n">
        <v>0</v>
      </c>
      <c r="L191" t="n">
        <v>0</v>
      </c>
      <c r="M191" t="n">
        <v>0</v>
      </c>
      <c r="N191" t="n">
        <v>0</v>
      </c>
      <c r="O191" t="n">
        <v>0</v>
      </c>
      <c r="P191" t="n">
        <v>0</v>
      </c>
      <c r="Q191" t="n">
        <v>0</v>
      </c>
      <c r="R191" s="2" t="inlineStr"/>
    </row>
    <row r="192" ht="15" customHeight="1">
      <c r="A192" t="inlineStr">
        <is>
          <t>A 19298-2023</t>
        </is>
      </c>
      <c r="B192" s="1" t="n">
        <v>45048</v>
      </c>
      <c r="C192" s="1" t="n">
        <v>45976</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21612-2023</t>
        </is>
      </c>
      <c r="B193" s="1" t="n">
        <v>45063</v>
      </c>
      <c r="C193" s="1" t="n">
        <v>45976</v>
      </c>
      <c r="D193" t="inlineStr">
        <is>
          <t>UPPSALA LÄN</t>
        </is>
      </c>
      <c r="E193" t="inlineStr">
        <is>
          <t>ENKÖPING</t>
        </is>
      </c>
      <c r="F193" t="inlineStr">
        <is>
          <t>Allmännings- och besparingsskogar</t>
        </is>
      </c>
      <c r="G193" t="n">
        <v>1</v>
      </c>
      <c r="H193" t="n">
        <v>0</v>
      </c>
      <c r="I193" t="n">
        <v>0</v>
      </c>
      <c r="J193" t="n">
        <v>0</v>
      </c>
      <c r="K193" t="n">
        <v>0</v>
      </c>
      <c r="L193" t="n">
        <v>0</v>
      </c>
      <c r="M193" t="n">
        <v>0</v>
      </c>
      <c r="N193" t="n">
        <v>0</v>
      </c>
      <c r="O193" t="n">
        <v>0</v>
      </c>
      <c r="P193" t="n">
        <v>0</v>
      </c>
      <c r="Q193" t="n">
        <v>0</v>
      </c>
      <c r="R193" s="2" t="inlineStr"/>
    </row>
    <row r="194" ht="15" customHeight="1">
      <c r="A194" t="inlineStr">
        <is>
          <t>A 54357-2023</t>
        </is>
      </c>
      <c r="B194" s="1" t="n">
        <v>45225</v>
      </c>
      <c r="C194" s="1" t="n">
        <v>45976</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6147-2021</t>
        </is>
      </c>
      <c r="B195" s="1" t="n">
        <v>44232</v>
      </c>
      <c r="C195" s="1" t="n">
        <v>45976</v>
      </c>
      <c r="D195" t="inlineStr">
        <is>
          <t>UPPSALA LÄN</t>
        </is>
      </c>
      <c r="E195" t="inlineStr">
        <is>
          <t>ENKÖPING</t>
        </is>
      </c>
      <c r="G195" t="n">
        <v>1.6</v>
      </c>
      <c r="H195" t="n">
        <v>0</v>
      </c>
      <c r="I195" t="n">
        <v>0</v>
      </c>
      <c r="J195" t="n">
        <v>0</v>
      </c>
      <c r="K195" t="n">
        <v>0</v>
      </c>
      <c r="L195" t="n">
        <v>0</v>
      </c>
      <c r="M195" t="n">
        <v>0</v>
      </c>
      <c r="N195" t="n">
        <v>0</v>
      </c>
      <c r="O195" t="n">
        <v>0</v>
      </c>
      <c r="P195" t="n">
        <v>0</v>
      </c>
      <c r="Q195" t="n">
        <v>0</v>
      </c>
      <c r="R195" s="2" t="inlineStr"/>
    </row>
    <row r="196" ht="15" customHeight="1">
      <c r="A196" t="inlineStr">
        <is>
          <t>A 24962-2023</t>
        </is>
      </c>
      <c r="B196" s="1" t="n">
        <v>45085.60123842592</v>
      </c>
      <c r="C196" s="1" t="n">
        <v>45976</v>
      </c>
      <c r="D196" t="inlineStr">
        <is>
          <t>UPPSALA LÄN</t>
        </is>
      </c>
      <c r="E196" t="inlineStr">
        <is>
          <t>ENKÖPING</t>
        </is>
      </c>
      <c r="G196" t="n">
        <v>2.8</v>
      </c>
      <c r="H196" t="n">
        <v>0</v>
      </c>
      <c r="I196" t="n">
        <v>0</v>
      </c>
      <c r="J196" t="n">
        <v>0</v>
      </c>
      <c r="K196" t="n">
        <v>0</v>
      </c>
      <c r="L196" t="n">
        <v>0</v>
      </c>
      <c r="M196" t="n">
        <v>0</v>
      </c>
      <c r="N196" t="n">
        <v>0</v>
      </c>
      <c r="O196" t="n">
        <v>0</v>
      </c>
      <c r="P196" t="n">
        <v>0</v>
      </c>
      <c r="Q196" t="n">
        <v>0</v>
      </c>
      <c r="R196" s="2" t="inlineStr"/>
    </row>
    <row r="197" ht="15" customHeight="1">
      <c r="A197" t="inlineStr">
        <is>
          <t>A 14243-2025</t>
        </is>
      </c>
      <c r="B197" s="1" t="n">
        <v>45740.61288194444</v>
      </c>
      <c r="C197" s="1" t="n">
        <v>45976</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33343-2024</t>
        </is>
      </c>
      <c r="B198" s="1" t="n">
        <v>45519</v>
      </c>
      <c r="C198" s="1" t="n">
        <v>45976</v>
      </c>
      <c r="D198" t="inlineStr">
        <is>
          <t>UPPSALA LÄN</t>
        </is>
      </c>
      <c r="E198" t="inlineStr">
        <is>
          <t>ENKÖPING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67765-2020</t>
        </is>
      </c>
      <c r="B199" s="1" t="n">
        <v>44182</v>
      </c>
      <c r="C199" s="1" t="n">
        <v>45976</v>
      </c>
      <c r="D199" t="inlineStr">
        <is>
          <t>UPPSALA LÄN</t>
        </is>
      </c>
      <c r="E199" t="inlineStr">
        <is>
          <t>ENKÖPING</t>
        </is>
      </c>
      <c r="G199" t="n">
        <v>3.6</v>
      </c>
      <c r="H199" t="n">
        <v>0</v>
      </c>
      <c r="I199" t="n">
        <v>0</v>
      </c>
      <c r="J199" t="n">
        <v>0</v>
      </c>
      <c r="K199" t="n">
        <v>0</v>
      </c>
      <c r="L199" t="n">
        <v>0</v>
      </c>
      <c r="M199" t="n">
        <v>0</v>
      </c>
      <c r="N199" t="n">
        <v>0</v>
      </c>
      <c r="O199" t="n">
        <v>0</v>
      </c>
      <c r="P199" t="n">
        <v>0</v>
      </c>
      <c r="Q199" t="n">
        <v>0</v>
      </c>
      <c r="R199" s="2" t="inlineStr"/>
    </row>
    <row r="200" ht="15" customHeight="1">
      <c r="A200" t="inlineStr">
        <is>
          <t>A 6298-2021</t>
        </is>
      </c>
      <c r="B200" s="1" t="n">
        <v>44235</v>
      </c>
      <c r="C200" s="1" t="n">
        <v>45976</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58961-2024</t>
        </is>
      </c>
      <c r="B201" s="1" t="n">
        <v>45636.585</v>
      </c>
      <c r="C201" s="1" t="n">
        <v>45976</v>
      </c>
      <c r="D201" t="inlineStr">
        <is>
          <t>UPPSALA LÄN</t>
        </is>
      </c>
      <c r="E201" t="inlineStr">
        <is>
          <t>ENKÖPING</t>
        </is>
      </c>
      <c r="G201" t="n">
        <v>4</v>
      </c>
      <c r="H201" t="n">
        <v>0</v>
      </c>
      <c r="I201" t="n">
        <v>0</v>
      </c>
      <c r="J201" t="n">
        <v>0</v>
      </c>
      <c r="K201" t="n">
        <v>0</v>
      </c>
      <c r="L201" t="n">
        <v>0</v>
      </c>
      <c r="M201" t="n">
        <v>0</v>
      </c>
      <c r="N201" t="n">
        <v>0</v>
      </c>
      <c r="O201" t="n">
        <v>0</v>
      </c>
      <c r="P201" t="n">
        <v>0</v>
      </c>
      <c r="Q201" t="n">
        <v>0</v>
      </c>
      <c r="R201" s="2" t="inlineStr"/>
    </row>
    <row r="202" ht="15" customHeight="1">
      <c r="A202" t="inlineStr">
        <is>
          <t>A 56176-2021</t>
        </is>
      </c>
      <c r="B202" s="1" t="n">
        <v>44477</v>
      </c>
      <c r="C202" s="1" t="n">
        <v>45976</v>
      </c>
      <c r="D202" t="inlineStr">
        <is>
          <t>UPPSALA LÄN</t>
        </is>
      </c>
      <c r="E202" t="inlineStr">
        <is>
          <t>ENKÖPING</t>
        </is>
      </c>
      <c r="G202" t="n">
        <v>2.9</v>
      </c>
      <c r="H202" t="n">
        <v>0</v>
      </c>
      <c r="I202" t="n">
        <v>0</v>
      </c>
      <c r="J202" t="n">
        <v>0</v>
      </c>
      <c r="K202" t="n">
        <v>0</v>
      </c>
      <c r="L202" t="n">
        <v>0</v>
      </c>
      <c r="M202" t="n">
        <v>0</v>
      </c>
      <c r="N202" t="n">
        <v>0</v>
      </c>
      <c r="O202" t="n">
        <v>0</v>
      </c>
      <c r="P202" t="n">
        <v>0</v>
      </c>
      <c r="Q202" t="n">
        <v>0</v>
      </c>
      <c r="R202" s="2" t="inlineStr"/>
    </row>
    <row r="203" ht="15" customHeight="1">
      <c r="A203" t="inlineStr">
        <is>
          <t>A 15939-2022</t>
        </is>
      </c>
      <c r="B203" s="1" t="n">
        <v>44664</v>
      </c>
      <c r="C203" s="1" t="n">
        <v>45976</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53595-2023</t>
        </is>
      </c>
      <c r="B204" s="1" t="n">
        <v>45223</v>
      </c>
      <c r="C204" s="1" t="n">
        <v>45976</v>
      </c>
      <c r="D204" t="inlineStr">
        <is>
          <t>UPPSALA LÄN</t>
        </is>
      </c>
      <c r="E204" t="inlineStr">
        <is>
          <t>ENKÖPING</t>
        </is>
      </c>
      <c r="G204" t="n">
        <v>2.6</v>
      </c>
      <c r="H204" t="n">
        <v>0</v>
      </c>
      <c r="I204" t="n">
        <v>0</v>
      </c>
      <c r="J204" t="n">
        <v>0</v>
      </c>
      <c r="K204" t="n">
        <v>0</v>
      </c>
      <c r="L204" t="n">
        <v>0</v>
      </c>
      <c r="M204" t="n">
        <v>0</v>
      </c>
      <c r="N204" t="n">
        <v>0</v>
      </c>
      <c r="O204" t="n">
        <v>0</v>
      </c>
      <c r="P204" t="n">
        <v>0</v>
      </c>
      <c r="Q204" t="n">
        <v>0</v>
      </c>
      <c r="R204" s="2" t="inlineStr"/>
    </row>
    <row r="205" ht="15" customHeight="1">
      <c r="A205" t="inlineStr">
        <is>
          <t>A 18302-2025</t>
        </is>
      </c>
      <c r="B205" s="1" t="n">
        <v>45762</v>
      </c>
      <c r="C205" s="1" t="n">
        <v>45976</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28243-2023</t>
        </is>
      </c>
      <c r="B206" s="1" t="n">
        <v>45099.58885416666</v>
      </c>
      <c r="C206" s="1" t="n">
        <v>45976</v>
      </c>
      <c r="D206" t="inlineStr">
        <is>
          <t>UPPSALA LÄN</t>
        </is>
      </c>
      <c r="E206" t="inlineStr">
        <is>
          <t>ENKÖPING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57153-2021</t>
        </is>
      </c>
      <c r="B207" s="1" t="n">
        <v>44482</v>
      </c>
      <c r="C207" s="1" t="n">
        <v>45976</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69344-2021</t>
        </is>
      </c>
      <c r="B208" s="1" t="n">
        <v>44531</v>
      </c>
      <c r="C208" s="1" t="n">
        <v>45976</v>
      </c>
      <c r="D208" t="inlineStr">
        <is>
          <t>UPPSALA LÄN</t>
        </is>
      </c>
      <c r="E208" t="inlineStr">
        <is>
          <t>ENKÖPING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15893-2024</t>
        </is>
      </c>
      <c r="B209" s="1" t="n">
        <v>45405</v>
      </c>
      <c r="C209" s="1" t="n">
        <v>45976</v>
      </c>
      <c r="D209" t="inlineStr">
        <is>
          <t>UPPSALA LÄN</t>
        </is>
      </c>
      <c r="E209" t="inlineStr">
        <is>
          <t>ENKÖPING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18028-2023</t>
        </is>
      </c>
      <c r="B210" s="1" t="n">
        <v>45040</v>
      </c>
      <c r="C210" s="1" t="n">
        <v>45976</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43697-2024</t>
        </is>
      </c>
      <c r="B211" s="1" t="n">
        <v>45569</v>
      </c>
      <c r="C211" s="1" t="n">
        <v>45976</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39439-2025</t>
        </is>
      </c>
      <c r="B212" s="1" t="n">
        <v>45889</v>
      </c>
      <c r="C212" s="1" t="n">
        <v>45976</v>
      </c>
      <c r="D212" t="inlineStr">
        <is>
          <t>UPPSALA LÄN</t>
        </is>
      </c>
      <c r="E212" t="inlineStr">
        <is>
          <t>ENKÖPING</t>
        </is>
      </c>
      <c r="G212" t="n">
        <v>0.4</v>
      </c>
      <c r="H212" t="n">
        <v>0</v>
      </c>
      <c r="I212" t="n">
        <v>0</v>
      </c>
      <c r="J212" t="n">
        <v>0</v>
      </c>
      <c r="K212" t="n">
        <v>0</v>
      </c>
      <c r="L212" t="n">
        <v>0</v>
      </c>
      <c r="M212" t="n">
        <v>0</v>
      </c>
      <c r="N212" t="n">
        <v>0</v>
      </c>
      <c r="O212" t="n">
        <v>0</v>
      </c>
      <c r="P212" t="n">
        <v>0</v>
      </c>
      <c r="Q212" t="n">
        <v>0</v>
      </c>
      <c r="R212" s="2" t="inlineStr"/>
    </row>
    <row r="213" ht="15" customHeight="1">
      <c r="A213" t="inlineStr">
        <is>
          <t>A 3235-2025</t>
        </is>
      </c>
      <c r="B213" s="1" t="n">
        <v>45679</v>
      </c>
      <c r="C213" s="1" t="n">
        <v>45976</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41828-2024</t>
        </is>
      </c>
      <c r="B214" s="1" t="n">
        <v>45561</v>
      </c>
      <c r="C214" s="1" t="n">
        <v>45976</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1536-2024</t>
        </is>
      </c>
      <c r="B215" s="1" t="n">
        <v>45306</v>
      </c>
      <c r="C215" s="1" t="n">
        <v>45976</v>
      </c>
      <c r="D215" t="inlineStr">
        <is>
          <t>UPPSALA LÄN</t>
        </is>
      </c>
      <c r="E215" t="inlineStr">
        <is>
          <t>ENKÖPING</t>
        </is>
      </c>
      <c r="F215" t="inlineStr">
        <is>
          <t>Kyrkan</t>
        </is>
      </c>
      <c r="G215" t="n">
        <v>5.6</v>
      </c>
      <c r="H215" t="n">
        <v>0</v>
      </c>
      <c r="I215" t="n">
        <v>0</v>
      </c>
      <c r="J215" t="n">
        <v>0</v>
      </c>
      <c r="K215" t="n">
        <v>0</v>
      </c>
      <c r="L215" t="n">
        <v>0</v>
      </c>
      <c r="M215" t="n">
        <v>0</v>
      </c>
      <c r="N215" t="n">
        <v>0</v>
      </c>
      <c r="O215" t="n">
        <v>0</v>
      </c>
      <c r="P215" t="n">
        <v>0</v>
      </c>
      <c r="Q215" t="n">
        <v>0</v>
      </c>
      <c r="R215" s="2" t="inlineStr"/>
    </row>
    <row r="216" ht="15" customHeight="1">
      <c r="A216" t="inlineStr">
        <is>
          <t>A 42564-2024</t>
        </is>
      </c>
      <c r="B216" s="1" t="n">
        <v>45565.63358796296</v>
      </c>
      <c r="C216" s="1" t="n">
        <v>45976</v>
      </c>
      <c r="D216" t="inlineStr">
        <is>
          <t>UPPSALA LÄN</t>
        </is>
      </c>
      <c r="E216" t="inlineStr">
        <is>
          <t>ENKÖPING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43492-2023</t>
        </is>
      </c>
      <c r="B217" s="1" t="n">
        <v>45181</v>
      </c>
      <c r="C217" s="1" t="n">
        <v>45976</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45283-2022</t>
        </is>
      </c>
      <c r="B218" s="1" t="n">
        <v>44844</v>
      </c>
      <c r="C218" s="1" t="n">
        <v>45976</v>
      </c>
      <c r="D218" t="inlineStr">
        <is>
          <t>UPPSALA LÄN</t>
        </is>
      </c>
      <c r="E218" t="inlineStr">
        <is>
          <t>ENKÖPING</t>
        </is>
      </c>
      <c r="G218" t="n">
        <v>5.9</v>
      </c>
      <c r="H218" t="n">
        <v>0</v>
      </c>
      <c r="I218" t="n">
        <v>0</v>
      </c>
      <c r="J218" t="n">
        <v>0</v>
      </c>
      <c r="K218" t="n">
        <v>0</v>
      </c>
      <c r="L218" t="n">
        <v>0</v>
      </c>
      <c r="M218" t="n">
        <v>0</v>
      </c>
      <c r="N218" t="n">
        <v>0</v>
      </c>
      <c r="O218" t="n">
        <v>0</v>
      </c>
      <c r="P218" t="n">
        <v>0</v>
      </c>
      <c r="Q218" t="n">
        <v>0</v>
      </c>
      <c r="R218" s="2" t="inlineStr"/>
    </row>
    <row r="219" ht="15" customHeight="1">
      <c r="A219" t="inlineStr">
        <is>
          <t>A 48843-2023</t>
        </is>
      </c>
      <c r="B219" s="1" t="n">
        <v>45209</v>
      </c>
      <c r="C219" s="1" t="n">
        <v>45976</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41826-2024</t>
        </is>
      </c>
      <c r="B220" s="1" t="n">
        <v>45561</v>
      </c>
      <c r="C220" s="1" t="n">
        <v>45976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33670-2024</t>
        </is>
      </c>
      <c r="B221" s="1" t="n">
        <v>45520</v>
      </c>
      <c r="C221" s="1" t="n">
        <v>45976</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6626-2023</t>
        </is>
      </c>
      <c r="B222" s="1" t="n">
        <v>44966.55946759259</v>
      </c>
      <c r="C222" s="1" t="n">
        <v>45976</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49073-2025</t>
        </is>
      </c>
      <c r="B223" s="1" t="n">
        <v>45937.65512731481</v>
      </c>
      <c r="C223" s="1" t="n">
        <v>45976</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42589-2022</t>
        </is>
      </c>
      <c r="B224" s="1" t="n">
        <v>44831</v>
      </c>
      <c r="C224" s="1" t="n">
        <v>45976</v>
      </c>
      <c r="D224" t="inlineStr">
        <is>
          <t>UPPSALA LÄN</t>
        </is>
      </c>
      <c r="E224" t="inlineStr">
        <is>
          <t>ENKÖPING</t>
        </is>
      </c>
      <c r="G224" t="n">
        <v>20</v>
      </c>
      <c r="H224" t="n">
        <v>0</v>
      </c>
      <c r="I224" t="n">
        <v>0</v>
      </c>
      <c r="J224" t="n">
        <v>0</v>
      </c>
      <c r="K224" t="n">
        <v>0</v>
      </c>
      <c r="L224" t="n">
        <v>0</v>
      </c>
      <c r="M224" t="n">
        <v>0</v>
      </c>
      <c r="N224" t="n">
        <v>0</v>
      </c>
      <c r="O224" t="n">
        <v>0</v>
      </c>
      <c r="P224" t="n">
        <v>0</v>
      </c>
      <c r="Q224" t="n">
        <v>0</v>
      </c>
      <c r="R224" s="2" t="inlineStr"/>
    </row>
    <row r="225" ht="15" customHeight="1">
      <c r="A225" t="inlineStr">
        <is>
          <t>A 48424-2025</t>
        </is>
      </c>
      <c r="B225" s="1" t="n">
        <v>45934.69131944444</v>
      </c>
      <c r="C225" s="1" t="n">
        <v>45976</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840-2025</t>
        </is>
      </c>
      <c r="B226" s="1" t="n">
        <v>45665</v>
      </c>
      <c r="C226" s="1" t="n">
        <v>45976</v>
      </c>
      <c r="D226" t="inlineStr">
        <is>
          <t>UPPSALA LÄN</t>
        </is>
      </c>
      <c r="E226" t="inlineStr">
        <is>
          <t>ENKÖPING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48678-2025</t>
        </is>
      </c>
      <c r="B227" s="1" t="n">
        <v>45936.59168981481</v>
      </c>
      <c r="C227" s="1" t="n">
        <v>45976</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37115-2024</t>
        </is>
      </c>
      <c r="B228" s="1" t="n">
        <v>45539</v>
      </c>
      <c r="C228" s="1" t="n">
        <v>45976</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19376-2024</t>
        </is>
      </c>
      <c r="B229" s="1" t="n">
        <v>45429</v>
      </c>
      <c r="C229" s="1" t="n">
        <v>45976</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49068-2025</t>
        </is>
      </c>
      <c r="B230" s="1" t="n">
        <v>45937.64766203704</v>
      </c>
      <c r="C230" s="1" t="n">
        <v>45976</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45142-2023</t>
        </is>
      </c>
      <c r="B231" s="1" t="n">
        <v>45191.4702662037</v>
      </c>
      <c r="C231" s="1" t="n">
        <v>45976</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11918-2025</t>
        </is>
      </c>
      <c r="B232" s="1" t="n">
        <v>45728.49331018519</v>
      </c>
      <c r="C232" s="1" t="n">
        <v>45976</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39746-2025</t>
        </is>
      </c>
      <c r="B233" s="1" t="n">
        <v>45891</v>
      </c>
      <c r="C233" s="1" t="n">
        <v>45976</v>
      </c>
      <c r="D233" t="inlineStr">
        <is>
          <t>UPPSALA LÄN</t>
        </is>
      </c>
      <c r="E233" t="inlineStr">
        <is>
          <t>ENKÖPING</t>
        </is>
      </c>
      <c r="G233" t="n">
        <v>7.4</v>
      </c>
      <c r="H233" t="n">
        <v>0</v>
      </c>
      <c r="I233" t="n">
        <v>0</v>
      </c>
      <c r="J233" t="n">
        <v>0</v>
      </c>
      <c r="K233" t="n">
        <v>0</v>
      </c>
      <c r="L233" t="n">
        <v>0</v>
      </c>
      <c r="M233" t="n">
        <v>0</v>
      </c>
      <c r="N233" t="n">
        <v>0</v>
      </c>
      <c r="O233" t="n">
        <v>0</v>
      </c>
      <c r="P233" t="n">
        <v>0</v>
      </c>
      <c r="Q233" t="n">
        <v>0</v>
      </c>
      <c r="R233" s="2" t="inlineStr"/>
    </row>
    <row r="234" ht="15" customHeight="1">
      <c r="A234" t="inlineStr">
        <is>
          <t>A 31242-2024</t>
        </is>
      </c>
      <c r="B234" s="1" t="n">
        <v>45503</v>
      </c>
      <c r="C234" s="1" t="n">
        <v>45976</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845-2025</t>
        </is>
      </c>
      <c r="B235" s="1" t="n">
        <v>45665</v>
      </c>
      <c r="C235" s="1" t="n">
        <v>45976</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849-2025</t>
        </is>
      </c>
      <c r="B236" s="1" t="n">
        <v>45665</v>
      </c>
      <c r="C236" s="1" t="n">
        <v>45976</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61711-2020</t>
        </is>
      </c>
      <c r="B237" s="1" t="n">
        <v>44158</v>
      </c>
      <c r="C237" s="1" t="n">
        <v>45976</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17165-2025</t>
        </is>
      </c>
      <c r="B238" s="1" t="n">
        <v>45756</v>
      </c>
      <c r="C238" s="1" t="n">
        <v>45976</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12020-2024</t>
        </is>
      </c>
      <c r="B239" s="1" t="n">
        <v>45377</v>
      </c>
      <c r="C239" s="1" t="n">
        <v>45976</v>
      </c>
      <c r="D239" t="inlineStr">
        <is>
          <t>UPPSALA LÄN</t>
        </is>
      </c>
      <c r="E239" t="inlineStr">
        <is>
          <t>ENKÖPING</t>
        </is>
      </c>
      <c r="G239" t="n">
        <v>2</v>
      </c>
      <c r="H239" t="n">
        <v>0</v>
      </c>
      <c r="I239" t="n">
        <v>0</v>
      </c>
      <c r="J239" t="n">
        <v>0</v>
      </c>
      <c r="K239" t="n">
        <v>0</v>
      </c>
      <c r="L239" t="n">
        <v>0</v>
      </c>
      <c r="M239" t="n">
        <v>0</v>
      </c>
      <c r="N239" t="n">
        <v>0</v>
      </c>
      <c r="O239" t="n">
        <v>0</v>
      </c>
      <c r="P239" t="n">
        <v>0</v>
      </c>
      <c r="Q239" t="n">
        <v>0</v>
      </c>
      <c r="R239" s="2" t="inlineStr"/>
    </row>
    <row r="240" ht="15" customHeight="1">
      <c r="A240" t="inlineStr">
        <is>
          <t>A 5013-2025</t>
        </is>
      </c>
      <c r="B240" s="1" t="n">
        <v>45691</v>
      </c>
      <c r="C240" s="1" t="n">
        <v>45976</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62158-2023</t>
        </is>
      </c>
      <c r="B241" s="1" t="n">
        <v>45267</v>
      </c>
      <c r="C241" s="1" t="n">
        <v>45976</v>
      </c>
      <c r="D241" t="inlineStr">
        <is>
          <t>UPPSALA LÄN</t>
        </is>
      </c>
      <c r="E241" t="inlineStr">
        <is>
          <t>ENKÖPING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60350-2022</t>
        </is>
      </c>
      <c r="B242" s="1" t="n">
        <v>44910</v>
      </c>
      <c r="C242" s="1" t="n">
        <v>45976</v>
      </c>
      <c r="D242" t="inlineStr">
        <is>
          <t>UPPSALA LÄN</t>
        </is>
      </c>
      <c r="E242" t="inlineStr">
        <is>
          <t>ENKÖPING</t>
        </is>
      </c>
      <c r="F242" t="inlineStr">
        <is>
          <t>Allmännings- och besparingsskogar</t>
        </is>
      </c>
      <c r="G242" t="n">
        <v>3.5</v>
      </c>
      <c r="H242" t="n">
        <v>0</v>
      </c>
      <c r="I242" t="n">
        <v>0</v>
      </c>
      <c r="J242" t="n">
        <v>0</v>
      </c>
      <c r="K242" t="n">
        <v>0</v>
      </c>
      <c r="L242" t="n">
        <v>0</v>
      </c>
      <c r="M242" t="n">
        <v>0</v>
      </c>
      <c r="N242" t="n">
        <v>0</v>
      </c>
      <c r="O242" t="n">
        <v>0</v>
      </c>
      <c r="P242" t="n">
        <v>0</v>
      </c>
      <c r="Q242" t="n">
        <v>0</v>
      </c>
      <c r="R242" s="2" t="inlineStr"/>
    </row>
    <row r="243" ht="15" customHeight="1">
      <c r="A243" t="inlineStr">
        <is>
          <t>A 48423-2025</t>
        </is>
      </c>
      <c r="B243" s="1" t="n">
        <v>45934.68024305555</v>
      </c>
      <c r="C243" s="1" t="n">
        <v>45976</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2850-2025</t>
        </is>
      </c>
      <c r="B244" s="1" t="n">
        <v>45677</v>
      </c>
      <c r="C244" s="1" t="n">
        <v>45976</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10465-2022</t>
        </is>
      </c>
      <c r="B245" s="1" t="n">
        <v>44623</v>
      </c>
      <c r="C245" s="1" t="n">
        <v>45976</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14332-2024</t>
        </is>
      </c>
      <c r="B246" s="1" t="n">
        <v>45393</v>
      </c>
      <c r="C246" s="1" t="n">
        <v>45976</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61207-2023</t>
        </is>
      </c>
      <c r="B247" s="1" t="n">
        <v>45264.39444444444</v>
      </c>
      <c r="C247" s="1" t="n">
        <v>45976</v>
      </c>
      <c r="D247" t="inlineStr">
        <is>
          <t>UPPSALA LÄN</t>
        </is>
      </c>
      <c r="E247" t="inlineStr">
        <is>
          <t>ENKÖPING</t>
        </is>
      </c>
      <c r="G247" t="n">
        <v>10.8</v>
      </c>
      <c r="H247" t="n">
        <v>0</v>
      </c>
      <c r="I247" t="n">
        <v>0</v>
      </c>
      <c r="J247" t="n">
        <v>0</v>
      </c>
      <c r="K247" t="n">
        <v>0</v>
      </c>
      <c r="L247" t="n">
        <v>0</v>
      </c>
      <c r="M247" t="n">
        <v>0</v>
      </c>
      <c r="N247" t="n">
        <v>0</v>
      </c>
      <c r="O247" t="n">
        <v>0</v>
      </c>
      <c r="P247" t="n">
        <v>0</v>
      </c>
      <c r="Q247" t="n">
        <v>0</v>
      </c>
      <c r="R247" s="2" t="inlineStr"/>
    </row>
    <row r="248" ht="15" customHeight="1">
      <c r="A248" t="inlineStr">
        <is>
          <t>A 35647-2021</t>
        </is>
      </c>
      <c r="B248" s="1" t="n">
        <v>44386</v>
      </c>
      <c r="C248" s="1" t="n">
        <v>45976</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37170-2021</t>
        </is>
      </c>
      <c r="B249" s="1" t="n">
        <v>44395</v>
      </c>
      <c r="C249" s="1" t="n">
        <v>45976</v>
      </c>
      <c r="D249" t="inlineStr">
        <is>
          <t>UPPSALA LÄN</t>
        </is>
      </c>
      <c r="E249" t="inlineStr">
        <is>
          <t>ENKÖPING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40812-2022</t>
        </is>
      </c>
      <c r="B250" s="1" t="n">
        <v>44824.68791666667</v>
      </c>
      <c r="C250" s="1" t="n">
        <v>45976</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43691-2024</t>
        </is>
      </c>
      <c r="B251" s="1" t="n">
        <v>45569</v>
      </c>
      <c r="C251" s="1" t="n">
        <v>45976</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10458-2022</t>
        </is>
      </c>
      <c r="B252" s="1" t="n">
        <v>44623.56711805556</v>
      </c>
      <c r="C252" s="1" t="n">
        <v>45976</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58147-2024</t>
        </is>
      </c>
      <c r="B253" s="1" t="n">
        <v>45632.4334375</v>
      </c>
      <c r="C253" s="1" t="n">
        <v>45976</v>
      </c>
      <c r="D253" t="inlineStr">
        <is>
          <t>UPPSALA LÄN</t>
        </is>
      </c>
      <c r="E253" t="inlineStr">
        <is>
          <t>ENKÖPING</t>
        </is>
      </c>
      <c r="G253" t="n">
        <v>3</v>
      </c>
      <c r="H253" t="n">
        <v>0</v>
      </c>
      <c r="I253" t="n">
        <v>0</v>
      </c>
      <c r="J253" t="n">
        <v>0</v>
      </c>
      <c r="K253" t="n">
        <v>0</v>
      </c>
      <c r="L253" t="n">
        <v>0</v>
      </c>
      <c r="M253" t="n">
        <v>0</v>
      </c>
      <c r="N253" t="n">
        <v>0</v>
      </c>
      <c r="O253" t="n">
        <v>0</v>
      </c>
      <c r="P253" t="n">
        <v>0</v>
      </c>
      <c r="Q253" t="n">
        <v>0</v>
      </c>
      <c r="R253" s="2" t="inlineStr"/>
    </row>
    <row r="254" ht="15" customHeight="1">
      <c r="A254" t="inlineStr">
        <is>
          <t>A 44115-2024</t>
        </is>
      </c>
      <c r="B254" s="1" t="n">
        <v>45572</v>
      </c>
      <c r="C254" s="1" t="n">
        <v>45976</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9957-2023</t>
        </is>
      </c>
      <c r="B255" s="1" t="n">
        <v>44978</v>
      </c>
      <c r="C255" s="1" t="n">
        <v>45976</v>
      </c>
      <c r="D255" t="inlineStr">
        <is>
          <t>UPPSALA LÄN</t>
        </is>
      </c>
      <c r="E255" t="inlineStr">
        <is>
          <t>ENKÖPING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25333-2023</t>
        </is>
      </c>
      <c r="B256" s="1" t="n">
        <v>45083</v>
      </c>
      <c r="C256" s="1" t="n">
        <v>45976</v>
      </c>
      <c r="D256" t="inlineStr">
        <is>
          <t>UPPSALA LÄN</t>
        </is>
      </c>
      <c r="E256" t="inlineStr">
        <is>
          <t>ENKÖPING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3300-2025</t>
        </is>
      </c>
      <c r="B257" s="1" t="n">
        <v>45679</v>
      </c>
      <c r="C257" s="1" t="n">
        <v>45976</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45976</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3550-2023</t>
        </is>
      </c>
      <c r="B259" s="1" t="n">
        <v>44950</v>
      </c>
      <c r="C259" s="1" t="n">
        <v>45976</v>
      </c>
      <c r="D259" t="inlineStr">
        <is>
          <t>UPPSALA LÄN</t>
        </is>
      </c>
      <c r="E259" t="inlineStr">
        <is>
          <t>ENKÖPING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19014-2025</t>
        </is>
      </c>
      <c r="B260" s="1" t="n">
        <v>45764.59631944444</v>
      </c>
      <c r="C260" s="1" t="n">
        <v>45976</v>
      </c>
      <c r="D260" t="inlineStr">
        <is>
          <t>UPPSALA LÄN</t>
        </is>
      </c>
      <c r="E260" t="inlineStr">
        <is>
          <t>ENKÖPING</t>
        </is>
      </c>
      <c r="G260" t="n">
        <v>0.2</v>
      </c>
      <c r="H260" t="n">
        <v>0</v>
      </c>
      <c r="I260" t="n">
        <v>0</v>
      </c>
      <c r="J260" t="n">
        <v>0</v>
      </c>
      <c r="K260" t="n">
        <v>0</v>
      </c>
      <c r="L260" t="n">
        <v>0</v>
      </c>
      <c r="M260" t="n">
        <v>0</v>
      </c>
      <c r="N260" t="n">
        <v>0</v>
      </c>
      <c r="O260" t="n">
        <v>0</v>
      </c>
      <c r="P260" t="n">
        <v>0</v>
      </c>
      <c r="Q260" t="n">
        <v>0</v>
      </c>
      <c r="R260" s="2" t="inlineStr"/>
    </row>
    <row r="261" ht="15" customHeight="1">
      <c r="A261" t="inlineStr">
        <is>
          <t>A 16916-2023</t>
        </is>
      </c>
      <c r="B261" s="1" t="n">
        <v>45033.58347222222</v>
      </c>
      <c r="C261" s="1" t="n">
        <v>45976</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12754-2025</t>
        </is>
      </c>
      <c r="B262" s="1" t="n">
        <v>45733.56331018519</v>
      </c>
      <c r="C262" s="1" t="n">
        <v>45976</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56886-2023</t>
        </is>
      </c>
      <c r="B263" s="1" t="n">
        <v>45239</v>
      </c>
      <c r="C263" s="1" t="n">
        <v>45976</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18592-2021</t>
        </is>
      </c>
      <c r="B264" s="1" t="n">
        <v>44306</v>
      </c>
      <c r="C264" s="1" t="n">
        <v>45976</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16176-2025</t>
        </is>
      </c>
      <c r="B265" s="1" t="n">
        <v>45750</v>
      </c>
      <c r="C265" s="1" t="n">
        <v>45976</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6356-2022</t>
        </is>
      </c>
      <c r="B266" s="1" t="n">
        <v>44600</v>
      </c>
      <c r="C266" s="1" t="n">
        <v>45976</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41616-2025</t>
        </is>
      </c>
      <c r="B267" s="1" t="n">
        <v>45901.69684027778</v>
      </c>
      <c r="C267" s="1" t="n">
        <v>45976</v>
      </c>
      <c r="D267" t="inlineStr">
        <is>
          <t>UPPSALA LÄN</t>
        </is>
      </c>
      <c r="E267" t="inlineStr">
        <is>
          <t>ENKÖPING</t>
        </is>
      </c>
      <c r="F267" t="inlineStr">
        <is>
          <t>Allmännings- och besparingsskogar</t>
        </is>
      </c>
      <c r="G267" t="n">
        <v>17.3</v>
      </c>
      <c r="H267" t="n">
        <v>0</v>
      </c>
      <c r="I267" t="n">
        <v>0</v>
      </c>
      <c r="J267" t="n">
        <v>0</v>
      </c>
      <c r="K267" t="n">
        <v>0</v>
      </c>
      <c r="L267" t="n">
        <v>0</v>
      </c>
      <c r="M267" t="n">
        <v>0</v>
      </c>
      <c r="N267" t="n">
        <v>0</v>
      </c>
      <c r="O267" t="n">
        <v>0</v>
      </c>
      <c r="P267" t="n">
        <v>0</v>
      </c>
      <c r="Q267" t="n">
        <v>0</v>
      </c>
      <c r="R267" s="2" t="inlineStr"/>
    </row>
    <row r="268" ht="15" customHeight="1">
      <c r="A268" t="inlineStr">
        <is>
          <t>A 56713-2024</t>
        </is>
      </c>
      <c r="B268" s="1" t="n">
        <v>45628</v>
      </c>
      <c r="C268" s="1" t="n">
        <v>45976</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37870-2023</t>
        </is>
      </c>
      <c r="B269" s="1" t="n">
        <v>45160.41996527778</v>
      </c>
      <c r="C269" s="1" t="n">
        <v>45976</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22094-2023</t>
        </is>
      </c>
      <c r="B270" s="1" t="n">
        <v>45069</v>
      </c>
      <c r="C270" s="1" t="n">
        <v>45976</v>
      </c>
      <c r="D270" t="inlineStr">
        <is>
          <t>UPPSALA LÄN</t>
        </is>
      </c>
      <c r="E270" t="inlineStr">
        <is>
          <t>ENKÖPING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12958-2024</t>
        </is>
      </c>
      <c r="B271" s="1" t="n">
        <v>45385</v>
      </c>
      <c r="C271" s="1" t="n">
        <v>45976</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13816-2021</t>
        </is>
      </c>
      <c r="B272" s="1" t="n">
        <v>44276</v>
      </c>
      <c r="C272" s="1" t="n">
        <v>45976</v>
      </c>
      <c r="D272" t="inlineStr">
        <is>
          <t>UPPSALA LÄN</t>
        </is>
      </c>
      <c r="E272" t="inlineStr">
        <is>
          <t>ENKÖPING</t>
        </is>
      </c>
      <c r="G272" t="n">
        <v>0.4</v>
      </c>
      <c r="H272" t="n">
        <v>0</v>
      </c>
      <c r="I272" t="n">
        <v>0</v>
      </c>
      <c r="J272" t="n">
        <v>0</v>
      </c>
      <c r="K272" t="n">
        <v>0</v>
      </c>
      <c r="L272" t="n">
        <v>0</v>
      </c>
      <c r="M272" t="n">
        <v>0</v>
      </c>
      <c r="N272" t="n">
        <v>0</v>
      </c>
      <c r="O272" t="n">
        <v>0</v>
      </c>
      <c r="P272" t="n">
        <v>0</v>
      </c>
      <c r="Q272" t="n">
        <v>0</v>
      </c>
      <c r="R272" s="2" t="inlineStr"/>
    </row>
    <row r="273" ht="15" customHeight="1">
      <c r="A273" t="inlineStr">
        <is>
          <t>A 41637-2025</t>
        </is>
      </c>
      <c r="B273" s="1" t="n">
        <v>45901</v>
      </c>
      <c r="C273" s="1" t="n">
        <v>45976</v>
      </c>
      <c r="D273" t="inlineStr">
        <is>
          <t>UPPSALA LÄN</t>
        </is>
      </c>
      <c r="E273" t="inlineStr">
        <is>
          <t>ENKÖPING</t>
        </is>
      </c>
      <c r="F273" t="inlineStr">
        <is>
          <t>Allmännings- och besparingsskogar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15405-2025</t>
        </is>
      </c>
      <c r="B274" s="1" t="n">
        <v>45747.44670138889</v>
      </c>
      <c r="C274" s="1" t="n">
        <v>45976</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1651-2024</t>
        </is>
      </c>
      <c r="B275" s="1" t="n">
        <v>45306.73770833333</v>
      </c>
      <c r="C275" s="1" t="n">
        <v>45976</v>
      </c>
      <c r="D275" t="inlineStr">
        <is>
          <t>UPPSALA LÄN</t>
        </is>
      </c>
      <c r="E275" t="inlineStr">
        <is>
          <t>ENKÖPING</t>
        </is>
      </c>
      <c r="G275" t="n">
        <v>10.2</v>
      </c>
      <c r="H275" t="n">
        <v>0</v>
      </c>
      <c r="I275" t="n">
        <v>0</v>
      </c>
      <c r="J275" t="n">
        <v>0</v>
      </c>
      <c r="K275" t="n">
        <v>0</v>
      </c>
      <c r="L275" t="n">
        <v>0</v>
      </c>
      <c r="M275" t="n">
        <v>0</v>
      </c>
      <c r="N275" t="n">
        <v>0</v>
      </c>
      <c r="O275" t="n">
        <v>0</v>
      </c>
      <c r="P275" t="n">
        <v>0</v>
      </c>
      <c r="Q275" t="n">
        <v>0</v>
      </c>
      <c r="R275" s="2" t="inlineStr"/>
    </row>
    <row r="276" ht="15" customHeight="1">
      <c r="A276" t="inlineStr">
        <is>
          <t>A 35079-2024</t>
        </is>
      </c>
      <c r="B276" s="1" t="n">
        <v>45527.66770833333</v>
      </c>
      <c r="C276" s="1" t="n">
        <v>45976</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41618-2025</t>
        </is>
      </c>
      <c r="B277" s="1" t="n">
        <v>45901.70085648148</v>
      </c>
      <c r="C277" s="1" t="n">
        <v>45976</v>
      </c>
      <c r="D277" t="inlineStr">
        <is>
          <t>UPPSALA LÄN</t>
        </is>
      </c>
      <c r="E277" t="inlineStr">
        <is>
          <t>ENKÖPING</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51012-2024</t>
        </is>
      </c>
      <c r="B278" s="1" t="n">
        <v>45603.39686342593</v>
      </c>
      <c r="C278" s="1" t="n">
        <v>45976</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33581-2023</t>
        </is>
      </c>
      <c r="B279" s="1" t="n">
        <v>45131</v>
      </c>
      <c r="C279" s="1" t="n">
        <v>45976</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57940-2022</t>
        </is>
      </c>
      <c r="B280" s="1" t="n">
        <v>44900</v>
      </c>
      <c r="C280" s="1" t="n">
        <v>45976</v>
      </c>
      <c r="D280" t="inlineStr">
        <is>
          <t>UPPSALA LÄN</t>
        </is>
      </c>
      <c r="E280" t="inlineStr">
        <is>
          <t>ENKÖPING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56163-2021</t>
        </is>
      </c>
      <c r="B281" s="1" t="n">
        <v>44477</v>
      </c>
      <c r="C281" s="1" t="n">
        <v>45976</v>
      </c>
      <c r="D281" t="inlineStr">
        <is>
          <t>UPPSALA LÄN</t>
        </is>
      </c>
      <c r="E281" t="inlineStr">
        <is>
          <t>ENKÖPING</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42029-2025</t>
        </is>
      </c>
      <c r="B282" s="1" t="n">
        <v>45903</v>
      </c>
      <c r="C282" s="1" t="n">
        <v>45976</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47909-2024</t>
        </is>
      </c>
      <c r="B283" s="1" t="n">
        <v>45589.31866898148</v>
      </c>
      <c r="C283" s="1" t="n">
        <v>45976</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41765-2025</t>
        </is>
      </c>
      <c r="B284" s="1" t="n">
        <v>45902</v>
      </c>
      <c r="C284" s="1" t="n">
        <v>45976</v>
      </c>
      <c r="D284" t="inlineStr">
        <is>
          <t>UPPSALA LÄN</t>
        </is>
      </c>
      <c r="E284" t="inlineStr">
        <is>
          <t>ENKÖPING</t>
        </is>
      </c>
      <c r="G284" t="n">
        <v>2.7</v>
      </c>
      <c r="H284" t="n">
        <v>0</v>
      </c>
      <c r="I284" t="n">
        <v>0</v>
      </c>
      <c r="J284" t="n">
        <v>0</v>
      </c>
      <c r="K284" t="n">
        <v>0</v>
      </c>
      <c r="L284" t="n">
        <v>0</v>
      </c>
      <c r="M284" t="n">
        <v>0</v>
      </c>
      <c r="N284" t="n">
        <v>0</v>
      </c>
      <c r="O284" t="n">
        <v>0</v>
      </c>
      <c r="P284" t="n">
        <v>0</v>
      </c>
      <c r="Q284" t="n">
        <v>0</v>
      </c>
      <c r="R284" s="2" t="inlineStr"/>
    </row>
    <row r="285" ht="15" customHeight="1">
      <c r="A285" t="inlineStr">
        <is>
          <t>A 63310-2021</t>
        </is>
      </c>
      <c r="B285" s="1" t="n">
        <v>44508</v>
      </c>
      <c r="C285" s="1" t="n">
        <v>45976</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51932-2022</t>
        </is>
      </c>
      <c r="B286" s="1" t="n">
        <v>44872</v>
      </c>
      <c r="C286" s="1" t="n">
        <v>45976</v>
      </c>
      <c r="D286" t="inlineStr">
        <is>
          <t>UPPSALA LÄN</t>
        </is>
      </c>
      <c r="E286" t="inlineStr">
        <is>
          <t>ENKÖPING</t>
        </is>
      </c>
      <c r="G286" t="n">
        <v>5.5</v>
      </c>
      <c r="H286" t="n">
        <v>0</v>
      </c>
      <c r="I286" t="n">
        <v>0</v>
      </c>
      <c r="J286" t="n">
        <v>0</v>
      </c>
      <c r="K286" t="n">
        <v>0</v>
      </c>
      <c r="L286" t="n">
        <v>0</v>
      </c>
      <c r="M286" t="n">
        <v>0</v>
      </c>
      <c r="N286" t="n">
        <v>0</v>
      </c>
      <c r="O286" t="n">
        <v>0</v>
      </c>
      <c r="P286" t="n">
        <v>0</v>
      </c>
      <c r="Q286" t="n">
        <v>0</v>
      </c>
      <c r="R286" s="2" t="inlineStr"/>
    </row>
    <row r="287" ht="15" customHeight="1">
      <c r="A287" t="inlineStr">
        <is>
          <t>A 47516-2022</t>
        </is>
      </c>
      <c r="B287" s="1" t="n">
        <v>44853.68895833333</v>
      </c>
      <c r="C287" s="1" t="n">
        <v>45976</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20440-2025</t>
        </is>
      </c>
      <c r="B288" s="1" t="n">
        <v>45775</v>
      </c>
      <c r="C288" s="1" t="n">
        <v>45976</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51133-2025</t>
        </is>
      </c>
      <c r="B289" s="1" t="n">
        <v>45947.55598379629</v>
      </c>
      <c r="C289" s="1" t="n">
        <v>45976</v>
      </c>
      <c r="D289" t="inlineStr">
        <is>
          <t>UPPSALA LÄN</t>
        </is>
      </c>
      <c r="E289" t="inlineStr">
        <is>
          <t>ENKÖPING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19488-2022</t>
        </is>
      </c>
      <c r="B290" s="1" t="n">
        <v>44693</v>
      </c>
      <c r="C290" s="1" t="n">
        <v>45976</v>
      </c>
      <c r="D290" t="inlineStr">
        <is>
          <t>UPPSALA LÄN</t>
        </is>
      </c>
      <c r="E290" t="inlineStr">
        <is>
          <t>ENKÖPING</t>
        </is>
      </c>
      <c r="G290" t="n">
        <v>7.8</v>
      </c>
      <c r="H290" t="n">
        <v>0</v>
      </c>
      <c r="I290" t="n">
        <v>0</v>
      </c>
      <c r="J290" t="n">
        <v>0</v>
      </c>
      <c r="K290" t="n">
        <v>0</v>
      </c>
      <c r="L290" t="n">
        <v>0</v>
      </c>
      <c r="M290" t="n">
        <v>0</v>
      </c>
      <c r="N290" t="n">
        <v>0</v>
      </c>
      <c r="O290" t="n">
        <v>0</v>
      </c>
      <c r="P290" t="n">
        <v>0</v>
      </c>
      <c r="Q290" t="n">
        <v>0</v>
      </c>
      <c r="R290" s="2" t="inlineStr"/>
    </row>
    <row r="291" ht="15" customHeight="1">
      <c r="A291" t="inlineStr">
        <is>
          <t>A 5188-2022</t>
        </is>
      </c>
      <c r="B291" s="1" t="n">
        <v>44594.4471412037</v>
      </c>
      <c r="C291" s="1" t="n">
        <v>45976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51162-2025</t>
        </is>
      </c>
      <c r="B292" s="1" t="n">
        <v>45947.58820601852</v>
      </c>
      <c r="C292" s="1" t="n">
        <v>45976</v>
      </c>
      <c r="D292" t="inlineStr">
        <is>
          <t>UPPSALA LÄN</t>
        </is>
      </c>
      <c r="E292" t="inlineStr">
        <is>
          <t>ENKÖPING</t>
        </is>
      </c>
      <c r="G292" t="n">
        <v>3.4</v>
      </c>
      <c r="H292" t="n">
        <v>0</v>
      </c>
      <c r="I292" t="n">
        <v>0</v>
      </c>
      <c r="J292" t="n">
        <v>0</v>
      </c>
      <c r="K292" t="n">
        <v>0</v>
      </c>
      <c r="L292" t="n">
        <v>0</v>
      </c>
      <c r="M292" t="n">
        <v>0</v>
      </c>
      <c r="N292" t="n">
        <v>0</v>
      </c>
      <c r="O292" t="n">
        <v>0</v>
      </c>
      <c r="P292" t="n">
        <v>0</v>
      </c>
      <c r="Q292" t="n">
        <v>0</v>
      </c>
      <c r="R292" s="2" t="inlineStr"/>
    </row>
    <row r="293" ht="15" customHeight="1">
      <c r="A293" t="inlineStr">
        <is>
          <t>A 31622-2022</t>
        </is>
      </c>
      <c r="B293" s="1" t="n">
        <v>44775</v>
      </c>
      <c r="C293" s="1" t="n">
        <v>45976</v>
      </c>
      <c r="D293" t="inlineStr">
        <is>
          <t>UPPSALA LÄN</t>
        </is>
      </c>
      <c r="E293" t="inlineStr">
        <is>
          <t>ENKÖPING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41764-2025</t>
        </is>
      </c>
      <c r="B294" s="1" t="n">
        <v>45902</v>
      </c>
      <c r="C294" s="1" t="n">
        <v>45976</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12102-2024</t>
        </is>
      </c>
      <c r="B295" s="1" t="n">
        <v>45377</v>
      </c>
      <c r="C295" s="1" t="n">
        <v>45976</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51042-2024</t>
        </is>
      </c>
      <c r="B296" s="1" t="n">
        <v>45603.4342824074</v>
      </c>
      <c r="C296" s="1" t="n">
        <v>45976</v>
      </c>
      <c r="D296" t="inlineStr">
        <is>
          <t>UPPSALA LÄN</t>
        </is>
      </c>
      <c r="E296" t="inlineStr">
        <is>
          <t>ENKÖPING</t>
        </is>
      </c>
      <c r="G296" t="n">
        <v>4.6</v>
      </c>
      <c r="H296" t="n">
        <v>0</v>
      </c>
      <c r="I296" t="n">
        <v>0</v>
      </c>
      <c r="J296" t="n">
        <v>0</v>
      </c>
      <c r="K296" t="n">
        <v>0</v>
      </c>
      <c r="L296" t="n">
        <v>0</v>
      </c>
      <c r="M296" t="n">
        <v>0</v>
      </c>
      <c r="N296" t="n">
        <v>0</v>
      </c>
      <c r="O296" t="n">
        <v>0</v>
      </c>
      <c r="P296" t="n">
        <v>0</v>
      </c>
      <c r="Q296" t="n">
        <v>0</v>
      </c>
      <c r="R296" s="2" t="inlineStr"/>
    </row>
    <row r="297" ht="15" customHeight="1">
      <c r="A297" t="inlineStr">
        <is>
          <t>A 51037-2024</t>
        </is>
      </c>
      <c r="B297" s="1" t="n">
        <v>45603.43005787037</v>
      </c>
      <c r="C297" s="1" t="n">
        <v>45976</v>
      </c>
      <c r="D297" t="inlineStr">
        <is>
          <t>UPPSALA LÄN</t>
        </is>
      </c>
      <c r="E297" t="inlineStr">
        <is>
          <t>ENKÖPING</t>
        </is>
      </c>
      <c r="G297" t="n">
        <v>5.7</v>
      </c>
      <c r="H297" t="n">
        <v>0</v>
      </c>
      <c r="I297" t="n">
        <v>0</v>
      </c>
      <c r="J297" t="n">
        <v>0</v>
      </c>
      <c r="K297" t="n">
        <v>0</v>
      </c>
      <c r="L297" t="n">
        <v>0</v>
      </c>
      <c r="M297" t="n">
        <v>0</v>
      </c>
      <c r="N297" t="n">
        <v>0</v>
      </c>
      <c r="O297" t="n">
        <v>0</v>
      </c>
      <c r="P297" t="n">
        <v>0</v>
      </c>
      <c r="Q297" t="n">
        <v>0</v>
      </c>
      <c r="R297" s="2" t="inlineStr"/>
    </row>
    <row r="298" ht="15" customHeight="1">
      <c r="A298" t="inlineStr">
        <is>
          <t>A 42756-2025</t>
        </is>
      </c>
      <c r="B298" s="1" t="n">
        <v>45908</v>
      </c>
      <c r="C298" s="1" t="n">
        <v>45976</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59602-2024</t>
        </is>
      </c>
      <c r="B299" s="1" t="n">
        <v>45638</v>
      </c>
      <c r="C299" s="1" t="n">
        <v>45976</v>
      </c>
      <c r="D299" t="inlineStr">
        <is>
          <t>UPPSALA LÄN</t>
        </is>
      </c>
      <c r="E299" t="inlineStr">
        <is>
          <t>ENKÖPING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59497-2022</t>
        </is>
      </c>
      <c r="B300" s="1" t="n">
        <v>44907.48258101852</v>
      </c>
      <c r="C300" s="1" t="n">
        <v>45976</v>
      </c>
      <c r="D300" t="inlineStr">
        <is>
          <t>UPPSALA LÄN</t>
        </is>
      </c>
      <c r="E300" t="inlineStr">
        <is>
          <t>ENKÖPING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22632-2025</t>
        </is>
      </c>
      <c r="B301" s="1" t="n">
        <v>45789.44361111111</v>
      </c>
      <c r="C301" s="1" t="n">
        <v>45976</v>
      </c>
      <c r="D301" t="inlineStr">
        <is>
          <t>UPPSALA LÄN</t>
        </is>
      </c>
      <c r="E301" t="inlineStr">
        <is>
          <t>ENKÖPING</t>
        </is>
      </c>
      <c r="G301" t="n">
        <v>2.1</v>
      </c>
      <c r="H301" t="n">
        <v>0</v>
      </c>
      <c r="I301" t="n">
        <v>0</v>
      </c>
      <c r="J301" t="n">
        <v>0</v>
      </c>
      <c r="K301" t="n">
        <v>0</v>
      </c>
      <c r="L301" t="n">
        <v>0</v>
      </c>
      <c r="M301" t="n">
        <v>0</v>
      </c>
      <c r="N301" t="n">
        <v>0</v>
      </c>
      <c r="O301" t="n">
        <v>0</v>
      </c>
      <c r="P301" t="n">
        <v>0</v>
      </c>
      <c r="Q301" t="n">
        <v>0</v>
      </c>
      <c r="R301" s="2" t="inlineStr"/>
    </row>
    <row r="302" ht="15" customHeight="1">
      <c r="A302" t="inlineStr">
        <is>
          <t>A 9041-2023</t>
        </is>
      </c>
      <c r="B302" s="1" t="n">
        <v>44979</v>
      </c>
      <c r="C302" s="1" t="n">
        <v>45976</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43103-2025</t>
        </is>
      </c>
      <c r="B303" s="1" t="n">
        <v>45909</v>
      </c>
      <c r="C303" s="1" t="n">
        <v>45976</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12434-2021</t>
        </is>
      </c>
      <c r="B304" s="1" t="n">
        <v>44267</v>
      </c>
      <c r="C304" s="1" t="n">
        <v>45976</v>
      </c>
      <c r="D304" t="inlineStr">
        <is>
          <t>UPPSALA LÄN</t>
        </is>
      </c>
      <c r="E304" t="inlineStr">
        <is>
          <t>ENKÖPING</t>
        </is>
      </c>
      <c r="G304" t="n">
        <v>5.3</v>
      </c>
      <c r="H304" t="n">
        <v>0</v>
      </c>
      <c r="I304" t="n">
        <v>0</v>
      </c>
      <c r="J304" t="n">
        <v>0</v>
      </c>
      <c r="K304" t="n">
        <v>0</v>
      </c>
      <c r="L304" t="n">
        <v>0</v>
      </c>
      <c r="M304" t="n">
        <v>0</v>
      </c>
      <c r="N304" t="n">
        <v>0</v>
      </c>
      <c r="O304" t="n">
        <v>0</v>
      </c>
      <c r="P304" t="n">
        <v>0</v>
      </c>
      <c r="Q304" t="n">
        <v>0</v>
      </c>
      <c r="R304" s="2" t="inlineStr"/>
    </row>
    <row r="305" ht="15" customHeight="1">
      <c r="A305" t="inlineStr">
        <is>
          <t>A 49614-2024</t>
        </is>
      </c>
      <c r="B305" s="1" t="n">
        <v>45596.57716435185</v>
      </c>
      <c r="C305" s="1" t="n">
        <v>45976</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49632-2024</t>
        </is>
      </c>
      <c r="B306" s="1" t="n">
        <v>45596</v>
      </c>
      <c r="C306" s="1" t="n">
        <v>45976</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29479-2022</t>
        </is>
      </c>
      <c r="B307" s="1" t="n">
        <v>44753.57265046296</v>
      </c>
      <c r="C307" s="1" t="n">
        <v>45976</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12755-2025</t>
        </is>
      </c>
      <c r="B308" s="1" t="n">
        <v>45733.56541666666</v>
      </c>
      <c r="C308" s="1" t="n">
        <v>45976</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44131-2023</t>
        </is>
      </c>
      <c r="B309" s="1" t="n">
        <v>45188</v>
      </c>
      <c r="C309" s="1" t="n">
        <v>45976</v>
      </c>
      <c r="D309" t="inlineStr">
        <is>
          <t>UPPSALA LÄN</t>
        </is>
      </c>
      <c r="E309" t="inlineStr">
        <is>
          <t>ENKÖPING</t>
        </is>
      </c>
      <c r="G309" t="n">
        <v>0.3</v>
      </c>
      <c r="H309" t="n">
        <v>0</v>
      </c>
      <c r="I309" t="n">
        <v>0</v>
      </c>
      <c r="J309" t="n">
        <v>0</v>
      </c>
      <c r="K309" t="n">
        <v>0</v>
      </c>
      <c r="L309" t="n">
        <v>0</v>
      </c>
      <c r="M309" t="n">
        <v>0</v>
      </c>
      <c r="N309" t="n">
        <v>0</v>
      </c>
      <c r="O309" t="n">
        <v>0</v>
      </c>
      <c r="P309" t="n">
        <v>0</v>
      </c>
      <c r="Q309" t="n">
        <v>0</v>
      </c>
      <c r="R309" s="2" t="inlineStr"/>
    </row>
    <row r="310" ht="15" customHeight="1">
      <c r="A310" t="inlineStr">
        <is>
          <t>A 59027-2024</t>
        </is>
      </c>
      <c r="B310" s="1" t="n">
        <v>45636.68755787037</v>
      </c>
      <c r="C310" s="1" t="n">
        <v>45976</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60533-2021</t>
        </is>
      </c>
      <c r="B311" s="1" t="n">
        <v>44496</v>
      </c>
      <c r="C311" s="1" t="n">
        <v>45976</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53587-2024</t>
        </is>
      </c>
      <c r="B312" s="1" t="n">
        <v>45614.66953703704</v>
      </c>
      <c r="C312" s="1" t="n">
        <v>45976</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27538-2023</t>
        </is>
      </c>
      <c r="B313" s="1" t="n">
        <v>45097</v>
      </c>
      <c r="C313" s="1" t="n">
        <v>45976</v>
      </c>
      <c r="D313" t="inlineStr">
        <is>
          <t>UPPSALA LÄN</t>
        </is>
      </c>
      <c r="E313" t="inlineStr">
        <is>
          <t>ENKÖPING</t>
        </is>
      </c>
      <c r="G313" t="n">
        <v>5.8</v>
      </c>
      <c r="H313" t="n">
        <v>0</v>
      </c>
      <c r="I313" t="n">
        <v>0</v>
      </c>
      <c r="J313" t="n">
        <v>0</v>
      </c>
      <c r="K313" t="n">
        <v>0</v>
      </c>
      <c r="L313" t="n">
        <v>0</v>
      </c>
      <c r="M313" t="n">
        <v>0</v>
      </c>
      <c r="N313" t="n">
        <v>0</v>
      </c>
      <c r="O313" t="n">
        <v>0</v>
      </c>
      <c r="P313" t="n">
        <v>0</v>
      </c>
      <c r="Q313" t="n">
        <v>0</v>
      </c>
      <c r="R313" s="2" t="inlineStr"/>
    </row>
    <row r="314" ht="15" customHeight="1">
      <c r="A314" t="inlineStr">
        <is>
          <t>A 15409-2025</t>
        </is>
      </c>
      <c r="B314" s="1" t="n">
        <v>45747</v>
      </c>
      <c r="C314" s="1" t="n">
        <v>45976</v>
      </c>
      <c r="D314" t="inlineStr">
        <is>
          <t>UPPSALA LÄN</t>
        </is>
      </c>
      <c r="E314" t="inlineStr">
        <is>
          <t>ENKÖPING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60874-2023</t>
        </is>
      </c>
      <c r="B315" s="1" t="n">
        <v>45261.06280092592</v>
      </c>
      <c r="C315" s="1" t="n">
        <v>45976</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35052-2024</t>
        </is>
      </c>
      <c r="B316" s="1" t="n">
        <v>45527.6516087963</v>
      </c>
      <c r="C316" s="1" t="n">
        <v>45976</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51008-2024</t>
        </is>
      </c>
      <c r="B317" s="1" t="n">
        <v>45603.39041666667</v>
      </c>
      <c r="C317" s="1" t="n">
        <v>45976</v>
      </c>
      <c r="D317" t="inlineStr">
        <is>
          <t>UPPSALA LÄN</t>
        </is>
      </c>
      <c r="E317" t="inlineStr">
        <is>
          <t>ENKÖPING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50394-2024</t>
        </is>
      </c>
      <c r="B318" s="1" t="n">
        <v>45600</v>
      </c>
      <c r="C318" s="1" t="n">
        <v>45976</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51010-2024</t>
        </is>
      </c>
      <c r="B319" s="1" t="n">
        <v>45603.39285879629</v>
      </c>
      <c r="C319" s="1" t="n">
        <v>45976</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11503-2024</t>
        </is>
      </c>
      <c r="B320" s="1" t="n">
        <v>45372.68020833333</v>
      </c>
      <c r="C320" s="1" t="n">
        <v>45976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45976</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39115-2024</t>
        </is>
      </c>
      <c r="B322" s="1" t="n">
        <v>45548</v>
      </c>
      <c r="C322" s="1" t="n">
        <v>45976</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25334-2023</t>
        </is>
      </c>
      <c r="B323" s="1" t="n">
        <v>45083</v>
      </c>
      <c r="C323" s="1" t="n">
        <v>45976</v>
      </c>
      <c r="D323" t="inlineStr">
        <is>
          <t>UPPSALA LÄN</t>
        </is>
      </c>
      <c r="E323" t="inlineStr">
        <is>
          <t>ENKÖPING</t>
        </is>
      </c>
      <c r="G323" t="n">
        <v>0.2</v>
      </c>
      <c r="H323" t="n">
        <v>0</v>
      </c>
      <c r="I323" t="n">
        <v>0</v>
      </c>
      <c r="J323" t="n">
        <v>0</v>
      </c>
      <c r="K323" t="n">
        <v>0</v>
      </c>
      <c r="L323" t="n">
        <v>0</v>
      </c>
      <c r="M323" t="n">
        <v>0</v>
      </c>
      <c r="N323" t="n">
        <v>0</v>
      </c>
      <c r="O323" t="n">
        <v>0</v>
      </c>
      <c r="P323" t="n">
        <v>0</v>
      </c>
      <c r="Q323" t="n">
        <v>0</v>
      </c>
      <c r="R323" s="2" t="inlineStr"/>
    </row>
    <row r="324" ht="15" customHeight="1">
      <c r="A324" t="inlineStr">
        <is>
          <t>A 51027-2024</t>
        </is>
      </c>
      <c r="B324" s="1" t="n">
        <v>45603</v>
      </c>
      <c r="C324" s="1" t="n">
        <v>45976</v>
      </c>
      <c r="D324" t="inlineStr">
        <is>
          <t>UPPSALA LÄN</t>
        </is>
      </c>
      <c r="E324" t="inlineStr">
        <is>
          <t>ENKÖPING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56837-2024</t>
        </is>
      </c>
      <c r="B325" s="1" t="n">
        <v>45628</v>
      </c>
      <c r="C325" s="1" t="n">
        <v>45976</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19147-2024</t>
        </is>
      </c>
      <c r="B326" s="1" t="n">
        <v>45428</v>
      </c>
      <c r="C326" s="1" t="n">
        <v>45976</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57209-2024</t>
        </is>
      </c>
      <c r="B327" s="1" t="n">
        <v>45629.49311342592</v>
      </c>
      <c r="C327" s="1" t="n">
        <v>45976</v>
      </c>
      <c r="D327" t="inlineStr">
        <is>
          <t>UPPSALA LÄN</t>
        </is>
      </c>
      <c r="E327" t="inlineStr">
        <is>
          <t>ENKÖPING</t>
        </is>
      </c>
      <c r="G327" t="n">
        <v>3.2</v>
      </c>
      <c r="H327" t="n">
        <v>0</v>
      </c>
      <c r="I327" t="n">
        <v>0</v>
      </c>
      <c r="J327" t="n">
        <v>0</v>
      </c>
      <c r="K327" t="n">
        <v>0</v>
      </c>
      <c r="L327" t="n">
        <v>0</v>
      </c>
      <c r="M327" t="n">
        <v>0</v>
      </c>
      <c r="N327" t="n">
        <v>0</v>
      </c>
      <c r="O327" t="n">
        <v>0</v>
      </c>
      <c r="P327" t="n">
        <v>0</v>
      </c>
      <c r="Q327" t="n">
        <v>0</v>
      </c>
      <c r="R327" s="2" t="inlineStr"/>
    </row>
    <row r="328" ht="15" customHeight="1">
      <c r="A328" t="inlineStr">
        <is>
          <t>A 51120-2023</t>
        </is>
      </c>
      <c r="B328" s="1" t="n">
        <v>45219.3088425926</v>
      </c>
      <c r="C328" s="1" t="n">
        <v>45976</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12878-2025</t>
        </is>
      </c>
      <c r="B329" s="1" t="n">
        <v>45733.68571759259</v>
      </c>
      <c r="C329" s="1" t="n">
        <v>45976</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43896-2022</t>
        </is>
      </c>
      <c r="B330" s="1" t="n">
        <v>44838</v>
      </c>
      <c r="C330" s="1" t="n">
        <v>45976</v>
      </c>
      <c r="D330" t="inlineStr">
        <is>
          <t>UPPSALA LÄN</t>
        </is>
      </c>
      <c r="E330" t="inlineStr">
        <is>
          <t>ENKÖPING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4203-2021</t>
        </is>
      </c>
      <c r="B331" s="1" t="n">
        <v>44223</v>
      </c>
      <c r="C331" s="1" t="n">
        <v>45976</v>
      </c>
      <c r="D331" t="inlineStr">
        <is>
          <t>UPPSALA LÄN</t>
        </is>
      </c>
      <c r="E331" t="inlineStr">
        <is>
          <t>ENKÖPING</t>
        </is>
      </c>
      <c r="G331" t="n">
        <v>11.6</v>
      </c>
      <c r="H331" t="n">
        <v>0</v>
      </c>
      <c r="I331" t="n">
        <v>0</v>
      </c>
      <c r="J331" t="n">
        <v>0</v>
      </c>
      <c r="K331" t="n">
        <v>0</v>
      </c>
      <c r="L331" t="n">
        <v>0</v>
      </c>
      <c r="M331" t="n">
        <v>0</v>
      </c>
      <c r="N331" t="n">
        <v>0</v>
      </c>
      <c r="O331" t="n">
        <v>0</v>
      </c>
      <c r="P331" t="n">
        <v>0</v>
      </c>
      <c r="Q331" t="n">
        <v>0</v>
      </c>
      <c r="R331" s="2" t="inlineStr"/>
    </row>
    <row r="332" ht="15" customHeight="1">
      <c r="A332" t="inlineStr">
        <is>
          <t>A 43999-2025</t>
        </is>
      </c>
      <c r="B332" s="1" t="n">
        <v>45915.45158564814</v>
      </c>
      <c r="C332" s="1" t="n">
        <v>45976</v>
      </c>
      <c r="D332" t="inlineStr">
        <is>
          <t>UPPSALA LÄN</t>
        </is>
      </c>
      <c r="E332" t="inlineStr">
        <is>
          <t>ENKÖPING</t>
        </is>
      </c>
      <c r="G332" t="n">
        <v>4.1</v>
      </c>
      <c r="H332" t="n">
        <v>0</v>
      </c>
      <c r="I332" t="n">
        <v>0</v>
      </c>
      <c r="J332" t="n">
        <v>0</v>
      </c>
      <c r="K332" t="n">
        <v>0</v>
      </c>
      <c r="L332" t="n">
        <v>0</v>
      </c>
      <c r="M332" t="n">
        <v>0</v>
      </c>
      <c r="N332" t="n">
        <v>0</v>
      </c>
      <c r="O332" t="n">
        <v>0</v>
      </c>
      <c r="P332" t="n">
        <v>0</v>
      </c>
      <c r="Q332" t="n">
        <v>0</v>
      </c>
      <c r="R332" s="2" t="inlineStr"/>
    </row>
    <row r="333" ht="15" customHeight="1">
      <c r="A333" t="inlineStr">
        <is>
          <t>A 7090-2022</t>
        </is>
      </c>
      <c r="B333" s="1" t="n">
        <v>44603.59520833333</v>
      </c>
      <c r="C333" s="1" t="n">
        <v>45976</v>
      </c>
      <c r="D333" t="inlineStr">
        <is>
          <t>UPPSALA LÄN</t>
        </is>
      </c>
      <c r="E333" t="inlineStr">
        <is>
          <t>ENKÖPING</t>
        </is>
      </c>
      <c r="G333" t="n">
        <v>2.8</v>
      </c>
      <c r="H333" t="n">
        <v>0</v>
      </c>
      <c r="I333" t="n">
        <v>0</v>
      </c>
      <c r="J333" t="n">
        <v>0</v>
      </c>
      <c r="K333" t="n">
        <v>0</v>
      </c>
      <c r="L333" t="n">
        <v>0</v>
      </c>
      <c r="M333" t="n">
        <v>0</v>
      </c>
      <c r="N333" t="n">
        <v>0</v>
      </c>
      <c r="O333" t="n">
        <v>0</v>
      </c>
      <c r="P333" t="n">
        <v>0</v>
      </c>
      <c r="Q333" t="n">
        <v>0</v>
      </c>
      <c r="R333" s="2" t="inlineStr"/>
    </row>
    <row r="334" ht="15" customHeight="1">
      <c r="A334" t="inlineStr">
        <is>
          <t>A 9487-2025</t>
        </is>
      </c>
      <c r="B334" s="1" t="n">
        <v>45715.49331018519</v>
      </c>
      <c r="C334" s="1" t="n">
        <v>45976</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6144-2024</t>
        </is>
      </c>
      <c r="B335" s="1" t="n">
        <v>45337.4684837963</v>
      </c>
      <c r="C335" s="1" t="n">
        <v>45976</v>
      </c>
      <c r="D335" t="inlineStr">
        <is>
          <t>UPPSALA LÄN</t>
        </is>
      </c>
      <c r="E335" t="inlineStr">
        <is>
          <t>ENKÖPING</t>
        </is>
      </c>
      <c r="G335" t="n">
        <v>13.8</v>
      </c>
      <c r="H335" t="n">
        <v>0</v>
      </c>
      <c r="I335" t="n">
        <v>0</v>
      </c>
      <c r="J335" t="n">
        <v>0</v>
      </c>
      <c r="K335" t="n">
        <v>0</v>
      </c>
      <c r="L335" t="n">
        <v>0</v>
      </c>
      <c r="M335" t="n">
        <v>0</v>
      </c>
      <c r="N335" t="n">
        <v>0</v>
      </c>
      <c r="O335" t="n">
        <v>0</v>
      </c>
      <c r="P335" t="n">
        <v>0</v>
      </c>
      <c r="Q335" t="n">
        <v>0</v>
      </c>
      <c r="R335" s="2" t="inlineStr"/>
    </row>
    <row r="336" ht="15" customHeight="1">
      <c r="A336" t="inlineStr">
        <is>
          <t>A 33955-2024</t>
        </is>
      </c>
      <c r="B336" s="1" t="n">
        <v>45523.46952546296</v>
      </c>
      <c r="C336" s="1" t="n">
        <v>45976</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18821-2023</t>
        </is>
      </c>
      <c r="B337" s="1" t="n">
        <v>45044.3782175926</v>
      </c>
      <c r="C337" s="1" t="n">
        <v>45976</v>
      </c>
      <c r="D337" t="inlineStr">
        <is>
          <t>UPPSALA LÄN</t>
        </is>
      </c>
      <c r="E337" t="inlineStr">
        <is>
          <t>ENKÖPING</t>
        </is>
      </c>
      <c r="G337" t="n">
        <v>6</v>
      </c>
      <c r="H337" t="n">
        <v>0</v>
      </c>
      <c r="I337" t="n">
        <v>0</v>
      </c>
      <c r="J337" t="n">
        <v>0</v>
      </c>
      <c r="K337" t="n">
        <v>0</v>
      </c>
      <c r="L337" t="n">
        <v>0</v>
      </c>
      <c r="M337" t="n">
        <v>0</v>
      </c>
      <c r="N337" t="n">
        <v>0</v>
      </c>
      <c r="O337" t="n">
        <v>0</v>
      </c>
      <c r="P337" t="n">
        <v>0</v>
      </c>
      <c r="Q337" t="n">
        <v>0</v>
      </c>
      <c r="R337" s="2" t="inlineStr"/>
    </row>
    <row r="338" ht="15" customHeight="1">
      <c r="A338" t="inlineStr">
        <is>
          <t>A 57335-2024</t>
        </is>
      </c>
      <c r="B338" s="1" t="n">
        <v>45629.63302083333</v>
      </c>
      <c r="C338" s="1" t="n">
        <v>45976</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22156-2025</t>
        </is>
      </c>
      <c r="B339" s="1" t="n">
        <v>45785.57512731481</v>
      </c>
      <c r="C339" s="1" t="n">
        <v>45976</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22150-2025</t>
        </is>
      </c>
      <c r="B340" s="1" t="n">
        <v>45785.56398148148</v>
      </c>
      <c r="C340" s="1" t="n">
        <v>45976</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30087-2024</t>
        </is>
      </c>
      <c r="B341" s="1" t="n">
        <v>45489.39447916667</v>
      </c>
      <c r="C341" s="1" t="n">
        <v>45976</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44419-2025</t>
        </is>
      </c>
      <c r="B342" s="1" t="n">
        <v>45916.54671296296</v>
      </c>
      <c r="C342" s="1" t="n">
        <v>45976</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54776-2024</t>
        </is>
      </c>
      <c r="B343" s="1" t="n">
        <v>45618</v>
      </c>
      <c r="C343" s="1" t="n">
        <v>45976</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22729-2025</t>
        </is>
      </c>
      <c r="B344" s="1" t="n">
        <v>45789.57790509259</v>
      </c>
      <c r="C344" s="1" t="n">
        <v>45976</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57835-2024</t>
        </is>
      </c>
      <c r="B345" s="1" t="n">
        <v>45631.39947916667</v>
      </c>
      <c r="C345" s="1" t="n">
        <v>45976</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53208-2023</t>
        </is>
      </c>
      <c r="B346" s="1" t="n">
        <v>45226</v>
      </c>
      <c r="C346" s="1" t="n">
        <v>45976</v>
      </c>
      <c r="D346" t="inlineStr">
        <is>
          <t>UPPSALA LÄN</t>
        </is>
      </c>
      <c r="E346" t="inlineStr">
        <is>
          <t>ENKÖPING</t>
        </is>
      </c>
      <c r="G346" t="n">
        <v>4.3</v>
      </c>
      <c r="H346" t="n">
        <v>0</v>
      </c>
      <c r="I346" t="n">
        <v>0</v>
      </c>
      <c r="J346" t="n">
        <v>0</v>
      </c>
      <c r="K346" t="n">
        <v>0</v>
      </c>
      <c r="L346" t="n">
        <v>0</v>
      </c>
      <c r="M346" t="n">
        <v>0</v>
      </c>
      <c r="N346" t="n">
        <v>0</v>
      </c>
      <c r="O346" t="n">
        <v>0</v>
      </c>
      <c r="P346" t="n">
        <v>0</v>
      </c>
      <c r="Q346" t="n">
        <v>0</v>
      </c>
      <c r="R346" s="2" t="inlineStr"/>
    </row>
    <row r="347" ht="15" customHeight="1">
      <c r="A347" t="inlineStr">
        <is>
          <t>A 14518-2025</t>
        </is>
      </c>
      <c r="B347" s="1" t="n">
        <v>45741</v>
      </c>
      <c r="C347" s="1" t="n">
        <v>45976</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22677-2025</t>
        </is>
      </c>
      <c r="B348" s="1" t="n">
        <v>45789.49515046296</v>
      </c>
      <c r="C348" s="1" t="n">
        <v>45976</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22679-2025</t>
        </is>
      </c>
      <c r="B349" s="1" t="n">
        <v>45789.49747685185</v>
      </c>
      <c r="C349" s="1" t="n">
        <v>45976</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22770-2025</t>
        </is>
      </c>
      <c r="B350" s="1" t="n">
        <v>45789.63454861111</v>
      </c>
      <c r="C350" s="1" t="n">
        <v>45976</v>
      </c>
      <c r="D350" t="inlineStr">
        <is>
          <t>UPPSALA LÄN</t>
        </is>
      </c>
      <c r="E350" t="inlineStr">
        <is>
          <t>ENKÖPING</t>
        </is>
      </c>
      <c r="G350" t="n">
        <v>4.5</v>
      </c>
      <c r="H350" t="n">
        <v>0</v>
      </c>
      <c r="I350" t="n">
        <v>0</v>
      </c>
      <c r="J350" t="n">
        <v>0</v>
      </c>
      <c r="K350" t="n">
        <v>0</v>
      </c>
      <c r="L350" t="n">
        <v>0</v>
      </c>
      <c r="M350" t="n">
        <v>0</v>
      </c>
      <c r="N350" t="n">
        <v>0</v>
      </c>
      <c r="O350" t="n">
        <v>0</v>
      </c>
      <c r="P350" t="n">
        <v>0</v>
      </c>
      <c r="Q350" t="n">
        <v>0</v>
      </c>
      <c r="R350" s="2" t="inlineStr"/>
    </row>
    <row r="351" ht="15" customHeight="1">
      <c r="A351" t="inlineStr">
        <is>
          <t>A 22800-2025</t>
        </is>
      </c>
      <c r="B351" s="1" t="n">
        <v>45789.6669212963</v>
      </c>
      <c r="C351" s="1" t="n">
        <v>45976</v>
      </c>
      <c r="D351" t="inlineStr">
        <is>
          <t>UPPSALA LÄN</t>
        </is>
      </c>
      <c r="E351" t="inlineStr">
        <is>
          <t>ENKÖPING</t>
        </is>
      </c>
      <c r="G351" t="n">
        <v>2</v>
      </c>
      <c r="H351" t="n">
        <v>0</v>
      </c>
      <c r="I351" t="n">
        <v>0</v>
      </c>
      <c r="J351" t="n">
        <v>0</v>
      </c>
      <c r="K351" t="n">
        <v>0</v>
      </c>
      <c r="L351" t="n">
        <v>0</v>
      </c>
      <c r="M351" t="n">
        <v>0</v>
      </c>
      <c r="N351" t="n">
        <v>0</v>
      </c>
      <c r="O351" t="n">
        <v>0</v>
      </c>
      <c r="P351" t="n">
        <v>0</v>
      </c>
      <c r="Q351" t="n">
        <v>0</v>
      </c>
      <c r="R351" s="2" t="inlineStr"/>
    </row>
    <row r="352" ht="15" customHeight="1">
      <c r="A352" t="inlineStr">
        <is>
          <t>A 19013-2025</t>
        </is>
      </c>
      <c r="B352" s="1" t="n">
        <v>45764.59533564815</v>
      </c>
      <c r="C352" s="1" t="n">
        <v>45976</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6981-2025</t>
        </is>
      </c>
      <c r="B353" s="1" t="n">
        <v>45701</v>
      </c>
      <c r="C353" s="1" t="n">
        <v>45976</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22786-2025</t>
        </is>
      </c>
      <c r="B354" s="1" t="n">
        <v>45789.64643518518</v>
      </c>
      <c r="C354" s="1" t="n">
        <v>45976</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68123-2021</t>
        </is>
      </c>
      <c r="B355" s="1" t="n">
        <v>44526.39126157408</v>
      </c>
      <c r="C355" s="1" t="n">
        <v>45976</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32477-2025</t>
        </is>
      </c>
      <c r="B356" s="1" t="n">
        <v>45838.43098379629</v>
      </c>
      <c r="C356" s="1" t="n">
        <v>45976</v>
      </c>
      <c r="D356" t="inlineStr">
        <is>
          <t>UPPSALA LÄN</t>
        </is>
      </c>
      <c r="E356" t="inlineStr">
        <is>
          <t>ENKÖPING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22680-2025</t>
        </is>
      </c>
      <c r="B357" s="1" t="n">
        <v>45789.5005787037</v>
      </c>
      <c r="C357" s="1" t="n">
        <v>45976</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22802-2025</t>
        </is>
      </c>
      <c r="B358" s="1" t="n">
        <v>45789.6686574074</v>
      </c>
      <c r="C358" s="1" t="n">
        <v>45976</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22793-2025</t>
        </is>
      </c>
      <c r="B359" s="1" t="n">
        <v>45789.65693287037</v>
      </c>
      <c r="C359" s="1" t="n">
        <v>45976</v>
      </c>
      <c r="D359" t="inlineStr">
        <is>
          <t>UPPSALA LÄN</t>
        </is>
      </c>
      <c r="E359" t="inlineStr">
        <is>
          <t>ENKÖPING</t>
        </is>
      </c>
      <c r="G359" t="n">
        <v>3.2</v>
      </c>
      <c r="H359" t="n">
        <v>0</v>
      </c>
      <c r="I359" t="n">
        <v>0</v>
      </c>
      <c r="J359" t="n">
        <v>0</v>
      </c>
      <c r="K359" t="n">
        <v>0</v>
      </c>
      <c r="L359" t="n">
        <v>0</v>
      </c>
      <c r="M359" t="n">
        <v>0</v>
      </c>
      <c r="N359" t="n">
        <v>0</v>
      </c>
      <c r="O359" t="n">
        <v>0</v>
      </c>
      <c r="P359" t="n">
        <v>0</v>
      </c>
      <c r="Q359" t="n">
        <v>0</v>
      </c>
      <c r="R359" s="2" t="inlineStr"/>
    </row>
    <row r="360" ht="15" customHeight="1">
      <c r="A360" t="inlineStr">
        <is>
          <t>A 22795-2025</t>
        </is>
      </c>
      <c r="B360" s="1" t="n">
        <v>45789.65944444444</v>
      </c>
      <c r="C360" s="1" t="n">
        <v>45976</v>
      </c>
      <c r="D360" t="inlineStr">
        <is>
          <t>UPPSALA LÄN</t>
        </is>
      </c>
      <c r="E360" t="inlineStr">
        <is>
          <t>ENKÖPING</t>
        </is>
      </c>
      <c r="G360" t="n">
        <v>10.4</v>
      </c>
      <c r="H360" t="n">
        <v>0</v>
      </c>
      <c r="I360" t="n">
        <v>0</v>
      </c>
      <c r="J360" t="n">
        <v>0</v>
      </c>
      <c r="K360" t="n">
        <v>0</v>
      </c>
      <c r="L360" t="n">
        <v>0</v>
      </c>
      <c r="M360" t="n">
        <v>0</v>
      </c>
      <c r="N360" t="n">
        <v>0</v>
      </c>
      <c r="O360" t="n">
        <v>0</v>
      </c>
      <c r="P360" t="n">
        <v>0</v>
      </c>
      <c r="Q360" t="n">
        <v>0</v>
      </c>
      <c r="R360" s="2" t="inlineStr"/>
    </row>
    <row r="361" ht="15" customHeight="1">
      <c r="A361" t="inlineStr">
        <is>
          <t>A 22725-2025</t>
        </is>
      </c>
      <c r="B361" s="1" t="n">
        <v>45789.57371527778</v>
      </c>
      <c r="C361" s="1" t="n">
        <v>45976</v>
      </c>
      <c r="D361" t="inlineStr">
        <is>
          <t>UPPSALA LÄN</t>
        </is>
      </c>
      <c r="E361" t="inlineStr">
        <is>
          <t>ENKÖPING</t>
        </is>
      </c>
      <c r="G361" t="n">
        <v>4.8</v>
      </c>
      <c r="H361" t="n">
        <v>0</v>
      </c>
      <c r="I361" t="n">
        <v>0</v>
      </c>
      <c r="J361" t="n">
        <v>0</v>
      </c>
      <c r="K361" t="n">
        <v>0</v>
      </c>
      <c r="L361" t="n">
        <v>0</v>
      </c>
      <c r="M361" t="n">
        <v>0</v>
      </c>
      <c r="N361" t="n">
        <v>0</v>
      </c>
      <c r="O361" t="n">
        <v>0</v>
      </c>
      <c r="P361" t="n">
        <v>0</v>
      </c>
      <c r="Q361" t="n">
        <v>0</v>
      </c>
      <c r="R361" s="2" t="inlineStr"/>
    </row>
    <row r="362" ht="15" customHeight="1">
      <c r="A362" t="inlineStr">
        <is>
          <t>A 2164-2023</t>
        </is>
      </c>
      <c r="B362" s="1" t="n">
        <v>44941</v>
      </c>
      <c r="C362" s="1" t="n">
        <v>45976</v>
      </c>
      <c r="D362" t="inlineStr">
        <is>
          <t>UPPSALA LÄN</t>
        </is>
      </c>
      <c r="E362" t="inlineStr">
        <is>
          <t>ENKÖPING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61952-2021</t>
        </is>
      </c>
      <c r="B363" s="1" t="n">
        <v>44502</v>
      </c>
      <c r="C363" s="1" t="n">
        <v>45976</v>
      </c>
      <c r="D363" t="inlineStr">
        <is>
          <t>UPPSALA LÄN</t>
        </is>
      </c>
      <c r="E363" t="inlineStr">
        <is>
          <t>ENKÖPING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14083-2025</t>
        </is>
      </c>
      <c r="B364" s="1" t="n">
        <v>45740</v>
      </c>
      <c r="C364" s="1" t="n">
        <v>45976</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45976</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22981-2025</t>
        </is>
      </c>
      <c r="B366" s="1" t="n">
        <v>45790.56964120371</v>
      </c>
      <c r="C366" s="1" t="n">
        <v>45976</v>
      </c>
      <c r="D366" t="inlineStr">
        <is>
          <t>UPPSALA LÄN</t>
        </is>
      </c>
      <c r="E366" t="inlineStr">
        <is>
          <t>ENKÖPING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45956-2024</t>
        </is>
      </c>
      <c r="B367" s="1" t="n">
        <v>45580</v>
      </c>
      <c r="C367" s="1" t="n">
        <v>45976</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10831-2024</t>
        </is>
      </c>
      <c r="B368" s="1" t="n">
        <v>45369</v>
      </c>
      <c r="C368" s="1" t="n">
        <v>45976</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15757-2023</t>
        </is>
      </c>
      <c r="B369" s="1" t="n">
        <v>45021</v>
      </c>
      <c r="C369" s="1" t="n">
        <v>45976</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8020-2022</t>
        </is>
      </c>
      <c r="B370" s="1" t="n">
        <v>44609</v>
      </c>
      <c r="C370" s="1" t="n">
        <v>45976</v>
      </c>
      <c r="D370" t="inlineStr">
        <is>
          <t>UPPSALA LÄN</t>
        </is>
      </c>
      <c r="E370" t="inlineStr">
        <is>
          <t>ENKÖPING</t>
        </is>
      </c>
      <c r="G370" t="n">
        <v>6</v>
      </c>
      <c r="H370" t="n">
        <v>0</v>
      </c>
      <c r="I370" t="n">
        <v>0</v>
      </c>
      <c r="J370" t="n">
        <v>0</v>
      </c>
      <c r="K370" t="n">
        <v>0</v>
      </c>
      <c r="L370" t="n">
        <v>0</v>
      </c>
      <c r="M370" t="n">
        <v>0</v>
      </c>
      <c r="N370" t="n">
        <v>0</v>
      </c>
      <c r="O370" t="n">
        <v>0</v>
      </c>
      <c r="P370" t="n">
        <v>0</v>
      </c>
      <c r="Q370" t="n">
        <v>0</v>
      </c>
      <c r="R370" s="2" t="inlineStr"/>
    </row>
    <row r="371" ht="15" customHeight="1">
      <c r="A371" t="inlineStr">
        <is>
          <t>A 74090-2021</t>
        </is>
      </c>
      <c r="B371" s="1" t="n">
        <v>44557</v>
      </c>
      <c r="C371" s="1" t="n">
        <v>45976</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34805-2024</t>
        </is>
      </c>
      <c r="B372" s="1" t="n">
        <v>45526</v>
      </c>
      <c r="C372" s="1" t="n">
        <v>45976</v>
      </c>
      <c r="D372" t="inlineStr">
        <is>
          <t>UPPSALA LÄN</t>
        </is>
      </c>
      <c r="E372" t="inlineStr">
        <is>
          <t>ENKÖPING</t>
        </is>
      </c>
      <c r="G372" t="n">
        <v>3.6</v>
      </c>
      <c r="H372" t="n">
        <v>0</v>
      </c>
      <c r="I372" t="n">
        <v>0</v>
      </c>
      <c r="J372" t="n">
        <v>0</v>
      </c>
      <c r="K372" t="n">
        <v>0</v>
      </c>
      <c r="L372" t="n">
        <v>0</v>
      </c>
      <c r="M372" t="n">
        <v>0</v>
      </c>
      <c r="N372" t="n">
        <v>0</v>
      </c>
      <c r="O372" t="n">
        <v>0</v>
      </c>
      <c r="P372" t="n">
        <v>0</v>
      </c>
      <c r="Q372" t="n">
        <v>0</v>
      </c>
      <c r="R372" s="2" t="inlineStr"/>
    </row>
    <row r="373" ht="15" customHeight="1">
      <c r="A373" t="inlineStr">
        <is>
          <t>A 17729-2023</t>
        </is>
      </c>
      <c r="B373" s="1" t="n">
        <v>45037</v>
      </c>
      <c r="C373" s="1" t="n">
        <v>45976</v>
      </c>
      <c r="D373" t="inlineStr">
        <is>
          <t>UPPSALA LÄN</t>
        </is>
      </c>
      <c r="E373" t="inlineStr">
        <is>
          <t>ENKÖPING</t>
        </is>
      </c>
      <c r="G373" t="n">
        <v>10.2</v>
      </c>
      <c r="H373" t="n">
        <v>0</v>
      </c>
      <c r="I373" t="n">
        <v>0</v>
      </c>
      <c r="J373" t="n">
        <v>0</v>
      </c>
      <c r="K373" t="n">
        <v>0</v>
      </c>
      <c r="L373" t="n">
        <v>0</v>
      </c>
      <c r="M373" t="n">
        <v>0</v>
      </c>
      <c r="N373" t="n">
        <v>0</v>
      </c>
      <c r="O373" t="n">
        <v>0</v>
      </c>
      <c r="P373" t="n">
        <v>0</v>
      </c>
      <c r="Q373" t="n">
        <v>0</v>
      </c>
      <c r="R373" s="2" t="inlineStr"/>
    </row>
    <row r="374" ht="15" customHeight="1">
      <c r="A374" t="inlineStr">
        <is>
          <t>A 2161-2023</t>
        </is>
      </c>
      <c r="B374" s="1" t="n">
        <v>44941</v>
      </c>
      <c r="C374" s="1" t="n">
        <v>45976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2165-2023</t>
        </is>
      </c>
      <c r="B375" s="1" t="n">
        <v>44941</v>
      </c>
      <c r="C375" s="1" t="n">
        <v>45976</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5712-2025</t>
        </is>
      </c>
      <c r="B376" s="1" t="n">
        <v>45694</v>
      </c>
      <c r="C376" s="1" t="n">
        <v>45976</v>
      </c>
      <c r="D376" t="inlineStr">
        <is>
          <t>UPPSALA LÄN</t>
        </is>
      </c>
      <c r="E376" t="inlineStr">
        <is>
          <t>ENKÖPING</t>
        </is>
      </c>
      <c r="G376" t="n">
        <v>5.1</v>
      </c>
      <c r="H376" t="n">
        <v>0</v>
      </c>
      <c r="I376" t="n">
        <v>0</v>
      </c>
      <c r="J376" t="n">
        <v>0</v>
      </c>
      <c r="K376" t="n">
        <v>0</v>
      </c>
      <c r="L376" t="n">
        <v>0</v>
      </c>
      <c r="M376" t="n">
        <v>0</v>
      </c>
      <c r="N376" t="n">
        <v>0</v>
      </c>
      <c r="O376" t="n">
        <v>0</v>
      </c>
      <c r="P376" t="n">
        <v>0</v>
      </c>
      <c r="Q376" t="n">
        <v>0</v>
      </c>
      <c r="R376" s="2" t="inlineStr"/>
    </row>
    <row r="377" ht="15" customHeight="1">
      <c r="A377" t="inlineStr">
        <is>
          <t>A 5749-2025</t>
        </is>
      </c>
      <c r="B377" s="1" t="n">
        <v>45694</v>
      </c>
      <c r="C377" s="1" t="n">
        <v>45976</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20112-2024</t>
        </is>
      </c>
      <c r="B378" s="1" t="n">
        <v>45434</v>
      </c>
      <c r="C378" s="1" t="n">
        <v>45976</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54263-2025</t>
        </is>
      </c>
      <c r="B379" s="1" t="n">
        <v>45964.66271990741</v>
      </c>
      <c r="C379" s="1" t="n">
        <v>45976</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314-2025</t>
        </is>
      </c>
      <c r="B380" s="1" t="n">
        <v>45656</v>
      </c>
      <c r="C380" s="1" t="n">
        <v>45976</v>
      </c>
      <c r="D380" t="inlineStr">
        <is>
          <t>UPPSALA LÄN</t>
        </is>
      </c>
      <c r="E380" t="inlineStr">
        <is>
          <t>ENKÖPING</t>
        </is>
      </c>
      <c r="G380" t="n">
        <v>9</v>
      </c>
      <c r="H380" t="n">
        <v>0</v>
      </c>
      <c r="I380" t="n">
        <v>0</v>
      </c>
      <c r="J380" t="n">
        <v>0</v>
      </c>
      <c r="K380" t="n">
        <v>0</v>
      </c>
      <c r="L380" t="n">
        <v>0</v>
      </c>
      <c r="M380" t="n">
        <v>0</v>
      </c>
      <c r="N380" t="n">
        <v>0</v>
      </c>
      <c r="O380" t="n">
        <v>0</v>
      </c>
      <c r="P380" t="n">
        <v>0</v>
      </c>
      <c r="Q380" t="n">
        <v>0</v>
      </c>
      <c r="R380" s="2" t="inlineStr"/>
    </row>
    <row r="381" ht="15" customHeight="1">
      <c r="A381" t="inlineStr">
        <is>
          <t>A 45755-2025</t>
        </is>
      </c>
      <c r="B381" s="1" t="n">
        <v>45923.50240740741</v>
      </c>
      <c r="C381" s="1" t="n">
        <v>45976</v>
      </c>
      <c r="D381" t="inlineStr">
        <is>
          <t>UPPSALA LÄN</t>
        </is>
      </c>
      <c r="E381" t="inlineStr">
        <is>
          <t>ENKÖPING</t>
        </is>
      </c>
      <c r="G381" t="n">
        <v>2.2</v>
      </c>
      <c r="H381" t="n">
        <v>0</v>
      </c>
      <c r="I381" t="n">
        <v>0</v>
      </c>
      <c r="J381" t="n">
        <v>0</v>
      </c>
      <c r="K381" t="n">
        <v>0</v>
      </c>
      <c r="L381" t="n">
        <v>0</v>
      </c>
      <c r="M381" t="n">
        <v>0</v>
      </c>
      <c r="N381" t="n">
        <v>0</v>
      </c>
      <c r="O381" t="n">
        <v>0</v>
      </c>
      <c r="P381" t="n">
        <v>0</v>
      </c>
      <c r="Q381" t="n">
        <v>0</v>
      </c>
      <c r="R381" s="2" t="inlineStr"/>
    </row>
    <row r="382" ht="15" customHeight="1">
      <c r="A382" t="inlineStr">
        <is>
          <t>A 11627-2025</t>
        </is>
      </c>
      <c r="B382" s="1" t="n">
        <v>45727</v>
      </c>
      <c r="C382" s="1" t="n">
        <v>45976</v>
      </c>
      <c r="D382" t="inlineStr">
        <is>
          <t>UPPSALA LÄN</t>
        </is>
      </c>
      <c r="E382" t="inlineStr">
        <is>
          <t>ENKÖPING</t>
        </is>
      </c>
      <c r="G382" t="n">
        <v>5.5</v>
      </c>
      <c r="H382" t="n">
        <v>0</v>
      </c>
      <c r="I382" t="n">
        <v>0</v>
      </c>
      <c r="J382" t="n">
        <v>0</v>
      </c>
      <c r="K382" t="n">
        <v>0</v>
      </c>
      <c r="L382" t="n">
        <v>0</v>
      </c>
      <c r="M382" t="n">
        <v>0</v>
      </c>
      <c r="N382" t="n">
        <v>0</v>
      </c>
      <c r="O382" t="n">
        <v>0</v>
      </c>
      <c r="P382" t="n">
        <v>0</v>
      </c>
      <c r="Q382" t="n">
        <v>0</v>
      </c>
      <c r="R382" s="2" t="inlineStr"/>
    </row>
    <row r="383" ht="15" customHeight="1">
      <c r="A383" t="inlineStr">
        <is>
          <t>A 54541-2025</t>
        </is>
      </c>
      <c r="B383" s="1" t="n">
        <v>45965.64733796296</v>
      </c>
      <c r="C383" s="1" t="n">
        <v>45976</v>
      </c>
      <c r="D383" t="inlineStr">
        <is>
          <t>UPPSALA LÄN</t>
        </is>
      </c>
      <c r="E383" t="inlineStr">
        <is>
          <t>ENKÖPING</t>
        </is>
      </c>
      <c r="G383" t="n">
        <v>3.1</v>
      </c>
      <c r="H383" t="n">
        <v>0</v>
      </c>
      <c r="I383" t="n">
        <v>0</v>
      </c>
      <c r="J383" t="n">
        <v>0</v>
      </c>
      <c r="K383" t="n">
        <v>0</v>
      </c>
      <c r="L383" t="n">
        <v>0</v>
      </c>
      <c r="M383" t="n">
        <v>0</v>
      </c>
      <c r="N383" t="n">
        <v>0</v>
      </c>
      <c r="O383" t="n">
        <v>0</v>
      </c>
      <c r="P383" t="n">
        <v>0</v>
      </c>
      <c r="Q383" t="n">
        <v>0</v>
      </c>
      <c r="R383" s="2" t="inlineStr"/>
    </row>
    <row r="384" ht="15" customHeight="1">
      <c r="A384" t="inlineStr">
        <is>
          <t>A 54758-2025</t>
        </is>
      </c>
      <c r="B384" s="1" t="n">
        <v>45966.59737268519</v>
      </c>
      <c r="C384" s="1" t="n">
        <v>45976</v>
      </c>
      <c r="D384" t="inlineStr">
        <is>
          <t>UPPSALA LÄN</t>
        </is>
      </c>
      <c r="E384" t="inlineStr">
        <is>
          <t>ENKÖPING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24411-2024</t>
        </is>
      </c>
      <c r="B385" s="1" t="n">
        <v>45457</v>
      </c>
      <c r="C385" s="1" t="n">
        <v>45976</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54844-2025</t>
        </is>
      </c>
      <c r="B386" s="1" t="n">
        <v>45966.69570601852</v>
      </c>
      <c r="C386" s="1" t="n">
        <v>45976</v>
      </c>
      <c r="D386" t="inlineStr">
        <is>
          <t>UPPSALA LÄN</t>
        </is>
      </c>
      <c r="E386" t="inlineStr">
        <is>
          <t>ENKÖPING</t>
        </is>
      </c>
      <c r="G386" t="n">
        <v>5.5</v>
      </c>
      <c r="H386" t="n">
        <v>0</v>
      </c>
      <c r="I386" t="n">
        <v>0</v>
      </c>
      <c r="J386" t="n">
        <v>0</v>
      </c>
      <c r="K386" t="n">
        <v>0</v>
      </c>
      <c r="L386" t="n">
        <v>0</v>
      </c>
      <c r="M386" t="n">
        <v>0</v>
      </c>
      <c r="N386" t="n">
        <v>0</v>
      </c>
      <c r="O386" t="n">
        <v>0</v>
      </c>
      <c r="P386" t="n">
        <v>0</v>
      </c>
      <c r="Q386" t="n">
        <v>0</v>
      </c>
      <c r="R386" s="2" t="inlineStr"/>
    </row>
    <row r="387" ht="15" customHeight="1">
      <c r="A387" t="inlineStr">
        <is>
          <t>A 34989-2025</t>
        </is>
      </c>
      <c r="B387" s="1" t="n">
        <v>45849</v>
      </c>
      <c r="C387" s="1" t="n">
        <v>45976</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34990-2025</t>
        </is>
      </c>
      <c r="B388" s="1" t="n">
        <v>45849.78916666667</v>
      </c>
      <c r="C388" s="1" t="n">
        <v>45976</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2162-2023</t>
        </is>
      </c>
      <c r="B389" s="1" t="n">
        <v>44941</v>
      </c>
      <c r="C389" s="1" t="n">
        <v>45976</v>
      </c>
      <c r="D389" t="inlineStr">
        <is>
          <t>UPPSALA LÄN</t>
        </is>
      </c>
      <c r="E389" t="inlineStr">
        <is>
          <t>ENKÖPING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32081-2024</t>
        </is>
      </c>
      <c r="B390" s="1" t="n">
        <v>45511.34605324074</v>
      </c>
      <c r="C390" s="1" t="n">
        <v>45976</v>
      </c>
      <c r="D390" t="inlineStr">
        <is>
          <t>UPPSALA LÄN</t>
        </is>
      </c>
      <c r="E390" t="inlineStr">
        <is>
          <t>ENKÖPING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58092-2024</t>
        </is>
      </c>
      <c r="B391" s="1" t="n">
        <v>45632</v>
      </c>
      <c r="C391" s="1" t="n">
        <v>45976</v>
      </c>
      <c r="D391" t="inlineStr">
        <is>
          <t>UPPSALA LÄN</t>
        </is>
      </c>
      <c r="E391" t="inlineStr">
        <is>
          <t>ENKÖPING</t>
        </is>
      </c>
      <c r="G391" t="n">
        <v>4.8</v>
      </c>
      <c r="H391" t="n">
        <v>0</v>
      </c>
      <c r="I391" t="n">
        <v>0</v>
      </c>
      <c r="J391" t="n">
        <v>0</v>
      </c>
      <c r="K391" t="n">
        <v>0</v>
      </c>
      <c r="L391" t="n">
        <v>0</v>
      </c>
      <c r="M391" t="n">
        <v>0</v>
      </c>
      <c r="N391" t="n">
        <v>0</v>
      </c>
      <c r="O391" t="n">
        <v>0</v>
      </c>
      <c r="P391" t="n">
        <v>0</v>
      </c>
      <c r="Q391" t="n">
        <v>0</v>
      </c>
      <c r="R391" s="2" t="inlineStr"/>
    </row>
    <row r="392" ht="15" customHeight="1">
      <c r="A392" t="inlineStr">
        <is>
          <t>A 26017-2025</t>
        </is>
      </c>
      <c r="B392" s="1" t="n">
        <v>45804</v>
      </c>
      <c r="C392" s="1" t="n">
        <v>45976</v>
      </c>
      <c r="D392" t="inlineStr">
        <is>
          <t>UPPSALA LÄN</t>
        </is>
      </c>
      <c r="E392" t="inlineStr">
        <is>
          <t>ENKÖPING</t>
        </is>
      </c>
      <c r="G392" t="n">
        <v>0.4</v>
      </c>
      <c r="H392" t="n">
        <v>0</v>
      </c>
      <c r="I392" t="n">
        <v>0</v>
      </c>
      <c r="J392" t="n">
        <v>0</v>
      </c>
      <c r="K392" t="n">
        <v>0</v>
      </c>
      <c r="L392" t="n">
        <v>0</v>
      </c>
      <c r="M392" t="n">
        <v>0</v>
      </c>
      <c r="N392" t="n">
        <v>0</v>
      </c>
      <c r="O392" t="n">
        <v>0</v>
      </c>
      <c r="P392" t="n">
        <v>0</v>
      </c>
      <c r="Q392" t="n">
        <v>0</v>
      </c>
      <c r="R392" s="2" t="inlineStr"/>
    </row>
    <row r="393" ht="15" customHeight="1">
      <c r="A393" t="inlineStr">
        <is>
          <t>A 26024-2025</t>
        </is>
      </c>
      <c r="B393" s="1" t="n">
        <v>45804.6831712963</v>
      </c>
      <c r="C393" s="1" t="n">
        <v>45976</v>
      </c>
      <c r="D393" t="inlineStr">
        <is>
          <t>UPPSALA LÄN</t>
        </is>
      </c>
      <c r="E393" t="inlineStr">
        <is>
          <t>ENKÖPING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26042-2025</t>
        </is>
      </c>
      <c r="B394" s="1" t="n">
        <v>45804.70018518518</v>
      </c>
      <c r="C394" s="1" t="n">
        <v>45976</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26005-2025</t>
        </is>
      </c>
      <c r="B395" s="1" t="n">
        <v>45804.67055555555</v>
      </c>
      <c r="C395" s="1" t="n">
        <v>45976</v>
      </c>
      <c r="D395" t="inlineStr">
        <is>
          <t>UPPSALA LÄN</t>
        </is>
      </c>
      <c r="E395" t="inlineStr">
        <is>
          <t>ENKÖPING</t>
        </is>
      </c>
      <c r="G395" t="n">
        <v>0.3</v>
      </c>
      <c r="H395" t="n">
        <v>0</v>
      </c>
      <c r="I395" t="n">
        <v>0</v>
      </c>
      <c r="J395" t="n">
        <v>0</v>
      </c>
      <c r="K395" t="n">
        <v>0</v>
      </c>
      <c r="L395" t="n">
        <v>0</v>
      </c>
      <c r="M395" t="n">
        <v>0</v>
      </c>
      <c r="N395" t="n">
        <v>0</v>
      </c>
      <c r="O395" t="n">
        <v>0</v>
      </c>
      <c r="P395" t="n">
        <v>0</v>
      </c>
      <c r="Q395" t="n">
        <v>0</v>
      </c>
      <c r="R395" s="2" t="inlineStr"/>
    </row>
    <row r="396" ht="15" customHeight="1">
      <c r="A396" t="inlineStr">
        <is>
          <t>A 26026-2025</t>
        </is>
      </c>
      <c r="B396" s="1" t="n">
        <v>45804.68510416667</v>
      </c>
      <c r="C396" s="1" t="n">
        <v>45976</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26030-2025</t>
        </is>
      </c>
      <c r="B397" s="1" t="n">
        <v>45804.68815972222</v>
      </c>
      <c r="C397" s="1" t="n">
        <v>45976</v>
      </c>
      <c r="D397" t="inlineStr">
        <is>
          <t>UPPSALA LÄN</t>
        </is>
      </c>
      <c r="E397" t="inlineStr">
        <is>
          <t>ENKÖPING</t>
        </is>
      </c>
      <c r="G397" t="n">
        <v>0.3</v>
      </c>
      <c r="H397" t="n">
        <v>0</v>
      </c>
      <c r="I397" t="n">
        <v>0</v>
      </c>
      <c r="J397" t="n">
        <v>0</v>
      </c>
      <c r="K397" t="n">
        <v>0</v>
      </c>
      <c r="L397" t="n">
        <v>0</v>
      </c>
      <c r="M397" t="n">
        <v>0</v>
      </c>
      <c r="N397" t="n">
        <v>0</v>
      </c>
      <c r="O397" t="n">
        <v>0</v>
      </c>
      <c r="P397" t="n">
        <v>0</v>
      </c>
      <c r="Q397" t="n">
        <v>0</v>
      </c>
      <c r="R397" s="2" t="inlineStr"/>
    </row>
    <row r="398" ht="15" customHeight="1">
      <c r="A398" t="inlineStr">
        <is>
          <t>A 26022-2025</t>
        </is>
      </c>
      <c r="B398" s="1" t="n">
        <v>45804.68006944445</v>
      </c>
      <c r="C398" s="1" t="n">
        <v>45976</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25988-2025</t>
        </is>
      </c>
      <c r="B399" s="1" t="n">
        <v>45804.64814814815</v>
      </c>
      <c r="C399" s="1" t="n">
        <v>45976</v>
      </c>
      <c r="D399" t="inlineStr">
        <is>
          <t>UPPSALA LÄN</t>
        </is>
      </c>
      <c r="E399" t="inlineStr">
        <is>
          <t>ENKÖPING</t>
        </is>
      </c>
      <c r="G399" t="n">
        <v>4.7</v>
      </c>
      <c r="H399" t="n">
        <v>0</v>
      </c>
      <c r="I399" t="n">
        <v>0</v>
      </c>
      <c r="J399" t="n">
        <v>0</v>
      </c>
      <c r="K399" t="n">
        <v>0</v>
      </c>
      <c r="L399" t="n">
        <v>0</v>
      </c>
      <c r="M399" t="n">
        <v>0</v>
      </c>
      <c r="N399" t="n">
        <v>0</v>
      </c>
      <c r="O399" t="n">
        <v>0</v>
      </c>
      <c r="P399" t="n">
        <v>0</v>
      </c>
      <c r="Q399" t="n">
        <v>0</v>
      </c>
      <c r="R399" s="2" t="inlineStr"/>
    </row>
    <row r="400" ht="15" customHeight="1">
      <c r="A400" t="inlineStr">
        <is>
          <t>A 26031-2025</t>
        </is>
      </c>
      <c r="B400" s="1" t="n">
        <v>45804.69050925926</v>
      </c>
      <c r="C400" s="1" t="n">
        <v>45976</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2968-2025</t>
        </is>
      </c>
      <c r="B401" s="1" t="n">
        <v>45678</v>
      </c>
      <c r="C401" s="1" t="n">
        <v>45976</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49525-2021</t>
        </is>
      </c>
      <c r="B402" s="1" t="n">
        <v>44455</v>
      </c>
      <c r="C402" s="1" t="n">
        <v>45976</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46940-2025</t>
        </is>
      </c>
      <c r="B403" s="1" t="n">
        <v>45929.45483796296</v>
      </c>
      <c r="C403" s="1" t="n">
        <v>45976</v>
      </c>
      <c r="D403" t="inlineStr">
        <is>
          <t>UPPSALA LÄN</t>
        </is>
      </c>
      <c r="E403" t="inlineStr">
        <is>
          <t>ENKÖPING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26011-2025</t>
        </is>
      </c>
      <c r="B404" s="1" t="n">
        <v>45804.67412037037</v>
      </c>
      <c r="C404" s="1" t="n">
        <v>45976</v>
      </c>
      <c r="D404" t="inlineStr">
        <is>
          <t>UPPSALA LÄN</t>
        </is>
      </c>
      <c r="E404" t="inlineStr">
        <is>
          <t>ENKÖPING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6959-2025</t>
        </is>
      </c>
      <c r="B405" s="1" t="n">
        <v>45701.49315972222</v>
      </c>
      <c r="C405" s="1" t="n">
        <v>45976</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26041-2025</t>
        </is>
      </c>
      <c r="B406" s="1" t="n">
        <v>45804.69883101852</v>
      </c>
      <c r="C406" s="1" t="n">
        <v>45976</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25990-2025</t>
        </is>
      </c>
      <c r="B407" s="1" t="n">
        <v>45804.65229166667</v>
      </c>
      <c r="C407" s="1" t="n">
        <v>45976</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46590-2025</t>
        </is>
      </c>
      <c r="B408" s="1" t="n">
        <v>45926.39542824074</v>
      </c>
      <c r="C408" s="1" t="n">
        <v>45976</v>
      </c>
      <c r="D408" t="inlineStr">
        <is>
          <t>UPPSALA LÄN</t>
        </is>
      </c>
      <c r="E408" t="inlineStr">
        <is>
          <t>ENKÖPING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25847-2025</t>
        </is>
      </c>
      <c r="B409" s="1" t="n">
        <v>45804</v>
      </c>
      <c r="C409" s="1" t="n">
        <v>45976</v>
      </c>
      <c r="D409" t="inlineStr">
        <is>
          <t>UPPSALA LÄN</t>
        </is>
      </c>
      <c r="E409" t="inlineStr">
        <is>
          <t>ENKÖPING</t>
        </is>
      </c>
      <c r="G409" t="n">
        <v>3.6</v>
      </c>
      <c r="H409" t="n">
        <v>0</v>
      </c>
      <c r="I409" t="n">
        <v>0</v>
      </c>
      <c r="J409" t="n">
        <v>0</v>
      </c>
      <c r="K409" t="n">
        <v>0</v>
      </c>
      <c r="L409" t="n">
        <v>0</v>
      </c>
      <c r="M409" t="n">
        <v>0</v>
      </c>
      <c r="N409" t="n">
        <v>0</v>
      </c>
      <c r="O409" t="n">
        <v>0</v>
      </c>
      <c r="P409" t="n">
        <v>0</v>
      </c>
      <c r="Q409" t="n">
        <v>0</v>
      </c>
      <c r="R409" s="2" t="inlineStr"/>
    </row>
    <row r="410" ht="15" customHeight="1">
      <c r="A410" t="inlineStr">
        <is>
          <t>A 55567-2025</t>
        </is>
      </c>
      <c r="B410" s="1" t="n">
        <v>45971.65589120371</v>
      </c>
      <c r="C410" s="1" t="n">
        <v>45976</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26047-2025</t>
        </is>
      </c>
      <c r="B411" s="1" t="n">
        <v>45804.70835648148</v>
      </c>
      <c r="C411" s="1" t="n">
        <v>45976</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30437-2022</t>
        </is>
      </c>
      <c r="B412" s="1" t="n">
        <v>44761</v>
      </c>
      <c r="C412" s="1" t="n">
        <v>45976</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51011-2024</t>
        </is>
      </c>
      <c r="B413" s="1" t="n">
        <v>45603.39427083333</v>
      </c>
      <c r="C413" s="1" t="n">
        <v>45976</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45976</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35067-2024</t>
        </is>
      </c>
      <c r="B415" s="1" t="n">
        <v>45527.66153935185</v>
      </c>
      <c r="C415" s="1" t="n">
        <v>45976</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29918-2023</t>
        </is>
      </c>
      <c r="B416" s="1" t="n">
        <v>45099</v>
      </c>
      <c r="C416" s="1" t="n">
        <v>45976</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24291-2024</t>
        </is>
      </c>
      <c r="B417" s="1" t="n">
        <v>45457.4584837963</v>
      </c>
      <c r="C417" s="1" t="n">
        <v>45976</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47441-2025</t>
        </is>
      </c>
      <c r="B418" s="1" t="n">
        <v>45930.63986111111</v>
      </c>
      <c r="C418" s="1" t="n">
        <v>45976</v>
      </c>
      <c r="D418" t="inlineStr">
        <is>
          <t>UPPSALA LÄN</t>
        </is>
      </c>
      <c r="E418" t="inlineStr">
        <is>
          <t>ENKÖPING</t>
        </is>
      </c>
      <c r="F418" t="inlineStr">
        <is>
          <t>Allmännings- och besparingsskogar</t>
        </is>
      </c>
      <c r="G418" t="n">
        <v>11.5</v>
      </c>
      <c r="H418" t="n">
        <v>0</v>
      </c>
      <c r="I418" t="n">
        <v>0</v>
      </c>
      <c r="J418" t="n">
        <v>0</v>
      </c>
      <c r="K418" t="n">
        <v>0</v>
      </c>
      <c r="L418" t="n">
        <v>0</v>
      </c>
      <c r="M418" t="n">
        <v>0</v>
      </c>
      <c r="N418" t="n">
        <v>0</v>
      </c>
      <c r="O418" t="n">
        <v>0</v>
      </c>
      <c r="P418" t="n">
        <v>0</v>
      </c>
      <c r="Q418" t="n">
        <v>0</v>
      </c>
      <c r="R418" s="2" t="inlineStr"/>
    </row>
    <row r="419" ht="15" customHeight="1">
      <c r="A419" t="inlineStr">
        <is>
          <t>A 27829-2025</t>
        </is>
      </c>
      <c r="B419" s="1" t="n">
        <v>45817</v>
      </c>
      <c r="C419" s="1" t="n">
        <v>45976</v>
      </c>
      <c r="D419" t="inlineStr">
        <is>
          <t>UPPSALA LÄN</t>
        </is>
      </c>
      <c r="E419" t="inlineStr">
        <is>
          <t>ENKÖPING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56625-2025</t>
        </is>
      </c>
      <c r="B420" s="1" t="n">
        <v>45975.60608796297</v>
      </c>
      <c r="C420" s="1" t="n">
        <v>45976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39009-2024</t>
        </is>
      </c>
      <c r="B421" s="1" t="n">
        <v>45548</v>
      </c>
      <c r="C421" s="1" t="n">
        <v>45976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8537-2025</t>
        </is>
      </c>
      <c r="B422" s="1" t="n">
        <v>45709</v>
      </c>
      <c r="C422" s="1" t="n">
        <v>45976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2833-2025</t>
        </is>
      </c>
      <c r="B423" s="1" t="n">
        <v>45677.63206018518</v>
      </c>
      <c r="C423" s="1" t="n">
        <v>45976</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28758-2025</t>
        </is>
      </c>
      <c r="B424" s="1" t="n">
        <v>45820.41212962963</v>
      </c>
      <c r="C424" s="1" t="n">
        <v>45976</v>
      </c>
      <c r="D424" t="inlineStr">
        <is>
          <t>UPPSALA LÄN</t>
        </is>
      </c>
      <c r="E424" t="inlineStr">
        <is>
          <t>ENKÖPING</t>
        </is>
      </c>
      <c r="G424" t="n">
        <v>2.4</v>
      </c>
      <c r="H424" t="n">
        <v>0</v>
      </c>
      <c r="I424" t="n">
        <v>0</v>
      </c>
      <c r="J424" t="n">
        <v>0</v>
      </c>
      <c r="K424" t="n">
        <v>0</v>
      </c>
      <c r="L424" t="n">
        <v>0</v>
      </c>
      <c r="M424" t="n">
        <v>0</v>
      </c>
      <c r="N424" t="n">
        <v>0</v>
      </c>
      <c r="O424" t="n">
        <v>0</v>
      </c>
      <c r="P424" t="n">
        <v>0</v>
      </c>
      <c r="Q424" t="n">
        <v>0</v>
      </c>
      <c r="R424" s="2" t="inlineStr"/>
    </row>
    <row r="425" ht="15" customHeight="1">
      <c r="A425" t="inlineStr">
        <is>
          <t>A 28862-2025</t>
        </is>
      </c>
      <c r="B425" s="1" t="n">
        <v>45820.59189814814</v>
      </c>
      <c r="C425" s="1" t="n">
        <v>45976</v>
      </c>
      <c r="D425" t="inlineStr">
        <is>
          <t>UPPSALA LÄN</t>
        </is>
      </c>
      <c r="E425" t="inlineStr">
        <is>
          <t>ENKÖPING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28855-2025</t>
        </is>
      </c>
      <c r="B426" s="1" t="n">
        <v>45820.58274305556</v>
      </c>
      <c r="C426" s="1" t="n">
        <v>45976</v>
      </c>
      <c r="D426" t="inlineStr">
        <is>
          <t>UPPSALA LÄN</t>
        </is>
      </c>
      <c r="E426" t="inlineStr">
        <is>
          <t>ENKÖPING</t>
        </is>
      </c>
      <c r="G426" t="n">
        <v>2.4</v>
      </c>
      <c r="H426" t="n">
        <v>0</v>
      </c>
      <c r="I426" t="n">
        <v>0</v>
      </c>
      <c r="J426" t="n">
        <v>0</v>
      </c>
      <c r="K426" t="n">
        <v>0</v>
      </c>
      <c r="L426" t="n">
        <v>0</v>
      </c>
      <c r="M426" t="n">
        <v>0</v>
      </c>
      <c r="N426" t="n">
        <v>0</v>
      </c>
      <c r="O426" t="n">
        <v>0</v>
      </c>
      <c r="P426" t="n">
        <v>0</v>
      </c>
      <c r="Q426" t="n">
        <v>0</v>
      </c>
      <c r="R426" s="2" t="inlineStr"/>
    </row>
    <row r="427" ht="15" customHeight="1">
      <c r="A427" t="inlineStr">
        <is>
          <t>A 29093-2025</t>
        </is>
      </c>
      <c r="B427" s="1" t="n">
        <v>45821.55743055556</v>
      </c>
      <c r="C427" s="1" t="n">
        <v>45976</v>
      </c>
      <c r="D427" t="inlineStr">
        <is>
          <t>UPPSALA LÄN</t>
        </is>
      </c>
      <c r="E427" t="inlineStr">
        <is>
          <t>ENKÖPING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50006-2023</t>
        </is>
      </c>
      <c r="B428" s="1" t="n">
        <v>45215</v>
      </c>
      <c r="C428" s="1" t="n">
        <v>45976</v>
      </c>
      <c r="D428" t="inlineStr">
        <is>
          <t>UPPSALA LÄN</t>
        </is>
      </c>
      <c r="E428" t="inlineStr">
        <is>
          <t>ENKÖPING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29477-2025</t>
        </is>
      </c>
      <c r="B429" s="1" t="n">
        <v>45824.71537037037</v>
      </c>
      <c r="C429" s="1" t="n">
        <v>45976</v>
      </c>
      <c r="D429" t="inlineStr">
        <is>
          <t>UPPSALA LÄN</t>
        </is>
      </c>
      <c r="E429" t="inlineStr">
        <is>
          <t>ENKÖPING</t>
        </is>
      </c>
      <c r="G429" t="n">
        <v>13.4</v>
      </c>
      <c r="H429" t="n">
        <v>0</v>
      </c>
      <c r="I429" t="n">
        <v>0</v>
      </c>
      <c r="J429" t="n">
        <v>0</v>
      </c>
      <c r="K429" t="n">
        <v>0</v>
      </c>
      <c r="L429" t="n">
        <v>0</v>
      </c>
      <c r="M429" t="n">
        <v>0</v>
      </c>
      <c r="N429" t="n">
        <v>0</v>
      </c>
      <c r="O429" t="n">
        <v>0</v>
      </c>
      <c r="P429" t="n">
        <v>0</v>
      </c>
      <c r="Q429" t="n">
        <v>0</v>
      </c>
      <c r="R429" s="2" t="inlineStr"/>
    </row>
    <row r="430" ht="15" customHeight="1">
      <c r="A430" t="inlineStr">
        <is>
          <t>A 56526-2022</t>
        </is>
      </c>
      <c r="B430" s="1" t="n">
        <v>44893</v>
      </c>
      <c r="C430" s="1" t="n">
        <v>45976</v>
      </c>
      <c r="D430" t="inlineStr">
        <is>
          <t>UPPSALA LÄN</t>
        </is>
      </c>
      <c r="E430" t="inlineStr">
        <is>
          <t>ENKÖPING</t>
        </is>
      </c>
      <c r="G430" t="n">
        <v>3.8</v>
      </c>
      <c r="H430" t="n">
        <v>0</v>
      </c>
      <c r="I430" t="n">
        <v>0</v>
      </c>
      <c r="J430" t="n">
        <v>0</v>
      </c>
      <c r="K430" t="n">
        <v>0</v>
      </c>
      <c r="L430" t="n">
        <v>0</v>
      </c>
      <c r="M430" t="n">
        <v>0</v>
      </c>
      <c r="N430" t="n">
        <v>0</v>
      </c>
      <c r="O430" t="n">
        <v>0</v>
      </c>
      <c r="P430" t="n">
        <v>0</v>
      </c>
      <c r="Q430" t="n">
        <v>0</v>
      </c>
      <c r="R430" s="2" t="inlineStr"/>
    </row>
    <row r="431" ht="15" customHeight="1">
      <c r="A431" t="inlineStr">
        <is>
          <t>A 39858-2024</t>
        </is>
      </c>
      <c r="B431" s="1" t="n">
        <v>45553</v>
      </c>
      <c r="C431" s="1" t="n">
        <v>45976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60289-2022</t>
        </is>
      </c>
      <c r="B432" s="1" t="n">
        <v>44910.53026620371</v>
      </c>
      <c r="C432" s="1" t="n">
        <v>45976</v>
      </c>
      <c r="D432" t="inlineStr">
        <is>
          <t>UPPSALA LÄN</t>
        </is>
      </c>
      <c r="E432" t="inlineStr">
        <is>
          <t>ENKÖPING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13110-2023</t>
        </is>
      </c>
      <c r="B433" s="1" t="n">
        <v>45001</v>
      </c>
      <c r="C433" s="1" t="n">
        <v>45976</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58384-2022</t>
        </is>
      </c>
      <c r="B434" s="1" t="n">
        <v>44901</v>
      </c>
      <c r="C434" s="1" t="n">
        <v>45976</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59602-2022</t>
        </is>
      </c>
      <c r="B435" s="1" t="n">
        <v>44907.72241898148</v>
      </c>
      <c r="C435" s="1" t="n">
        <v>45976</v>
      </c>
      <c r="D435" t="inlineStr">
        <is>
          <t>UPPSALA LÄN</t>
        </is>
      </c>
      <c r="E435" t="inlineStr">
        <is>
          <t>ENKÖPING</t>
        </is>
      </c>
      <c r="G435" t="n">
        <v>14.2</v>
      </c>
      <c r="H435" t="n">
        <v>0</v>
      </c>
      <c r="I435" t="n">
        <v>0</v>
      </c>
      <c r="J435" t="n">
        <v>0</v>
      </c>
      <c r="K435" t="n">
        <v>0</v>
      </c>
      <c r="L435" t="n">
        <v>0</v>
      </c>
      <c r="M435" t="n">
        <v>0</v>
      </c>
      <c r="N435" t="n">
        <v>0</v>
      </c>
      <c r="O435" t="n">
        <v>0</v>
      </c>
      <c r="P435" t="n">
        <v>0</v>
      </c>
      <c r="Q435" t="n">
        <v>0</v>
      </c>
      <c r="R435" s="2" t="inlineStr"/>
    </row>
    <row r="436" ht="15" customHeight="1">
      <c r="A436" t="inlineStr">
        <is>
          <t>A 31965-2021</t>
        </is>
      </c>
      <c r="B436" s="1" t="n">
        <v>44370.56901620371</v>
      </c>
      <c r="C436" s="1" t="n">
        <v>45976</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67984-2021</t>
        </is>
      </c>
      <c r="B437" s="1" t="n">
        <v>44525.70237268518</v>
      </c>
      <c r="C437" s="1" t="n">
        <v>45976</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33619-2022</t>
        </is>
      </c>
      <c r="B438" s="1" t="n">
        <v>44789</v>
      </c>
      <c r="C438" s="1" t="n">
        <v>45976</v>
      </c>
      <c r="D438" t="inlineStr">
        <is>
          <t>UPPSALA LÄN</t>
        </is>
      </c>
      <c r="E438" t="inlineStr">
        <is>
          <t>ENKÖPING</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30837-2025</t>
        </is>
      </c>
      <c r="B439" s="1" t="n">
        <v>45831.7063425926</v>
      </c>
      <c r="C439" s="1" t="n">
        <v>45976</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10829-2024</t>
        </is>
      </c>
      <c r="B440" s="1" t="n">
        <v>45369</v>
      </c>
      <c r="C440" s="1" t="n">
        <v>45976</v>
      </c>
      <c r="D440" t="inlineStr">
        <is>
          <t>UPPSALA LÄN</t>
        </is>
      </c>
      <c r="E440" t="inlineStr">
        <is>
          <t>ENKÖPING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67982-2021</t>
        </is>
      </c>
      <c r="B441" s="1" t="n">
        <v>44525</v>
      </c>
      <c r="C441" s="1" t="n">
        <v>45976</v>
      </c>
      <c r="D441" t="inlineStr">
        <is>
          <t>UPPSALA LÄN</t>
        </is>
      </c>
      <c r="E441" t="inlineStr">
        <is>
          <t>ENKÖPING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32111-2025</t>
        </is>
      </c>
      <c r="B442" s="1" t="n">
        <v>45835</v>
      </c>
      <c r="C442" s="1" t="n">
        <v>45976</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32031-2025</t>
        </is>
      </c>
      <c r="B443" s="1" t="n">
        <v>45835.41712962963</v>
      </c>
      <c r="C443" s="1" t="n">
        <v>45976</v>
      </c>
      <c r="D443" t="inlineStr">
        <is>
          <t>UPPSALA LÄN</t>
        </is>
      </c>
      <c r="E443" t="inlineStr">
        <is>
          <t>ENKÖPING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51034-2024</t>
        </is>
      </c>
      <c r="B444" s="1" t="n">
        <v>45603.4262037037</v>
      </c>
      <c r="C444" s="1" t="n">
        <v>45976</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51036-2024</t>
        </is>
      </c>
      <c r="B445" s="1" t="n">
        <v>45603.42839120371</v>
      </c>
      <c r="C445" s="1" t="n">
        <v>45976</v>
      </c>
      <c r="D445" t="inlineStr">
        <is>
          <t>UPPSALA LÄN</t>
        </is>
      </c>
      <c r="E445" t="inlineStr">
        <is>
          <t>ENKÖPING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55876-2024</t>
        </is>
      </c>
      <c r="B446" s="1" t="n">
        <v>45623.5546412037</v>
      </c>
      <c r="C446" s="1" t="n">
        <v>45976</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15740-2025</t>
        </is>
      </c>
      <c r="B447" s="1" t="n">
        <v>45748</v>
      </c>
      <c r="C447" s="1" t="n">
        <v>45976</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11005-2023</t>
        </is>
      </c>
      <c r="B448" s="1" t="n">
        <v>44991</v>
      </c>
      <c r="C448" s="1" t="n">
        <v>45976</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57142-2021</t>
        </is>
      </c>
      <c r="B449" s="1" t="n">
        <v>44482</v>
      </c>
      <c r="C449" s="1" t="n">
        <v>45976</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57147-2021</t>
        </is>
      </c>
      <c r="B450" s="1" t="n">
        <v>44482</v>
      </c>
      <c r="C450" s="1" t="n">
        <v>45976</v>
      </c>
      <c r="D450" t="inlineStr">
        <is>
          <t>UPPSALA LÄN</t>
        </is>
      </c>
      <c r="E450" t="inlineStr">
        <is>
          <t>ENKÖPING</t>
        </is>
      </c>
      <c r="G450" t="n">
        <v>5.7</v>
      </c>
      <c r="H450" t="n">
        <v>0</v>
      </c>
      <c r="I450" t="n">
        <v>0</v>
      </c>
      <c r="J450" t="n">
        <v>0</v>
      </c>
      <c r="K450" t="n">
        <v>0</v>
      </c>
      <c r="L450" t="n">
        <v>0</v>
      </c>
      <c r="M450" t="n">
        <v>0</v>
      </c>
      <c r="N450" t="n">
        <v>0</v>
      </c>
      <c r="O450" t="n">
        <v>0</v>
      </c>
      <c r="P450" t="n">
        <v>0</v>
      </c>
      <c r="Q450" t="n">
        <v>0</v>
      </c>
      <c r="R450" s="2" t="inlineStr"/>
    </row>
    <row r="451" ht="15" customHeight="1">
      <c r="A451" t="inlineStr">
        <is>
          <t>A 7868-2024</t>
        </is>
      </c>
      <c r="B451" s="1" t="n">
        <v>45350.33020833333</v>
      </c>
      <c r="C451" s="1" t="n">
        <v>45976</v>
      </c>
      <c r="D451" t="inlineStr">
        <is>
          <t>UPPSALA LÄN</t>
        </is>
      </c>
      <c r="E451" t="inlineStr">
        <is>
          <t>ENKÖPING</t>
        </is>
      </c>
      <c r="G451" t="n">
        <v>0.3</v>
      </c>
      <c r="H451" t="n">
        <v>0</v>
      </c>
      <c r="I451" t="n">
        <v>0</v>
      </c>
      <c r="J451" t="n">
        <v>0</v>
      </c>
      <c r="K451" t="n">
        <v>0</v>
      </c>
      <c r="L451" t="n">
        <v>0</v>
      </c>
      <c r="M451" t="n">
        <v>0</v>
      </c>
      <c r="N451" t="n">
        <v>0</v>
      </c>
      <c r="O451" t="n">
        <v>0</v>
      </c>
      <c r="P451" t="n">
        <v>0</v>
      </c>
      <c r="Q451" t="n">
        <v>0</v>
      </c>
      <c r="R451" s="2" t="inlineStr"/>
    </row>
    <row r="452" ht="15" customHeight="1">
      <c r="A452" t="inlineStr">
        <is>
          <t>A 7870-2024</t>
        </is>
      </c>
      <c r="B452" s="1" t="n">
        <v>45350.33349537037</v>
      </c>
      <c r="C452" s="1" t="n">
        <v>45976</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9231-2023</t>
        </is>
      </c>
      <c r="B453" s="1" t="n">
        <v>44980</v>
      </c>
      <c r="C453" s="1" t="n">
        <v>45976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18994-2025</t>
        </is>
      </c>
      <c r="B454" s="1" t="n">
        <v>45764.57350694444</v>
      </c>
      <c r="C454" s="1" t="n">
        <v>45976</v>
      </c>
      <c r="D454" t="inlineStr">
        <is>
          <t>UPPSALA LÄN</t>
        </is>
      </c>
      <c r="E454" t="inlineStr">
        <is>
          <t>ENKÖPING</t>
        </is>
      </c>
      <c r="G454" t="n">
        <v>3.8</v>
      </c>
      <c r="H454" t="n">
        <v>0</v>
      </c>
      <c r="I454" t="n">
        <v>0</v>
      </c>
      <c r="J454" t="n">
        <v>0</v>
      </c>
      <c r="K454" t="n">
        <v>0</v>
      </c>
      <c r="L454" t="n">
        <v>0</v>
      </c>
      <c r="M454" t="n">
        <v>0</v>
      </c>
      <c r="N454" t="n">
        <v>0</v>
      </c>
      <c r="O454" t="n">
        <v>0</v>
      </c>
      <c r="P454" t="n">
        <v>0</v>
      </c>
      <c r="Q454" t="n">
        <v>0</v>
      </c>
      <c r="R454" s="2" t="inlineStr"/>
    </row>
    <row r="455" ht="15" customHeight="1">
      <c r="A455" t="inlineStr">
        <is>
          <t>A 57848-2024</t>
        </is>
      </c>
      <c r="B455" s="1" t="n">
        <v>45631.40947916666</v>
      </c>
      <c r="C455" s="1" t="n">
        <v>45976</v>
      </c>
      <c r="D455" t="inlineStr">
        <is>
          <t>UPPSALA LÄN</t>
        </is>
      </c>
      <c r="E455" t="inlineStr">
        <is>
          <t>ENKÖPING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49601-2024</t>
        </is>
      </c>
      <c r="B456" s="1" t="n">
        <v>45596.56288194445</v>
      </c>
      <c r="C456" s="1" t="n">
        <v>45976</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16916-2022</t>
        </is>
      </c>
      <c r="B457" s="1" t="n">
        <v>44676</v>
      </c>
      <c r="C457" s="1" t="n">
        <v>45976</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30514-2021</t>
        </is>
      </c>
      <c r="B458" s="1" t="n">
        <v>44364</v>
      </c>
      <c r="C458" s="1" t="n">
        <v>45976</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31604-2023</t>
        </is>
      </c>
      <c r="B459" s="1" t="n">
        <v>45117.50368055556</v>
      </c>
      <c r="C459" s="1" t="n">
        <v>45976</v>
      </c>
      <c r="D459" t="inlineStr">
        <is>
          <t>UPPSALA LÄN</t>
        </is>
      </c>
      <c r="E459" t="inlineStr">
        <is>
          <t>ENKÖPING</t>
        </is>
      </c>
      <c r="G459" t="n">
        <v>3.5</v>
      </c>
      <c r="H459" t="n">
        <v>0</v>
      </c>
      <c r="I459" t="n">
        <v>0</v>
      </c>
      <c r="J459" t="n">
        <v>0</v>
      </c>
      <c r="K459" t="n">
        <v>0</v>
      </c>
      <c r="L459" t="n">
        <v>0</v>
      </c>
      <c r="M459" t="n">
        <v>0</v>
      </c>
      <c r="N459" t="n">
        <v>0</v>
      </c>
      <c r="O459" t="n">
        <v>0</v>
      </c>
      <c r="P459" t="n">
        <v>0</v>
      </c>
      <c r="Q459" t="n">
        <v>0</v>
      </c>
      <c r="R459" s="2" t="inlineStr"/>
    </row>
    <row r="460" ht="15" customHeight="1">
      <c r="A460" t="inlineStr">
        <is>
          <t>A 25598-2021</t>
        </is>
      </c>
      <c r="B460" s="1" t="n">
        <v>44343.4558912037</v>
      </c>
      <c r="C460" s="1" t="n">
        <v>45976</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15162-2025</t>
        </is>
      </c>
      <c r="B461" s="1" t="n">
        <v>45744</v>
      </c>
      <c r="C461" s="1" t="n">
        <v>45976</v>
      </c>
      <c r="D461" t="inlineStr">
        <is>
          <t>UPPSALA LÄN</t>
        </is>
      </c>
      <c r="E461" t="inlineStr">
        <is>
          <t>ENKÖPING</t>
        </is>
      </c>
      <c r="G461" t="n">
        <v>4.2</v>
      </c>
      <c r="H461" t="n">
        <v>0</v>
      </c>
      <c r="I461" t="n">
        <v>0</v>
      </c>
      <c r="J461" t="n">
        <v>0</v>
      </c>
      <c r="K461" t="n">
        <v>0</v>
      </c>
      <c r="L461" t="n">
        <v>0</v>
      </c>
      <c r="M461" t="n">
        <v>0</v>
      </c>
      <c r="N461" t="n">
        <v>0</v>
      </c>
      <c r="O461" t="n">
        <v>0</v>
      </c>
      <c r="P461" t="n">
        <v>0</v>
      </c>
      <c r="Q461" t="n">
        <v>0</v>
      </c>
      <c r="R461" s="2" t="inlineStr"/>
    </row>
    <row r="462" ht="15" customHeight="1">
      <c r="A462" t="inlineStr">
        <is>
          <t>A 29513-2025</t>
        </is>
      </c>
      <c r="B462" s="1" t="n">
        <v>45825</v>
      </c>
      <c r="C462" s="1" t="n">
        <v>45976</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17844-2025</t>
        </is>
      </c>
      <c r="B463" s="1" t="n">
        <v>45758.59920138889</v>
      </c>
      <c r="C463" s="1" t="n">
        <v>45976</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27837-2025</t>
        </is>
      </c>
      <c r="B464" s="1" t="n">
        <v>45817.37207175926</v>
      </c>
      <c r="C464" s="1" t="n">
        <v>45976</v>
      </c>
      <c r="D464" t="inlineStr">
        <is>
          <t>UPPSALA LÄN</t>
        </is>
      </c>
      <c r="E464" t="inlineStr">
        <is>
          <t>ENKÖPING</t>
        </is>
      </c>
      <c r="G464" t="n">
        <v>7.3</v>
      </c>
      <c r="H464" t="n">
        <v>0</v>
      </c>
      <c r="I464" t="n">
        <v>0</v>
      </c>
      <c r="J464" t="n">
        <v>0</v>
      </c>
      <c r="K464" t="n">
        <v>0</v>
      </c>
      <c r="L464" t="n">
        <v>0</v>
      </c>
      <c r="M464" t="n">
        <v>0</v>
      </c>
      <c r="N464" t="n">
        <v>0</v>
      </c>
      <c r="O464" t="n">
        <v>0</v>
      </c>
      <c r="P464" t="n">
        <v>0</v>
      </c>
      <c r="Q464" t="n">
        <v>0</v>
      </c>
      <c r="R464" s="2" t="inlineStr"/>
    </row>
    <row r="465" ht="15" customHeight="1">
      <c r="A465" t="inlineStr">
        <is>
          <t>A 52388-2024</t>
        </is>
      </c>
      <c r="B465" s="1" t="n">
        <v>45609.42939814815</v>
      </c>
      <c r="C465" s="1" t="n">
        <v>45976</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53607-2023</t>
        </is>
      </c>
      <c r="B466" s="1" t="n">
        <v>45230</v>
      </c>
      <c r="C466" s="1" t="n">
        <v>45976</v>
      </c>
      <c r="D466" t="inlineStr">
        <is>
          <t>UPPSALA LÄN</t>
        </is>
      </c>
      <c r="E466" t="inlineStr">
        <is>
          <t>ENKÖPING</t>
        </is>
      </c>
      <c r="F466" t="inlineStr">
        <is>
          <t>Allmännings- och besparingsskogar</t>
        </is>
      </c>
      <c r="G466" t="n">
        <v>6.3</v>
      </c>
      <c r="H466" t="n">
        <v>0</v>
      </c>
      <c r="I466" t="n">
        <v>0</v>
      </c>
      <c r="J466" t="n">
        <v>0</v>
      </c>
      <c r="K466" t="n">
        <v>0</v>
      </c>
      <c r="L466" t="n">
        <v>0</v>
      </c>
      <c r="M466" t="n">
        <v>0</v>
      </c>
      <c r="N466" t="n">
        <v>0</v>
      </c>
      <c r="O466" t="n">
        <v>0</v>
      </c>
      <c r="P466" t="n">
        <v>0</v>
      </c>
      <c r="Q466" t="n">
        <v>0</v>
      </c>
      <c r="R466" s="2" t="inlineStr"/>
    </row>
    <row r="467" ht="15" customHeight="1">
      <c r="A467" t="inlineStr">
        <is>
          <t>A 40202-2024</t>
        </is>
      </c>
      <c r="B467" s="1" t="n">
        <v>45554</v>
      </c>
      <c r="C467" s="1" t="n">
        <v>45976</v>
      </c>
      <c r="D467" t="inlineStr">
        <is>
          <t>UPPSALA LÄN</t>
        </is>
      </c>
      <c r="E467" t="inlineStr">
        <is>
          <t>ENKÖPING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21501-2025</t>
        </is>
      </c>
      <c r="B468" s="1" t="n">
        <v>45782</v>
      </c>
      <c r="C468" s="1" t="n">
        <v>45976</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8306-2021</t>
        </is>
      </c>
      <c r="B469" s="1" t="n">
        <v>44244</v>
      </c>
      <c r="C469" s="1" t="n">
        <v>45976</v>
      </c>
      <c r="D469" t="inlineStr">
        <is>
          <t>UPPSALA LÄN</t>
        </is>
      </c>
      <c r="E469" t="inlineStr">
        <is>
          <t>ENKÖPING</t>
        </is>
      </c>
      <c r="G469" t="n">
        <v>14.9</v>
      </c>
      <c r="H469" t="n">
        <v>0</v>
      </c>
      <c r="I469" t="n">
        <v>0</v>
      </c>
      <c r="J469" t="n">
        <v>0</v>
      </c>
      <c r="K469" t="n">
        <v>0</v>
      </c>
      <c r="L469" t="n">
        <v>0</v>
      </c>
      <c r="M469" t="n">
        <v>0</v>
      </c>
      <c r="N469" t="n">
        <v>0</v>
      </c>
      <c r="O469" t="n">
        <v>0</v>
      </c>
      <c r="P469" t="n">
        <v>0</v>
      </c>
      <c r="Q469" t="n">
        <v>0</v>
      </c>
      <c r="R469" s="2" t="inlineStr"/>
    </row>
    <row r="470" ht="15" customHeight="1">
      <c r="A470" t="inlineStr">
        <is>
          <t>A 34988-2025</t>
        </is>
      </c>
      <c r="B470" s="1" t="n">
        <v>45849</v>
      </c>
      <c r="C470" s="1" t="n">
        <v>45976</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34987-2025</t>
        </is>
      </c>
      <c r="B471" s="1" t="n">
        <v>45849</v>
      </c>
      <c r="C471" s="1" t="n">
        <v>45976</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57152-2021</t>
        </is>
      </c>
      <c r="B472" s="1" t="n">
        <v>44482</v>
      </c>
      <c r="C472" s="1" t="n">
        <v>45976</v>
      </c>
      <c r="D472" t="inlineStr">
        <is>
          <t>UPPSALA LÄN</t>
        </is>
      </c>
      <c r="E472" t="inlineStr">
        <is>
          <t>ENKÖPING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36492-2025</t>
        </is>
      </c>
      <c r="B473" s="1" t="n">
        <v>45869</v>
      </c>
      <c r="C473" s="1" t="n">
        <v>45976</v>
      </c>
      <c r="D473" t="inlineStr">
        <is>
          <t>UPPSALA LÄN</t>
        </is>
      </c>
      <c r="E473" t="inlineStr">
        <is>
          <t>ENKÖPING</t>
        </is>
      </c>
      <c r="G473" t="n">
        <v>6.3</v>
      </c>
      <c r="H473" t="n">
        <v>0</v>
      </c>
      <c r="I473" t="n">
        <v>0</v>
      </c>
      <c r="J473" t="n">
        <v>0</v>
      </c>
      <c r="K473" t="n">
        <v>0</v>
      </c>
      <c r="L473" t="n">
        <v>0</v>
      </c>
      <c r="M473" t="n">
        <v>0</v>
      </c>
      <c r="N473" t="n">
        <v>0</v>
      </c>
      <c r="O473" t="n">
        <v>0</v>
      </c>
      <c r="P473" t="n">
        <v>0</v>
      </c>
      <c r="Q473" t="n">
        <v>0</v>
      </c>
      <c r="R473" s="2" t="inlineStr"/>
    </row>
    <row r="474" ht="15" customHeight="1">
      <c r="A474" t="inlineStr">
        <is>
          <t>A 34124-2021</t>
        </is>
      </c>
      <c r="B474" s="1" t="n">
        <v>44379</v>
      </c>
      <c r="C474" s="1" t="n">
        <v>45976</v>
      </c>
      <c r="D474" t="inlineStr">
        <is>
          <t>UPPSALA LÄN</t>
        </is>
      </c>
      <c r="E474" t="inlineStr">
        <is>
          <t>ENKÖPING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28518-2024</t>
        </is>
      </c>
      <c r="B475" s="1" t="n">
        <v>45477</v>
      </c>
      <c r="C475" s="1" t="n">
        <v>45976</v>
      </c>
      <c r="D475" t="inlineStr">
        <is>
          <t>UPPSALA LÄN</t>
        </is>
      </c>
      <c r="E475" t="inlineStr">
        <is>
          <t>ENKÖPING</t>
        </is>
      </c>
      <c r="G475" t="n">
        <v>3.4</v>
      </c>
      <c r="H475" t="n">
        <v>0</v>
      </c>
      <c r="I475" t="n">
        <v>0</v>
      </c>
      <c r="J475" t="n">
        <v>0</v>
      </c>
      <c r="K475" t="n">
        <v>0</v>
      </c>
      <c r="L475" t="n">
        <v>0</v>
      </c>
      <c r="M475" t="n">
        <v>0</v>
      </c>
      <c r="N475" t="n">
        <v>0</v>
      </c>
      <c r="O475" t="n">
        <v>0</v>
      </c>
      <c r="P475" t="n">
        <v>0</v>
      </c>
      <c r="Q475" t="n">
        <v>0</v>
      </c>
      <c r="R475" s="2" t="inlineStr"/>
    </row>
    <row r="476" ht="15" customHeight="1">
      <c r="A476" t="inlineStr">
        <is>
          <t>A 52299-2023</t>
        </is>
      </c>
      <c r="B476" s="1" t="n">
        <v>45224.61636574074</v>
      </c>
      <c r="C476" s="1" t="n">
        <v>45976</v>
      </c>
      <c r="D476" t="inlineStr">
        <is>
          <t>UPPSALA LÄN</t>
        </is>
      </c>
      <c r="E476" t="inlineStr">
        <is>
          <t>ENKÖPING</t>
        </is>
      </c>
      <c r="G476" t="n">
        <v>2.2</v>
      </c>
      <c r="H476" t="n">
        <v>0</v>
      </c>
      <c r="I476" t="n">
        <v>0</v>
      </c>
      <c r="J476" t="n">
        <v>0</v>
      </c>
      <c r="K476" t="n">
        <v>0</v>
      </c>
      <c r="L476" t="n">
        <v>0</v>
      </c>
      <c r="M476" t="n">
        <v>0</v>
      </c>
      <c r="N476" t="n">
        <v>0</v>
      </c>
      <c r="O476" t="n">
        <v>0</v>
      </c>
      <c r="P476" t="n">
        <v>0</v>
      </c>
      <c r="Q476" t="n">
        <v>0</v>
      </c>
      <c r="R476" s="2" t="inlineStr"/>
    </row>
    <row r="477" ht="15" customHeight="1">
      <c r="A477" t="inlineStr">
        <is>
          <t>A 36350-2025</t>
        </is>
      </c>
      <c r="B477" s="1" t="n">
        <v>45868</v>
      </c>
      <c r="C477" s="1" t="n">
        <v>45976</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30634-2022</t>
        </is>
      </c>
      <c r="B478" s="1" t="n">
        <v>44763.45711805556</v>
      </c>
      <c r="C478" s="1" t="n">
        <v>45976</v>
      </c>
      <c r="D478" t="inlineStr">
        <is>
          <t>UPPSALA LÄN</t>
        </is>
      </c>
      <c r="E478" t="inlineStr">
        <is>
          <t>ENKÖPING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18259-2025</t>
        </is>
      </c>
      <c r="B479" s="1" t="n">
        <v>45762</v>
      </c>
      <c r="C479" s="1" t="n">
        <v>45976</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14004-2023</t>
        </is>
      </c>
      <c r="B480" s="1" t="n">
        <v>45008</v>
      </c>
      <c r="C480" s="1" t="n">
        <v>45976</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52005-2024</t>
        </is>
      </c>
      <c r="B481" s="1" t="n">
        <v>45607.7627662037</v>
      </c>
      <c r="C481" s="1" t="n">
        <v>45976</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1960-2022</t>
        </is>
      </c>
      <c r="B482" s="1" t="n">
        <v>44575</v>
      </c>
      <c r="C482" s="1" t="n">
        <v>45976</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6157-2021</t>
        </is>
      </c>
      <c r="B483" s="1" t="n">
        <v>44232</v>
      </c>
      <c r="C483" s="1" t="n">
        <v>45976</v>
      </c>
      <c r="D483" t="inlineStr">
        <is>
          <t>UPPSALA LÄN</t>
        </is>
      </c>
      <c r="E483" t="inlineStr">
        <is>
          <t>ENKÖPING</t>
        </is>
      </c>
      <c r="G483" t="n">
        <v>3.9</v>
      </c>
      <c r="H483" t="n">
        <v>0</v>
      </c>
      <c r="I483" t="n">
        <v>0</v>
      </c>
      <c r="J483" t="n">
        <v>0</v>
      </c>
      <c r="K483" t="n">
        <v>0</v>
      </c>
      <c r="L483" t="n">
        <v>0</v>
      </c>
      <c r="M483" t="n">
        <v>0</v>
      </c>
      <c r="N483" t="n">
        <v>0</v>
      </c>
      <c r="O483" t="n">
        <v>0</v>
      </c>
      <c r="P483" t="n">
        <v>0</v>
      </c>
      <c r="Q483" t="n">
        <v>0</v>
      </c>
      <c r="R483" s="2" t="inlineStr"/>
    </row>
    <row r="484" ht="15" customHeight="1">
      <c r="A484" t="inlineStr">
        <is>
          <t>A 49627-2024</t>
        </is>
      </c>
      <c r="B484" s="1" t="n">
        <v>45596.59140046296</v>
      </c>
      <c r="C484" s="1" t="n">
        <v>45976</v>
      </c>
      <c r="D484" t="inlineStr">
        <is>
          <t>UPPSALA LÄN</t>
        </is>
      </c>
      <c r="E484" t="inlineStr">
        <is>
          <t>ENKÖPING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57998-2024</t>
        </is>
      </c>
      <c r="B485" s="1" t="n">
        <v>45631</v>
      </c>
      <c r="C485" s="1" t="n">
        <v>45976</v>
      </c>
      <c r="D485" t="inlineStr">
        <is>
          <t>UPPSALA LÄN</t>
        </is>
      </c>
      <c r="E485" t="inlineStr">
        <is>
          <t>ENKÖPING</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9667-2024</t>
        </is>
      </c>
      <c r="B486" s="1" t="n">
        <v>45362.45130787037</v>
      </c>
      <c r="C486" s="1" t="n">
        <v>45976</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c r="A487" t="inlineStr">
        <is>
          <t>A 35645-2021</t>
        </is>
      </c>
      <c r="B487" s="1" t="n">
        <v>44386.42</v>
      </c>
      <c r="C487" s="1" t="n">
        <v>45976</v>
      </c>
      <c r="D487" t="inlineStr">
        <is>
          <t>UPPSALA LÄN</t>
        </is>
      </c>
      <c r="E487" t="inlineStr">
        <is>
          <t>ENKÖPING</t>
        </is>
      </c>
      <c r="G487" t="n">
        <v>2.7</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2025-11-15T10:11:10Z</dcterms:created>
  <dcterms:modified xmlns:dcterms="http://purl.org/dc/terms/" xmlns:xsi="http://www.w3.org/2001/XMLSchema-instance" xsi:type="dcterms:W3CDTF">2025-11-15T10:11:16Z</dcterms:modified>
</cp:coreProperties>
</file>