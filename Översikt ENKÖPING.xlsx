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45888</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45888</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45888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45888</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45888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45888</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45888</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45888</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45888</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45888</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17942-2024</t>
        </is>
      </c>
      <c r="B22" s="1" t="n">
        <v>45419</v>
      </c>
      <c r="C22" s="1" t="n">
        <v>45888</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28900-2024</t>
        </is>
      </c>
      <c r="B23" s="1" t="n">
        <v>45480</v>
      </c>
      <c r="C23" s="1" t="n">
        <v>45888</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21970-2025</t>
        </is>
      </c>
      <c r="B24" s="1" t="n">
        <v>45784.63335648148</v>
      </c>
      <c r="C24" s="1" t="n">
        <v>45888</v>
      </c>
      <c r="D24" t="inlineStr">
        <is>
          <t>UPPSALA LÄN</t>
        </is>
      </c>
      <c r="E24" t="inlineStr">
        <is>
          <t>ENKÖPING</t>
        </is>
      </c>
      <c r="G24" t="n">
        <v>5.3</v>
      </c>
      <c r="H24" t="n">
        <v>1</v>
      </c>
      <c r="I24" t="n">
        <v>0</v>
      </c>
      <c r="J24" t="n">
        <v>0</v>
      </c>
      <c r="K24" t="n">
        <v>0</v>
      </c>
      <c r="L24" t="n">
        <v>0</v>
      </c>
      <c r="M24" t="n">
        <v>0</v>
      </c>
      <c r="N24" t="n">
        <v>0</v>
      </c>
      <c r="O24" t="n">
        <v>0</v>
      </c>
      <c r="P24" t="n">
        <v>0</v>
      </c>
      <c r="Q24" t="n">
        <v>1</v>
      </c>
      <c r="R24" s="2" t="inlineStr">
        <is>
          <t>Blåsippa</t>
        </is>
      </c>
      <c r="S24">
        <f>HYPERLINK("https://klasma.github.io/Logging_0381/artfynd/A 21970-2025 artfynd.xlsx", "A 21970-2025")</f>
        <v/>
      </c>
      <c r="T24">
        <f>HYPERLINK("https://klasma.github.io/Logging_0381/kartor/A 21970-2025 karta.png", "A 21970-2025")</f>
        <v/>
      </c>
      <c r="V24">
        <f>HYPERLINK("https://klasma.github.io/Logging_0381/klagomål/A 21970-2025 FSC-klagomål.docx", "A 21970-2025")</f>
        <v/>
      </c>
      <c r="W24">
        <f>HYPERLINK("https://klasma.github.io/Logging_0381/klagomålsmail/A 21970-2025 FSC-klagomål mail.docx", "A 21970-2025")</f>
        <v/>
      </c>
      <c r="X24">
        <f>HYPERLINK("https://klasma.github.io/Logging_0381/tillsyn/A 21970-2025 tillsynsbegäran.docx", "A 21970-2025")</f>
        <v/>
      </c>
      <c r="Y24">
        <f>HYPERLINK("https://klasma.github.io/Logging_0381/tillsynsmail/A 21970-2025 tillsynsbegäran mail.docx", "A 21970-2025")</f>
        <v/>
      </c>
    </row>
    <row r="25" ht="15" customHeight="1">
      <c r="A25" t="inlineStr">
        <is>
          <t>A 46749-2024</t>
        </is>
      </c>
      <c r="B25" s="1" t="n">
        <v>45583.48347222222</v>
      </c>
      <c r="C25" s="1" t="n">
        <v>45888</v>
      </c>
      <c r="D25" t="inlineStr">
        <is>
          <t>UPPSALA LÄN</t>
        </is>
      </c>
      <c r="E25" t="inlineStr">
        <is>
          <t>ENKÖPING</t>
        </is>
      </c>
      <c r="G25" t="n">
        <v>8.5</v>
      </c>
      <c r="H25" t="n">
        <v>0</v>
      </c>
      <c r="I25" t="n">
        <v>0</v>
      </c>
      <c r="J25" t="n">
        <v>1</v>
      </c>
      <c r="K25" t="n">
        <v>0</v>
      </c>
      <c r="L25" t="n">
        <v>0</v>
      </c>
      <c r="M25" t="n">
        <v>0</v>
      </c>
      <c r="N25" t="n">
        <v>0</v>
      </c>
      <c r="O25" t="n">
        <v>1</v>
      </c>
      <c r="P25" t="n">
        <v>0</v>
      </c>
      <c r="Q25" t="n">
        <v>1</v>
      </c>
      <c r="R25" s="2" t="inlineStr">
        <is>
          <t>Leptoporus erubescens</t>
        </is>
      </c>
      <c r="S25">
        <f>HYPERLINK("https://klasma.github.io/Logging_0381/artfynd/A 46749-2024 artfynd.xlsx", "A 46749-2024")</f>
        <v/>
      </c>
      <c r="T25">
        <f>HYPERLINK("https://klasma.github.io/Logging_0381/kartor/A 46749-2024 karta.png", "A 46749-2024")</f>
        <v/>
      </c>
      <c r="V25">
        <f>HYPERLINK("https://klasma.github.io/Logging_0381/klagomål/A 46749-2024 FSC-klagomål.docx", "A 46749-2024")</f>
        <v/>
      </c>
      <c r="W25">
        <f>HYPERLINK("https://klasma.github.io/Logging_0381/klagomålsmail/A 46749-2024 FSC-klagomål mail.docx", "A 46749-2024")</f>
        <v/>
      </c>
      <c r="X25">
        <f>HYPERLINK("https://klasma.github.io/Logging_0381/tillsyn/A 46749-2024 tillsynsbegäran.docx", "A 46749-2024")</f>
        <v/>
      </c>
      <c r="Y25">
        <f>HYPERLINK("https://klasma.github.io/Logging_0381/tillsynsmail/A 46749-2024 tillsynsbegäran mail.docx", "A 46749-2024")</f>
        <v/>
      </c>
    </row>
    <row r="26" ht="15" customHeight="1">
      <c r="A26" t="inlineStr">
        <is>
          <t>A 1524-2023</t>
        </is>
      </c>
      <c r="B26" s="1" t="n">
        <v>44935</v>
      </c>
      <c r="C26" s="1" t="n">
        <v>45888</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45116-2023</t>
        </is>
      </c>
      <c r="B27" s="1" t="n">
        <v>45191</v>
      </c>
      <c r="C27" s="1" t="n">
        <v>45888</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26347-2025</t>
        </is>
      </c>
      <c r="B28" s="1" t="n">
        <v>45805.7403125</v>
      </c>
      <c r="C28" s="1" t="n">
        <v>45888</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45888</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29510-2025</t>
        </is>
      </c>
      <c r="B30" s="1" t="n">
        <v>45825</v>
      </c>
      <c r="C30" s="1" t="n">
        <v>45888</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23961-2022</t>
        </is>
      </c>
      <c r="B31" s="1" t="n">
        <v>44722</v>
      </c>
      <c r="C31" s="1" t="n">
        <v>45888</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16683-2021</t>
        </is>
      </c>
      <c r="B32" s="1" t="n">
        <v>44294.58495370371</v>
      </c>
      <c r="C32" s="1" t="n">
        <v>45888</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45888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45888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45888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45888</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45888</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45888</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45888</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45888</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45888</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45888</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45888</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45888</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45888</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45888</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45888</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45888</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45888</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45888</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45888</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45888</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45888</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45888</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45888</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45888</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45888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45888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45888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45888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45888</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45888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45888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45888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45888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45888</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45888</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45888</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45888</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45888</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45888</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45888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45888</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45888</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45888</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45888</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45888</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45888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45888</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45888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45888</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45888</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45888</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45888</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45888</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45888</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45888</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45888</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45888</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45888</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45888</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45888</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45888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45888</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45888</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45888</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19630-2021</t>
        </is>
      </c>
      <c r="B97" s="1" t="n">
        <v>44312.61876157407</v>
      </c>
      <c r="C97" s="1" t="n">
        <v>45888</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59121-2021</t>
        </is>
      </c>
      <c r="B98" s="1" t="n">
        <v>44490</v>
      </c>
      <c r="C98" s="1" t="n">
        <v>45888</v>
      </c>
      <c r="D98" t="inlineStr">
        <is>
          <t>UPPSALA LÄN</t>
        </is>
      </c>
      <c r="E98" t="inlineStr">
        <is>
          <t>ENKÖPING</t>
        </is>
      </c>
      <c r="G98" t="n">
        <v>2.4</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45888</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45888</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45888</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45888</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69791-2021</t>
        </is>
      </c>
      <c r="B103" s="1" t="n">
        <v>44532</v>
      </c>
      <c r="C103" s="1" t="n">
        <v>45888</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49375-2021</t>
        </is>
      </c>
      <c r="B104" s="1" t="n">
        <v>44454</v>
      </c>
      <c r="C104" s="1" t="n">
        <v>45888</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45888</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45888</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45888</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57055-2021</t>
        </is>
      </c>
      <c r="B108" s="1" t="n">
        <v>44482.55201388889</v>
      </c>
      <c r="C108" s="1" t="n">
        <v>45888</v>
      </c>
      <c r="D108" t="inlineStr">
        <is>
          <t>UPPSALA LÄN</t>
        </is>
      </c>
      <c r="E108" t="inlineStr">
        <is>
          <t>ENKÖPING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60874-2021</t>
        </is>
      </c>
      <c r="B109" s="1" t="n">
        <v>44497</v>
      </c>
      <c r="C109" s="1" t="n">
        <v>45888</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45888</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57043-2021</t>
        </is>
      </c>
      <c r="B111" s="1" t="n">
        <v>44482.53399305556</v>
      </c>
      <c r="C111" s="1" t="n">
        <v>45888</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47516-2022</t>
        </is>
      </c>
      <c r="B112" s="1" t="n">
        <v>44853.68895833333</v>
      </c>
      <c r="C112" s="1" t="n">
        <v>45888</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15021-2022</t>
        </is>
      </c>
      <c r="B113" s="1" t="n">
        <v>44657</v>
      </c>
      <c r="C113" s="1" t="n">
        <v>45888</v>
      </c>
      <c r="D113" t="inlineStr">
        <is>
          <t>UPPSALA LÄN</t>
        </is>
      </c>
      <c r="E113" t="inlineStr">
        <is>
          <t>ENKÖPING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42021-2021</t>
        </is>
      </c>
      <c r="B114" s="1" t="n">
        <v>44426</v>
      </c>
      <c r="C114" s="1" t="n">
        <v>45888</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17467-2022</t>
        </is>
      </c>
      <c r="B115" s="1" t="n">
        <v>44679</v>
      </c>
      <c r="C115" s="1" t="n">
        <v>45888</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51092-2020</t>
        </is>
      </c>
      <c r="B116" s="1" t="n">
        <v>44112</v>
      </c>
      <c r="C116" s="1" t="n">
        <v>45888</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58798-2020</t>
        </is>
      </c>
      <c r="B117" s="1" t="n">
        <v>44146</v>
      </c>
      <c r="C117" s="1" t="n">
        <v>45888</v>
      </c>
      <c r="D117" t="inlineStr">
        <is>
          <t>UPPSALA LÄN</t>
        </is>
      </c>
      <c r="E117" t="inlineStr">
        <is>
          <t>ENKÖPING</t>
        </is>
      </c>
      <c r="G117" t="n">
        <v>1.8</v>
      </c>
      <c r="H117" t="n">
        <v>0</v>
      </c>
      <c r="I117" t="n">
        <v>0</v>
      </c>
      <c r="J117" t="n">
        <v>0</v>
      </c>
      <c r="K117" t="n">
        <v>0</v>
      </c>
      <c r="L117" t="n">
        <v>0</v>
      </c>
      <c r="M117" t="n">
        <v>0</v>
      </c>
      <c r="N117" t="n">
        <v>0</v>
      </c>
      <c r="O117" t="n">
        <v>0</v>
      </c>
      <c r="P117" t="n">
        <v>0</v>
      </c>
      <c r="Q117" t="n">
        <v>0</v>
      </c>
      <c r="R117" s="2" t="inlineStr"/>
    </row>
    <row r="118" ht="15" customHeight="1">
      <c r="A118" t="inlineStr">
        <is>
          <t>A 52464-2020</t>
        </is>
      </c>
      <c r="B118" s="1" t="n">
        <v>44118</v>
      </c>
      <c r="C118" s="1" t="n">
        <v>45888</v>
      </c>
      <c r="D118" t="inlineStr">
        <is>
          <t>UPPSALA LÄN</t>
        </is>
      </c>
      <c r="E118" t="inlineStr">
        <is>
          <t>ENKÖPING</t>
        </is>
      </c>
      <c r="G118" t="n">
        <v>4.6</v>
      </c>
      <c r="H118" t="n">
        <v>0</v>
      </c>
      <c r="I118" t="n">
        <v>0</v>
      </c>
      <c r="J118" t="n">
        <v>0</v>
      </c>
      <c r="K118" t="n">
        <v>0</v>
      </c>
      <c r="L118" t="n">
        <v>0</v>
      </c>
      <c r="M118" t="n">
        <v>0</v>
      </c>
      <c r="N118" t="n">
        <v>0</v>
      </c>
      <c r="O118" t="n">
        <v>0</v>
      </c>
      <c r="P118" t="n">
        <v>0</v>
      </c>
      <c r="Q118" t="n">
        <v>0</v>
      </c>
      <c r="R118" s="2" t="inlineStr"/>
    </row>
    <row r="119" ht="15" customHeight="1">
      <c r="A119" t="inlineStr">
        <is>
          <t>A 49063-2024</t>
        </is>
      </c>
      <c r="B119" s="1" t="n">
        <v>45594.59869212963</v>
      </c>
      <c r="C119" s="1" t="n">
        <v>45888</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31013-2022</t>
        </is>
      </c>
      <c r="B120" s="1" t="n">
        <v>44768</v>
      </c>
      <c r="C120" s="1" t="n">
        <v>45888</v>
      </c>
      <c r="D120" t="inlineStr">
        <is>
          <t>UPPSALA LÄN</t>
        </is>
      </c>
      <c r="E120" t="inlineStr">
        <is>
          <t>ENKÖPING</t>
        </is>
      </c>
      <c r="F120" t="inlineStr">
        <is>
          <t>Allmännings- och besparingsskogar</t>
        </is>
      </c>
      <c r="G120" t="n">
        <v>0.5</v>
      </c>
      <c r="H120" t="n">
        <v>0</v>
      </c>
      <c r="I120" t="n">
        <v>0</v>
      </c>
      <c r="J120" t="n">
        <v>0</v>
      </c>
      <c r="K120" t="n">
        <v>0</v>
      </c>
      <c r="L120" t="n">
        <v>0</v>
      </c>
      <c r="M120" t="n">
        <v>0</v>
      </c>
      <c r="N120" t="n">
        <v>0</v>
      </c>
      <c r="O120" t="n">
        <v>0</v>
      </c>
      <c r="P120" t="n">
        <v>0</v>
      </c>
      <c r="Q120" t="n">
        <v>0</v>
      </c>
      <c r="R120" s="2" t="inlineStr"/>
    </row>
    <row r="121" ht="15" customHeight="1">
      <c r="A121" t="inlineStr">
        <is>
          <t>A 13853-2023</t>
        </is>
      </c>
      <c r="B121" s="1" t="n">
        <v>45007</v>
      </c>
      <c r="C121" s="1" t="n">
        <v>45888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42029-2021</t>
        </is>
      </c>
      <c r="B122" s="1" t="n">
        <v>44426</v>
      </c>
      <c r="C122" s="1" t="n">
        <v>45888</v>
      </c>
      <c r="D122" t="inlineStr">
        <is>
          <t>UPPSALA LÄN</t>
        </is>
      </c>
      <c r="E122" t="inlineStr">
        <is>
          <t>ENKÖPING</t>
        </is>
      </c>
      <c r="G122" t="n">
        <v>5.3</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45888</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29983-2021</t>
        </is>
      </c>
      <c r="B124" s="1" t="n">
        <v>44363</v>
      </c>
      <c r="C124" s="1" t="n">
        <v>45888</v>
      </c>
      <c r="D124" t="inlineStr">
        <is>
          <t>UPPSALA LÄN</t>
        </is>
      </c>
      <c r="E124" t="inlineStr">
        <is>
          <t>ENKÖPING</t>
        </is>
      </c>
      <c r="F124" t="inlineStr">
        <is>
          <t>Kommuner</t>
        </is>
      </c>
      <c r="G124" t="n">
        <v>3.1</v>
      </c>
      <c r="H124" t="n">
        <v>0</v>
      </c>
      <c r="I124" t="n">
        <v>0</v>
      </c>
      <c r="J124" t="n">
        <v>0</v>
      </c>
      <c r="K124" t="n">
        <v>0</v>
      </c>
      <c r="L124" t="n">
        <v>0</v>
      </c>
      <c r="M124" t="n">
        <v>0</v>
      </c>
      <c r="N124" t="n">
        <v>0</v>
      </c>
      <c r="O124" t="n">
        <v>0</v>
      </c>
      <c r="P124" t="n">
        <v>0</v>
      </c>
      <c r="Q124" t="n">
        <v>0</v>
      </c>
      <c r="R124" s="2" t="inlineStr"/>
    </row>
    <row r="125" ht="15" customHeight="1">
      <c r="A125" t="inlineStr">
        <is>
          <t>A 17657-2025</t>
        </is>
      </c>
      <c r="B125" s="1" t="n">
        <v>45758.35006944444</v>
      </c>
      <c r="C125" s="1" t="n">
        <v>45888</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49568-2022</t>
        </is>
      </c>
      <c r="B126" s="1" t="n">
        <v>44862.32791666667</v>
      </c>
      <c r="C126" s="1" t="n">
        <v>45888</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69567-2020</t>
        </is>
      </c>
      <c r="B127" s="1" t="n">
        <v>44194</v>
      </c>
      <c r="C127" s="1" t="n">
        <v>45888</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16176-2025</t>
        </is>
      </c>
      <c r="B128" s="1" t="n">
        <v>45750</v>
      </c>
      <c r="C128" s="1" t="n">
        <v>45888</v>
      </c>
      <c r="D128" t="inlineStr">
        <is>
          <t>UPPSALA LÄN</t>
        </is>
      </c>
      <c r="E128" t="inlineStr">
        <is>
          <t>ENKÖPING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56713-2024</t>
        </is>
      </c>
      <c r="B129" s="1" t="n">
        <v>45628</v>
      </c>
      <c r="C129" s="1" t="n">
        <v>45888</v>
      </c>
      <c r="D129" t="inlineStr">
        <is>
          <t>UPPSALA LÄN</t>
        </is>
      </c>
      <c r="E129" t="inlineStr">
        <is>
          <t>ENKÖPING</t>
        </is>
      </c>
      <c r="G129" t="n">
        <v>1.7</v>
      </c>
      <c r="H129" t="n">
        <v>0</v>
      </c>
      <c r="I129" t="n">
        <v>0</v>
      </c>
      <c r="J129" t="n">
        <v>0</v>
      </c>
      <c r="K129" t="n">
        <v>0</v>
      </c>
      <c r="L129" t="n">
        <v>0</v>
      </c>
      <c r="M129" t="n">
        <v>0</v>
      </c>
      <c r="N129" t="n">
        <v>0</v>
      </c>
      <c r="O129" t="n">
        <v>0</v>
      </c>
      <c r="P129" t="n">
        <v>0</v>
      </c>
      <c r="Q129" t="n">
        <v>0</v>
      </c>
      <c r="R129" s="2" t="inlineStr"/>
    </row>
    <row r="130" ht="15" customHeight="1">
      <c r="A130" t="inlineStr">
        <is>
          <t>A 47681-2024</t>
        </is>
      </c>
      <c r="B130" s="1" t="n">
        <v>45588</v>
      </c>
      <c r="C130" s="1" t="n">
        <v>45888</v>
      </c>
      <c r="D130" t="inlineStr">
        <is>
          <t>UPPSALA LÄN</t>
        </is>
      </c>
      <c r="E130" t="inlineStr">
        <is>
          <t>ENKÖPING</t>
        </is>
      </c>
      <c r="G130" t="n">
        <v>4.2</v>
      </c>
      <c r="H130" t="n">
        <v>0</v>
      </c>
      <c r="I130" t="n">
        <v>0</v>
      </c>
      <c r="J130" t="n">
        <v>0</v>
      </c>
      <c r="K130" t="n">
        <v>0</v>
      </c>
      <c r="L130" t="n">
        <v>0</v>
      </c>
      <c r="M130" t="n">
        <v>0</v>
      </c>
      <c r="N130" t="n">
        <v>0</v>
      </c>
      <c r="O130" t="n">
        <v>0</v>
      </c>
      <c r="P130" t="n">
        <v>0</v>
      </c>
      <c r="Q130" t="n">
        <v>0</v>
      </c>
      <c r="R130" s="2" t="inlineStr"/>
    </row>
    <row r="131" ht="15" customHeight="1">
      <c r="A131" t="inlineStr">
        <is>
          <t>A 37870-2023</t>
        </is>
      </c>
      <c r="B131" s="1" t="n">
        <v>45160.41996527778</v>
      </c>
      <c r="C131" s="1" t="n">
        <v>45888</v>
      </c>
      <c r="D131" t="inlineStr">
        <is>
          <t>UPPSALA LÄN</t>
        </is>
      </c>
      <c r="E131" t="inlineStr">
        <is>
          <t>ENKÖPING</t>
        </is>
      </c>
      <c r="G131" t="n">
        <v>3.5</v>
      </c>
      <c r="H131" t="n">
        <v>0</v>
      </c>
      <c r="I131" t="n">
        <v>0</v>
      </c>
      <c r="J131" t="n">
        <v>0</v>
      </c>
      <c r="K131" t="n">
        <v>0</v>
      </c>
      <c r="L131" t="n">
        <v>0</v>
      </c>
      <c r="M131" t="n">
        <v>0</v>
      </c>
      <c r="N131" t="n">
        <v>0</v>
      </c>
      <c r="O131" t="n">
        <v>0</v>
      </c>
      <c r="P131" t="n">
        <v>0</v>
      </c>
      <c r="Q131" t="n">
        <v>0</v>
      </c>
      <c r="R131" s="2" t="inlineStr"/>
    </row>
    <row r="132" ht="15" customHeight="1">
      <c r="A132" t="inlineStr">
        <is>
          <t>A 22094-2023</t>
        </is>
      </c>
      <c r="B132" s="1" t="n">
        <v>45069</v>
      </c>
      <c r="C132" s="1" t="n">
        <v>45888</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53496-2022</t>
        </is>
      </c>
      <c r="B133" s="1" t="n">
        <v>44879.57217592592</v>
      </c>
      <c r="C133" s="1" t="n">
        <v>45888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17165-2025</t>
        </is>
      </c>
      <c r="B134" s="1" t="n">
        <v>45756</v>
      </c>
      <c r="C134" s="1" t="n">
        <v>45888</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15942-2022</t>
        </is>
      </c>
      <c r="B135" s="1" t="n">
        <v>44664</v>
      </c>
      <c r="C135" s="1" t="n">
        <v>45888</v>
      </c>
      <c r="D135" t="inlineStr">
        <is>
          <t>UPPSALA LÄN</t>
        </is>
      </c>
      <c r="E135" t="inlineStr">
        <is>
          <t>ENKÖPING</t>
        </is>
      </c>
      <c r="G135" t="n">
        <v>6.6</v>
      </c>
      <c r="H135" t="n">
        <v>0</v>
      </c>
      <c r="I135" t="n">
        <v>0</v>
      </c>
      <c r="J135" t="n">
        <v>0</v>
      </c>
      <c r="K135" t="n">
        <v>0</v>
      </c>
      <c r="L135" t="n">
        <v>0</v>
      </c>
      <c r="M135" t="n">
        <v>0</v>
      </c>
      <c r="N135" t="n">
        <v>0</v>
      </c>
      <c r="O135" t="n">
        <v>0</v>
      </c>
      <c r="P135" t="n">
        <v>0</v>
      </c>
      <c r="Q135" t="n">
        <v>0</v>
      </c>
      <c r="R135" s="2" t="inlineStr"/>
    </row>
    <row r="136" ht="15" customHeight="1">
      <c r="A136" t="inlineStr">
        <is>
          <t>A 2974-2025</t>
        </is>
      </c>
      <c r="B136" s="1" t="n">
        <v>45678.47168981482</v>
      </c>
      <c r="C136" s="1" t="n">
        <v>45888</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5013-2025</t>
        </is>
      </c>
      <c r="B137" s="1" t="n">
        <v>45691</v>
      </c>
      <c r="C137" s="1" t="n">
        <v>45888</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15405-2025</t>
        </is>
      </c>
      <c r="B138" s="1" t="n">
        <v>45747.44670138889</v>
      </c>
      <c r="C138" s="1" t="n">
        <v>45888</v>
      </c>
      <c r="D138" t="inlineStr">
        <is>
          <t>UPPSALA LÄN</t>
        </is>
      </c>
      <c r="E138" t="inlineStr">
        <is>
          <t>ENKÖPING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35079-2024</t>
        </is>
      </c>
      <c r="B139" s="1" t="n">
        <v>45527.66770833333</v>
      </c>
      <c r="C139" s="1" t="n">
        <v>45888</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33581-2023</t>
        </is>
      </c>
      <c r="B140" s="1" t="n">
        <v>45131</v>
      </c>
      <c r="C140" s="1" t="n">
        <v>45888</v>
      </c>
      <c r="D140" t="inlineStr">
        <is>
          <t>UPPSALA LÄN</t>
        </is>
      </c>
      <c r="E140" t="inlineStr">
        <is>
          <t>ENKÖPING</t>
        </is>
      </c>
      <c r="G140" t="n">
        <v>3.5</v>
      </c>
      <c r="H140" t="n">
        <v>0</v>
      </c>
      <c r="I140" t="n">
        <v>0</v>
      </c>
      <c r="J140" t="n">
        <v>0</v>
      </c>
      <c r="K140" t="n">
        <v>0</v>
      </c>
      <c r="L140" t="n">
        <v>0</v>
      </c>
      <c r="M140" t="n">
        <v>0</v>
      </c>
      <c r="N140" t="n">
        <v>0</v>
      </c>
      <c r="O140" t="n">
        <v>0</v>
      </c>
      <c r="P140" t="n">
        <v>0</v>
      </c>
      <c r="Q140" t="n">
        <v>0</v>
      </c>
      <c r="R140" s="2" t="inlineStr"/>
    </row>
    <row r="141" ht="15" customHeight="1">
      <c r="A141" t="inlineStr">
        <is>
          <t>A 27786-2023</t>
        </is>
      </c>
      <c r="B141" s="1" t="n">
        <v>45098</v>
      </c>
      <c r="C141" s="1" t="n">
        <v>45888</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56163-2021</t>
        </is>
      </c>
      <c r="B142" s="1" t="n">
        <v>44477</v>
      </c>
      <c r="C142" s="1" t="n">
        <v>45888</v>
      </c>
      <c r="D142" t="inlineStr">
        <is>
          <t>UPPSALA LÄN</t>
        </is>
      </c>
      <c r="E142" t="inlineStr">
        <is>
          <t>ENKÖPING</t>
        </is>
      </c>
      <c r="F142" t="inlineStr">
        <is>
          <t>Allmännings- och besparingsskogar</t>
        </is>
      </c>
      <c r="G142" t="n">
        <v>0.6</v>
      </c>
      <c r="H142" t="n">
        <v>0</v>
      </c>
      <c r="I142" t="n">
        <v>0</v>
      </c>
      <c r="J142" t="n">
        <v>0</v>
      </c>
      <c r="K142" t="n">
        <v>0</v>
      </c>
      <c r="L142" t="n">
        <v>0</v>
      </c>
      <c r="M142" t="n">
        <v>0</v>
      </c>
      <c r="N142" t="n">
        <v>0</v>
      </c>
      <c r="O142" t="n">
        <v>0</v>
      </c>
      <c r="P142" t="n">
        <v>0</v>
      </c>
      <c r="Q142" t="n">
        <v>0</v>
      </c>
      <c r="R142" s="2" t="inlineStr"/>
    </row>
    <row r="143" ht="15" customHeight="1">
      <c r="A143" t="inlineStr">
        <is>
          <t>A 48864-2022</t>
        </is>
      </c>
      <c r="B143" s="1" t="n">
        <v>44859</v>
      </c>
      <c r="C143" s="1" t="n">
        <v>45888</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47909-2024</t>
        </is>
      </c>
      <c r="B144" s="1" t="n">
        <v>45589.31866898148</v>
      </c>
      <c r="C144" s="1" t="n">
        <v>45888</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51932-2022</t>
        </is>
      </c>
      <c r="B145" s="1" t="n">
        <v>44872</v>
      </c>
      <c r="C145" s="1" t="n">
        <v>45888</v>
      </c>
      <c r="D145" t="inlineStr">
        <is>
          <t>UPPSALA LÄN</t>
        </is>
      </c>
      <c r="E145" t="inlineStr">
        <is>
          <t>ENKÖPING</t>
        </is>
      </c>
      <c r="G145" t="n">
        <v>5.5</v>
      </c>
      <c r="H145" t="n">
        <v>0</v>
      </c>
      <c r="I145" t="n">
        <v>0</v>
      </c>
      <c r="J145" t="n">
        <v>0</v>
      </c>
      <c r="K145" t="n">
        <v>0</v>
      </c>
      <c r="L145" t="n">
        <v>0</v>
      </c>
      <c r="M145" t="n">
        <v>0</v>
      </c>
      <c r="N145" t="n">
        <v>0</v>
      </c>
      <c r="O145" t="n">
        <v>0</v>
      </c>
      <c r="P145" t="n">
        <v>0</v>
      </c>
      <c r="Q145" t="n">
        <v>0</v>
      </c>
      <c r="R145" s="2" t="inlineStr"/>
    </row>
    <row r="146" ht="15" customHeight="1">
      <c r="A146" t="inlineStr">
        <is>
          <t>A 39935-2020</t>
        </is>
      </c>
      <c r="B146" s="1" t="n">
        <v>44067</v>
      </c>
      <c r="C146" s="1" t="n">
        <v>45888</v>
      </c>
      <c r="D146" t="inlineStr">
        <is>
          <t>UPPSALA LÄN</t>
        </is>
      </c>
      <c r="E146" t="inlineStr">
        <is>
          <t>ENKÖPING</t>
        </is>
      </c>
      <c r="G146" t="n">
        <v>4.2</v>
      </c>
      <c r="H146" t="n">
        <v>0</v>
      </c>
      <c r="I146" t="n">
        <v>0</v>
      </c>
      <c r="J146" t="n">
        <v>0</v>
      </c>
      <c r="K146" t="n">
        <v>0</v>
      </c>
      <c r="L146" t="n">
        <v>0</v>
      </c>
      <c r="M146" t="n">
        <v>0</v>
      </c>
      <c r="N146" t="n">
        <v>0</v>
      </c>
      <c r="O146" t="n">
        <v>0</v>
      </c>
      <c r="P146" t="n">
        <v>0</v>
      </c>
      <c r="Q146" t="n">
        <v>0</v>
      </c>
      <c r="R146" s="2" t="inlineStr"/>
    </row>
    <row r="147" ht="15" customHeight="1">
      <c r="A147" t="inlineStr">
        <is>
          <t>A 6242-2025</t>
        </is>
      </c>
      <c r="B147" s="1" t="n">
        <v>45697</v>
      </c>
      <c r="C147" s="1" t="n">
        <v>45888</v>
      </c>
      <c r="D147" t="inlineStr">
        <is>
          <t>UPPSALA LÄN</t>
        </is>
      </c>
      <c r="E147" t="inlineStr">
        <is>
          <t>ENKÖPING</t>
        </is>
      </c>
      <c r="G147" t="n">
        <v>17.9</v>
      </c>
      <c r="H147" t="n">
        <v>0</v>
      </c>
      <c r="I147" t="n">
        <v>0</v>
      </c>
      <c r="J147" t="n">
        <v>0</v>
      </c>
      <c r="K147" t="n">
        <v>0</v>
      </c>
      <c r="L147" t="n">
        <v>0</v>
      </c>
      <c r="M147" t="n">
        <v>0</v>
      </c>
      <c r="N147" t="n">
        <v>0</v>
      </c>
      <c r="O147" t="n">
        <v>0</v>
      </c>
      <c r="P147" t="n">
        <v>0</v>
      </c>
      <c r="Q147" t="n">
        <v>0</v>
      </c>
      <c r="R147" s="2" t="inlineStr"/>
    </row>
    <row r="148" ht="15" customHeight="1">
      <c r="A148" t="inlineStr">
        <is>
          <t>A 42459-2024</t>
        </is>
      </c>
      <c r="B148" s="1" t="n">
        <v>45565</v>
      </c>
      <c r="C148" s="1" t="n">
        <v>45888</v>
      </c>
      <c r="D148" t="inlineStr">
        <is>
          <t>UPPSALA LÄN</t>
        </is>
      </c>
      <c r="E148" t="inlineStr">
        <is>
          <t>ENKÖPING</t>
        </is>
      </c>
      <c r="G148" t="n">
        <v>3.6</v>
      </c>
      <c r="H148" t="n">
        <v>0</v>
      </c>
      <c r="I148" t="n">
        <v>0</v>
      </c>
      <c r="J148" t="n">
        <v>0</v>
      </c>
      <c r="K148" t="n">
        <v>0</v>
      </c>
      <c r="L148" t="n">
        <v>0</v>
      </c>
      <c r="M148" t="n">
        <v>0</v>
      </c>
      <c r="N148" t="n">
        <v>0</v>
      </c>
      <c r="O148" t="n">
        <v>0</v>
      </c>
      <c r="P148" t="n">
        <v>0</v>
      </c>
      <c r="Q148" t="n">
        <v>0</v>
      </c>
      <c r="R148" s="2" t="inlineStr"/>
    </row>
    <row r="149" ht="15" customHeight="1">
      <c r="A149" t="inlineStr">
        <is>
          <t>A 60125-2024</t>
        </is>
      </c>
      <c r="B149" s="1" t="n">
        <v>45642</v>
      </c>
      <c r="C149" s="1" t="n">
        <v>45888</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37170-2021</t>
        </is>
      </c>
      <c r="B150" s="1" t="n">
        <v>44395</v>
      </c>
      <c r="C150" s="1" t="n">
        <v>45888</v>
      </c>
      <c r="D150" t="inlineStr">
        <is>
          <t>UPPSALA LÄN</t>
        </is>
      </c>
      <c r="E150" t="inlineStr">
        <is>
          <t>ENKÖPING</t>
        </is>
      </c>
      <c r="G150" t="n">
        <v>1.5</v>
      </c>
      <c r="H150" t="n">
        <v>0</v>
      </c>
      <c r="I150" t="n">
        <v>0</v>
      </c>
      <c r="J150" t="n">
        <v>0</v>
      </c>
      <c r="K150" t="n">
        <v>0</v>
      </c>
      <c r="L150" t="n">
        <v>0</v>
      </c>
      <c r="M150" t="n">
        <v>0</v>
      </c>
      <c r="N150" t="n">
        <v>0</v>
      </c>
      <c r="O150" t="n">
        <v>0</v>
      </c>
      <c r="P150" t="n">
        <v>0</v>
      </c>
      <c r="Q150" t="n">
        <v>0</v>
      </c>
      <c r="R150" s="2" t="inlineStr"/>
    </row>
    <row r="151" ht="15" customHeight="1">
      <c r="A151" t="inlineStr">
        <is>
          <t>A 10468-2025</t>
        </is>
      </c>
      <c r="B151" s="1" t="n">
        <v>45720</v>
      </c>
      <c r="C151" s="1" t="n">
        <v>45888</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5211-2024</t>
        </is>
      </c>
      <c r="B152" s="1" t="n">
        <v>45330</v>
      </c>
      <c r="C152" s="1" t="n">
        <v>45888</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10409-2025</t>
        </is>
      </c>
      <c r="B153" s="1" t="n">
        <v>45720.631875</v>
      </c>
      <c r="C153" s="1" t="n">
        <v>45888</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58147-2024</t>
        </is>
      </c>
      <c r="B154" s="1" t="n">
        <v>45632.4334375</v>
      </c>
      <c r="C154" s="1" t="n">
        <v>45888</v>
      </c>
      <c r="D154" t="inlineStr">
        <is>
          <t>UPPSALA LÄN</t>
        </is>
      </c>
      <c r="E154" t="inlineStr">
        <is>
          <t>ENKÖPING</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18299-2025</t>
        </is>
      </c>
      <c r="B155" s="1" t="n">
        <v>45762</v>
      </c>
      <c r="C155" s="1" t="n">
        <v>45888</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4562-2025</t>
        </is>
      </c>
      <c r="B156" s="1" t="n">
        <v>45687</v>
      </c>
      <c r="C156" s="1" t="n">
        <v>45888</v>
      </c>
      <c r="D156" t="inlineStr">
        <is>
          <t>UPPSALA LÄN</t>
        </is>
      </c>
      <c r="E156" t="inlineStr">
        <is>
          <t>ENKÖPING</t>
        </is>
      </c>
      <c r="G156" t="n">
        <v>2.5</v>
      </c>
      <c r="H156" t="n">
        <v>0</v>
      </c>
      <c r="I156" t="n">
        <v>0</v>
      </c>
      <c r="J156" t="n">
        <v>0</v>
      </c>
      <c r="K156" t="n">
        <v>0</v>
      </c>
      <c r="L156" t="n">
        <v>0</v>
      </c>
      <c r="M156" t="n">
        <v>0</v>
      </c>
      <c r="N156" t="n">
        <v>0</v>
      </c>
      <c r="O156" t="n">
        <v>0</v>
      </c>
      <c r="P156" t="n">
        <v>0</v>
      </c>
      <c r="Q156" t="n">
        <v>0</v>
      </c>
      <c r="R156" s="2" t="inlineStr"/>
    </row>
    <row r="157" ht="15" customHeight="1">
      <c r="A157" t="inlineStr">
        <is>
          <t>A 21686-2022</t>
        </is>
      </c>
      <c r="B157" s="1" t="n">
        <v>44707</v>
      </c>
      <c r="C157" s="1" t="n">
        <v>45888</v>
      </c>
      <c r="D157" t="inlineStr">
        <is>
          <t>UPPSALA LÄN</t>
        </is>
      </c>
      <c r="E157" t="inlineStr">
        <is>
          <t>ENKÖPING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18831-2023</t>
        </is>
      </c>
      <c r="B158" s="1" t="n">
        <v>45044.40798611111</v>
      </c>
      <c r="C158" s="1" t="n">
        <v>45888</v>
      </c>
      <c r="D158" t="inlineStr">
        <is>
          <t>UPPSALA LÄN</t>
        </is>
      </c>
      <c r="E158" t="inlineStr">
        <is>
          <t>ENKÖPING</t>
        </is>
      </c>
      <c r="G158" t="n">
        <v>4.3</v>
      </c>
      <c r="H158" t="n">
        <v>0</v>
      </c>
      <c r="I158" t="n">
        <v>0</v>
      </c>
      <c r="J158" t="n">
        <v>0</v>
      </c>
      <c r="K158" t="n">
        <v>0</v>
      </c>
      <c r="L158" t="n">
        <v>0</v>
      </c>
      <c r="M158" t="n">
        <v>0</v>
      </c>
      <c r="N158" t="n">
        <v>0</v>
      </c>
      <c r="O158" t="n">
        <v>0</v>
      </c>
      <c r="P158" t="n">
        <v>0</v>
      </c>
      <c r="Q158" t="n">
        <v>0</v>
      </c>
      <c r="R158" s="2" t="inlineStr"/>
    </row>
    <row r="159" ht="15" customHeight="1">
      <c r="A159" t="inlineStr">
        <is>
          <t>A 46593-2020</t>
        </is>
      </c>
      <c r="B159" s="1" t="n">
        <v>44095</v>
      </c>
      <c r="C159" s="1" t="n">
        <v>45888</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3550-2023</t>
        </is>
      </c>
      <c r="B160" s="1" t="n">
        <v>44950</v>
      </c>
      <c r="C160" s="1" t="n">
        <v>45888</v>
      </c>
      <c r="D160" t="inlineStr">
        <is>
          <t>UPPSALA LÄN</t>
        </is>
      </c>
      <c r="E160" t="inlineStr">
        <is>
          <t>ENKÖPING</t>
        </is>
      </c>
      <c r="G160" t="n">
        <v>0.9</v>
      </c>
      <c r="H160" t="n">
        <v>0</v>
      </c>
      <c r="I160" t="n">
        <v>0</v>
      </c>
      <c r="J160" t="n">
        <v>0</v>
      </c>
      <c r="K160" t="n">
        <v>0</v>
      </c>
      <c r="L160" t="n">
        <v>0</v>
      </c>
      <c r="M160" t="n">
        <v>0</v>
      </c>
      <c r="N160" t="n">
        <v>0</v>
      </c>
      <c r="O160" t="n">
        <v>0</v>
      </c>
      <c r="P160" t="n">
        <v>0</v>
      </c>
      <c r="Q160" t="n">
        <v>0</v>
      </c>
      <c r="R160" s="2" t="inlineStr"/>
    </row>
    <row r="161" ht="15" customHeight="1">
      <c r="A161" t="inlineStr">
        <is>
          <t>A 19014-2025</t>
        </is>
      </c>
      <c r="B161" s="1" t="n">
        <v>45764.59631944444</v>
      </c>
      <c r="C161" s="1" t="n">
        <v>45888</v>
      </c>
      <c r="D161" t="inlineStr">
        <is>
          <t>UPPSALA LÄN</t>
        </is>
      </c>
      <c r="E161" t="inlineStr">
        <is>
          <t>ENKÖPING</t>
        </is>
      </c>
      <c r="G161" t="n">
        <v>0.2</v>
      </c>
      <c r="H161" t="n">
        <v>0</v>
      </c>
      <c r="I161" t="n">
        <v>0</v>
      </c>
      <c r="J161" t="n">
        <v>0</v>
      </c>
      <c r="K161" t="n">
        <v>0</v>
      </c>
      <c r="L161" t="n">
        <v>0</v>
      </c>
      <c r="M161" t="n">
        <v>0</v>
      </c>
      <c r="N161" t="n">
        <v>0</v>
      </c>
      <c r="O161" t="n">
        <v>0</v>
      </c>
      <c r="P161" t="n">
        <v>0</v>
      </c>
      <c r="Q161" t="n">
        <v>0</v>
      </c>
      <c r="R161" s="2" t="inlineStr"/>
    </row>
    <row r="162" ht="15" customHeight="1">
      <c r="A162" t="inlineStr">
        <is>
          <t>A 6172-2023</t>
        </is>
      </c>
      <c r="B162" s="1" t="n">
        <v>44964.68663194445</v>
      </c>
      <c r="C162" s="1" t="n">
        <v>45888</v>
      </c>
      <c r="D162" t="inlineStr">
        <is>
          <t>UPPSALA LÄN</t>
        </is>
      </c>
      <c r="E162" t="inlineStr">
        <is>
          <t>ENKÖPING</t>
        </is>
      </c>
      <c r="G162" t="n">
        <v>2.6</v>
      </c>
      <c r="H162" t="n">
        <v>0</v>
      </c>
      <c r="I162" t="n">
        <v>0</v>
      </c>
      <c r="J162" t="n">
        <v>0</v>
      </c>
      <c r="K162" t="n">
        <v>0</v>
      </c>
      <c r="L162" t="n">
        <v>0</v>
      </c>
      <c r="M162" t="n">
        <v>0</v>
      </c>
      <c r="N162" t="n">
        <v>0</v>
      </c>
      <c r="O162" t="n">
        <v>0</v>
      </c>
      <c r="P162" t="n">
        <v>0</v>
      </c>
      <c r="Q162" t="n">
        <v>0</v>
      </c>
      <c r="R162" s="2" t="inlineStr"/>
    </row>
    <row r="163" ht="15" customHeight="1">
      <c r="A163" t="inlineStr">
        <is>
          <t>A 59497-2022</t>
        </is>
      </c>
      <c r="B163" s="1" t="n">
        <v>44907.48258101852</v>
      </c>
      <c r="C163" s="1" t="n">
        <v>45888</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14402-2023</t>
        </is>
      </c>
      <c r="B164" s="1" t="n">
        <v>45012</v>
      </c>
      <c r="C164" s="1" t="n">
        <v>45888</v>
      </c>
      <c r="D164" t="inlineStr">
        <is>
          <t>UPPSALA LÄN</t>
        </is>
      </c>
      <c r="E164" t="inlineStr">
        <is>
          <t>ENKÖPING</t>
        </is>
      </c>
      <c r="G164" t="n">
        <v>9.5</v>
      </c>
      <c r="H164" t="n">
        <v>0</v>
      </c>
      <c r="I164" t="n">
        <v>0</v>
      </c>
      <c r="J164" t="n">
        <v>0</v>
      </c>
      <c r="K164" t="n">
        <v>0</v>
      </c>
      <c r="L164" t="n">
        <v>0</v>
      </c>
      <c r="M164" t="n">
        <v>0</v>
      </c>
      <c r="N164" t="n">
        <v>0</v>
      </c>
      <c r="O164" t="n">
        <v>0</v>
      </c>
      <c r="P164" t="n">
        <v>0</v>
      </c>
      <c r="Q164" t="n">
        <v>0</v>
      </c>
      <c r="R164" s="2" t="inlineStr"/>
    </row>
    <row r="165" ht="15" customHeight="1">
      <c r="A165" t="inlineStr">
        <is>
          <t>A 9041-2023</t>
        </is>
      </c>
      <c r="B165" s="1" t="n">
        <v>44979</v>
      </c>
      <c r="C165" s="1" t="n">
        <v>45888</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12958-2024</t>
        </is>
      </c>
      <c r="B166" s="1" t="n">
        <v>45385</v>
      </c>
      <c r="C166" s="1" t="n">
        <v>45888</v>
      </c>
      <c r="D166" t="inlineStr">
        <is>
          <t>UPPSALA LÄN</t>
        </is>
      </c>
      <c r="E166" t="inlineStr">
        <is>
          <t>ENKÖPING</t>
        </is>
      </c>
      <c r="G166" t="n">
        <v>2.1</v>
      </c>
      <c r="H166" t="n">
        <v>0</v>
      </c>
      <c r="I166" t="n">
        <v>0</v>
      </c>
      <c r="J166" t="n">
        <v>0</v>
      </c>
      <c r="K166" t="n">
        <v>0</v>
      </c>
      <c r="L166" t="n">
        <v>0</v>
      </c>
      <c r="M166" t="n">
        <v>0</v>
      </c>
      <c r="N166" t="n">
        <v>0</v>
      </c>
      <c r="O166" t="n">
        <v>0</v>
      </c>
      <c r="P166" t="n">
        <v>0</v>
      </c>
      <c r="Q166" t="n">
        <v>0</v>
      </c>
      <c r="R166" s="2" t="inlineStr"/>
    </row>
    <row r="167" ht="15" customHeight="1">
      <c r="A167" t="inlineStr">
        <is>
          <t>A 12755-2025</t>
        </is>
      </c>
      <c r="B167" s="1" t="n">
        <v>45733.56541666666</v>
      </c>
      <c r="C167" s="1" t="n">
        <v>45888</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27983-2024</t>
        </is>
      </c>
      <c r="B168" s="1" t="n">
        <v>45476</v>
      </c>
      <c r="C168" s="1" t="n">
        <v>45888</v>
      </c>
      <c r="D168" t="inlineStr">
        <is>
          <t>UPPSALA LÄN</t>
        </is>
      </c>
      <c r="E168" t="inlineStr">
        <is>
          <t>ENKÖPING</t>
        </is>
      </c>
      <c r="G168" t="n">
        <v>3.2</v>
      </c>
      <c r="H168" t="n">
        <v>0</v>
      </c>
      <c r="I168" t="n">
        <v>0</v>
      </c>
      <c r="J168" t="n">
        <v>0</v>
      </c>
      <c r="K168" t="n">
        <v>0</v>
      </c>
      <c r="L168" t="n">
        <v>0</v>
      </c>
      <c r="M168" t="n">
        <v>0</v>
      </c>
      <c r="N168" t="n">
        <v>0</v>
      </c>
      <c r="O168" t="n">
        <v>0</v>
      </c>
      <c r="P168" t="n">
        <v>0</v>
      </c>
      <c r="Q168" t="n">
        <v>0</v>
      </c>
      <c r="R168" s="2" t="inlineStr"/>
    </row>
    <row r="169" ht="15" customHeight="1">
      <c r="A169" t="inlineStr">
        <is>
          <t>A 19298-2023</t>
        </is>
      </c>
      <c r="B169" s="1" t="n">
        <v>45048</v>
      </c>
      <c r="C169" s="1" t="n">
        <v>45888</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1651-2024</t>
        </is>
      </c>
      <c r="B170" s="1" t="n">
        <v>45306.73770833333</v>
      </c>
      <c r="C170" s="1" t="n">
        <v>45888</v>
      </c>
      <c r="D170" t="inlineStr">
        <is>
          <t>UPPSALA LÄN</t>
        </is>
      </c>
      <c r="E170" t="inlineStr">
        <is>
          <t>ENKÖPING</t>
        </is>
      </c>
      <c r="G170" t="n">
        <v>10.2</v>
      </c>
      <c r="H170" t="n">
        <v>0</v>
      </c>
      <c r="I170" t="n">
        <v>0</v>
      </c>
      <c r="J170" t="n">
        <v>0</v>
      </c>
      <c r="K170" t="n">
        <v>0</v>
      </c>
      <c r="L170" t="n">
        <v>0</v>
      </c>
      <c r="M170" t="n">
        <v>0</v>
      </c>
      <c r="N170" t="n">
        <v>0</v>
      </c>
      <c r="O170" t="n">
        <v>0</v>
      </c>
      <c r="P170" t="n">
        <v>0</v>
      </c>
      <c r="Q170" t="n">
        <v>0</v>
      </c>
      <c r="R170" s="2" t="inlineStr"/>
    </row>
    <row r="171" ht="15" customHeight="1">
      <c r="A171" t="inlineStr">
        <is>
          <t>A 6147-2021</t>
        </is>
      </c>
      <c r="B171" s="1" t="n">
        <v>44232</v>
      </c>
      <c r="C171" s="1" t="n">
        <v>45888</v>
      </c>
      <c r="D171" t="inlineStr">
        <is>
          <t>UPPSALA LÄN</t>
        </is>
      </c>
      <c r="E171" t="inlineStr">
        <is>
          <t>ENKÖPING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59027-2024</t>
        </is>
      </c>
      <c r="B172" s="1" t="n">
        <v>45636.68755787037</v>
      </c>
      <c r="C172" s="1" t="n">
        <v>45888</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53587-2024</t>
        </is>
      </c>
      <c r="B173" s="1" t="n">
        <v>45614.66953703704</v>
      </c>
      <c r="C173" s="1" t="n">
        <v>45888</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51012-2024</t>
        </is>
      </c>
      <c r="B174" s="1" t="n">
        <v>45603.39686342593</v>
      </c>
      <c r="C174" s="1" t="n">
        <v>45888</v>
      </c>
      <c r="D174" t="inlineStr">
        <is>
          <t>UPPSALA LÄN</t>
        </is>
      </c>
      <c r="E174" t="inlineStr">
        <is>
          <t>ENKÖPING</t>
        </is>
      </c>
      <c r="G174" t="n">
        <v>2.7</v>
      </c>
      <c r="H174" t="n">
        <v>0</v>
      </c>
      <c r="I174" t="n">
        <v>0</v>
      </c>
      <c r="J174" t="n">
        <v>0</v>
      </c>
      <c r="K174" t="n">
        <v>0</v>
      </c>
      <c r="L174" t="n">
        <v>0</v>
      </c>
      <c r="M174" t="n">
        <v>0</v>
      </c>
      <c r="N174" t="n">
        <v>0</v>
      </c>
      <c r="O174" t="n">
        <v>0</v>
      </c>
      <c r="P174" t="n">
        <v>0</v>
      </c>
      <c r="Q174" t="n">
        <v>0</v>
      </c>
      <c r="R174" s="2" t="inlineStr"/>
    </row>
    <row r="175" ht="15" customHeight="1">
      <c r="A175" t="inlineStr">
        <is>
          <t>A 51037-2024</t>
        </is>
      </c>
      <c r="B175" s="1" t="n">
        <v>45603.43005787037</v>
      </c>
      <c r="C175" s="1" t="n">
        <v>45888</v>
      </c>
      <c r="D175" t="inlineStr">
        <is>
          <t>UPPSALA LÄN</t>
        </is>
      </c>
      <c r="E175" t="inlineStr">
        <is>
          <t>ENKÖPING</t>
        </is>
      </c>
      <c r="G175" t="n">
        <v>5.7</v>
      </c>
      <c r="H175" t="n">
        <v>0</v>
      </c>
      <c r="I175" t="n">
        <v>0</v>
      </c>
      <c r="J175" t="n">
        <v>0</v>
      </c>
      <c r="K175" t="n">
        <v>0</v>
      </c>
      <c r="L175" t="n">
        <v>0</v>
      </c>
      <c r="M175" t="n">
        <v>0</v>
      </c>
      <c r="N175" t="n">
        <v>0</v>
      </c>
      <c r="O175" t="n">
        <v>0</v>
      </c>
      <c r="P175" t="n">
        <v>0</v>
      </c>
      <c r="Q175" t="n">
        <v>0</v>
      </c>
      <c r="R175" s="2" t="inlineStr"/>
    </row>
    <row r="176" ht="15" customHeight="1">
      <c r="A176" t="inlineStr">
        <is>
          <t>A 57940-2022</t>
        </is>
      </c>
      <c r="B176" s="1" t="n">
        <v>44900</v>
      </c>
      <c r="C176" s="1" t="n">
        <v>45888</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15939-2022</t>
        </is>
      </c>
      <c r="B177" s="1" t="n">
        <v>44664</v>
      </c>
      <c r="C177" s="1" t="n">
        <v>45888</v>
      </c>
      <c r="D177" t="inlineStr">
        <is>
          <t>UPPSALA LÄN</t>
        </is>
      </c>
      <c r="E177" t="inlineStr">
        <is>
          <t>ENKÖPING</t>
        </is>
      </c>
      <c r="G177" t="n">
        <v>2</v>
      </c>
      <c r="H177" t="n">
        <v>0</v>
      </c>
      <c r="I177" t="n">
        <v>0</v>
      </c>
      <c r="J177" t="n">
        <v>0</v>
      </c>
      <c r="K177" t="n">
        <v>0</v>
      </c>
      <c r="L177" t="n">
        <v>0</v>
      </c>
      <c r="M177" t="n">
        <v>0</v>
      </c>
      <c r="N177" t="n">
        <v>0</v>
      </c>
      <c r="O177" t="n">
        <v>0</v>
      </c>
      <c r="P177" t="n">
        <v>0</v>
      </c>
      <c r="Q177" t="n">
        <v>0</v>
      </c>
      <c r="R177" s="2" t="inlineStr"/>
    </row>
    <row r="178" ht="15" customHeight="1">
      <c r="A178" t="inlineStr">
        <is>
          <t>A 57153-2021</t>
        </is>
      </c>
      <c r="B178" s="1" t="n">
        <v>44482</v>
      </c>
      <c r="C178" s="1" t="n">
        <v>45888</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58062-2020</t>
        </is>
      </c>
      <c r="B179" s="1" t="n">
        <v>44144</v>
      </c>
      <c r="C179" s="1" t="n">
        <v>45888</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43697-2024</t>
        </is>
      </c>
      <c r="B180" s="1" t="n">
        <v>45569</v>
      </c>
      <c r="C180" s="1" t="n">
        <v>45888</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11503-2024</t>
        </is>
      </c>
      <c r="B181" s="1" t="n">
        <v>45372.68020833333</v>
      </c>
      <c r="C181" s="1" t="n">
        <v>45888</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53343-2020</t>
        </is>
      </c>
      <c r="B182" s="1" t="n">
        <v>44123.53505787037</v>
      </c>
      <c r="C182" s="1" t="n">
        <v>45888</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45283-2022</t>
        </is>
      </c>
      <c r="B183" s="1" t="n">
        <v>44844</v>
      </c>
      <c r="C183" s="1" t="n">
        <v>45888</v>
      </c>
      <c r="D183" t="inlineStr">
        <is>
          <t>UPPSALA LÄN</t>
        </is>
      </c>
      <c r="E183" t="inlineStr">
        <is>
          <t>ENKÖPING</t>
        </is>
      </c>
      <c r="G183" t="n">
        <v>5.9</v>
      </c>
      <c r="H183" t="n">
        <v>0</v>
      </c>
      <c r="I183" t="n">
        <v>0</v>
      </c>
      <c r="J183" t="n">
        <v>0</v>
      </c>
      <c r="K183" t="n">
        <v>0</v>
      </c>
      <c r="L183" t="n">
        <v>0</v>
      </c>
      <c r="M183" t="n">
        <v>0</v>
      </c>
      <c r="N183" t="n">
        <v>0</v>
      </c>
      <c r="O183" t="n">
        <v>0</v>
      </c>
      <c r="P183" t="n">
        <v>0</v>
      </c>
      <c r="Q183" t="n">
        <v>0</v>
      </c>
      <c r="R183" s="2" t="inlineStr"/>
    </row>
    <row r="184" ht="15" customHeight="1">
      <c r="A184" t="inlineStr">
        <is>
          <t>A 39115-2024</t>
        </is>
      </c>
      <c r="B184" s="1" t="n">
        <v>45548</v>
      </c>
      <c r="C184" s="1" t="n">
        <v>45888</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25334-2023</t>
        </is>
      </c>
      <c r="B185" s="1" t="n">
        <v>45083</v>
      </c>
      <c r="C185" s="1" t="n">
        <v>45888</v>
      </c>
      <c r="D185" t="inlineStr">
        <is>
          <t>UPPSALA LÄN</t>
        </is>
      </c>
      <c r="E185" t="inlineStr">
        <is>
          <t>ENKÖPING</t>
        </is>
      </c>
      <c r="G185" t="n">
        <v>0.2</v>
      </c>
      <c r="H185" t="n">
        <v>0</v>
      </c>
      <c r="I185" t="n">
        <v>0</v>
      </c>
      <c r="J185" t="n">
        <v>0</v>
      </c>
      <c r="K185" t="n">
        <v>0</v>
      </c>
      <c r="L185" t="n">
        <v>0</v>
      </c>
      <c r="M185" t="n">
        <v>0</v>
      </c>
      <c r="N185" t="n">
        <v>0</v>
      </c>
      <c r="O185" t="n">
        <v>0</v>
      </c>
      <c r="P185" t="n">
        <v>0</v>
      </c>
      <c r="Q185" t="n">
        <v>0</v>
      </c>
      <c r="R185" s="2" t="inlineStr"/>
    </row>
    <row r="186" ht="15" customHeight="1">
      <c r="A186" t="inlineStr">
        <is>
          <t>A 56837-2024</t>
        </is>
      </c>
      <c r="B186" s="1" t="n">
        <v>45628</v>
      </c>
      <c r="C186" s="1" t="n">
        <v>45888</v>
      </c>
      <c r="D186" t="inlineStr">
        <is>
          <t>UPPSALA LÄN</t>
        </is>
      </c>
      <c r="E186" t="inlineStr">
        <is>
          <t>ENKÖPING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41826-2024</t>
        </is>
      </c>
      <c r="B187" s="1" t="n">
        <v>45561</v>
      </c>
      <c r="C187" s="1" t="n">
        <v>45888</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63310-2021</t>
        </is>
      </c>
      <c r="B188" s="1" t="n">
        <v>44508</v>
      </c>
      <c r="C188" s="1" t="n">
        <v>45888</v>
      </c>
      <c r="D188" t="inlineStr">
        <is>
          <t>UPPSALA LÄN</t>
        </is>
      </c>
      <c r="E188" t="inlineStr">
        <is>
          <t>ENKÖPING</t>
        </is>
      </c>
      <c r="G188" t="n">
        <v>3.5</v>
      </c>
      <c r="H188" t="n">
        <v>0</v>
      </c>
      <c r="I188" t="n">
        <v>0</v>
      </c>
      <c r="J188" t="n">
        <v>0</v>
      </c>
      <c r="K188" t="n">
        <v>0</v>
      </c>
      <c r="L188" t="n">
        <v>0</v>
      </c>
      <c r="M188" t="n">
        <v>0</v>
      </c>
      <c r="N188" t="n">
        <v>0</v>
      </c>
      <c r="O188" t="n">
        <v>0</v>
      </c>
      <c r="P188" t="n">
        <v>0</v>
      </c>
      <c r="Q188" t="n">
        <v>0</v>
      </c>
      <c r="R188" s="2" t="inlineStr"/>
    </row>
    <row r="189" ht="15" customHeight="1">
      <c r="A189" t="inlineStr">
        <is>
          <t>A 42589-2022</t>
        </is>
      </c>
      <c r="B189" s="1" t="n">
        <v>44831</v>
      </c>
      <c r="C189" s="1" t="n">
        <v>45888</v>
      </c>
      <c r="D189" t="inlineStr">
        <is>
          <t>UPPSALA LÄN</t>
        </is>
      </c>
      <c r="E189" t="inlineStr">
        <is>
          <t>ENKÖPING</t>
        </is>
      </c>
      <c r="G189" t="n">
        <v>20</v>
      </c>
      <c r="H189" t="n">
        <v>0</v>
      </c>
      <c r="I189" t="n">
        <v>0</v>
      </c>
      <c r="J189" t="n">
        <v>0</v>
      </c>
      <c r="K189" t="n">
        <v>0</v>
      </c>
      <c r="L189" t="n">
        <v>0</v>
      </c>
      <c r="M189" t="n">
        <v>0</v>
      </c>
      <c r="N189" t="n">
        <v>0</v>
      </c>
      <c r="O189" t="n">
        <v>0</v>
      </c>
      <c r="P189" t="n">
        <v>0</v>
      </c>
      <c r="Q189" t="n">
        <v>0</v>
      </c>
      <c r="R189" s="2" t="inlineStr"/>
    </row>
    <row r="190" ht="15" customHeight="1">
      <c r="A190" t="inlineStr">
        <is>
          <t>A 840-2025</t>
        </is>
      </c>
      <c r="B190" s="1" t="n">
        <v>45665</v>
      </c>
      <c r="C190" s="1" t="n">
        <v>45888</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20440-2025</t>
        </is>
      </c>
      <c r="B191" s="1" t="n">
        <v>45775</v>
      </c>
      <c r="C191" s="1" t="n">
        <v>45888</v>
      </c>
      <c r="D191" t="inlineStr">
        <is>
          <t>UPPSALA LÄN</t>
        </is>
      </c>
      <c r="E191" t="inlineStr">
        <is>
          <t>ENKÖPING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37115-2024</t>
        </is>
      </c>
      <c r="B192" s="1" t="n">
        <v>45539</v>
      </c>
      <c r="C192" s="1" t="n">
        <v>45888</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19488-2022</t>
        </is>
      </c>
      <c r="B193" s="1" t="n">
        <v>44693</v>
      </c>
      <c r="C193" s="1" t="n">
        <v>45888</v>
      </c>
      <c r="D193" t="inlineStr">
        <is>
          <t>UPPSALA LÄN</t>
        </is>
      </c>
      <c r="E193" t="inlineStr">
        <is>
          <t>ENKÖPING</t>
        </is>
      </c>
      <c r="G193" t="n">
        <v>7.8</v>
      </c>
      <c r="H193" t="n">
        <v>0</v>
      </c>
      <c r="I193" t="n">
        <v>0</v>
      </c>
      <c r="J193" t="n">
        <v>0</v>
      </c>
      <c r="K193" t="n">
        <v>0</v>
      </c>
      <c r="L193" t="n">
        <v>0</v>
      </c>
      <c r="M193" t="n">
        <v>0</v>
      </c>
      <c r="N193" t="n">
        <v>0</v>
      </c>
      <c r="O193" t="n">
        <v>0</v>
      </c>
      <c r="P193" t="n">
        <v>0</v>
      </c>
      <c r="Q193" t="n">
        <v>0</v>
      </c>
      <c r="R193" s="2" t="inlineStr"/>
    </row>
    <row r="194" ht="15" customHeight="1">
      <c r="A194" t="inlineStr">
        <is>
          <t>A 5188-2022</t>
        </is>
      </c>
      <c r="B194" s="1" t="n">
        <v>44594.4471412037</v>
      </c>
      <c r="C194" s="1" t="n">
        <v>45888</v>
      </c>
      <c r="D194" t="inlineStr">
        <is>
          <t>UPPSALA LÄN</t>
        </is>
      </c>
      <c r="E194" t="inlineStr">
        <is>
          <t>ENKÖPING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18821-2023</t>
        </is>
      </c>
      <c r="B195" s="1" t="n">
        <v>45044.3782175926</v>
      </c>
      <c r="C195" s="1" t="n">
        <v>45888</v>
      </c>
      <c r="D195" t="inlineStr">
        <is>
          <t>UPPSALA LÄN</t>
        </is>
      </c>
      <c r="E195" t="inlineStr">
        <is>
          <t>ENKÖPING</t>
        </is>
      </c>
      <c r="G195" t="n">
        <v>6</v>
      </c>
      <c r="H195" t="n">
        <v>0</v>
      </c>
      <c r="I195" t="n">
        <v>0</v>
      </c>
      <c r="J195" t="n">
        <v>0</v>
      </c>
      <c r="K195" t="n">
        <v>0</v>
      </c>
      <c r="L195" t="n">
        <v>0</v>
      </c>
      <c r="M195" t="n">
        <v>0</v>
      </c>
      <c r="N195" t="n">
        <v>0</v>
      </c>
      <c r="O195" t="n">
        <v>0</v>
      </c>
      <c r="P195" t="n">
        <v>0</v>
      </c>
      <c r="Q195" t="n">
        <v>0</v>
      </c>
      <c r="R195" s="2" t="inlineStr"/>
    </row>
    <row r="196" ht="15" customHeight="1">
      <c r="A196" t="inlineStr">
        <is>
          <t>A 45142-2023</t>
        </is>
      </c>
      <c r="B196" s="1" t="n">
        <v>45191.4702662037</v>
      </c>
      <c r="C196" s="1" t="n">
        <v>45888</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11918-2025</t>
        </is>
      </c>
      <c r="B197" s="1" t="n">
        <v>45728.49331018519</v>
      </c>
      <c r="C197" s="1" t="n">
        <v>45888</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31622-2022</t>
        </is>
      </c>
      <c r="B198" s="1" t="n">
        <v>44775</v>
      </c>
      <c r="C198" s="1" t="n">
        <v>45888</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31242-2024</t>
        </is>
      </c>
      <c r="B199" s="1" t="n">
        <v>45503</v>
      </c>
      <c r="C199" s="1" t="n">
        <v>45888</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12102-2024</t>
        </is>
      </c>
      <c r="B200" s="1" t="n">
        <v>45377</v>
      </c>
      <c r="C200" s="1" t="n">
        <v>45888</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845-2025</t>
        </is>
      </c>
      <c r="B201" s="1" t="n">
        <v>45665</v>
      </c>
      <c r="C201" s="1" t="n">
        <v>45888</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849-2025</t>
        </is>
      </c>
      <c r="B202" s="1" t="n">
        <v>45665</v>
      </c>
      <c r="C202" s="1" t="n">
        <v>45888</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59602-2024</t>
        </is>
      </c>
      <c r="B203" s="1" t="n">
        <v>45638</v>
      </c>
      <c r="C203" s="1" t="n">
        <v>45888</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44131-2023</t>
        </is>
      </c>
      <c r="B204" s="1" t="n">
        <v>45188</v>
      </c>
      <c r="C204" s="1" t="n">
        <v>45888</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57335-2024</t>
        </is>
      </c>
      <c r="B205" s="1" t="n">
        <v>45629.63302083333</v>
      </c>
      <c r="C205" s="1" t="n">
        <v>45888</v>
      </c>
      <c r="D205" t="inlineStr">
        <is>
          <t>UPPSALA LÄN</t>
        </is>
      </c>
      <c r="E205" t="inlineStr">
        <is>
          <t>ENKÖPING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60533-2021</t>
        </is>
      </c>
      <c r="B206" s="1" t="n">
        <v>44496</v>
      </c>
      <c r="C206" s="1" t="n">
        <v>45888</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18038-2025</t>
        </is>
      </c>
      <c r="B207" s="1" t="n">
        <v>45761</v>
      </c>
      <c r="C207" s="1" t="n">
        <v>45888</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35052-2024</t>
        </is>
      </c>
      <c r="B208" s="1" t="n">
        <v>45527.6516087963</v>
      </c>
      <c r="C208" s="1" t="n">
        <v>45888</v>
      </c>
      <c r="D208" t="inlineStr">
        <is>
          <t>UPPSALA LÄN</t>
        </is>
      </c>
      <c r="E208" t="inlineStr">
        <is>
          <t>ENKÖPING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62158-2023</t>
        </is>
      </c>
      <c r="B209" s="1" t="n">
        <v>45267</v>
      </c>
      <c r="C209" s="1" t="n">
        <v>45888</v>
      </c>
      <c r="D209" t="inlineStr">
        <is>
          <t>UPPSALA LÄN</t>
        </is>
      </c>
      <c r="E209" t="inlineStr">
        <is>
          <t>ENKÖPING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60350-2022</t>
        </is>
      </c>
      <c r="B210" s="1" t="n">
        <v>44910</v>
      </c>
      <c r="C210" s="1" t="n">
        <v>45888</v>
      </c>
      <c r="D210" t="inlineStr">
        <is>
          <t>UPPSALA LÄN</t>
        </is>
      </c>
      <c r="E210" t="inlineStr">
        <is>
          <t>ENKÖPING</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51008-2024</t>
        </is>
      </c>
      <c r="B211" s="1" t="n">
        <v>45603.39041666667</v>
      </c>
      <c r="C211" s="1" t="n">
        <v>45888</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2850-2025</t>
        </is>
      </c>
      <c r="B212" s="1" t="n">
        <v>45677</v>
      </c>
      <c r="C212" s="1" t="n">
        <v>45888</v>
      </c>
      <c r="D212" t="inlineStr">
        <is>
          <t>UPPSALA LÄN</t>
        </is>
      </c>
      <c r="E212" t="inlineStr">
        <is>
          <t>ENKÖPING</t>
        </is>
      </c>
      <c r="G212" t="n">
        <v>0.3</v>
      </c>
      <c r="H212" t="n">
        <v>0</v>
      </c>
      <c r="I212" t="n">
        <v>0</v>
      </c>
      <c r="J212" t="n">
        <v>0</v>
      </c>
      <c r="K212" t="n">
        <v>0</v>
      </c>
      <c r="L212" t="n">
        <v>0</v>
      </c>
      <c r="M212" t="n">
        <v>0</v>
      </c>
      <c r="N212" t="n">
        <v>0</v>
      </c>
      <c r="O212" t="n">
        <v>0</v>
      </c>
      <c r="P212" t="n">
        <v>0</v>
      </c>
      <c r="Q212" t="n">
        <v>0</v>
      </c>
      <c r="R212" s="2" t="inlineStr"/>
    </row>
    <row r="213" ht="15" customHeight="1">
      <c r="A213" t="inlineStr">
        <is>
          <t>A 57831-2024</t>
        </is>
      </c>
      <c r="B213" s="1" t="n">
        <v>45631.39107638889</v>
      </c>
      <c r="C213" s="1" t="n">
        <v>45888</v>
      </c>
      <c r="D213" t="inlineStr">
        <is>
          <t>UPPSALA LÄN</t>
        </is>
      </c>
      <c r="E213" t="inlineStr">
        <is>
          <t>ENKÖPING</t>
        </is>
      </c>
      <c r="G213" t="n">
        <v>7.2</v>
      </c>
      <c r="H213" t="n">
        <v>0</v>
      </c>
      <c r="I213" t="n">
        <v>0</v>
      </c>
      <c r="J213" t="n">
        <v>0</v>
      </c>
      <c r="K213" t="n">
        <v>0</v>
      </c>
      <c r="L213" t="n">
        <v>0</v>
      </c>
      <c r="M213" t="n">
        <v>0</v>
      </c>
      <c r="N213" t="n">
        <v>0</v>
      </c>
      <c r="O213" t="n">
        <v>0</v>
      </c>
      <c r="P213" t="n">
        <v>0</v>
      </c>
      <c r="Q213" t="n">
        <v>0</v>
      </c>
      <c r="R213" s="2" t="inlineStr"/>
    </row>
    <row r="214" ht="15" customHeight="1">
      <c r="A214" t="inlineStr">
        <is>
          <t>A 57835-2024</t>
        </is>
      </c>
      <c r="B214" s="1" t="n">
        <v>45631.39947916667</v>
      </c>
      <c r="C214" s="1" t="n">
        <v>45888</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53208-2023</t>
        </is>
      </c>
      <c r="B215" s="1" t="n">
        <v>45226</v>
      </c>
      <c r="C215" s="1" t="n">
        <v>45888</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19013-2025</t>
        </is>
      </c>
      <c r="B216" s="1" t="n">
        <v>45764.59533564815</v>
      </c>
      <c r="C216" s="1" t="n">
        <v>45888</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27837-2025</t>
        </is>
      </c>
      <c r="B217" s="1" t="n">
        <v>45817.37207175926</v>
      </c>
      <c r="C217" s="1" t="n">
        <v>45888</v>
      </c>
      <c r="D217" t="inlineStr">
        <is>
          <t>UPPSALA LÄN</t>
        </is>
      </c>
      <c r="E217" t="inlineStr">
        <is>
          <t>ENKÖPING</t>
        </is>
      </c>
      <c r="G217" t="n">
        <v>7.3</v>
      </c>
      <c r="H217" t="n">
        <v>0</v>
      </c>
      <c r="I217" t="n">
        <v>0</v>
      </c>
      <c r="J217" t="n">
        <v>0</v>
      </c>
      <c r="K217" t="n">
        <v>0</v>
      </c>
      <c r="L217" t="n">
        <v>0</v>
      </c>
      <c r="M217" t="n">
        <v>0</v>
      </c>
      <c r="N217" t="n">
        <v>0</v>
      </c>
      <c r="O217" t="n">
        <v>0</v>
      </c>
      <c r="P217" t="n">
        <v>0</v>
      </c>
      <c r="Q217" t="n">
        <v>0</v>
      </c>
      <c r="R217" s="2" t="inlineStr"/>
    </row>
    <row r="218" ht="15" customHeight="1">
      <c r="A218" t="inlineStr">
        <is>
          <t>A 35647-2021</t>
        </is>
      </c>
      <c r="B218" s="1" t="n">
        <v>44386</v>
      </c>
      <c r="C218" s="1" t="n">
        <v>45888</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2164-2023</t>
        </is>
      </c>
      <c r="B219" s="1" t="n">
        <v>44941</v>
      </c>
      <c r="C219" s="1" t="n">
        <v>45888</v>
      </c>
      <c r="D219" t="inlineStr">
        <is>
          <t>UPPSALA LÄN</t>
        </is>
      </c>
      <c r="E219" t="inlineStr">
        <is>
          <t>ENKÖPING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10458-2022</t>
        </is>
      </c>
      <c r="B220" s="1" t="n">
        <v>44623.56711805556</v>
      </c>
      <c r="C220" s="1" t="n">
        <v>45888</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61952-2021</t>
        </is>
      </c>
      <c r="B221" s="1" t="n">
        <v>44502</v>
      </c>
      <c r="C221" s="1" t="n">
        <v>45888</v>
      </c>
      <c r="D221" t="inlineStr">
        <is>
          <t>UPPSALA LÄN</t>
        </is>
      </c>
      <c r="E221" t="inlineStr">
        <is>
          <t>ENKÖPING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44115-2024</t>
        </is>
      </c>
      <c r="B222" s="1" t="n">
        <v>45572</v>
      </c>
      <c r="C222" s="1" t="n">
        <v>45888</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9957-2023</t>
        </is>
      </c>
      <c r="B223" s="1" t="n">
        <v>44978</v>
      </c>
      <c r="C223" s="1" t="n">
        <v>45888</v>
      </c>
      <c r="D223" t="inlineStr">
        <is>
          <t>UPPSALA LÄN</t>
        </is>
      </c>
      <c r="E223" t="inlineStr">
        <is>
          <t>ENKÖPING</t>
        </is>
      </c>
      <c r="G223" t="n">
        <v>5.9</v>
      </c>
      <c r="H223" t="n">
        <v>0</v>
      </c>
      <c r="I223" t="n">
        <v>0</v>
      </c>
      <c r="J223" t="n">
        <v>0</v>
      </c>
      <c r="K223" t="n">
        <v>0</v>
      </c>
      <c r="L223" t="n">
        <v>0</v>
      </c>
      <c r="M223" t="n">
        <v>0</v>
      </c>
      <c r="N223" t="n">
        <v>0</v>
      </c>
      <c r="O223" t="n">
        <v>0</v>
      </c>
      <c r="P223" t="n">
        <v>0</v>
      </c>
      <c r="Q223" t="n">
        <v>0</v>
      </c>
      <c r="R223" s="2" t="inlineStr"/>
    </row>
    <row r="224" ht="15" customHeight="1">
      <c r="A224" t="inlineStr">
        <is>
          <t>A 63402-2023</t>
        </is>
      </c>
      <c r="B224" s="1" t="n">
        <v>45274.50646990741</v>
      </c>
      <c r="C224" s="1" t="n">
        <v>45888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22156-2025</t>
        </is>
      </c>
      <c r="B225" s="1" t="n">
        <v>45785.57512731481</v>
      </c>
      <c r="C225" s="1" t="n">
        <v>45888</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22150-2025</t>
        </is>
      </c>
      <c r="B226" s="1" t="n">
        <v>45785.56398148148</v>
      </c>
      <c r="C226" s="1" t="n">
        <v>45888</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14083-2025</t>
        </is>
      </c>
      <c r="B227" s="1" t="n">
        <v>45740</v>
      </c>
      <c r="C227" s="1" t="n">
        <v>45888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69879-2021</t>
        </is>
      </c>
      <c r="B228" s="1" t="n">
        <v>44532</v>
      </c>
      <c r="C228" s="1" t="n">
        <v>45888</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16916-2023</t>
        </is>
      </c>
      <c r="B229" s="1" t="n">
        <v>45033.58347222222</v>
      </c>
      <c r="C229" s="1" t="n">
        <v>45888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56886-2023</t>
        </is>
      </c>
      <c r="B230" s="1" t="n">
        <v>45239</v>
      </c>
      <c r="C230" s="1" t="n">
        <v>45888</v>
      </c>
      <c r="D230" t="inlineStr">
        <is>
          <t>UPPSALA LÄN</t>
        </is>
      </c>
      <c r="E230" t="inlineStr">
        <is>
          <t>ENKÖPING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45888</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30087-2024</t>
        </is>
      </c>
      <c r="B232" s="1" t="n">
        <v>45489.39447916667</v>
      </c>
      <c r="C232" s="1" t="n">
        <v>45888</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54776-2024</t>
        </is>
      </c>
      <c r="B233" s="1" t="n">
        <v>45618</v>
      </c>
      <c r="C233" s="1" t="n">
        <v>45888</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15757-2023</t>
        </is>
      </c>
      <c r="B234" s="1" t="n">
        <v>45021</v>
      </c>
      <c r="C234" s="1" t="n">
        <v>45888</v>
      </c>
      <c r="D234" t="inlineStr">
        <is>
          <t>UPPSALA LÄN</t>
        </is>
      </c>
      <c r="E234" t="inlineStr">
        <is>
          <t>ENKÖPING</t>
        </is>
      </c>
      <c r="G234" t="n">
        <v>3</v>
      </c>
      <c r="H234" t="n">
        <v>0</v>
      </c>
      <c r="I234" t="n">
        <v>0</v>
      </c>
      <c r="J234" t="n">
        <v>0</v>
      </c>
      <c r="K234" t="n">
        <v>0</v>
      </c>
      <c r="L234" t="n">
        <v>0</v>
      </c>
      <c r="M234" t="n">
        <v>0</v>
      </c>
      <c r="N234" t="n">
        <v>0</v>
      </c>
      <c r="O234" t="n">
        <v>0</v>
      </c>
      <c r="P234" t="n">
        <v>0</v>
      </c>
      <c r="Q234" t="n">
        <v>0</v>
      </c>
      <c r="R234" s="2" t="inlineStr"/>
    </row>
    <row r="235" ht="15" customHeight="1">
      <c r="A235" t="inlineStr">
        <is>
          <t>A 22729-2025</t>
        </is>
      </c>
      <c r="B235" s="1" t="n">
        <v>45789.57790509259</v>
      </c>
      <c r="C235" s="1" t="n">
        <v>45888</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14518-2025</t>
        </is>
      </c>
      <c r="B236" s="1" t="n">
        <v>45741</v>
      </c>
      <c r="C236" s="1" t="n">
        <v>45888</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22677-2025</t>
        </is>
      </c>
      <c r="B237" s="1" t="n">
        <v>45789.49515046296</v>
      </c>
      <c r="C237" s="1" t="n">
        <v>45888</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22679-2025</t>
        </is>
      </c>
      <c r="B238" s="1" t="n">
        <v>45789.49747685185</v>
      </c>
      <c r="C238" s="1" t="n">
        <v>45888</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22770-2025</t>
        </is>
      </c>
      <c r="B239" s="1" t="n">
        <v>45789.63454861111</v>
      </c>
      <c r="C239" s="1" t="n">
        <v>45888</v>
      </c>
      <c r="D239" t="inlineStr">
        <is>
          <t>UPPSALA LÄN</t>
        </is>
      </c>
      <c r="E239" t="inlineStr">
        <is>
          <t>ENKÖPING</t>
        </is>
      </c>
      <c r="G239" t="n">
        <v>4.5</v>
      </c>
      <c r="H239" t="n">
        <v>0</v>
      </c>
      <c r="I239" t="n">
        <v>0</v>
      </c>
      <c r="J239" t="n">
        <v>0</v>
      </c>
      <c r="K239" t="n">
        <v>0</v>
      </c>
      <c r="L239" t="n">
        <v>0</v>
      </c>
      <c r="M239" t="n">
        <v>0</v>
      </c>
      <c r="N239" t="n">
        <v>0</v>
      </c>
      <c r="O239" t="n">
        <v>0</v>
      </c>
      <c r="P239" t="n">
        <v>0</v>
      </c>
      <c r="Q239" t="n">
        <v>0</v>
      </c>
      <c r="R239" s="2" t="inlineStr"/>
    </row>
    <row r="240" ht="15" customHeight="1">
      <c r="A240" t="inlineStr">
        <is>
          <t>A 22800-2025</t>
        </is>
      </c>
      <c r="B240" s="1" t="n">
        <v>45789.6669212963</v>
      </c>
      <c r="C240" s="1" t="n">
        <v>45888</v>
      </c>
      <c r="D240" t="inlineStr">
        <is>
          <t>UPPSALA LÄN</t>
        </is>
      </c>
      <c r="E240" t="inlineStr">
        <is>
          <t>ENKÖPING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2161-2023</t>
        </is>
      </c>
      <c r="B241" s="1" t="n">
        <v>44941</v>
      </c>
      <c r="C241" s="1" t="n">
        <v>45888</v>
      </c>
      <c r="D241" t="inlineStr">
        <is>
          <t>UPPSALA LÄN</t>
        </is>
      </c>
      <c r="E241" t="inlineStr">
        <is>
          <t>ENKÖPING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2165-2023</t>
        </is>
      </c>
      <c r="B242" s="1" t="n">
        <v>44941</v>
      </c>
      <c r="C242" s="1" t="n">
        <v>45888</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18592-2021</t>
        </is>
      </c>
      <c r="B243" s="1" t="n">
        <v>44306</v>
      </c>
      <c r="C243" s="1" t="n">
        <v>45888</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6981-2025</t>
        </is>
      </c>
      <c r="B244" s="1" t="n">
        <v>45701</v>
      </c>
      <c r="C244" s="1" t="n">
        <v>45888</v>
      </c>
      <c r="D244" t="inlineStr">
        <is>
          <t>UPPSALA LÄN</t>
        </is>
      </c>
      <c r="E244" t="inlineStr">
        <is>
          <t>ENKÖPING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6356-2022</t>
        </is>
      </c>
      <c r="B245" s="1" t="n">
        <v>44600</v>
      </c>
      <c r="C245" s="1" t="n">
        <v>45888</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22786-2025</t>
        </is>
      </c>
      <c r="B246" s="1" t="n">
        <v>45789.64643518518</v>
      </c>
      <c r="C246" s="1" t="n">
        <v>45888</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20112-2024</t>
        </is>
      </c>
      <c r="B247" s="1" t="n">
        <v>45434</v>
      </c>
      <c r="C247" s="1" t="n">
        <v>45888</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68123-2021</t>
        </is>
      </c>
      <c r="B248" s="1" t="n">
        <v>44526.39126157408</v>
      </c>
      <c r="C248" s="1" t="n">
        <v>45888</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22632-2025</t>
        </is>
      </c>
      <c r="B249" s="1" t="n">
        <v>45789.44361111111</v>
      </c>
      <c r="C249" s="1" t="n">
        <v>45888</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22680-2025</t>
        </is>
      </c>
      <c r="B250" s="1" t="n">
        <v>45789.5005787037</v>
      </c>
      <c r="C250" s="1" t="n">
        <v>45888</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22802-2025</t>
        </is>
      </c>
      <c r="B251" s="1" t="n">
        <v>45789.6686574074</v>
      </c>
      <c r="C251" s="1" t="n">
        <v>45888</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13816-2021</t>
        </is>
      </c>
      <c r="B252" s="1" t="n">
        <v>44276</v>
      </c>
      <c r="C252" s="1" t="n">
        <v>45888</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2162-2023</t>
        </is>
      </c>
      <c r="B253" s="1" t="n">
        <v>44941</v>
      </c>
      <c r="C253" s="1" t="n">
        <v>45888</v>
      </c>
      <c r="D253" t="inlineStr">
        <is>
          <t>UPPSALA LÄN</t>
        </is>
      </c>
      <c r="E253" t="inlineStr">
        <is>
          <t>ENKÖPING</t>
        </is>
      </c>
      <c r="G253" t="n">
        <v>2.4</v>
      </c>
      <c r="H253" t="n">
        <v>0</v>
      </c>
      <c r="I253" t="n">
        <v>0</v>
      </c>
      <c r="J253" t="n">
        <v>0</v>
      </c>
      <c r="K253" t="n">
        <v>0</v>
      </c>
      <c r="L253" t="n">
        <v>0</v>
      </c>
      <c r="M253" t="n">
        <v>0</v>
      </c>
      <c r="N253" t="n">
        <v>0</v>
      </c>
      <c r="O253" t="n">
        <v>0</v>
      </c>
      <c r="P253" t="n">
        <v>0</v>
      </c>
      <c r="Q253" t="n">
        <v>0</v>
      </c>
      <c r="R253" s="2" t="inlineStr"/>
    </row>
    <row r="254" ht="15" customHeight="1">
      <c r="A254" t="inlineStr">
        <is>
          <t>A 32081-2024</t>
        </is>
      </c>
      <c r="B254" s="1" t="n">
        <v>45511.34605324074</v>
      </c>
      <c r="C254" s="1" t="n">
        <v>45888</v>
      </c>
      <c r="D254" t="inlineStr">
        <is>
          <t>UPPSALA LÄN</t>
        </is>
      </c>
      <c r="E254" t="inlineStr">
        <is>
          <t>ENKÖPING</t>
        </is>
      </c>
      <c r="G254" t="n">
        <v>5.4</v>
      </c>
      <c r="H254" t="n">
        <v>0</v>
      </c>
      <c r="I254" t="n">
        <v>0</v>
      </c>
      <c r="J254" t="n">
        <v>0</v>
      </c>
      <c r="K254" t="n">
        <v>0</v>
      </c>
      <c r="L254" t="n">
        <v>0</v>
      </c>
      <c r="M254" t="n">
        <v>0</v>
      </c>
      <c r="N254" t="n">
        <v>0</v>
      </c>
      <c r="O254" t="n">
        <v>0</v>
      </c>
      <c r="P254" t="n">
        <v>0</v>
      </c>
      <c r="Q254" t="n">
        <v>0</v>
      </c>
      <c r="R254" s="2" t="inlineStr"/>
    </row>
    <row r="255" ht="15" customHeight="1">
      <c r="A255" t="inlineStr">
        <is>
          <t>A 22793-2025</t>
        </is>
      </c>
      <c r="B255" s="1" t="n">
        <v>45789.65693287037</v>
      </c>
      <c r="C255" s="1" t="n">
        <v>45888</v>
      </c>
      <c r="D255" t="inlineStr">
        <is>
          <t>UPPSALA LÄN</t>
        </is>
      </c>
      <c r="E255" t="inlineStr">
        <is>
          <t>ENKÖPING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22795-2025</t>
        </is>
      </c>
      <c r="B256" s="1" t="n">
        <v>45789.65944444444</v>
      </c>
      <c r="C256" s="1" t="n">
        <v>45888</v>
      </c>
      <c r="D256" t="inlineStr">
        <is>
          <t>UPPSALA LÄN</t>
        </is>
      </c>
      <c r="E256" t="inlineStr">
        <is>
          <t>ENKÖPING</t>
        </is>
      </c>
      <c r="G256" t="n">
        <v>10.4</v>
      </c>
      <c r="H256" t="n">
        <v>0</v>
      </c>
      <c r="I256" t="n">
        <v>0</v>
      </c>
      <c r="J256" t="n">
        <v>0</v>
      </c>
      <c r="K256" t="n">
        <v>0</v>
      </c>
      <c r="L256" t="n">
        <v>0</v>
      </c>
      <c r="M256" t="n">
        <v>0</v>
      </c>
      <c r="N256" t="n">
        <v>0</v>
      </c>
      <c r="O256" t="n">
        <v>0</v>
      </c>
      <c r="P256" t="n">
        <v>0</v>
      </c>
      <c r="Q256" t="n">
        <v>0</v>
      </c>
      <c r="R256" s="2" t="inlineStr"/>
    </row>
    <row r="257" ht="15" customHeight="1">
      <c r="A257" t="inlineStr">
        <is>
          <t>A 22725-2025</t>
        </is>
      </c>
      <c r="B257" s="1" t="n">
        <v>45789.57371527778</v>
      </c>
      <c r="C257" s="1" t="n">
        <v>45888</v>
      </c>
      <c r="D257" t="inlineStr">
        <is>
          <t>UPPSALA LÄN</t>
        </is>
      </c>
      <c r="E257" t="inlineStr">
        <is>
          <t>ENKÖPING</t>
        </is>
      </c>
      <c r="G257" t="n">
        <v>4.8</v>
      </c>
      <c r="H257" t="n">
        <v>0</v>
      </c>
      <c r="I257" t="n">
        <v>0</v>
      </c>
      <c r="J257" t="n">
        <v>0</v>
      </c>
      <c r="K257" t="n">
        <v>0</v>
      </c>
      <c r="L257" t="n">
        <v>0</v>
      </c>
      <c r="M257" t="n">
        <v>0</v>
      </c>
      <c r="N257" t="n">
        <v>0</v>
      </c>
      <c r="O257" t="n">
        <v>0</v>
      </c>
      <c r="P257" t="n">
        <v>0</v>
      </c>
      <c r="Q257" t="n">
        <v>0</v>
      </c>
      <c r="R257" s="2" t="inlineStr"/>
    </row>
    <row r="258" ht="15" customHeight="1">
      <c r="A258" t="inlineStr">
        <is>
          <t>A 2968-2025</t>
        </is>
      </c>
      <c r="B258" s="1" t="n">
        <v>45678</v>
      </c>
      <c r="C258" s="1" t="n">
        <v>45888</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49525-2021</t>
        </is>
      </c>
      <c r="B259" s="1" t="n">
        <v>44455</v>
      </c>
      <c r="C259" s="1" t="n">
        <v>45888</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6959-2025</t>
        </is>
      </c>
      <c r="B260" s="1" t="n">
        <v>45701.49315972222</v>
      </c>
      <c r="C260" s="1" t="n">
        <v>45888</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12434-2021</t>
        </is>
      </c>
      <c r="B261" s="1" t="n">
        <v>44267</v>
      </c>
      <c r="C261" s="1" t="n">
        <v>45888</v>
      </c>
      <c r="D261" t="inlineStr">
        <is>
          <t>UPPSALA LÄN</t>
        </is>
      </c>
      <c r="E261" t="inlineStr">
        <is>
          <t>ENKÖPING</t>
        </is>
      </c>
      <c r="G261" t="n">
        <v>5.3</v>
      </c>
      <c r="H261" t="n">
        <v>0</v>
      </c>
      <c r="I261" t="n">
        <v>0</v>
      </c>
      <c r="J261" t="n">
        <v>0</v>
      </c>
      <c r="K261" t="n">
        <v>0</v>
      </c>
      <c r="L261" t="n">
        <v>0</v>
      </c>
      <c r="M261" t="n">
        <v>0</v>
      </c>
      <c r="N261" t="n">
        <v>0</v>
      </c>
      <c r="O261" t="n">
        <v>0</v>
      </c>
      <c r="P261" t="n">
        <v>0</v>
      </c>
      <c r="Q261" t="n">
        <v>0</v>
      </c>
      <c r="R261" s="2" t="inlineStr"/>
    </row>
    <row r="262" ht="15" customHeight="1">
      <c r="A262" t="inlineStr">
        <is>
          <t>A 49614-2024</t>
        </is>
      </c>
      <c r="B262" s="1" t="n">
        <v>45596.57716435185</v>
      </c>
      <c r="C262" s="1" t="n">
        <v>45888</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49632-2024</t>
        </is>
      </c>
      <c r="B263" s="1" t="n">
        <v>45596</v>
      </c>
      <c r="C263" s="1" t="n">
        <v>45888</v>
      </c>
      <c r="D263" t="inlineStr">
        <is>
          <t>UPPSALA LÄN</t>
        </is>
      </c>
      <c r="E263" t="inlineStr">
        <is>
          <t>ENKÖPING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23020-2025</t>
        </is>
      </c>
      <c r="B264" s="1" t="n">
        <v>45790.64706018518</v>
      </c>
      <c r="C264" s="1" t="n">
        <v>45888</v>
      </c>
      <c r="D264" t="inlineStr">
        <is>
          <t>UPPSALA LÄN</t>
        </is>
      </c>
      <c r="E264" t="inlineStr">
        <is>
          <t>ENKÖPING</t>
        </is>
      </c>
      <c r="G264" t="n">
        <v>5.2</v>
      </c>
      <c r="H264" t="n">
        <v>0</v>
      </c>
      <c r="I264" t="n">
        <v>0</v>
      </c>
      <c r="J264" t="n">
        <v>0</v>
      </c>
      <c r="K264" t="n">
        <v>0</v>
      </c>
      <c r="L264" t="n">
        <v>0</v>
      </c>
      <c r="M264" t="n">
        <v>0</v>
      </c>
      <c r="N264" t="n">
        <v>0</v>
      </c>
      <c r="O264" t="n">
        <v>0</v>
      </c>
      <c r="P264" t="n">
        <v>0</v>
      </c>
      <c r="Q264" t="n">
        <v>0</v>
      </c>
      <c r="R264" s="2" t="inlineStr"/>
    </row>
    <row r="265" ht="15" customHeight="1">
      <c r="A265" t="inlineStr">
        <is>
          <t>A 29479-2022</t>
        </is>
      </c>
      <c r="B265" s="1" t="n">
        <v>44753.57265046296</v>
      </c>
      <c r="C265" s="1" t="n">
        <v>45888</v>
      </c>
      <c r="D265" t="inlineStr">
        <is>
          <t>UPPSALA LÄN</t>
        </is>
      </c>
      <c r="E265" t="inlineStr">
        <is>
          <t>ENKÖPING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30437-2022</t>
        </is>
      </c>
      <c r="B266" s="1" t="n">
        <v>44761</v>
      </c>
      <c r="C266" s="1" t="n">
        <v>45888</v>
      </c>
      <c r="D266" t="inlineStr">
        <is>
          <t>UPPSALA LÄN</t>
        </is>
      </c>
      <c r="E266" t="inlineStr">
        <is>
          <t>ENKÖPING</t>
        </is>
      </c>
      <c r="G266" t="n">
        <v>3.4</v>
      </c>
      <c r="H266" t="n">
        <v>0</v>
      </c>
      <c r="I266" t="n">
        <v>0</v>
      </c>
      <c r="J266" t="n">
        <v>0</v>
      </c>
      <c r="K266" t="n">
        <v>0</v>
      </c>
      <c r="L266" t="n">
        <v>0</v>
      </c>
      <c r="M266" t="n">
        <v>0</v>
      </c>
      <c r="N266" t="n">
        <v>0</v>
      </c>
      <c r="O266" t="n">
        <v>0</v>
      </c>
      <c r="P266" t="n">
        <v>0</v>
      </c>
      <c r="Q266" t="n">
        <v>0</v>
      </c>
      <c r="R266" s="2" t="inlineStr"/>
    </row>
    <row r="267" ht="15" customHeight="1">
      <c r="A267" t="inlineStr">
        <is>
          <t>A 51011-2024</t>
        </is>
      </c>
      <c r="B267" s="1" t="n">
        <v>45603.39427083333</v>
      </c>
      <c r="C267" s="1" t="n">
        <v>45888</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26319-2022</t>
        </is>
      </c>
      <c r="B268" s="1" t="n">
        <v>44735</v>
      </c>
      <c r="C268" s="1" t="n">
        <v>45888</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22981-2025</t>
        </is>
      </c>
      <c r="B269" s="1" t="n">
        <v>45790.56964120371</v>
      </c>
      <c r="C269" s="1" t="n">
        <v>45888</v>
      </c>
      <c r="D269" t="inlineStr">
        <is>
          <t>UPPSALA LÄN</t>
        </is>
      </c>
      <c r="E269" t="inlineStr">
        <is>
          <t>ENKÖPING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29918-2023</t>
        </is>
      </c>
      <c r="B270" s="1" t="n">
        <v>45099</v>
      </c>
      <c r="C270" s="1" t="n">
        <v>45888</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45956-2024</t>
        </is>
      </c>
      <c r="B271" s="1" t="n">
        <v>45580</v>
      </c>
      <c r="C271" s="1" t="n">
        <v>45888</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10831-2024</t>
        </is>
      </c>
      <c r="B272" s="1" t="n">
        <v>45369</v>
      </c>
      <c r="C272" s="1" t="n">
        <v>45888</v>
      </c>
      <c r="D272" t="inlineStr">
        <is>
          <t>UPPSALA LÄN</t>
        </is>
      </c>
      <c r="E272" t="inlineStr">
        <is>
          <t>ENKÖPING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27538-2023</t>
        </is>
      </c>
      <c r="B273" s="1" t="n">
        <v>45097</v>
      </c>
      <c r="C273" s="1" t="n">
        <v>45888</v>
      </c>
      <c r="D273" t="inlineStr">
        <is>
          <t>UPPSALA LÄN</t>
        </is>
      </c>
      <c r="E273" t="inlineStr">
        <is>
          <t>ENKÖPING</t>
        </is>
      </c>
      <c r="G273" t="n">
        <v>5.8</v>
      </c>
      <c r="H273" t="n">
        <v>0</v>
      </c>
      <c r="I273" t="n">
        <v>0</v>
      </c>
      <c r="J273" t="n">
        <v>0</v>
      </c>
      <c r="K273" t="n">
        <v>0</v>
      </c>
      <c r="L273" t="n">
        <v>0</v>
      </c>
      <c r="M273" t="n">
        <v>0</v>
      </c>
      <c r="N273" t="n">
        <v>0</v>
      </c>
      <c r="O273" t="n">
        <v>0</v>
      </c>
      <c r="P273" t="n">
        <v>0</v>
      </c>
      <c r="Q273" t="n">
        <v>0</v>
      </c>
      <c r="R273" s="2" t="inlineStr"/>
    </row>
    <row r="274" ht="15" customHeight="1">
      <c r="A274" t="inlineStr">
        <is>
          <t>A 24291-2024</t>
        </is>
      </c>
      <c r="B274" s="1" t="n">
        <v>45457.4584837963</v>
      </c>
      <c r="C274" s="1" t="n">
        <v>45888</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15409-2025</t>
        </is>
      </c>
      <c r="B275" s="1" t="n">
        <v>45747</v>
      </c>
      <c r="C275" s="1" t="n">
        <v>45888</v>
      </c>
      <c r="D275" t="inlineStr">
        <is>
          <t>UPPSALA LÄN</t>
        </is>
      </c>
      <c r="E275" t="inlineStr">
        <is>
          <t>ENKÖPING</t>
        </is>
      </c>
      <c r="G275" t="n">
        <v>2.5</v>
      </c>
      <c r="H275" t="n">
        <v>0</v>
      </c>
      <c r="I275" t="n">
        <v>0</v>
      </c>
      <c r="J275" t="n">
        <v>0</v>
      </c>
      <c r="K275" t="n">
        <v>0</v>
      </c>
      <c r="L275" t="n">
        <v>0</v>
      </c>
      <c r="M275" t="n">
        <v>0</v>
      </c>
      <c r="N275" t="n">
        <v>0</v>
      </c>
      <c r="O275" t="n">
        <v>0</v>
      </c>
      <c r="P275" t="n">
        <v>0</v>
      </c>
      <c r="Q275" t="n">
        <v>0</v>
      </c>
      <c r="R275" s="2" t="inlineStr"/>
    </row>
    <row r="276" ht="15" customHeight="1">
      <c r="A276" t="inlineStr">
        <is>
          <t>A 60874-2023</t>
        </is>
      </c>
      <c r="B276" s="1" t="n">
        <v>45261.06280092592</v>
      </c>
      <c r="C276" s="1" t="n">
        <v>45888</v>
      </c>
      <c r="D276" t="inlineStr">
        <is>
          <t>UPPSALA LÄN</t>
        </is>
      </c>
      <c r="E276" t="inlineStr">
        <is>
          <t>ENKÖPING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8020-2022</t>
        </is>
      </c>
      <c r="B277" s="1" t="n">
        <v>44609</v>
      </c>
      <c r="C277" s="1" t="n">
        <v>45888</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74090-2021</t>
        </is>
      </c>
      <c r="B278" s="1" t="n">
        <v>44557</v>
      </c>
      <c r="C278" s="1" t="n">
        <v>45888</v>
      </c>
      <c r="D278" t="inlineStr">
        <is>
          <t>UPPSALA LÄN</t>
        </is>
      </c>
      <c r="E278" t="inlineStr">
        <is>
          <t>ENKÖPING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50394-2024</t>
        </is>
      </c>
      <c r="B279" s="1" t="n">
        <v>45600</v>
      </c>
      <c r="C279" s="1" t="n">
        <v>45888</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51010-2024</t>
        </is>
      </c>
      <c r="B280" s="1" t="n">
        <v>45603.39285879629</v>
      </c>
      <c r="C280" s="1" t="n">
        <v>45888</v>
      </c>
      <c r="D280" t="inlineStr">
        <is>
          <t>UPPSALA LÄN</t>
        </is>
      </c>
      <c r="E280" t="inlineStr">
        <is>
          <t>ENKÖPING</t>
        </is>
      </c>
      <c r="G280" t="n">
        <v>1.7</v>
      </c>
      <c r="H280" t="n">
        <v>0</v>
      </c>
      <c r="I280" t="n">
        <v>0</v>
      </c>
      <c r="J280" t="n">
        <v>0</v>
      </c>
      <c r="K280" t="n">
        <v>0</v>
      </c>
      <c r="L280" t="n">
        <v>0</v>
      </c>
      <c r="M280" t="n">
        <v>0</v>
      </c>
      <c r="N280" t="n">
        <v>0</v>
      </c>
      <c r="O280" t="n">
        <v>0</v>
      </c>
      <c r="P280" t="n">
        <v>0</v>
      </c>
      <c r="Q280" t="n">
        <v>0</v>
      </c>
      <c r="R280" s="2" t="inlineStr"/>
    </row>
    <row r="281" ht="15" customHeight="1">
      <c r="A281" t="inlineStr">
        <is>
          <t>A 43016-2021</t>
        </is>
      </c>
      <c r="B281" s="1" t="n">
        <v>44431</v>
      </c>
      <c r="C281" s="1" t="n">
        <v>45888</v>
      </c>
      <c r="D281" t="inlineStr">
        <is>
          <t>UPPSALA LÄN</t>
        </is>
      </c>
      <c r="E281" t="inlineStr">
        <is>
          <t>ENKÖPING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21017-2023</t>
        </is>
      </c>
      <c r="B282" s="1" t="n">
        <v>45061</v>
      </c>
      <c r="C282" s="1" t="n">
        <v>45888</v>
      </c>
      <c r="D282" t="inlineStr">
        <is>
          <t>UPPSALA LÄN</t>
        </is>
      </c>
      <c r="E282" t="inlineStr">
        <is>
          <t>ENKÖPING</t>
        </is>
      </c>
      <c r="G282" t="n">
        <v>4.8</v>
      </c>
      <c r="H282" t="n">
        <v>0</v>
      </c>
      <c r="I282" t="n">
        <v>0</v>
      </c>
      <c r="J282" t="n">
        <v>0</v>
      </c>
      <c r="K282" t="n">
        <v>0</v>
      </c>
      <c r="L282" t="n">
        <v>0</v>
      </c>
      <c r="M282" t="n">
        <v>0</v>
      </c>
      <c r="N282" t="n">
        <v>0</v>
      </c>
      <c r="O282" t="n">
        <v>0</v>
      </c>
      <c r="P282" t="n">
        <v>0</v>
      </c>
      <c r="Q282" t="n">
        <v>0</v>
      </c>
      <c r="R282" s="2" t="inlineStr"/>
    </row>
    <row r="283" ht="15" customHeight="1">
      <c r="A283" t="inlineStr">
        <is>
          <t>A 19147-2024</t>
        </is>
      </c>
      <c r="B283" s="1" t="n">
        <v>45428</v>
      </c>
      <c r="C283" s="1" t="n">
        <v>45888</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34805-2024</t>
        </is>
      </c>
      <c r="B284" s="1" t="n">
        <v>45526</v>
      </c>
      <c r="C284" s="1" t="n">
        <v>45888</v>
      </c>
      <c r="D284" t="inlineStr">
        <is>
          <t>UPPSALA LÄN</t>
        </is>
      </c>
      <c r="E284" t="inlineStr">
        <is>
          <t>ENKÖPING</t>
        </is>
      </c>
      <c r="G284" t="n">
        <v>3.6</v>
      </c>
      <c r="H284" t="n">
        <v>0</v>
      </c>
      <c r="I284" t="n">
        <v>0</v>
      </c>
      <c r="J284" t="n">
        <v>0</v>
      </c>
      <c r="K284" t="n">
        <v>0</v>
      </c>
      <c r="L284" t="n">
        <v>0</v>
      </c>
      <c r="M284" t="n">
        <v>0</v>
      </c>
      <c r="N284" t="n">
        <v>0</v>
      </c>
      <c r="O284" t="n">
        <v>0</v>
      </c>
      <c r="P284" t="n">
        <v>0</v>
      </c>
      <c r="Q284" t="n">
        <v>0</v>
      </c>
      <c r="R284" s="2" t="inlineStr"/>
    </row>
    <row r="285" ht="15" customHeight="1">
      <c r="A285" t="inlineStr">
        <is>
          <t>A 17729-2023</t>
        </is>
      </c>
      <c r="B285" s="1" t="n">
        <v>45037</v>
      </c>
      <c r="C285" s="1" t="n">
        <v>45888</v>
      </c>
      <c r="D285" t="inlineStr">
        <is>
          <t>UPPSALA LÄN</t>
        </is>
      </c>
      <c r="E285" t="inlineStr">
        <is>
          <t>ENKÖPING</t>
        </is>
      </c>
      <c r="G285" t="n">
        <v>10.2</v>
      </c>
      <c r="H285" t="n">
        <v>0</v>
      </c>
      <c r="I285" t="n">
        <v>0</v>
      </c>
      <c r="J285" t="n">
        <v>0</v>
      </c>
      <c r="K285" t="n">
        <v>0</v>
      </c>
      <c r="L285" t="n">
        <v>0</v>
      </c>
      <c r="M285" t="n">
        <v>0</v>
      </c>
      <c r="N285" t="n">
        <v>0</v>
      </c>
      <c r="O285" t="n">
        <v>0</v>
      </c>
      <c r="P285" t="n">
        <v>0</v>
      </c>
      <c r="Q285" t="n">
        <v>0</v>
      </c>
      <c r="R285" s="2" t="inlineStr"/>
    </row>
    <row r="286" ht="15" customHeight="1">
      <c r="A286" t="inlineStr">
        <is>
          <t>A 2833-2025</t>
        </is>
      </c>
      <c r="B286" s="1" t="n">
        <v>45677.63206018518</v>
      </c>
      <c r="C286" s="1" t="n">
        <v>45888</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57209-2024</t>
        </is>
      </c>
      <c r="B287" s="1" t="n">
        <v>45629.49311342592</v>
      </c>
      <c r="C287" s="1" t="n">
        <v>45888</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51120-2023</t>
        </is>
      </c>
      <c r="B288" s="1" t="n">
        <v>45219.3088425926</v>
      </c>
      <c r="C288" s="1" t="n">
        <v>45888</v>
      </c>
      <c r="D288" t="inlineStr">
        <is>
          <t>UPPSALA LÄN</t>
        </is>
      </c>
      <c r="E288" t="inlineStr">
        <is>
          <t>ENKÖPING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12878-2025</t>
        </is>
      </c>
      <c r="B289" s="1" t="n">
        <v>45733.68571759259</v>
      </c>
      <c r="C289" s="1" t="n">
        <v>45888</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5712-2025</t>
        </is>
      </c>
      <c r="B290" s="1" t="n">
        <v>45694</v>
      </c>
      <c r="C290" s="1" t="n">
        <v>45888</v>
      </c>
      <c r="D290" t="inlineStr">
        <is>
          <t>UPPSALA LÄN</t>
        </is>
      </c>
      <c r="E290" t="inlineStr">
        <is>
          <t>ENKÖPING</t>
        </is>
      </c>
      <c r="G290" t="n">
        <v>5.1</v>
      </c>
      <c r="H290" t="n">
        <v>0</v>
      </c>
      <c r="I290" t="n">
        <v>0</v>
      </c>
      <c r="J290" t="n">
        <v>0</v>
      </c>
      <c r="K290" t="n">
        <v>0</v>
      </c>
      <c r="L290" t="n">
        <v>0</v>
      </c>
      <c r="M290" t="n">
        <v>0</v>
      </c>
      <c r="N290" t="n">
        <v>0</v>
      </c>
      <c r="O290" t="n">
        <v>0</v>
      </c>
      <c r="P290" t="n">
        <v>0</v>
      </c>
      <c r="Q290" t="n">
        <v>0</v>
      </c>
      <c r="R290" s="2" t="inlineStr"/>
    </row>
    <row r="291" ht="15" customHeight="1">
      <c r="A291" t="inlineStr">
        <is>
          <t>A 5749-2025</t>
        </is>
      </c>
      <c r="B291" s="1" t="n">
        <v>45694</v>
      </c>
      <c r="C291" s="1" t="n">
        <v>45888</v>
      </c>
      <c r="D291" t="inlineStr">
        <is>
          <t>UPPSALA LÄN</t>
        </is>
      </c>
      <c r="E291" t="inlineStr">
        <is>
          <t>ENKÖPING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314-2025</t>
        </is>
      </c>
      <c r="B292" s="1" t="n">
        <v>45656</v>
      </c>
      <c r="C292" s="1" t="n">
        <v>45888</v>
      </c>
      <c r="D292" t="inlineStr">
        <is>
          <t>UPPSALA LÄN</t>
        </is>
      </c>
      <c r="E292" t="inlineStr">
        <is>
          <t>ENKÖPING</t>
        </is>
      </c>
      <c r="G292" t="n">
        <v>9</v>
      </c>
      <c r="H292" t="n">
        <v>0</v>
      </c>
      <c r="I292" t="n">
        <v>0</v>
      </c>
      <c r="J292" t="n">
        <v>0</v>
      </c>
      <c r="K292" t="n">
        <v>0</v>
      </c>
      <c r="L292" t="n">
        <v>0</v>
      </c>
      <c r="M292" t="n">
        <v>0</v>
      </c>
      <c r="N292" t="n">
        <v>0</v>
      </c>
      <c r="O292" t="n">
        <v>0</v>
      </c>
      <c r="P292" t="n">
        <v>0</v>
      </c>
      <c r="Q292" t="n">
        <v>0</v>
      </c>
      <c r="R292" s="2" t="inlineStr"/>
    </row>
    <row r="293" ht="15" customHeight="1">
      <c r="A293" t="inlineStr">
        <is>
          <t>A 50006-2023</t>
        </is>
      </c>
      <c r="B293" s="1" t="n">
        <v>45215</v>
      </c>
      <c r="C293" s="1" t="n">
        <v>45888</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11627-2025</t>
        </is>
      </c>
      <c r="B294" s="1" t="n">
        <v>45727</v>
      </c>
      <c r="C294" s="1" t="n">
        <v>45888</v>
      </c>
      <c r="D294" t="inlineStr">
        <is>
          <t>UPPSALA LÄN</t>
        </is>
      </c>
      <c r="E294" t="inlineStr">
        <is>
          <t>ENKÖPING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45378-2020</t>
        </is>
      </c>
      <c r="B295" s="1" t="n">
        <v>44089</v>
      </c>
      <c r="C295" s="1" t="n">
        <v>45888</v>
      </c>
      <c r="D295" t="inlineStr">
        <is>
          <t>UPPSALA LÄN</t>
        </is>
      </c>
      <c r="E295" t="inlineStr">
        <is>
          <t>ENKÖPING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43896-2022</t>
        </is>
      </c>
      <c r="B296" s="1" t="n">
        <v>44838</v>
      </c>
      <c r="C296" s="1" t="n">
        <v>45888</v>
      </c>
      <c r="D296" t="inlineStr">
        <is>
          <t>UPPSALA LÄN</t>
        </is>
      </c>
      <c r="E296" t="inlineStr">
        <is>
          <t>ENKÖPING</t>
        </is>
      </c>
      <c r="G296" t="n">
        <v>5.3</v>
      </c>
      <c r="H296" t="n">
        <v>0</v>
      </c>
      <c r="I296" t="n">
        <v>0</v>
      </c>
      <c r="J296" t="n">
        <v>0</v>
      </c>
      <c r="K296" t="n">
        <v>0</v>
      </c>
      <c r="L296" t="n">
        <v>0</v>
      </c>
      <c r="M296" t="n">
        <v>0</v>
      </c>
      <c r="N296" t="n">
        <v>0</v>
      </c>
      <c r="O296" t="n">
        <v>0</v>
      </c>
      <c r="P296" t="n">
        <v>0</v>
      </c>
      <c r="Q296" t="n">
        <v>0</v>
      </c>
      <c r="R296" s="2" t="inlineStr"/>
    </row>
    <row r="297" ht="15" customHeight="1">
      <c r="A297" t="inlineStr">
        <is>
          <t>A 56526-2022</t>
        </is>
      </c>
      <c r="B297" s="1" t="n">
        <v>44893</v>
      </c>
      <c r="C297" s="1" t="n">
        <v>45888</v>
      </c>
      <c r="D297" t="inlineStr">
        <is>
          <t>UPPSALA LÄN</t>
        </is>
      </c>
      <c r="E297" t="inlineStr">
        <is>
          <t>ENKÖPING</t>
        </is>
      </c>
      <c r="G297" t="n">
        <v>3.8</v>
      </c>
      <c r="H297" t="n">
        <v>0</v>
      </c>
      <c r="I297" t="n">
        <v>0</v>
      </c>
      <c r="J297" t="n">
        <v>0</v>
      </c>
      <c r="K297" t="n">
        <v>0</v>
      </c>
      <c r="L297" t="n">
        <v>0</v>
      </c>
      <c r="M297" t="n">
        <v>0</v>
      </c>
      <c r="N297" t="n">
        <v>0</v>
      </c>
      <c r="O297" t="n">
        <v>0</v>
      </c>
      <c r="P297" t="n">
        <v>0</v>
      </c>
      <c r="Q297" t="n">
        <v>0</v>
      </c>
      <c r="R297" s="2" t="inlineStr"/>
    </row>
    <row r="298" ht="15" customHeight="1">
      <c r="A298" t="inlineStr">
        <is>
          <t>A 39858-2024</t>
        </is>
      </c>
      <c r="B298" s="1" t="n">
        <v>45553</v>
      </c>
      <c r="C298" s="1" t="n">
        <v>45888</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4203-2021</t>
        </is>
      </c>
      <c r="B299" s="1" t="n">
        <v>44223</v>
      </c>
      <c r="C299" s="1" t="n">
        <v>45888</v>
      </c>
      <c r="D299" t="inlineStr">
        <is>
          <t>UPPSALA LÄN</t>
        </is>
      </c>
      <c r="E299" t="inlineStr">
        <is>
          <t>ENKÖPING</t>
        </is>
      </c>
      <c r="G299" t="n">
        <v>11.6</v>
      </c>
      <c r="H299" t="n">
        <v>0</v>
      </c>
      <c r="I299" t="n">
        <v>0</v>
      </c>
      <c r="J299" t="n">
        <v>0</v>
      </c>
      <c r="K299" t="n">
        <v>0</v>
      </c>
      <c r="L299" t="n">
        <v>0</v>
      </c>
      <c r="M299" t="n">
        <v>0</v>
      </c>
      <c r="N299" t="n">
        <v>0</v>
      </c>
      <c r="O299" t="n">
        <v>0</v>
      </c>
      <c r="P299" t="n">
        <v>0</v>
      </c>
      <c r="Q299" t="n">
        <v>0</v>
      </c>
      <c r="R299" s="2" t="inlineStr"/>
    </row>
    <row r="300" ht="15" customHeight="1">
      <c r="A300" t="inlineStr">
        <is>
          <t>A 60289-2022</t>
        </is>
      </c>
      <c r="B300" s="1" t="n">
        <v>44910.53026620371</v>
      </c>
      <c r="C300" s="1" t="n">
        <v>45888</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24411-2024</t>
        </is>
      </c>
      <c r="B301" s="1" t="n">
        <v>45457</v>
      </c>
      <c r="C301" s="1" t="n">
        <v>45888</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13110-2023</t>
        </is>
      </c>
      <c r="B302" s="1" t="n">
        <v>45001</v>
      </c>
      <c r="C302" s="1" t="n">
        <v>45888</v>
      </c>
      <c r="D302" t="inlineStr">
        <is>
          <t>UPPSALA LÄN</t>
        </is>
      </c>
      <c r="E302" t="inlineStr">
        <is>
          <t>ENKÖPING</t>
        </is>
      </c>
      <c r="G302" t="n">
        <v>2.5</v>
      </c>
      <c r="H302" t="n">
        <v>0</v>
      </c>
      <c r="I302" t="n">
        <v>0</v>
      </c>
      <c r="J302" t="n">
        <v>0</v>
      </c>
      <c r="K302" t="n">
        <v>0</v>
      </c>
      <c r="L302" t="n">
        <v>0</v>
      </c>
      <c r="M302" t="n">
        <v>0</v>
      </c>
      <c r="N302" t="n">
        <v>0</v>
      </c>
      <c r="O302" t="n">
        <v>0</v>
      </c>
      <c r="P302" t="n">
        <v>0</v>
      </c>
      <c r="Q302" t="n">
        <v>0</v>
      </c>
      <c r="R302" s="2" t="inlineStr"/>
    </row>
    <row r="303" ht="15" customHeight="1">
      <c r="A303" t="inlineStr">
        <is>
          <t>A 58384-2022</t>
        </is>
      </c>
      <c r="B303" s="1" t="n">
        <v>44901</v>
      </c>
      <c r="C303" s="1" t="n">
        <v>45888</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59602-2022</t>
        </is>
      </c>
      <c r="B304" s="1" t="n">
        <v>44907.72241898148</v>
      </c>
      <c r="C304" s="1" t="n">
        <v>45888</v>
      </c>
      <c r="D304" t="inlineStr">
        <is>
          <t>UPPSALA LÄN</t>
        </is>
      </c>
      <c r="E304" t="inlineStr">
        <is>
          <t>ENKÖPING</t>
        </is>
      </c>
      <c r="G304" t="n">
        <v>14.2</v>
      </c>
      <c r="H304" t="n">
        <v>0</v>
      </c>
      <c r="I304" t="n">
        <v>0</v>
      </c>
      <c r="J304" t="n">
        <v>0</v>
      </c>
      <c r="K304" t="n">
        <v>0</v>
      </c>
      <c r="L304" t="n">
        <v>0</v>
      </c>
      <c r="M304" t="n">
        <v>0</v>
      </c>
      <c r="N304" t="n">
        <v>0</v>
      </c>
      <c r="O304" t="n">
        <v>0</v>
      </c>
      <c r="P304" t="n">
        <v>0</v>
      </c>
      <c r="Q304" t="n">
        <v>0</v>
      </c>
      <c r="R304" s="2" t="inlineStr"/>
    </row>
    <row r="305" ht="15" customHeight="1">
      <c r="A305" t="inlineStr">
        <is>
          <t>A 7090-2022</t>
        </is>
      </c>
      <c r="B305" s="1" t="n">
        <v>44603.59520833333</v>
      </c>
      <c r="C305" s="1" t="n">
        <v>45888</v>
      </c>
      <c r="D305" t="inlineStr">
        <is>
          <t>UPPSALA LÄN</t>
        </is>
      </c>
      <c r="E305" t="inlineStr">
        <is>
          <t>ENKÖPING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9487-2025</t>
        </is>
      </c>
      <c r="B306" s="1" t="n">
        <v>45715.49331018519</v>
      </c>
      <c r="C306" s="1" t="n">
        <v>45888</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6144-2024</t>
        </is>
      </c>
      <c r="B307" s="1" t="n">
        <v>45337.4684837963</v>
      </c>
      <c r="C307" s="1" t="n">
        <v>45888</v>
      </c>
      <c r="D307" t="inlineStr">
        <is>
          <t>UPPSALA LÄN</t>
        </is>
      </c>
      <c r="E307" t="inlineStr">
        <is>
          <t>ENKÖPING</t>
        </is>
      </c>
      <c r="G307" t="n">
        <v>13.8</v>
      </c>
      <c r="H307" t="n">
        <v>0</v>
      </c>
      <c r="I307" t="n">
        <v>0</v>
      </c>
      <c r="J307" t="n">
        <v>0</v>
      </c>
      <c r="K307" t="n">
        <v>0</v>
      </c>
      <c r="L307" t="n">
        <v>0</v>
      </c>
      <c r="M307" t="n">
        <v>0</v>
      </c>
      <c r="N307" t="n">
        <v>0</v>
      </c>
      <c r="O307" t="n">
        <v>0</v>
      </c>
      <c r="P307" t="n">
        <v>0</v>
      </c>
      <c r="Q307" t="n">
        <v>0</v>
      </c>
      <c r="R307" s="2" t="inlineStr"/>
    </row>
    <row r="308" ht="15" customHeight="1">
      <c r="A308" t="inlineStr">
        <is>
          <t>A 33955-2024</t>
        </is>
      </c>
      <c r="B308" s="1" t="n">
        <v>45523.46952546296</v>
      </c>
      <c r="C308" s="1" t="n">
        <v>45888</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31965-2021</t>
        </is>
      </c>
      <c r="B309" s="1" t="n">
        <v>44370.56901620371</v>
      </c>
      <c r="C309" s="1" t="n">
        <v>45888</v>
      </c>
      <c r="D309" t="inlineStr">
        <is>
          <t>UPPSALA LÄN</t>
        </is>
      </c>
      <c r="E309" t="inlineStr">
        <is>
          <t>ENKÖPING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67984-2021</t>
        </is>
      </c>
      <c r="B310" s="1" t="n">
        <v>44525.70237268518</v>
      </c>
      <c r="C310" s="1" t="n">
        <v>45888</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58092-2024</t>
        </is>
      </c>
      <c r="B311" s="1" t="n">
        <v>45632</v>
      </c>
      <c r="C311" s="1" t="n">
        <v>45888</v>
      </c>
      <c r="D311" t="inlineStr">
        <is>
          <t>UPPSALA LÄN</t>
        </is>
      </c>
      <c r="E311" t="inlineStr">
        <is>
          <t>ENKÖPING</t>
        </is>
      </c>
      <c r="G311" t="n">
        <v>4.8</v>
      </c>
      <c r="H311" t="n">
        <v>0</v>
      </c>
      <c r="I311" t="n">
        <v>0</v>
      </c>
      <c r="J311" t="n">
        <v>0</v>
      </c>
      <c r="K311" t="n">
        <v>0</v>
      </c>
      <c r="L311" t="n">
        <v>0</v>
      </c>
      <c r="M311" t="n">
        <v>0</v>
      </c>
      <c r="N311" t="n">
        <v>0</v>
      </c>
      <c r="O311" t="n">
        <v>0</v>
      </c>
      <c r="P311" t="n">
        <v>0</v>
      </c>
      <c r="Q311" t="n">
        <v>0</v>
      </c>
      <c r="R311" s="2" t="inlineStr"/>
    </row>
    <row r="312" ht="15" customHeight="1">
      <c r="A312" t="inlineStr">
        <is>
          <t>A 21501-2025</t>
        </is>
      </c>
      <c r="B312" s="1" t="n">
        <v>45782</v>
      </c>
      <c r="C312" s="1" t="n">
        <v>45888</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33619-2022</t>
        </is>
      </c>
      <c r="B313" s="1" t="n">
        <v>44789</v>
      </c>
      <c r="C313" s="1" t="n">
        <v>45888</v>
      </c>
      <c r="D313" t="inlineStr">
        <is>
          <t>UPPSALA LÄN</t>
        </is>
      </c>
      <c r="E313" t="inlineStr">
        <is>
          <t>ENKÖPING</t>
        </is>
      </c>
      <c r="F313" t="inlineStr">
        <is>
          <t>Allmännings- och besparingsskogar</t>
        </is>
      </c>
      <c r="G313" t="n">
        <v>4.5</v>
      </c>
      <c r="H313" t="n">
        <v>0</v>
      </c>
      <c r="I313" t="n">
        <v>0</v>
      </c>
      <c r="J313" t="n">
        <v>0</v>
      </c>
      <c r="K313" t="n">
        <v>0</v>
      </c>
      <c r="L313" t="n">
        <v>0</v>
      </c>
      <c r="M313" t="n">
        <v>0</v>
      </c>
      <c r="N313" t="n">
        <v>0</v>
      </c>
      <c r="O313" t="n">
        <v>0</v>
      </c>
      <c r="P313" t="n">
        <v>0</v>
      </c>
      <c r="Q313" t="n">
        <v>0</v>
      </c>
      <c r="R313" s="2" t="inlineStr"/>
    </row>
    <row r="314" ht="15" customHeight="1">
      <c r="A314" t="inlineStr">
        <is>
          <t>A 26017-2025</t>
        </is>
      </c>
      <c r="B314" s="1" t="n">
        <v>45804</v>
      </c>
      <c r="C314" s="1" t="n">
        <v>45888</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26024-2025</t>
        </is>
      </c>
      <c r="B315" s="1" t="n">
        <v>45804.6831712963</v>
      </c>
      <c r="C315" s="1" t="n">
        <v>45888</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26042-2025</t>
        </is>
      </c>
      <c r="B316" s="1" t="n">
        <v>45804.70018518518</v>
      </c>
      <c r="C316" s="1" t="n">
        <v>45888</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26005-2025</t>
        </is>
      </c>
      <c r="B317" s="1" t="n">
        <v>45804.67055555555</v>
      </c>
      <c r="C317" s="1" t="n">
        <v>45888</v>
      </c>
      <c r="D317" t="inlineStr">
        <is>
          <t>UPPSALA LÄN</t>
        </is>
      </c>
      <c r="E317" t="inlineStr">
        <is>
          <t>ENKÖPING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26026-2025</t>
        </is>
      </c>
      <c r="B318" s="1" t="n">
        <v>45804.68510416667</v>
      </c>
      <c r="C318" s="1" t="n">
        <v>45888</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26030-2025</t>
        </is>
      </c>
      <c r="B319" s="1" t="n">
        <v>45804.68815972222</v>
      </c>
      <c r="C319" s="1" t="n">
        <v>45888</v>
      </c>
      <c r="D319" t="inlineStr">
        <is>
          <t>UPPSALA LÄN</t>
        </is>
      </c>
      <c r="E319" t="inlineStr">
        <is>
          <t>ENKÖPING</t>
        </is>
      </c>
      <c r="G319" t="n">
        <v>0.3</v>
      </c>
      <c r="H319" t="n">
        <v>0</v>
      </c>
      <c r="I319" t="n">
        <v>0</v>
      </c>
      <c r="J319" t="n">
        <v>0</v>
      </c>
      <c r="K319" t="n">
        <v>0</v>
      </c>
      <c r="L319" t="n">
        <v>0</v>
      </c>
      <c r="M319" t="n">
        <v>0</v>
      </c>
      <c r="N319" t="n">
        <v>0</v>
      </c>
      <c r="O319" t="n">
        <v>0</v>
      </c>
      <c r="P319" t="n">
        <v>0</v>
      </c>
      <c r="Q319" t="n">
        <v>0</v>
      </c>
      <c r="R319" s="2" t="inlineStr"/>
    </row>
    <row r="320" ht="15" customHeight="1">
      <c r="A320" t="inlineStr">
        <is>
          <t>A 26022-2025</t>
        </is>
      </c>
      <c r="B320" s="1" t="n">
        <v>45804.68006944445</v>
      </c>
      <c r="C320" s="1" t="n">
        <v>45888</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25988-2025</t>
        </is>
      </c>
      <c r="B321" s="1" t="n">
        <v>45804.64814814815</v>
      </c>
      <c r="C321" s="1" t="n">
        <v>45888</v>
      </c>
      <c r="D321" t="inlineStr">
        <is>
          <t>UPPSALA LÄN</t>
        </is>
      </c>
      <c r="E321" t="inlineStr">
        <is>
          <t>ENKÖPING</t>
        </is>
      </c>
      <c r="G321" t="n">
        <v>4.7</v>
      </c>
      <c r="H321" t="n">
        <v>0</v>
      </c>
      <c r="I321" t="n">
        <v>0</v>
      </c>
      <c r="J321" t="n">
        <v>0</v>
      </c>
      <c r="K321" t="n">
        <v>0</v>
      </c>
      <c r="L321" t="n">
        <v>0</v>
      </c>
      <c r="M321" t="n">
        <v>0</v>
      </c>
      <c r="N321" t="n">
        <v>0</v>
      </c>
      <c r="O321" t="n">
        <v>0</v>
      </c>
      <c r="P321" t="n">
        <v>0</v>
      </c>
      <c r="Q321" t="n">
        <v>0</v>
      </c>
      <c r="R321" s="2" t="inlineStr"/>
    </row>
    <row r="322" ht="15" customHeight="1">
      <c r="A322" t="inlineStr">
        <is>
          <t>A 26031-2025</t>
        </is>
      </c>
      <c r="B322" s="1" t="n">
        <v>45804.69050925926</v>
      </c>
      <c r="C322" s="1" t="n">
        <v>45888</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26011-2025</t>
        </is>
      </c>
      <c r="B323" s="1" t="n">
        <v>45804.67412037037</v>
      </c>
      <c r="C323" s="1" t="n">
        <v>45888</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26041-2025</t>
        </is>
      </c>
      <c r="B324" s="1" t="n">
        <v>45804.69883101852</v>
      </c>
      <c r="C324" s="1" t="n">
        <v>45888</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25990-2025</t>
        </is>
      </c>
      <c r="B325" s="1" t="n">
        <v>45804.65229166667</v>
      </c>
      <c r="C325" s="1" t="n">
        <v>45888</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66517-2020</t>
        </is>
      </c>
      <c r="B326" s="1" t="n">
        <v>44178</v>
      </c>
      <c r="C326" s="1" t="n">
        <v>45888</v>
      </c>
      <c r="D326" t="inlineStr">
        <is>
          <t>UPPSALA LÄN</t>
        </is>
      </c>
      <c r="E326" t="inlineStr">
        <is>
          <t>ENKÖPING</t>
        </is>
      </c>
      <c r="G326" t="n">
        <v>4</v>
      </c>
      <c r="H326" t="n">
        <v>0</v>
      </c>
      <c r="I326" t="n">
        <v>0</v>
      </c>
      <c r="J326" t="n">
        <v>0</v>
      </c>
      <c r="K326" t="n">
        <v>0</v>
      </c>
      <c r="L326" t="n">
        <v>0</v>
      </c>
      <c r="M326" t="n">
        <v>0</v>
      </c>
      <c r="N326" t="n">
        <v>0</v>
      </c>
      <c r="O326" t="n">
        <v>0</v>
      </c>
      <c r="P326" t="n">
        <v>0</v>
      </c>
      <c r="Q326" t="n">
        <v>0</v>
      </c>
      <c r="R326" s="2" t="inlineStr"/>
    </row>
    <row r="327" ht="15" customHeight="1">
      <c r="A327" t="inlineStr">
        <is>
          <t>A 10829-2024</t>
        </is>
      </c>
      <c r="B327" s="1" t="n">
        <v>45369</v>
      </c>
      <c r="C327" s="1" t="n">
        <v>45888</v>
      </c>
      <c r="D327" t="inlineStr">
        <is>
          <t>UPPSALA LÄN</t>
        </is>
      </c>
      <c r="E327" t="inlineStr">
        <is>
          <t>ENKÖPING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25847-2025</t>
        </is>
      </c>
      <c r="B328" s="1" t="n">
        <v>45804</v>
      </c>
      <c r="C328" s="1" t="n">
        <v>45888</v>
      </c>
      <c r="D328" t="inlineStr">
        <is>
          <t>UPPSALA LÄN</t>
        </is>
      </c>
      <c r="E328" t="inlineStr">
        <is>
          <t>ENKÖPING</t>
        </is>
      </c>
      <c r="G328" t="n">
        <v>3.6</v>
      </c>
      <c r="H328" t="n">
        <v>0</v>
      </c>
      <c r="I328" t="n">
        <v>0</v>
      </c>
      <c r="J328" t="n">
        <v>0</v>
      </c>
      <c r="K328" t="n">
        <v>0</v>
      </c>
      <c r="L328" t="n">
        <v>0</v>
      </c>
      <c r="M328" t="n">
        <v>0</v>
      </c>
      <c r="N328" t="n">
        <v>0</v>
      </c>
      <c r="O328" t="n">
        <v>0</v>
      </c>
      <c r="P328" t="n">
        <v>0</v>
      </c>
      <c r="Q328" t="n">
        <v>0</v>
      </c>
      <c r="R328" s="2" t="inlineStr"/>
    </row>
    <row r="329" ht="15" customHeight="1">
      <c r="A329" t="inlineStr">
        <is>
          <t>A 25989-2025</t>
        </is>
      </c>
      <c r="B329" s="1" t="n">
        <v>45804.65050925926</v>
      </c>
      <c r="C329" s="1" t="n">
        <v>45888</v>
      </c>
      <c r="D329" t="inlineStr">
        <is>
          <t>UPPSALA LÄN</t>
        </is>
      </c>
      <c r="E329" t="inlineStr">
        <is>
          <t>ENKÖPING</t>
        </is>
      </c>
      <c r="G329" t="n">
        <v>1.2</v>
      </c>
      <c r="H329" t="n">
        <v>0</v>
      </c>
      <c r="I329" t="n">
        <v>0</v>
      </c>
      <c r="J329" t="n">
        <v>0</v>
      </c>
      <c r="K329" t="n">
        <v>0</v>
      </c>
      <c r="L329" t="n">
        <v>0</v>
      </c>
      <c r="M329" t="n">
        <v>0</v>
      </c>
      <c r="N329" t="n">
        <v>0</v>
      </c>
      <c r="O329" t="n">
        <v>0</v>
      </c>
      <c r="P329" t="n">
        <v>0</v>
      </c>
      <c r="Q329" t="n">
        <v>0</v>
      </c>
      <c r="R329" s="2" t="inlineStr"/>
    </row>
    <row r="330" ht="15" customHeight="1">
      <c r="A330" t="inlineStr">
        <is>
          <t>A 26047-2025</t>
        </is>
      </c>
      <c r="B330" s="1" t="n">
        <v>45804.70835648148</v>
      </c>
      <c r="C330" s="1" t="n">
        <v>45888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67982-2021</t>
        </is>
      </c>
      <c r="B331" s="1" t="n">
        <v>44525</v>
      </c>
      <c r="C331" s="1" t="n">
        <v>45888</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16920-2023</t>
        </is>
      </c>
      <c r="B332" s="1" t="n">
        <v>45033.59030092593</v>
      </c>
      <c r="C332" s="1" t="n">
        <v>45888</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29513-2025</t>
        </is>
      </c>
      <c r="B333" s="1" t="n">
        <v>45825</v>
      </c>
      <c r="C333" s="1" t="n">
        <v>45888</v>
      </c>
      <c r="D333" t="inlineStr">
        <is>
          <t>UPPSALA LÄN</t>
        </is>
      </c>
      <c r="E333" t="inlineStr">
        <is>
          <t>ENKÖPING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51034-2024</t>
        </is>
      </c>
      <c r="B334" s="1" t="n">
        <v>45603.4262037037</v>
      </c>
      <c r="C334" s="1" t="n">
        <v>45888</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51036-2024</t>
        </is>
      </c>
      <c r="B335" s="1" t="n">
        <v>45603.42839120371</v>
      </c>
      <c r="C335" s="1" t="n">
        <v>45888</v>
      </c>
      <c r="D335" t="inlineStr">
        <is>
          <t>UPPSALA LÄN</t>
        </is>
      </c>
      <c r="E335" t="inlineStr">
        <is>
          <t>ENKÖPING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53586-2024</t>
        </is>
      </c>
      <c r="B336" s="1" t="n">
        <v>45614</v>
      </c>
      <c r="C336" s="1" t="n">
        <v>45888</v>
      </c>
      <c r="D336" t="inlineStr">
        <is>
          <t>UPPSALA LÄN</t>
        </is>
      </c>
      <c r="E336" t="inlineStr">
        <is>
          <t>ENKÖPING</t>
        </is>
      </c>
      <c r="G336" t="n">
        <v>6.6</v>
      </c>
      <c r="H336" t="n">
        <v>0</v>
      </c>
      <c r="I336" t="n">
        <v>0</v>
      </c>
      <c r="J336" t="n">
        <v>0</v>
      </c>
      <c r="K336" t="n">
        <v>0</v>
      </c>
      <c r="L336" t="n">
        <v>0</v>
      </c>
      <c r="M336" t="n">
        <v>0</v>
      </c>
      <c r="N336" t="n">
        <v>0</v>
      </c>
      <c r="O336" t="n">
        <v>0</v>
      </c>
      <c r="P336" t="n">
        <v>0</v>
      </c>
      <c r="Q336" t="n">
        <v>0</v>
      </c>
      <c r="R336" s="2" t="inlineStr"/>
    </row>
    <row r="337" ht="15" customHeight="1">
      <c r="A337" t="inlineStr">
        <is>
          <t>A 55876-2024</t>
        </is>
      </c>
      <c r="B337" s="1" t="n">
        <v>45623.5546412037</v>
      </c>
      <c r="C337" s="1" t="n">
        <v>45888</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35067-2024</t>
        </is>
      </c>
      <c r="B338" s="1" t="n">
        <v>45527.66153935185</v>
      </c>
      <c r="C338" s="1" t="n">
        <v>45888</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43506-2023</t>
        </is>
      </c>
      <c r="B339" s="1" t="n">
        <v>45181</v>
      </c>
      <c r="C339" s="1" t="n">
        <v>45888</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46186-2023</t>
        </is>
      </c>
      <c r="B340" s="1" t="n">
        <v>45196</v>
      </c>
      <c r="C340" s="1" t="n">
        <v>45888</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44473.58824074074</v>
      </c>
      <c r="C341" s="1" t="n">
        <v>45888</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54588-2024</t>
        </is>
      </c>
      <c r="B342" s="1" t="n">
        <v>45617</v>
      </c>
      <c r="C342" s="1" t="n">
        <v>45888</v>
      </c>
      <c r="D342" t="inlineStr">
        <is>
          <t>UPPSALA LÄN</t>
        </is>
      </c>
      <c r="E342" t="inlineStr">
        <is>
          <t>ENKÖPING</t>
        </is>
      </c>
      <c r="G342" t="n">
        <v>3.7</v>
      </c>
      <c r="H342" t="n">
        <v>0</v>
      </c>
      <c r="I342" t="n">
        <v>0</v>
      </c>
      <c r="J342" t="n">
        <v>0</v>
      </c>
      <c r="K342" t="n">
        <v>0</v>
      </c>
      <c r="L342" t="n">
        <v>0</v>
      </c>
      <c r="M342" t="n">
        <v>0</v>
      </c>
      <c r="N342" t="n">
        <v>0</v>
      </c>
      <c r="O342" t="n">
        <v>0</v>
      </c>
      <c r="P342" t="n">
        <v>0</v>
      </c>
      <c r="Q342" t="n">
        <v>0</v>
      </c>
      <c r="R342" s="2" t="inlineStr"/>
    </row>
    <row r="343" ht="15" customHeight="1">
      <c r="A343" t="inlineStr">
        <is>
          <t>A 11005-2023</t>
        </is>
      </c>
      <c r="B343" s="1" t="n">
        <v>44991</v>
      </c>
      <c r="C343" s="1" t="n">
        <v>45888</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17844-2025</t>
        </is>
      </c>
      <c r="B344" s="1" t="n">
        <v>45758.59920138889</v>
      </c>
      <c r="C344" s="1" t="n">
        <v>45888</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47428-2023</t>
        </is>
      </c>
      <c r="B345" s="1" t="n">
        <v>45202.66664351852</v>
      </c>
      <c r="C345" s="1" t="n">
        <v>45888</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5892-2023</t>
        </is>
      </c>
      <c r="B346" s="1" t="n">
        <v>44963.64883101852</v>
      </c>
      <c r="C346" s="1" t="n">
        <v>45888</v>
      </c>
      <c r="D346" t="inlineStr">
        <is>
          <t>UPPSALA LÄN</t>
        </is>
      </c>
      <c r="E346" t="inlineStr">
        <is>
          <t>ENKÖPING</t>
        </is>
      </c>
      <c r="G346" t="n">
        <v>5.5</v>
      </c>
      <c r="H346" t="n">
        <v>0</v>
      </c>
      <c r="I346" t="n">
        <v>0</v>
      </c>
      <c r="J346" t="n">
        <v>0</v>
      </c>
      <c r="K346" t="n">
        <v>0</v>
      </c>
      <c r="L346" t="n">
        <v>0</v>
      </c>
      <c r="M346" t="n">
        <v>0</v>
      </c>
      <c r="N346" t="n">
        <v>0</v>
      </c>
      <c r="O346" t="n">
        <v>0</v>
      </c>
      <c r="P346" t="n">
        <v>0</v>
      </c>
      <c r="Q346" t="n">
        <v>0</v>
      </c>
      <c r="R346" s="2" t="inlineStr"/>
    </row>
    <row r="347" ht="15" customHeight="1">
      <c r="A347" t="inlineStr">
        <is>
          <t>A 12572-2021</t>
        </is>
      </c>
      <c r="B347" s="1" t="n">
        <v>44270.36438657407</v>
      </c>
      <c r="C347" s="1" t="n">
        <v>45888</v>
      </c>
      <c r="D347" t="inlineStr">
        <is>
          <t>UPPSALA LÄN</t>
        </is>
      </c>
      <c r="E347" t="inlineStr">
        <is>
          <t>ENKÖPING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49625-2024</t>
        </is>
      </c>
      <c r="B348" s="1" t="n">
        <v>45596.5891087963</v>
      </c>
      <c r="C348" s="1" t="n">
        <v>45888</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671-2022</t>
        </is>
      </c>
      <c r="B349" s="1" t="n">
        <v>44568</v>
      </c>
      <c r="C349" s="1" t="n">
        <v>45888</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57142-2021</t>
        </is>
      </c>
      <c r="B350" s="1" t="n">
        <v>44482</v>
      </c>
      <c r="C350" s="1" t="n">
        <v>45888</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45888</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43488-2023</t>
        </is>
      </c>
      <c r="B352" s="1" t="n">
        <v>45181</v>
      </c>
      <c r="C352" s="1" t="n">
        <v>45888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7868-2024</t>
        </is>
      </c>
      <c r="B353" s="1" t="n">
        <v>45350.33020833333</v>
      </c>
      <c r="C353" s="1" t="n">
        <v>45888</v>
      </c>
      <c r="D353" t="inlineStr">
        <is>
          <t>UPPSALA LÄN</t>
        </is>
      </c>
      <c r="E353" t="inlineStr">
        <is>
          <t>ENKÖPING</t>
        </is>
      </c>
      <c r="G353" t="n">
        <v>0.3</v>
      </c>
      <c r="H353" t="n">
        <v>0</v>
      </c>
      <c r="I353" t="n">
        <v>0</v>
      </c>
      <c r="J353" t="n">
        <v>0</v>
      </c>
      <c r="K353" t="n">
        <v>0</v>
      </c>
      <c r="L353" t="n">
        <v>0</v>
      </c>
      <c r="M353" t="n">
        <v>0</v>
      </c>
      <c r="N353" t="n">
        <v>0</v>
      </c>
      <c r="O353" t="n">
        <v>0</v>
      </c>
      <c r="P353" t="n">
        <v>0</v>
      </c>
      <c r="Q353" t="n">
        <v>0</v>
      </c>
      <c r="R353" s="2" t="inlineStr"/>
    </row>
    <row r="354" ht="15" customHeight="1">
      <c r="A354" t="inlineStr">
        <is>
          <t>A 7870-2024</t>
        </is>
      </c>
      <c r="B354" s="1" t="n">
        <v>45350.33349537037</v>
      </c>
      <c r="C354" s="1" t="n">
        <v>45888</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9231-2023</t>
        </is>
      </c>
      <c r="B355" s="1" t="n">
        <v>44980</v>
      </c>
      <c r="C355" s="1" t="n">
        <v>45888</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9171-2024</t>
        </is>
      </c>
      <c r="B356" s="1" t="n">
        <v>45358</v>
      </c>
      <c r="C356" s="1" t="n">
        <v>45888</v>
      </c>
      <c r="D356" t="inlineStr">
        <is>
          <t>UPPSALA LÄN</t>
        </is>
      </c>
      <c r="E356" t="inlineStr">
        <is>
          <t>ENKÖPING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27829-2025</t>
        </is>
      </c>
      <c r="B357" s="1" t="n">
        <v>45817</v>
      </c>
      <c r="C357" s="1" t="n">
        <v>45888</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16916-2022</t>
        </is>
      </c>
      <c r="B358" s="1" t="n">
        <v>44676</v>
      </c>
      <c r="C358" s="1" t="n">
        <v>45888</v>
      </c>
      <c r="D358" t="inlineStr">
        <is>
          <t>UPPSALA LÄN</t>
        </is>
      </c>
      <c r="E358" t="inlineStr">
        <is>
          <t>ENKÖPING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43230-2023</t>
        </is>
      </c>
      <c r="B359" s="1" t="n">
        <v>45183</v>
      </c>
      <c r="C359" s="1" t="n">
        <v>45888</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45362-2022</t>
        </is>
      </c>
      <c r="B360" s="1" t="n">
        <v>44844.62366898148</v>
      </c>
      <c r="C360" s="1" t="n">
        <v>45888</v>
      </c>
      <c r="D360" t="inlineStr">
        <is>
          <t>UPPSALA LÄN</t>
        </is>
      </c>
      <c r="E360" t="inlineStr">
        <is>
          <t>ENKÖPING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72840-2021</t>
        </is>
      </c>
      <c r="B361" s="1" t="n">
        <v>44547</v>
      </c>
      <c r="C361" s="1" t="n">
        <v>45888</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34990-2025</t>
        </is>
      </c>
      <c r="B362" s="1" t="n">
        <v>45849.78916666667</v>
      </c>
      <c r="C362" s="1" t="n">
        <v>45888</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30514-2021</t>
        </is>
      </c>
      <c r="B363" s="1" t="n">
        <v>44364</v>
      </c>
      <c r="C363" s="1" t="n">
        <v>45888</v>
      </c>
      <c r="D363" t="inlineStr">
        <is>
          <t>UPPSALA LÄN</t>
        </is>
      </c>
      <c r="E363" t="inlineStr">
        <is>
          <t>ENKÖPING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31604-2023</t>
        </is>
      </c>
      <c r="B364" s="1" t="n">
        <v>45117.50368055556</v>
      </c>
      <c r="C364" s="1" t="n">
        <v>45888</v>
      </c>
      <c r="D364" t="inlineStr">
        <is>
          <t>UPPSALA LÄN</t>
        </is>
      </c>
      <c r="E364" t="inlineStr">
        <is>
          <t>ENKÖPING</t>
        </is>
      </c>
      <c r="G364" t="n">
        <v>3.5</v>
      </c>
      <c r="H364" t="n">
        <v>0</v>
      </c>
      <c r="I364" t="n">
        <v>0</v>
      </c>
      <c r="J364" t="n">
        <v>0</v>
      </c>
      <c r="K364" t="n">
        <v>0</v>
      </c>
      <c r="L364" t="n">
        <v>0</v>
      </c>
      <c r="M364" t="n">
        <v>0</v>
      </c>
      <c r="N364" t="n">
        <v>0</v>
      </c>
      <c r="O364" t="n">
        <v>0</v>
      </c>
      <c r="P364" t="n">
        <v>0</v>
      </c>
      <c r="Q364" t="n">
        <v>0</v>
      </c>
      <c r="R364" s="2" t="inlineStr"/>
    </row>
    <row r="365" ht="15" customHeight="1">
      <c r="A365" t="inlineStr">
        <is>
          <t>A 25598-2021</t>
        </is>
      </c>
      <c r="B365" s="1" t="n">
        <v>44343.4558912037</v>
      </c>
      <c r="C365" s="1" t="n">
        <v>45888</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15162-2025</t>
        </is>
      </c>
      <c r="B366" s="1" t="n">
        <v>45744</v>
      </c>
      <c r="C366" s="1" t="n">
        <v>45888</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39009-2024</t>
        </is>
      </c>
      <c r="B367" s="1" t="n">
        <v>45548</v>
      </c>
      <c r="C367" s="1" t="n">
        <v>45888</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8537-2025</t>
        </is>
      </c>
      <c r="B368" s="1" t="n">
        <v>45709</v>
      </c>
      <c r="C368" s="1" t="n">
        <v>45888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28758-2025</t>
        </is>
      </c>
      <c r="B369" s="1" t="n">
        <v>45820.41212962963</v>
      </c>
      <c r="C369" s="1" t="n">
        <v>45888</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28862-2025</t>
        </is>
      </c>
      <c r="B370" s="1" t="n">
        <v>45820.59189814814</v>
      </c>
      <c r="C370" s="1" t="n">
        <v>45888</v>
      </c>
      <c r="D370" t="inlineStr">
        <is>
          <t>UPPSALA LÄN</t>
        </is>
      </c>
      <c r="E370" t="inlineStr">
        <is>
          <t>ENKÖPING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28855-2025</t>
        </is>
      </c>
      <c r="B371" s="1" t="n">
        <v>45820.58274305556</v>
      </c>
      <c r="C371" s="1" t="n">
        <v>45888</v>
      </c>
      <c r="D371" t="inlineStr">
        <is>
          <t>UPPSALA LÄN</t>
        </is>
      </c>
      <c r="E371" t="inlineStr">
        <is>
          <t>ENKÖPING</t>
        </is>
      </c>
      <c r="G371" t="n">
        <v>2.4</v>
      </c>
      <c r="H371" t="n">
        <v>0</v>
      </c>
      <c r="I371" t="n">
        <v>0</v>
      </c>
      <c r="J371" t="n">
        <v>0</v>
      </c>
      <c r="K371" t="n">
        <v>0</v>
      </c>
      <c r="L371" t="n">
        <v>0</v>
      </c>
      <c r="M371" t="n">
        <v>0</v>
      </c>
      <c r="N371" t="n">
        <v>0</v>
      </c>
      <c r="O371" t="n">
        <v>0</v>
      </c>
      <c r="P371" t="n">
        <v>0</v>
      </c>
      <c r="Q371" t="n">
        <v>0</v>
      </c>
      <c r="R371" s="2" t="inlineStr"/>
    </row>
    <row r="372" ht="15" customHeight="1">
      <c r="A372" t="inlineStr">
        <is>
          <t>A 34988-2025</t>
        </is>
      </c>
      <c r="B372" s="1" t="n">
        <v>45849</v>
      </c>
      <c r="C372" s="1" t="n">
        <v>45888</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49637-2024</t>
        </is>
      </c>
      <c r="B373" s="1" t="n">
        <v>45596.59831018518</v>
      </c>
      <c r="C373" s="1" t="n">
        <v>45888</v>
      </c>
      <c r="D373" t="inlineStr">
        <is>
          <t>UPPSALA LÄN</t>
        </is>
      </c>
      <c r="E373" t="inlineStr">
        <is>
          <t>ENKÖPING</t>
        </is>
      </c>
      <c r="G373" t="n">
        <v>4.9</v>
      </c>
      <c r="H373" t="n">
        <v>0</v>
      </c>
      <c r="I373" t="n">
        <v>0</v>
      </c>
      <c r="J373" t="n">
        <v>0</v>
      </c>
      <c r="K373" t="n">
        <v>0</v>
      </c>
      <c r="L373" t="n">
        <v>0</v>
      </c>
      <c r="M373" t="n">
        <v>0</v>
      </c>
      <c r="N373" t="n">
        <v>0</v>
      </c>
      <c r="O373" t="n">
        <v>0</v>
      </c>
      <c r="P373" t="n">
        <v>0</v>
      </c>
      <c r="Q373" t="n">
        <v>0</v>
      </c>
      <c r="R373" s="2" t="inlineStr"/>
    </row>
    <row r="374" ht="15" customHeight="1">
      <c r="A374" t="inlineStr">
        <is>
          <t>A 29093-2025</t>
        </is>
      </c>
      <c r="B374" s="1" t="n">
        <v>45821.55743055556</v>
      </c>
      <c r="C374" s="1" t="n">
        <v>45888</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34987-2025</t>
        </is>
      </c>
      <c r="B375" s="1" t="n">
        <v>45849</v>
      </c>
      <c r="C375" s="1" t="n">
        <v>45888</v>
      </c>
      <c r="D375" t="inlineStr">
        <is>
          <t>UPPSALA LÄN</t>
        </is>
      </c>
      <c r="E375" t="inlineStr">
        <is>
          <t>ENKÖPING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34989-2025</t>
        </is>
      </c>
      <c r="B376" s="1" t="n">
        <v>45849</v>
      </c>
      <c r="C376" s="1" t="n">
        <v>45888</v>
      </c>
      <c r="D376" t="inlineStr">
        <is>
          <t>UPPSALA LÄN</t>
        </is>
      </c>
      <c r="E376" t="inlineStr">
        <is>
          <t>ENKÖPING</t>
        </is>
      </c>
      <c r="G376" t="n">
        <v>2.4</v>
      </c>
      <c r="H376" t="n">
        <v>0</v>
      </c>
      <c r="I376" t="n">
        <v>0</v>
      </c>
      <c r="J376" t="n">
        <v>0</v>
      </c>
      <c r="K376" t="n">
        <v>0</v>
      </c>
      <c r="L376" t="n">
        <v>0</v>
      </c>
      <c r="M376" t="n">
        <v>0</v>
      </c>
      <c r="N376" t="n">
        <v>0</v>
      </c>
      <c r="O376" t="n">
        <v>0</v>
      </c>
      <c r="P376" t="n">
        <v>0</v>
      </c>
      <c r="Q376" t="n">
        <v>0</v>
      </c>
      <c r="R376" s="2" t="inlineStr"/>
    </row>
    <row r="377" ht="15" customHeight="1">
      <c r="A377" t="inlineStr">
        <is>
          <t>A 49622-2024</t>
        </is>
      </c>
      <c r="B377" s="1" t="n">
        <v>45596.58372685185</v>
      </c>
      <c r="C377" s="1" t="n">
        <v>45888</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29477-2025</t>
        </is>
      </c>
      <c r="B378" s="1" t="n">
        <v>45824.71537037037</v>
      </c>
      <c r="C378" s="1" t="n">
        <v>45888</v>
      </c>
      <c r="D378" t="inlineStr">
        <is>
          <t>UPPSALA LÄN</t>
        </is>
      </c>
      <c r="E378" t="inlineStr">
        <is>
          <t>ENKÖPING</t>
        </is>
      </c>
      <c r="G378" t="n">
        <v>13.4</v>
      </c>
      <c r="H378" t="n">
        <v>0</v>
      </c>
      <c r="I378" t="n">
        <v>0</v>
      </c>
      <c r="J378" t="n">
        <v>0</v>
      </c>
      <c r="K378" t="n">
        <v>0</v>
      </c>
      <c r="L378" t="n">
        <v>0</v>
      </c>
      <c r="M378" t="n">
        <v>0</v>
      </c>
      <c r="N378" t="n">
        <v>0</v>
      </c>
      <c r="O378" t="n">
        <v>0</v>
      </c>
      <c r="P378" t="n">
        <v>0</v>
      </c>
      <c r="Q378" t="n">
        <v>0</v>
      </c>
      <c r="R378" s="2" t="inlineStr"/>
    </row>
    <row r="379" ht="15" customHeight="1">
      <c r="A379" t="inlineStr">
        <is>
          <t>A 52388-2024</t>
        </is>
      </c>
      <c r="B379" s="1" t="n">
        <v>45609.42939814815</v>
      </c>
      <c r="C379" s="1" t="n">
        <v>45888</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34617-2022</t>
        </is>
      </c>
      <c r="B380" s="1" t="n">
        <v>44795</v>
      </c>
      <c r="C380" s="1" t="n">
        <v>45888</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44575.56153935185</v>
      </c>
      <c r="C381" s="1" t="n">
        <v>45888</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18583-2021</t>
        </is>
      </c>
      <c r="B382" s="1" t="n">
        <v>44306</v>
      </c>
      <c r="C382" s="1" t="n">
        <v>45888</v>
      </c>
      <c r="D382" t="inlineStr">
        <is>
          <t>UPPSALA LÄN</t>
        </is>
      </c>
      <c r="E382" t="inlineStr">
        <is>
          <t>ENKÖPING</t>
        </is>
      </c>
      <c r="G382" t="n">
        <v>0.4</v>
      </c>
      <c r="H382" t="n">
        <v>0</v>
      </c>
      <c r="I382" t="n">
        <v>0</v>
      </c>
      <c r="J382" t="n">
        <v>0</v>
      </c>
      <c r="K382" t="n">
        <v>0</v>
      </c>
      <c r="L382" t="n">
        <v>0</v>
      </c>
      <c r="M382" t="n">
        <v>0</v>
      </c>
      <c r="N382" t="n">
        <v>0</v>
      </c>
      <c r="O382" t="n">
        <v>0</v>
      </c>
      <c r="P382" t="n">
        <v>0</v>
      </c>
      <c r="Q382" t="n">
        <v>0</v>
      </c>
      <c r="R382" s="2" t="inlineStr"/>
    </row>
    <row r="383" ht="15" customHeight="1">
      <c r="A383" t="inlineStr">
        <is>
          <t>A 53607-2023</t>
        </is>
      </c>
      <c r="B383" s="1" t="n">
        <v>45230</v>
      </c>
      <c r="C383" s="1" t="n">
        <v>45888</v>
      </c>
      <c r="D383" t="inlineStr">
        <is>
          <t>UPPSALA LÄN</t>
        </is>
      </c>
      <c r="E383" t="inlineStr">
        <is>
          <t>ENKÖPING</t>
        </is>
      </c>
      <c r="F383" t="inlineStr">
        <is>
          <t>Allmännings- och besparingsskogar</t>
        </is>
      </c>
      <c r="G383" t="n">
        <v>6.3</v>
      </c>
      <c r="H383" t="n">
        <v>0</v>
      </c>
      <c r="I383" t="n">
        <v>0</v>
      </c>
      <c r="J383" t="n">
        <v>0</v>
      </c>
      <c r="K383" t="n">
        <v>0</v>
      </c>
      <c r="L383" t="n">
        <v>0</v>
      </c>
      <c r="M383" t="n">
        <v>0</v>
      </c>
      <c r="N383" t="n">
        <v>0</v>
      </c>
      <c r="O383" t="n">
        <v>0</v>
      </c>
      <c r="P383" t="n">
        <v>0</v>
      </c>
      <c r="Q383" t="n">
        <v>0</v>
      </c>
      <c r="R383" s="2" t="inlineStr"/>
    </row>
    <row r="384" ht="15" customHeight="1">
      <c r="A384" t="inlineStr">
        <is>
          <t>A 1695-2025</t>
        </is>
      </c>
      <c r="B384" s="1" t="n">
        <v>45670</v>
      </c>
      <c r="C384" s="1" t="n">
        <v>45888</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40202-2024</t>
        </is>
      </c>
      <c r="B385" s="1" t="n">
        <v>45554</v>
      </c>
      <c r="C385" s="1" t="n">
        <v>45888</v>
      </c>
      <c r="D385" t="inlineStr">
        <is>
          <t>UPPSALA LÄN</t>
        </is>
      </c>
      <c r="E385" t="inlineStr">
        <is>
          <t>ENKÖPING</t>
        </is>
      </c>
      <c r="G385" t="n">
        <v>6.2</v>
      </c>
      <c r="H385" t="n">
        <v>0</v>
      </c>
      <c r="I385" t="n">
        <v>0</v>
      </c>
      <c r="J385" t="n">
        <v>0</v>
      </c>
      <c r="K385" t="n">
        <v>0</v>
      </c>
      <c r="L385" t="n">
        <v>0</v>
      </c>
      <c r="M385" t="n">
        <v>0</v>
      </c>
      <c r="N385" t="n">
        <v>0</v>
      </c>
      <c r="O385" t="n">
        <v>0</v>
      </c>
      <c r="P385" t="n">
        <v>0</v>
      </c>
      <c r="Q385" t="n">
        <v>0</v>
      </c>
      <c r="R385" s="2" t="inlineStr"/>
    </row>
    <row r="386" ht="15" customHeight="1">
      <c r="A386" t="inlineStr">
        <is>
          <t>A 54357-2023</t>
        </is>
      </c>
      <c r="B386" s="1" t="n">
        <v>45225</v>
      </c>
      <c r="C386" s="1" t="n">
        <v>45888</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8306-2021</t>
        </is>
      </c>
      <c r="B387" s="1" t="n">
        <v>44244</v>
      </c>
      <c r="C387" s="1" t="n">
        <v>45888</v>
      </c>
      <c r="D387" t="inlineStr">
        <is>
          <t>UPPSALA LÄN</t>
        </is>
      </c>
      <c r="E387" t="inlineStr">
        <is>
          <t>ENKÖPING</t>
        </is>
      </c>
      <c r="G387" t="n">
        <v>14.9</v>
      </c>
      <c r="H387" t="n">
        <v>0</v>
      </c>
      <c r="I387" t="n">
        <v>0</v>
      </c>
      <c r="J387" t="n">
        <v>0</v>
      </c>
      <c r="K387" t="n">
        <v>0</v>
      </c>
      <c r="L387" t="n">
        <v>0</v>
      </c>
      <c r="M387" t="n">
        <v>0</v>
      </c>
      <c r="N387" t="n">
        <v>0</v>
      </c>
      <c r="O387" t="n">
        <v>0</v>
      </c>
      <c r="P387" t="n">
        <v>0</v>
      </c>
      <c r="Q387" t="n">
        <v>0</v>
      </c>
      <c r="R387" s="2" t="inlineStr"/>
    </row>
    <row r="388" ht="15" customHeight="1">
      <c r="A388" t="inlineStr">
        <is>
          <t>A 24962-2023</t>
        </is>
      </c>
      <c r="B388" s="1" t="n">
        <v>45085.60123842592</v>
      </c>
      <c r="C388" s="1" t="n">
        <v>45888</v>
      </c>
      <c r="D388" t="inlineStr">
        <is>
          <t>UPPSALA LÄN</t>
        </is>
      </c>
      <c r="E388" t="inlineStr">
        <is>
          <t>ENKÖPING</t>
        </is>
      </c>
      <c r="G388" t="n">
        <v>2.8</v>
      </c>
      <c r="H388" t="n">
        <v>0</v>
      </c>
      <c r="I388" t="n">
        <v>0</v>
      </c>
      <c r="J388" t="n">
        <v>0</v>
      </c>
      <c r="K388" t="n">
        <v>0</v>
      </c>
      <c r="L388" t="n">
        <v>0</v>
      </c>
      <c r="M388" t="n">
        <v>0</v>
      </c>
      <c r="N388" t="n">
        <v>0</v>
      </c>
      <c r="O388" t="n">
        <v>0</v>
      </c>
      <c r="P388" t="n">
        <v>0</v>
      </c>
      <c r="Q388" t="n">
        <v>0</v>
      </c>
      <c r="R388" s="2" t="inlineStr"/>
    </row>
    <row r="389" ht="15" customHeight="1">
      <c r="A389" t="inlineStr">
        <is>
          <t>A 67765-2020</t>
        </is>
      </c>
      <c r="B389" s="1" t="n">
        <v>44182</v>
      </c>
      <c r="C389" s="1" t="n">
        <v>45888</v>
      </c>
      <c r="D389" t="inlineStr">
        <is>
          <t>UPPSALA LÄN</t>
        </is>
      </c>
      <c r="E389" t="inlineStr">
        <is>
          <t>ENKÖPING</t>
        </is>
      </c>
      <c r="G389" t="n">
        <v>3.6</v>
      </c>
      <c r="H389" t="n">
        <v>0</v>
      </c>
      <c r="I389" t="n">
        <v>0</v>
      </c>
      <c r="J389" t="n">
        <v>0</v>
      </c>
      <c r="K389" t="n">
        <v>0</v>
      </c>
      <c r="L389" t="n">
        <v>0</v>
      </c>
      <c r="M389" t="n">
        <v>0</v>
      </c>
      <c r="N389" t="n">
        <v>0</v>
      </c>
      <c r="O389" t="n">
        <v>0</v>
      </c>
      <c r="P389" t="n">
        <v>0</v>
      </c>
      <c r="Q389" t="n">
        <v>0</v>
      </c>
      <c r="R389" s="2" t="inlineStr"/>
    </row>
    <row r="390" ht="15" customHeight="1">
      <c r="A390" t="inlineStr">
        <is>
          <t>A 53149-2020</t>
        </is>
      </c>
      <c r="B390" s="1" t="n">
        <v>44120</v>
      </c>
      <c r="C390" s="1" t="n">
        <v>45888</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6298-2021</t>
        </is>
      </c>
      <c r="B391" s="1" t="n">
        <v>44235</v>
      </c>
      <c r="C391" s="1" t="n">
        <v>45888</v>
      </c>
      <c r="D391" t="inlineStr">
        <is>
          <t>UPPSALA LÄN</t>
        </is>
      </c>
      <c r="E391" t="inlineStr">
        <is>
          <t>ENKÖPING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57152-2021</t>
        </is>
      </c>
      <c r="B392" s="1" t="n">
        <v>44482</v>
      </c>
      <c r="C392" s="1" t="n">
        <v>45888</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58961-2024</t>
        </is>
      </c>
      <c r="B393" s="1" t="n">
        <v>45636.585</v>
      </c>
      <c r="C393" s="1" t="n">
        <v>45888</v>
      </c>
      <c r="D393" t="inlineStr">
        <is>
          <t>UPPSALA LÄN</t>
        </is>
      </c>
      <c r="E393" t="inlineStr">
        <is>
          <t>ENKÖPING</t>
        </is>
      </c>
      <c r="G393" t="n">
        <v>4</v>
      </c>
      <c r="H393" t="n">
        <v>0</v>
      </c>
      <c r="I393" t="n">
        <v>0</v>
      </c>
      <c r="J393" t="n">
        <v>0</v>
      </c>
      <c r="K393" t="n">
        <v>0</v>
      </c>
      <c r="L393" t="n">
        <v>0</v>
      </c>
      <c r="M393" t="n">
        <v>0</v>
      </c>
      <c r="N393" t="n">
        <v>0</v>
      </c>
      <c r="O393" t="n">
        <v>0</v>
      </c>
      <c r="P393" t="n">
        <v>0</v>
      </c>
      <c r="Q393" t="n">
        <v>0</v>
      </c>
      <c r="R393" s="2" t="inlineStr"/>
    </row>
    <row r="394" ht="15" customHeight="1">
      <c r="A394" t="inlineStr">
        <is>
          <t>A 36350-2025</t>
        </is>
      </c>
      <c r="B394" s="1" t="n">
        <v>45868</v>
      </c>
      <c r="C394" s="1" t="n">
        <v>45888</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36492-2025</t>
        </is>
      </c>
      <c r="B395" s="1" t="n">
        <v>45869</v>
      </c>
      <c r="C395" s="1" t="n">
        <v>45888</v>
      </c>
      <c r="D395" t="inlineStr">
        <is>
          <t>UPPSALA LÄN</t>
        </is>
      </c>
      <c r="E395" t="inlineStr">
        <is>
          <t>ENKÖPING</t>
        </is>
      </c>
      <c r="G395" t="n">
        <v>6.3</v>
      </c>
      <c r="H395" t="n">
        <v>0</v>
      </c>
      <c r="I395" t="n">
        <v>0</v>
      </c>
      <c r="J395" t="n">
        <v>0</v>
      </c>
      <c r="K395" t="n">
        <v>0</v>
      </c>
      <c r="L395" t="n">
        <v>0</v>
      </c>
      <c r="M395" t="n">
        <v>0</v>
      </c>
      <c r="N395" t="n">
        <v>0</v>
      </c>
      <c r="O395" t="n">
        <v>0</v>
      </c>
      <c r="P395" t="n">
        <v>0</v>
      </c>
      <c r="Q395" t="n">
        <v>0</v>
      </c>
      <c r="R395" s="2" t="inlineStr"/>
    </row>
    <row r="396" ht="15" customHeight="1">
      <c r="A396" t="inlineStr">
        <is>
          <t>A 36368-2025</t>
        </is>
      </c>
      <c r="B396" s="1" t="n">
        <v>45868</v>
      </c>
      <c r="C396" s="1" t="n">
        <v>45888</v>
      </c>
      <c r="D396" t="inlineStr">
        <is>
          <t>UPPSALA LÄN</t>
        </is>
      </c>
      <c r="E396" t="inlineStr">
        <is>
          <t>ENKÖPING</t>
        </is>
      </c>
      <c r="G396" t="n">
        <v>2.6</v>
      </c>
      <c r="H396" t="n">
        <v>0</v>
      </c>
      <c r="I396" t="n">
        <v>0</v>
      </c>
      <c r="J396" t="n">
        <v>0</v>
      </c>
      <c r="K396" t="n">
        <v>0</v>
      </c>
      <c r="L396" t="n">
        <v>0</v>
      </c>
      <c r="M396" t="n">
        <v>0</v>
      </c>
      <c r="N396" t="n">
        <v>0</v>
      </c>
      <c r="O396" t="n">
        <v>0</v>
      </c>
      <c r="P396" t="n">
        <v>0</v>
      </c>
      <c r="Q396" t="n">
        <v>0</v>
      </c>
      <c r="R396" s="2" t="inlineStr"/>
    </row>
    <row r="397" ht="15" customHeight="1">
      <c r="A397" t="inlineStr">
        <is>
          <t>A 53595-2023</t>
        </is>
      </c>
      <c r="B397" s="1" t="n">
        <v>45223</v>
      </c>
      <c r="C397" s="1" t="n">
        <v>45888</v>
      </c>
      <c r="D397" t="inlineStr">
        <is>
          <t>UPPSALA LÄN</t>
        </is>
      </c>
      <c r="E397" t="inlineStr">
        <is>
          <t>ENKÖPING</t>
        </is>
      </c>
      <c r="G397" t="n">
        <v>2.6</v>
      </c>
      <c r="H397" t="n">
        <v>0</v>
      </c>
      <c r="I397" t="n">
        <v>0</v>
      </c>
      <c r="J397" t="n">
        <v>0</v>
      </c>
      <c r="K397" t="n">
        <v>0</v>
      </c>
      <c r="L397" t="n">
        <v>0</v>
      </c>
      <c r="M397" t="n">
        <v>0</v>
      </c>
      <c r="N397" t="n">
        <v>0</v>
      </c>
      <c r="O397" t="n">
        <v>0</v>
      </c>
      <c r="P397" t="n">
        <v>0</v>
      </c>
      <c r="Q397" t="n">
        <v>0</v>
      </c>
      <c r="R397" s="2" t="inlineStr"/>
    </row>
    <row r="398" ht="15" customHeight="1">
      <c r="A398" t="inlineStr">
        <is>
          <t>A 36599-2025</t>
        </is>
      </c>
      <c r="B398" s="1" t="n">
        <v>45870.51723379629</v>
      </c>
      <c r="C398" s="1" t="n">
        <v>45888</v>
      </c>
      <c r="D398" t="inlineStr">
        <is>
          <t>UPPSALA LÄN</t>
        </is>
      </c>
      <c r="E398" t="inlineStr">
        <is>
          <t>ENKÖPING</t>
        </is>
      </c>
      <c r="G398" t="n">
        <v>5.9</v>
      </c>
      <c r="H398" t="n">
        <v>0</v>
      </c>
      <c r="I398" t="n">
        <v>0</v>
      </c>
      <c r="J398" t="n">
        <v>0</v>
      </c>
      <c r="K398" t="n">
        <v>0</v>
      </c>
      <c r="L398" t="n">
        <v>0</v>
      </c>
      <c r="M398" t="n">
        <v>0</v>
      </c>
      <c r="N398" t="n">
        <v>0</v>
      </c>
      <c r="O398" t="n">
        <v>0</v>
      </c>
      <c r="P398" t="n">
        <v>0</v>
      </c>
      <c r="Q398" t="n">
        <v>0</v>
      </c>
      <c r="R398" s="2" t="inlineStr"/>
    </row>
    <row r="399" ht="15" customHeight="1">
      <c r="A399" t="inlineStr">
        <is>
          <t>A 34124-2021</t>
        </is>
      </c>
      <c r="B399" s="1" t="n">
        <v>44379</v>
      </c>
      <c r="C399" s="1" t="n">
        <v>45888</v>
      </c>
      <c r="D399" t="inlineStr">
        <is>
          <t>UPPSALA LÄN</t>
        </is>
      </c>
      <c r="E399" t="inlineStr">
        <is>
          <t>ENKÖPING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28518-2024</t>
        </is>
      </c>
      <c r="B400" s="1" t="n">
        <v>45477</v>
      </c>
      <c r="C400" s="1" t="n">
        <v>45888</v>
      </c>
      <c r="D400" t="inlineStr">
        <is>
          <t>UPPSALA LÄN</t>
        </is>
      </c>
      <c r="E400" t="inlineStr">
        <is>
          <t>ENKÖPING</t>
        </is>
      </c>
      <c r="G400" t="n">
        <v>3.4</v>
      </c>
      <c r="H400" t="n">
        <v>0</v>
      </c>
      <c r="I400" t="n">
        <v>0</v>
      </c>
      <c r="J400" t="n">
        <v>0</v>
      </c>
      <c r="K400" t="n">
        <v>0</v>
      </c>
      <c r="L400" t="n">
        <v>0</v>
      </c>
      <c r="M400" t="n">
        <v>0</v>
      </c>
      <c r="N400" t="n">
        <v>0</v>
      </c>
      <c r="O400" t="n">
        <v>0</v>
      </c>
      <c r="P400" t="n">
        <v>0</v>
      </c>
      <c r="Q400" t="n">
        <v>0</v>
      </c>
      <c r="R400" s="2" t="inlineStr"/>
    </row>
    <row r="401" ht="15" customHeight="1">
      <c r="A401" t="inlineStr">
        <is>
          <t>A 30837-2025</t>
        </is>
      </c>
      <c r="B401" s="1" t="n">
        <v>45831.7063425926</v>
      </c>
      <c r="C401" s="1" t="n">
        <v>45888</v>
      </c>
      <c r="D401" t="inlineStr">
        <is>
          <t>UPPSALA LÄN</t>
        </is>
      </c>
      <c r="E401" t="inlineStr">
        <is>
          <t>ENKÖPING</t>
        </is>
      </c>
      <c r="G401" t="n">
        <v>3.8</v>
      </c>
      <c r="H401" t="n">
        <v>0</v>
      </c>
      <c r="I401" t="n">
        <v>0</v>
      </c>
      <c r="J401" t="n">
        <v>0</v>
      </c>
      <c r="K401" t="n">
        <v>0</v>
      </c>
      <c r="L401" t="n">
        <v>0</v>
      </c>
      <c r="M401" t="n">
        <v>0</v>
      </c>
      <c r="N401" t="n">
        <v>0</v>
      </c>
      <c r="O401" t="n">
        <v>0</v>
      </c>
      <c r="P401" t="n">
        <v>0</v>
      </c>
      <c r="Q401" t="n">
        <v>0</v>
      </c>
      <c r="R401" s="2" t="inlineStr"/>
    </row>
    <row r="402" ht="15" customHeight="1">
      <c r="A402" t="inlineStr">
        <is>
          <t>A 52299-2023</t>
        </is>
      </c>
      <c r="B402" s="1" t="n">
        <v>45224.61636574074</v>
      </c>
      <c r="C402" s="1" t="n">
        <v>45888</v>
      </c>
      <c r="D402" t="inlineStr">
        <is>
          <t>UPPSALA LÄN</t>
        </is>
      </c>
      <c r="E402" t="inlineStr">
        <is>
          <t>ENKÖPING</t>
        </is>
      </c>
      <c r="G402" t="n">
        <v>2.2</v>
      </c>
      <c r="H402" t="n">
        <v>0</v>
      </c>
      <c r="I402" t="n">
        <v>0</v>
      </c>
      <c r="J402" t="n">
        <v>0</v>
      </c>
      <c r="K402" t="n">
        <v>0</v>
      </c>
      <c r="L402" t="n">
        <v>0</v>
      </c>
      <c r="M402" t="n">
        <v>0</v>
      </c>
      <c r="N402" t="n">
        <v>0</v>
      </c>
      <c r="O402" t="n">
        <v>0</v>
      </c>
      <c r="P402" t="n">
        <v>0</v>
      </c>
      <c r="Q402" t="n">
        <v>0</v>
      </c>
      <c r="R402" s="2" t="inlineStr"/>
    </row>
    <row r="403" ht="15" customHeight="1">
      <c r="A403" t="inlineStr">
        <is>
          <t>A 15893-2024</t>
        </is>
      </c>
      <c r="B403" s="1" t="n">
        <v>45405</v>
      </c>
      <c r="C403" s="1" t="n">
        <v>45888</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30634-2022</t>
        </is>
      </c>
      <c r="B404" s="1" t="n">
        <v>44763.45711805556</v>
      </c>
      <c r="C404" s="1" t="n">
        <v>45888</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18028-2023</t>
        </is>
      </c>
      <c r="B405" s="1" t="n">
        <v>45040</v>
      </c>
      <c r="C405" s="1" t="n">
        <v>45888</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18259-2025</t>
        </is>
      </c>
      <c r="B406" s="1" t="n">
        <v>45762</v>
      </c>
      <c r="C406" s="1" t="n">
        <v>45888</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14004-2023</t>
        </is>
      </c>
      <c r="B407" s="1" t="n">
        <v>45008</v>
      </c>
      <c r="C407" s="1" t="n">
        <v>45888</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37319-2025</t>
        </is>
      </c>
      <c r="B408" s="1" t="n">
        <v>45876.62100694444</v>
      </c>
      <c r="C408" s="1" t="n">
        <v>45888</v>
      </c>
      <c r="D408" t="inlineStr">
        <is>
          <t>UPPSALA LÄN</t>
        </is>
      </c>
      <c r="E408" t="inlineStr">
        <is>
          <t>ENKÖPING</t>
        </is>
      </c>
      <c r="G408" t="n">
        <v>9.5</v>
      </c>
      <c r="H408" t="n">
        <v>0</v>
      </c>
      <c r="I408" t="n">
        <v>0</v>
      </c>
      <c r="J408" t="n">
        <v>0</v>
      </c>
      <c r="K408" t="n">
        <v>0</v>
      </c>
      <c r="L408" t="n">
        <v>0</v>
      </c>
      <c r="M408" t="n">
        <v>0</v>
      </c>
      <c r="N408" t="n">
        <v>0</v>
      </c>
      <c r="O408" t="n">
        <v>0</v>
      </c>
      <c r="P408" t="n">
        <v>0</v>
      </c>
      <c r="Q408" t="n">
        <v>0</v>
      </c>
      <c r="R408" s="2" t="inlineStr"/>
    </row>
    <row r="409" ht="15" customHeight="1">
      <c r="A409" t="inlineStr">
        <is>
          <t>A 32111-2025</t>
        </is>
      </c>
      <c r="B409" s="1" t="n">
        <v>45835</v>
      </c>
      <c r="C409" s="1" t="n">
        <v>45888</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52005-2024</t>
        </is>
      </c>
      <c r="B410" s="1" t="n">
        <v>45607.7627662037</v>
      </c>
      <c r="C410" s="1" t="n">
        <v>45888</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1960-2022</t>
        </is>
      </c>
      <c r="B411" s="1" t="n">
        <v>44575</v>
      </c>
      <c r="C411" s="1" t="n">
        <v>45888</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32031-2025</t>
        </is>
      </c>
      <c r="B412" s="1" t="n">
        <v>45835.41712962963</v>
      </c>
      <c r="C412" s="1" t="n">
        <v>45888</v>
      </c>
      <c r="D412" t="inlineStr">
        <is>
          <t>UPPSALA LÄN</t>
        </is>
      </c>
      <c r="E412" t="inlineStr">
        <is>
          <t>ENKÖPING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6157-2021</t>
        </is>
      </c>
      <c r="B413" s="1" t="n">
        <v>44232</v>
      </c>
      <c r="C413" s="1" t="n">
        <v>45888</v>
      </c>
      <c r="D413" t="inlineStr">
        <is>
          <t>UPPSALA LÄN</t>
        </is>
      </c>
      <c r="E413" t="inlineStr">
        <is>
          <t>ENKÖPING</t>
        </is>
      </c>
      <c r="G413" t="n">
        <v>3.9</v>
      </c>
      <c r="H413" t="n">
        <v>0</v>
      </c>
      <c r="I413" t="n">
        <v>0</v>
      </c>
      <c r="J413" t="n">
        <v>0</v>
      </c>
      <c r="K413" t="n">
        <v>0</v>
      </c>
      <c r="L413" t="n">
        <v>0</v>
      </c>
      <c r="M413" t="n">
        <v>0</v>
      </c>
      <c r="N413" t="n">
        <v>0</v>
      </c>
      <c r="O413" t="n">
        <v>0</v>
      </c>
      <c r="P413" t="n">
        <v>0</v>
      </c>
      <c r="Q413" t="n">
        <v>0</v>
      </c>
      <c r="R413" s="2" t="inlineStr"/>
    </row>
    <row r="414" ht="15" customHeight="1">
      <c r="A414" t="inlineStr">
        <is>
          <t>A 48843-2023</t>
        </is>
      </c>
      <c r="B414" s="1" t="n">
        <v>45209</v>
      </c>
      <c r="C414" s="1" t="n">
        <v>45888</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33670-2024</t>
        </is>
      </c>
      <c r="B415" s="1" t="n">
        <v>45520</v>
      </c>
      <c r="C415" s="1" t="n">
        <v>45888</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37296-2025</t>
        </is>
      </c>
      <c r="B416" s="1" t="n">
        <v>45876.56584490741</v>
      </c>
      <c r="C416" s="1" t="n">
        <v>45888</v>
      </c>
      <c r="D416" t="inlineStr">
        <is>
          <t>UPPSALA LÄN</t>
        </is>
      </c>
      <c r="E416" t="inlineStr">
        <is>
          <t>ENKÖPING</t>
        </is>
      </c>
      <c r="G416" t="n">
        <v>9.5</v>
      </c>
      <c r="H416" t="n">
        <v>0</v>
      </c>
      <c r="I416" t="n">
        <v>0</v>
      </c>
      <c r="J416" t="n">
        <v>0</v>
      </c>
      <c r="K416" t="n">
        <v>0</v>
      </c>
      <c r="L416" t="n">
        <v>0</v>
      </c>
      <c r="M416" t="n">
        <v>0</v>
      </c>
      <c r="N416" t="n">
        <v>0</v>
      </c>
      <c r="O416" t="n">
        <v>0</v>
      </c>
      <c r="P416" t="n">
        <v>0</v>
      </c>
      <c r="Q416" t="n">
        <v>0</v>
      </c>
      <c r="R416" s="2" t="inlineStr"/>
    </row>
    <row r="417" ht="15" customHeight="1">
      <c r="A417" t="inlineStr">
        <is>
          <t>A 37498-2025</t>
        </is>
      </c>
      <c r="B417" s="1" t="n">
        <v>45877</v>
      </c>
      <c r="C417" s="1" t="n">
        <v>45888</v>
      </c>
      <c r="D417" t="inlineStr">
        <is>
          <t>UPPSALA LÄN</t>
        </is>
      </c>
      <c r="E417" t="inlineStr">
        <is>
          <t>ENKÖPING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19376-2024</t>
        </is>
      </c>
      <c r="B418" s="1" t="n">
        <v>45429</v>
      </c>
      <c r="C418" s="1" t="n">
        <v>45888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49623-2024</t>
        </is>
      </c>
      <c r="B419" s="1" t="n">
        <v>45596</v>
      </c>
      <c r="C419" s="1" t="n">
        <v>45888</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49627-2024</t>
        </is>
      </c>
      <c r="B420" s="1" t="n">
        <v>45596.59140046296</v>
      </c>
      <c r="C420" s="1" t="n">
        <v>45888</v>
      </c>
      <c r="D420" t="inlineStr">
        <is>
          <t>UPPSALA LÄN</t>
        </is>
      </c>
      <c r="E420" t="inlineStr">
        <is>
          <t>ENKÖPING</t>
        </is>
      </c>
      <c r="G420" t="n">
        <v>0.4</v>
      </c>
      <c r="H420" t="n">
        <v>0</v>
      </c>
      <c r="I420" t="n">
        <v>0</v>
      </c>
      <c r="J420" t="n">
        <v>0</v>
      </c>
      <c r="K420" t="n">
        <v>0</v>
      </c>
      <c r="L420" t="n">
        <v>0</v>
      </c>
      <c r="M420" t="n">
        <v>0</v>
      </c>
      <c r="N420" t="n">
        <v>0</v>
      </c>
      <c r="O420" t="n">
        <v>0</v>
      </c>
      <c r="P420" t="n">
        <v>0</v>
      </c>
      <c r="Q420" t="n">
        <v>0</v>
      </c>
      <c r="R420" s="2" t="inlineStr"/>
    </row>
    <row r="421" ht="15" customHeight="1">
      <c r="A421" t="inlineStr">
        <is>
          <t>A 57998-2024</t>
        </is>
      </c>
      <c r="B421" s="1" t="n">
        <v>45631</v>
      </c>
      <c r="C421" s="1" t="n">
        <v>45888</v>
      </c>
      <c r="D421" t="inlineStr">
        <is>
          <t>UPPSALA LÄN</t>
        </is>
      </c>
      <c r="E421" t="inlineStr">
        <is>
          <t>ENKÖPING</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9667-2024</t>
        </is>
      </c>
      <c r="B422" s="1" t="n">
        <v>45362.45130787037</v>
      </c>
      <c r="C422" s="1" t="n">
        <v>45888</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35645-2021</t>
        </is>
      </c>
      <c r="B423" s="1" t="n">
        <v>44386.42</v>
      </c>
      <c r="C423" s="1" t="n">
        <v>45888</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32477-2025</t>
        </is>
      </c>
      <c r="B424" s="1" t="n">
        <v>45838.43098379629</v>
      </c>
      <c r="C424" s="1" t="n">
        <v>45888</v>
      </c>
      <c r="D424" t="inlineStr">
        <is>
          <t>UPPSALA LÄN</t>
        </is>
      </c>
      <c r="E424" t="inlineStr">
        <is>
          <t>ENKÖPING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61711-2020</t>
        </is>
      </c>
      <c r="B425" s="1" t="n">
        <v>44158</v>
      </c>
      <c r="C425" s="1" t="n">
        <v>45888</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12020-2024</t>
        </is>
      </c>
      <c r="B426" s="1" t="n">
        <v>45377</v>
      </c>
      <c r="C426" s="1" t="n">
        <v>45888</v>
      </c>
      <c r="D426" t="inlineStr">
        <is>
          <t>UPPSALA LÄN</t>
        </is>
      </c>
      <c r="E426" t="inlineStr">
        <is>
          <t>ENKÖPING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15740-2025</t>
        </is>
      </c>
      <c r="B427" s="1" t="n">
        <v>45748</v>
      </c>
      <c r="C427" s="1" t="n">
        <v>45888</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10465-2022</t>
        </is>
      </c>
      <c r="B428" s="1" t="n">
        <v>44623</v>
      </c>
      <c r="C428" s="1" t="n">
        <v>45888</v>
      </c>
      <c r="D428" t="inlineStr">
        <is>
          <t>UPPSALA LÄN</t>
        </is>
      </c>
      <c r="E428" t="inlineStr">
        <is>
          <t>ENKÖPING</t>
        </is>
      </c>
      <c r="G428" t="n">
        <v>1.7</v>
      </c>
      <c r="H428" t="n">
        <v>0</v>
      </c>
      <c r="I428" t="n">
        <v>0</v>
      </c>
      <c r="J428" t="n">
        <v>0</v>
      </c>
      <c r="K428" t="n">
        <v>0</v>
      </c>
      <c r="L428" t="n">
        <v>0</v>
      </c>
      <c r="M428" t="n">
        <v>0</v>
      </c>
      <c r="N428" t="n">
        <v>0</v>
      </c>
      <c r="O428" t="n">
        <v>0</v>
      </c>
      <c r="P428" t="n">
        <v>0</v>
      </c>
      <c r="Q428" t="n">
        <v>0</v>
      </c>
      <c r="R428" s="2" t="inlineStr"/>
    </row>
    <row r="429" ht="15" customHeight="1">
      <c r="A429" t="inlineStr">
        <is>
          <t>A 14332-2024</t>
        </is>
      </c>
      <c r="B429" s="1" t="n">
        <v>45393</v>
      </c>
      <c r="C429" s="1" t="n">
        <v>45888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15711-2025</t>
        </is>
      </c>
      <c r="B430" s="1" t="n">
        <v>45748</v>
      </c>
      <c r="C430" s="1" t="n">
        <v>45888</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61207-2023</t>
        </is>
      </c>
      <c r="B431" s="1" t="n">
        <v>45264.39444444444</v>
      </c>
      <c r="C431" s="1" t="n">
        <v>45888</v>
      </c>
      <c r="D431" t="inlineStr">
        <is>
          <t>UPPSALA LÄN</t>
        </is>
      </c>
      <c r="E431" t="inlineStr">
        <is>
          <t>ENKÖPING</t>
        </is>
      </c>
      <c r="G431" t="n">
        <v>10.8</v>
      </c>
      <c r="H431" t="n">
        <v>0</v>
      </c>
      <c r="I431" t="n">
        <v>0</v>
      </c>
      <c r="J431" t="n">
        <v>0</v>
      </c>
      <c r="K431" t="n">
        <v>0</v>
      </c>
      <c r="L431" t="n">
        <v>0</v>
      </c>
      <c r="M431" t="n">
        <v>0</v>
      </c>
      <c r="N431" t="n">
        <v>0</v>
      </c>
      <c r="O431" t="n">
        <v>0</v>
      </c>
      <c r="P431" t="n">
        <v>0</v>
      </c>
      <c r="Q431" t="n">
        <v>0</v>
      </c>
      <c r="R431" s="2" t="inlineStr"/>
    </row>
    <row r="432" ht="15" customHeight="1">
      <c r="A432" t="inlineStr">
        <is>
          <t>A 28318-2024</t>
        </is>
      </c>
      <c r="B432" s="1" t="n">
        <v>45477</v>
      </c>
      <c r="C432" s="1" t="n">
        <v>45888</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69344-2021</t>
        </is>
      </c>
      <c r="B433" s="1" t="n">
        <v>44531</v>
      </c>
      <c r="C433" s="1" t="n">
        <v>45888</v>
      </c>
      <c r="D433" t="inlineStr">
        <is>
          <t>UPPSALA LÄN</t>
        </is>
      </c>
      <c r="E433" t="inlineStr">
        <is>
          <t>ENKÖPING</t>
        </is>
      </c>
      <c r="G433" t="n">
        <v>2.9</v>
      </c>
      <c r="H433" t="n">
        <v>0</v>
      </c>
      <c r="I433" t="n">
        <v>0</v>
      </c>
      <c r="J433" t="n">
        <v>0</v>
      </c>
      <c r="K433" t="n">
        <v>0</v>
      </c>
      <c r="L433" t="n">
        <v>0</v>
      </c>
      <c r="M433" t="n">
        <v>0</v>
      </c>
      <c r="N433" t="n">
        <v>0</v>
      </c>
      <c r="O433" t="n">
        <v>0</v>
      </c>
      <c r="P433" t="n">
        <v>0</v>
      </c>
      <c r="Q433" t="n">
        <v>0</v>
      </c>
      <c r="R433" s="2" t="inlineStr"/>
    </row>
    <row r="434" ht="15" customHeight="1">
      <c r="A434" t="inlineStr">
        <is>
          <t>A 40812-2022</t>
        </is>
      </c>
      <c r="B434" s="1" t="n">
        <v>44824.68791666667</v>
      </c>
      <c r="C434" s="1" t="n">
        <v>45888</v>
      </c>
      <c r="D434" t="inlineStr">
        <is>
          <t>UPPSALA LÄN</t>
        </is>
      </c>
      <c r="E434" t="inlineStr">
        <is>
          <t>ENKÖPING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51524-2022</t>
        </is>
      </c>
      <c r="B435" s="1" t="n">
        <v>44869</v>
      </c>
      <c r="C435" s="1" t="n">
        <v>45888</v>
      </c>
      <c r="D435" t="inlineStr">
        <is>
          <t>UPPSALA LÄN</t>
        </is>
      </c>
      <c r="E435" t="inlineStr">
        <is>
          <t>ENKÖPING</t>
        </is>
      </c>
      <c r="G435" t="n">
        <v>6.6</v>
      </c>
      <c r="H435" t="n">
        <v>0</v>
      </c>
      <c r="I435" t="n">
        <v>0</v>
      </c>
      <c r="J435" t="n">
        <v>0</v>
      </c>
      <c r="K435" t="n">
        <v>0</v>
      </c>
      <c r="L435" t="n">
        <v>0</v>
      </c>
      <c r="M435" t="n">
        <v>0</v>
      </c>
      <c r="N435" t="n">
        <v>0</v>
      </c>
      <c r="O435" t="n">
        <v>0</v>
      </c>
      <c r="P435" t="n">
        <v>0</v>
      </c>
      <c r="Q435" t="n">
        <v>0</v>
      </c>
      <c r="R435" s="2" t="inlineStr"/>
    </row>
    <row r="436" ht="15" customHeight="1">
      <c r="A436" t="inlineStr">
        <is>
          <t>A 58896-2020</t>
        </is>
      </c>
      <c r="B436" s="1" t="n">
        <v>44146</v>
      </c>
      <c r="C436" s="1" t="n">
        <v>45888</v>
      </c>
      <c r="D436" t="inlineStr">
        <is>
          <t>UPPSALA LÄN</t>
        </is>
      </c>
      <c r="E436" t="inlineStr">
        <is>
          <t>ENKÖPING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43691-2024</t>
        </is>
      </c>
      <c r="B437" s="1" t="n">
        <v>45569</v>
      </c>
      <c r="C437" s="1" t="n">
        <v>45888</v>
      </c>
      <c r="D437" t="inlineStr">
        <is>
          <t>UPPSALA LÄN</t>
        </is>
      </c>
      <c r="E437" t="inlineStr">
        <is>
          <t>ENKÖPING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46103-2023</t>
        </is>
      </c>
      <c r="B438" s="1" t="n">
        <v>45190</v>
      </c>
      <c r="C438" s="1" t="n">
        <v>45888</v>
      </c>
      <c r="D438" t="inlineStr">
        <is>
          <t>UPPSALA LÄN</t>
        </is>
      </c>
      <c r="E438" t="inlineStr">
        <is>
          <t>ENKÖPING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44827.63826388889</v>
      </c>
      <c r="C439" s="1" t="n">
        <v>45888</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8137-2025</t>
        </is>
      </c>
      <c r="B440" s="1" t="n">
        <v>45707.8561574074</v>
      </c>
      <c r="C440" s="1" t="n">
        <v>45888</v>
      </c>
      <c r="D440" t="inlineStr">
        <is>
          <t>UPPSALA LÄN</t>
        </is>
      </c>
      <c r="E440" t="inlineStr">
        <is>
          <t>ENKÖPING</t>
        </is>
      </c>
      <c r="G440" t="n">
        <v>0.4</v>
      </c>
      <c r="H440" t="n">
        <v>0</v>
      </c>
      <c r="I440" t="n">
        <v>0</v>
      </c>
      <c r="J440" t="n">
        <v>0</v>
      </c>
      <c r="K440" t="n">
        <v>0</v>
      </c>
      <c r="L440" t="n">
        <v>0</v>
      </c>
      <c r="M440" t="n">
        <v>0</v>
      </c>
      <c r="N440" t="n">
        <v>0</v>
      </c>
      <c r="O440" t="n">
        <v>0</v>
      </c>
      <c r="P440" t="n">
        <v>0</v>
      </c>
      <c r="Q440" t="n">
        <v>0</v>
      </c>
      <c r="R440" s="2" t="inlineStr"/>
    </row>
    <row r="441" ht="15" customHeight="1">
      <c r="A441" t="inlineStr">
        <is>
          <t>A 25333-2023</t>
        </is>
      </c>
      <c r="B441" s="1" t="n">
        <v>45083</v>
      </c>
      <c r="C441" s="1" t="n">
        <v>45888</v>
      </c>
      <c r="D441" t="inlineStr">
        <is>
          <t>UPPSALA LÄN</t>
        </is>
      </c>
      <c r="E441" t="inlineStr">
        <is>
          <t>ENKÖPING</t>
        </is>
      </c>
      <c r="G441" t="n">
        <v>2.7</v>
      </c>
      <c r="H441" t="n">
        <v>0</v>
      </c>
      <c r="I441" t="n">
        <v>0</v>
      </c>
      <c r="J441" t="n">
        <v>0</v>
      </c>
      <c r="K441" t="n">
        <v>0</v>
      </c>
      <c r="L441" t="n">
        <v>0</v>
      </c>
      <c r="M441" t="n">
        <v>0</v>
      </c>
      <c r="N441" t="n">
        <v>0</v>
      </c>
      <c r="O441" t="n">
        <v>0</v>
      </c>
      <c r="P441" t="n">
        <v>0</v>
      </c>
      <c r="Q441" t="n">
        <v>0</v>
      </c>
      <c r="R441" s="2" t="inlineStr"/>
    </row>
    <row r="442" ht="15" customHeight="1">
      <c r="A442" t="inlineStr">
        <is>
          <t>A 3300-2025</t>
        </is>
      </c>
      <c r="B442" s="1" t="n">
        <v>45679</v>
      </c>
      <c r="C442" s="1" t="n">
        <v>45888</v>
      </c>
      <c r="D442" t="inlineStr">
        <is>
          <t>UPPSALA LÄN</t>
        </is>
      </c>
      <c r="E442" t="inlineStr">
        <is>
          <t>ENKÖPING</t>
        </is>
      </c>
      <c r="G442" t="n">
        <v>8.9</v>
      </c>
      <c r="H442" t="n">
        <v>0</v>
      </c>
      <c r="I442" t="n">
        <v>0</v>
      </c>
      <c r="J442" t="n">
        <v>0</v>
      </c>
      <c r="K442" t="n">
        <v>0</v>
      </c>
      <c r="L442" t="n">
        <v>0</v>
      </c>
      <c r="M442" t="n">
        <v>0</v>
      </c>
      <c r="N442" t="n">
        <v>0</v>
      </c>
      <c r="O442" t="n">
        <v>0</v>
      </c>
      <c r="P442" t="n">
        <v>0</v>
      </c>
      <c r="Q442" t="n">
        <v>0</v>
      </c>
      <c r="R442" s="2" t="inlineStr"/>
    </row>
    <row r="443" ht="15" customHeight="1">
      <c r="A443" t="inlineStr">
        <is>
          <t>A 17029-2025</t>
        </is>
      </c>
      <c r="B443" s="1" t="n">
        <v>45755.57291666666</v>
      </c>
      <c r="C443" s="1" t="n">
        <v>45888</v>
      </c>
      <c r="D443" t="inlineStr">
        <is>
          <t>UPPSALA LÄN</t>
        </is>
      </c>
      <c r="E443" t="inlineStr">
        <is>
          <t>ENKÖPING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18994-2025</t>
        </is>
      </c>
      <c r="B444" s="1" t="n">
        <v>45764.57350694444</v>
      </c>
      <c r="C444" s="1" t="n">
        <v>45888</v>
      </c>
      <c r="D444" t="inlineStr">
        <is>
          <t>UPPSALA LÄN</t>
        </is>
      </c>
      <c r="E444" t="inlineStr">
        <is>
          <t>ENKÖPING</t>
        </is>
      </c>
      <c r="G444" t="n">
        <v>3.8</v>
      </c>
      <c r="H444" t="n">
        <v>0</v>
      </c>
      <c r="I444" t="n">
        <v>0</v>
      </c>
      <c r="J444" t="n">
        <v>0</v>
      </c>
      <c r="K444" t="n">
        <v>0</v>
      </c>
      <c r="L444" t="n">
        <v>0</v>
      </c>
      <c r="M444" t="n">
        <v>0</v>
      </c>
      <c r="N444" t="n">
        <v>0</v>
      </c>
      <c r="O444" t="n">
        <v>0</v>
      </c>
      <c r="P444" t="n">
        <v>0</v>
      </c>
      <c r="Q444" t="n">
        <v>0</v>
      </c>
      <c r="R444" s="2" t="inlineStr"/>
    </row>
    <row r="445" ht="15" customHeight="1">
      <c r="A445" t="inlineStr">
        <is>
          <t>A 23301-2024</t>
        </is>
      </c>
      <c r="B445" s="1" t="n">
        <v>45453.4396412037</v>
      </c>
      <c r="C445" s="1" t="n">
        <v>45888</v>
      </c>
      <c r="D445" t="inlineStr">
        <is>
          <t>UPPSALA LÄN</t>
        </is>
      </c>
      <c r="E445" t="inlineStr">
        <is>
          <t>ENKÖPING</t>
        </is>
      </c>
      <c r="G445" t="n">
        <v>4.3</v>
      </c>
      <c r="H445" t="n">
        <v>0</v>
      </c>
      <c r="I445" t="n">
        <v>0</v>
      </c>
      <c r="J445" t="n">
        <v>0</v>
      </c>
      <c r="K445" t="n">
        <v>0</v>
      </c>
      <c r="L445" t="n">
        <v>0</v>
      </c>
      <c r="M445" t="n">
        <v>0</v>
      </c>
      <c r="N445" t="n">
        <v>0</v>
      </c>
      <c r="O445" t="n">
        <v>0</v>
      </c>
      <c r="P445" t="n">
        <v>0</v>
      </c>
      <c r="Q445" t="n">
        <v>0</v>
      </c>
      <c r="R445" s="2" t="inlineStr"/>
    </row>
    <row r="446" ht="15" customHeight="1">
      <c r="A446" t="inlineStr">
        <is>
          <t>A 12754-2025</t>
        </is>
      </c>
      <c r="B446" s="1" t="n">
        <v>45733.56331018519</v>
      </c>
      <c r="C446" s="1" t="n">
        <v>45888</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57848-2024</t>
        </is>
      </c>
      <c r="B447" s="1" t="n">
        <v>45631.40947916666</v>
      </c>
      <c r="C447" s="1" t="n">
        <v>45888</v>
      </c>
      <c r="D447" t="inlineStr">
        <is>
          <t>UPPSALA LÄN</t>
        </is>
      </c>
      <c r="E447" t="inlineStr">
        <is>
          <t>ENKÖPING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49601-2024</t>
        </is>
      </c>
      <c r="B448" s="1" t="n">
        <v>45596.56288194445</v>
      </c>
      <c r="C448" s="1" t="n">
        <v>45888</v>
      </c>
      <c r="D448" t="inlineStr">
        <is>
          <t>UPPSALA LÄN</t>
        </is>
      </c>
      <c r="E448" t="inlineStr">
        <is>
          <t>ENKÖPING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52380-2024</t>
        </is>
      </c>
      <c r="B449" s="1" t="n">
        <v>45609</v>
      </c>
      <c r="C449" s="1" t="n">
        <v>45888</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51042-2024</t>
        </is>
      </c>
      <c r="B450" s="1" t="n">
        <v>45603.4342824074</v>
      </c>
      <c r="C450" s="1" t="n">
        <v>45888</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30098-2024</t>
        </is>
      </c>
      <c r="B451" s="1" t="n">
        <v>45489.41609953704</v>
      </c>
      <c r="C451" s="1" t="n">
        <v>45888</v>
      </c>
      <c r="D451" t="inlineStr">
        <is>
          <t>UPPSALA LÄN</t>
        </is>
      </c>
      <c r="E451" t="inlineStr">
        <is>
          <t>ENKÖPING</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59441-2020</t>
        </is>
      </c>
      <c r="B452" s="1" t="n">
        <v>44148</v>
      </c>
      <c r="C452" s="1" t="n">
        <v>45888</v>
      </c>
      <c r="D452" t="inlineStr">
        <is>
          <t>UPPSALA LÄN</t>
        </is>
      </c>
      <c r="E452" t="inlineStr">
        <is>
          <t>ENKÖPING</t>
        </is>
      </c>
      <c r="G452" t="n">
        <v>4.8</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45888</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57328-2024</t>
        </is>
      </c>
      <c r="B454" s="1" t="n">
        <v>45629.62798611111</v>
      </c>
      <c r="C454" s="1" t="n">
        <v>45888</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45888</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45888</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45888</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45888</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45888</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45888</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45888</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45888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45888</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45888</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51027-2024</t>
        </is>
      </c>
      <c r="B465" s="1" t="n">
        <v>45603</v>
      </c>
      <c r="C465" s="1" t="n">
        <v>45888</v>
      </c>
      <c r="D465" t="inlineStr">
        <is>
          <t>UPPSALA LÄN</t>
        </is>
      </c>
      <c r="E465" t="inlineStr">
        <is>
          <t>ENKÖPING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51030-2024</t>
        </is>
      </c>
      <c r="B466" s="1" t="n">
        <v>45603</v>
      </c>
      <c r="C466" s="1" t="n">
        <v>45888</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26292-2022</t>
        </is>
      </c>
      <c r="B467" s="1" t="n">
        <v>44735</v>
      </c>
      <c r="C467" s="1" t="n">
        <v>45888</v>
      </c>
      <c r="D467" t="inlineStr">
        <is>
          <t>UPPSALA LÄN</t>
        </is>
      </c>
      <c r="E467" t="inlineStr">
        <is>
          <t>ENKÖPING</t>
        </is>
      </c>
      <c r="F467" t="inlineStr">
        <is>
          <t>Kyrkan</t>
        </is>
      </c>
      <c r="G467" t="n">
        <v>4.6</v>
      </c>
      <c r="H467" t="n">
        <v>0</v>
      </c>
      <c r="I467" t="n">
        <v>0</v>
      </c>
      <c r="J467" t="n">
        <v>0</v>
      </c>
      <c r="K467" t="n">
        <v>0</v>
      </c>
      <c r="L467" t="n">
        <v>0</v>
      </c>
      <c r="M467" t="n">
        <v>0</v>
      </c>
      <c r="N467" t="n">
        <v>0</v>
      </c>
      <c r="O467" t="n">
        <v>0</v>
      </c>
      <c r="P467" t="n">
        <v>0</v>
      </c>
      <c r="Q467" t="n">
        <v>0</v>
      </c>
      <c r="R467" s="2" t="inlineStr"/>
    </row>
    <row r="468" ht="15" customHeight="1">
      <c r="A468" t="inlineStr">
        <is>
          <t>A 4044-2024</t>
        </is>
      </c>
      <c r="B468" s="1" t="n">
        <v>45323.45954861111</v>
      </c>
      <c r="C468" s="1" t="n">
        <v>45888</v>
      </c>
      <c r="D468" t="inlineStr">
        <is>
          <t>UPPSALA LÄN</t>
        </is>
      </c>
      <c r="E468" t="inlineStr">
        <is>
          <t>ENKÖPING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33349-2024</t>
        </is>
      </c>
      <c r="B469" s="1" t="n">
        <v>45519</v>
      </c>
      <c r="C469" s="1" t="n">
        <v>45888</v>
      </c>
      <c r="D469" t="inlineStr">
        <is>
          <t>UPPSALA LÄN</t>
        </is>
      </c>
      <c r="E469" t="inlineStr">
        <is>
          <t>ENKÖPING</t>
        </is>
      </c>
      <c r="G469" t="n">
        <v>3.6</v>
      </c>
      <c r="H469" t="n">
        <v>0</v>
      </c>
      <c r="I469" t="n">
        <v>0</v>
      </c>
      <c r="J469" t="n">
        <v>0</v>
      </c>
      <c r="K469" t="n">
        <v>0</v>
      </c>
      <c r="L469" t="n">
        <v>0</v>
      </c>
      <c r="M469" t="n">
        <v>0</v>
      </c>
      <c r="N469" t="n">
        <v>0</v>
      </c>
      <c r="O469" t="n">
        <v>0</v>
      </c>
      <c r="P469" t="n">
        <v>0</v>
      </c>
      <c r="Q469" t="n">
        <v>0</v>
      </c>
      <c r="R469" s="2" t="inlineStr"/>
    </row>
    <row r="470" ht="15" customHeight="1">
      <c r="A470" t="inlineStr">
        <is>
          <t>A 22912-2024</t>
        </is>
      </c>
      <c r="B470" s="1" t="n">
        <v>45448.73118055556</v>
      </c>
      <c r="C470" s="1" t="n">
        <v>45888</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21612-2023</t>
        </is>
      </c>
      <c r="B471" s="1" t="n">
        <v>45063</v>
      </c>
      <c r="C471" s="1" t="n">
        <v>45888</v>
      </c>
      <c r="D471" t="inlineStr">
        <is>
          <t>UPPSALA LÄN</t>
        </is>
      </c>
      <c r="E471" t="inlineStr">
        <is>
          <t>ENKÖPING</t>
        </is>
      </c>
      <c r="F471" t="inlineStr">
        <is>
          <t>Allmännings- och besparingsskogar</t>
        </is>
      </c>
      <c r="G471" t="n">
        <v>1</v>
      </c>
      <c r="H471" t="n">
        <v>0</v>
      </c>
      <c r="I471" t="n">
        <v>0</v>
      </c>
      <c r="J471" t="n">
        <v>0</v>
      </c>
      <c r="K471" t="n">
        <v>0</v>
      </c>
      <c r="L471" t="n">
        <v>0</v>
      </c>
      <c r="M471" t="n">
        <v>0</v>
      </c>
      <c r="N471" t="n">
        <v>0</v>
      </c>
      <c r="O471" t="n">
        <v>0</v>
      </c>
      <c r="P471" t="n">
        <v>0</v>
      </c>
      <c r="Q471" t="n">
        <v>0</v>
      </c>
      <c r="R471" s="2" t="inlineStr"/>
    </row>
    <row r="472" ht="15" customHeight="1">
      <c r="A472" t="inlineStr">
        <is>
          <t>A 14243-2025</t>
        </is>
      </c>
      <c r="B472" s="1" t="n">
        <v>45740.61288194444</v>
      </c>
      <c r="C472" s="1" t="n">
        <v>45888</v>
      </c>
      <c r="D472" t="inlineStr">
        <is>
          <t>UPPSALA LÄN</t>
        </is>
      </c>
      <c r="E472" t="inlineStr">
        <is>
          <t>ENKÖPING</t>
        </is>
      </c>
      <c r="G472" t="n">
        <v>2.2</v>
      </c>
      <c r="H472" t="n">
        <v>0</v>
      </c>
      <c r="I472" t="n">
        <v>0</v>
      </c>
      <c r="J472" t="n">
        <v>0</v>
      </c>
      <c r="K472" t="n">
        <v>0</v>
      </c>
      <c r="L472" t="n">
        <v>0</v>
      </c>
      <c r="M472" t="n">
        <v>0</v>
      </c>
      <c r="N472" t="n">
        <v>0</v>
      </c>
      <c r="O472" t="n">
        <v>0</v>
      </c>
      <c r="P472" t="n">
        <v>0</v>
      </c>
      <c r="Q472" t="n">
        <v>0</v>
      </c>
      <c r="R472" s="2" t="inlineStr"/>
    </row>
    <row r="473" ht="15" customHeight="1">
      <c r="A473" t="inlineStr">
        <is>
          <t>A 33343-2024</t>
        </is>
      </c>
      <c r="B473" s="1" t="n">
        <v>45519</v>
      </c>
      <c r="C473" s="1" t="n">
        <v>45888</v>
      </c>
      <c r="D473" t="inlineStr">
        <is>
          <t>UPPSALA LÄN</t>
        </is>
      </c>
      <c r="E473" t="inlineStr">
        <is>
          <t>ENKÖPING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18302-2025</t>
        </is>
      </c>
      <c r="B474" s="1" t="n">
        <v>45762</v>
      </c>
      <c r="C474" s="1" t="n">
        <v>45888</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28243-2023</t>
        </is>
      </c>
      <c r="B475" s="1" t="n">
        <v>45099.58885416666</v>
      </c>
      <c r="C475" s="1" t="n">
        <v>45888</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3235-2025</t>
        </is>
      </c>
      <c r="B476" s="1" t="n">
        <v>45679</v>
      </c>
      <c r="C476" s="1" t="n">
        <v>45888</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41828-2024</t>
        </is>
      </c>
      <c r="B477" s="1" t="n">
        <v>45561</v>
      </c>
      <c r="C477" s="1" t="n">
        <v>45888</v>
      </c>
      <c r="D477" t="inlineStr">
        <is>
          <t>UPPSALA LÄN</t>
        </is>
      </c>
      <c r="E477" t="inlineStr">
        <is>
          <t>ENKÖPING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1536-2024</t>
        </is>
      </c>
      <c r="B478" s="1" t="n">
        <v>45306</v>
      </c>
      <c r="C478" s="1" t="n">
        <v>45888</v>
      </c>
      <c r="D478" t="inlineStr">
        <is>
          <t>UPPSALA LÄN</t>
        </is>
      </c>
      <c r="E478" t="inlineStr">
        <is>
          <t>ENKÖPING</t>
        </is>
      </c>
      <c r="F478" t="inlineStr">
        <is>
          <t>Kyrkan</t>
        </is>
      </c>
      <c r="G478" t="n">
        <v>5.6</v>
      </c>
      <c r="H478" t="n">
        <v>0</v>
      </c>
      <c r="I478" t="n">
        <v>0</v>
      </c>
      <c r="J478" t="n">
        <v>0</v>
      </c>
      <c r="K478" t="n">
        <v>0</v>
      </c>
      <c r="L478" t="n">
        <v>0</v>
      </c>
      <c r="M478" t="n">
        <v>0</v>
      </c>
      <c r="N478" t="n">
        <v>0</v>
      </c>
      <c r="O478" t="n">
        <v>0</v>
      </c>
      <c r="P478" t="n">
        <v>0</v>
      </c>
      <c r="Q478" t="n">
        <v>0</v>
      </c>
      <c r="R478" s="2" t="inlineStr"/>
    </row>
    <row r="479" ht="15" customHeight="1">
      <c r="A479" t="inlineStr">
        <is>
          <t>A 42564-2024</t>
        </is>
      </c>
      <c r="B479" s="1" t="n">
        <v>45565.63358796296</v>
      </c>
      <c r="C479" s="1" t="n">
        <v>45888</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43492-2023</t>
        </is>
      </c>
      <c r="B480" s="1" t="n">
        <v>45181</v>
      </c>
      <c r="C480" s="1" t="n">
        <v>45888</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c r="A481" t="inlineStr">
        <is>
          <t>A 6626-2023</t>
        </is>
      </c>
      <c r="B481" s="1" t="n">
        <v>44966.55946759259</v>
      </c>
      <c r="C481" s="1" t="n">
        <v>45888</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2025-08-19T08:27:45Z</dcterms:created>
  <dcterms:modified xmlns:dcterms="http://purl.org/dc/terms/" xmlns:xsi="http://www.w3.org/2001/XMLSchema-instance" xsi:type="dcterms:W3CDTF">2025-08-19T08:27:45Z</dcterms:modified>
</cp:coreProperties>
</file>