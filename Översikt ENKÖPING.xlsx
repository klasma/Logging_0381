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46092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46092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46092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46092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46092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46092</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46092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46092</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46092</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46092</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46092</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46092</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46092</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46092</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50105-2023</t>
        </is>
      </c>
      <c r="B16" s="1" t="n">
        <v>45215</v>
      </c>
      <c r="C16" s="1" t="n">
        <v>46092</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27073-2025</t>
        </is>
      </c>
      <c r="B17" s="1" t="n">
        <v>45811.64190972222</v>
      </c>
      <c r="C17" s="1" t="n">
        <v>46092</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9147-2026</t>
        </is>
      </c>
      <c r="B18" s="1" t="n">
        <v>46070.30649305556</v>
      </c>
      <c r="C18" s="1" t="n">
        <v>46092</v>
      </c>
      <c r="D18" t="inlineStr">
        <is>
          <t>UPPSALA LÄN</t>
        </is>
      </c>
      <c r="E18" t="inlineStr">
        <is>
          <t>ENKÖPING</t>
        </is>
      </c>
      <c r="G18" t="n">
        <v>1.6</v>
      </c>
      <c r="H18" t="n">
        <v>0</v>
      </c>
      <c r="I18" t="n">
        <v>1</v>
      </c>
      <c r="J18" t="n">
        <v>1</v>
      </c>
      <c r="K18" t="n">
        <v>0</v>
      </c>
      <c r="L18" t="n">
        <v>0</v>
      </c>
      <c r="M18" t="n">
        <v>0</v>
      </c>
      <c r="N18" t="n">
        <v>0</v>
      </c>
      <c r="O18" t="n">
        <v>1</v>
      </c>
      <c r="P18" t="n">
        <v>0</v>
      </c>
      <c r="Q18" t="n">
        <v>2</v>
      </c>
      <c r="R18" s="2" t="inlineStr">
        <is>
          <t>Motaggsvamp
Dropptaggsvamp</t>
        </is>
      </c>
      <c r="S18">
        <f>HYPERLINK("https://klasma.github.io/Logging_0381/artfynd/A 9147-2026 artfynd.xlsx", "A 9147-2026")</f>
        <v/>
      </c>
      <c r="T18">
        <f>HYPERLINK("https://klasma.github.io/Logging_0381/kartor/A 9147-2026 karta.png", "A 9147-2026")</f>
        <v/>
      </c>
      <c r="V18">
        <f>HYPERLINK("https://klasma.github.io/Logging_0381/klagomål/A 9147-2026 FSC-klagomål.docx", "A 9147-2026")</f>
        <v/>
      </c>
      <c r="W18">
        <f>HYPERLINK("https://klasma.github.io/Logging_0381/klagomålsmail/A 9147-2026 FSC-klagomål mail.docx", "A 9147-2026")</f>
        <v/>
      </c>
      <c r="X18">
        <f>HYPERLINK("https://klasma.github.io/Logging_0381/tillsyn/A 9147-2026 tillsynsbegäran.docx", "A 9147-2026")</f>
        <v/>
      </c>
      <c r="Y18">
        <f>HYPERLINK("https://klasma.github.io/Logging_0381/tillsynsmail/A 9147-2026 tillsynsbegäran mail.docx", "A 9147-2026")</f>
        <v/>
      </c>
    </row>
    <row r="19" ht="15" customHeight="1">
      <c r="A19" t="inlineStr">
        <is>
          <t>A 425-2024</t>
        </is>
      </c>
      <c r="B19" s="1" t="n">
        <v>45296</v>
      </c>
      <c r="C19" s="1" t="n">
        <v>46092</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46092</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46092</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46092</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17942-2024</t>
        </is>
      </c>
      <c r="B23" s="1" t="n">
        <v>45419</v>
      </c>
      <c r="C23" s="1" t="n">
        <v>46092</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29510-2025</t>
        </is>
      </c>
      <c r="B24" s="1" t="n">
        <v>45825</v>
      </c>
      <c r="C24" s="1" t="n">
        <v>46092</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1524-2023</t>
        </is>
      </c>
      <c r="B25" s="1" t="n">
        <v>44935</v>
      </c>
      <c r="C25" s="1" t="n">
        <v>46092</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26347-2025</t>
        </is>
      </c>
      <c r="B26" s="1" t="n">
        <v>45805.7403125</v>
      </c>
      <c r="C26" s="1" t="n">
        <v>46092</v>
      </c>
      <c r="D26" t="inlineStr">
        <is>
          <t>UPPSALA LÄN</t>
        </is>
      </c>
      <c r="E26" t="inlineStr">
        <is>
          <t>ENKÖPING</t>
        </is>
      </c>
      <c r="G26" t="n">
        <v>7.3</v>
      </c>
      <c r="H26" t="n">
        <v>1</v>
      </c>
      <c r="I26" t="n">
        <v>0</v>
      </c>
      <c r="J26" t="n">
        <v>0</v>
      </c>
      <c r="K26" t="n">
        <v>1</v>
      </c>
      <c r="L26" t="n">
        <v>0</v>
      </c>
      <c r="M26" t="n">
        <v>0</v>
      </c>
      <c r="N26" t="n">
        <v>0</v>
      </c>
      <c r="O26" t="n">
        <v>1</v>
      </c>
      <c r="P26" t="n">
        <v>1</v>
      </c>
      <c r="Q26" t="n">
        <v>1</v>
      </c>
      <c r="R26" s="2" t="inlineStr">
        <is>
          <t>Tofsvipa</t>
        </is>
      </c>
      <c r="S26">
        <f>HYPERLINK("https://klasma.github.io/Logging_0381/artfynd/A 26347-2025 artfynd.xlsx", "A 26347-2025")</f>
        <v/>
      </c>
      <c r="T26">
        <f>HYPERLINK("https://klasma.github.io/Logging_0381/kartor/A 26347-2025 karta.png", "A 26347-2025")</f>
        <v/>
      </c>
      <c r="V26">
        <f>HYPERLINK("https://klasma.github.io/Logging_0381/klagomål/A 26347-2025 FSC-klagomål.docx", "A 26347-2025")</f>
        <v/>
      </c>
      <c r="W26">
        <f>HYPERLINK("https://klasma.github.io/Logging_0381/klagomålsmail/A 26347-2025 FSC-klagomål mail.docx", "A 26347-2025")</f>
        <v/>
      </c>
      <c r="X26">
        <f>HYPERLINK("https://klasma.github.io/Logging_0381/tillsyn/A 26347-2025 tillsynsbegäran.docx", "A 26347-2025")</f>
        <v/>
      </c>
      <c r="Y26">
        <f>HYPERLINK("https://klasma.github.io/Logging_0381/tillsynsmail/A 26347-2025 tillsynsbegäran mail.docx", "A 26347-2025")</f>
        <v/>
      </c>
    </row>
    <row r="27" ht="15" customHeight="1">
      <c r="A27" t="inlineStr">
        <is>
          <t>A 27060-2025</t>
        </is>
      </c>
      <c r="B27" s="1" t="n">
        <v>45811.63590277778</v>
      </c>
      <c r="C27" s="1" t="n">
        <v>46092</v>
      </c>
      <c r="D27" t="inlineStr">
        <is>
          <t>UPPSALA LÄN</t>
        </is>
      </c>
      <c r="E27" t="inlineStr">
        <is>
          <t>ENKÖPING</t>
        </is>
      </c>
      <c r="G27" t="n">
        <v>2.6</v>
      </c>
      <c r="H27" t="n">
        <v>0</v>
      </c>
      <c r="I27" t="n">
        <v>1</v>
      </c>
      <c r="J27" t="n">
        <v>0</v>
      </c>
      <c r="K27" t="n">
        <v>0</v>
      </c>
      <c r="L27" t="n">
        <v>0</v>
      </c>
      <c r="M27" t="n">
        <v>0</v>
      </c>
      <c r="N27" t="n">
        <v>0</v>
      </c>
      <c r="O27" t="n">
        <v>0</v>
      </c>
      <c r="P27" t="n">
        <v>0</v>
      </c>
      <c r="Q27" t="n">
        <v>1</v>
      </c>
      <c r="R27" s="2" t="inlineStr">
        <is>
          <t>Granbarkgnagare</t>
        </is>
      </c>
      <c r="S27">
        <f>HYPERLINK("https://klasma.github.io/Logging_0381/artfynd/A 27060-2025 artfynd.xlsx", "A 27060-2025")</f>
        <v/>
      </c>
      <c r="T27">
        <f>HYPERLINK("https://klasma.github.io/Logging_0381/kartor/A 27060-2025 karta.png", "A 27060-2025")</f>
        <v/>
      </c>
      <c r="V27">
        <f>HYPERLINK("https://klasma.github.io/Logging_0381/klagomål/A 27060-2025 FSC-klagomål.docx", "A 27060-2025")</f>
        <v/>
      </c>
      <c r="W27">
        <f>HYPERLINK("https://klasma.github.io/Logging_0381/klagomålsmail/A 27060-2025 FSC-klagomål mail.docx", "A 27060-2025")</f>
        <v/>
      </c>
      <c r="X27">
        <f>HYPERLINK("https://klasma.github.io/Logging_0381/tillsyn/A 27060-2025 tillsynsbegäran.docx", "A 27060-2025")</f>
        <v/>
      </c>
      <c r="Y27">
        <f>HYPERLINK("https://klasma.github.io/Logging_0381/tillsynsmail/A 27060-2025 tillsynsbegäran mail.docx", "A 27060-2025")</f>
        <v/>
      </c>
    </row>
    <row r="28" ht="15" customHeight="1">
      <c r="A28" t="inlineStr">
        <is>
          <t>A 52439-2025</t>
        </is>
      </c>
      <c r="B28" s="1" t="n">
        <v>45954.40697916667</v>
      </c>
      <c r="C28" s="1" t="n">
        <v>46092</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4166-2026</t>
        </is>
      </c>
      <c r="B29" s="1" t="n">
        <v>46044.66402777778</v>
      </c>
      <c r="C29" s="1" t="n">
        <v>46092</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28900-2024</t>
        </is>
      </c>
      <c r="B30" s="1" t="n">
        <v>45480</v>
      </c>
      <c r="C30" s="1" t="n">
        <v>46092</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46749-2024</t>
        </is>
      </c>
      <c r="B31" s="1" t="n">
        <v>45583.48347222222</v>
      </c>
      <c r="C31" s="1" t="n">
        <v>46092</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Tallkötticka</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45116-2023</t>
        </is>
      </c>
      <c r="B32" s="1" t="n">
        <v>45191</v>
      </c>
      <c r="C32" s="1" t="n">
        <v>46092</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23961-2022</t>
        </is>
      </c>
      <c r="B33" s="1" t="n">
        <v>44722</v>
      </c>
      <c r="C33" s="1" t="n">
        <v>46092</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Blåsippa</t>
        </is>
      </c>
      <c r="S33">
        <f>HYPERLINK("https://klasma.github.io/Logging_0381/artfynd/A 23961-2022 artfynd.xlsx", "A 23961-2022")</f>
        <v/>
      </c>
      <c r="T33">
        <f>HYPERLINK("https://klasma.github.io/Logging_0381/kartor/A 23961-2022 karta.png", "A 23961-2022")</f>
        <v/>
      </c>
      <c r="V33">
        <f>HYPERLINK("https://klasma.github.io/Logging_0381/klagomål/A 23961-2022 FSC-klagomål.docx", "A 23961-2022")</f>
        <v/>
      </c>
      <c r="W33">
        <f>HYPERLINK("https://klasma.github.io/Logging_0381/klagomålsmail/A 23961-2022 FSC-klagomål mail.docx", "A 23961-2022")</f>
        <v/>
      </c>
      <c r="X33">
        <f>HYPERLINK("https://klasma.github.io/Logging_0381/tillsyn/A 23961-2022 tillsynsbegäran.docx", "A 23961-2022")</f>
        <v/>
      </c>
      <c r="Y33">
        <f>HYPERLINK("https://klasma.github.io/Logging_0381/tillsynsmail/A 23961-2022 tillsynsbegäran mail.docx", "A 23961-2022")</f>
        <v/>
      </c>
    </row>
    <row r="34" ht="15" customHeight="1">
      <c r="A34" t="inlineStr">
        <is>
          <t>A 33339-2024</t>
        </is>
      </c>
      <c r="B34" s="1" t="n">
        <v>45519</v>
      </c>
      <c r="C34" s="1" t="n">
        <v>46092</v>
      </c>
      <c r="D34" t="inlineStr">
        <is>
          <t>UPPSALA LÄN</t>
        </is>
      </c>
      <c r="E34" t="inlineStr">
        <is>
          <t>ENKÖPING</t>
        </is>
      </c>
      <c r="G34" t="n">
        <v>2.3</v>
      </c>
      <c r="H34" t="n">
        <v>0</v>
      </c>
      <c r="I34" t="n">
        <v>0</v>
      </c>
      <c r="J34" t="n">
        <v>1</v>
      </c>
      <c r="K34" t="n">
        <v>0</v>
      </c>
      <c r="L34" t="n">
        <v>0</v>
      </c>
      <c r="M34" t="n">
        <v>0</v>
      </c>
      <c r="N34" t="n">
        <v>0</v>
      </c>
      <c r="O34" t="n">
        <v>1</v>
      </c>
      <c r="P34" t="n">
        <v>0</v>
      </c>
      <c r="Q34" t="n">
        <v>1</v>
      </c>
      <c r="R34" s="2" t="inlineStr">
        <is>
          <t>Ullticka</t>
        </is>
      </c>
      <c r="S34">
        <f>HYPERLINK("https://klasma.github.io/Logging_0381/artfynd/A 33339-2024 artfynd.xlsx", "A 33339-2024")</f>
        <v/>
      </c>
      <c r="T34">
        <f>HYPERLINK("https://klasma.github.io/Logging_0381/kartor/A 33339-2024 karta.png", "A 33339-2024")</f>
        <v/>
      </c>
      <c r="V34">
        <f>HYPERLINK("https://klasma.github.io/Logging_0381/klagomål/A 33339-2024 FSC-klagomål.docx", "A 33339-2024")</f>
        <v/>
      </c>
      <c r="W34">
        <f>HYPERLINK("https://klasma.github.io/Logging_0381/klagomålsmail/A 33339-2024 FSC-klagomål mail.docx", "A 33339-2024")</f>
        <v/>
      </c>
      <c r="X34">
        <f>HYPERLINK("https://klasma.github.io/Logging_0381/tillsyn/A 33339-2024 tillsynsbegäran.docx", "A 33339-2024")</f>
        <v/>
      </c>
      <c r="Y34">
        <f>HYPERLINK("https://klasma.github.io/Logging_0381/tillsynsmail/A 33339-2024 tillsynsbegäran mail.docx", "A 33339-2024")</f>
        <v/>
      </c>
    </row>
    <row r="35" ht="15" customHeight="1">
      <c r="A35" t="inlineStr">
        <is>
          <t>A 16683-2021</t>
        </is>
      </c>
      <c r="B35" s="1" t="n">
        <v>44294.58495370371</v>
      </c>
      <c r="C35" s="1" t="n">
        <v>46092</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46092</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46092</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46092</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46092</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46092</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46092</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46092</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46092</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46092</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46092</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22058-2021</t>
        </is>
      </c>
      <c r="B46" s="1" t="n">
        <v>44323</v>
      </c>
      <c r="C46" s="1" t="n">
        <v>46092</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46092</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46092</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46092</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46092</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46092</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46092</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46092</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17704-2022</t>
        </is>
      </c>
      <c r="B54" s="1" t="n">
        <v>44680.61315972222</v>
      </c>
      <c r="C54" s="1" t="n">
        <v>46092</v>
      </c>
      <c r="D54" t="inlineStr">
        <is>
          <t>UPPSALA LÄN</t>
        </is>
      </c>
      <c r="E54" t="inlineStr">
        <is>
          <t>ENKÖPING</t>
        </is>
      </c>
      <c r="G54" t="n">
        <v>0.8</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46092</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46092</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46092</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46092</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46092</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46092</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46092</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46092</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46092</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46092</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46092</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46092</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46092</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46092</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46092</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46092</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46092</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46092</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46092</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46092</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46092</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46092</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46092</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46092</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46092</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12538-2021</t>
        </is>
      </c>
      <c r="B80" s="1" t="n">
        <v>44269</v>
      </c>
      <c r="C80" s="1" t="n">
        <v>46092</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14839-2021</t>
        </is>
      </c>
      <c r="B81" s="1" t="n">
        <v>44280</v>
      </c>
      <c r="C81" s="1" t="n">
        <v>46092</v>
      </c>
      <c r="D81" t="inlineStr">
        <is>
          <t>UPPSALA LÄN</t>
        </is>
      </c>
      <c r="E81" t="inlineStr">
        <is>
          <t>ENKÖPING</t>
        </is>
      </c>
      <c r="G81" t="n">
        <v>11.4</v>
      </c>
      <c r="H81" t="n">
        <v>0</v>
      </c>
      <c r="I81" t="n">
        <v>0</v>
      </c>
      <c r="J81" t="n">
        <v>0</v>
      </c>
      <c r="K81" t="n">
        <v>0</v>
      </c>
      <c r="L81" t="n">
        <v>0</v>
      </c>
      <c r="M81" t="n">
        <v>0</v>
      </c>
      <c r="N81" t="n">
        <v>0</v>
      </c>
      <c r="O81" t="n">
        <v>0</v>
      </c>
      <c r="P81" t="n">
        <v>0</v>
      </c>
      <c r="Q81" t="n">
        <v>0</v>
      </c>
      <c r="R81" s="2" t="inlineStr"/>
    </row>
    <row r="82" ht="15" customHeight="1">
      <c r="A82" t="inlineStr">
        <is>
          <t>A 28795-2021</t>
        </is>
      </c>
      <c r="B82" s="1" t="n">
        <v>44357</v>
      </c>
      <c r="C82" s="1" t="n">
        <v>46092</v>
      </c>
      <c r="D82" t="inlineStr">
        <is>
          <t>UPPSALA LÄN</t>
        </is>
      </c>
      <c r="E82" t="inlineStr">
        <is>
          <t>ENKÖPING</t>
        </is>
      </c>
      <c r="F82" t="inlineStr">
        <is>
          <t>Allmännings- och besparingsskogar</t>
        </is>
      </c>
      <c r="G82" t="n">
        <v>2.8</v>
      </c>
      <c r="H82" t="n">
        <v>0</v>
      </c>
      <c r="I82" t="n">
        <v>0</v>
      </c>
      <c r="J82" t="n">
        <v>0</v>
      </c>
      <c r="K82" t="n">
        <v>0</v>
      </c>
      <c r="L82" t="n">
        <v>0</v>
      </c>
      <c r="M82" t="n">
        <v>0</v>
      </c>
      <c r="N82" t="n">
        <v>0</v>
      </c>
      <c r="O82" t="n">
        <v>0</v>
      </c>
      <c r="P82" t="n">
        <v>0</v>
      </c>
      <c r="Q82" t="n">
        <v>0</v>
      </c>
      <c r="R82" s="2" t="inlineStr"/>
    </row>
    <row r="83" ht="15" customHeight="1">
      <c r="A83" t="inlineStr">
        <is>
          <t>A 15997-2021</t>
        </is>
      </c>
      <c r="B83" s="1" t="n">
        <v>44287</v>
      </c>
      <c r="C83" s="1" t="n">
        <v>46092</v>
      </c>
      <c r="D83" t="inlineStr">
        <is>
          <t>UPPSALA LÄN</t>
        </is>
      </c>
      <c r="E83" t="inlineStr">
        <is>
          <t>ENKÖPING</t>
        </is>
      </c>
      <c r="G83" t="n">
        <v>1.2</v>
      </c>
      <c r="H83" t="n">
        <v>0</v>
      </c>
      <c r="I83" t="n">
        <v>0</v>
      </c>
      <c r="J83" t="n">
        <v>0</v>
      </c>
      <c r="K83" t="n">
        <v>0</v>
      </c>
      <c r="L83" t="n">
        <v>0</v>
      </c>
      <c r="M83" t="n">
        <v>0</v>
      </c>
      <c r="N83" t="n">
        <v>0</v>
      </c>
      <c r="O83" t="n">
        <v>0</v>
      </c>
      <c r="P83" t="n">
        <v>0</v>
      </c>
      <c r="Q83" t="n">
        <v>0</v>
      </c>
      <c r="R83" s="2" t="inlineStr"/>
    </row>
    <row r="84" ht="15" customHeight="1">
      <c r="A84" t="inlineStr">
        <is>
          <t>A 68107-2021</t>
        </is>
      </c>
      <c r="B84" s="1" t="n">
        <v>44526</v>
      </c>
      <c r="C84" s="1" t="n">
        <v>46092</v>
      </c>
      <c r="D84" t="inlineStr">
        <is>
          <t>UPPSALA LÄN</t>
        </is>
      </c>
      <c r="E84" t="inlineStr">
        <is>
          <t>ENKÖPING</t>
        </is>
      </c>
      <c r="G84" t="n">
        <v>0.8</v>
      </c>
      <c r="H84" t="n">
        <v>0</v>
      </c>
      <c r="I84" t="n">
        <v>0</v>
      </c>
      <c r="J84" t="n">
        <v>0</v>
      </c>
      <c r="K84" t="n">
        <v>0</v>
      </c>
      <c r="L84" t="n">
        <v>0</v>
      </c>
      <c r="M84" t="n">
        <v>0</v>
      </c>
      <c r="N84" t="n">
        <v>0</v>
      </c>
      <c r="O84" t="n">
        <v>0</v>
      </c>
      <c r="P84" t="n">
        <v>0</v>
      </c>
      <c r="Q84" t="n">
        <v>0</v>
      </c>
      <c r="R84" s="2" t="inlineStr"/>
    </row>
    <row r="85" ht="15" customHeight="1">
      <c r="A85" t="inlineStr">
        <is>
          <t>A 69791-2021</t>
        </is>
      </c>
      <c r="B85" s="1" t="n">
        <v>44532</v>
      </c>
      <c r="C85" s="1" t="n">
        <v>46092</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49375-2021</t>
        </is>
      </c>
      <c r="B86" s="1" t="n">
        <v>44454</v>
      </c>
      <c r="C86" s="1" t="n">
        <v>46092</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57055-2021</t>
        </is>
      </c>
      <c r="B87" s="1" t="n">
        <v>44482.55201388889</v>
      </c>
      <c r="C87" s="1" t="n">
        <v>46092</v>
      </c>
      <c r="D87" t="inlineStr">
        <is>
          <t>UPPSALA LÄN</t>
        </is>
      </c>
      <c r="E87" t="inlineStr">
        <is>
          <t>ENKÖPING</t>
        </is>
      </c>
      <c r="G87" t="n">
        <v>3.3</v>
      </c>
      <c r="H87" t="n">
        <v>0</v>
      </c>
      <c r="I87" t="n">
        <v>0</v>
      </c>
      <c r="J87" t="n">
        <v>0</v>
      </c>
      <c r="K87" t="n">
        <v>0</v>
      </c>
      <c r="L87" t="n">
        <v>0</v>
      </c>
      <c r="M87" t="n">
        <v>0</v>
      </c>
      <c r="N87" t="n">
        <v>0</v>
      </c>
      <c r="O87" t="n">
        <v>0</v>
      </c>
      <c r="P87" t="n">
        <v>0</v>
      </c>
      <c r="Q87" t="n">
        <v>0</v>
      </c>
      <c r="R87" s="2" t="inlineStr"/>
    </row>
    <row r="88" ht="15" customHeight="1">
      <c r="A88" t="inlineStr">
        <is>
          <t>A 60874-2021</t>
        </is>
      </c>
      <c r="B88" s="1" t="n">
        <v>44497</v>
      </c>
      <c r="C88" s="1" t="n">
        <v>46092</v>
      </c>
      <c r="D88" t="inlineStr">
        <is>
          <t>UPPSALA LÄN</t>
        </is>
      </c>
      <c r="E88" t="inlineStr">
        <is>
          <t>ENKÖPING</t>
        </is>
      </c>
      <c r="G88" t="n">
        <v>0.6</v>
      </c>
      <c r="H88" t="n">
        <v>0</v>
      </c>
      <c r="I88" t="n">
        <v>0</v>
      </c>
      <c r="J88" t="n">
        <v>0</v>
      </c>
      <c r="K88" t="n">
        <v>0</v>
      </c>
      <c r="L88" t="n">
        <v>0</v>
      </c>
      <c r="M88" t="n">
        <v>0</v>
      </c>
      <c r="N88" t="n">
        <v>0</v>
      </c>
      <c r="O88" t="n">
        <v>0</v>
      </c>
      <c r="P88" t="n">
        <v>0</v>
      </c>
      <c r="Q88" t="n">
        <v>0</v>
      </c>
      <c r="R88" s="2" t="inlineStr"/>
    </row>
    <row r="89" ht="15" customHeight="1">
      <c r="A89" t="inlineStr">
        <is>
          <t>A 15021-2022</t>
        </is>
      </c>
      <c r="B89" s="1" t="n">
        <v>44657</v>
      </c>
      <c r="C89" s="1" t="n">
        <v>46092</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31013-2022</t>
        </is>
      </c>
      <c r="B90" s="1" t="n">
        <v>44768</v>
      </c>
      <c r="C90" s="1" t="n">
        <v>46092</v>
      </c>
      <c r="D90" t="inlineStr">
        <is>
          <t>UPPSALA LÄN</t>
        </is>
      </c>
      <c r="E90" t="inlineStr">
        <is>
          <t>ENKÖPING</t>
        </is>
      </c>
      <c r="F90" t="inlineStr">
        <is>
          <t>Allmännings- och besparingsskogar</t>
        </is>
      </c>
      <c r="G90" t="n">
        <v>0.5</v>
      </c>
      <c r="H90" t="n">
        <v>0</v>
      </c>
      <c r="I90" t="n">
        <v>0</v>
      </c>
      <c r="J90" t="n">
        <v>0</v>
      </c>
      <c r="K90" t="n">
        <v>0</v>
      </c>
      <c r="L90" t="n">
        <v>0</v>
      </c>
      <c r="M90" t="n">
        <v>0</v>
      </c>
      <c r="N90" t="n">
        <v>0</v>
      </c>
      <c r="O90" t="n">
        <v>0</v>
      </c>
      <c r="P90" t="n">
        <v>0</v>
      </c>
      <c r="Q90" t="n">
        <v>0</v>
      </c>
      <c r="R90" s="2" t="inlineStr"/>
    </row>
    <row r="91" ht="15" customHeight="1">
      <c r="A91" t="inlineStr">
        <is>
          <t>A 42029-2021</t>
        </is>
      </c>
      <c r="B91" s="1" t="n">
        <v>44426</v>
      </c>
      <c r="C91" s="1" t="n">
        <v>46092</v>
      </c>
      <c r="D91" t="inlineStr">
        <is>
          <t>UPPSALA LÄN</t>
        </is>
      </c>
      <c r="E91" t="inlineStr">
        <is>
          <t>ENKÖPING</t>
        </is>
      </c>
      <c r="G91" t="n">
        <v>5.3</v>
      </c>
      <c r="H91" t="n">
        <v>0</v>
      </c>
      <c r="I91" t="n">
        <v>0</v>
      </c>
      <c r="J91" t="n">
        <v>0</v>
      </c>
      <c r="K91" t="n">
        <v>0</v>
      </c>
      <c r="L91" t="n">
        <v>0</v>
      </c>
      <c r="M91" t="n">
        <v>0</v>
      </c>
      <c r="N91" t="n">
        <v>0</v>
      </c>
      <c r="O91" t="n">
        <v>0</v>
      </c>
      <c r="P91" t="n">
        <v>0</v>
      </c>
      <c r="Q91" t="n">
        <v>0</v>
      </c>
      <c r="R91" s="2" t="inlineStr"/>
    </row>
    <row r="92" ht="15" customHeight="1">
      <c r="A92" t="inlineStr">
        <is>
          <t>A 1971-2022</t>
        </is>
      </c>
      <c r="B92" s="1" t="n">
        <v>44575</v>
      </c>
      <c r="C92" s="1" t="n">
        <v>46092</v>
      </c>
      <c r="D92" t="inlineStr">
        <is>
          <t>UPPSALA LÄN</t>
        </is>
      </c>
      <c r="E92" t="inlineStr">
        <is>
          <t>ENKÖPING</t>
        </is>
      </c>
      <c r="G92" t="n">
        <v>1.4</v>
      </c>
      <c r="H92" t="n">
        <v>0</v>
      </c>
      <c r="I92" t="n">
        <v>0</v>
      </c>
      <c r="J92" t="n">
        <v>0</v>
      </c>
      <c r="K92" t="n">
        <v>0</v>
      </c>
      <c r="L92" t="n">
        <v>0</v>
      </c>
      <c r="M92" t="n">
        <v>0</v>
      </c>
      <c r="N92" t="n">
        <v>0</v>
      </c>
      <c r="O92" t="n">
        <v>0</v>
      </c>
      <c r="P92" t="n">
        <v>0</v>
      </c>
      <c r="Q92" t="n">
        <v>0</v>
      </c>
      <c r="R92" s="2" t="inlineStr"/>
    </row>
    <row r="93" ht="15" customHeight="1">
      <c r="A93" t="inlineStr">
        <is>
          <t>A 20067-2021</t>
        </is>
      </c>
      <c r="B93" s="1" t="n">
        <v>44314</v>
      </c>
      <c r="C93" s="1" t="n">
        <v>46092</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15924-2022</t>
        </is>
      </c>
      <c r="B94" s="1" t="n">
        <v>44664</v>
      </c>
      <c r="C94" s="1" t="n">
        <v>46092</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15943-2022</t>
        </is>
      </c>
      <c r="B95" s="1" t="n">
        <v>44664.66428240741</v>
      </c>
      <c r="C95" s="1" t="n">
        <v>46092</v>
      </c>
      <c r="D95" t="inlineStr">
        <is>
          <t>UPPSALA LÄN</t>
        </is>
      </c>
      <c r="E95" t="inlineStr">
        <is>
          <t>ENKÖPING</t>
        </is>
      </c>
      <c r="G95" t="n">
        <v>0.6</v>
      </c>
      <c r="H95" t="n">
        <v>0</v>
      </c>
      <c r="I95" t="n">
        <v>0</v>
      </c>
      <c r="J95" t="n">
        <v>0</v>
      </c>
      <c r="K95" t="n">
        <v>0</v>
      </c>
      <c r="L95" t="n">
        <v>0</v>
      </c>
      <c r="M95" t="n">
        <v>0</v>
      </c>
      <c r="N95" t="n">
        <v>0</v>
      </c>
      <c r="O95" t="n">
        <v>0</v>
      </c>
      <c r="P95" t="n">
        <v>0</v>
      </c>
      <c r="Q95" t="n">
        <v>0</v>
      </c>
      <c r="R95" s="2" t="inlineStr"/>
    </row>
    <row r="96" ht="15" customHeight="1">
      <c r="A96" t="inlineStr">
        <is>
          <t>A 47106-2021</t>
        </is>
      </c>
      <c r="B96" s="1" t="n">
        <v>44446</v>
      </c>
      <c r="C96" s="1" t="n">
        <v>46092</v>
      </c>
      <c r="D96" t="inlineStr">
        <is>
          <t>UPPSALA LÄN</t>
        </is>
      </c>
      <c r="E96" t="inlineStr">
        <is>
          <t>ENKÖPING</t>
        </is>
      </c>
      <c r="G96" t="n">
        <v>7.6</v>
      </c>
      <c r="H96" t="n">
        <v>0</v>
      </c>
      <c r="I96" t="n">
        <v>0</v>
      </c>
      <c r="J96" t="n">
        <v>0</v>
      </c>
      <c r="K96" t="n">
        <v>0</v>
      </c>
      <c r="L96" t="n">
        <v>0</v>
      </c>
      <c r="M96" t="n">
        <v>0</v>
      </c>
      <c r="N96" t="n">
        <v>0</v>
      </c>
      <c r="O96" t="n">
        <v>0</v>
      </c>
      <c r="P96" t="n">
        <v>0</v>
      </c>
      <c r="Q96" t="n">
        <v>0</v>
      </c>
      <c r="R96" s="2" t="inlineStr"/>
    </row>
    <row r="97" ht="15" customHeight="1">
      <c r="A97" t="inlineStr">
        <is>
          <t>A 19731-2022</t>
        </is>
      </c>
      <c r="B97" s="1" t="n">
        <v>44694</v>
      </c>
      <c r="C97" s="1" t="n">
        <v>46092</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57043-2021</t>
        </is>
      </c>
      <c r="B98" s="1" t="n">
        <v>44482.53399305556</v>
      </c>
      <c r="C98" s="1" t="n">
        <v>46092</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24883-2022</t>
        </is>
      </c>
      <c r="B99" s="1" t="n">
        <v>44728</v>
      </c>
      <c r="C99" s="1" t="n">
        <v>46092</v>
      </c>
      <c r="D99" t="inlineStr">
        <is>
          <t>UPPSALA LÄN</t>
        </is>
      </c>
      <c r="E99" t="inlineStr">
        <is>
          <t>ENKÖPING</t>
        </is>
      </c>
      <c r="G99" t="n">
        <v>2.5</v>
      </c>
      <c r="H99" t="n">
        <v>0</v>
      </c>
      <c r="I99" t="n">
        <v>0</v>
      </c>
      <c r="J99" t="n">
        <v>0</v>
      </c>
      <c r="K99" t="n">
        <v>0</v>
      </c>
      <c r="L99" t="n">
        <v>0</v>
      </c>
      <c r="M99" t="n">
        <v>0</v>
      </c>
      <c r="N99" t="n">
        <v>0</v>
      </c>
      <c r="O99" t="n">
        <v>0</v>
      </c>
      <c r="P99" t="n">
        <v>0</v>
      </c>
      <c r="Q99" t="n">
        <v>0</v>
      </c>
      <c r="R99" s="2" t="inlineStr"/>
    </row>
    <row r="100" ht="15" customHeight="1">
      <c r="A100" t="inlineStr">
        <is>
          <t>A 19630-2021</t>
        </is>
      </c>
      <c r="B100" s="1" t="n">
        <v>44312.61876157407</v>
      </c>
      <c r="C100" s="1" t="n">
        <v>46092</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68127-2021</t>
        </is>
      </c>
      <c r="B101" s="1" t="n">
        <v>44526.39513888889</v>
      </c>
      <c r="C101" s="1" t="n">
        <v>46092</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42021-2021</t>
        </is>
      </c>
      <c r="B102" s="1" t="n">
        <v>44426</v>
      </c>
      <c r="C102" s="1" t="n">
        <v>46092</v>
      </c>
      <c r="D102" t="inlineStr">
        <is>
          <t>UPPSALA LÄN</t>
        </is>
      </c>
      <c r="E102" t="inlineStr">
        <is>
          <t>ENKÖPING</t>
        </is>
      </c>
      <c r="G102" t="n">
        <v>2.2</v>
      </c>
      <c r="H102" t="n">
        <v>0</v>
      </c>
      <c r="I102" t="n">
        <v>0</v>
      </c>
      <c r="J102" t="n">
        <v>0</v>
      </c>
      <c r="K102" t="n">
        <v>0</v>
      </c>
      <c r="L102" t="n">
        <v>0</v>
      </c>
      <c r="M102" t="n">
        <v>0</v>
      </c>
      <c r="N102" t="n">
        <v>0</v>
      </c>
      <c r="O102" t="n">
        <v>0</v>
      </c>
      <c r="P102" t="n">
        <v>0</v>
      </c>
      <c r="Q102" t="n">
        <v>0</v>
      </c>
      <c r="R102" s="2" t="inlineStr"/>
    </row>
    <row r="103" ht="15" customHeight="1">
      <c r="A103" t="inlineStr">
        <is>
          <t>A 17467-2022</t>
        </is>
      </c>
      <c r="B103" s="1" t="n">
        <v>44679</v>
      </c>
      <c r="C103" s="1" t="n">
        <v>46092</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59121-2021</t>
        </is>
      </c>
      <c r="B104" s="1" t="n">
        <v>44490</v>
      </c>
      <c r="C104" s="1" t="n">
        <v>46092</v>
      </c>
      <c r="D104" t="inlineStr">
        <is>
          <t>UPPSALA LÄN</t>
        </is>
      </c>
      <c r="E104" t="inlineStr">
        <is>
          <t>ENKÖPING</t>
        </is>
      </c>
      <c r="G104" t="n">
        <v>2.4</v>
      </c>
      <c r="H104" t="n">
        <v>0</v>
      </c>
      <c r="I104" t="n">
        <v>0</v>
      </c>
      <c r="J104" t="n">
        <v>0</v>
      </c>
      <c r="K104" t="n">
        <v>0</v>
      </c>
      <c r="L104" t="n">
        <v>0</v>
      </c>
      <c r="M104" t="n">
        <v>0</v>
      </c>
      <c r="N104" t="n">
        <v>0</v>
      </c>
      <c r="O104" t="n">
        <v>0</v>
      </c>
      <c r="P104" t="n">
        <v>0</v>
      </c>
      <c r="Q104" t="n">
        <v>0</v>
      </c>
      <c r="R104" s="2" t="inlineStr"/>
    </row>
    <row r="105" ht="15" customHeight="1">
      <c r="A105" t="inlineStr">
        <is>
          <t>A 57078-2021</t>
        </is>
      </c>
      <c r="B105" s="1" t="n">
        <v>44482.57855324074</v>
      </c>
      <c r="C105" s="1" t="n">
        <v>46092</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46092</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29983-2021</t>
        </is>
      </c>
      <c r="B107" s="1" t="n">
        <v>44363</v>
      </c>
      <c r="C107" s="1" t="n">
        <v>46092</v>
      </c>
      <c r="D107" t="inlineStr">
        <is>
          <t>UPPSALA LÄN</t>
        </is>
      </c>
      <c r="E107" t="inlineStr">
        <is>
          <t>ENKÖPING</t>
        </is>
      </c>
      <c r="F107" t="inlineStr">
        <is>
          <t>Kommuner</t>
        </is>
      </c>
      <c r="G107" t="n">
        <v>3.1</v>
      </c>
      <c r="H107" t="n">
        <v>0</v>
      </c>
      <c r="I107" t="n">
        <v>0</v>
      </c>
      <c r="J107" t="n">
        <v>0</v>
      </c>
      <c r="K107" t="n">
        <v>0</v>
      </c>
      <c r="L107" t="n">
        <v>0</v>
      </c>
      <c r="M107" t="n">
        <v>0</v>
      </c>
      <c r="N107" t="n">
        <v>0</v>
      </c>
      <c r="O107" t="n">
        <v>0</v>
      </c>
      <c r="P107" t="n">
        <v>0</v>
      </c>
      <c r="Q107" t="n">
        <v>0</v>
      </c>
      <c r="R107" s="2" t="inlineStr"/>
    </row>
    <row r="108" ht="15" customHeight="1">
      <c r="A108" t="inlineStr">
        <is>
          <t>A 50747-2022</t>
        </is>
      </c>
      <c r="B108" s="1" t="n">
        <v>44867.40162037037</v>
      </c>
      <c r="C108" s="1" t="n">
        <v>46092</v>
      </c>
      <c r="D108" t="inlineStr">
        <is>
          <t>UPPSALA LÄN</t>
        </is>
      </c>
      <c r="E108" t="inlineStr">
        <is>
          <t>ENKÖPING</t>
        </is>
      </c>
      <c r="G108" t="n">
        <v>1.5</v>
      </c>
      <c r="H108" t="n">
        <v>0</v>
      </c>
      <c r="I108" t="n">
        <v>0</v>
      </c>
      <c r="J108" t="n">
        <v>0</v>
      </c>
      <c r="K108" t="n">
        <v>0</v>
      </c>
      <c r="L108" t="n">
        <v>0</v>
      </c>
      <c r="M108" t="n">
        <v>0</v>
      </c>
      <c r="N108" t="n">
        <v>0</v>
      </c>
      <c r="O108" t="n">
        <v>0</v>
      </c>
      <c r="P108" t="n">
        <v>0</v>
      </c>
      <c r="Q108" t="n">
        <v>0</v>
      </c>
      <c r="R108" s="2" t="inlineStr"/>
    </row>
    <row r="109" ht="15" customHeight="1">
      <c r="A109" t="inlineStr">
        <is>
          <t>A 49063-2024</t>
        </is>
      </c>
      <c r="B109" s="1" t="n">
        <v>45594.59869212963</v>
      </c>
      <c r="C109" s="1" t="n">
        <v>46092</v>
      </c>
      <c r="D109" t="inlineStr">
        <is>
          <t>UPPSALA LÄN</t>
        </is>
      </c>
      <c r="E109" t="inlineStr">
        <is>
          <t>ENKÖPING</t>
        </is>
      </c>
      <c r="G109" t="n">
        <v>1.5</v>
      </c>
      <c r="H109" t="n">
        <v>0</v>
      </c>
      <c r="I109" t="n">
        <v>0</v>
      </c>
      <c r="J109" t="n">
        <v>0</v>
      </c>
      <c r="K109" t="n">
        <v>0</v>
      </c>
      <c r="L109" t="n">
        <v>0</v>
      </c>
      <c r="M109" t="n">
        <v>0</v>
      </c>
      <c r="N109" t="n">
        <v>0</v>
      </c>
      <c r="O109" t="n">
        <v>0</v>
      </c>
      <c r="P109" t="n">
        <v>0</v>
      </c>
      <c r="Q109" t="n">
        <v>0</v>
      </c>
      <c r="R109" s="2" t="inlineStr"/>
    </row>
    <row r="110" ht="15" customHeight="1">
      <c r="A110" t="inlineStr">
        <is>
          <t>A 13853-2023</t>
        </is>
      </c>
      <c r="B110" s="1" t="n">
        <v>45007</v>
      </c>
      <c r="C110" s="1" t="n">
        <v>46092</v>
      </c>
      <c r="D110" t="inlineStr">
        <is>
          <t>UPPSALA LÄN</t>
        </is>
      </c>
      <c r="E110" t="inlineStr">
        <is>
          <t>ENKÖPING</t>
        </is>
      </c>
      <c r="G110" t="n">
        <v>0.6</v>
      </c>
      <c r="H110" t="n">
        <v>0</v>
      </c>
      <c r="I110" t="n">
        <v>0</v>
      </c>
      <c r="J110" t="n">
        <v>0</v>
      </c>
      <c r="K110" t="n">
        <v>0</v>
      </c>
      <c r="L110" t="n">
        <v>0</v>
      </c>
      <c r="M110" t="n">
        <v>0</v>
      </c>
      <c r="N110" t="n">
        <v>0</v>
      </c>
      <c r="O110" t="n">
        <v>0</v>
      </c>
      <c r="P110" t="n">
        <v>0</v>
      </c>
      <c r="Q110" t="n">
        <v>0</v>
      </c>
      <c r="R110" s="2" t="inlineStr"/>
    </row>
    <row r="111" ht="15" customHeight="1">
      <c r="A111" t="inlineStr">
        <is>
          <t>A 17657-2025</t>
        </is>
      </c>
      <c r="B111" s="1" t="n">
        <v>45758.35006944444</v>
      </c>
      <c r="C111" s="1" t="n">
        <v>46092</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49568-2022</t>
        </is>
      </c>
      <c r="B112" s="1" t="n">
        <v>44862.32791666667</v>
      </c>
      <c r="C112" s="1" t="n">
        <v>46092</v>
      </c>
      <c r="D112" t="inlineStr">
        <is>
          <t>UPPSALA LÄN</t>
        </is>
      </c>
      <c r="E112" t="inlineStr">
        <is>
          <t>ENKÖPING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15942-2022</t>
        </is>
      </c>
      <c r="B113" s="1" t="n">
        <v>44664</v>
      </c>
      <c r="C113" s="1" t="n">
        <v>46092</v>
      </c>
      <c r="D113" t="inlineStr">
        <is>
          <t>UPPSALA LÄN</t>
        </is>
      </c>
      <c r="E113" t="inlineStr">
        <is>
          <t>ENKÖPING</t>
        </is>
      </c>
      <c r="G113" t="n">
        <v>6.6</v>
      </c>
      <c r="H113" t="n">
        <v>0</v>
      </c>
      <c r="I113" t="n">
        <v>0</v>
      </c>
      <c r="J113" t="n">
        <v>0</v>
      </c>
      <c r="K113" t="n">
        <v>0</v>
      </c>
      <c r="L113" t="n">
        <v>0</v>
      </c>
      <c r="M113" t="n">
        <v>0</v>
      </c>
      <c r="N113" t="n">
        <v>0</v>
      </c>
      <c r="O113" t="n">
        <v>0</v>
      </c>
      <c r="P113" t="n">
        <v>0</v>
      </c>
      <c r="Q113" t="n">
        <v>0</v>
      </c>
      <c r="R113" s="2" t="inlineStr"/>
    </row>
    <row r="114" ht="15" customHeight="1">
      <c r="A114" t="inlineStr">
        <is>
          <t>A 2974-2025</t>
        </is>
      </c>
      <c r="B114" s="1" t="n">
        <v>45678.47168981482</v>
      </c>
      <c r="C114" s="1" t="n">
        <v>46092</v>
      </c>
      <c r="D114" t="inlineStr">
        <is>
          <t>UPPSALA LÄN</t>
        </is>
      </c>
      <c r="E114" t="inlineStr">
        <is>
          <t>ENKÖPING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47681-2024</t>
        </is>
      </c>
      <c r="B115" s="1" t="n">
        <v>45588</v>
      </c>
      <c r="C115" s="1" t="n">
        <v>46092</v>
      </c>
      <c r="D115" t="inlineStr">
        <is>
          <t>UPPSALA LÄN</t>
        </is>
      </c>
      <c r="E115" t="inlineStr">
        <is>
          <t>ENKÖPING</t>
        </is>
      </c>
      <c r="G115" t="n">
        <v>4.2</v>
      </c>
      <c r="H115" t="n">
        <v>0</v>
      </c>
      <c r="I115" t="n">
        <v>0</v>
      </c>
      <c r="J115" t="n">
        <v>0</v>
      </c>
      <c r="K115" t="n">
        <v>0</v>
      </c>
      <c r="L115" t="n">
        <v>0</v>
      </c>
      <c r="M115" t="n">
        <v>0</v>
      </c>
      <c r="N115" t="n">
        <v>0</v>
      </c>
      <c r="O115" t="n">
        <v>0</v>
      </c>
      <c r="P115" t="n">
        <v>0</v>
      </c>
      <c r="Q115" t="n">
        <v>0</v>
      </c>
      <c r="R115" s="2" t="inlineStr"/>
    </row>
    <row r="116" ht="15" customHeight="1">
      <c r="A116" t="inlineStr">
        <is>
          <t>A 27786-2023</t>
        </is>
      </c>
      <c r="B116" s="1" t="n">
        <v>45098</v>
      </c>
      <c r="C116" s="1" t="n">
        <v>46092</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53496-2022</t>
        </is>
      </c>
      <c r="B117" s="1" t="n">
        <v>44879.57217592592</v>
      </c>
      <c r="C117" s="1" t="n">
        <v>46092</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48864-2022</t>
        </is>
      </c>
      <c r="B118" s="1" t="n">
        <v>44859</v>
      </c>
      <c r="C118" s="1" t="n">
        <v>46092</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6242-2025</t>
        </is>
      </c>
      <c r="B119" s="1" t="n">
        <v>45697</v>
      </c>
      <c r="C119" s="1" t="n">
        <v>46092</v>
      </c>
      <c r="D119" t="inlineStr">
        <is>
          <t>UPPSALA LÄN</t>
        </is>
      </c>
      <c r="E119" t="inlineStr">
        <is>
          <t>ENKÖPING</t>
        </is>
      </c>
      <c r="G119" t="n">
        <v>17.9</v>
      </c>
      <c r="H119" t="n">
        <v>0</v>
      </c>
      <c r="I119" t="n">
        <v>0</v>
      </c>
      <c r="J119" t="n">
        <v>0</v>
      </c>
      <c r="K119" t="n">
        <v>0</v>
      </c>
      <c r="L119" t="n">
        <v>0</v>
      </c>
      <c r="M119" t="n">
        <v>0</v>
      </c>
      <c r="N119" t="n">
        <v>0</v>
      </c>
      <c r="O119" t="n">
        <v>0</v>
      </c>
      <c r="P119" t="n">
        <v>0</v>
      </c>
      <c r="Q119" t="n">
        <v>0</v>
      </c>
      <c r="R119" s="2" t="inlineStr"/>
    </row>
    <row r="120" ht="15" customHeight="1">
      <c r="A120" t="inlineStr">
        <is>
          <t>A 42459-2024</t>
        </is>
      </c>
      <c r="B120" s="1" t="n">
        <v>45565</v>
      </c>
      <c r="C120" s="1" t="n">
        <v>46092</v>
      </c>
      <c r="D120" t="inlineStr">
        <is>
          <t>UPPSALA LÄN</t>
        </is>
      </c>
      <c r="E120" t="inlineStr">
        <is>
          <t>ENKÖPING</t>
        </is>
      </c>
      <c r="G120" t="n">
        <v>3.6</v>
      </c>
      <c r="H120" t="n">
        <v>0</v>
      </c>
      <c r="I120" t="n">
        <v>0</v>
      </c>
      <c r="J120" t="n">
        <v>0</v>
      </c>
      <c r="K120" t="n">
        <v>0</v>
      </c>
      <c r="L120" t="n">
        <v>0</v>
      </c>
      <c r="M120" t="n">
        <v>0</v>
      </c>
      <c r="N120" t="n">
        <v>0</v>
      </c>
      <c r="O120" t="n">
        <v>0</v>
      </c>
      <c r="P120" t="n">
        <v>0</v>
      </c>
      <c r="Q120" t="n">
        <v>0</v>
      </c>
      <c r="R120" s="2" t="inlineStr"/>
    </row>
    <row r="121" ht="15" customHeight="1">
      <c r="A121" t="inlineStr">
        <is>
          <t>A 60125-2024</t>
        </is>
      </c>
      <c r="B121" s="1" t="n">
        <v>45642</v>
      </c>
      <c r="C121" s="1" t="n">
        <v>46092</v>
      </c>
      <c r="D121" t="inlineStr">
        <is>
          <t>UPPSALA LÄN</t>
        </is>
      </c>
      <c r="E121" t="inlineStr">
        <is>
          <t>ENKÖPING</t>
        </is>
      </c>
      <c r="G121" t="n">
        <v>2.1</v>
      </c>
      <c r="H121" t="n">
        <v>0</v>
      </c>
      <c r="I121" t="n">
        <v>0</v>
      </c>
      <c r="J121" t="n">
        <v>0</v>
      </c>
      <c r="K121" t="n">
        <v>0</v>
      </c>
      <c r="L121" t="n">
        <v>0</v>
      </c>
      <c r="M121" t="n">
        <v>0</v>
      </c>
      <c r="N121" t="n">
        <v>0</v>
      </c>
      <c r="O121" t="n">
        <v>0</v>
      </c>
      <c r="P121" t="n">
        <v>0</v>
      </c>
      <c r="Q121" t="n">
        <v>0</v>
      </c>
      <c r="R121" s="2" t="inlineStr"/>
    </row>
    <row r="122" ht="15" customHeight="1">
      <c r="A122" t="inlineStr">
        <is>
          <t>A 22156-2025</t>
        </is>
      </c>
      <c r="B122" s="1" t="n">
        <v>45785.57512731481</v>
      </c>
      <c r="C122" s="1" t="n">
        <v>46092</v>
      </c>
      <c r="D122" t="inlineStr">
        <is>
          <t>UPPSALA LÄN</t>
        </is>
      </c>
      <c r="E122" t="inlineStr">
        <is>
          <t>ENKÖPING</t>
        </is>
      </c>
      <c r="G122" t="n">
        <v>0.9</v>
      </c>
      <c r="H122" t="n">
        <v>0</v>
      </c>
      <c r="I122" t="n">
        <v>0</v>
      </c>
      <c r="J122" t="n">
        <v>0</v>
      </c>
      <c r="K122" t="n">
        <v>0</v>
      </c>
      <c r="L122" t="n">
        <v>0</v>
      </c>
      <c r="M122" t="n">
        <v>0</v>
      </c>
      <c r="N122" t="n">
        <v>0</v>
      </c>
      <c r="O122" t="n">
        <v>0</v>
      </c>
      <c r="P122" t="n">
        <v>0</v>
      </c>
      <c r="Q122" t="n">
        <v>0</v>
      </c>
      <c r="R122" s="2" t="inlineStr"/>
    </row>
    <row r="123" ht="15" customHeight="1">
      <c r="A123" t="inlineStr">
        <is>
          <t>A 22150-2025</t>
        </is>
      </c>
      <c r="B123" s="1" t="n">
        <v>45785.56398148148</v>
      </c>
      <c r="C123" s="1" t="n">
        <v>46092</v>
      </c>
      <c r="D123" t="inlineStr">
        <is>
          <t>UPPSALA LÄN</t>
        </is>
      </c>
      <c r="E123" t="inlineStr">
        <is>
          <t>ENKÖPING</t>
        </is>
      </c>
      <c r="G123" t="n">
        <v>1.3</v>
      </c>
      <c r="H123" t="n">
        <v>0</v>
      </c>
      <c r="I123" t="n">
        <v>0</v>
      </c>
      <c r="J123" t="n">
        <v>0</v>
      </c>
      <c r="K123" t="n">
        <v>0</v>
      </c>
      <c r="L123" t="n">
        <v>0</v>
      </c>
      <c r="M123" t="n">
        <v>0</v>
      </c>
      <c r="N123" t="n">
        <v>0</v>
      </c>
      <c r="O123" t="n">
        <v>0</v>
      </c>
      <c r="P123" t="n">
        <v>0</v>
      </c>
      <c r="Q123" t="n">
        <v>0</v>
      </c>
      <c r="R123" s="2" t="inlineStr"/>
    </row>
    <row r="124" ht="15" customHeight="1">
      <c r="A124" t="inlineStr">
        <is>
          <t>A 10468-2025</t>
        </is>
      </c>
      <c r="B124" s="1" t="n">
        <v>45720</v>
      </c>
      <c r="C124" s="1" t="n">
        <v>46092</v>
      </c>
      <c r="D124" t="inlineStr">
        <is>
          <t>UPPSALA LÄN</t>
        </is>
      </c>
      <c r="E124" t="inlineStr">
        <is>
          <t>ENKÖPING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30087-2024</t>
        </is>
      </c>
      <c r="B125" s="1" t="n">
        <v>45489.39447916667</v>
      </c>
      <c r="C125" s="1" t="n">
        <v>46092</v>
      </c>
      <c r="D125" t="inlineStr">
        <is>
          <t>UPPSALA LÄN</t>
        </is>
      </c>
      <c r="E125" t="inlineStr">
        <is>
          <t>ENKÖPING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54776-2024</t>
        </is>
      </c>
      <c r="B126" s="1" t="n">
        <v>45618</v>
      </c>
      <c r="C126" s="1" t="n">
        <v>46092</v>
      </c>
      <c r="D126" t="inlineStr">
        <is>
          <t>UPPSALA LÄN</t>
        </is>
      </c>
      <c r="E126" t="inlineStr">
        <is>
          <t>ENKÖPING</t>
        </is>
      </c>
      <c r="G126" t="n">
        <v>1.8</v>
      </c>
      <c r="H126" t="n">
        <v>0</v>
      </c>
      <c r="I126" t="n">
        <v>0</v>
      </c>
      <c r="J126" t="n">
        <v>0</v>
      </c>
      <c r="K126" t="n">
        <v>0</v>
      </c>
      <c r="L126" t="n">
        <v>0</v>
      </c>
      <c r="M126" t="n">
        <v>0</v>
      </c>
      <c r="N126" t="n">
        <v>0</v>
      </c>
      <c r="O126" t="n">
        <v>0</v>
      </c>
      <c r="P126" t="n">
        <v>0</v>
      </c>
      <c r="Q126" t="n">
        <v>0</v>
      </c>
      <c r="R126" s="2" t="inlineStr"/>
    </row>
    <row r="127" ht="15" customHeight="1">
      <c r="A127" t="inlineStr">
        <is>
          <t>A 22729-2025</t>
        </is>
      </c>
      <c r="B127" s="1" t="n">
        <v>45789.57790509259</v>
      </c>
      <c r="C127" s="1" t="n">
        <v>46092</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14518-2025</t>
        </is>
      </c>
      <c r="B128" s="1" t="n">
        <v>45741</v>
      </c>
      <c r="C128" s="1" t="n">
        <v>46092</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22677-2025</t>
        </is>
      </c>
      <c r="B129" s="1" t="n">
        <v>45789.49515046296</v>
      </c>
      <c r="C129" s="1" t="n">
        <v>46092</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5211-2024</t>
        </is>
      </c>
      <c r="B130" s="1" t="n">
        <v>45330</v>
      </c>
      <c r="C130" s="1" t="n">
        <v>46092</v>
      </c>
      <c r="D130" t="inlineStr">
        <is>
          <t>UPPSALA LÄN</t>
        </is>
      </c>
      <c r="E130" t="inlineStr">
        <is>
          <t>ENKÖPING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10409-2025</t>
        </is>
      </c>
      <c r="B131" s="1" t="n">
        <v>45720.631875</v>
      </c>
      <c r="C131" s="1" t="n">
        <v>46092</v>
      </c>
      <c r="D131" t="inlineStr">
        <is>
          <t>UPPSALA LÄN</t>
        </is>
      </c>
      <c r="E131" t="inlineStr">
        <is>
          <t>ENKÖPING</t>
        </is>
      </c>
      <c r="G131" t="n">
        <v>2.2</v>
      </c>
      <c r="H131" t="n">
        <v>0</v>
      </c>
      <c r="I131" t="n">
        <v>0</v>
      </c>
      <c r="J131" t="n">
        <v>0</v>
      </c>
      <c r="K131" t="n">
        <v>0</v>
      </c>
      <c r="L131" t="n">
        <v>0</v>
      </c>
      <c r="M131" t="n">
        <v>0</v>
      </c>
      <c r="N131" t="n">
        <v>0</v>
      </c>
      <c r="O131" t="n">
        <v>0</v>
      </c>
      <c r="P131" t="n">
        <v>0</v>
      </c>
      <c r="Q131" t="n">
        <v>0</v>
      </c>
      <c r="R131" s="2" t="inlineStr"/>
    </row>
    <row r="132" ht="15" customHeight="1">
      <c r="A132" t="inlineStr">
        <is>
          <t>A 22679-2025</t>
        </is>
      </c>
      <c r="B132" s="1" t="n">
        <v>45789.49747685185</v>
      </c>
      <c r="C132" s="1" t="n">
        <v>46092</v>
      </c>
      <c r="D132" t="inlineStr">
        <is>
          <t>UPPSALA LÄN</t>
        </is>
      </c>
      <c r="E132" t="inlineStr">
        <is>
          <t>ENKÖPING</t>
        </is>
      </c>
      <c r="G132" t="n">
        <v>1.1</v>
      </c>
      <c r="H132" t="n">
        <v>0</v>
      </c>
      <c r="I132" t="n">
        <v>0</v>
      </c>
      <c r="J132" t="n">
        <v>0</v>
      </c>
      <c r="K132" t="n">
        <v>0</v>
      </c>
      <c r="L132" t="n">
        <v>0</v>
      </c>
      <c r="M132" t="n">
        <v>0</v>
      </c>
      <c r="N132" t="n">
        <v>0</v>
      </c>
      <c r="O132" t="n">
        <v>0</v>
      </c>
      <c r="P132" t="n">
        <v>0</v>
      </c>
      <c r="Q132" t="n">
        <v>0</v>
      </c>
      <c r="R132" s="2" t="inlineStr"/>
    </row>
    <row r="133" ht="15" customHeight="1">
      <c r="A133" t="inlineStr">
        <is>
          <t>A 22770-2025</t>
        </is>
      </c>
      <c r="B133" s="1" t="n">
        <v>45789.63454861111</v>
      </c>
      <c r="C133" s="1" t="n">
        <v>46092</v>
      </c>
      <c r="D133" t="inlineStr">
        <is>
          <t>UPPSALA LÄN</t>
        </is>
      </c>
      <c r="E133" t="inlineStr">
        <is>
          <t>ENKÖPING</t>
        </is>
      </c>
      <c r="G133" t="n">
        <v>4.5</v>
      </c>
      <c r="H133" t="n">
        <v>0</v>
      </c>
      <c r="I133" t="n">
        <v>0</v>
      </c>
      <c r="J133" t="n">
        <v>0</v>
      </c>
      <c r="K133" t="n">
        <v>0</v>
      </c>
      <c r="L133" t="n">
        <v>0</v>
      </c>
      <c r="M133" t="n">
        <v>0</v>
      </c>
      <c r="N133" t="n">
        <v>0</v>
      </c>
      <c r="O133" t="n">
        <v>0</v>
      </c>
      <c r="P133" t="n">
        <v>0</v>
      </c>
      <c r="Q133" t="n">
        <v>0</v>
      </c>
      <c r="R133" s="2" t="inlineStr"/>
    </row>
    <row r="134" ht="15" customHeight="1">
      <c r="A134" t="inlineStr">
        <is>
          <t>A 22800-2025</t>
        </is>
      </c>
      <c r="B134" s="1" t="n">
        <v>45789.6669212963</v>
      </c>
      <c r="C134" s="1" t="n">
        <v>46092</v>
      </c>
      <c r="D134" t="inlineStr">
        <is>
          <t>UPPSALA LÄN</t>
        </is>
      </c>
      <c r="E134" t="inlineStr">
        <is>
          <t>ENKÖPING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18299-2025</t>
        </is>
      </c>
      <c r="B135" s="1" t="n">
        <v>45762</v>
      </c>
      <c r="C135" s="1" t="n">
        <v>46092</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6981-2025</t>
        </is>
      </c>
      <c r="B136" s="1" t="n">
        <v>45701</v>
      </c>
      <c r="C136" s="1" t="n">
        <v>46092</v>
      </c>
      <c r="D136" t="inlineStr">
        <is>
          <t>UPPSALA LÄN</t>
        </is>
      </c>
      <c r="E136" t="inlineStr">
        <is>
          <t>ENKÖPING</t>
        </is>
      </c>
      <c r="G136" t="n">
        <v>0.9</v>
      </c>
      <c r="H136" t="n">
        <v>0</v>
      </c>
      <c r="I136" t="n">
        <v>0</v>
      </c>
      <c r="J136" t="n">
        <v>0</v>
      </c>
      <c r="K136" t="n">
        <v>0</v>
      </c>
      <c r="L136" t="n">
        <v>0</v>
      </c>
      <c r="M136" t="n">
        <v>0</v>
      </c>
      <c r="N136" t="n">
        <v>0</v>
      </c>
      <c r="O136" t="n">
        <v>0</v>
      </c>
      <c r="P136" t="n">
        <v>0</v>
      </c>
      <c r="Q136" t="n">
        <v>0</v>
      </c>
      <c r="R136" s="2" t="inlineStr"/>
    </row>
    <row r="137" ht="15" customHeight="1">
      <c r="A137" t="inlineStr">
        <is>
          <t>A 22786-2025</t>
        </is>
      </c>
      <c r="B137" s="1" t="n">
        <v>45789.64643518518</v>
      </c>
      <c r="C137" s="1" t="n">
        <v>46092</v>
      </c>
      <c r="D137" t="inlineStr">
        <is>
          <t>UPPSALA LÄN</t>
        </is>
      </c>
      <c r="E137" t="inlineStr">
        <is>
          <t>ENKÖPING</t>
        </is>
      </c>
      <c r="G137" t="n">
        <v>0.9</v>
      </c>
      <c r="H137" t="n">
        <v>0</v>
      </c>
      <c r="I137" t="n">
        <v>0</v>
      </c>
      <c r="J137" t="n">
        <v>0</v>
      </c>
      <c r="K137" t="n">
        <v>0</v>
      </c>
      <c r="L137" t="n">
        <v>0</v>
      </c>
      <c r="M137" t="n">
        <v>0</v>
      </c>
      <c r="N137" t="n">
        <v>0</v>
      </c>
      <c r="O137" t="n">
        <v>0</v>
      </c>
      <c r="P137" t="n">
        <v>0</v>
      </c>
      <c r="Q137" t="n">
        <v>0</v>
      </c>
      <c r="R137" s="2" t="inlineStr"/>
    </row>
    <row r="138" ht="15" customHeight="1">
      <c r="A138" t="inlineStr">
        <is>
          <t>A 68123-2021</t>
        </is>
      </c>
      <c r="B138" s="1" t="n">
        <v>44526.39126157408</v>
      </c>
      <c r="C138" s="1" t="n">
        <v>46092</v>
      </c>
      <c r="D138" t="inlineStr">
        <is>
          <t>UPPSALA LÄN</t>
        </is>
      </c>
      <c r="E138" t="inlineStr">
        <is>
          <t>ENKÖPING</t>
        </is>
      </c>
      <c r="G138" t="n">
        <v>0.9</v>
      </c>
      <c r="H138" t="n">
        <v>0</v>
      </c>
      <c r="I138" t="n">
        <v>0</v>
      </c>
      <c r="J138" t="n">
        <v>0</v>
      </c>
      <c r="K138" t="n">
        <v>0</v>
      </c>
      <c r="L138" t="n">
        <v>0</v>
      </c>
      <c r="M138" t="n">
        <v>0</v>
      </c>
      <c r="N138" t="n">
        <v>0</v>
      </c>
      <c r="O138" t="n">
        <v>0</v>
      </c>
      <c r="P138" t="n">
        <v>0</v>
      </c>
      <c r="Q138" t="n">
        <v>0</v>
      </c>
      <c r="R138" s="2" t="inlineStr"/>
    </row>
    <row r="139" ht="15" customHeight="1">
      <c r="A139" t="inlineStr">
        <is>
          <t>A 22680-2025</t>
        </is>
      </c>
      <c r="B139" s="1" t="n">
        <v>45789.5005787037</v>
      </c>
      <c r="C139" s="1" t="n">
        <v>46092</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22802-2025</t>
        </is>
      </c>
      <c r="B140" s="1" t="n">
        <v>45789.6686574074</v>
      </c>
      <c r="C140" s="1" t="n">
        <v>46092</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21686-2022</t>
        </is>
      </c>
      <c r="B141" s="1" t="n">
        <v>44707</v>
      </c>
      <c r="C141" s="1" t="n">
        <v>46092</v>
      </c>
      <c r="D141" t="inlineStr">
        <is>
          <t>UPPSALA LÄN</t>
        </is>
      </c>
      <c r="E141" t="inlineStr">
        <is>
          <t>ENKÖPING</t>
        </is>
      </c>
      <c r="G141" t="n">
        <v>2.2</v>
      </c>
      <c r="H141" t="n">
        <v>0</v>
      </c>
      <c r="I141" t="n">
        <v>0</v>
      </c>
      <c r="J141" t="n">
        <v>0</v>
      </c>
      <c r="K141" t="n">
        <v>0</v>
      </c>
      <c r="L141" t="n">
        <v>0</v>
      </c>
      <c r="M141" t="n">
        <v>0</v>
      </c>
      <c r="N141" t="n">
        <v>0</v>
      </c>
      <c r="O141" t="n">
        <v>0</v>
      </c>
      <c r="P141" t="n">
        <v>0</v>
      </c>
      <c r="Q141" t="n">
        <v>0</v>
      </c>
      <c r="R141" s="2" t="inlineStr"/>
    </row>
    <row r="142" ht="15" customHeight="1">
      <c r="A142" t="inlineStr">
        <is>
          <t>A 18831-2023</t>
        </is>
      </c>
      <c r="B142" s="1" t="n">
        <v>45044.40798611111</v>
      </c>
      <c r="C142" s="1" t="n">
        <v>46092</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6172-2023</t>
        </is>
      </c>
      <c r="B143" s="1" t="n">
        <v>44964.68663194445</v>
      </c>
      <c r="C143" s="1" t="n">
        <v>46092</v>
      </c>
      <c r="D143" t="inlineStr">
        <is>
          <t>UPPSALA LÄN</t>
        </is>
      </c>
      <c r="E143" t="inlineStr">
        <is>
          <t>ENKÖPING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14402-2023</t>
        </is>
      </c>
      <c r="B144" s="1" t="n">
        <v>45012</v>
      </c>
      <c r="C144" s="1" t="n">
        <v>46092</v>
      </c>
      <c r="D144" t="inlineStr">
        <is>
          <t>UPPSALA LÄN</t>
        </is>
      </c>
      <c r="E144" t="inlineStr">
        <is>
          <t>ENKÖPING</t>
        </is>
      </c>
      <c r="G144" t="n">
        <v>9.5</v>
      </c>
      <c r="H144" t="n">
        <v>0</v>
      </c>
      <c r="I144" t="n">
        <v>0</v>
      </c>
      <c r="J144" t="n">
        <v>0</v>
      </c>
      <c r="K144" t="n">
        <v>0</v>
      </c>
      <c r="L144" t="n">
        <v>0</v>
      </c>
      <c r="M144" t="n">
        <v>0</v>
      </c>
      <c r="N144" t="n">
        <v>0</v>
      </c>
      <c r="O144" t="n">
        <v>0</v>
      </c>
      <c r="P144" t="n">
        <v>0</v>
      </c>
      <c r="Q144" t="n">
        <v>0</v>
      </c>
      <c r="R144" s="2" t="inlineStr"/>
    </row>
    <row r="145" ht="15" customHeight="1">
      <c r="A145" t="inlineStr">
        <is>
          <t>A 22793-2025</t>
        </is>
      </c>
      <c r="B145" s="1" t="n">
        <v>45789.65693287037</v>
      </c>
      <c r="C145" s="1" t="n">
        <v>46092</v>
      </c>
      <c r="D145" t="inlineStr">
        <is>
          <t>UPPSALA LÄN</t>
        </is>
      </c>
      <c r="E145" t="inlineStr">
        <is>
          <t>ENKÖPING</t>
        </is>
      </c>
      <c r="G145" t="n">
        <v>3.2</v>
      </c>
      <c r="H145" t="n">
        <v>0</v>
      </c>
      <c r="I145" t="n">
        <v>0</v>
      </c>
      <c r="J145" t="n">
        <v>0</v>
      </c>
      <c r="K145" t="n">
        <v>0</v>
      </c>
      <c r="L145" t="n">
        <v>0</v>
      </c>
      <c r="M145" t="n">
        <v>0</v>
      </c>
      <c r="N145" t="n">
        <v>0</v>
      </c>
      <c r="O145" t="n">
        <v>0</v>
      </c>
      <c r="P145" t="n">
        <v>0</v>
      </c>
      <c r="Q145" t="n">
        <v>0</v>
      </c>
      <c r="R145" s="2" t="inlineStr"/>
    </row>
    <row r="146" ht="15" customHeight="1">
      <c r="A146" t="inlineStr">
        <is>
          <t>A 22795-2025</t>
        </is>
      </c>
      <c r="B146" s="1" t="n">
        <v>45789.65944444444</v>
      </c>
      <c r="C146" s="1" t="n">
        <v>46092</v>
      </c>
      <c r="D146" t="inlineStr">
        <is>
          <t>UPPSALA LÄN</t>
        </is>
      </c>
      <c r="E146" t="inlineStr">
        <is>
          <t>ENKÖPING</t>
        </is>
      </c>
      <c r="G146" t="n">
        <v>10.4</v>
      </c>
      <c r="H146" t="n">
        <v>0</v>
      </c>
      <c r="I146" t="n">
        <v>0</v>
      </c>
      <c r="J146" t="n">
        <v>0</v>
      </c>
      <c r="K146" t="n">
        <v>0</v>
      </c>
      <c r="L146" t="n">
        <v>0</v>
      </c>
      <c r="M146" t="n">
        <v>0</v>
      </c>
      <c r="N146" t="n">
        <v>0</v>
      </c>
      <c r="O146" t="n">
        <v>0</v>
      </c>
      <c r="P146" t="n">
        <v>0</v>
      </c>
      <c r="Q146" t="n">
        <v>0</v>
      </c>
      <c r="R146" s="2" t="inlineStr"/>
    </row>
    <row r="147" ht="15" customHeight="1">
      <c r="A147" t="inlineStr">
        <is>
          <t>A 22725-2025</t>
        </is>
      </c>
      <c r="B147" s="1" t="n">
        <v>45789.57371527778</v>
      </c>
      <c r="C147" s="1" t="n">
        <v>46092</v>
      </c>
      <c r="D147" t="inlineStr">
        <is>
          <t>UPPSALA LÄN</t>
        </is>
      </c>
      <c r="E147" t="inlineStr">
        <is>
          <t>ENKÖPING</t>
        </is>
      </c>
      <c r="G147" t="n">
        <v>4.8</v>
      </c>
      <c r="H147" t="n">
        <v>0</v>
      </c>
      <c r="I147" t="n">
        <v>0</v>
      </c>
      <c r="J147" t="n">
        <v>0</v>
      </c>
      <c r="K147" t="n">
        <v>0</v>
      </c>
      <c r="L147" t="n">
        <v>0</v>
      </c>
      <c r="M147" t="n">
        <v>0</v>
      </c>
      <c r="N147" t="n">
        <v>0</v>
      </c>
      <c r="O147" t="n">
        <v>0</v>
      </c>
      <c r="P147" t="n">
        <v>0</v>
      </c>
      <c r="Q147" t="n">
        <v>0</v>
      </c>
      <c r="R147" s="2" t="inlineStr"/>
    </row>
    <row r="148" ht="15" customHeight="1">
      <c r="A148" t="inlineStr">
        <is>
          <t>A 56625-2025</t>
        </is>
      </c>
      <c r="B148" s="1" t="n">
        <v>45975.60608796297</v>
      </c>
      <c r="C148" s="1" t="n">
        <v>46092</v>
      </c>
      <c r="D148" t="inlineStr">
        <is>
          <t>UPPSALA LÄN</t>
        </is>
      </c>
      <c r="E148" t="inlineStr">
        <is>
          <t>ENKÖPING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56176-2021</t>
        </is>
      </c>
      <c r="B149" s="1" t="n">
        <v>44477</v>
      </c>
      <c r="C149" s="1" t="n">
        <v>46092</v>
      </c>
      <c r="D149" t="inlineStr">
        <is>
          <t>UPPSALA LÄN</t>
        </is>
      </c>
      <c r="E149" t="inlineStr">
        <is>
          <t>ENKÖPING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27983-2024</t>
        </is>
      </c>
      <c r="B150" s="1" t="n">
        <v>45476</v>
      </c>
      <c r="C150" s="1" t="n">
        <v>46092</v>
      </c>
      <c r="D150" t="inlineStr">
        <is>
          <t>UPPSALA LÄN</t>
        </is>
      </c>
      <c r="E150" t="inlineStr">
        <is>
          <t>ENKÖPING</t>
        </is>
      </c>
      <c r="G150" t="n">
        <v>3.2</v>
      </c>
      <c r="H150" t="n">
        <v>0</v>
      </c>
      <c r="I150" t="n">
        <v>0</v>
      </c>
      <c r="J150" t="n">
        <v>0</v>
      </c>
      <c r="K150" t="n">
        <v>0</v>
      </c>
      <c r="L150" t="n">
        <v>0</v>
      </c>
      <c r="M150" t="n">
        <v>0</v>
      </c>
      <c r="N150" t="n">
        <v>0</v>
      </c>
      <c r="O150" t="n">
        <v>0</v>
      </c>
      <c r="P150" t="n">
        <v>0</v>
      </c>
      <c r="Q150" t="n">
        <v>0</v>
      </c>
      <c r="R150" s="2" t="inlineStr"/>
    </row>
    <row r="151" ht="15" customHeight="1">
      <c r="A151" t="inlineStr">
        <is>
          <t>A 19298-2023</t>
        </is>
      </c>
      <c r="B151" s="1" t="n">
        <v>45048</v>
      </c>
      <c r="C151" s="1" t="n">
        <v>46092</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57294-2025</t>
        </is>
      </c>
      <c r="B152" s="1" t="n">
        <v>45979</v>
      </c>
      <c r="C152" s="1" t="n">
        <v>46092</v>
      </c>
      <c r="D152" t="inlineStr">
        <is>
          <t>UPPSALA LÄN</t>
        </is>
      </c>
      <c r="E152" t="inlineStr">
        <is>
          <t>ENKÖPING</t>
        </is>
      </c>
      <c r="G152" t="n">
        <v>6.2</v>
      </c>
      <c r="H152" t="n">
        <v>0</v>
      </c>
      <c r="I152" t="n">
        <v>0</v>
      </c>
      <c r="J152" t="n">
        <v>0</v>
      </c>
      <c r="K152" t="n">
        <v>0</v>
      </c>
      <c r="L152" t="n">
        <v>0</v>
      </c>
      <c r="M152" t="n">
        <v>0</v>
      </c>
      <c r="N152" t="n">
        <v>0</v>
      </c>
      <c r="O152" t="n">
        <v>0</v>
      </c>
      <c r="P152" t="n">
        <v>0</v>
      </c>
      <c r="Q152" t="n">
        <v>0</v>
      </c>
      <c r="R152" s="2" t="inlineStr"/>
    </row>
    <row r="153" ht="15" customHeight="1">
      <c r="A153" t="inlineStr">
        <is>
          <t>A 15939-2022</t>
        </is>
      </c>
      <c r="B153" s="1" t="n">
        <v>44664</v>
      </c>
      <c r="C153" s="1" t="n">
        <v>46092</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69344-2021</t>
        </is>
      </c>
      <c r="B154" s="1" t="n">
        <v>44531</v>
      </c>
      <c r="C154" s="1" t="n">
        <v>46092</v>
      </c>
      <c r="D154" t="inlineStr">
        <is>
          <t>UPPSALA LÄN</t>
        </is>
      </c>
      <c r="E154" t="inlineStr">
        <is>
          <t>ENKÖPING</t>
        </is>
      </c>
      <c r="G154" t="n">
        <v>2.9</v>
      </c>
      <c r="H154" t="n">
        <v>0</v>
      </c>
      <c r="I154" t="n">
        <v>0</v>
      </c>
      <c r="J154" t="n">
        <v>0</v>
      </c>
      <c r="K154" t="n">
        <v>0</v>
      </c>
      <c r="L154" t="n">
        <v>0</v>
      </c>
      <c r="M154" t="n">
        <v>0</v>
      </c>
      <c r="N154" t="n">
        <v>0</v>
      </c>
      <c r="O154" t="n">
        <v>0</v>
      </c>
      <c r="P154" t="n">
        <v>0</v>
      </c>
      <c r="Q154" t="n">
        <v>0</v>
      </c>
      <c r="R154" s="2" t="inlineStr"/>
    </row>
    <row r="155" ht="15" customHeight="1">
      <c r="A155" t="inlineStr">
        <is>
          <t>A 57153-2021</t>
        </is>
      </c>
      <c r="B155" s="1" t="n">
        <v>44482</v>
      </c>
      <c r="C155" s="1" t="n">
        <v>46092</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43697-2024</t>
        </is>
      </c>
      <c r="B156" s="1" t="n">
        <v>45569</v>
      </c>
      <c r="C156" s="1" t="n">
        <v>46092</v>
      </c>
      <c r="D156" t="inlineStr">
        <is>
          <t>UPPSALA LÄN</t>
        </is>
      </c>
      <c r="E156" t="inlineStr">
        <is>
          <t>ENKÖPING</t>
        </is>
      </c>
      <c r="G156" t="n">
        <v>2.1</v>
      </c>
      <c r="H156" t="n">
        <v>0</v>
      </c>
      <c r="I156" t="n">
        <v>0</v>
      </c>
      <c r="J156" t="n">
        <v>0</v>
      </c>
      <c r="K156" t="n">
        <v>0</v>
      </c>
      <c r="L156" t="n">
        <v>0</v>
      </c>
      <c r="M156" t="n">
        <v>0</v>
      </c>
      <c r="N156" t="n">
        <v>0</v>
      </c>
      <c r="O156" t="n">
        <v>0</v>
      </c>
      <c r="P156" t="n">
        <v>0</v>
      </c>
      <c r="Q156" t="n">
        <v>0</v>
      </c>
      <c r="R156" s="2" t="inlineStr"/>
    </row>
    <row r="157" ht="15" customHeight="1">
      <c r="A157" t="inlineStr">
        <is>
          <t>A 45283-2022</t>
        </is>
      </c>
      <c r="B157" s="1" t="n">
        <v>44844</v>
      </c>
      <c r="C157" s="1" t="n">
        <v>46092</v>
      </c>
      <c r="D157" t="inlineStr">
        <is>
          <t>UPPSALA LÄN</t>
        </is>
      </c>
      <c r="E157" t="inlineStr">
        <is>
          <t>ENKÖPING</t>
        </is>
      </c>
      <c r="G157" t="n">
        <v>5.9</v>
      </c>
      <c r="H157" t="n">
        <v>0</v>
      </c>
      <c r="I157" t="n">
        <v>0</v>
      </c>
      <c r="J157" t="n">
        <v>0</v>
      </c>
      <c r="K157" t="n">
        <v>0</v>
      </c>
      <c r="L157" t="n">
        <v>0</v>
      </c>
      <c r="M157" t="n">
        <v>0</v>
      </c>
      <c r="N157" t="n">
        <v>0</v>
      </c>
      <c r="O157" t="n">
        <v>0</v>
      </c>
      <c r="P157" t="n">
        <v>0</v>
      </c>
      <c r="Q157" t="n">
        <v>0</v>
      </c>
      <c r="R157" s="2" t="inlineStr"/>
    </row>
    <row r="158" ht="15" customHeight="1">
      <c r="A158" t="inlineStr">
        <is>
          <t>A 58025-2025</t>
        </is>
      </c>
      <c r="B158" s="1" t="n">
        <v>45982</v>
      </c>
      <c r="C158" s="1" t="n">
        <v>46092</v>
      </c>
      <c r="D158" t="inlineStr">
        <is>
          <t>UPPSALA LÄN</t>
        </is>
      </c>
      <c r="E158" t="inlineStr">
        <is>
          <t>ENKÖPING</t>
        </is>
      </c>
      <c r="G158" t="n">
        <v>3.2</v>
      </c>
      <c r="H158" t="n">
        <v>0</v>
      </c>
      <c r="I158" t="n">
        <v>0</v>
      </c>
      <c r="J158" t="n">
        <v>0</v>
      </c>
      <c r="K158" t="n">
        <v>0</v>
      </c>
      <c r="L158" t="n">
        <v>0</v>
      </c>
      <c r="M158" t="n">
        <v>0</v>
      </c>
      <c r="N158" t="n">
        <v>0</v>
      </c>
      <c r="O158" t="n">
        <v>0</v>
      </c>
      <c r="P158" t="n">
        <v>0</v>
      </c>
      <c r="Q158" t="n">
        <v>0</v>
      </c>
      <c r="R158" s="2" t="inlineStr"/>
    </row>
    <row r="159" ht="15" customHeight="1">
      <c r="A159" t="inlineStr">
        <is>
          <t>A 41826-2024</t>
        </is>
      </c>
      <c r="B159" s="1" t="n">
        <v>45561</v>
      </c>
      <c r="C159" s="1" t="n">
        <v>46092</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42589-2022</t>
        </is>
      </c>
      <c r="B160" s="1" t="n">
        <v>44831</v>
      </c>
      <c r="C160" s="1" t="n">
        <v>46092</v>
      </c>
      <c r="D160" t="inlineStr">
        <is>
          <t>UPPSALA LÄN</t>
        </is>
      </c>
      <c r="E160" t="inlineStr">
        <is>
          <t>ENKÖPING</t>
        </is>
      </c>
      <c r="G160" t="n">
        <v>20</v>
      </c>
      <c r="H160" t="n">
        <v>0</v>
      </c>
      <c r="I160" t="n">
        <v>0</v>
      </c>
      <c r="J160" t="n">
        <v>0</v>
      </c>
      <c r="K160" t="n">
        <v>0</v>
      </c>
      <c r="L160" t="n">
        <v>0</v>
      </c>
      <c r="M160" t="n">
        <v>0</v>
      </c>
      <c r="N160" t="n">
        <v>0</v>
      </c>
      <c r="O160" t="n">
        <v>0</v>
      </c>
      <c r="P160" t="n">
        <v>0</v>
      </c>
      <c r="Q160" t="n">
        <v>0</v>
      </c>
      <c r="R160" s="2" t="inlineStr"/>
    </row>
    <row r="161" ht="15" customHeight="1">
      <c r="A161" t="inlineStr">
        <is>
          <t>A 57188-2025</t>
        </is>
      </c>
      <c r="B161" s="1" t="n">
        <v>45979</v>
      </c>
      <c r="C161" s="1" t="n">
        <v>46092</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840-2025</t>
        </is>
      </c>
      <c r="B162" s="1" t="n">
        <v>45665</v>
      </c>
      <c r="C162" s="1" t="n">
        <v>46092</v>
      </c>
      <c r="D162" t="inlineStr">
        <is>
          <t>UPPSALA LÄN</t>
        </is>
      </c>
      <c r="E162" t="inlineStr">
        <is>
          <t>ENKÖPING</t>
        </is>
      </c>
      <c r="G162" t="n">
        <v>0.9</v>
      </c>
      <c r="H162" t="n">
        <v>0</v>
      </c>
      <c r="I162" t="n">
        <v>0</v>
      </c>
      <c r="J162" t="n">
        <v>0</v>
      </c>
      <c r="K162" t="n">
        <v>0</v>
      </c>
      <c r="L162" t="n">
        <v>0</v>
      </c>
      <c r="M162" t="n">
        <v>0</v>
      </c>
      <c r="N162" t="n">
        <v>0</v>
      </c>
      <c r="O162" t="n">
        <v>0</v>
      </c>
      <c r="P162" t="n">
        <v>0</v>
      </c>
      <c r="Q162" t="n">
        <v>0</v>
      </c>
      <c r="R162" s="2" t="inlineStr"/>
    </row>
    <row r="163" ht="15" customHeight="1">
      <c r="A163" t="inlineStr">
        <is>
          <t>A 37115-2024</t>
        </is>
      </c>
      <c r="B163" s="1" t="n">
        <v>45539</v>
      </c>
      <c r="C163" s="1" t="n">
        <v>46092</v>
      </c>
      <c r="D163" t="inlineStr">
        <is>
          <t>UPPSALA LÄN</t>
        </is>
      </c>
      <c r="E163" t="inlineStr">
        <is>
          <t>ENKÖPING</t>
        </is>
      </c>
      <c r="G163" t="n">
        <v>1.8</v>
      </c>
      <c r="H163" t="n">
        <v>0</v>
      </c>
      <c r="I163" t="n">
        <v>0</v>
      </c>
      <c r="J163" t="n">
        <v>0</v>
      </c>
      <c r="K163" t="n">
        <v>0</v>
      </c>
      <c r="L163" t="n">
        <v>0</v>
      </c>
      <c r="M163" t="n">
        <v>0</v>
      </c>
      <c r="N163" t="n">
        <v>0</v>
      </c>
      <c r="O163" t="n">
        <v>0</v>
      </c>
      <c r="P163" t="n">
        <v>0</v>
      </c>
      <c r="Q163" t="n">
        <v>0</v>
      </c>
      <c r="R163" s="2" t="inlineStr"/>
    </row>
    <row r="164" ht="15" customHeight="1">
      <c r="A164" t="inlineStr">
        <is>
          <t>A 22981-2025</t>
        </is>
      </c>
      <c r="B164" s="1" t="n">
        <v>45790.56964120371</v>
      </c>
      <c r="C164" s="1" t="n">
        <v>46092</v>
      </c>
      <c r="D164" t="inlineStr">
        <is>
          <t>UPPSALA LÄN</t>
        </is>
      </c>
      <c r="E164" t="inlineStr">
        <is>
          <t>ENKÖPING</t>
        </is>
      </c>
      <c r="G164" t="n">
        <v>1.5</v>
      </c>
      <c r="H164" t="n">
        <v>0</v>
      </c>
      <c r="I164" t="n">
        <v>0</v>
      </c>
      <c r="J164" t="n">
        <v>0</v>
      </c>
      <c r="K164" t="n">
        <v>0</v>
      </c>
      <c r="L164" t="n">
        <v>0</v>
      </c>
      <c r="M164" t="n">
        <v>0</v>
      </c>
      <c r="N164" t="n">
        <v>0</v>
      </c>
      <c r="O164" t="n">
        <v>0</v>
      </c>
      <c r="P164" t="n">
        <v>0</v>
      </c>
      <c r="Q164" t="n">
        <v>0</v>
      </c>
      <c r="R164" s="2" t="inlineStr"/>
    </row>
    <row r="165" ht="15" customHeight="1">
      <c r="A165" t="inlineStr">
        <is>
          <t>A 45142-2023</t>
        </is>
      </c>
      <c r="B165" s="1" t="n">
        <v>45191.4702662037</v>
      </c>
      <c r="C165" s="1" t="n">
        <v>46092</v>
      </c>
      <c r="D165" t="inlineStr">
        <is>
          <t>UPPSALA LÄN</t>
        </is>
      </c>
      <c r="E165" t="inlineStr">
        <is>
          <t>ENKÖPING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11918-2025</t>
        </is>
      </c>
      <c r="B166" s="1" t="n">
        <v>45728.49331018519</v>
      </c>
      <c r="C166" s="1" t="n">
        <v>46092</v>
      </c>
      <c r="D166" t="inlineStr">
        <is>
          <t>UPPSALA LÄN</t>
        </is>
      </c>
      <c r="E166" t="inlineStr">
        <is>
          <t>ENKÖPING</t>
        </is>
      </c>
      <c r="G166" t="n">
        <v>1.2</v>
      </c>
      <c r="H166" t="n">
        <v>0</v>
      </c>
      <c r="I166" t="n">
        <v>0</v>
      </c>
      <c r="J166" t="n">
        <v>0</v>
      </c>
      <c r="K166" t="n">
        <v>0</v>
      </c>
      <c r="L166" t="n">
        <v>0</v>
      </c>
      <c r="M166" t="n">
        <v>0</v>
      </c>
      <c r="N166" t="n">
        <v>0</v>
      </c>
      <c r="O166" t="n">
        <v>0</v>
      </c>
      <c r="P166" t="n">
        <v>0</v>
      </c>
      <c r="Q166" t="n">
        <v>0</v>
      </c>
      <c r="R166" s="2" t="inlineStr"/>
    </row>
    <row r="167" ht="15" customHeight="1">
      <c r="A167" t="inlineStr">
        <is>
          <t>A 31242-2024</t>
        </is>
      </c>
      <c r="B167" s="1" t="n">
        <v>45503</v>
      </c>
      <c r="C167" s="1" t="n">
        <v>46092</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39746-2025</t>
        </is>
      </c>
      <c r="B168" s="1" t="n">
        <v>45891</v>
      </c>
      <c r="C168" s="1" t="n">
        <v>46092</v>
      </c>
      <c r="D168" t="inlineStr">
        <is>
          <t>UPPSALA LÄN</t>
        </is>
      </c>
      <c r="E168" t="inlineStr">
        <is>
          <t>ENKÖPING</t>
        </is>
      </c>
      <c r="G168" t="n">
        <v>7.4</v>
      </c>
      <c r="H168" t="n">
        <v>0</v>
      </c>
      <c r="I168" t="n">
        <v>0</v>
      </c>
      <c r="J168" t="n">
        <v>0</v>
      </c>
      <c r="K168" t="n">
        <v>0</v>
      </c>
      <c r="L168" t="n">
        <v>0</v>
      </c>
      <c r="M168" t="n">
        <v>0</v>
      </c>
      <c r="N168" t="n">
        <v>0</v>
      </c>
      <c r="O168" t="n">
        <v>0</v>
      </c>
      <c r="P168" t="n">
        <v>0</v>
      </c>
      <c r="Q168" t="n">
        <v>0</v>
      </c>
      <c r="R168" s="2" t="inlineStr"/>
    </row>
    <row r="169" ht="15" customHeight="1">
      <c r="A169" t="inlineStr">
        <is>
          <t>A 845-2025</t>
        </is>
      </c>
      <c r="B169" s="1" t="n">
        <v>45665</v>
      </c>
      <c r="C169" s="1" t="n">
        <v>46092</v>
      </c>
      <c r="D169" t="inlineStr">
        <is>
          <t>UPPSALA LÄN</t>
        </is>
      </c>
      <c r="E169" t="inlineStr">
        <is>
          <t>ENKÖPING</t>
        </is>
      </c>
      <c r="G169" t="n">
        <v>0.7</v>
      </c>
      <c r="H169" t="n">
        <v>0</v>
      </c>
      <c r="I169" t="n">
        <v>0</v>
      </c>
      <c r="J169" t="n">
        <v>0</v>
      </c>
      <c r="K169" t="n">
        <v>0</v>
      </c>
      <c r="L169" t="n">
        <v>0</v>
      </c>
      <c r="M169" t="n">
        <v>0</v>
      </c>
      <c r="N169" t="n">
        <v>0</v>
      </c>
      <c r="O169" t="n">
        <v>0</v>
      </c>
      <c r="P169" t="n">
        <v>0</v>
      </c>
      <c r="Q169" t="n">
        <v>0</v>
      </c>
      <c r="R169" s="2" t="inlineStr"/>
    </row>
    <row r="170" ht="15" customHeight="1">
      <c r="A170" t="inlineStr">
        <is>
          <t>A 849-2025</t>
        </is>
      </c>
      <c r="B170" s="1" t="n">
        <v>45665</v>
      </c>
      <c r="C170" s="1" t="n">
        <v>46092</v>
      </c>
      <c r="D170" t="inlineStr">
        <is>
          <t>UPPSALA LÄN</t>
        </is>
      </c>
      <c r="E170" t="inlineStr">
        <is>
          <t>ENKÖPING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59668-2025</t>
        </is>
      </c>
      <c r="B171" s="1" t="n">
        <v>45992.45567129629</v>
      </c>
      <c r="C171" s="1" t="n">
        <v>46092</v>
      </c>
      <c r="D171" t="inlineStr">
        <is>
          <t>UPPSALA LÄN</t>
        </is>
      </c>
      <c r="E171" t="inlineStr">
        <is>
          <t>ENKÖPING</t>
        </is>
      </c>
      <c r="G171" t="n">
        <v>3.3</v>
      </c>
      <c r="H171" t="n">
        <v>0</v>
      </c>
      <c r="I171" t="n">
        <v>0</v>
      </c>
      <c r="J171" t="n">
        <v>0</v>
      </c>
      <c r="K171" t="n">
        <v>0</v>
      </c>
      <c r="L171" t="n">
        <v>0</v>
      </c>
      <c r="M171" t="n">
        <v>0</v>
      </c>
      <c r="N171" t="n">
        <v>0</v>
      </c>
      <c r="O171" t="n">
        <v>0</v>
      </c>
      <c r="P171" t="n">
        <v>0</v>
      </c>
      <c r="Q171" t="n">
        <v>0</v>
      </c>
      <c r="R171" s="2" t="inlineStr"/>
    </row>
    <row r="172" ht="15" customHeight="1">
      <c r="A172" t="inlineStr">
        <is>
          <t>A 59964-2025</t>
        </is>
      </c>
      <c r="B172" s="1" t="n">
        <v>45993.48043981481</v>
      </c>
      <c r="C172" s="1" t="n">
        <v>46092</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60340-2025</t>
        </is>
      </c>
      <c r="B173" s="1" t="n">
        <v>45994.83415509259</v>
      </c>
      <c r="C173" s="1" t="n">
        <v>46092</v>
      </c>
      <c r="D173" t="inlineStr">
        <is>
          <t>UPPSALA LÄN</t>
        </is>
      </c>
      <c r="E173" t="inlineStr">
        <is>
          <t>ENKÖPING</t>
        </is>
      </c>
      <c r="G173" t="n">
        <v>5.6</v>
      </c>
      <c r="H173" t="n">
        <v>0</v>
      </c>
      <c r="I173" t="n">
        <v>0</v>
      </c>
      <c r="J173" t="n">
        <v>0</v>
      </c>
      <c r="K173" t="n">
        <v>0</v>
      </c>
      <c r="L173" t="n">
        <v>0</v>
      </c>
      <c r="M173" t="n">
        <v>0</v>
      </c>
      <c r="N173" t="n">
        <v>0</v>
      </c>
      <c r="O173" t="n">
        <v>0</v>
      </c>
      <c r="P173" t="n">
        <v>0</v>
      </c>
      <c r="Q173" t="n">
        <v>0</v>
      </c>
      <c r="R173" s="2" t="inlineStr"/>
    </row>
    <row r="174" ht="15" customHeight="1">
      <c r="A174" t="inlineStr">
        <is>
          <t>A 62158-2023</t>
        </is>
      </c>
      <c r="B174" s="1" t="n">
        <v>45267</v>
      </c>
      <c r="C174" s="1" t="n">
        <v>46092</v>
      </c>
      <c r="D174" t="inlineStr">
        <is>
          <t>UPPSALA LÄN</t>
        </is>
      </c>
      <c r="E174" t="inlineStr">
        <is>
          <t>ENKÖPING</t>
        </is>
      </c>
      <c r="G174" t="n">
        <v>1.4</v>
      </c>
      <c r="H174" t="n">
        <v>0</v>
      </c>
      <c r="I174" t="n">
        <v>0</v>
      </c>
      <c r="J174" t="n">
        <v>0</v>
      </c>
      <c r="K174" t="n">
        <v>0</v>
      </c>
      <c r="L174" t="n">
        <v>0</v>
      </c>
      <c r="M174" t="n">
        <v>0</v>
      </c>
      <c r="N174" t="n">
        <v>0</v>
      </c>
      <c r="O174" t="n">
        <v>0</v>
      </c>
      <c r="P174" t="n">
        <v>0</v>
      </c>
      <c r="Q174" t="n">
        <v>0</v>
      </c>
      <c r="R174" s="2" t="inlineStr"/>
    </row>
    <row r="175" ht="15" customHeight="1">
      <c r="A175" t="inlineStr">
        <is>
          <t>A 60350-2022</t>
        </is>
      </c>
      <c r="B175" s="1" t="n">
        <v>44910</v>
      </c>
      <c r="C175" s="1" t="n">
        <v>46092</v>
      </c>
      <c r="D175" t="inlineStr">
        <is>
          <t>UPPSALA LÄN</t>
        </is>
      </c>
      <c r="E175" t="inlineStr">
        <is>
          <t>ENKÖPING</t>
        </is>
      </c>
      <c r="F175" t="inlineStr">
        <is>
          <t>Allmännings- och besparingsskogar</t>
        </is>
      </c>
      <c r="G175" t="n">
        <v>3.5</v>
      </c>
      <c r="H175" t="n">
        <v>0</v>
      </c>
      <c r="I175" t="n">
        <v>0</v>
      </c>
      <c r="J175" t="n">
        <v>0</v>
      </c>
      <c r="K175" t="n">
        <v>0</v>
      </c>
      <c r="L175" t="n">
        <v>0</v>
      </c>
      <c r="M175" t="n">
        <v>0</v>
      </c>
      <c r="N175" t="n">
        <v>0</v>
      </c>
      <c r="O175" t="n">
        <v>0</v>
      </c>
      <c r="P175" t="n">
        <v>0</v>
      </c>
      <c r="Q175" t="n">
        <v>0</v>
      </c>
      <c r="R175" s="2" t="inlineStr"/>
    </row>
    <row r="176" ht="15" customHeight="1">
      <c r="A176" t="inlineStr">
        <is>
          <t>A 60174-2025</t>
        </is>
      </c>
      <c r="B176" s="1" t="n">
        <v>45994.45039351852</v>
      </c>
      <c r="C176" s="1" t="n">
        <v>46092</v>
      </c>
      <c r="D176" t="inlineStr">
        <is>
          <t>UPPSALA LÄN</t>
        </is>
      </c>
      <c r="E176" t="inlineStr">
        <is>
          <t>ENKÖPING</t>
        </is>
      </c>
      <c r="G176" t="n">
        <v>2.8</v>
      </c>
      <c r="H176" t="n">
        <v>0</v>
      </c>
      <c r="I176" t="n">
        <v>0</v>
      </c>
      <c r="J176" t="n">
        <v>0</v>
      </c>
      <c r="K176" t="n">
        <v>0</v>
      </c>
      <c r="L176" t="n">
        <v>0</v>
      </c>
      <c r="M176" t="n">
        <v>0</v>
      </c>
      <c r="N176" t="n">
        <v>0</v>
      </c>
      <c r="O176" t="n">
        <v>0</v>
      </c>
      <c r="P176" t="n">
        <v>0</v>
      </c>
      <c r="Q176" t="n">
        <v>0</v>
      </c>
      <c r="R176" s="2" t="inlineStr"/>
    </row>
    <row r="177" ht="15" customHeight="1">
      <c r="A177" t="inlineStr">
        <is>
          <t>A 60175-2025</t>
        </is>
      </c>
      <c r="B177" s="1" t="n">
        <v>45994.45378472222</v>
      </c>
      <c r="C177" s="1" t="n">
        <v>46092</v>
      </c>
      <c r="D177" t="inlineStr">
        <is>
          <t>UPPSALA LÄN</t>
        </is>
      </c>
      <c r="E177" t="inlineStr">
        <is>
          <t>ENKÖPING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41616-2025</t>
        </is>
      </c>
      <c r="B178" s="1" t="n">
        <v>45901.69684027778</v>
      </c>
      <c r="C178" s="1" t="n">
        <v>46092</v>
      </c>
      <c r="D178" t="inlineStr">
        <is>
          <t>UPPSALA LÄN</t>
        </is>
      </c>
      <c r="E178" t="inlineStr">
        <is>
          <t>ENKÖPING</t>
        </is>
      </c>
      <c r="F178" t="inlineStr">
        <is>
          <t>Allmännings- och besparingsskogar</t>
        </is>
      </c>
      <c r="G178" t="n">
        <v>17.3</v>
      </c>
      <c r="H178" t="n">
        <v>0</v>
      </c>
      <c r="I178" t="n">
        <v>0</v>
      </c>
      <c r="J178" t="n">
        <v>0</v>
      </c>
      <c r="K178" t="n">
        <v>0</v>
      </c>
      <c r="L178" t="n">
        <v>0</v>
      </c>
      <c r="M178" t="n">
        <v>0</v>
      </c>
      <c r="N178" t="n">
        <v>0</v>
      </c>
      <c r="O178" t="n">
        <v>0</v>
      </c>
      <c r="P178" t="n">
        <v>0</v>
      </c>
      <c r="Q178" t="n">
        <v>0</v>
      </c>
      <c r="R178" s="2" t="inlineStr"/>
    </row>
    <row r="179" ht="15" customHeight="1">
      <c r="A179" t="inlineStr">
        <is>
          <t>A 60947-2025</t>
        </is>
      </c>
      <c r="B179" s="1" t="n">
        <v>45999</v>
      </c>
      <c r="C179" s="1" t="n">
        <v>46092</v>
      </c>
      <c r="D179" t="inlineStr">
        <is>
          <t>UPPSALA LÄN</t>
        </is>
      </c>
      <c r="E179" t="inlineStr">
        <is>
          <t>ENKÖPING</t>
        </is>
      </c>
      <c r="G179" t="n">
        <v>4</v>
      </c>
      <c r="H179" t="n">
        <v>0</v>
      </c>
      <c r="I179" t="n">
        <v>0</v>
      </c>
      <c r="J179" t="n">
        <v>0</v>
      </c>
      <c r="K179" t="n">
        <v>0</v>
      </c>
      <c r="L179" t="n">
        <v>0</v>
      </c>
      <c r="M179" t="n">
        <v>0</v>
      </c>
      <c r="N179" t="n">
        <v>0</v>
      </c>
      <c r="O179" t="n">
        <v>0</v>
      </c>
      <c r="P179" t="n">
        <v>0</v>
      </c>
      <c r="Q179" t="n">
        <v>0</v>
      </c>
      <c r="R179" s="2" t="inlineStr"/>
    </row>
    <row r="180" ht="15" customHeight="1">
      <c r="A180" t="inlineStr">
        <is>
          <t>A 35647-2021</t>
        </is>
      </c>
      <c r="B180" s="1" t="n">
        <v>44386</v>
      </c>
      <c r="C180" s="1" t="n">
        <v>46092</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60934-2025</t>
        </is>
      </c>
      <c r="B181" s="1" t="n">
        <v>45999</v>
      </c>
      <c r="C181" s="1" t="n">
        <v>46092</v>
      </c>
      <c r="D181" t="inlineStr">
        <is>
          <t>UPPSALA LÄN</t>
        </is>
      </c>
      <c r="E181" t="inlineStr">
        <is>
          <t>ENKÖPING</t>
        </is>
      </c>
      <c r="G181" t="n">
        <v>2.5</v>
      </c>
      <c r="H181" t="n">
        <v>0</v>
      </c>
      <c r="I181" t="n">
        <v>0</v>
      </c>
      <c r="J181" t="n">
        <v>0</v>
      </c>
      <c r="K181" t="n">
        <v>0</v>
      </c>
      <c r="L181" t="n">
        <v>0</v>
      </c>
      <c r="M181" t="n">
        <v>0</v>
      </c>
      <c r="N181" t="n">
        <v>0</v>
      </c>
      <c r="O181" t="n">
        <v>0</v>
      </c>
      <c r="P181" t="n">
        <v>0</v>
      </c>
      <c r="Q181" t="n">
        <v>0</v>
      </c>
      <c r="R181" s="2" t="inlineStr"/>
    </row>
    <row r="182" ht="15" customHeight="1">
      <c r="A182" t="inlineStr">
        <is>
          <t>A 61437-2025</t>
        </is>
      </c>
      <c r="B182" s="1" t="n">
        <v>46001.5659375</v>
      </c>
      <c r="C182" s="1" t="n">
        <v>46092</v>
      </c>
      <c r="D182" t="inlineStr">
        <is>
          <t>UPPSALA LÄN</t>
        </is>
      </c>
      <c r="E182" t="inlineStr">
        <is>
          <t>ENKÖPING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41637-2025</t>
        </is>
      </c>
      <c r="B183" s="1" t="n">
        <v>45901</v>
      </c>
      <c r="C183" s="1" t="n">
        <v>46092</v>
      </c>
      <c r="D183" t="inlineStr">
        <is>
          <t>UPPSALA LÄN</t>
        </is>
      </c>
      <c r="E183" t="inlineStr">
        <is>
          <t>ENKÖPING</t>
        </is>
      </c>
      <c r="F183" t="inlineStr">
        <is>
          <t>Allmännings- och besparingsskogar</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41618-2025</t>
        </is>
      </c>
      <c r="B184" s="1" t="n">
        <v>45901.70085648148</v>
      </c>
      <c r="C184" s="1" t="n">
        <v>46092</v>
      </c>
      <c r="D184" t="inlineStr">
        <is>
          <t>UPPSALA LÄN</t>
        </is>
      </c>
      <c r="E184" t="inlineStr">
        <is>
          <t>ENKÖPING</t>
        </is>
      </c>
      <c r="F184" t="inlineStr">
        <is>
          <t>Allmännings- och besparingsskogar</t>
        </is>
      </c>
      <c r="G184" t="n">
        <v>5.3</v>
      </c>
      <c r="H184" t="n">
        <v>0</v>
      </c>
      <c r="I184" t="n">
        <v>0</v>
      </c>
      <c r="J184" t="n">
        <v>0</v>
      </c>
      <c r="K184" t="n">
        <v>0</v>
      </c>
      <c r="L184" t="n">
        <v>0</v>
      </c>
      <c r="M184" t="n">
        <v>0</v>
      </c>
      <c r="N184" t="n">
        <v>0</v>
      </c>
      <c r="O184" t="n">
        <v>0</v>
      </c>
      <c r="P184" t="n">
        <v>0</v>
      </c>
      <c r="Q184" t="n">
        <v>0</v>
      </c>
      <c r="R184" s="2" t="inlineStr"/>
    </row>
    <row r="185" ht="15" customHeight="1">
      <c r="A185" t="inlineStr">
        <is>
          <t>A 45956-2024</t>
        </is>
      </c>
      <c r="B185" s="1" t="n">
        <v>45580</v>
      </c>
      <c r="C185" s="1" t="n">
        <v>46092</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10831-2024</t>
        </is>
      </c>
      <c r="B186" s="1" t="n">
        <v>45369</v>
      </c>
      <c r="C186" s="1" t="n">
        <v>46092</v>
      </c>
      <c r="D186" t="inlineStr">
        <is>
          <t>UPPSALA LÄN</t>
        </is>
      </c>
      <c r="E186" t="inlineStr">
        <is>
          <t>ENKÖPING</t>
        </is>
      </c>
      <c r="G186" t="n">
        <v>2.9</v>
      </c>
      <c r="H186" t="n">
        <v>0</v>
      </c>
      <c r="I186" t="n">
        <v>0</v>
      </c>
      <c r="J186" t="n">
        <v>0</v>
      </c>
      <c r="K186" t="n">
        <v>0</v>
      </c>
      <c r="L186" t="n">
        <v>0</v>
      </c>
      <c r="M186" t="n">
        <v>0</v>
      </c>
      <c r="N186" t="n">
        <v>0</v>
      </c>
      <c r="O186" t="n">
        <v>0</v>
      </c>
      <c r="P186" t="n">
        <v>0</v>
      </c>
      <c r="Q186" t="n">
        <v>0</v>
      </c>
      <c r="R186" s="2" t="inlineStr"/>
    </row>
    <row r="187" ht="15" customHeight="1">
      <c r="A187" t="inlineStr">
        <is>
          <t>A 8020-2022</t>
        </is>
      </c>
      <c r="B187" s="1" t="n">
        <v>44609</v>
      </c>
      <c r="C187" s="1" t="n">
        <v>46092</v>
      </c>
      <c r="D187" t="inlineStr">
        <is>
          <t>UPPSALA LÄN</t>
        </is>
      </c>
      <c r="E187" t="inlineStr">
        <is>
          <t>ENKÖPING</t>
        </is>
      </c>
      <c r="G187" t="n">
        <v>6</v>
      </c>
      <c r="H187" t="n">
        <v>0</v>
      </c>
      <c r="I187" t="n">
        <v>0</v>
      </c>
      <c r="J187" t="n">
        <v>0</v>
      </c>
      <c r="K187" t="n">
        <v>0</v>
      </c>
      <c r="L187" t="n">
        <v>0</v>
      </c>
      <c r="M187" t="n">
        <v>0</v>
      </c>
      <c r="N187" t="n">
        <v>0</v>
      </c>
      <c r="O187" t="n">
        <v>0</v>
      </c>
      <c r="P187" t="n">
        <v>0</v>
      </c>
      <c r="Q187" t="n">
        <v>0</v>
      </c>
      <c r="R187" s="2" t="inlineStr"/>
    </row>
    <row r="188" ht="15" customHeight="1">
      <c r="A188" t="inlineStr">
        <is>
          <t>A 74090-2021</t>
        </is>
      </c>
      <c r="B188" s="1" t="n">
        <v>44557</v>
      </c>
      <c r="C188" s="1" t="n">
        <v>46092</v>
      </c>
      <c r="D188" t="inlineStr">
        <is>
          <t>UPPSALA LÄN</t>
        </is>
      </c>
      <c r="E188" t="inlineStr">
        <is>
          <t>ENKÖPING</t>
        </is>
      </c>
      <c r="G188" t="n">
        <v>2.1</v>
      </c>
      <c r="H188" t="n">
        <v>0</v>
      </c>
      <c r="I188" t="n">
        <v>0</v>
      </c>
      <c r="J188" t="n">
        <v>0</v>
      </c>
      <c r="K188" t="n">
        <v>0</v>
      </c>
      <c r="L188" t="n">
        <v>0</v>
      </c>
      <c r="M188" t="n">
        <v>0</v>
      </c>
      <c r="N188" t="n">
        <v>0</v>
      </c>
      <c r="O188" t="n">
        <v>0</v>
      </c>
      <c r="P188" t="n">
        <v>0</v>
      </c>
      <c r="Q188" t="n">
        <v>0</v>
      </c>
      <c r="R188" s="2" t="inlineStr"/>
    </row>
    <row r="189" ht="15" customHeight="1">
      <c r="A189" t="inlineStr">
        <is>
          <t>A 34805-2024</t>
        </is>
      </c>
      <c r="B189" s="1" t="n">
        <v>45526</v>
      </c>
      <c r="C189" s="1" t="n">
        <v>46092</v>
      </c>
      <c r="D189" t="inlineStr">
        <is>
          <t>UPPSALA LÄN</t>
        </is>
      </c>
      <c r="E189" t="inlineStr">
        <is>
          <t>ENKÖPING</t>
        </is>
      </c>
      <c r="G189" t="n">
        <v>3.6</v>
      </c>
      <c r="H189" t="n">
        <v>0</v>
      </c>
      <c r="I189" t="n">
        <v>0</v>
      </c>
      <c r="J189" t="n">
        <v>0</v>
      </c>
      <c r="K189" t="n">
        <v>0</v>
      </c>
      <c r="L189" t="n">
        <v>0</v>
      </c>
      <c r="M189" t="n">
        <v>0</v>
      </c>
      <c r="N189" t="n">
        <v>0</v>
      </c>
      <c r="O189" t="n">
        <v>0</v>
      </c>
      <c r="P189" t="n">
        <v>0</v>
      </c>
      <c r="Q189" t="n">
        <v>0</v>
      </c>
      <c r="R189" s="2" t="inlineStr"/>
    </row>
    <row r="190" ht="15" customHeight="1">
      <c r="A190" t="inlineStr">
        <is>
          <t>A 17729-2023</t>
        </is>
      </c>
      <c r="B190" s="1" t="n">
        <v>45037</v>
      </c>
      <c r="C190" s="1" t="n">
        <v>46092</v>
      </c>
      <c r="D190" t="inlineStr">
        <is>
          <t>UPPSALA LÄN</t>
        </is>
      </c>
      <c r="E190" t="inlineStr">
        <is>
          <t>ENKÖPING</t>
        </is>
      </c>
      <c r="G190" t="n">
        <v>10.2</v>
      </c>
      <c r="H190" t="n">
        <v>0</v>
      </c>
      <c r="I190" t="n">
        <v>0</v>
      </c>
      <c r="J190" t="n">
        <v>0</v>
      </c>
      <c r="K190" t="n">
        <v>0</v>
      </c>
      <c r="L190" t="n">
        <v>0</v>
      </c>
      <c r="M190" t="n">
        <v>0</v>
      </c>
      <c r="N190" t="n">
        <v>0</v>
      </c>
      <c r="O190" t="n">
        <v>0</v>
      </c>
      <c r="P190" t="n">
        <v>0</v>
      </c>
      <c r="Q190" t="n">
        <v>0</v>
      </c>
      <c r="R190" s="2" t="inlineStr"/>
    </row>
    <row r="191" ht="15" customHeight="1">
      <c r="A191" t="inlineStr">
        <is>
          <t>A 5712-2025</t>
        </is>
      </c>
      <c r="B191" s="1" t="n">
        <v>45694</v>
      </c>
      <c r="C191" s="1" t="n">
        <v>46092</v>
      </c>
      <c r="D191" t="inlineStr">
        <is>
          <t>UPPSALA LÄN</t>
        </is>
      </c>
      <c r="E191" t="inlineStr">
        <is>
          <t>ENKÖPING</t>
        </is>
      </c>
      <c r="G191" t="n">
        <v>5.1</v>
      </c>
      <c r="H191" t="n">
        <v>0</v>
      </c>
      <c r="I191" t="n">
        <v>0</v>
      </c>
      <c r="J191" t="n">
        <v>0</v>
      </c>
      <c r="K191" t="n">
        <v>0</v>
      </c>
      <c r="L191" t="n">
        <v>0</v>
      </c>
      <c r="M191" t="n">
        <v>0</v>
      </c>
      <c r="N191" t="n">
        <v>0</v>
      </c>
      <c r="O191" t="n">
        <v>0</v>
      </c>
      <c r="P191" t="n">
        <v>0</v>
      </c>
      <c r="Q191" t="n">
        <v>0</v>
      </c>
      <c r="R191" s="2" t="inlineStr"/>
    </row>
    <row r="192" ht="15" customHeight="1">
      <c r="A192" t="inlineStr">
        <is>
          <t>A 5749-2025</t>
        </is>
      </c>
      <c r="B192" s="1" t="n">
        <v>45694</v>
      </c>
      <c r="C192" s="1" t="n">
        <v>46092</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314-2025</t>
        </is>
      </c>
      <c r="B193" s="1" t="n">
        <v>45656</v>
      </c>
      <c r="C193" s="1" t="n">
        <v>46092</v>
      </c>
      <c r="D193" t="inlineStr">
        <is>
          <t>UPPSALA LÄN</t>
        </is>
      </c>
      <c r="E193" t="inlineStr">
        <is>
          <t>ENKÖPING</t>
        </is>
      </c>
      <c r="G193" t="n">
        <v>9</v>
      </c>
      <c r="H193" t="n">
        <v>0</v>
      </c>
      <c r="I193" t="n">
        <v>0</v>
      </c>
      <c r="J193" t="n">
        <v>0</v>
      </c>
      <c r="K193" t="n">
        <v>0</v>
      </c>
      <c r="L193" t="n">
        <v>0</v>
      </c>
      <c r="M193" t="n">
        <v>0</v>
      </c>
      <c r="N193" t="n">
        <v>0</v>
      </c>
      <c r="O193" t="n">
        <v>0</v>
      </c>
      <c r="P193" t="n">
        <v>0</v>
      </c>
      <c r="Q193" t="n">
        <v>0</v>
      </c>
      <c r="R193" s="2" t="inlineStr"/>
    </row>
    <row r="194" ht="15" customHeight="1">
      <c r="A194" t="inlineStr">
        <is>
          <t>A 29477-2025</t>
        </is>
      </c>
      <c r="B194" s="1" t="n">
        <v>45824.71537037037</v>
      </c>
      <c r="C194" s="1" t="n">
        <v>46092</v>
      </c>
      <c r="D194" t="inlineStr">
        <is>
          <t>UPPSALA LÄN</t>
        </is>
      </c>
      <c r="E194" t="inlineStr">
        <is>
          <t>ENKÖPING</t>
        </is>
      </c>
      <c r="G194" t="n">
        <v>13.4</v>
      </c>
      <c r="H194" t="n">
        <v>0</v>
      </c>
      <c r="I194" t="n">
        <v>0</v>
      </c>
      <c r="J194" t="n">
        <v>0</v>
      </c>
      <c r="K194" t="n">
        <v>0</v>
      </c>
      <c r="L194" t="n">
        <v>0</v>
      </c>
      <c r="M194" t="n">
        <v>0</v>
      </c>
      <c r="N194" t="n">
        <v>0</v>
      </c>
      <c r="O194" t="n">
        <v>0</v>
      </c>
      <c r="P194" t="n">
        <v>0</v>
      </c>
      <c r="Q194" t="n">
        <v>0</v>
      </c>
      <c r="R194" s="2" t="inlineStr"/>
    </row>
    <row r="195" ht="15" customHeight="1">
      <c r="A195" t="inlineStr">
        <is>
          <t>A 11627-2025</t>
        </is>
      </c>
      <c r="B195" s="1" t="n">
        <v>45727</v>
      </c>
      <c r="C195" s="1" t="n">
        <v>46092</v>
      </c>
      <c r="D195" t="inlineStr">
        <is>
          <t>UPPSALA LÄN</t>
        </is>
      </c>
      <c r="E195" t="inlineStr">
        <is>
          <t>ENKÖPING</t>
        </is>
      </c>
      <c r="G195" t="n">
        <v>5.5</v>
      </c>
      <c r="H195" t="n">
        <v>0</v>
      </c>
      <c r="I195" t="n">
        <v>0</v>
      </c>
      <c r="J195" t="n">
        <v>0</v>
      </c>
      <c r="K195" t="n">
        <v>0</v>
      </c>
      <c r="L195" t="n">
        <v>0</v>
      </c>
      <c r="M195" t="n">
        <v>0</v>
      </c>
      <c r="N195" t="n">
        <v>0</v>
      </c>
      <c r="O195" t="n">
        <v>0</v>
      </c>
      <c r="P195" t="n">
        <v>0</v>
      </c>
      <c r="Q195" t="n">
        <v>0</v>
      </c>
      <c r="R195" s="2" t="inlineStr"/>
    </row>
    <row r="196" ht="15" customHeight="1">
      <c r="A196" t="inlineStr">
        <is>
          <t>A 61778-2025</t>
        </is>
      </c>
      <c r="B196" s="1" t="n">
        <v>46002.66555555556</v>
      </c>
      <c r="C196" s="1" t="n">
        <v>46092</v>
      </c>
      <c r="D196" t="inlineStr">
        <is>
          <t>UPPSALA LÄN</t>
        </is>
      </c>
      <c r="E196" t="inlineStr">
        <is>
          <t>ENKÖPING</t>
        </is>
      </c>
      <c r="G196" t="n">
        <v>3.2</v>
      </c>
      <c r="H196" t="n">
        <v>0</v>
      </c>
      <c r="I196" t="n">
        <v>0</v>
      </c>
      <c r="J196" t="n">
        <v>0</v>
      </c>
      <c r="K196" t="n">
        <v>0</v>
      </c>
      <c r="L196" t="n">
        <v>0</v>
      </c>
      <c r="M196" t="n">
        <v>0</v>
      </c>
      <c r="N196" t="n">
        <v>0</v>
      </c>
      <c r="O196" t="n">
        <v>0</v>
      </c>
      <c r="P196" t="n">
        <v>0</v>
      </c>
      <c r="Q196" t="n">
        <v>0</v>
      </c>
      <c r="R196" s="2" t="inlineStr"/>
    </row>
    <row r="197" ht="15" customHeight="1">
      <c r="A197" t="inlineStr">
        <is>
          <t>A 61811-2025</t>
        </is>
      </c>
      <c r="B197" s="1" t="n">
        <v>46002.90059027778</v>
      </c>
      <c r="C197" s="1" t="n">
        <v>46092</v>
      </c>
      <c r="D197" t="inlineStr">
        <is>
          <t>UPPSALA LÄN</t>
        </is>
      </c>
      <c r="E197" t="inlineStr">
        <is>
          <t>ENKÖPING</t>
        </is>
      </c>
      <c r="F197" t="inlineStr">
        <is>
          <t>Allmännings- och besparingsskogar</t>
        </is>
      </c>
      <c r="G197" t="n">
        <v>4.7</v>
      </c>
      <c r="H197" t="n">
        <v>0</v>
      </c>
      <c r="I197" t="n">
        <v>0</v>
      </c>
      <c r="J197" t="n">
        <v>0</v>
      </c>
      <c r="K197" t="n">
        <v>0</v>
      </c>
      <c r="L197" t="n">
        <v>0</v>
      </c>
      <c r="M197" t="n">
        <v>0</v>
      </c>
      <c r="N197" t="n">
        <v>0</v>
      </c>
      <c r="O197" t="n">
        <v>0</v>
      </c>
      <c r="P197" t="n">
        <v>0</v>
      </c>
      <c r="Q197" t="n">
        <v>0</v>
      </c>
      <c r="R197" s="2" t="inlineStr"/>
    </row>
    <row r="198" ht="15" customHeight="1">
      <c r="A198" t="inlineStr">
        <is>
          <t>A 42029-2025</t>
        </is>
      </c>
      <c r="B198" s="1" t="n">
        <v>45903</v>
      </c>
      <c r="C198" s="1" t="n">
        <v>46092</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38941-2025</t>
        </is>
      </c>
      <c r="B199" s="1" t="n">
        <v>45887</v>
      </c>
      <c r="C199" s="1" t="n">
        <v>46092</v>
      </c>
      <c r="D199" t="inlineStr">
        <is>
          <t>UPPSALA LÄN</t>
        </is>
      </c>
      <c r="E199" t="inlineStr">
        <is>
          <t>ENKÖPING</t>
        </is>
      </c>
      <c r="F199" t="inlineStr">
        <is>
          <t>Övriga statliga verk och myndigheter</t>
        </is>
      </c>
      <c r="G199" t="n">
        <v>0.6</v>
      </c>
      <c r="H199" t="n">
        <v>0</v>
      </c>
      <c r="I199" t="n">
        <v>0</v>
      </c>
      <c r="J199" t="n">
        <v>0</v>
      </c>
      <c r="K199" t="n">
        <v>0</v>
      </c>
      <c r="L199" t="n">
        <v>0</v>
      </c>
      <c r="M199" t="n">
        <v>0</v>
      </c>
      <c r="N199" t="n">
        <v>0</v>
      </c>
      <c r="O199" t="n">
        <v>0</v>
      </c>
      <c r="P199" t="n">
        <v>0</v>
      </c>
      <c r="Q199" t="n">
        <v>0</v>
      </c>
      <c r="R199" s="2" t="inlineStr"/>
    </row>
    <row r="200" ht="15" customHeight="1">
      <c r="A200" t="inlineStr">
        <is>
          <t>A 41765-2025</t>
        </is>
      </c>
      <c r="B200" s="1" t="n">
        <v>45902</v>
      </c>
      <c r="C200" s="1" t="n">
        <v>46092</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24411-2024</t>
        </is>
      </c>
      <c r="B201" s="1" t="n">
        <v>45457</v>
      </c>
      <c r="C201" s="1" t="n">
        <v>46092</v>
      </c>
      <c r="D201" t="inlineStr">
        <is>
          <t>UPPSALA LÄN</t>
        </is>
      </c>
      <c r="E201" t="inlineStr">
        <is>
          <t>ENKÖPING</t>
        </is>
      </c>
      <c r="G201" t="n">
        <v>0.7</v>
      </c>
      <c r="H201" t="n">
        <v>0</v>
      </c>
      <c r="I201" t="n">
        <v>0</v>
      </c>
      <c r="J201" t="n">
        <v>0</v>
      </c>
      <c r="K201" t="n">
        <v>0</v>
      </c>
      <c r="L201" t="n">
        <v>0</v>
      </c>
      <c r="M201" t="n">
        <v>0</v>
      </c>
      <c r="N201" t="n">
        <v>0</v>
      </c>
      <c r="O201" t="n">
        <v>0</v>
      </c>
      <c r="P201" t="n">
        <v>0</v>
      </c>
      <c r="Q201" t="n">
        <v>0</v>
      </c>
      <c r="R201" s="2" t="inlineStr"/>
    </row>
    <row r="202" ht="15" customHeight="1">
      <c r="A202" t="inlineStr">
        <is>
          <t>A 47516-2022</t>
        </is>
      </c>
      <c r="B202" s="1" t="n">
        <v>44853.68895833333</v>
      </c>
      <c r="C202" s="1" t="n">
        <v>46092</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10458-2022</t>
        </is>
      </c>
      <c r="B203" s="1" t="n">
        <v>44623.56711805556</v>
      </c>
      <c r="C203" s="1" t="n">
        <v>46092</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61889-2025</t>
        </is>
      </c>
      <c r="B204" s="1" t="n">
        <v>46003.44765046296</v>
      </c>
      <c r="C204" s="1" t="n">
        <v>46092</v>
      </c>
      <c r="D204" t="inlineStr">
        <is>
          <t>UPPSALA LÄN</t>
        </is>
      </c>
      <c r="E204" t="inlineStr">
        <is>
          <t>ENKÖPING</t>
        </is>
      </c>
      <c r="G204" t="n">
        <v>2.3</v>
      </c>
      <c r="H204" t="n">
        <v>0</v>
      </c>
      <c r="I204" t="n">
        <v>0</v>
      </c>
      <c r="J204" t="n">
        <v>0</v>
      </c>
      <c r="K204" t="n">
        <v>0</v>
      </c>
      <c r="L204" t="n">
        <v>0</v>
      </c>
      <c r="M204" t="n">
        <v>0</v>
      </c>
      <c r="N204" t="n">
        <v>0</v>
      </c>
      <c r="O204" t="n">
        <v>0</v>
      </c>
      <c r="P204" t="n">
        <v>0</v>
      </c>
      <c r="Q204" t="n">
        <v>0</v>
      </c>
      <c r="R204" s="2" t="inlineStr"/>
    </row>
    <row r="205" ht="15" customHeight="1">
      <c r="A205" t="inlineStr">
        <is>
          <t>A 44115-2024</t>
        </is>
      </c>
      <c r="B205" s="1" t="n">
        <v>45572</v>
      </c>
      <c r="C205" s="1" t="n">
        <v>46092</v>
      </c>
      <c r="D205" t="inlineStr">
        <is>
          <t>UPPSALA LÄN</t>
        </is>
      </c>
      <c r="E205" t="inlineStr">
        <is>
          <t>ENKÖPING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9957-2023</t>
        </is>
      </c>
      <c r="B206" s="1" t="n">
        <v>44978</v>
      </c>
      <c r="C206" s="1" t="n">
        <v>46092</v>
      </c>
      <c r="D206" t="inlineStr">
        <is>
          <t>UPPSALA LÄN</t>
        </is>
      </c>
      <c r="E206" t="inlineStr">
        <is>
          <t>ENKÖPING</t>
        </is>
      </c>
      <c r="G206" t="n">
        <v>5.9</v>
      </c>
      <c r="H206" t="n">
        <v>0</v>
      </c>
      <c r="I206" t="n">
        <v>0</v>
      </c>
      <c r="J206" t="n">
        <v>0</v>
      </c>
      <c r="K206" t="n">
        <v>0</v>
      </c>
      <c r="L206" t="n">
        <v>0</v>
      </c>
      <c r="M206" t="n">
        <v>0</v>
      </c>
      <c r="N206" t="n">
        <v>0</v>
      </c>
      <c r="O206" t="n">
        <v>0</v>
      </c>
      <c r="P206" t="n">
        <v>0</v>
      </c>
      <c r="Q206" t="n">
        <v>0</v>
      </c>
      <c r="R206" s="2" t="inlineStr"/>
    </row>
    <row r="207" ht="15" customHeight="1">
      <c r="A207" t="inlineStr">
        <is>
          <t>A 41764-2025</t>
        </is>
      </c>
      <c r="B207" s="1" t="n">
        <v>45902</v>
      </c>
      <c r="C207" s="1" t="n">
        <v>46092</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63402-2023</t>
        </is>
      </c>
      <c r="B208" s="1" t="n">
        <v>45274.50646990741</v>
      </c>
      <c r="C208" s="1" t="n">
        <v>46092</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51042-2024</t>
        </is>
      </c>
      <c r="B209" s="1" t="n">
        <v>45603.4342824074</v>
      </c>
      <c r="C209" s="1" t="n">
        <v>46092</v>
      </c>
      <c r="D209" t="inlineStr">
        <is>
          <t>UPPSALA LÄN</t>
        </is>
      </c>
      <c r="E209" t="inlineStr">
        <is>
          <t>ENKÖPING</t>
        </is>
      </c>
      <c r="G209" t="n">
        <v>4.6</v>
      </c>
      <c r="H209" t="n">
        <v>0</v>
      </c>
      <c r="I209" t="n">
        <v>0</v>
      </c>
      <c r="J209" t="n">
        <v>0</v>
      </c>
      <c r="K209" t="n">
        <v>0</v>
      </c>
      <c r="L209" t="n">
        <v>0</v>
      </c>
      <c r="M209" t="n">
        <v>0</v>
      </c>
      <c r="N209" t="n">
        <v>0</v>
      </c>
      <c r="O209" t="n">
        <v>0</v>
      </c>
      <c r="P209" t="n">
        <v>0</v>
      </c>
      <c r="Q209" t="n">
        <v>0</v>
      </c>
      <c r="R209" s="2" t="inlineStr"/>
    </row>
    <row r="210" ht="15" customHeight="1">
      <c r="A210" t="inlineStr">
        <is>
          <t>A 51037-2024</t>
        </is>
      </c>
      <c r="B210" s="1" t="n">
        <v>45603.43005787037</v>
      </c>
      <c r="C210" s="1" t="n">
        <v>46092</v>
      </c>
      <c r="D210" t="inlineStr">
        <is>
          <t>UPPSALA LÄN</t>
        </is>
      </c>
      <c r="E210" t="inlineStr">
        <is>
          <t>ENKÖPING</t>
        </is>
      </c>
      <c r="G210" t="n">
        <v>5.7</v>
      </c>
      <c r="H210" t="n">
        <v>0</v>
      </c>
      <c r="I210" t="n">
        <v>0</v>
      </c>
      <c r="J210" t="n">
        <v>0</v>
      </c>
      <c r="K210" t="n">
        <v>0</v>
      </c>
      <c r="L210" t="n">
        <v>0</v>
      </c>
      <c r="M210" t="n">
        <v>0</v>
      </c>
      <c r="N210" t="n">
        <v>0</v>
      </c>
      <c r="O210" t="n">
        <v>0</v>
      </c>
      <c r="P210" t="n">
        <v>0</v>
      </c>
      <c r="Q210" t="n">
        <v>0</v>
      </c>
      <c r="R210" s="2" t="inlineStr"/>
    </row>
    <row r="211" ht="15" customHeight="1">
      <c r="A211" t="inlineStr">
        <is>
          <t>A 42756-2025</t>
        </is>
      </c>
      <c r="B211" s="1" t="n">
        <v>45908</v>
      </c>
      <c r="C211" s="1" t="n">
        <v>46092</v>
      </c>
      <c r="D211" t="inlineStr">
        <is>
          <t>UPPSALA LÄN</t>
        </is>
      </c>
      <c r="E211" t="inlineStr">
        <is>
          <t>ENKÖPING</t>
        </is>
      </c>
      <c r="G211" t="n">
        <v>1.1</v>
      </c>
      <c r="H211" t="n">
        <v>0</v>
      </c>
      <c r="I211" t="n">
        <v>0</v>
      </c>
      <c r="J211" t="n">
        <v>0</v>
      </c>
      <c r="K211" t="n">
        <v>0</v>
      </c>
      <c r="L211" t="n">
        <v>0</v>
      </c>
      <c r="M211" t="n">
        <v>0</v>
      </c>
      <c r="N211" t="n">
        <v>0</v>
      </c>
      <c r="O211" t="n">
        <v>0</v>
      </c>
      <c r="P211" t="n">
        <v>0</v>
      </c>
      <c r="Q211" t="n">
        <v>0</v>
      </c>
      <c r="R211" s="2" t="inlineStr"/>
    </row>
    <row r="212" ht="15" customHeight="1">
      <c r="A212" t="inlineStr">
        <is>
          <t>A 62599-2025</t>
        </is>
      </c>
      <c r="B212" s="1" t="n">
        <v>46007.91961805556</v>
      </c>
      <c r="C212" s="1" t="n">
        <v>46092</v>
      </c>
      <c r="D212" t="inlineStr">
        <is>
          <t>UPPSALA LÄN</t>
        </is>
      </c>
      <c r="E212" t="inlineStr">
        <is>
          <t>ENKÖPING</t>
        </is>
      </c>
      <c r="G212" t="n">
        <v>1.6</v>
      </c>
      <c r="H212" t="n">
        <v>0</v>
      </c>
      <c r="I212" t="n">
        <v>0</v>
      </c>
      <c r="J212" t="n">
        <v>0</v>
      </c>
      <c r="K212" t="n">
        <v>0</v>
      </c>
      <c r="L212" t="n">
        <v>0</v>
      </c>
      <c r="M212" t="n">
        <v>0</v>
      </c>
      <c r="N212" t="n">
        <v>0</v>
      </c>
      <c r="O212" t="n">
        <v>0</v>
      </c>
      <c r="P212" t="n">
        <v>0</v>
      </c>
      <c r="Q212" t="n">
        <v>0</v>
      </c>
      <c r="R212" s="2" t="inlineStr"/>
    </row>
    <row r="213" ht="15" customHeight="1">
      <c r="A213" t="inlineStr">
        <is>
          <t>A 5569-2026</t>
        </is>
      </c>
      <c r="B213" s="1" t="n">
        <v>46050.89431712963</v>
      </c>
      <c r="C213" s="1" t="n">
        <v>46092</v>
      </c>
      <c r="D213" t="inlineStr">
        <is>
          <t>UPPSALA LÄN</t>
        </is>
      </c>
      <c r="E213" t="inlineStr">
        <is>
          <t>ENKÖPING</t>
        </is>
      </c>
      <c r="G213" t="n">
        <v>1.6</v>
      </c>
      <c r="H213" t="n">
        <v>0</v>
      </c>
      <c r="I213" t="n">
        <v>0</v>
      </c>
      <c r="J213" t="n">
        <v>0</v>
      </c>
      <c r="K213" t="n">
        <v>0</v>
      </c>
      <c r="L213" t="n">
        <v>0</v>
      </c>
      <c r="M213" t="n">
        <v>0</v>
      </c>
      <c r="N213" t="n">
        <v>0</v>
      </c>
      <c r="O213" t="n">
        <v>0</v>
      </c>
      <c r="P213" t="n">
        <v>0</v>
      </c>
      <c r="Q213" t="n">
        <v>0</v>
      </c>
      <c r="R213" s="2" t="inlineStr"/>
    </row>
    <row r="214" ht="15" customHeight="1">
      <c r="A214" t="inlineStr">
        <is>
          <t>A 22632-2025</t>
        </is>
      </c>
      <c r="B214" s="1" t="n">
        <v>45789.44361111111</v>
      </c>
      <c r="C214" s="1" t="n">
        <v>46092</v>
      </c>
      <c r="D214" t="inlineStr">
        <is>
          <t>UPPSALA LÄN</t>
        </is>
      </c>
      <c r="E214" t="inlineStr">
        <is>
          <t>ENKÖPING</t>
        </is>
      </c>
      <c r="G214" t="n">
        <v>2.1</v>
      </c>
      <c r="H214" t="n">
        <v>0</v>
      </c>
      <c r="I214" t="n">
        <v>0</v>
      </c>
      <c r="J214" t="n">
        <v>0</v>
      </c>
      <c r="K214" t="n">
        <v>0</v>
      </c>
      <c r="L214" t="n">
        <v>0</v>
      </c>
      <c r="M214" t="n">
        <v>0</v>
      </c>
      <c r="N214" t="n">
        <v>0</v>
      </c>
      <c r="O214" t="n">
        <v>0</v>
      </c>
      <c r="P214" t="n">
        <v>0</v>
      </c>
      <c r="Q214" t="n">
        <v>0</v>
      </c>
      <c r="R214" s="2" t="inlineStr"/>
    </row>
    <row r="215" ht="15" customHeight="1">
      <c r="A215" t="inlineStr">
        <is>
          <t>A 62772-2025</t>
        </is>
      </c>
      <c r="B215" s="1" t="n">
        <v>46008.60365740741</v>
      </c>
      <c r="C215" s="1" t="n">
        <v>46092</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16916-2023</t>
        </is>
      </c>
      <c r="B216" s="1" t="n">
        <v>45033.58347222222</v>
      </c>
      <c r="C216" s="1" t="n">
        <v>46092</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56886-2023</t>
        </is>
      </c>
      <c r="B217" s="1" t="n">
        <v>45239</v>
      </c>
      <c r="C217" s="1" t="n">
        <v>46092</v>
      </c>
      <c r="D217" t="inlineStr">
        <is>
          <t>UPPSALA LÄN</t>
        </is>
      </c>
      <c r="E217" t="inlineStr">
        <is>
          <t>ENKÖPING</t>
        </is>
      </c>
      <c r="G217" t="n">
        <v>2</v>
      </c>
      <c r="H217" t="n">
        <v>0</v>
      </c>
      <c r="I217" t="n">
        <v>0</v>
      </c>
      <c r="J217" t="n">
        <v>0</v>
      </c>
      <c r="K217" t="n">
        <v>0</v>
      </c>
      <c r="L217" t="n">
        <v>0</v>
      </c>
      <c r="M217" t="n">
        <v>0</v>
      </c>
      <c r="N217" t="n">
        <v>0</v>
      </c>
      <c r="O217" t="n">
        <v>0</v>
      </c>
      <c r="P217" t="n">
        <v>0</v>
      </c>
      <c r="Q217" t="n">
        <v>0</v>
      </c>
      <c r="R217" s="2" t="inlineStr"/>
    </row>
    <row r="218" ht="15" customHeight="1">
      <c r="A218" t="inlineStr">
        <is>
          <t>A 63128-2025</t>
        </is>
      </c>
      <c r="B218" s="1" t="n">
        <v>46009</v>
      </c>
      <c r="C218" s="1" t="n">
        <v>46092</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62600-2025</t>
        </is>
      </c>
      <c r="B219" s="1" t="n">
        <v>46007.92175925926</v>
      </c>
      <c r="C219" s="1" t="n">
        <v>46092</v>
      </c>
      <c r="D219" t="inlineStr">
        <is>
          <t>UPPSALA LÄN</t>
        </is>
      </c>
      <c r="E219" t="inlineStr">
        <is>
          <t>ENKÖPING</t>
        </is>
      </c>
      <c r="G219" t="n">
        <v>2</v>
      </c>
      <c r="H219" t="n">
        <v>0</v>
      </c>
      <c r="I219" t="n">
        <v>0</v>
      </c>
      <c r="J219" t="n">
        <v>0</v>
      </c>
      <c r="K219" t="n">
        <v>0</v>
      </c>
      <c r="L219" t="n">
        <v>0</v>
      </c>
      <c r="M219" t="n">
        <v>0</v>
      </c>
      <c r="N219" t="n">
        <v>0</v>
      </c>
      <c r="O219" t="n">
        <v>0</v>
      </c>
      <c r="P219" t="n">
        <v>0</v>
      </c>
      <c r="Q219" t="n">
        <v>0</v>
      </c>
      <c r="R219" s="2" t="inlineStr"/>
    </row>
    <row r="220" ht="15" customHeight="1">
      <c r="A220" t="inlineStr">
        <is>
          <t>A 62602-2025</t>
        </is>
      </c>
      <c r="B220" s="1" t="n">
        <v>46007.92581018519</v>
      </c>
      <c r="C220" s="1" t="n">
        <v>46092</v>
      </c>
      <c r="D220" t="inlineStr">
        <is>
          <t>UPPSALA LÄN</t>
        </is>
      </c>
      <c r="E220" t="inlineStr">
        <is>
          <t>ENKÖPING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62601-2025</t>
        </is>
      </c>
      <c r="B221" s="1" t="n">
        <v>46007.92395833333</v>
      </c>
      <c r="C221" s="1" t="n">
        <v>46092</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51027-2024</t>
        </is>
      </c>
      <c r="B222" s="1" t="n">
        <v>45603</v>
      </c>
      <c r="C222" s="1" t="n">
        <v>46092</v>
      </c>
      <c r="D222" t="inlineStr">
        <is>
          <t>UPPSALA LÄN</t>
        </is>
      </c>
      <c r="E222" t="inlineStr">
        <is>
          <t>ENKÖPING</t>
        </is>
      </c>
      <c r="G222" t="n">
        <v>3.5</v>
      </c>
      <c r="H222" t="n">
        <v>0</v>
      </c>
      <c r="I222" t="n">
        <v>0</v>
      </c>
      <c r="J222" t="n">
        <v>0</v>
      </c>
      <c r="K222" t="n">
        <v>0</v>
      </c>
      <c r="L222" t="n">
        <v>0</v>
      </c>
      <c r="M222" t="n">
        <v>0</v>
      </c>
      <c r="N222" t="n">
        <v>0</v>
      </c>
      <c r="O222" t="n">
        <v>0</v>
      </c>
      <c r="P222" t="n">
        <v>0</v>
      </c>
      <c r="Q222" t="n">
        <v>0</v>
      </c>
      <c r="R222" s="2" t="inlineStr"/>
    </row>
    <row r="223" ht="15" customHeight="1">
      <c r="A223" t="inlineStr">
        <is>
          <t>A 6047-2026</t>
        </is>
      </c>
      <c r="B223" s="1" t="n">
        <v>46052.62738425926</v>
      </c>
      <c r="C223" s="1" t="n">
        <v>46092</v>
      </c>
      <c r="D223" t="inlineStr">
        <is>
          <t>UPPSALA LÄN</t>
        </is>
      </c>
      <c r="E223" t="inlineStr">
        <is>
          <t>ENKÖPING</t>
        </is>
      </c>
      <c r="G223" t="n">
        <v>0.9</v>
      </c>
      <c r="H223" t="n">
        <v>0</v>
      </c>
      <c r="I223" t="n">
        <v>0</v>
      </c>
      <c r="J223" t="n">
        <v>0</v>
      </c>
      <c r="K223" t="n">
        <v>0</v>
      </c>
      <c r="L223" t="n">
        <v>0</v>
      </c>
      <c r="M223" t="n">
        <v>0</v>
      </c>
      <c r="N223" t="n">
        <v>0</v>
      </c>
      <c r="O223" t="n">
        <v>0</v>
      </c>
      <c r="P223" t="n">
        <v>0</v>
      </c>
      <c r="Q223" t="n">
        <v>0</v>
      </c>
      <c r="R223" s="2" t="inlineStr"/>
    </row>
    <row r="224" ht="15" customHeight="1">
      <c r="A224" t="inlineStr">
        <is>
          <t>A 43999-2025</t>
        </is>
      </c>
      <c r="B224" s="1" t="n">
        <v>45915.45158564814</v>
      </c>
      <c r="C224" s="1" t="n">
        <v>46092</v>
      </c>
      <c r="D224" t="inlineStr">
        <is>
          <t>UPPSALA LÄN</t>
        </is>
      </c>
      <c r="E224" t="inlineStr">
        <is>
          <t>ENKÖPING</t>
        </is>
      </c>
      <c r="G224" t="n">
        <v>4.1</v>
      </c>
      <c r="H224" t="n">
        <v>0</v>
      </c>
      <c r="I224" t="n">
        <v>0</v>
      </c>
      <c r="J224" t="n">
        <v>0</v>
      </c>
      <c r="K224" t="n">
        <v>0</v>
      </c>
      <c r="L224" t="n">
        <v>0</v>
      </c>
      <c r="M224" t="n">
        <v>0</v>
      </c>
      <c r="N224" t="n">
        <v>0</v>
      </c>
      <c r="O224" t="n">
        <v>0</v>
      </c>
      <c r="P224" t="n">
        <v>0</v>
      </c>
      <c r="Q224" t="n">
        <v>0</v>
      </c>
      <c r="R224" s="2" t="inlineStr"/>
    </row>
    <row r="225" ht="15" customHeight="1">
      <c r="A225" t="inlineStr">
        <is>
          <t>A 58092-2024</t>
        </is>
      </c>
      <c r="B225" s="1" t="n">
        <v>45632</v>
      </c>
      <c r="C225" s="1" t="n">
        <v>46092</v>
      </c>
      <c r="D225" t="inlineStr">
        <is>
          <t>UPPSALA LÄN</t>
        </is>
      </c>
      <c r="E225" t="inlineStr">
        <is>
          <t>ENKÖPING</t>
        </is>
      </c>
      <c r="G225" t="n">
        <v>4.8</v>
      </c>
      <c r="H225" t="n">
        <v>0</v>
      </c>
      <c r="I225" t="n">
        <v>0</v>
      </c>
      <c r="J225" t="n">
        <v>0</v>
      </c>
      <c r="K225" t="n">
        <v>0</v>
      </c>
      <c r="L225" t="n">
        <v>0</v>
      </c>
      <c r="M225" t="n">
        <v>0</v>
      </c>
      <c r="N225" t="n">
        <v>0</v>
      </c>
      <c r="O225" t="n">
        <v>0</v>
      </c>
      <c r="P225" t="n">
        <v>0</v>
      </c>
      <c r="Q225" t="n">
        <v>0</v>
      </c>
      <c r="R225" s="2" t="inlineStr"/>
    </row>
    <row r="226" ht="15" customHeight="1">
      <c r="A226" t="inlineStr">
        <is>
          <t>A 18592-2021</t>
        </is>
      </c>
      <c r="B226" s="1" t="n">
        <v>44306</v>
      </c>
      <c r="C226" s="1" t="n">
        <v>46092</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6031-2026</t>
        </is>
      </c>
      <c r="B227" s="1" t="n">
        <v>46052.61201388889</v>
      </c>
      <c r="C227" s="1" t="n">
        <v>46092</v>
      </c>
      <c r="D227" t="inlineStr">
        <is>
          <t>UPPSALA LÄN</t>
        </is>
      </c>
      <c r="E227" t="inlineStr">
        <is>
          <t>ENKÖPING</t>
        </is>
      </c>
      <c r="G227" t="n">
        <v>4.1</v>
      </c>
      <c r="H227" t="n">
        <v>0</v>
      </c>
      <c r="I227" t="n">
        <v>0</v>
      </c>
      <c r="J227" t="n">
        <v>0</v>
      </c>
      <c r="K227" t="n">
        <v>0</v>
      </c>
      <c r="L227" t="n">
        <v>0</v>
      </c>
      <c r="M227" t="n">
        <v>0</v>
      </c>
      <c r="N227" t="n">
        <v>0</v>
      </c>
      <c r="O227" t="n">
        <v>0</v>
      </c>
      <c r="P227" t="n">
        <v>0</v>
      </c>
      <c r="Q227" t="n">
        <v>0</v>
      </c>
      <c r="R227" s="2" t="inlineStr"/>
    </row>
    <row r="228" ht="15" customHeight="1">
      <c r="A228" t="inlineStr">
        <is>
          <t>A 6356-2022</t>
        </is>
      </c>
      <c r="B228" s="1" t="n">
        <v>44600</v>
      </c>
      <c r="C228" s="1" t="n">
        <v>46092</v>
      </c>
      <c r="D228" t="inlineStr">
        <is>
          <t>UPPSALA LÄN</t>
        </is>
      </c>
      <c r="E228" t="inlineStr">
        <is>
          <t>ENKÖPING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6049-2026</t>
        </is>
      </c>
      <c r="B229" s="1" t="n">
        <v>46052.63005787037</v>
      </c>
      <c r="C229" s="1" t="n">
        <v>46092</v>
      </c>
      <c r="D229" t="inlineStr">
        <is>
          <t>UPPSALA LÄN</t>
        </is>
      </c>
      <c r="E229" t="inlineStr">
        <is>
          <t>ENKÖPING</t>
        </is>
      </c>
      <c r="G229" t="n">
        <v>1.5</v>
      </c>
      <c r="H229" t="n">
        <v>0</v>
      </c>
      <c r="I229" t="n">
        <v>0</v>
      </c>
      <c r="J229" t="n">
        <v>0</v>
      </c>
      <c r="K229" t="n">
        <v>0</v>
      </c>
      <c r="L229" t="n">
        <v>0</v>
      </c>
      <c r="M229" t="n">
        <v>0</v>
      </c>
      <c r="N229" t="n">
        <v>0</v>
      </c>
      <c r="O229" t="n">
        <v>0</v>
      </c>
      <c r="P229" t="n">
        <v>0</v>
      </c>
      <c r="Q229" t="n">
        <v>0</v>
      </c>
      <c r="R229" s="2" t="inlineStr"/>
    </row>
    <row r="230" ht="15" customHeight="1">
      <c r="A230" t="inlineStr">
        <is>
          <t>A 44419-2025</t>
        </is>
      </c>
      <c r="B230" s="1" t="n">
        <v>45916.54671296296</v>
      </c>
      <c r="C230" s="1" t="n">
        <v>46092</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5953-2026</t>
        </is>
      </c>
      <c r="B231" s="1" t="n">
        <v>46052.49119212963</v>
      </c>
      <c r="C231" s="1" t="n">
        <v>46092</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6041-2026</t>
        </is>
      </c>
      <c r="B232" s="1" t="n">
        <v>46052.62184027778</v>
      </c>
      <c r="C232" s="1" t="n">
        <v>46092</v>
      </c>
      <c r="D232" t="inlineStr">
        <is>
          <t>UPPSALA LÄN</t>
        </is>
      </c>
      <c r="E232" t="inlineStr">
        <is>
          <t>ENKÖPING</t>
        </is>
      </c>
      <c r="G232" t="n">
        <v>4</v>
      </c>
      <c r="H232" t="n">
        <v>0</v>
      </c>
      <c r="I232" t="n">
        <v>0</v>
      </c>
      <c r="J232" t="n">
        <v>0</v>
      </c>
      <c r="K232" t="n">
        <v>0</v>
      </c>
      <c r="L232" t="n">
        <v>0</v>
      </c>
      <c r="M232" t="n">
        <v>0</v>
      </c>
      <c r="N232" t="n">
        <v>0</v>
      </c>
      <c r="O232" t="n">
        <v>0</v>
      </c>
      <c r="P232" t="n">
        <v>0</v>
      </c>
      <c r="Q232" t="n">
        <v>0</v>
      </c>
      <c r="R232" s="2" t="inlineStr"/>
    </row>
    <row r="233" ht="15" customHeight="1">
      <c r="A233" t="inlineStr">
        <is>
          <t>A 6044-2026</t>
        </is>
      </c>
      <c r="B233" s="1" t="n">
        <v>46052.62506944445</v>
      </c>
      <c r="C233" s="1" t="n">
        <v>46092</v>
      </c>
      <c r="D233" t="inlineStr">
        <is>
          <t>UPPSALA LÄN</t>
        </is>
      </c>
      <c r="E233" t="inlineStr">
        <is>
          <t>ENKÖPING</t>
        </is>
      </c>
      <c r="G233" t="n">
        <v>1.3</v>
      </c>
      <c r="H233" t="n">
        <v>0</v>
      </c>
      <c r="I233" t="n">
        <v>0</v>
      </c>
      <c r="J233" t="n">
        <v>0</v>
      </c>
      <c r="K233" t="n">
        <v>0</v>
      </c>
      <c r="L233" t="n">
        <v>0</v>
      </c>
      <c r="M233" t="n">
        <v>0</v>
      </c>
      <c r="N233" t="n">
        <v>0</v>
      </c>
      <c r="O233" t="n">
        <v>0</v>
      </c>
      <c r="P233" t="n">
        <v>0</v>
      </c>
      <c r="Q233" t="n">
        <v>0</v>
      </c>
      <c r="R233" s="2" t="inlineStr"/>
    </row>
    <row r="234" ht="15" customHeight="1">
      <c r="A234" t="inlineStr">
        <is>
          <t>A 32477-2025</t>
        </is>
      </c>
      <c r="B234" s="1" t="n">
        <v>45838.43098379629</v>
      </c>
      <c r="C234" s="1" t="n">
        <v>46092</v>
      </c>
      <c r="D234" t="inlineStr">
        <is>
          <t>UPPSALA LÄN</t>
        </is>
      </c>
      <c r="E234" t="inlineStr">
        <is>
          <t>ENKÖPING</t>
        </is>
      </c>
      <c r="G234" t="n">
        <v>2.7</v>
      </c>
      <c r="H234" t="n">
        <v>0</v>
      </c>
      <c r="I234" t="n">
        <v>0</v>
      </c>
      <c r="J234" t="n">
        <v>0</v>
      </c>
      <c r="K234" t="n">
        <v>0</v>
      </c>
      <c r="L234" t="n">
        <v>0</v>
      </c>
      <c r="M234" t="n">
        <v>0</v>
      </c>
      <c r="N234" t="n">
        <v>0</v>
      </c>
      <c r="O234" t="n">
        <v>0</v>
      </c>
      <c r="P234" t="n">
        <v>0</v>
      </c>
      <c r="Q234" t="n">
        <v>0</v>
      </c>
      <c r="R234" s="2" t="inlineStr"/>
    </row>
    <row r="235" ht="15" customHeight="1">
      <c r="A235" t="inlineStr">
        <is>
          <t>A 13816-2021</t>
        </is>
      </c>
      <c r="B235" s="1" t="n">
        <v>44276</v>
      </c>
      <c r="C235" s="1" t="n">
        <v>46092</v>
      </c>
      <c r="D235" t="inlineStr">
        <is>
          <t>UPPSALA LÄN</t>
        </is>
      </c>
      <c r="E235" t="inlineStr">
        <is>
          <t>ENKÖPING</t>
        </is>
      </c>
      <c r="G235" t="n">
        <v>0.4</v>
      </c>
      <c r="H235" t="n">
        <v>0</v>
      </c>
      <c r="I235" t="n">
        <v>0</v>
      </c>
      <c r="J235" t="n">
        <v>0</v>
      </c>
      <c r="K235" t="n">
        <v>0</v>
      </c>
      <c r="L235" t="n">
        <v>0</v>
      </c>
      <c r="M235" t="n">
        <v>0</v>
      </c>
      <c r="N235" t="n">
        <v>0</v>
      </c>
      <c r="O235" t="n">
        <v>0</v>
      </c>
      <c r="P235" t="n">
        <v>0</v>
      </c>
      <c r="Q235" t="n">
        <v>0</v>
      </c>
      <c r="R235" s="2" t="inlineStr"/>
    </row>
    <row r="236" ht="15" customHeight="1">
      <c r="A236" t="inlineStr">
        <is>
          <t>A 5948-2026</t>
        </is>
      </c>
      <c r="B236" s="1" t="n">
        <v>46052</v>
      </c>
      <c r="C236" s="1" t="n">
        <v>46092</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7008-2026</t>
        </is>
      </c>
      <c r="B237" s="1" t="n">
        <v>46057.63806712963</v>
      </c>
      <c r="C237" s="1" t="n">
        <v>46092</v>
      </c>
      <c r="D237" t="inlineStr">
        <is>
          <t>UPPSALA LÄN</t>
        </is>
      </c>
      <c r="E237" t="inlineStr">
        <is>
          <t>ENKÖPING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7003-2026</t>
        </is>
      </c>
      <c r="B238" s="1" t="n">
        <v>46057.63243055555</v>
      </c>
      <c r="C238" s="1" t="n">
        <v>46092</v>
      </c>
      <c r="D238" t="inlineStr">
        <is>
          <t>UPPSALA LÄN</t>
        </is>
      </c>
      <c r="E238" t="inlineStr">
        <is>
          <t>ENKÖPING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7167-2026</t>
        </is>
      </c>
      <c r="B239" s="1" t="n">
        <v>46058.45677083333</v>
      </c>
      <c r="C239" s="1" t="n">
        <v>46092</v>
      </c>
      <c r="D239" t="inlineStr">
        <is>
          <t>UPPSALA LÄN</t>
        </is>
      </c>
      <c r="E239" t="inlineStr">
        <is>
          <t>ENKÖPING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7168-2026</t>
        </is>
      </c>
      <c r="B240" s="1" t="n">
        <v>46058.45831018518</v>
      </c>
      <c r="C240" s="1" t="n">
        <v>46092</v>
      </c>
      <c r="D240" t="inlineStr">
        <is>
          <t>UPPSALA LÄN</t>
        </is>
      </c>
      <c r="E240" t="inlineStr">
        <is>
          <t>ENKÖPING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7175-2026</t>
        </is>
      </c>
      <c r="B241" s="1" t="n">
        <v>46058.46399305556</v>
      </c>
      <c r="C241" s="1" t="n">
        <v>46092</v>
      </c>
      <c r="D241" t="inlineStr">
        <is>
          <t>UPPSALA LÄN</t>
        </is>
      </c>
      <c r="E241" t="inlineStr">
        <is>
          <t>ENKÖPING</t>
        </is>
      </c>
      <c r="G241" t="n">
        <v>2</v>
      </c>
      <c r="H241" t="n">
        <v>0</v>
      </c>
      <c r="I241" t="n">
        <v>0</v>
      </c>
      <c r="J241" t="n">
        <v>0</v>
      </c>
      <c r="K241" t="n">
        <v>0</v>
      </c>
      <c r="L241" t="n">
        <v>0</v>
      </c>
      <c r="M241" t="n">
        <v>0</v>
      </c>
      <c r="N241" t="n">
        <v>0</v>
      </c>
      <c r="O241" t="n">
        <v>0</v>
      </c>
      <c r="P241" t="n">
        <v>0</v>
      </c>
      <c r="Q241" t="n">
        <v>0</v>
      </c>
      <c r="R241" s="2" t="inlineStr"/>
    </row>
    <row r="242" ht="15" customHeight="1">
      <c r="A242" t="inlineStr">
        <is>
          <t>A 7172-2026</t>
        </is>
      </c>
      <c r="B242" s="1" t="n">
        <v>46058.46113425926</v>
      </c>
      <c r="C242" s="1" t="n">
        <v>46092</v>
      </c>
      <c r="D242" t="inlineStr">
        <is>
          <t>UPPSALA LÄN</t>
        </is>
      </c>
      <c r="E242" t="inlineStr">
        <is>
          <t>ENKÖPING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12434-2021</t>
        </is>
      </c>
      <c r="B243" s="1" t="n">
        <v>44267</v>
      </c>
      <c r="C243" s="1" t="n">
        <v>46092</v>
      </c>
      <c r="D243" t="inlineStr">
        <is>
          <t>UPPSALA LÄN</t>
        </is>
      </c>
      <c r="E243" t="inlineStr">
        <is>
          <t>ENKÖPING</t>
        </is>
      </c>
      <c r="G243" t="n">
        <v>5.3</v>
      </c>
      <c r="H243" t="n">
        <v>0</v>
      </c>
      <c r="I243" t="n">
        <v>0</v>
      </c>
      <c r="J243" t="n">
        <v>0</v>
      </c>
      <c r="K243" t="n">
        <v>0</v>
      </c>
      <c r="L243" t="n">
        <v>0</v>
      </c>
      <c r="M243" t="n">
        <v>0</v>
      </c>
      <c r="N243" t="n">
        <v>0</v>
      </c>
      <c r="O243" t="n">
        <v>0</v>
      </c>
      <c r="P243" t="n">
        <v>0</v>
      </c>
      <c r="Q243" t="n">
        <v>0</v>
      </c>
      <c r="R243" s="2" t="inlineStr"/>
    </row>
    <row r="244" ht="15" customHeight="1">
      <c r="A244" t="inlineStr">
        <is>
          <t>A 49614-2024</t>
        </is>
      </c>
      <c r="B244" s="1" t="n">
        <v>45596.57716435185</v>
      </c>
      <c r="C244" s="1" t="n">
        <v>46092</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49632-2024</t>
        </is>
      </c>
      <c r="B245" s="1" t="n">
        <v>45596</v>
      </c>
      <c r="C245" s="1" t="n">
        <v>46092</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45755-2025</t>
        </is>
      </c>
      <c r="B246" s="1" t="n">
        <v>45923.50240740741</v>
      </c>
      <c r="C246" s="1" t="n">
        <v>46092</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29479-2022</t>
        </is>
      </c>
      <c r="B247" s="1" t="n">
        <v>44753.57265046296</v>
      </c>
      <c r="C247" s="1" t="n">
        <v>46092</v>
      </c>
      <c r="D247" t="inlineStr">
        <is>
          <t>UPPSALA LÄN</t>
        </is>
      </c>
      <c r="E247" t="inlineStr">
        <is>
          <t>ENKÖPING</t>
        </is>
      </c>
      <c r="G247" t="n">
        <v>0.9</v>
      </c>
      <c r="H247" t="n">
        <v>0</v>
      </c>
      <c r="I247" t="n">
        <v>0</v>
      </c>
      <c r="J247" t="n">
        <v>0</v>
      </c>
      <c r="K247" t="n">
        <v>0</v>
      </c>
      <c r="L247" t="n">
        <v>0</v>
      </c>
      <c r="M247" t="n">
        <v>0</v>
      </c>
      <c r="N247" t="n">
        <v>0</v>
      </c>
      <c r="O247" t="n">
        <v>0</v>
      </c>
      <c r="P247" t="n">
        <v>0</v>
      </c>
      <c r="Q247" t="n">
        <v>0</v>
      </c>
      <c r="R247" s="2" t="inlineStr"/>
    </row>
    <row r="248" ht="15" customHeight="1">
      <c r="A248" t="inlineStr">
        <is>
          <t>A 34989-2025</t>
        </is>
      </c>
      <c r="B248" s="1" t="n">
        <v>45849</v>
      </c>
      <c r="C248" s="1" t="n">
        <v>46092</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60848-2025</t>
        </is>
      </c>
      <c r="B249" s="1" t="n">
        <v>45999</v>
      </c>
      <c r="C249" s="1" t="n">
        <v>46092</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34990-2025</t>
        </is>
      </c>
      <c r="B250" s="1" t="n">
        <v>45849.78916666667</v>
      </c>
      <c r="C250" s="1" t="n">
        <v>46092</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26024-2025</t>
        </is>
      </c>
      <c r="B251" s="1" t="n">
        <v>45804.6831712963</v>
      </c>
      <c r="C251" s="1" t="n">
        <v>46092</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26042-2025</t>
        </is>
      </c>
      <c r="B252" s="1" t="n">
        <v>45804.70018518518</v>
      </c>
      <c r="C252" s="1" t="n">
        <v>46092</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26005-2025</t>
        </is>
      </c>
      <c r="B253" s="1" t="n">
        <v>45804.67055555555</v>
      </c>
      <c r="C253" s="1" t="n">
        <v>46092</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26026-2025</t>
        </is>
      </c>
      <c r="B254" s="1" t="n">
        <v>45804.68510416667</v>
      </c>
      <c r="C254" s="1" t="n">
        <v>46092</v>
      </c>
      <c r="D254" t="inlineStr">
        <is>
          <t>UPPSALA LÄN</t>
        </is>
      </c>
      <c r="E254" t="inlineStr">
        <is>
          <t>ENKÖPING</t>
        </is>
      </c>
      <c r="G254" t="n">
        <v>1</v>
      </c>
      <c r="H254" t="n">
        <v>0</v>
      </c>
      <c r="I254" t="n">
        <v>0</v>
      </c>
      <c r="J254" t="n">
        <v>0</v>
      </c>
      <c r="K254" t="n">
        <v>0</v>
      </c>
      <c r="L254" t="n">
        <v>0</v>
      </c>
      <c r="M254" t="n">
        <v>0</v>
      </c>
      <c r="N254" t="n">
        <v>0</v>
      </c>
      <c r="O254" t="n">
        <v>0</v>
      </c>
      <c r="P254" t="n">
        <v>0</v>
      </c>
      <c r="Q254" t="n">
        <v>0</v>
      </c>
      <c r="R254" s="2" t="inlineStr"/>
    </row>
    <row r="255" ht="15" customHeight="1">
      <c r="A255" t="inlineStr">
        <is>
          <t>A 26030-2025</t>
        </is>
      </c>
      <c r="B255" s="1" t="n">
        <v>45804.68815972222</v>
      </c>
      <c r="C255" s="1" t="n">
        <v>46092</v>
      </c>
      <c r="D255" t="inlineStr">
        <is>
          <t>UPPSALA LÄN</t>
        </is>
      </c>
      <c r="E255" t="inlineStr">
        <is>
          <t>ENKÖPING</t>
        </is>
      </c>
      <c r="G255" t="n">
        <v>0.3</v>
      </c>
      <c r="H255" t="n">
        <v>0</v>
      </c>
      <c r="I255" t="n">
        <v>0</v>
      </c>
      <c r="J255" t="n">
        <v>0</v>
      </c>
      <c r="K255" t="n">
        <v>0</v>
      </c>
      <c r="L255" t="n">
        <v>0</v>
      </c>
      <c r="M255" t="n">
        <v>0</v>
      </c>
      <c r="N255" t="n">
        <v>0</v>
      </c>
      <c r="O255" t="n">
        <v>0</v>
      </c>
      <c r="P255" t="n">
        <v>0</v>
      </c>
      <c r="Q255" t="n">
        <v>0</v>
      </c>
      <c r="R255" s="2" t="inlineStr"/>
    </row>
    <row r="256" ht="15" customHeight="1">
      <c r="A256" t="inlineStr">
        <is>
          <t>A 26022-2025</t>
        </is>
      </c>
      <c r="B256" s="1" t="n">
        <v>45804.68006944445</v>
      </c>
      <c r="C256" s="1" t="n">
        <v>46092</v>
      </c>
      <c r="D256" t="inlineStr">
        <is>
          <t>UPPSALA LÄN</t>
        </is>
      </c>
      <c r="E256" t="inlineStr">
        <is>
          <t>ENKÖPING</t>
        </is>
      </c>
      <c r="G256" t="n">
        <v>0.7</v>
      </c>
      <c r="H256" t="n">
        <v>0</v>
      </c>
      <c r="I256" t="n">
        <v>0</v>
      </c>
      <c r="J256" t="n">
        <v>0</v>
      </c>
      <c r="K256" t="n">
        <v>0</v>
      </c>
      <c r="L256" t="n">
        <v>0</v>
      </c>
      <c r="M256" t="n">
        <v>0</v>
      </c>
      <c r="N256" t="n">
        <v>0</v>
      </c>
      <c r="O256" t="n">
        <v>0</v>
      </c>
      <c r="P256" t="n">
        <v>0</v>
      </c>
      <c r="Q256" t="n">
        <v>0</v>
      </c>
      <c r="R256" s="2" t="inlineStr"/>
    </row>
    <row r="257" ht="15" customHeight="1">
      <c r="A257" t="inlineStr">
        <is>
          <t>A 25988-2025</t>
        </is>
      </c>
      <c r="B257" s="1" t="n">
        <v>45804.64814814815</v>
      </c>
      <c r="C257" s="1" t="n">
        <v>46092</v>
      </c>
      <c r="D257" t="inlineStr">
        <is>
          <t>UPPSALA LÄN</t>
        </is>
      </c>
      <c r="E257" t="inlineStr">
        <is>
          <t>ENKÖPING</t>
        </is>
      </c>
      <c r="G257" t="n">
        <v>4.7</v>
      </c>
      <c r="H257" t="n">
        <v>0</v>
      </c>
      <c r="I257" t="n">
        <v>0</v>
      </c>
      <c r="J257" t="n">
        <v>0</v>
      </c>
      <c r="K257" t="n">
        <v>0</v>
      </c>
      <c r="L257" t="n">
        <v>0</v>
      </c>
      <c r="M257" t="n">
        <v>0</v>
      </c>
      <c r="N257" t="n">
        <v>0</v>
      </c>
      <c r="O257" t="n">
        <v>0</v>
      </c>
      <c r="P257" t="n">
        <v>0</v>
      </c>
      <c r="Q257" t="n">
        <v>0</v>
      </c>
      <c r="R257" s="2" t="inlineStr"/>
    </row>
    <row r="258" ht="15" customHeight="1">
      <c r="A258" t="inlineStr">
        <is>
          <t>A 26031-2025</t>
        </is>
      </c>
      <c r="B258" s="1" t="n">
        <v>45804.69050925926</v>
      </c>
      <c r="C258" s="1" t="n">
        <v>46092</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27538-2023</t>
        </is>
      </c>
      <c r="B259" s="1" t="n">
        <v>45097</v>
      </c>
      <c r="C259" s="1" t="n">
        <v>46092</v>
      </c>
      <c r="D259" t="inlineStr">
        <is>
          <t>UPPSALA LÄN</t>
        </is>
      </c>
      <c r="E259" t="inlineStr">
        <is>
          <t>ENKÖPING</t>
        </is>
      </c>
      <c r="G259" t="n">
        <v>5.8</v>
      </c>
      <c r="H259" t="n">
        <v>0</v>
      </c>
      <c r="I259" t="n">
        <v>0</v>
      </c>
      <c r="J259" t="n">
        <v>0</v>
      </c>
      <c r="K259" t="n">
        <v>0</v>
      </c>
      <c r="L259" t="n">
        <v>0</v>
      </c>
      <c r="M259" t="n">
        <v>0</v>
      </c>
      <c r="N259" t="n">
        <v>0</v>
      </c>
      <c r="O259" t="n">
        <v>0</v>
      </c>
      <c r="P259" t="n">
        <v>0</v>
      </c>
      <c r="Q259" t="n">
        <v>0</v>
      </c>
      <c r="R259" s="2" t="inlineStr"/>
    </row>
    <row r="260" ht="15" customHeight="1">
      <c r="A260" t="inlineStr">
        <is>
          <t>A 8309-2026</t>
        </is>
      </c>
      <c r="B260" s="1" t="n">
        <v>46064.59081018518</v>
      </c>
      <c r="C260" s="1" t="n">
        <v>46092</v>
      </c>
      <c r="D260" t="inlineStr">
        <is>
          <t>UPPSALA LÄN</t>
        </is>
      </c>
      <c r="E260" t="inlineStr">
        <is>
          <t>ENKÖPING</t>
        </is>
      </c>
      <c r="G260" t="n">
        <v>1.9</v>
      </c>
      <c r="H260" t="n">
        <v>0</v>
      </c>
      <c r="I260" t="n">
        <v>0</v>
      </c>
      <c r="J260" t="n">
        <v>0</v>
      </c>
      <c r="K260" t="n">
        <v>0</v>
      </c>
      <c r="L260" t="n">
        <v>0</v>
      </c>
      <c r="M260" t="n">
        <v>0</v>
      </c>
      <c r="N260" t="n">
        <v>0</v>
      </c>
      <c r="O260" t="n">
        <v>0</v>
      </c>
      <c r="P260" t="n">
        <v>0</v>
      </c>
      <c r="Q260" t="n">
        <v>0</v>
      </c>
      <c r="R260" s="2" t="inlineStr"/>
    </row>
    <row r="261" ht="15" customHeight="1">
      <c r="A261" t="inlineStr">
        <is>
          <t>A 15409-2025</t>
        </is>
      </c>
      <c r="B261" s="1" t="n">
        <v>45747</v>
      </c>
      <c r="C261" s="1" t="n">
        <v>46092</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26041-2025</t>
        </is>
      </c>
      <c r="B262" s="1" t="n">
        <v>45804.69883101852</v>
      </c>
      <c r="C262" s="1" t="n">
        <v>46092</v>
      </c>
      <c r="D262" t="inlineStr">
        <is>
          <t>UPPSALA LÄN</t>
        </is>
      </c>
      <c r="E262" t="inlineStr">
        <is>
          <t>ENKÖPING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60874-2023</t>
        </is>
      </c>
      <c r="B263" s="1" t="n">
        <v>45261.06280092592</v>
      </c>
      <c r="C263" s="1" t="n">
        <v>46092</v>
      </c>
      <c r="D263" t="inlineStr">
        <is>
          <t>UPPSALA LÄN</t>
        </is>
      </c>
      <c r="E263" t="inlineStr">
        <is>
          <t>ENKÖPING</t>
        </is>
      </c>
      <c r="G263" t="n">
        <v>1.5</v>
      </c>
      <c r="H263" t="n">
        <v>0</v>
      </c>
      <c r="I263" t="n">
        <v>0</v>
      </c>
      <c r="J263" t="n">
        <v>0</v>
      </c>
      <c r="K263" t="n">
        <v>0</v>
      </c>
      <c r="L263" t="n">
        <v>0</v>
      </c>
      <c r="M263" t="n">
        <v>0</v>
      </c>
      <c r="N263" t="n">
        <v>0</v>
      </c>
      <c r="O263" t="n">
        <v>0</v>
      </c>
      <c r="P263" t="n">
        <v>0</v>
      </c>
      <c r="Q263" t="n">
        <v>0</v>
      </c>
      <c r="R263" s="2" t="inlineStr"/>
    </row>
    <row r="264" ht="15" customHeight="1">
      <c r="A264" t="inlineStr">
        <is>
          <t>A 46940-2025</t>
        </is>
      </c>
      <c r="B264" s="1" t="n">
        <v>45929.45483796296</v>
      </c>
      <c r="C264" s="1" t="n">
        <v>46092</v>
      </c>
      <c r="D264" t="inlineStr">
        <is>
          <t>UPPSALA LÄN</t>
        </is>
      </c>
      <c r="E264" t="inlineStr">
        <is>
          <t>ENKÖPING</t>
        </is>
      </c>
      <c r="G264" t="n">
        <v>5.3</v>
      </c>
      <c r="H264" t="n">
        <v>0</v>
      </c>
      <c r="I264" t="n">
        <v>0</v>
      </c>
      <c r="J264" t="n">
        <v>0</v>
      </c>
      <c r="K264" t="n">
        <v>0</v>
      </c>
      <c r="L264" t="n">
        <v>0</v>
      </c>
      <c r="M264" t="n">
        <v>0</v>
      </c>
      <c r="N264" t="n">
        <v>0</v>
      </c>
      <c r="O264" t="n">
        <v>0</v>
      </c>
      <c r="P264" t="n">
        <v>0</v>
      </c>
      <c r="Q264" t="n">
        <v>0</v>
      </c>
      <c r="R264" s="2" t="inlineStr"/>
    </row>
    <row r="265" ht="15" customHeight="1">
      <c r="A265" t="inlineStr">
        <is>
          <t>A 25847-2025</t>
        </is>
      </c>
      <c r="B265" s="1" t="n">
        <v>45804</v>
      </c>
      <c r="C265" s="1" t="n">
        <v>46092</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46590-2025</t>
        </is>
      </c>
      <c r="B266" s="1" t="n">
        <v>45926.39542824074</v>
      </c>
      <c r="C266" s="1" t="n">
        <v>46092</v>
      </c>
      <c r="D266" t="inlineStr">
        <is>
          <t>UPPSALA LÄN</t>
        </is>
      </c>
      <c r="E266" t="inlineStr">
        <is>
          <t>ENKÖPING</t>
        </is>
      </c>
      <c r="G266" t="n">
        <v>2.7</v>
      </c>
      <c r="H266" t="n">
        <v>0</v>
      </c>
      <c r="I266" t="n">
        <v>0</v>
      </c>
      <c r="J266" t="n">
        <v>0</v>
      </c>
      <c r="K266" t="n">
        <v>0</v>
      </c>
      <c r="L266" t="n">
        <v>0</v>
      </c>
      <c r="M266" t="n">
        <v>0</v>
      </c>
      <c r="N266" t="n">
        <v>0</v>
      </c>
      <c r="O266" t="n">
        <v>0</v>
      </c>
      <c r="P266" t="n">
        <v>0</v>
      </c>
      <c r="Q266" t="n">
        <v>0</v>
      </c>
      <c r="R266" s="2" t="inlineStr"/>
    </row>
    <row r="267" ht="15" customHeight="1">
      <c r="A267" t="inlineStr">
        <is>
          <t>A 50394-2024</t>
        </is>
      </c>
      <c r="B267" s="1" t="n">
        <v>45600</v>
      </c>
      <c r="C267" s="1" t="n">
        <v>46092</v>
      </c>
      <c r="D267" t="inlineStr">
        <is>
          <t>UPPSALA LÄN</t>
        </is>
      </c>
      <c r="E267" t="inlineStr">
        <is>
          <t>ENKÖPING</t>
        </is>
      </c>
      <c r="G267" t="n">
        <v>1.2</v>
      </c>
      <c r="H267" t="n">
        <v>0</v>
      </c>
      <c r="I267" t="n">
        <v>0</v>
      </c>
      <c r="J267" t="n">
        <v>0</v>
      </c>
      <c r="K267" t="n">
        <v>0</v>
      </c>
      <c r="L267" t="n">
        <v>0</v>
      </c>
      <c r="M267" t="n">
        <v>0</v>
      </c>
      <c r="N267" t="n">
        <v>0</v>
      </c>
      <c r="O267" t="n">
        <v>0</v>
      </c>
      <c r="P267" t="n">
        <v>0</v>
      </c>
      <c r="Q267" t="n">
        <v>0</v>
      </c>
      <c r="R267" s="2" t="inlineStr"/>
    </row>
    <row r="268" ht="15" customHeight="1">
      <c r="A268" t="inlineStr">
        <is>
          <t>A 26047-2025</t>
        </is>
      </c>
      <c r="B268" s="1" t="n">
        <v>45804.70835648148</v>
      </c>
      <c r="C268" s="1" t="n">
        <v>46092</v>
      </c>
      <c r="D268" t="inlineStr">
        <is>
          <t>UPPSALA LÄN</t>
        </is>
      </c>
      <c r="E268" t="inlineStr">
        <is>
          <t>ENKÖPING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51010-2024</t>
        </is>
      </c>
      <c r="B269" s="1" t="n">
        <v>45603.39285879629</v>
      </c>
      <c r="C269" s="1" t="n">
        <v>46092</v>
      </c>
      <c r="D269" t="inlineStr">
        <is>
          <t>UPPSALA LÄN</t>
        </is>
      </c>
      <c r="E269" t="inlineStr">
        <is>
          <t>ENKÖPING</t>
        </is>
      </c>
      <c r="G269" t="n">
        <v>1.7</v>
      </c>
      <c r="H269" t="n">
        <v>0</v>
      </c>
      <c r="I269" t="n">
        <v>0</v>
      </c>
      <c r="J269" t="n">
        <v>0</v>
      </c>
      <c r="K269" t="n">
        <v>0</v>
      </c>
      <c r="L269" t="n">
        <v>0</v>
      </c>
      <c r="M269" t="n">
        <v>0</v>
      </c>
      <c r="N269" t="n">
        <v>0</v>
      </c>
      <c r="O269" t="n">
        <v>0</v>
      </c>
      <c r="P269" t="n">
        <v>0</v>
      </c>
      <c r="Q269" t="n">
        <v>0</v>
      </c>
      <c r="R269" s="2" t="inlineStr"/>
    </row>
    <row r="270" ht="15" customHeight="1">
      <c r="A270" t="inlineStr">
        <is>
          <t>A 43016-2021</t>
        </is>
      </c>
      <c r="B270" s="1" t="n">
        <v>44431</v>
      </c>
      <c r="C270" s="1" t="n">
        <v>46092</v>
      </c>
      <c r="D270" t="inlineStr">
        <is>
          <t>UPPSALA LÄN</t>
        </is>
      </c>
      <c r="E270" t="inlineStr">
        <is>
          <t>ENKÖPING</t>
        </is>
      </c>
      <c r="G270" t="n">
        <v>1.5</v>
      </c>
      <c r="H270" t="n">
        <v>0</v>
      </c>
      <c r="I270" t="n">
        <v>0</v>
      </c>
      <c r="J270" t="n">
        <v>0</v>
      </c>
      <c r="K270" t="n">
        <v>0</v>
      </c>
      <c r="L270" t="n">
        <v>0</v>
      </c>
      <c r="M270" t="n">
        <v>0</v>
      </c>
      <c r="N270" t="n">
        <v>0</v>
      </c>
      <c r="O270" t="n">
        <v>0</v>
      </c>
      <c r="P270" t="n">
        <v>0</v>
      </c>
      <c r="Q270" t="n">
        <v>0</v>
      </c>
      <c r="R270" s="2" t="inlineStr"/>
    </row>
    <row r="271" ht="15" customHeight="1">
      <c r="A271" t="inlineStr">
        <is>
          <t>A 35067-2024</t>
        </is>
      </c>
      <c r="B271" s="1" t="n">
        <v>45527.66153935185</v>
      </c>
      <c r="C271" s="1" t="n">
        <v>46092</v>
      </c>
      <c r="D271" t="inlineStr">
        <is>
          <t>UPPSALA LÄN</t>
        </is>
      </c>
      <c r="E271" t="inlineStr">
        <is>
          <t>ENKÖPING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192-2026</t>
        </is>
      </c>
      <c r="B272" s="1" t="n">
        <v>46025</v>
      </c>
      <c r="C272" s="1" t="n">
        <v>46092</v>
      </c>
      <c r="D272" t="inlineStr">
        <is>
          <t>UPPSALA LÄN</t>
        </is>
      </c>
      <c r="E272" t="inlineStr">
        <is>
          <t>ENKÖPING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47441-2025</t>
        </is>
      </c>
      <c r="B273" s="1" t="n">
        <v>45930.63986111111</v>
      </c>
      <c r="C273" s="1" t="n">
        <v>46092</v>
      </c>
      <c r="D273" t="inlineStr">
        <is>
          <t>UPPSALA LÄN</t>
        </is>
      </c>
      <c r="E273" t="inlineStr">
        <is>
          <t>ENKÖPING</t>
        </is>
      </c>
      <c r="F273" t="inlineStr">
        <is>
          <t>Allmännings- och besparingsskogar</t>
        </is>
      </c>
      <c r="G273" t="n">
        <v>11.5</v>
      </c>
      <c r="H273" t="n">
        <v>0</v>
      </c>
      <c r="I273" t="n">
        <v>0</v>
      </c>
      <c r="J273" t="n">
        <v>0</v>
      </c>
      <c r="K273" t="n">
        <v>0</v>
      </c>
      <c r="L273" t="n">
        <v>0</v>
      </c>
      <c r="M273" t="n">
        <v>0</v>
      </c>
      <c r="N273" t="n">
        <v>0</v>
      </c>
      <c r="O273" t="n">
        <v>0</v>
      </c>
      <c r="P273" t="n">
        <v>0</v>
      </c>
      <c r="Q273" t="n">
        <v>0</v>
      </c>
      <c r="R273" s="2" t="inlineStr"/>
    </row>
    <row r="274" ht="15" customHeight="1">
      <c r="A274" t="inlineStr">
        <is>
          <t>A 19147-2024</t>
        </is>
      </c>
      <c r="B274" s="1" t="n">
        <v>45428</v>
      </c>
      <c r="C274" s="1" t="n">
        <v>46092</v>
      </c>
      <c r="D274" t="inlineStr">
        <is>
          <t>UPPSALA LÄN</t>
        </is>
      </c>
      <c r="E274" t="inlineStr">
        <is>
          <t>ENKÖPING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9469-2026</t>
        </is>
      </c>
      <c r="B275" s="1" t="n">
        <v>46071.51248842593</v>
      </c>
      <c r="C275" s="1" t="n">
        <v>46092</v>
      </c>
      <c r="D275" t="inlineStr">
        <is>
          <t>UPPSALA LÄN</t>
        </is>
      </c>
      <c r="E275" t="inlineStr">
        <is>
          <t>ENKÖPING</t>
        </is>
      </c>
      <c r="G275" t="n">
        <v>3</v>
      </c>
      <c r="H275" t="n">
        <v>0</v>
      </c>
      <c r="I275" t="n">
        <v>0</v>
      </c>
      <c r="J275" t="n">
        <v>0</v>
      </c>
      <c r="K275" t="n">
        <v>0</v>
      </c>
      <c r="L275" t="n">
        <v>0</v>
      </c>
      <c r="M275" t="n">
        <v>0</v>
      </c>
      <c r="N275" t="n">
        <v>0</v>
      </c>
      <c r="O275" t="n">
        <v>0</v>
      </c>
      <c r="P275" t="n">
        <v>0</v>
      </c>
      <c r="Q275" t="n">
        <v>0</v>
      </c>
      <c r="R275" s="2" t="inlineStr"/>
    </row>
    <row r="276" ht="15" customHeight="1">
      <c r="A276" t="inlineStr">
        <is>
          <t>A 57209-2024</t>
        </is>
      </c>
      <c r="B276" s="1" t="n">
        <v>45629.49311342592</v>
      </c>
      <c r="C276" s="1" t="n">
        <v>46092</v>
      </c>
      <c r="D276" t="inlineStr">
        <is>
          <t>UPPSALA LÄN</t>
        </is>
      </c>
      <c r="E276" t="inlineStr">
        <is>
          <t>ENKÖPING</t>
        </is>
      </c>
      <c r="G276" t="n">
        <v>3.2</v>
      </c>
      <c r="H276" t="n">
        <v>0</v>
      </c>
      <c r="I276" t="n">
        <v>0</v>
      </c>
      <c r="J276" t="n">
        <v>0</v>
      </c>
      <c r="K276" t="n">
        <v>0</v>
      </c>
      <c r="L276" t="n">
        <v>0</v>
      </c>
      <c r="M276" t="n">
        <v>0</v>
      </c>
      <c r="N276" t="n">
        <v>0</v>
      </c>
      <c r="O276" t="n">
        <v>0</v>
      </c>
      <c r="P276" t="n">
        <v>0</v>
      </c>
      <c r="Q276" t="n">
        <v>0</v>
      </c>
      <c r="R276" s="2" t="inlineStr"/>
    </row>
    <row r="277" ht="15" customHeight="1">
      <c r="A277" t="inlineStr">
        <is>
          <t>A 51120-2023</t>
        </is>
      </c>
      <c r="B277" s="1" t="n">
        <v>45219.3088425926</v>
      </c>
      <c r="C277" s="1" t="n">
        <v>46092</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12878-2025</t>
        </is>
      </c>
      <c r="B278" s="1" t="n">
        <v>45733.68571759259</v>
      </c>
      <c r="C278" s="1" t="n">
        <v>46092</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9467-2026</t>
        </is>
      </c>
      <c r="B279" s="1" t="n">
        <v>46071.50694444445</v>
      </c>
      <c r="C279" s="1" t="n">
        <v>46092</v>
      </c>
      <c r="D279" t="inlineStr">
        <is>
          <t>UPPSALA LÄN</t>
        </is>
      </c>
      <c r="E279" t="inlineStr">
        <is>
          <t>ENKÖPING</t>
        </is>
      </c>
      <c r="G279" t="n">
        <v>5.9</v>
      </c>
      <c r="H279" t="n">
        <v>0</v>
      </c>
      <c r="I279" t="n">
        <v>0</v>
      </c>
      <c r="J279" t="n">
        <v>0</v>
      </c>
      <c r="K279" t="n">
        <v>0</v>
      </c>
      <c r="L279" t="n">
        <v>0</v>
      </c>
      <c r="M279" t="n">
        <v>0</v>
      </c>
      <c r="N279" t="n">
        <v>0</v>
      </c>
      <c r="O279" t="n">
        <v>0</v>
      </c>
      <c r="P279" t="n">
        <v>0</v>
      </c>
      <c r="Q279" t="n">
        <v>0</v>
      </c>
      <c r="R279" s="2" t="inlineStr"/>
    </row>
    <row r="280" ht="15" customHeight="1">
      <c r="A280" t="inlineStr">
        <is>
          <t>A 9148-2026</t>
        </is>
      </c>
      <c r="B280" s="1" t="n">
        <v>46070.30946759259</v>
      </c>
      <c r="C280" s="1" t="n">
        <v>46092</v>
      </c>
      <c r="D280" t="inlineStr">
        <is>
          <t>UPPSALA LÄN</t>
        </is>
      </c>
      <c r="E280" t="inlineStr">
        <is>
          <t>ENKÖPING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9474-2026</t>
        </is>
      </c>
      <c r="B281" s="1" t="n">
        <v>46071.52324074074</v>
      </c>
      <c r="C281" s="1" t="n">
        <v>46092</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25990-2025</t>
        </is>
      </c>
      <c r="B282" s="1" t="n">
        <v>45804.65229166667</v>
      </c>
      <c r="C282" s="1" t="n">
        <v>46092</v>
      </c>
      <c r="D282" t="inlineStr">
        <is>
          <t>UPPSALA LÄN</t>
        </is>
      </c>
      <c r="E282" t="inlineStr">
        <is>
          <t>ENKÖPING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9257-2026</t>
        </is>
      </c>
      <c r="B283" s="1" t="n">
        <v>46070.51166666667</v>
      </c>
      <c r="C283" s="1" t="n">
        <v>46092</v>
      </c>
      <c r="D283" t="inlineStr">
        <is>
          <t>UPPSALA LÄN</t>
        </is>
      </c>
      <c r="E283" t="inlineStr">
        <is>
          <t>ENKÖPING</t>
        </is>
      </c>
      <c r="G283" t="n">
        <v>2.6</v>
      </c>
      <c r="H283" t="n">
        <v>0</v>
      </c>
      <c r="I283" t="n">
        <v>0</v>
      </c>
      <c r="J283" t="n">
        <v>0</v>
      </c>
      <c r="K283" t="n">
        <v>0</v>
      </c>
      <c r="L283" t="n">
        <v>0</v>
      </c>
      <c r="M283" t="n">
        <v>0</v>
      </c>
      <c r="N283" t="n">
        <v>0</v>
      </c>
      <c r="O283" t="n">
        <v>0</v>
      </c>
      <c r="P283" t="n">
        <v>0</v>
      </c>
      <c r="Q283" t="n">
        <v>0</v>
      </c>
      <c r="R283" s="2" t="inlineStr"/>
    </row>
    <row r="284" ht="15" customHeight="1">
      <c r="A284" t="inlineStr">
        <is>
          <t>A 25989-2025</t>
        </is>
      </c>
      <c r="B284" s="1" t="n">
        <v>45804.65050925926</v>
      </c>
      <c r="C284" s="1" t="n">
        <v>46092</v>
      </c>
      <c r="D284" t="inlineStr">
        <is>
          <t>UPPSALA LÄN</t>
        </is>
      </c>
      <c r="E284" t="inlineStr">
        <is>
          <t>ENKÖPING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27829-2025</t>
        </is>
      </c>
      <c r="B285" s="1" t="n">
        <v>45817</v>
      </c>
      <c r="C285" s="1" t="n">
        <v>46092</v>
      </c>
      <c r="D285" t="inlineStr">
        <is>
          <t>UPPSALA LÄN</t>
        </is>
      </c>
      <c r="E285" t="inlineStr">
        <is>
          <t>ENKÖPING</t>
        </is>
      </c>
      <c r="G285" t="n">
        <v>2.1</v>
      </c>
      <c r="H285" t="n">
        <v>0</v>
      </c>
      <c r="I285" t="n">
        <v>0</v>
      </c>
      <c r="J285" t="n">
        <v>0</v>
      </c>
      <c r="K285" t="n">
        <v>0</v>
      </c>
      <c r="L285" t="n">
        <v>0</v>
      </c>
      <c r="M285" t="n">
        <v>0</v>
      </c>
      <c r="N285" t="n">
        <v>0</v>
      </c>
      <c r="O285" t="n">
        <v>0</v>
      </c>
      <c r="P285" t="n">
        <v>0</v>
      </c>
      <c r="Q285" t="n">
        <v>0</v>
      </c>
      <c r="R285" s="2" t="inlineStr"/>
    </row>
    <row r="286" ht="15" customHeight="1">
      <c r="A286" t="inlineStr">
        <is>
          <t>A 39439-2025</t>
        </is>
      </c>
      <c r="B286" s="1" t="n">
        <v>45889</v>
      </c>
      <c r="C286" s="1" t="n">
        <v>46092</v>
      </c>
      <c r="D286" t="inlineStr">
        <is>
          <t>UPPSALA LÄN</t>
        </is>
      </c>
      <c r="E286" t="inlineStr">
        <is>
          <t>ENKÖPING</t>
        </is>
      </c>
      <c r="G286" t="n">
        <v>0.4</v>
      </c>
      <c r="H286" t="n">
        <v>0</v>
      </c>
      <c r="I286" t="n">
        <v>0</v>
      </c>
      <c r="J286" t="n">
        <v>0</v>
      </c>
      <c r="K286" t="n">
        <v>0</v>
      </c>
      <c r="L286" t="n">
        <v>0</v>
      </c>
      <c r="M286" t="n">
        <v>0</v>
      </c>
      <c r="N286" t="n">
        <v>0</v>
      </c>
      <c r="O286" t="n">
        <v>0</v>
      </c>
      <c r="P286" t="n">
        <v>0</v>
      </c>
      <c r="Q286" t="n">
        <v>0</v>
      </c>
      <c r="R286" s="2" t="inlineStr"/>
    </row>
    <row r="287" ht="15" customHeight="1">
      <c r="A287" t="inlineStr">
        <is>
          <t>A 43896-2022</t>
        </is>
      </c>
      <c r="B287" s="1" t="n">
        <v>44838</v>
      </c>
      <c r="C287" s="1" t="n">
        <v>46092</v>
      </c>
      <c r="D287" t="inlineStr">
        <is>
          <t>UPPSALA LÄN</t>
        </is>
      </c>
      <c r="E287" t="inlineStr">
        <is>
          <t>ENKÖPING</t>
        </is>
      </c>
      <c r="G287" t="n">
        <v>5.3</v>
      </c>
      <c r="H287" t="n">
        <v>0</v>
      </c>
      <c r="I287" t="n">
        <v>0</v>
      </c>
      <c r="J287" t="n">
        <v>0</v>
      </c>
      <c r="K287" t="n">
        <v>0</v>
      </c>
      <c r="L287" t="n">
        <v>0</v>
      </c>
      <c r="M287" t="n">
        <v>0</v>
      </c>
      <c r="N287" t="n">
        <v>0</v>
      </c>
      <c r="O287" t="n">
        <v>0</v>
      </c>
      <c r="P287" t="n">
        <v>0</v>
      </c>
      <c r="Q287" t="n">
        <v>0</v>
      </c>
      <c r="R287" s="2" t="inlineStr"/>
    </row>
    <row r="288" ht="15" customHeight="1">
      <c r="A288" t="inlineStr">
        <is>
          <t>A 861-2026</t>
        </is>
      </c>
      <c r="B288" s="1" t="n">
        <v>46030</v>
      </c>
      <c r="C288" s="1" t="n">
        <v>46092</v>
      </c>
      <c r="D288" t="inlineStr">
        <is>
          <t>UPPSALA LÄN</t>
        </is>
      </c>
      <c r="E288" t="inlineStr">
        <is>
          <t>ENKÖPING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48678-2025</t>
        </is>
      </c>
      <c r="B289" s="1" t="n">
        <v>45936.59168981481</v>
      </c>
      <c r="C289" s="1" t="n">
        <v>46092</v>
      </c>
      <c r="D289" t="inlineStr">
        <is>
          <t>UPPSALA LÄN</t>
        </is>
      </c>
      <c r="E289" t="inlineStr">
        <is>
          <t>ENKÖPING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48423-2025</t>
        </is>
      </c>
      <c r="B290" s="1" t="n">
        <v>45934.68024305555</v>
      </c>
      <c r="C290" s="1" t="n">
        <v>46092</v>
      </c>
      <c r="D290" t="inlineStr">
        <is>
          <t>UPPSALA LÄN</t>
        </is>
      </c>
      <c r="E290" t="inlineStr">
        <is>
          <t>ENKÖPING</t>
        </is>
      </c>
      <c r="G290" t="n">
        <v>4.3</v>
      </c>
      <c r="H290" t="n">
        <v>0</v>
      </c>
      <c r="I290" t="n">
        <v>0</v>
      </c>
      <c r="J290" t="n">
        <v>0</v>
      </c>
      <c r="K290" t="n">
        <v>0</v>
      </c>
      <c r="L290" t="n">
        <v>0</v>
      </c>
      <c r="M290" t="n">
        <v>0</v>
      </c>
      <c r="N290" t="n">
        <v>0</v>
      </c>
      <c r="O290" t="n">
        <v>0</v>
      </c>
      <c r="P290" t="n">
        <v>0</v>
      </c>
      <c r="Q290" t="n">
        <v>0</v>
      </c>
      <c r="R290" s="2" t="inlineStr"/>
    </row>
    <row r="291" ht="15" customHeight="1">
      <c r="A291" t="inlineStr">
        <is>
          <t>A 39009-2024</t>
        </is>
      </c>
      <c r="B291" s="1" t="n">
        <v>45548</v>
      </c>
      <c r="C291" s="1" t="n">
        <v>46092</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8537-2025</t>
        </is>
      </c>
      <c r="B292" s="1" t="n">
        <v>45709</v>
      </c>
      <c r="C292" s="1" t="n">
        <v>46092</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48424-2025</t>
        </is>
      </c>
      <c r="B293" s="1" t="n">
        <v>45934.69131944444</v>
      </c>
      <c r="C293" s="1" t="n">
        <v>46092</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49073-2025</t>
        </is>
      </c>
      <c r="B294" s="1" t="n">
        <v>45937.65512731481</v>
      </c>
      <c r="C294" s="1" t="n">
        <v>46092</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28758-2025</t>
        </is>
      </c>
      <c r="B295" s="1" t="n">
        <v>45820.41212962963</v>
      </c>
      <c r="C295" s="1" t="n">
        <v>46092</v>
      </c>
      <c r="D295" t="inlineStr">
        <is>
          <t>UPPSALA LÄN</t>
        </is>
      </c>
      <c r="E295" t="inlineStr">
        <is>
          <t>ENKÖPING</t>
        </is>
      </c>
      <c r="G295" t="n">
        <v>2.4</v>
      </c>
      <c r="H295" t="n">
        <v>0</v>
      </c>
      <c r="I295" t="n">
        <v>0</v>
      </c>
      <c r="J295" t="n">
        <v>0</v>
      </c>
      <c r="K295" t="n">
        <v>0</v>
      </c>
      <c r="L295" t="n">
        <v>0</v>
      </c>
      <c r="M295" t="n">
        <v>0</v>
      </c>
      <c r="N295" t="n">
        <v>0</v>
      </c>
      <c r="O295" t="n">
        <v>0</v>
      </c>
      <c r="P295" t="n">
        <v>0</v>
      </c>
      <c r="Q295" t="n">
        <v>0</v>
      </c>
      <c r="R295" s="2" t="inlineStr"/>
    </row>
    <row r="296" ht="15" customHeight="1">
      <c r="A296" t="inlineStr">
        <is>
          <t>A 28862-2025</t>
        </is>
      </c>
      <c r="B296" s="1" t="n">
        <v>45820.59189814814</v>
      </c>
      <c r="C296" s="1" t="n">
        <v>46092</v>
      </c>
      <c r="D296" t="inlineStr">
        <is>
          <t>UPPSALA LÄN</t>
        </is>
      </c>
      <c r="E296" t="inlineStr">
        <is>
          <t>ENKÖPING</t>
        </is>
      </c>
      <c r="G296" t="n">
        <v>2.2</v>
      </c>
      <c r="H296" t="n">
        <v>0</v>
      </c>
      <c r="I296" t="n">
        <v>0</v>
      </c>
      <c r="J296" t="n">
        <v>0</v>
      </c>
      <c r="K296" t="n">
        <v>0</v>
      </c>
      <c r="L296" t="n">
        <v>0</v>
      </c>
      <c r="M296" t="n">
        <v>0</v>
      </c>
      <c r="N296" t="n">
        <v>0</v>
      </c>
      <c r="O296" t="n">
        <v>0</v>
      </c>
      <c r="P296" t="n">
        <v>0</v>
      </c>
      <c r="Q296" t="n">
        <v>0</v>
      </c>
      <c r="R296" s="2" t="inlineStr"/>
    </row>
    <row r="297" ht="15" customHeight="1">
      <c r="A297" t="inlineStr">
        <is>
          <t>A 28855-2025</t>
        </is>
      </c>
      <c r="B297" s="1" t="n">
        <v>45820.58274305556</v>
      </c>
      <c r="C297" s="1" t="n">
        <v>46092</v>
      </c>
      <c r="D297" t="inlineStr">
        <is>
          <t>UPPSALA LÄN</t>
        </is>
      </c>
      <c r="E297" t="inlineStr">
        <is>
          <t>ENKÖPING</t>
        </is>
      </c>
      <c r="G297" t="n">
        <v>2.4</v>
      </c>
      <c r="H297" t="n">
        <v>0</v>
      </c>
      <c r="I297" t="n">
        <v>0</v>
      </c>
      <c r="J297" t="n">
        <v>0</v>
      </c>
      <c r="K297" t="n">
        <v>0</v>
      </c>
      <c r="L297" t="n">
        <v>0</v>
      </c>
      <c r="M297" t="n">
        <v>0</v>
      </c>
      <c r="N297" t="n">
        <v>0</v>
      </c>
      <c r="O297" t="n">
        <v>0</v>
      </c>
      <c r="P297" t="n">
        <v>0</v>
      </c>
      <c r="Q297" t="n">
        <v>0</v>
      </c>
      <c r="R297" s="2" t="inlineStr"/>
    </row>
    <row r="298" ht="15" customHeight="1">
      <c r="A298" t="inlineStr">
        <is>
          <t>A 7090-2022</t>
        </is>
      </c>
      <c r="B298" s="1" t="n">
        <v>44603.59520833333</v>
      </c>
      <c r="C298" s="1" t="n">
        <v>46092</v>
      </c>
      <c r="D298" t="inlineStr">
        <is>
          <t>UPPSALA LÄN</t>
        </is>
      </c>
      <c r="E298" t="inlineStr">
        <is>
          <t>ENKÖPING</t>
        </is>
      </c>
      <c r="G298" t="n">
        <v>2.8</v>
      </c>
      <c r="H298" t="n">
        <v>0</v>
      </c>
      <c r="I298" t="n">
        <v>0</v>
      </c>
      <c r="J298" t="n">
        <v>0</v>
      </c>
      <c r="K298" t="n">
        <v>0</v>
      </c>
      <c r="L298" t="n">
        <v>0</v>
      </c>
      <c r="M298" t="n">
        <v>0</v>
      </c>
      <c r="N298" t="n">
        <v>0</v>
      </c>
      <c r="O298" t="n">
        <v>0</v>
      </c>
      <c r="P298" t="n">
        <v>0</v>
      </c>
      <c r="Q298" t="n">
        <v>0</v>
      </c>
      <c r="R298" s="2" t="inlineStr"/>
    </row>
    <row r="299" ht="15" customHeight="1">
      <c r="A299" t="inlineStr">
        <is>
          <t>A 9487-2025</t>
        </is>
      </c>
      <c r="B299" s="1" t="n">
        <v>45715.49331018519</v>
      </c>
      <c r="C299" s="1" t="n">
        <v>46092</v>
      </c>
      <c r="D299" t="inlineStr">
        <is>
          <t>UPPSALA LÄN</t>
        </is>
      </c>
      <c r="E299" t="inlineStr">
        <is>
          <t>ENKÖPING</t>
        </is>
      </c>
      <c r="G299" t="n">
        <v>0.8</v>
      </c>
      <c r="H299" t="n">
        <v>0</v>
      </c>
      <c r="I299" t="n">
        <v>0</v>
      </c>
      <c r="J299" t="n">
        <v>0</v>
      </c>
      <c r="K299" t="n">
        <v>0</v>
      </c>
      <c r="L299" t="n">
        <v>0</v>
      </c>
      <c r="M299" t="n">
        <v>0</v>
      </c>
      <c r="N299" t="n">
        <v>0</v>
      </c>
      <c r="O299" t="n">
        <v>0</v>
      </c>
      <c r="P299" t="n">
        <v>0</v>
      </c>
      <c r="Q299" t="n">
        <v>0</v>
      </c>
      <c r="R299" s="2" t="inlineStr"/>
    </row>
    <row r="300" ht="15" customHeight="1">
      <c r="A300" t="inlineStr">
        <is>
          <t>A 6144-2024</t>
        </is>
      </c>
      <c r="B300" s="1" t="n">
        <v>45337.4684837963</v>
      </c>
      <c r="C300" s="1" t="n">
        <v>46092</v>
      </c>
      <c r="D300" t="inlineStr">
        <is>
          <t>UPPSALA LÄN</t>
        </is>
      </c>
      <c r="E300" t="inlineStr">
        <is>
          <t>ENKÖPING</t>
        </is>
      </c>
      <c r="G300" t="n">
        <v>13.8</v>
      </c>
      <c r="H300" t="n">
        <v>0</v>
      </c>
      <c r="I300" t="n">
        <v>0</v>
      </c>
      <c r="J300" t="n">
        <v>0</v>
      </c>
      <c r="K300" t="n">
        <v>0</v>
      </c>
      <c r="L300" t="n">
        <v>0</v>
      </c>
      <c r="M300" t="n">
        <v>0</v>
      </c>
      <c r="N300" t="n">
        <v>0</v>
      </c>
      <c r="O300" t="n">
        <v>0</v>
      </c>
      <c r="P300" t="n">
        <v>0</v>
      </c>
      <c r="Q300" t="n">
        <v>0</v>
      </c>
      <c r="R300" s="2" t="inlineStr"/>
    </row>
    <row r="301" ht="15" customHeight="1">
      <c r="A301" t="inlineStr">
        <is>
          <t>A 33955-2024</t>
        </is>
      </c>
      <c r="B301" s="1" t="n">
        <v>45523.46952546296</v>
      </c>
      <c r="C301" s="1" t="n">
        <v>46092</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29093-2025</t>
        </is>
      </c>
      <c r="B302" s="1" t="n">
        <v>45821.55743055556</v>
      </c>
      <c r="C302" s="1" t="n">
        <v>46092</v>
      </c>
      <c r="D302" t="inlineStr">
        <is>
          <t>UPPSALA LÄN</t>
        </is>
      </c>
      <c r="E302" t="inlineStr">
        <is>
          <t>ENKÖPING</t>
        </is>
      </c>
      <c r="G302" t="n">
        <v>1.1</v>
      </c>
      <c r="H302" t="n">
        <v>0</v>
      </c>
      <c r="I302" t="n">
        <v>0</v>
      </c>
      <c r="J302" t="n">
        <v>0</v>
      </c>
      <c r="K302" t="n">
        <v>0</v>
      </c>
      <c r="L302" t="n">
        <v>0</v>
      </c>
      <c r="M302" t="n">
        <v>0</v>
      </c>
      <c r="N302" t="n">
        <v>0</v>
      </c>
      <c r="O302" t="n">
        <v>0</v>
      </c>
      <c r="P302" t="n">
        <v>0</v>
      </c>
      <c r="Q302" t="n">
        <v>0</v>
      </c>
      <c r="R302" s="2" t="inlineStr"/>
    </row>
    <row r="303" ht="15" customHeight="1">
      <c r="A303" t="inlineStr">
        <is>
          <t>A 43103-2025</t>
        </is>
      </c>
      <c r="B303" s="1" t="n">
        <v>45909</v>
      </c>
      <c r="C303" s="1" t="n">
        <v>46092</v>
      </c>
      <c r="D303" t="inlineStr">
        <is>
          <t>UPPSALA LÄN</t>
        </is>
      </c>
      <c r="E303" t="inlineStr">
        <is>
          <t>ENKÖPING</t>
        </is>
      </c>
      <c r="G303" t="n">
        <v>2.3</v>
      </c>
      <c r="H303" t="n">
        <v>0</v>
      </c>
      <c r="I303" t="n">
        <v>0</v>
      </c>
      <c r="J303" t="n">
        <v>0</v>
      </c>
      <c r="K303" t="n">
        <v>0</v>
      </c>
      <c r="L303" t="n">
        <v>0</v>
      </c>
      <c r="M303" t="n">
        <v>0</v>
      </c>
      <c r="N303" t="n">
        <v>0</v>
      </c>
      <c r="O303" t="n">
        <v>0</v>
      </c>
      <c r="P303" t="n">
        <v>0</v>
      </c>
      <c r="Q303" t="n">
        <v>0</v>
      </c>
      <c r="R303" s="2" t="inlineStr"/>
    </row>
    <row r="304" ht="15" customHeight="1">
      <c r="A304" t="inlineStr">
        <is>
          <t>A 49068-2025</t>
        </is>
      </c>
      <c r="B304" s="1" t="n">
        <v>45937.64766203704</v>
      </c>
      <c r="C304" s="1" t="n">
        <v>46092</v>
      </c>
      <c r="D304" t="inlineStr">
        <is>
          <t>UPPSALA LÄN</t>
        </is>
      </c>
      <c r="E304" t="inlineStr">
        <is>
          <t>ENKÖPING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16920-2023</t>
        </is>
      </c>
      <c r="B305" s="1" t="n">
        <v>45033.59030092593</v>
      </c>
      <c r="C305" s="1" t="n">
        <v>46092</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53586-2024</t>
        </is>
      </c>
      <c r="B306" s="1" t="n">
        <v>45614</v>
      </c>
      <c r="C306" s="1" t="n">
        <v>46092</v>
      </c>
      <c r="D306" t="inlineStr">
        <is>
          <t>UPPSALA LÄN</t>
        </is>
      </c>
      <c r="E306" t="inlineStr">
        <is>
          <t>ENKÖPING</t>
        </is>
      </c>
      <c r="G306" t="n">
        <v>6.6</v>
      </c>
      <c r="H306" t="n">
        <v>0</v>
      </c>
      <c r="I306" t="n">
        <v>0</v>
      </c>
      <c r="J306" t="n">
        <v>0</v>
      </c>
      <c r="K306" t="n">
        <v>0</v>
      </c>
      <c r="L306" t="n">
        <v>0</v>
      </c>
      <c r="M306" t="n">
        <v>0</v>
      </c>
      <c r="N306" t="n">
        <v>0</v>
      </c>
      <c r="O306" t="n">
        <v>0</v>
      </c>
      <c r="P306" t="n">
        <v>0</v>
      </c>
      <c r="Q306" t="n">
        <v>0</v>
      </c>
      <c r="R306" s="2" t="inlineStr"/>
    </row>
    <row r="307" ht="15" customHeight="1">
      <c r="A307" t="inlineStr">
        <is>
          <t>A 30837-2025</t>
        </is>
      </c>
      <c r="B307" s="1" t="n">
        <v>45831.7063425926</v>
      </c>
      <c r="C307" s="1" t="n">
        <v>46092</v>
      </c>
      <c r="D307" t="inlineStr">
        <is>
          <t>UPPSALA LÄN</t>
        </is>
      </c>
      <c r="E307" t="inlineStr">
        <is>
          <t>ENKÖPING</t>
        </is>
      </c>
      <c r="G307" t="n">
        <v>3.8</v>
      </c>
      <c r="H307" t="n">
        <v>0</v>
      </c>
      <c r="I307" t="n">
        <v>0</v>
      </c>
      <c r="J307" t="n">
        <v>0</v>
      </c>
      <c r="K307" t="n">
        <v>0</v>
      </c>
      <c r="L307" t="n">
        <v>0</v>
      </c>
      <c r="M307" t="n">
        <v>0</v>
      </c>
      <c r="N307" t="n">
        <v>0</v>
      </c>
      <c r="O307" t="n">
        <v>0</v>
      </c>
      <c r="P307" t="n">
        <v>0</v>
      </c>
      <c r="Q307" t="n">
        <v>0</v>
      </c>
      <c r="R307" s="2" t="inlineStr"/>
    </row>
    <row r="308" ht="15" customHeight="1">
      <c r="A308" t="inlineStr">
        <is>
          <t>A 51162-2025</t>
        </is>
      </c>
      <c r="B308" s="1" t="n">
        <v>45947.58820601852</v>
      </c>
      <c r="C308" s="1" t="n">
        <v>46092</v>
      </c>
      <c r="D308" t="inlineStr">
        <is>
          <t>UPPSALA LÄN</t>
        </is>
      </c>
      <c r="E308" t="inlineStr">
        <is>
          <t>ENKÖPING</t>
        </is>
      </c>
      <c r="G308" t="n">
        <v>3.4</v>
      </c>
      <c r="H308" t="n">
        <v>0</v>
      </c>
      <c r="I308" t="n">
        <v>0</v>
      </c>
      <c r="J308" t="n">
        <v>0</v>
      </c>
      <c r="K308" t="n">
        <v>0</v>
      </c>
      <c r="L308" t="n">
        <v>0</v>
      </c>
      <c r="M308" t="n">
        <v>0</v>
      </c>
      <c r="N308" t="n">
        <v>0</v>
      </c>
      <c r="O308" t="n">
        <v>0</v>
      </c>
      <c r="P308" t="n">
        <v>0</v>
      </c>
      <c r="Q308" t="n">
        <v>0</v>
      </c>
      <c r="R308" s="2" t="inlineStr"/>
    </row>
    <row r="309" ht="15" customHeight="1">
      <c r="A309" t="inlineStr">
        <is>
          <t>A 51133-2025</t>
        </is>
      </c>
      <c r="B309" s="1" t="n">
        <v>45947.55598379629</v>
      </c>
      <c r="C309" s="1" t="n">
        <v>46092</v>
      </c>
      <c r="D309" t="inlineStr">
        <is>
          <t>UPPSALA LÄN</t>
        </is>
      </c>
      <c r="E309" t="inlineStr">
        <is>
          <t>ENKÖPING</t>
        </is>
      </c>
      <c r="G309" t="n">
        <v>2.4</v>
      </c>
      <c r="H309" t="n">
        <v>0</v>
      </c>
      <c r="I309" t="n">
        <v>0</v>
      </c>
      <c r="J309" t="n">
        <v>0</v>
      </c>
      <c r="K309" t="n">
        <v>0</v>
      </c>
      <c r="L309" t="n">
        <v>0</v>
      </c>
      <c r="M309" t="n">
        <v>0</v>
      </c>
      <c r="N309" t="n">
        <v>0</v>
      </c>
      <c r="O309" t="n">
        <v>0</v>
      </c>
      <c r="P309" t="n">
        <v>0</v>
      </c>
      <c r="Q309" t="n">
        <v>0</v>
      </c>
      <c r="R309" s="2" t="inlineStr"/>
    </row>
    <row r="310" ht="15" customHeight="1">
      <c r="A310" t="inlineStr">
        <is>
          <t>A 43506-2023</t>
        </is>
      </c>
      <c r="B310" s="1" t="n">
        <v>45181</v>
      </c>
      <c r="C310" s="1" t="n">
        <v>46092</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2258-2026</t>
        </is>
      </c>
      <c r="B311" s="1" t="n">
        <v>46036</v>
      </c>
      <c r="C311" s="1" t="n">
        <v>46092</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2218-2026</t>
        </is>
      </c>
      <c r="B312" s="1" t="n">
        <v>46036.50010416667</v>
      </c>
      <c r="C312" s="1" t="n">
        <v>46092</v>
      </c>
      <c r="D312" t="inlineStr">
        <is>
          <t>UPPSALA LÄN</t>
        </is>
      </c>
      <c r="E312" t="inlineStr">
        <is>
          <t>ENKÖPING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46186-2023</t>
        </is>
      </c>
      <c r="B313" s="1" t="n">
        <v>45196</v>
      </c>
      <c r="C313" s="1" t="n">
        <v>46092</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54595-2021</t>
        </is>
      </c>
      <c r="B314" s="1" t="n">
        <v>44473.58824074074</v>
      </c>
      <c r="C314" s="1" t="n">
        <v>46092</v>
      </c>
      <c r="D314" t="inlineStr">
        <is>
          <t>UPPSALA LÄN</t>
        </is>
      </c>
      <c r="E314" t="inlineStr">
        <is>
          <t>ENKÖPING</t>
        </is>
      </c>
      <c r="G314" t="n">
        <v>1</v>
      </c>
      <c r="H314" t="n">
        <v>0</v>
      </c>
      <c r="I314" t="n">
        <v>0</v>
      </c>
      <c r="J314" t="n">
        <v>0</v>
      </c>
      <c r="K314" t="n">
        <v>0</v>
      </c>
      <c r="L314" t="n">
        <v>0</v>
      </c>
      <c r="M314" t="n">
        <v>0</v>
      </c>
      <c r="N314" t="n">
        <v>0</v>
      </c>
      <c r="O314" t="n">
        <v>0</v>
      </c>
      <c r="P314" t="n">
        <v>0</v>
      </c>
      <c r="Q314" t="n">
        <v>0</v>
      </c>
      <c r="R314" s="2" t="inlineStr"/>
    </row>
    <row r="315" ht="15" customHeight="1">
      <c r="A315" t="inlineStr">
        <is>
          <t>A 54588-2024</t>
        </is>
      </c>
      <c r="B315" s="1" t="n">
        <v>45617</v>
      </c>
      <c r="C315" s="1" t="n">
        <v>46092</v>
      </c>
      <c r="D315" t="inlineStr">
        <is>
          <t>UPPSALA LÄN</t>
        </is>
      </c>
      <c r="E315" t="inlineStr">
        <is>
          <t>ENKÖPING</t>
        </is>
      </c>
      <c r="G315" t="n">
        <v>3.7</v>
      </c>
      <c r="H315" t="n">
        <v>0</v>
      </c>
      <c r="I315" t="n">
        <v>0</v>
      </c>
      <c r="J315" t="n">
        <v>0</v>
      </c>
      <c r="K315" t="n">
        <v>0</v>
      </c>
      <c r="L315" t="n">
        <v>0</v>
      </c>
      <c r="M315" t="n">
        <v>0</v>
      </c>
      <c r="N315" t="n">
        <v>0</v>
      </c>
      <c r="O315" t="n">
        <v>0</v>
      </c>
      <c r="P315" t="n">
        <v>0</v>
      </c>
      <c r="Q315" t="n">
        <v>0</v>
      </c>
      <c r="R315" s="2" t="inlineStr"/>
    </row>
    <row r="316" ht="15" customHeight="1">
      <c r="A316" t="inlineStr">
        <is>
          <t>A 47428-2023</t>
        </is>
      </c>
      <c r="B316" s="1" t="n">
        <v>45202.66664351852</v>
      </c>
      <c r="C316" s="1" t="n">
        <v>46092</v>
      </c>
      <c r="D316" t="inlineStr">
        <is>
          <t>UPPSALA LÄN</t>
        </is>
      </c>
      <c r="E316" t="inlineStr">
        <is>
          <t>ENKÖPING</t>
        </is>
      </c>
      <c r="G316" t="n">
        <v>3</v>
      </c>
      <c r="H316" t="n">
        <v>0</v>
      </c>
      <c r="I316" t="n">
        <v>0</v>
      </c>
      <c r="J316" t="n">
        <v>0</v>
      </c>
      <c r="K316" t="n">
        <v>0</v>
      </c>
      <c r="L316" t="n">
        <v>0</v>
      </c>
      <c r="M316" t="n">
        <v>0</v>
      </c>
      <c r="N316" t="n">
        <v>0</v>
      </c>
      <c r="O316" t="n">
        <v>0</v>
      </c>
      <c r="P316" t="n">
        <v>0</v>
      </c>
      <c r="Q316" t="n">
        <v>0</v>
      </c>
      <c r="R316" s="2" t="inlineStr"/>
    </row>
    <row r="317" ht="15" customHeight="1">
      <c r="A317" t="inlineStr">
        <is>
          <t>A 32111-2025</t>
        </is>
      </c>
      <c r="B317" s="1" t="n">
        <v>45835</v>
      </c>
      <c r="C317" s="1" t="n">
        <v>46092</v>
      </c>
      <c r="D317" t="inlineStr">
        <is>
          <t>UPPSALA LÄN</t>
        </is>
      </c>
      <c r="E317" t="inlineStr">
        <is>
          <t>ENKÖPING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32031-2025</t>
        </is>
      </c>
      <c r="B318" s="1" t="n">
        <v>45835.41712962963</v>
      </c>
      <c r="C318" s="1" t="n">
        <v>46092</v>
      </c>
      <c r="D318" t="inlineStr">
        <is>
          <t>UPPSALA LÄN</t>
        </is>
      </c>
      <c r="E318" t="inlineStr">
        <is>
          <t>ENKÖPING</t>
        </is>
      </c>
      <c r="G318" t="n">
        <v>2.7</v>
      </c>
      <c r="H318" t="n">
        <v>0</v>
      </c>
      <c r="I318" t="n">
        <v>0</v>
      </c>
      <c r="J318" t="n">
        <v>0</v>
      </c>
      <c r="K318" t="n">
        <v>0</v>
      </c>
      <c r="L318" t="n">
        <v>0</v>
      </c>
      <c r="M318" t="n">
        <v>0</v>
      </c>
      <c r="N318" t="n">
        <v>0</v>
      </c>
      <c r="O318" t="n">
        <v>0</v>
      </c>
      <c r="P318" t="n">
        <v>0</v>
      </c>
      <c r="Q318" t="n">
        <v>0</v>
      </c>
      <c r="R318" s="2" t="inlineStr"/>
    </row>
    <row r="319" ht="15" customHeight="1">
      <c r="A319" t="inlineStr">
        <is>
          <t>A 26017-2025</t>
        </is>
      </c>
      <c r="B319" s="1" t="n">
        <v>45804</v>
      </c>
      <c r="C319" s="1" t="n">
        <v>46092</v>
      </c>
      <c r="D319" t="inlineStr">
        <is>
          <t>UPPSALA LÄN</t>
        </is>
      </c>
      <c r="E319" t="inlineStr">
        <is>
          <t>ENKÖPING</t>
        </is>
      </c>
      <c r="G319" t="n">
        <v>0.4</v>
      </c>
      <c r="H319" t="n">
        <v>0</v>
      </c>
      <c r="I319" t="n">
        <v>0</v>
      </c>
      <c r="J319" t="n">
        <v>0</v>
      </c>
      <c r="K319" t="n">
        <v>0</v>
      </c>
      <c r="L319" t="n">
        <v>0</v>
      </c>
      <c r="M319" t="n">
        <v>0</v>
      </c>
      <c r="N319" t="n">
        <v>0</v>
      </c>
      <c r="O319" t="n">
        <v>0</v>
      </c>
      <c r="P319" t="n">
        <v>0</v>
      </c>
      <c r="Q319" t="n">
        <v>0</v>
      </c>
      <c r="R319" s="2" t="inlineStr"/>
    </row>
    <row r="320" ht="15" customHeight="1">
      <c r="A320" t="inlineStr">
        <is>
          <t>A 5892-2023</t>
        </is>
      </c>
      <c r="B320" s="1" t="n">
        <v>44963.64883101852</v>
      </c>
      <c r="C320" s="1" t="n">
        <v>46092</v>
      </c>
      <c r="D320" t="inlineStr">
        <is>
          <t>UPPSALA LÄN</t>
        </is>
      </c>
      <c r="E320" t="inlineStr">
        <is>
          <t>ENKÖPING</t>
        </is>
      </c>
      <c r="G320" t="n">
        <v>5.5</v>
      </c>
      <c r="H320" t="n">
        <v>0</v>
      </c>
      <c r="I320" t="n">
        <v>0</v>
      </c>
      <c r="J320" t="n">
        <v>0</v>
      </c>
      <c r="K320" t="n">
        <v>0</v>
      </c>
      <c r="L320" t="n">
        <v>0</v>
      </c>
      <c r="M320" t="n">
        <v>0</v>
      </c>
      <c r="N320" t="n">
        <v>0</v>
      </c>
      <c r="O320" t="n">
        <v>0</v>
      </c>
      <c r="P320" t="n">
        <v>0</v>
      </c>
      <c r="Q320" t="n">
        <v>0</v>
      </c>
      <c r="R320" s="2" t="inlineStr"/>
    </row>
    <row r="321" ht="15" customHeight="1">
      <c r="A321" t="inlineStr">
        <is>
          <t>A 12572-2021</t>
        </is>
      </c>
      <c r="B321" s="1" t="n">
        <v>44270.36438657407</v>
      </c>
      <c r="C321" s="1" t="n">
        <v>46092</v>
      </c>
      <c r="D321" t="inlineStr">
        <is>
          <t>UPPSALA LÄN</t>
        </is>
      </c>
      <c r="E321" t="inlineStr">
        <is>
          <t>ENKÖPING</t>
        </is>
      </c>
      <c r="G321" t="n">
        <v>3.3</v>
      </c>
      <c r="H321" t="n">
        <v>0</v>
      </c>
      <c r="I321" t="n">
        <v>0</v>
      </c>
      <c r="J321" t="n">
        <v>0</v>
      </c>
      <c r="K321" t="n">
        <v>0</v>
      </c>
      <c r="L321" t="n">
        <v>0</v>
      </c>
      <c r="M321" t="n">
        <v>0</v>
      </c>
      <c r="N321" t="n">
        <v>0</v>
      </c>
      <c r="O321" t="n">
        <v>0</v>
      </c>
      <c r="P321" t="n">
        <v>0</v>
      </c>
      <c r="Q321" t="n">
        <v>0</v>
      </c>
      <c r="R321" s="2" t="inlineStr"/>
    </row>
    <row r="322" ht="15" customHeight="1">
      <c r="A322" t="inlineStr">
        <is>
          <t>A 671-2022</t>
        </is>
      </c>
      <c r="B322" s="1" t="n">
        <v>44568</v>
      </c>
      <c r="C322" s="1" t="n">
        <v>46092</v>
      </c>
      <c r="D322" t="inlineStr">
        <is>
          <t>UPPSALA LÄN</t>
        </is>
      </c>
      <c r="E322" t="inlineStr">
        <is>
          <t>ENKÖPING</t>
        </is>
      </c>
      <c r="G322" t="n">
        <v>3.5</v>
      </c>
      <c r="H322" t="n">
        <v>0</v>
      </c>
      <c r="I322" t="n">
        <v>0</v>
      </c>
      <c r="J322" t="n">
        <v>0</v>
      </c>
      <c r="K322" t="n">
        <v>0</v>
      </c>
      <c r="L322" t="n">
        <v>0</v>
      </c>
      <c r="M322" t="n">
        <v>0</v>
      </c>
      <c r="N322" t="n">
        <v>0</v>
      </c>
      <c r="O322" t="n">
        <v>0</v>
      </c>
      <c r="P322" t="n">
        <v>0</v>
      </c>
      <c r="Q322" t="n">
        <v>0</v>
      </c>
      <c r="R322" s="2" t="inlineStr"/>
    </row>
    <row r="323" ht="15" customHeight="1">
      <c r="A323" t="inlineStr">
        <is>
          <t>A 43488-2023</t>
        </is>
      </c>
      <c r="B323" s="1" t="n">
        <v>45181</v>
      </c>
      <c r="C323" s="1" t="n">
        <v>46092</v>
      </c>
      <c r="D323" t="inlineStr">
        <is>
          <t>UPPSALA LÄN</t>
        </is>
      </c>
      <c r="E323" t="inlineStr">
        <is>
          <t>ENKÖPING</t>
        </is>
      </c>
      <c r="G323" t="n">
        <v>0.6</v>
      </c>
      <c r="H323" t="n">
        <v>0</v>
      </c>
      <c r="I323" t="n">
        <v>0</v>
      </c>
      <c r="J323" t="n">
        <v>0</v>
      </c>
      <c r="K323" t="n">
        <v>0</v>
      </c>
      <c r="L323" t="n">
        <v>0</v>
      </c>
      <c r="M323" t="n">
        <v>0</v>
      </c>
      <c r="N323" t="n">
        <v>0</v>
      </c>
      <c r="O323" t="n">
        <v>0</v>
      </c>
      <c r="P323" t="n">
        <v>0</v>
      </c>
      <c r="Q323" t="n">
        <v>0</v>
      </c>
      <c r="R323" s="2" t="inlineStr"/>
    </row>
    <row r="324" ht="15" customHeight="1">
      <c r="A324" t="inlineStr">
        <is>
          <t>A 9171-2024</t>
        </is>
      </c>
      <c r="B324" s="1" t="n">
        <v>45358</v>
      </c>
      <c r="C324" s="1" t="n">
        <v>46092</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15740-2025</t>
        </is>
      </c>
      <c r="B325" s="1" t="n">
        <v>45748</v>
      </c>
      <c r="C325" s="1" t="n">
        <v>46092</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43230-2023</t>
        </is>
      </c>
      <c r="B326" s="1" t="n">
        <v>45183</v>
      </c>
      <c r="C326" s="1" t="n">
        <v>46092</v>
      </c>
      <c r="D326" t="inlineStr">
        <is>
          <t>UPPSALA LÄN</t>
        </is>
      </c>
      <c r="E326" t="inlineStr">
        <is>
          <t>ENKÖPING</t>
        </is>
      </c>
      <c r="G326" t="n">
        <v>2.1</v>
      </c>
      <c r="H326" t="n">
        <v>0</v>
      </c>
      <c r="I326" t="n">
        <v>0</v>
      </c>
      <c r="J326" t="n">
        <v>0</v>
      </c>
      <c r="K326" t="n">
        <v>0</v>
      </c>
      <c r="L326" t="n">
        <v>0</v>
      </c>
      <c r="M326" t="n">
        <v>0</v>
      </c>
      <c r="N326" t="n">
        <v>0</v>
      </c>
      <c r="O326" t="n">
        <v>0</v>
      </c>
      <c r="P326" t="n">
        <v>0</v>
      </c>
      <c r="Q326" t="n">
        <v>0</v>
      </c>
      <c r="R326" s="2" t="inlineStr"/>
    </row>
    <row r="327" ht="15" customHeight="1">
      <c r="A327" t="inlineStr">
        <is>
          <t>A 45362-2022</t>
        </is>
      </c>
      <c r="B327" s="1" t="n">
        <v>44844.62366898148</v>
      </c>
      <c r="C327" s="1" t="n">
        <v>46092</v>
      </c>
      <c r="D327" t="inlineStr">
        <is>
          <t>UPPSALA LÄN</t>
        </is>
      </c>
      <c r="E327" t="inlineStr">
        <is>
          <t>ENKÖPING</t>
        </is>
      </c>
      <c r="G327" t="n">
        <v>1.8</v>
      </c>
      <c r="H327" t="n">
        <v>0</v>
      </c>
      <c r="I327" t="n">
        <v>0</v>
      </c>
      <c r="J327" t="n">
        <v>0</v>
      </c>
      <c r="K327" t="n">
        <v>0</v>
      </c>
      <c r="L327" t="n">
        <v>0</v>
      </c>
      <c r="M327" t="n">
        <v>0</v>
      </c>
      <c r="N327" t="n">
        <v>0</v>
      </c>
      <c r="O327" t="n">
        <v>0</v>
      </c>
      <c r="P327" t="n">
        <v>0</v>
      </c>
      <c r="Q327" t="n">
        <v>0</v>
      </c>
      <c r="R327" s="2" t="inlineStr"/>
    </row>
    <row r="328" ht="15" customHeight="1">
      <c r="A328" t="inlineStr">
        <is>
          <t>A 72840-2021</t>
        </is>
      </c>
      <c r="B328" s="1" t="n">
        <v>44547</v>
      </c>
      <c r="C328" s="1" t="n">
        <v>46092</v>
      </c>
      <c r="D328" t="inlineStr">
        <is>
          <t>UPPSALA LÄN</t>
        </is>
      </c>
      <c r="E328" t="inlineStr">
        <is>
          <t>ENKÖPING</t>
        </is>
      </c>
      <c r="G328" t="n">
        <v>1.9</v>
      </c>
      <c r="H328" t="n">
        <v>0</v>
      </c>
      <c r="I328" t="n">
        <v>0</v>
      </c>
      <c r="J328" t="n">
        <v>0</v>
      </c>
      <c r="K328" t="n">
        <v>0</v>
      </c>
      <c r="L328" t="n">
        <v>0</v>
      </c>
      <c r="M328" t="n">
        <v>0</v>
      </c>
      <c r="N328" t="n">
        <v>0</v>
      </c>
      <c r="O328" t="n">
        <v>0</v>
      </c>
      <c r="P328" t="n">
        <v>0</v>
      </c>
      <c r="Q328" t="n">
        <v>0</v>
      </c>
      <c r="R328" s="2" t="inlineStr"/>
    </row>
    <row r="329" ht="15" customHeight="1">
      <c r="A329" t="inlineStr">
        <is>
          <t>A 26011-2025</t>
        </is>
      </c>
      <c r="B329" s="1" t="n">
        <v>45804.67412037037</v>
      </c>
      <c r="C329" s="1" t="n">
        <v>46092</v>
      </c>
      <c r="D329" t="inlineStr">
        <is>
          <t>UPPSALA LÄN</t>
        </is>
      </c>
      <c r="E329" t="inlineStr">
        <is>
          <t>ENKÖPING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18994-2025</t>
        </is>
      </c>
      <c r="B330" s="1" t="n">
        <v>45764.57350694444</v>
      </c>
      <c r="C330" s="1" t="n">
        <v>46092</v>
      </c>
      <c r="D330" t="inlineStr">
        <is>
          <t>UPPSALA LÄN</t>
        </is>
      </c>
      <c r="E330" t="inlineStr">
        <is>
          <t>ENKÖPING</t>
        </is>
      </c>
      <c r="G330" t="n">
        <v>3.8</v>
      </c>
      <c r="H330" t="n">
        <v>0</v>
      </c>
      <c r="I330" t="n">
        <v>0</v>
      </c>
      <c r="J330" t="n">
        <v>0</v>
      </c>
      <c r="K330" t="n">
        <v>0</v>
      </c>
      <c r="L330" t="n">
        <v>0</v>
      </c>
      <c r="M330" t="n">
        <v>0</v>
      </c>
      <c r="N330" t="n">
        <v>0</v>
      </c>
      <c r="O330" t="n">
        <v>0</v>
      </c>
      <c r="P330" t="n">
        <v>0</v>
      </c>
      <c r="Q330" t="n">
        <v>0</v>
      </c>
      <c r="R330" s="2" t="inlineStr"/>
    </row>
    <row r="331" ht="15" customHeight="1">
      <c r="A331" t="inlineStr">
        <is>
          <t>A 57848-2024</t>
        </is>
      </c>
      <c r="B331" s="1" t="n">
        <v>45631.40947916666</v>
      </c>
      <c r="C331" s="1" t="n">
        <v>46092</v>
      </c>
      <c r="D331" t="inlineStr">
        <is>
          <t>UPPSALA LÄN</t>
        </is>
      </c>
      <c r="E331" t="inlineStr">
        <is>
          <t>ENKÖPING</t>
        </is>
      </c>
      <c r="G331" t="n">
        <v>1.2</v>
      </c>
      <c r="H331" t="n">
        <v>0</v>
      </c>
      <c r="I331" t="n">
        <v>0</v>
      </c>
      <c r="J331" t="n">
        <v>0</v>
      </c>
      <c r="K331" t="n">
        <v>0</v>
      </c>
      <c r="L331" t="n">
        <v>0</v>
      </c>
      <c r="M331" t="n">
        <v>0</v>
      </c>
      <c r="N331" t="n">
        <v>0</v>
      </c>
      <c r="O331" t="n">
        <v>0</v>
      </c>
      <c r="P331" t="n">
        <v>0</v>
      </c>
      <c r="Q331" t="n">
        <v>0</v>
      </c>
      <c r="R331" s="2" t="inlineStr"/>
    </row>
    <row r="332" ht="15" customHeight="1">
      <c r="A332" t="inlineStr">
        <is>
          <t>A 49601-2024</t>
        </is>
      </c>
      <c r="B332" s="1" t="n">
        <v>45596.56288194445</v>
      </c>
      <c r="C332" s="1" t="n">
        <v>46092</v>
      </c>
      <c r="D332" t="inlineStr">
        <is>
          <t>UPPSALA LÄN</t>
        </is>
      </c>
      <c r="E332" t="inlineStr">
        <is>
          <t>ENKÖPING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2850-2025</t>
        </is>
      </c>
      <c r="B333" s="1" t="n">
        <v>45677</v>
      </c>
      <c r="C333" s="1" t="n">
        <v>46092</v>
      </c>
      <c r="D333" t="inlineStr">
        <is>
          <t>UPPSALA LÄN</t>
        </is>
      </c>
      <c r="E333" t="inlineStr">
        <is>
          <t>ENKÖPING</t>
        </is>
      </c>
      <c r="G333" t="n">
        <v>0.3</v>
      </c>
      <c r="H333" t="n">
        <v>0</v>
      </c>
      <c r="I333" t="n">
        <v>0</v>
      </c>
      <c r="J333" t="n">
        <v>0</v>
      </c>
      <c r="K333" t="n">
        <v>0</v>
      </c>
      <c r="L333" t="n">
        <v>0</v>
      </c>
      <c r="M333" t="n">
        <v>0</v>
      </c>
      <c r="N333" t="n">
        <v>0</v>
      </c>
      <c r="O333" t="n">
        <v>0</v>
      </c>
      <c r="P333" t="n">
        <v>0</v>
      </c>
      <c r="Q333" t="n">
        <v>0</v>
      </c>
      <c r="R333" s="2" t="inlineStr"/>
    </row>
    <row r="334" ht="15" customHeight="1">
      <c r="A334" t="inlineStr">
        <is>
          <t>A 34617-2022</t>
        </is>
      </c>
      <c r="B334" s="1" t="n">
        <v>44795</v>
      </c>
      <c r="C334" s="1" t="n">
        <v>46092</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1992-2022</t>
        </is>
      </c>
      <c r="B335" s="1" t="n">
        <v>44575.56153935185</v>
      </c>
      <c r="C335" s="1" t="n">
        <v>46092</v>
      </c>
      <c r="D335" t="inlineStr">
        <is>
          <t>UPPSALA LÄN</t>
        </is>
      </c>
      <c r="E335" t="inlineStr">
        <is>
          <t>ENKÖPING</t>
        </is>
      </c>
      <c r="G335" t="n">
        <v>2.8</v>
      </c>
      <c r="H335" t="n">
        <v>0</v>
      </c>
      <c r="I335" t="n">
        <v>0</v>
      </c>
      <c r="J335" t="n">
        <v>0</v>
      </c>
      <c r="K335" t="n">
        <v>0</v>
      </c>
      <c r="L335" t="n">
        <v>0</v>
      </c>
      <c r="M335" t="n">
        <v>0</v>
      </c>
      <c r="N335" t="n">
        <v>0</v>
      </c>
      <c r="O335" t="n">
        <v>0</v>
      </c>
      <c r="P335" t="n">
        <v>0</v>
      </c>
      <c r="Q335" t="n">
        <v>0</v>
      </c>
      <c r="R335" s="2" t="inlineStr"/>
    </row>
    <row r="336" ht="15" customHeight="1">
      <c r="A336" t="inlineStr">
        <is>
          <t>A 18583-2021</t>
        </is>
      </c>
      <c r="B336" s="1" t="n">
        <v>44306</v>
      </c>
      <c r="C336" s="1" t="n">
        <v>46092</v>
      </c>
      <c r="D336" t="inlineStr">
        <is>
          <t>UPPSALA LÄN</t>
        </is>
      </c>
      <c r="E336" t="inlineStr">
        <is>
          <t>ENKÖPING</t>
        </is>
      </c>
      <c r="G336" t="n">
        <v>0.4</v>
      </c>
      <c r="H336" t="n">
        <v>0</v>
      </c>
      <c r="I336" t="n">
        <v>0</v>
      </c>
      <c r="J336" t="n">
        <v>0</v>
      </c>
      <c r="K336" t="n">
        <v>0</v>
      </c>
      <c r="L336" t="n">
        <v>0</v>
      </c>
      <c r="M336" t="n">
        <v>0</v>
      </c>
      <c r="N336" t="n">
        <v>0</v>
      </c>
      <c r="O336" t="n">
        <v>0</v>
      </c>
      <c r="P336" t="n">
        <v>0</v>
      </c>
      <c r="Q336" t="n">
        <v>0</v>
      </c>
      <c r="R336" s="2" t="inlineStr"/>
    </row>
    <row r="337" ht="15" customHeight="1">
      <c r="A337" t="inlineStr">
        <is>
          <t>A 1695-2025</t>
        </is>
      </c>
      <c r="B337" s="1" t="n">
        <v>45670</v>
      </c>
      <c r="C337" s="1" t="n">
        <v>46092</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54541-2025</t>
        </is>
      </c>
      <c r="B338" s="1" t="n">
        <v>45965.64733796296</v>
      </c>
      <c r="C338" s="1" t="n">
        <v>46092</v>
      </c>
      <c r="D338" t="inlineStr">
        <is>
          <t>UPPSALA LÄN</t>
        </is>
      </c>
      <c r="E338" t="inlineStr">
        <is>
          <t>ENKÖPING</t>
        </is>
      </c>
      <c r="G338" t="n">
        <v>3.1</v>
      </c>
      <c r="H338" t="n">
        <v>0</v>
      </c>
      <c r="I338" t="n">
        <v>0</v>
      </c>
      <c r="J338" t="n">
        <v>0</v>
      </c>
      <c r="K338" t="n">
        <v>0</v>
      </c>
      <c r="L338" t="n">
        <v>0</v>
      </c>
      <c r="M338" t="n">
        <v>0</v>
      </c>
      <c r="N338" t="n">
        <v>0</v>
      </c>
      <c r="O338" t="n">
        <v>0</v>
      </c>
      <c r="P338" t="n">
        <v>0</v>
      </c>
      <c r="Q338" t="n">
        <v>0</v>
      </c>
      <c r="R338" s="2" t="inlineStr"/>
    </row>
    <row r="339" ht="15" customHeight="1">
      <c r="A339" t="inlineStr">
        <is>
          <t>A 54263-2025</t>
        </is>
      </c>
      <c r="B339" s="1" t="n">
        <v>45964.66271990741</v>
      </c>
      <c r="C339" s="1" t="n">
        <v>46092</v>
      </c>
      <c r="D339" t="inlineStr">
        <is>
          <t>UPPSALA LÄN</t>
        </is>
      </c>
      <c r="E339" t="inlineStr">
        <is>
          <t>ENKÖPING</t>
        </is>
      </c>
      <c r="G339" t="n">
        <v>0.6</v>
      </c>
      <c r="H339" t="n">
        <v>0</v>
      </c>
      <c r="I339" t="n">
        <v>0</v>
      </c>
      <c r="J339" t="n">
        <v>0</v>
      </c>
      <c r="K339" t="n">
        <v>0</v>
      </c>
      <c r="L339" t="n">
        <v>0</v>
      </c>
      <c r="M339" t="n">
        <v>0</v>
      </c>
      <c r="N339" t="n">
        <v>0</v>
      </c>
      <c r="O339" t="n">
        <v>0</v>
      </c>
      <c r="P339" t="n">
        <v>0</v>
      </c>
      <c r="Q339" t="n">
        <v>0</v>
      </c>
      <c r="R339" s="2" t="inlineStr"/>
    </row>
    <row r="340" ht="15" customHeight="1">
      <c r="A340" t="inlineStr">
        <is>
          <t>A 54357-2023</t>
        </is>
      </c>
      <c r="B340" s="1" t="n">
        <v>45225</v>
      </c>
      <c r="C340" s="1" t="n">
        <v>46092</v>
      </c>
      <c r="D340" t="inlineStr">
        <is>
          <t>UPPSALA LÄN</t>
        </is>
      </c>
      <c r="E340" t="inlineStr">
        <is>
          <t>ENKÖPING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24962-2023</t>
        </is>
      </c>
      <c r="B341" s="1" t="n">
        <v>45085.60123842592</v>
      </c>
      <c r="C341" s="1" t="n">
        <v>46092</v>
      </c>
      <c r="D341" t="inlineStr">
        <is>
          <t>UPPSALA LÄN</t>
        </is>
      </c>
      <c r="E341" t="inlineStr">
        <is>
          <t>ENKÖPING</t>
        </is>
      </c>
      <c r="G341" t="n">
        <v>2.8</v>
      </c>
      <c r="H341" t="n">
        <v>0</v>
      </c>
      <c r="I341" t="n">
        <v>0</v>
      </c>
      <c r="J341" t="n">
        <v>0</v>
      </c>
      <c r="K341" t="n">
        <v>0</v>
      </c>
      <c r="L341" t="n">
        <v>0</v>
      </c>
      <c r="M341" t="n">
        <v>0</v>
      </c>
      <c r="N341" t="n">
        <v>0</v>
      </c>
      <c r="O341" t="n">
        <v>0</v>
      </c>
      <c r="P341" t="n">
        <v>0</v>
      </c>
      <c r="Q341" t="n">
        <v>0</v>
      </c>
      <c r="R341" s="2" t="inlineStr"/>
    </row>
    <row r="342" ht="15" customHeight="1">
      <c r="A342" t="inlineStr">
        <is>
          <t>A 29513-2025</t>
        </is>
      </c>
      <c r="B342" s="1" t="n">
        <v>45825</v>
      </c>
      <c r="C342" s="1" t="n">
        <v>46092</v>
      </c>
      <c r="D342" t="inlineStr">
        <is>
          <t>UPPSALA LÄN</t>
        </is>
      </c>
      <c r="E342" t="inlineStr">
        <is>
          <t>ENKÖPING</t>
        </is>
      </c>
      <c r="G342" t="n">
        <v>2.6</v>
      </c>
      <c r="H342" t="n">
        <v>0</v>
      </c>
      <c r="I342" t="n">
        <v>0</v>
      </c>
      <c r="J342" t="n">
        <v>0</v>
      </c>
      <c r="K342" t="n">
        <v>0</v>
      </c>
      <c r="L342" t="n">
        <v>0</v>
      </c>
      <c r="M342" t="n">
        <v>0</v>
      </c>
      <c r="N342" t="n">
        <v>0</v>
      </c>
      <c r="O342" t="n">
        <v>0</v>
      </c>
      <c r="P342" t="n">
        <v>0</v>
      </c>
      <c r="Q342" t="n">
        <v>0</v>
      </c>
      <c r="R342" s="2" t="inlineStr"/>
    </row>
    <row r="343" ht="15" customHeight="1">
      <c r="A343" t="inlineStr">
        <is>
          <t>A 58961-2024</t>
        </is>
      </c>
      <c r="B343" s="1" t="n">
        <v>45636.585</v>
      </c>
      <c r="C343" s="1" t="n">
        <v>46092</v>
      </c>
      <c r="D343" t="inlineStr">
        <is>
          <t>UPPSALA LÄN</t>
        </is>
      </c>
      <c r="E343" t="inlineStr">
        <is>
          <t>ENKÖPING</t>
        </is>
      </c>
      <c r="G343" t="n">
        <v>4</v>
      </c>
      <c r="H343" t="n">
        <v>0</v>
      </c>
      <c r="I343" t="n">
        <v>0</v>
      </c>
      <c r="J343" t="n">
        <v>0</v>
      </c>
      <c r="K343" t="n">
        <v>0</v>
      </c>
      <c r="L343" t="n">
        <v>0</v>
      </c>
      <c r="M343" t="n">
        <v>0</v>
      </c>
      <c r="N343" t="n">
        <v>0</v>
      </c>
      <c r="O343" t="n">
        <v>0</v>
      </c>
      <c r="P343" t="n">
        <v>0</v>
      </c>
      <c r="Q343" t="n">
        <v>0</v>
      </c>
      <c r="R343" s="2" t="inlineStr"/>
    </row>
    <row r="344" ht="15" customHeight="1">
      <c r="A344" t="inlineStr">
        <is>
          <t>A 17844-2025</t>
        </is>
      </c>
      <c r="B344" s="1" t="n">
        <v>45758.59920138889</v>
      </c>
      <c r="C344" s="1" t="n">
        <v>46092</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54844-2025</t>
        </is>
      </c>
      <c r="B345" s="1" t="n">
        <v>45966.69570601852</v>
      </c>
      <c r="C345" s="1" t="n">
        <v>46092</v>
      </c>
      <c r="D345" t="inlineStr">
        <is>
          <t>UPPSALA LÄN</t>
        </is>
      </c>
      <c r="E345" t="inlineStr">
        <is>
          <t>ENKÖPING</t>
        </is>
      </c>
      <c r="G345" t="n">
        <v>5.5</v>
      </c>
      <c r="H345" t="n">
        <v>0</v>
      </c>
      <c r="I345" t="n">
        <v>0</v>
      </c>
      <c r="J345" t="n">
        <v>0</v>
      </c>
      <c r="K345" t="n">
        <v>0</v>
      </c>
      <c r="L345" t="n">
        <v>0</v>
      </c>
      <c r="M345" t="n">
        <v>0</v>
      </c>
      <c r="N345" t="n">
        <v>0</v>
      </c>
      <c r="O345" t="n">
        <v>0</v>
      </c>
      <c r="P345" t="n">
        <v>0</v>
      </c>
      <c r="Q345" t="n">
        <v>0</v>
      </c>
      <c r="R345" s="2" t="inlineStr"/>
    </row>
    <row r="346" ht="15" customHeight="1">
      <c r="A346" t="inlineStr">
        <is>
          <t>A 27837-2025</t>
        </is>
      </c>
      <c r="B346" s="1" t="n">
        <v>45817.37207175926</v>
      </c>
      <c r="C346" s="1" t="n">
        <v>46092</v>
      </c>
      <c r="D346" t="inlineStr">
        <is>
          <t>UPPSALA LÄN</t>
        </is>
      </c>
      <c r="E346" t="inlineStr">
        <is>
          <t>ENKÖPING</t>
        </is>
      </c>
      <c r="G346" t="n">
        <v>7.3</v>
      </c>
      <c r="H346" t="n">
        <v>0</v>
      </c>
      <c r="I346" t="n">
        <v>0</v>
      </c>
      <c r="J346" t="n">
        <v>0</v>
      </c>
      <c r="K346" t="n">
        <v>0</v>
      </c>
      <c r="L346" t="n">
        <v>0</v>
      </c>
      <c r="M346" t="n">
        <v>0</v>
      </c>
      <c r="N346" t="n">
        <v>0</v>
      </c>
      <c r="O346" t="n">
        <v>0</v>
      </c>
      <c r="P346" t="n">
        <v>0</v>
      </c>
      <c r="Q346" t="n">
        <v>0</v>
      </c>
      <c r="R346" s="2" t="inlineStr"/>
    </row>
    <row r="347" ht="15" customHeight="1">
      <c r="A347" t="inlineStr">
        <is>
          <t>A 53595-2023</t>
        </is>
      </c>
      <c r="B347" s="1" t="n">
        <v>45223</v>
      </c>
      <c r="C347" s="1" t="n">
        <v>46092</v>
      </c>
      <c r="D347" t="inlineStr">
        <is>
          <t>UPPSALA LÄN</t>
        </is>
      </c>
      <c r="E347" t="inlineStr">
        <is>
          <t>ENKÖPING</t>
        </is>
      </c>
      <c r="G347" t="n">
        <v>2.6</v>
      </c>
      <c r="H347" t="n">
        <v>0</v>
      </c>
      <c r="I347" t="n">
        <v>0</v>
      </c>
      <c r="J347" t="n">
        <v>0</v>
      </c>
      <c r="K347" t="n">
        <v>0</v>
      </c>
      <c r="L347" t="n">
        <v>0</v>
      </c>
      <c r="M347" t="n">
        <v>0</v>
      </c>
      <c r="N347" t="n">
        <v>0</v>
      </c>
      <c r="O347" t="n">
        <v>0</v>
      </c>
      <c r="P347" t="n">
        <v>0</v>
      </c>
      <c r="Q347" t="n">
        <v>0</v>
      </c>
      <c r="R347" s="2" t="inlineStr"/>
    </row>
    <row r="348" ht="15" customHeight="1">
      <c r="A348" t="inlineStr">
        <is>
          <t>A 54758-2025</t>
        </is>
      </c>
      <c r="B348" s="1" t="n">
        <v>45966.59737268519</v>
      </c>
      <c r="C348" s="1" t="n">
        <v>46092</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55567-2025</t>
        </is>
      </c>
      <c r="B349" s="1" t="n">
        <v>45971.65589120371</v>
      </c>
      <c r="C349" s="1" t="n">
        <v>46092</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15893-2024</t>
        </is>
      </c>
      <c r="B350" s="1" t="n">
        <v>45405</v>
      </c>
      <c r="C350" s="1" t="n">
        <v>46092</v>
      </c>
      <c r="D350" t="inlineStr">
        <is>
          <t>UPPSALA LÄN</t>
        </is>
      </c>
      <c r="E350" t="inlineStr">
        <is>
          <t>ENKÖPING</t>
        </is>
      </c>
      <c r="G350" t="n">
        <v>1.9</v>
      </c>
      <c r="H350" t="n">
        <v>0</v>
      </c>
      <c r="I350" t="n">
        <v>0</v>
      </c>
      <c r="J350" t="n">
        <v>0</v>
      </c>
      <c r="K350" t="n">
        <v>0</v>
      </c>
      <c r="L350" t="n">
        <v>0</v>
      </c>
      <c r="M350" t="n">
        <v>0</v>
      </c>
      <c r="N350" t="n">
        <v>0</v>
      </c>
      <c r="O350" t="n">
        <v>0</v>
      </c>
      <c r="P350" t="n">
        <v>0</v>
      </c>
      <c r="Q350" t="n">
        <v>0</v>
      </c>
      <c r="R350" s="2" t="inlineStr"/>
    </row>
    <row r="351" ht="15" customHeight="1">
      <c r="A351" t="inlineStr">
        <is>
          <t>A 18028-2023</t>
        </is>
      </c>
      <c r="B351" s="1" t="n">
        <v>45040</v>
      </c>
      <c r="C351" s="1" t="n">
        <v>46092</v>
      </c>
      <c r="D351" t="inlineStr">
        <is>
          <t>UPPSALA LÄN</t>
        </is>
      </c>
      <c r="E351" t="inlineStr">
        <is>
          <t>ENKÖPING</t>
        </is>
      </c>
      <c r="G351" t="n">
        <v>1.1</v>
      </c>
      <c r="H351" t="n">
        <v>0</v>
      </c>
      <c r="I351" t="n">
        <v>0</v>
      </c>
      <c r="J351" t="n">
        <v>0</v>
      </c>
      <c r="K351" t="n">
        <v>0</v>
      </c>
      <c r="L351" t="n">
        <v>0</v>
      </c>
      <c r="M351" t="n">
        <v>0</v>
      </c>
      <c r="N351" t="n">
        <v>0</v>
      </c>
      <c r="O351" t="n">
        <v>0</v>
      </c>
      <c r="P351" t="n">
        <v>0</v>
      </c>
      <c r="Q351" t="n">
        <v>0</v>
      </c>
      <c r="R351" s="2" t="inlineStr"/>
    </row>
    <row r="352" ht="15" customHeight="1">
      <c r="A352" t="inlineStr">
        <is>
          <t>A 12411-2026</t>
        </is>
      </c>
      <c r="B352" s="1" t="n">
        <v>46090.42670138889</v>
      </c>
      <c r="C352" s="1" t="n">
        <v>46092</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21501-2025</t>
        </is>
      </c>
      <c r="B353" s="1" t="n">
        <v>45782</v>
      </c>
      <c r="C353" s="1" t="n">
        <v>46092</v>
      </c>
      <c r="D353" t="inlineStr">
        <is>
          <t>UPPSALA LÄN</t>
        </is>
      </c>
      <c r="E353" t="inlineStr">
        <is>
          <t>ENKÖPING</t>
        </is>
      </c>
      <c r="G353" t="n">
        <v>1</v>
      </c>
      <c r="H353" t="n">
        <v>0</v>
      </c>
      <c r="I353" t="n">
        <v>0</v>
      </c>
      <c r="J353" t="n">
        <v>0</v>
      </c>
      <c r="K353" t="n">
        <v>0</v>
      </c>
      <c r="L353" t="n">
        <v>0</v>
      </c>
      <c r="M353" t="n">
        <v>0</v>
      </c>
      <c r="N353" t="n">
        <v>0</v>
      </c>
      <c r="O353" t="n">
        <v>0</v>
      </c>
      <c r="P353" t="n">
        <v>0</v>
      </c>
      <c r="Q353" t="n">
        <v>0</v>
      </c>
      <c r="R353" s="2" t="inlineStr"/>
    </row>
    <row r="354" ht="15" customHeight="1">
      <c r="A354" t="inlineStr">
        <is>
          <t>A 34988-2025</t>
        </is>
      </c>
      <c r="B354" s="1" t="n">
        <v>45849</v>
      </c>
      <c r="C354" s="1" t="n">
        <v>46092</v>
      </c>
      <c r="D354" t="inlineStr">
        <is>
          <t>UPPSALA LÄN</t>
        </is>
      </c>
      <c r="E354" t="inlineStr">
        <is>
          <t>ENKÖPING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34987-2025</t>
        </is>
      </c>
      <c r="B355" s="1" t="n">
        <v>45849</v>
      </c>
      <c r="C355" s="1" t="n">
        <v>46092</v>
      </c>
      <c r="D355" t="inlineStr">
        <is>
          <t>UPPSALA LÄN</t>
        </is>
      </c>
      <c r="E355" t="inlineStr">
        <is>
          <t>ENKÖPING</t>
        </is>
      </c>
      <c r="G355" t="n">
        <v>2.2</v>
      </c>
      <c r="H355" t="n">
        <v>0</v>
      </c>
      <c r="I355" t="n">
        <v>0</v>
      </c>
      <c r="J355" t="n">
        <v>0</v>
      </c>
      <c r="K355" t="n">
        <v>0</v>
      </c>
      <c r="L355" t="n">
        <v>0</v>
      </c>
      <c r="M355" t="n">
        <v>0</v>
      </c>
      <c r="N355" t="n">
        <v>0</v>
      </c>
      <c r="O355" t="n">
        <v>0</v>
      </c>
      <c r="P355" t="n">
        <v>0</v>
      </c>
      <c r="Q355" t="n">
        <v>0</v>
      </c>
      <c r="R355" s="2" t="inlineStr"/>
    </row>
    <row r="356" ht="15" customHeight="1">
      <c r="A356" t="inlineStr">
        <is>
          <t>A 5104-2026</t>
        </is>
      </c>
      <c r="B356" s="1" t="n">
        <v>46049.56914351852</v>
      </c>
      <c r="C356" s="1" t="n">
        <v>46092</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36492-2025</t>
        </is>
      </c>
      <c r="B357" s="1" t="n">
        <v>45869</v>
      </c>
      <c r="C357" s="1" t="n">
        <v>46092</v>
      </c>
      <c r="D357" t="inlineStr">
        <is>
          <t>UPPSALA LÄN</t>
        </is>
      </c>
      <c r="E357" t="inlineStr">
        <is>
          <t>ENKÖPING</t>
        </is>
      </c>
      <c r="G357" t="n">
        <v>6.3</v>
      </c>
      <c r="H357" t="n">
        <v>0</v>
      </c>
      <c r="I357" t="n">
        <v>0</v>
      </c>
      <c r="J357" t="n">
        <v>0</v>
      </c>
      <c r="K357" t="n">
        <v>0</v>
      </c>
      <c r="L357" t="n">
        <v>0</v>
      </c>
      <c r="M357" t="n">
        <v>0</v>
      </c>
      <c r="N357" t="n">
        <v>0</v>
      </c>
      <c r="O357" t="n">
        <v>0</v>
      </c>
      <c r="P357" t="n">
        <v>0</v>
      </c>
      <c r="Q357" t="n">
        <v>0</v>
      </c>
      <c r="R357" s="2" t="inlineStr"/>
    </row>
    <row r="358" ht="15" customHeight="1">
      <c r="A358" t="inlineStr">
        <is>
          <t>A 36350-2025</t>
        </is>
      </c>
      <c r="B358" s="1" t="n">
        <v>45868</v>
      </c>
      <c r="C358" s="1" t="n">
        <v>46092</v>
      </c>
      <c r="D358" t="inlineStr">
        <is>
          <t>UPPSALA LÄN</t>
        </is>
      </c>
      <c r="E358" t="inlineStr">
        <is>
          <t>ENKÖPING</t>
        </is>
      </c>
      <c r="G358" t="n">
        <v>1.9</v>
      </c>
      <c r="H358" t="n">
        <v>0</v>
      </c>
      <c r="I358" t="n">
        <v>0</v>
      </c>
      <c r="J358" t="n">
        <v>0</v>
      </c>
      <c r="K358" t="n">
        <v>0</v>
      </c>
      <c r="L358" t="n">
        <v>0</v>
      </c>
      <c r="M358" t="n">
        <v>0</v>
      </c>
      <c r="N358" t="n">
        <v>0</v>
      </c>
      <c r="O358" t="n">
        <v>0</v>
      </c>
      <c r="P358" t="n">
        <v>0</v>
      </c>
      <c r="Q358" t="n">
        <v>0</v>
      </c>
      <c r="R358" s="2" t="inlineStr"/>
    </row>
    <row r="359" ht="15" customHeight="1">
      <c r="A359" t="inlineStr">
        <is>
          <t>A 48843-2023</t>
        </is>
      </c>
      <c r="B359" s="1" t="n">
        <v>45209</v>
      </c>
      <c r="C359" s="1" t="n">
        <v>46092</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33670-2024</t>
        </is>
      </c>
      <c r="B360" s="1" t="n">
        <v>45520</v>
      </c>
      <c r="C360" s="1" t="n">
        <v>46092</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19376-2024</t>
        </is>
      </c>
      <c r="B361" s="1" t="n">
        <v>45429</v>
      </c>
      <c r="C361" s="1" t="n">
        <v>46092</v>
      </c>
      <c r="D361" t="inlineStr">
        <is>
          <t>UPPSALA LÄN</t>
        </is>
      </c>
      <c r="E361" t="inlineStr">
        <is>
          <t>ENKÖPING</t>
        </is>
      </c>
      <c r="G361" t="n">
        <v>1.6</v>
      </c>
      <c r="H361" t="n">
        <v>0</v>
      </c>
      <c r="I361" t="n">
        <v>0</v>
      </c>
      <c r="J361" t="n">
        <v>0</v>
      </c>
      <c r="K361" t="n">
        <v>0</v>
      </c>
      <c r="L361" t="n">
        <v>0</v>
      </c>
      <c r="M361" t="n">
        <v>0</v>
      </c>
      <c r="N361" t="n">
        <v>0</v>
      </c>
      <c r="O361" t="n">
        <v>0</v>
      </c>
      <c r="P361" t="n">
        <v>0</v>
      </c>
      <c r="Q361" t="n">
        <v>0</v>
      </c>
      <c r="R361" s="2" t="inlineStr"/>
    </row>
    <row r="362" ht="15" customHeight="1">
      <c r="A362" t="inlineStr">
        <is>
          <t>A 36599-2025</t>
        </is>
      </c>
      <c r="B362" s="1" t="n">
        <v>45870.51723379629</v>
      </c>
      <c r="C362" s="1" t="n">
        <v>46092</v>
      </c>
      <c r="D362" t="inlineStr">
        <is>
          <t>UPPSALA LÄN</t>
        </is>
      </c>
      <c r="E362" t="inlineStr">
        <is>
          <t>ENKÖPING</t>
        </is>
      </c>
      <c r="G362" t="n">
        <v>5.9</v>
      </c>
      <c r="H362" t="n">
        <v>0</v>
      </c>
      <c r="I362" t="n">
        <v>0</v>
      </c>
      <c r="J362" t="n">
        <v>0</v>
      </c>
      <c r="K362" t="n">
        <v>0</v>
      </c>
      <c r="L362" t="n">
        <v>0</v>
      </c>
      <c r="M362" t="n">
        <v>0</v>
      </c>
      <c r="N362" t="n">
        <v>0</v>
      </c>
      <c r="O362" t="n">
        <v>0</v>
      </c>
      <c r="P362" t="n">
        <v>0</v>
      </c>
      <c r="Q362" t="n">
        <v>0</v>
      </c>
      <c r="R362" s="2" t="inlineStr"/>
    </row>
    <row r="363" ht="15" customHeight="1">
      <c r="A363" t="inlineStr">
        <is>
          <t>A 37498-2025</t>
        </is>
      </c>
      <c r="B363" s="1" t="n">
        <v>45877</v>
      </c>
      <c r="C363" s="1" t="n">
        <v>46092</v>
      </c>
      <c r="D363" t="inlineStr">
        <is>
          <t>UPPSALA LÄN</t>
        </is>
      </c>
      <c r="E363" t="inlineStr">
        <is>
          <t>ENKÖPING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37296-2025</t>
        </is>
      </c>
      <c r="B364" s="1" t="n">
        <v>45876</v>
      </c>
      <c r="C364" s="1" t="n">
        <v>46092</v>
      </c>
      <c r="D364" t="inlineStr">
        <is>
          <t>UPPSALA LÄN</t>
        </is>
      </c>
      <c r="E364" t="inlineStr">
        <is>
          <t>ENKÖPING</t>
        </is>
      </c>
      <c r="G364" t="n">
        <v>9.5</v>
      </c>
      <c r="H364" t="n">
        <v>0</v>
      </c>
      <c r="I364" t="n">
        <v>0</v>
      </c>
      <c r="J364" t="n">
        <v>0</v>
      </c>
      <c r="K364" t="n">
        <v>0</v>
      </c>
      <c r="L364" t="n">
        <v>0</v>
      </c>
      <c r="M364" t="n">
        <v>0</v>
      </c>
      <c r="N364" t="n">
        <v>0</v>
      </c>
      <c r="O364" t="n">
        <v>0</v>
      </c>
      <c r="P364" t="n">
        <v>0</v>
      </c>
      <c r="Q364" t="n">
        <v>0</v>
      </c>
      <c r="R364" s="2" t="inlineStr"/>
    </row>
    <row r="365" ht="15" customHeight="1">
      <c r="A365" t="inlineStr">
        <is>
          <t>A 12020-2024</t>
        </is>
      </c>
      <c r="B365" s="1" t="n">
        <v>45377</v>
      </c>
      <c r="C365" s="1" t="n">
        <v>46092</v>
      </c>
      <c r="D365" t="inlineStr">
        <is>
          <t>UPPSALA LÄN</t>
        </is>
      </c>
      <c r="E365" t="inlineStr">
        <is>
          <t>ENKÖPING</t>
        </is>
      </c>
      <c r="G365" t="n">
        <v>2</v>
      </c>
      <c r="H365" t="n">
        <v>0</v>
      </c>
      <c r="I365" t="n">
        <v>0</v>
      </c>
      <c r="J365" t="n">
        <v>0</v>
      </c>
      <c r="K365" t="n">
        <v>0</v>
      </c>
      <c r="L365" t="n">
        <v>0</v>
      </c>
      <c r="M365" t="n">
        <v>0</v>
      </c>
      <c r="N365" t="n">
        <v>0</v>
      </c>
      <c r="O365" t="n">
        <v>0</v>
      </c>
      <c r="P365" t="n">
        <v>0</v>
      </c>
      <c r="Q365" t="n">
        <v>0</v>
      </c>
      <c r="R365" s="2" t="inlineStr"/>
    </row>
    <row r="366" ht="15" customHeight="1">
      <c r="A366" t="inlineStr">
        <is>
          <t>A 37319-2025</t>
        </is>
      </c>
      <c r="B366" s="1" t="n">
        <v>45876</v>
      </c>
      <c r="C366" s="1" t="n">
        <v>46092</v>
      </c>
      <c r="D366" t="inlineStr">
        <is>
          <t>UPPSALA LÄN</t>
        </is>
      </c>
      <c r="E366" t="inlineStr">
        <is>
          <t>ENKÖPING</t>
        </is>
      </c>
      <c r="G366" t="n">
        <v>9.5</v>
      </c>
      <c r="H366" t="n">
        <v>0</v>
      </c>
      <c r="I366" t="n">
        <v>0</v>
      </c>
      <c r="J366" t="n">
        <v>0</v>
      </c>
      <c r="K366" t="n">
        <v>0</v>
      </c>
      <c r="L366" t="n">
        <v>0</v>
      </c>
      <c r="M366" t="n">
        <v>0</v>
      </c>
      <c r="N366" t="n">
        <v>0</v>
      </c>
      <c r="O366" t="n">
        <v>0</v>
      </c>
      <c r="P366" t="n">
        <v>0</v>
      </c>
      <c r="Q366" t="n">
        <v>0</v>
      </c>
      <c r="R366" s="2" t="inlineStr"/>
    </row>
    <row r="367" ht="15" customHeight="1">
      <c r="A367" t="inlineStr">
        <is>
          <t>A 10465-2022</t>
        </is>
      </c>
      <c r="B367" s="1" t="n">
        <v>44623</v>
      </c>
      <c r="C367" s="1" t="n">
        <v>46092</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14332-2024</t>
        </is>
      </c>
      <c r="B368" s="1" t="n">
        <v>45393</v>
      </c>
      <c r="C368" s="1" t="n">
        <v>46092</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61207-2023</t>
        </is>
      </c>
      <c r="B369" s="1" t="n">
        <v>45264.39444444444</v>
      </c>
      <c r="C369" s="1" t="n">
        <v>46092</v>
      </c>
      <c r="D369" t="inlineStr">
        <is>
          <t>UPPSALA LÄN</t>
        </is>
      </c>
      <c r="E369" t="inlineStr">
        <is>
          <t>ENKÖPING</t>
        </is>
      </c>
      <c r="G369" t="n">
        <v>10.8</v>
      </c>
      <c r="H369" t="n">
        <v>0</v>
      </c>
      <c r="I369" t="n">
        <v>0</v>
      </c>
      <c r="J369" t="n">
        <v>0</v>
      </c>
      <c r="K369" t="n">
        <v>0</v>
      </c>
      <c r="L369" t="n">
        <v>0</v>
      </c>
      <c r="M369" t="n">
        <v>0</v>
      </c>
      <c r="N369" t="n">
        <v>0</v>
      </c>
      <c r="O369" t="n">
        <v>0</v>
      </c>
      <c r="P369" t="n">
        <v>0</v>
      </c>
      <c r="Q369" t="n">
        <v>0</v>
      </c>
      <c r="R369" s="2" t="inlineStr"/>
    </row>
    <row r="370" ht="15" customHeight="1">
      <c r="A370" t="inlineStr">
        <is>
          <t>A 49622-2024</t>
        </is>
      </c>
      <c r="B370" s="1" t="n">
        <v>45596.58372685185</v>
      </c>
      <c r="C370" s="1" t="n">
        <v>46092</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40812-2022</t>
        </is>
      </c>
      <c r="B371" s="1" t="n">
        <v>44824.68791666667</v>
      </c>
      <c r="C371" s="1" t="n">
        <v>46092</v>
      </c>
      <c r="D371" t="inlineStr">
        <is>
          <t>UPPSALA LÄN</t>
        </is>
      </c>
      <c r="E371" t="inlineStr">
        <is>
          <t>ENKÖPING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43691-2024</t>
        </is>
      </c>
      <c r="B372" s="1" t="n">
        <v>45569</v>
      </c>
      <c r="C372" s="1" t="n">
        <v>46092</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25333-2023</t>
        </is>
      </c>
      <c r="B373" s="1" t="n">
        <v>45083</v>
      </c>
      <c r="C373" s="1" t="n">
        <v>46092</v>
      </c>
      <c r="D373" t="inlineStr">
        <is>
          <t>UPPSALA LÄN</t>
        </is>
      </c>
      <c r="E373" t="inlineStr">
        <is>
          <t>ENKÖPING</t>
        </is>
      </c>
      <c r="G373" t="n">
        <v>2.7</v>
      </c>
      <c r="H373" t="n">
        <v>0</v>
      </c>
      <c r="I373" t="n">
        <v>0</v>
      </c>
      <c r="J373" t="n">
        <v>0</v>
      </c>
      <c r="K373" t="n">
        <v>0</v>
      </c>
      <c r="L373" t="n">
        <v>0</v>
      </c>
      <c r="M373" t="n">
        <v>0</v>
      </c>
      <c r="N373" t="n">
        <v>0</v>
      </c>
      <c r="O373" t="n">
        <v>0</v>
      </c>
      <c r="P373" t="n">
        <v>0</v>
      </c>
      <c r="Q373" t="n">
        <v>0</v>
      </c>
      <c r="R373" s="2" t="inlineStr"/>
    </row>
    <row r="374" ht="15" customHeight="1">
      <c r="A374" t="inlineStr">
        <is>
          <t>A 3300-2025</t>
        </is>
      </c>
      <c r="B374" s="1" t="n">
        <v>45679</v>
      </c>
      <c r="C374" s="1" t="n">
        <v>46092</v>
      </c>
      <c r="D374" t="inlineStr">
        <is>
          <t>UPPSALA LÄN</t>
        </is>
      </c>
      <c r="E374" t="inlineStr">
        <is>
          <t>ENKÖPING</t>
        </is>
      </c>
      <c r="G374" t="n">
        <v>8.9</v>
      </c>
      <c r="H374" t="n">
        <v>0</v>
      </c>
      <c r="I374" t="n">
        <v>0</v>
      </c>
      <c r="J374" t="n">
        <v>0</v>
      </c>
      <c r="K374" t="n">
        <v>0</v>
      </c>
      <c r="L374" t="n">
        <v>0</v>
      </c>
      <c r="M374" t="n">
        <v>0</v>
      </c>
      <c r="N374" t="n">
        <v>0</v>
      </c>
      <c r="O374" t="n">
        <v>0</v>
      </c>
      <c r="P374" t="n">
        <v>0</v>
      </c>
      <c r="Q374" t="n">
        <v>0</v>
      </c>
      <c r="R374" s="2" t="inlineStr"/>
    </row>
    <row r="375" ht="15" customHeight="1">
      <c r="A375" t="inlineStr">
        <is>
          <t>A 12754-2025</t>
        </is>
      </c>
      <c r="B375" s="1" t="n">
        <v>45733.56331018519</v>
      </c>
      <c r="C375" s="1" t="n">
        <v>46092</v>
      </c>
      <c r="D375" t="inlineStr">
        <is>
          <t>UPPSALA LÄN</t>
        </is>
      </c>
      <c r="E375" t="inlineStr">
        <is>
          <t>ENKÖPING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21017-2023</t>
        </is>
      </c>
      <c r="B376" s="1" t="n">
        <v>45061</v>
      </c>
      <c r="C376" s="1" t="n">
        <v>46092</v>
      </c>
      <c r="D376" t="inlineStr">
        <is>
          <t>UPPSALA LÄN</t>
        </is>
      </c>
      <c r="E376" t="inlineStr">
        <is>
          <t>ENKÖPING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16176-2025</t>
        </is>
      </c>
      <c r="B377" s="1" t="n">
        <v>45750</v>
      </c>
      <c r="C377" s="1" t="n">
        <v>46092</v>
      </c>
      <c r="D377" t="inlineStr">
        <is>
          <t>UPPSALA LÄN</t>
        </is>
      </c>
      <c r="E377" t="inlineStr">
        <is>
          <t>ENKÖPING</t>
        </is>
      </c>
      <c r="G377" t="n">
        <v>3.9</v>
      </c>
      <c r="H377" t="n">
        <v>0</v>
      </c>
      <c r="I377" t="n">
        <v>0</v>
      </c>
      <c r="J377" t="n">
        <v>0</v>
      </c>
      <c r="K377" t="n">
        <v>0</v>
      </c>
      <c r="L377" t="n">
        <v>0</v>
      </c>
      <c r="M377" t="n">
        <v>0</v>
      </c>
      <c r="N377" t="n">
        <v>0</v>
      </c>
      <c r="O377" t="n">
        <v>0</v>
      </c>
      <c r="P377" t="n">
        <v>0</v>
      </c>
      <c r="Q377" t="n">
        <v>0</v>
      </c>
      <c r="R377" s="2" t="inlineStr"/>
    </row>
    <row r="378" ht="15" customHeight="1">
      <c r="A378" t="inlineStr">
        <is>
          <t>A 56713-2024</t>
        </is>
      </c>
      <c r="B378" s="1" t="n">
        <v>45628</v>
      </c>
      <c r="C378" s="1" t="n">
        <v>46092</v>
      </c>
      <c r="D378" t="inlineStr">
        <is>
          <t>UPPSALA LÄN</t>
        </is>
      </c>
      <c r="E378" t="inlineStr">
        <is>
          <t>ENKÖPING</t>
        </is>
      </c>
      <c r="G378" t="n">
        <v>1.7</v>
      </c>
      <c r="H378" t="n">
        <v>0</v>
      </c>
      <c r="I378" t="n">
        <v>0</v>
      </c>
      <c r="J378" t="n">
        <v>0</v>
      </c>
      <c r="K378" t="n">
        <v>0</v>
      </c>
      <c r="L378" t="n">
        <v>0</v>
      </c>
      <c r="M378" t="n">
        <v>0</v>
      </c>
      <c r="N378" t="n">
        <v>0</v>
      </c>
      <c r="O378" t="n">
        <v>0</v>
      </c>
      <c r="P378" t="n">
        <v>0</v>
      </c>
      <c r="Q378" t="n">
        <v>0</v>
      </c>
      <c r="R378" s="2" t="inlineStr"/>
    </row>
    <row r="379" ht="15" customHeight="1">
      <c r="A379" t="inlineStr">
        <is>
          <t>A 37870-2023</t>
        </is>
      </c>
      <c r="B379" s="1" t="n">
        <v>45160.41996527778</v>
      </c>
      <c r="C379" s="1" t="n">
        <v>46092</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22094-2023</t>
        </is>
      </c>
      <c r="B380" s="1" t="n">
        <v>45069</v>
      </c>
      <c r="C380" s="1" t="n">
        <v>46092</v>
      </c>
      <c r="D380" t="inlineStr">
        <is>
          <t>UPPSALA LÄN</t>
        </is>
      </c>
      <c r="E380" t="inlineStr">
        <is>
          <t>ENKÖPING</t>
        </is>
      </c>
      <c r="G380" t="n">
        <v>2.1</v>
      </c>
      <c r="H380" t="n">
        <v>0</v>
      </c>
      <c r="I380" t="n">
        <v>0</v>
      </c>
      <c r="J380" t="n">
        <v>0</v>
      </c>
      <c r="K380" t="n">
        <v>0</v>
      </c>
      <c r="L380" t="n">
        <v>0</v>
      </c>
      <c r="M380" t="n">
        <v>0</v>
      </c>
      <c r="N380" t="n">
        <v>0</v>
      </c>
      <c r="O380" t="n">
        <v>0</v>
      </c>
      <c r="P380" t="n">
        <v>0</v>
      </c>
      <c r="Q380" t="n">
        <v>0</v>
      </c>
      <c r="R380" s="2" t="inlineStr"/>
    </row>
    <row r="381" ht="15" customHeight="1">
      <c r="A381" t="inlineStr">
        <is>
          <t>A 15405-2025</t>
        </is>
      </c>
      <c r="B381" s="1" t="n">
        <v>45747.44670138889</v>
      </c>
      <c r="C381" s="1" t="n">
        <v>46092</v>
      </c>
      <c r="D381" t="inlineStr">
        <is>
          <t>UPPSALA LÄN</t>
        </is>
      </c>
      <c r="E381" t="inlineStr">
        <is>
          <t>ENKÖPING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35079-2024</t>
        </is>
      </c>
      <c r="B382" s="1" t="n">
        <v>45527.66770833333</v>
      </c>
      <c r="C382" s="1" t="n">
        <v>46092</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33581-2023</t>
        </is>
      </c>
      <c r="B383" s="1" t="n">
        <v>45131</v>
      </c>
      <c r="C383" s="1" t="n">
        <v>46092</v>
      </c>
      <c r="D383" t="inlineStr">
        <is>
          <t>UPPSALA LÄN</t>
        </is>
      </c>
      <c r="E383" t="inlineStr">
        <is>
          <t>ENKÖPING</t>
        </is>
      </c>
      <c r="G383" t="n">
        <v>3.5</v>
      </c>
      <c r="H383" t="n">
        <v>0</v>
      </c>
      <c r="I383" t="n">
        <v>0</v>
      </c>
      <c r="J383" t="n">
        <v>0</v>
      </c>
      <c r="K383" t="n">
        <v>0</v>
      </c>
      <c r="L383" t="n">
        <v>0</v>
      </c>
      <c r="M383" t="n">
        <v>0</v>
      </c>
      <c r="N383" t="n">
        <v>0</v>
      </c>
      <c r="O383" t="n">
        <v>0</v>
      </c>
      <c r="P383" t="n">
        <v>0</v>
      </c>
      <c r="Q383" t="n">
        <v>0</v>
      </c>
      <c r="R383" s="2" t="inlineStr"/>
    </row>
    <row r="384" ht="15" customHeight="1">
      <c r="A384" t="inlineStr">
        <is>
          <t>A 56163-2021</t>
        </is>
      </c>
      <c r="B384" s="1" t="n">
        <v>44477</v>
      </c>
      <c r="C384" s="1" t="n">
        <v>46092</v>
      </c>
      <c r="D384" t="inlineStr">
        <is>
          <t>UPPSALA LÄN</t>
        </is>
      </c>
      <c r="E384" t="inlineStr">
        <is>
          <t>ENKÖPING</t>
        </is>
      </c>
      <c r="F384" t="inlineStr">
        <is>
          <t>Allmännings- och besparingsskogar</t>
        </is>
      </c>
      <c r="G384" t="n">
        <v>0.6</v>
      </c>
      <c r="H384" t="n">
        <v>0</v>
      </c>
      <c r="I384" t="n">
        <v>0</v>
      </c>
      <c r="J384" t="n">
        <v>0</v>
      </c>
      <c r="K384" t="n">
        <v>0</v>
      </c>
      <c r="L384" t="n">
        <v>0</v>
      </c>
      <c r="M384" t="n">
        <v>0</v>
      </c>
      <c r="N384" t="n">
        <v>0</v>
      </c>
      <c r="O384" t="n">
        <v>0</v>
      </c>
      <c r="P384" t="n">
        <v>0</v>
      </c>
      <c r="Q384" t="n">
        <v>0</v>
      </c>
      <c r="R384" s="2" t="inlineStr"/>
    </row>
    <row r="385" ht="15" customHeight="1">
      <c r="A385" t="inlineStr">
        <is>
          <t>A 47909-2024</t>
        </is>
      </c>
      <c r="B385" s="1" t="n">
        <v>45589.31866898148</v>
      </c>
      <c r="C385" s="1" t="n">
        <v>46092</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51932-2022</t>
        </is>
      </c>
      <c r="B386" s="1" t="n">
        <v>44872</v>
      </c>
      <c r="C386" s="1" t="n">
        <v>46092</v>
      </c>
      <c r="D386" t="inlineStr">
        <is>
          <t>UPPSALA LÄN</t>
        </is>
      </c>
      <c r="E386" t="inlineStr">
        <is>
          <t>ENKÖPING</t>
        </is>
      </c>
      <c r="G386" t="n">
        <v>5.5</v>
      </c>
      <c r="H386" t="n">
        <v>0</v>
      </c>
      <c r="I386" t="n">
        <v>0</v>
      </c>
      <c r="J386" t="n">
        <v>0</v>
      </c>
      <c r="K386" t="n">
        <v>0</v>
      </c>
      <c r="L386" t="n">
        <v>0</v>
      </c>
      <c r="M386" t="n">
        <v>0</v>
      </c>
      <c r="N386" t="n">
        <v>0</v>
      </c>
      <c r="O386" t="n">
        <v>0</v>
      </c>
      <c r="P386" t="n">
        <v>0</v>
      </c>
      <c r="Q386" t="n">
        <v>0</v>
      </c>
      <c r="R386" s="2" t="inlineStr"/>
    </row>
    <row r="387" ht="15" customHeight="1">
      <c r="A387" t="inlineStr">
        <is>
          <t>A 59497-2022</t>
        </is>
      </c>
      <c r="B387" s="1" t="n">
        <v>44907.48258101852</v>
      </c>
      <c r="C387" s="1" t="n">
        <v>46092</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9041-2023</t>
        </is>
      </c>
      <c r="B388" s="1" t="n">
        <v>44979</v>
      </c>
      <c r="C388" s="1" t="n">
        <v>46092</v>
      </c>
      <c r="D388" t="inlineStr">
        <is>
          <t>UPPSALA LÄN</t>
        </is>
      </c>
      <c r="E388" t="inlineStr">
        <is>
          <t>ENKÖPING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12755-2025</t>
        </is>
      </c>
      <c r="B389" s="1" t="n">
        <v>45733.56541666666</v>
      </c>
      <c r="C389" s="1" t="n">
        <v>46092</v>
      </c>
      <c r="D389" t="inlineStr">
        <is>
          <t>UPPSALA LÄN</t>
        </is>
      </c>
      <c r="E389" t="inlineStr">
        <is>
          <t>ENKÖPING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59027-2024</t>
        </is>
      </c>
      <c r="B390" s="1" t="n">
        <v>45636.68755787037</v>
      </c>
      <c r="C390" s="1" t="n">
        <v>46092</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53587-2024</t>
        </is>
      </c>
      <c r="B391" s="1" t="n">
        <v>45614.66953703704</v>
      </c>
      <c r="C391" s="1" t="n">
        <v>46092</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11503-2024</t>
        </is>
      </c>
      <c r="B392" s="1" t="n">
        <v>45372.68020833333</v>
      </c>
      <c r="C392" s="1" t="n">
        <v>46092</v>
      </c>
      <c r="D392" t="inlineStr">
        <is>
          <t>UPPSALA LÄN</t>
        </is>
      </c>
      <c r="E392" t="inlineStr">
        <is>
          <t>ENKÖPING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39115-2024</t>
        </is>
      </c>
      <c r="B393" s="1" t="n">
        <v>45548</v>
      </c>
      <c r="C393" s="1" t="n">
        <v>46092</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25334-2023</t>
        </is>
      </c>
      <c r="B394" s="1" t="n">
        <v>45083</v>
      </c>
      <c r="C394" s="1" t="n">
        <v>46092</v>
      </c>
      <c r="D394" t="inlineStr">
        <is>
          <t>UPPSALA LÄN</t>
        </is>
      </c>
      <c r="E394" t="inlineStr">
        <is>
          <t>ENKÖPING</t>
        </is>
      </c>
      <c r="G394" t="n">
        <v>0.2</v>
      </c>
      <c r="H394" t="n">
        <v>0</v>
      </c>
      <c r="I394" t="n">
        <v>0</v>
      </c>
      <c r="J394" t="n">
        <v>0</v>
      </c>
      <c r="K394" t="n">
        <v>0</v>
      </c>
      <c r="L394" t="n">
        <v>0</v>
      </c>
      <c r="M394" t="n">
        <v>0</v>
      </c>
      <c r="N394" t="n">
        <v>0</v>
      </c>
      <c r="O394" t="n">
        <v>0</v>
      </c>
      <c r="P394" t="n">
        <v>0</v>
      </c>
      <c r="Q394" t="n">
        <v>0</v>
      </c>
      <c r="R394" s="2" t="inlineStr"/>
    </row>
    <row r="395" ht="15" customHeight="1">
      <c r="A395" t="inlineStr">
        <is>
          <t>A 56837-2024</t>
        </is>
      </c>
      <c r="B395" s="1" t="n">
        <v>45628</v>
      </c>
      <c r="C395" s="1" t="n">
        <v>46092</v>
      </c>
      <c r="D395" t="inlineStr">
        <is>
          <t>UPPSALA LÄN</t>
        </is>
      </c>
      <c r="E395" t="inlineStr">
        <is>
          <t>ENKÖPING</t>
        </is>
      </c>
      <c r="G395" t="n">
        <v>2.2</v>
      </c>
      <c r="H395" t="n">
        <v>0</v>
      </c>
      <c r="I395" t="n">
        <v>0</v>
      </c>
      <c r="J395" t="n">
        <v>0</v>
      </c>
      <c r="K395" t="n">
        <v>0</v>
      </c>
      <c r="L395" t="n">
        <v>0</v>
      </c>
      <c r="M395" t="n">
        <v>0</v>
      </c>
      <c r="N395" t="n">
        <v>0</v>
      </c>
      <c r="O395" t="n">
        <v>0</v>
      </c>
      <c r="P395" t="n">
        <v>0</v>
      </c>
      <c r="Q395" t="n">
        <v>0</v>
      </c>
      <c r="R395" s="2" t="inlineStr"/>
    </row>
    <row r="396" ht="15" customHeight="1">
      <c r="A396" t="inlineStr">
        <is>
          <t>A 18821-2023</t>
        </is>
      </c>
      <c r="B396" s="1" t="n">
        <v>45044.3782175926</v>
      </c>
      <c r="C396" s="1" t="n">
        <v>46092</v>
      </c>
      <c r="D396" t="inlineStr">
        <is>
          <t>UPPSALA LÄN</t>
        </is>
      </c>
      <c r="E396" t="inlineStr">
        <is>
          <t>ENKÖPING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57335-2024</t>
        </is>
      </c>
      <c r="B397" s="1" t="n">
        <v>45629.63302083333</v>
      </c>
      <c r="C397" s="1" t="n">
        <v>46092</v>
      </c>
      <c r="D397" t="inlineStr">
        <is>
          <t>UPPSALA LÄN</t>
        </is>
      </c>
      <c r="E397" t="inlineStr">
        <is>
          <t>ENKÖPING</t>
        </is>
      </c>
      <c r="G397" t="n">
        <v>2.1</v>
      </c>
      <c r="H397" t="n">
        <v>0</v>
      </c>
      <c r="I397" t="n">
        <v>0</v>
      </c>
      <c r="J397" t="n">
        <v>0</v>
      </c>
      <c r="K397" t="n">
        <v>0</v>
      </c>
      <c r="L397" t="n">
        <v>0</v>
      </c>
      <c r="M397" t="n">
        <v>0</v>
      </c>
      <c r="N397" t="n">
        <v>0</v>
      </c>
      <c r="O397" t="n">
        <v>0</v>
      </c>
      <c r="P397" t="n">
        <v>0</v>
      </c>
      <c r="Q397" t="n">
        <v>0</v>
      </c>
      <c r="R397" s="2" t="inlineStr"/>
    </row>
    <row r="398" ht="15" customHeight="1">
      <c r="A398" t="inlineStr">
        <is>
          <t>A 57835-2024</t>
        </is>
      </c>
      <c r="B398" s="1" t="n">
        <v>45631.39947916667</v>
      </c>
      <c r="C398" s="1" t="n">
        <v>46092</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53208-2023</t>
        </is>
      </c>
      <c r="B399" s="1" t="n">
        <v>45226</v>
      </c>
      <c r="C399" s="1" t="n">
        <v>46092</v>
      </c>
      <c r="D399" t="inlineStr">
        <is>
          <t>UPPSALA LÄN</t>
        </is>
      </c>
      <c r="E399" t="inlineStr">
        <is>
          <t>ENKÖPING</t>
        </is>
      </c>
      <c r="G399" t="n">
        <v>4.3</v>
      </c>
      <c r="H399" t="n">
        <v>0</v>
      </c>
      <c r="I399" t="n">
        <v>0</v>
      </c>
      <c r="J399" t="n">
        <v>0</v>
      </c>
      <c r="K399" t="n">
        <v>0</v>
      </c>
      <c r="L399" t="n">
        <v>0</v>
      </c>
      <c r="M399" t="n">
        <v>0</v>
      </c>
      <c r="N399" t="n">
        <v>0</v>
      </c>
      <c r="O399" t="n">
        <v>0</v>
      </c>
      <c r="P399" t="n">
        <v>0</v>
      </c>
      <c r="Q399" t="n">
        <v>0</v>
      </c>
      <c r="R399" s="2" t="inlineStr"/>
    </row>
    <row r="400" ht="15" customHeight="1">
      <c r="A400" t="inlineStr">
        <is>
          <t>A 19013-2025</t>
        </is>
      </c>
      <c r="B400" s="1" t="n">
        <v>45764.59533564815</v>
      </c>
      <c r="C400" s="1" t="n">
        <v>46092</v>
      </c>
      <c r="D400" t="inlineStr">
        <is>
          <t>UPPSALA LÄN</t>
        </is>
      </c>
      <c r="E400" t="inlineStr">
        <is>
          <t>ENKÖPING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2164-2023</t>
        </is>
      </c>
      <c r="B401" s="1" t="n">
        <v>44941</v>
      </c>
      <c r="C401" s="1" t="n">
        <v>46092</v>
      </c>
      <c r="D401" t="inlineStr">
        <is>
          <t>UPPSALA LÄN</t>
        </is>
      </c>
      <c r="E401" t="inlineStr">
        <is>
          <t>ENKÖPING</t>
        </is>
      </c>
      <c r="G401" t="n">
        <v>2.5</v>
      </c>
      <c r="H401" t="n">
        <v>0</v>
      </c>
      <c r="I401" t="n">
        <v>0</v>
      </c>
      <c r="J401" t="n">
        <v>0</v>
      </c>
      <c r="K401" t="n">
        <v>0</v>
      </c>
      <c r="L401" t="n">
        <v>0</v>
      </c>
      <c r="M401" t="n">
        <v>0</v>
      </c>
      <c r="N401" t="n">
        <v>0</v>
      </c>
      <c r="O401" t="n">
        <v>0</v>
      </c>
      <c r="P401" t="n">
        <v>0</v>
      </c>
      <c r="Q401" t="n">
        <v>0</v>
      </c>
      <c r="R401" s="2" t="inlineStr"/>
    </row>
    <row r="402" ht="15" customHeight="1">
      <c r="A402" t="inlineStr">
        <is>
          <t>A 61952-2021</t>
        </is>
      </c>
      <c r="B402" s="1" t="n">
        <v>44502</v>
      </c>
      <c r="C402" s="1" t="n">
        <v>46092</v>
      </c>
      <c r="D402" t="inlineStr">
        <is>
          <t>UPPSALA LÄN</t>
        </is>
      </c>
      <c r="E402" t="inlineStr">
        <is>
          <t>ENKÖPING</t>
        </is>
      </c>
      <c r="G402" t="n">
        <v>2.3</v>
      </c>
      <c r="H402" t="n">
        <v>0</v>
      </c>
      <c r="I402" t="n">
        <v>0</v>
      </c>
      <c r="J402" t="n">
        <v>0</v>
      </c>
      <c r="K402" t="n">
        <v>0</v>
      </c>
      <c r="L402" t="n">
        <v>0</v>
      </c>
      <c r="M402" t="n">
        <v>0</v>
      </c>
      <c r="N402" t="n">
        <v>0</v>
      </c>
      <c r="O402" t="n">
        <v>0</v>
      </c>
      <c r="P402" t="n">
        <v>0</v>
      </c>
      <c r="Q402" t="n">
        <v>0</v>
      </c>
      <c r="R402" s="2" t="inlineStr"/>
    </row>
    <row r="403" ht="15" customHeight="1">
      <c r="A403" t="inlineStr">
        <is>
          <t>A 14083-2025</t>
        </is>
      </c>
      <c r="B403" s="1" t="n">
        <v>45740</v>
      </c>
      <c r="C403" s="1" t="n">
        <v>46092</v>
      </c>
      <c r="D403" t="inlineStr">
        <is>
          <t>UPPSALA LÄN</t>
        </is>
      </c>
      <c r="E403" t="inlineStr">
        <is>
          <t>ENKÖPING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69879-2021</t>
        </is>
      </c>
      <c r="B404" s="1" t="n">
        <v>44532</v>
      </c>
      <c r="C404" s="1" t="n">
        <v>46092</v>
      </c>
      <c r="D404" t="inlineStr">
        <is>
          <t>UPPSALA LÄN</t>
        </is>
      </c>
      <c r="E404" t="inlineStr">
        <is>
          <t>ENKÖPING</t>
        </is>
      </c>
      <c r="G404" t="n">
        <v>4.2</v>
      </c>
      <c r="H404" t="n">
        <v>0</v>
      </c>
      <c r="I404" t="n">
        <v>0</v>
      </c>
      <c r="J404" t="n">
        <v>0</v>
      </c>
      <c r="K404" t="n">
        <v>0</v>
      </c>
      <c r="L404" t="n">
        <v>0</v>
      </c>
      <c r="M404" t="n">
        <v>0</v>
      </c>
      <c r="N404" t="n">
        <v>0</v>
      </c>
      <c r="O404" t="n">
        <v>0</v>
      </c>
      <c r="P404" t="n">
        <v>0</v>
      </c>
      <c r="Q404" t="n">
        <v>0</v>
      </c>
      <c r="R404" s="2" t="inlineStr"/>
    </row>
    <row r="405" ht="15" customHeight="1">
      <c r="A405" t="inlineStr">
        <is>
          <t>A 15757-2023</t>
        </is>
      </c>
      <c r="B405" s="1" t="n">
        <v>45021</v>
      </c>
      <c r="C405" s="1" t="n">
        <v>46092</v>
      </c>
      <c r="D405" t="inlineStr">
        <is>
          <t>UPPSALA LÄN</t>
        </is>
      </c>
      <c r="E405" t="inlineStr">
        <is>
          <t>ENKÖPING</t>
        </is>
      </c>
      <c r="G405" t="n">
        <v>3</v>
      </c>
      <c r="H405" t="n">
        <v>0</v>
      </c>
      <c r="I405" t="n">
        <v>0</v>
      </c>
      <c r="J405" t="n">
        <v>0</v>
      </c>
      <c r="K405" t="n">
        <v>0</v>
      </c>
      <c r="L405" t="n">
        <v>0</v>
      </c>
      <c r="M405" t="n">
        <v>0</v>
      </c>
      <c r="N405" t="n">
        <v>0</v>
      </c>
      <c r="O405" t="n">
        <v>0</v>
      </c>
      <c r="P405" t="n">
        <v>0</v>
      </c>
      <c r="Q405" t="n">
        <v>0</v>
      </c>
      <c r="R405" s="2" t="inlineStr"/>
    </row>
    <row r="406" ht="15" customHeight="1">
      <c r="A406" t="inlineStr">
        <is>
          <t>A 2161-2023</t>
        </is>
      </c>
      <c r="B406" s="1" t="n">
        <v>44941</v>
      </c>
      <c r="C406" s="1" t="n">
        <v>46092</v>
      </c>
      <c r="D406" t="inlineStr">
        <is>
          <t>UPPSALA LÄN</t>
        </is>
      </c>
      <c r="E406" t="inlineStr">
        <is>
          <t>ENKÖPING</t>
        </is>
      </c>
      <c r="G406" t="n">
        <v>0.9</v>
      </c>
      <c r="H406" t="n">
        <v>0</v>
      </c>
      <c r="I406" t="n">
        <v>0</v>
      </c>
      <c r="J406" t="n">
        <v>0</v>
      </c>
      <c r="K406" t="n">
        <v>0</v>
      </c>
      <c r="L406" t="n">
        <v>0</v>
      </c>
      <c r="M406" t="n">
        <v>0</v>
      </c>
      <c r="N406" t="n">
        <v>0</v>
      </c>
      <c r="O406" t="n">
        <v>0</v>
      </c>
      <c r="P406" t="n">
        <v>0</v>
      </c>
      <c r="Q406" t="n">
        <v>0</v>
      </c>
      <c r="R406" s="2" t="inlineStr"/>
    </row>
    <row r="407" ht="15" customHeight="1">
      <c r="A407" t="inlineStr">
        <is>
          <t>A 2165-2023</t>
        </is>
      </c>
      <c r="B407" s="1" t="n">
        <v>44941</v>
      </c>
      <c r="C407" s="1" t="n">
        <v>46092</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20112-2024</t>
        </is>
      </c>
      <c r="B408" s="1" t="n">
        <v>45434</v>
      </c>
      <c r="C408" s="1" t="n">
        <v>46092</v>
      </c>
      <c r="D408" t="inlineStr">
        <is>
          <t>UPPSALA LÄN</t>
        </is>
      </c>
      <c r="E408" t="inlineStr">
        <is>
          <t>ENKÖPING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2162-2023</t>
        </is>
      </c>
      <c r="B409" s="1" t="n">
        <v>44941</v>
      </c>
      <c r="C409" s="1" t="n">
        <v>46092</v>
      </c>
      <c r="D409" t="inlineStr">
        <is>
          <t>UPPSALA LÄN</t>
        </is>
      </c>
      <c r="E409" t="inlineStr">
        <is>
          <t>ENKÖPING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32081-2024</t>
        </is>
      </c>
      <c r="B410" s="1" t="n">
        <v>45511.34605324074</v>
      </c>
      <c r="C410" s="1" t="n">
        <v>46092</v>
      </c>
      <c r="D410" t="inlineStr">
        <is>
          <t>UPPSALA LÄN</t>
        </is>
      </c>
      <c r="E410" t="inlineStr">
        <is>
          <t>ENKÖPING</t>
        </is>
      </c>
      <c r="G410" t="n">
        <v>5.4</v>
      </c>
      <c r="H410" t="n">
        <v>0</v>
      </c>
      <c r="I410" t="n">
        <v>0</v>
      </c>
      <c r="J410" t="n">
        <v>0</v>
      </c>
      <c r="K410" t="n">
        <v>0</v>
      </c>
      <c r="L410" t="n">
        <v>0</v>
      </c>
      <c r="M410" t="n">
        <v>0</v>
      </c>
      <c r="N410" t="n">
        <v>0</v>
      </c>
      <c r="O410" t="n">
        <v>0</v>
      </c>
      <c r="P410" t="n">
        <v>0</v>
      </c>
      <c r="Q410" t="n">
        <v>0</v>
      </c>
      <c r="R410" s="2" t="inlineStr"/>
    </row>
    <row r="411" ht="15" customHeight="1">
      <c r="A411" t="inlineStr">
        <is>
          <t>A 2968-2025</t>
        </is>
      </c>
      <c r="B411" s="1" t="n">
        <v>45678</v>
      </c>
      <c r="C411" s="1" t="n">
        <v>46092</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49525-2021</t>
        </is>
      </c>
      <c r="B412" s="1" t="n">
        <v>44455</v>
      </c>
      <c r="C412" s="1" t="n">
        <v>46092</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6959-2025</t>
        </is>
      </c>
      <c r="B413" s="1" t="n">
        <v>45701.49315972222</v>
      </c>
      <c r="C413" s="1" t="n">
        <v>46092</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30437-2022</t>
        </is>
      </c>
      <c r="B414" s="1" t="n">
        <v>44761</v>
      </c>
      <c r="C414" s="1" t="n">
        <v>46092</v>
      </c>
      <c r="D414" t="inlineStr">
        <is>
          <t>UPPSALA LÄN</t>
        </is>
      </c>
      <c r="E414" t="inlineStr">
        <is>
          <t>ENKÖPING</t>
        </is>
      </c>
      <c r="G414" t="n">
        <v>3.4</v>
      </c>
      <c r="H414" t="n">
        <v>0</v>
      </c>
      <c r="I414" t="n">
        <v>0</v>
      </c>
      <c r="J414" t="n">
        <v>0</v>
      </c>
      <c r="K414" t="n">
        <v>0</v>
      </c>
      <c r="L414" t="n">
        <v>0</v>
      </c>
      <c r="M414" t="n">
        <v>0</v>
      </c>
      <c r="N414" t="n">
        <v>0</v>
      </c>
      <c r="O414" t="n">
        <v>0</v>
      </c>
      <c r="P414" t="n">
        <v>0</v>
      </c>
      <c r="Q414" t="n">
        <v>0</v>
      </c>
      <c r="R414" s="2" t="inlineStr"/>
    </row>
    <row r="415" ht="15" customHeight="1">
      <c r="A415" t="inlineStr">
        <is>
          <t>A 51011-2024</t>
        </is>
      </c>
      <c r="B415" s="1" t="n">
        <v>45603.39427083333</v>
      </c>
      <c r="C415" s="1" t="n">
        <v>46092</v>
      </c>
      <c r="D415" t="inlineStr">
        <is>
          <t>UPPSALA LÄN</t>
        </is>
      </c>
      <c r="E415" t="inlineStr">
        <is>
          <t>ENKÖPING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26319-2022</t>
        </is>
      </c>
      <c r="B416" s="1" t="n">
        <v>44735</v>
      </c>
      <c r="C416" s="1" t="n">
        <v>46092</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29918-2023</t>
        </is>
      </c>
      <c r="B417" s="1" t="n">
        <v>45099</v>
      </c>
      <c r="C417" s="1" t="n">
        <v>46092</v>
      </c>
      <c r="D417" t="inlineStr">
        <is>
          <t>UPPSALA LÄN</t>
        </is>
      </c>
      <c r="E417" t="inlineStr">
        <is>
          <t>ENKÖPING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24291-2024</t>
        </is>
      </c>
      <c r="B418" s="1" t="n">
        <v>45457.4584837963</v>
      </c>
      <c r="C418" s="1" t="n">
        <v>46092</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2833-2025</t>
        </is>
      </c>
      <c r="B419" s="1" t="n">
        <v>45677.63206018518</v>
      </c>
      <c r="C419" s="1" t="n">
        <v>46092</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50006-2023</t>
        </is>
      </c>
      <c r="B420" s="1" t="n">
        <v>45215</v>
      </c>
      <c r="C420" s="1" t="n">
        <v>46092</v>
      </c>
      <c r="D420" t="inlineStr">
        <is>
          <t>UPPSALA LÄN</t>
        </is>
      </c>
      <c r="E420" t="inlineStr">
        <is>
          <t>ENKÖPING</t>
        </is>
      </c>
      <c r="G420" t="n">
        <v>1</v>
      </c>
      <c r="H420" t="n">
        <v>0</v>
      </c>
      <c r="I420" t="n">
        <v>0</v>
      </c>
      <c r="J420" t="n">
        <v>0</v>
      </c>
      <c r="K420" t="n">
        <v>0</v>
      </c>
      <c r="L420" t="n">
        <v>0</v>
      </c>
      <c r="M420" t="n">
        <v>0</v>
      </c>
      <c r="N420" t="n">
        <v>0</v>
      </c>
      <c r="O420" t="n">
        <v>0</v>
      </c>
      <c r="P420" t="n">
        <v>0</v>
      </c>
      <c r="Q420" t="n">
        <v>0</v>
      </c>
      <c r="R420" s="2" t="inlineStr"/>
    </row>
    <row r="421" ht="15" customHeight="1">
      <c r="A421" t="inlineStr">
        <is>
          <t>A 56526-2022</t>
        </is>
      </c>
      <c r="B421" s="1" t="n">
        <v>44893</v>
      </c>
      <c r="C421" s="1" t="n">
        <v>46092</v>
      </c>
      <c r="D421" t="inlineStr">
        <is>
          <t>UPPSALA LÄN</t>
        </is>
      </c>
      <c r="E421" t="inlineStr">
        <is>
          <t>ENKÖPING</t>
        </is>
      </c>
      <c r="G421" t="n">
        <v>3.8</v>
      </c>
      <c r="H421" t="n">
        <v>0</v>
      </c>
      <c r="I421" t="n">
        <v>0</v>
      </c>
      <c r="J421" t="n">
        <v>0</v>
      </c>
      <c r="K421" t="n">
        <v>0</v>
      </c>
      <c r="L421" t="n">
        <v>0</v>
      </c>
      <c r="M421" t="n">
        <v>0</v>
      </c>
      <c r="N421" t="n">
        <v>0</v>
      </c>
      <c r="O421" t="n">
        <v>0</v>
      </c>
      <c r="P421" t="n">
        <v>0</v>
      </c>
      <c r="Q421" t="n">
        <v>0</v>
      </c>
      <c r="R421" s="2" t="inlineStr"/>
    </row>
    <row r="422" ht="15" customHeight="1">
      <c r="A422" t="inlineStr">
        <is>
          <t>A 39858-2024</t>
        </is>
      </c>
      <c r="B422" s="1" t="n">
        <v>45553</v>
      </c>
      <c r="C422" s="1" t="n">
        <v>46092</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60289-2022</t>
        </is>
      </c>
      <c r="B423" s="1" t="n">
        <v>44910.53026620371</v>
      </c>
      <c r="C423" s="1" t="n">
        <v>46092</v>
      </c>
      <c r="D423" t="inlineStr">
        <is>
          <t>UPPSALA LÄN</t>
        </is>
      </c>
      <c r="E423" t="inlineStr">
        <is>
          <t>ENKÖPING</t>
        </is>
      </c>
      <c r="G423" t="n">
        <v>3.2</v>
      </c>
      <c r="H423" t="n">
        <v>0</v>
      </c>
      <c r="I423" t="n">
        <v>0</v>
      </c>
      <c r="J423" t="n">
        <v>0</v>
      </c>
      <c r="K423" t="n">
        <v>0</v>
      </c>
      <c r="L423" t="n">
        <v>0</v>
      </c>
      <c r="M423" t="n">
        <v>0</v>
      </c>
      <c r="N423" t="n">
        <v>0</v>
      </c>
      <c r="O423" t="n">
        <v>0</v>
      </c>
      <c r="P423" t="n">
        <v>0</v>
      </c>
      <c r="Q423" t="n">
        <v>0</v>
      </c>
      <c r="R423" s="2" t="inlineStr"/>
    </row>
    <row r="424" ht="15" customHeight="1">
      <c r="A424" t="inlineStr">
        <is>
          <t>A 13110-2023</t>
        </is>
      </c>
      <c r="B424" s="1" t="n">
        <v>45001</v>
      </c>
      <c r="C424" s="1" t="n">
        <v>46092</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58384-2022</t>
        </is>
      </c>
      <c r="B425" s="1" t="n">
        <v>44901</v>
      </c>
      <c r="C425" s="1" t="n">
        <v>46092</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59602-2022</t>
        </is>
      </c>
      <c r="B426" s="1" t="n">
        <v>44907.72241898148</v>
      </c>
      <c r="C426" s="1" t="n">
        <v>46092</v>
      </c>
      <c r="D426" t="inlineStr">
        <is>
          <t>UPPSALA LÄN</t>
        </is>
      </c>
      <c r="E426" t="inlineStr">
        <is>
          <t>ENKÖPING</t>
        </is>
      </c>
      <c r="G426" t="n">
        <v>14.2</v>
      </c>
      <c r="H426" t="n">
        <v>0</v>
      </c>
      <c r="I426" t="n">
        <v>0</v>
      </c>
      <c r="J426" t="n">
        <v>0</v>
      </c>
      <c r="K426" t="n">
        <v>0</v>
      </c>
      <c r="L426" t="n">
        <v>0</v>
      </c>
      <c r="M426" t="n">
        <v>0</v>
      </c>
      <c r="N426" t="n">
        <v>0</v>
      </c>
      <c r="O426" t="n">
        <v>0</v>
      </c>
      <c r="P426" t="n">
        <v>0</v>
      </c>
      <c r="Q426" t="n">
        <v>0</v>
      </c>
      <c r="R426" s="2" t="inlineStr"/>
    </row>
    <row r="427" ht="15" customHeight="1">
      <c r="A427" t="inlineStr">
        <is>
          <t>A 31965-2021</t>
        </is>
      </c>
      <c r="B427" s="1" t="n">
        <v>44370.56901620371</v>
      </c>
      <c r="C427" s="1" t="n">
        <v>46092</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67984-2021</t>
        </is>
      </c>
      <c r="B428" s="1" t="n">
        <v>44525.70237268518</v>
      </c>
      <c r="C428" s="1" t="n">
        <v>46092</v>
      </c>
      <c r="D428" t="inlineStr">
        <is>
          <t>UPPSALA LÄN</t>
        </is>
      </c>
      <c r="E428" t="inlineStr">
        <is>
          <t>ENKÖPING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33619-2022</t>
        </is>
      </c>
      <c r="B429" s="1" t="n">
        <v>44789</v>
      </c>
      <c r="C429" s="1" t="n">
        <v>46092</v>
      </c>
      <c r="D429" t="inlineStr">
        <is>
          <t>UPPSALA LÄN</t>
        </is>
      </c>
      <c r="E429" t="inlineStr">
        <is>
          <t>ENKÖPING</t>
        </is>
      </c>
      <c r="F429" t="inlineStr">
        <is>
          <t>Allmännings- och besparingsskogar</t>
        </is>
      </c>
      <c r="G429" t="n">
        <v>4.5</v>
      </c>
      <c r="H429" t="n">
        <v>0</v>
      </c>
      <c r="I429" t="n">
        <v>0</v>
      </c>
      <c r="J429" t="n">
        <v>0</v>
      </c>
      <c r="K429" t="n">
        <v>0</v>
      </c>
      <c r="L429" t="n">
        <v>0</v>
      </c>
      <c r="M429" t="n">
        <v>0</v>
      </c>
      <c r="N429" t="n">
        <v>0</v>
      </c>
      <c r="O429" t="n">
        <v>0</v>
      </c>
      <c r="P429" t="n">
        <v>0</v>
      </c>
      <c r="Q429" t="n">
        <v>0</v>
      </c>
      <c r="R429" s="2" t="inlineStr"/>
    </row>
    <row r="430" ht="15" customHeight="1">
      <c r="A430" t="inlineStr">
        <is>
          <t>A 10829-2024</t>
        </is>
      </c>
      <c r="B430" s="1" t="n">
        <v>45369</v>
      </c>
      <c r="C430" s="1" t="n">
        <v>46092</v>
      </c>
      <c r="D430" t="inlineStr">
        <is>
          <t>UPPSALA LÄN</t>
        </is>
      </c>
      <c r="E430" t="inlineStr">
        <is>
          <t>ENKÖPING</t>
        </is>
      </c>
      <c r="G430" t="n">
        <v>2.1</v>
      </c>
      <c r="H430" t="n">
        <v>0</v>
      </c>
      <c r="I430" t="n">
        <v>0</v>
      </c>
      <c r="J430" t="n">
        <v>0</v>
      </c>
      <c r="K430" t="n">
        <v>0</v>
      </c>
      <c r="L430" t="n">
        <v>0</v>
      </c>
      <c r="M430" t="n">
        <v>0</v>
      </c>
      <c r="N430" t="n">
        <v>0</v>
      </c>
      <c r="O430" t="n">
        <v>0</v>
      </c>
      <c r="P430" t="n">
        <v>0</v>
      </c>
      <c r="Q430" t="n">
        <v>0</v>
      </c>
      <c r="R430" s="2" t="inlineStr"/>
    </row>
    <row r="431" ht="15" customHeight="1">
      <c r="A431" t="inlineStr">
        <is>
          <t>A 67982-2021</t>
        </is>
      </c>
      <c r="B431" s="1" t="n">
        <v>44525</v>
      </c>
      <c r="C431" s="1" t="n">
        <v>46092</v>
      </c>
      <c r="D431" t="inlineStr">
        <is>
          <t>UPPSALA LÄN</t>
        </is>
      </c>
      <c r="E431" t="inlineStr">
        <is>
          <t>ENKÖPING</t>
        </is>
      </c>
      <c r="G431" t="n">
        <v>1.7</v>
      </c>
      <c r="H431" t="n">
        <v>0</v>
      </c>
      <c r="I431" t="n">
        <v>0</v>
      </c>
      <c r="J431" t="n">
        <v>0</v>
      </c>
      <c r="K431" t="n">
        <v>0</v>
      </c>
      <c r="L431" t="n">
        <v>0</v>
      </c>
      <c r="M431" t="n">
        <v>0</v>
      </c>
      <c r="N431" t="n">
        <v>0</v>
      </c>
      <c r="O431" t="n">
        <v>0</v>
      </c>
      <c r="P431" t="n">
        <v>0</v>
      </c>
      <c r="Q431" t="n">
        <v>0</v>
      </c>
      <c r="R431" s="2" t="inlineStr"/>
    </row>
    <row r="432" ht="15" customHeight="1">
      <c r="A432" t="inlineStr">
        <is>
          <t>A 51034-2024</t>
        </is>
      </c>
      <c r="B432" s="1" t="n">
        <v>45603.4262037037</v>
      </c>
      <c r="C432" s="1" t="n">
        <v>46092</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51036-2024</t>
        </is>
      </c>
      <c r="B433" s="1" t="n">
        <v>45603.42839120371</v>
      </c>
      <c r="C433" s="1" t="n">
        <v>46092</v>
      </c>
      <c r="D433" t="inlineStr">
        <is>
          <t>UPPSALA LÄN</t>
        </is>
      </c>
      <c r="E433" t="inlineStr">
        <is>
          <t>ENKÖPING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55876-2024</t>
        </is>
      </c>
      <c r="B434" s="1" t="n">
        <v>45623.5546412037</v>
      </c>
      <c r="C434" s="1" t="n">
        <v>46092</v>
      </c>
      <c r="D434" t="inlineStr">
        <is>
          <t>UPPSALA LÄN</t>
        </is>
      </c>
      <c r="E434" t="inlineStr">
        <is>
          <t>ENKÖPING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11005-2023</t>
        </is>
      </c>
      <c r="B435" s="1" t="n">
        <v>44991</v>
      </c>
      <c r="C435" s="1" t="n">
        <v>46092</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57142-2021</t>
        </is>
      </c>
      <c r="B436" s="1" t="n">
        <v>44482</v>
      </c>
      <c r="C436" s="1" t="n">
        <v>46092</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57147-2021</t>
        </is>
      </c>
      <c r="B437" s="1" t="n">
        <v>44482</v>
      </c>
      <c r="C437" s="1" t="n">
        <v>46092</v>
      </c>
      <c r="D437" t="inlineStr">
        <is>
          <t>UPPSALA LÄN</t>
        </is>
      </c>
      <c r="E437" t="inlineStr">
        <is>
          <t>ENKÖPING</t>
        </is>
      </c>
      <c r="G437" t="n">
        <v>5.7</v>
      </c>
      <c r="H437" t="n">
        <v>0</v>
      </c>
      <c r="I437" t="n">
        <v>0</v>
      </c>
      <c r="J437" t="n">
        <v>0</v>
      </c>
      <c r="K437" t="n">
        <v>0</v>
      </c>
      <c r="L437" t="n">
        <v>0</v>
      </c>
      <c r="M437" t="n">
        <v>0</v>
      </c>
      <c r="N437" t="n">
        <v>0</v>
      </c>
      <c r="O437" t="n">
        <v>0</v>
      </c>
      <c r="P437" t="n">
        <v>0</v>
      </c>
      <c r="Q437" t="n">
        <v>0</v>
      </c>
      <c r="R437" s="2" t="inlineStr"/>
    </row>
    <row r="438" ht="15" customHeight="1">
      <c r="A438" t="inlineStr">
        <is>
          <t>A 7868-2024</t>
        </is>
      </c>
      <c r="B438" s="1" t="n">
        <v>45350.33020833333</v>
      </c>
      <c r="C438" s="1" t="n">
        <v>46092</v>
      </c>
      <c r="D438" t="inlineStr">
        <is>
          <t>UPPSALA LÄN</t>
        </is>
      </c>
      <c r="E438" t="inlineStr">
        <is>
          <t>ENKÖPING</t>
        </is>
      </c>
      <c r="G438" t="n">
        <v>0.3</v>
      </c>
      <c r="H438" t="n">
        <v>0</v>
      </c>
      <c r="I438" t="n">
        <v>0</v>
      </c>
      <c r="J438" t="n">
        <v>0</v>
      </c>
      <c r="K438" t="n">
        <v>0</v>
      </c>
      <c r="L438" t="n">
        <v>0</v>
      </c>
      <c r="M438" t="n">
        <v>0</v>
      </c>
      <c r="N438" t="n">
        <v>0</v>
      </c>
      <c r="O438" t="n">
        <v>0</v>
      </c>
      <c r="P438" t="n">
        <v>0</v>
      </c>
      <c r="Q438" t="n">
        <v>0</v>
      </c>
      <c r="R438" s="2" t="inlineStr"/>
    </row>
    <row r="439" ht="15" customHeight="1">
      <c r="A439" t="inlineStr">
        <is>
          <t>A 7870-2024</t>
        </is>
      </c>
      <c r="B439" s="1" t="n">
        <v>45350.33349537037</v>
      </c>
      <c r="C439" s="1" t="n">
        <v>46092</v>
      </c>
      <c r="D439" t="inlineStr">
        <is>
          <t>UPPSALA LÄN</t>
        </is>
      </c>
      <c r="E439" t="inlineStr">
        <is>
          <t>ENKÖPING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9231-2023</t>
        </is>
      </c>
      <c r="B440" s="1" t="n">
        <v>44980</v>
      </c>
      <c r="C440" s="1" t="n">
        <v>46092</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16916-2022</t>
        </is>
      </c>
      <c r="B441" s="1" t="n">
        <v>44676</v>
      </c>
      <c r="C441" s="1" t="n">
        <v>46092</v>
      </c>
      <c r="D441" t="inlineStr">
        <is>
          <t>UPPSALA LÄN</t>
        </is>
      </c>
      <c r="E441" t="inlineStr">
        <is>
          <t>ENKÖPING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30514-2021</t>
        </is>
      </c>
      <c r="B442" s="1" t="n">
        <v>44364</v>
      </c>
      <c r="C442" s="1" t="n">
        <v>46092</v>
      </c>
      <c r="D442" t="inlineStr">
        <is>
          <t>UPPSALA LÄN</t>
        </is>
      </c>
      <c r="E442" t="inlineStr">
        <is>
          <t>ENKÖPING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31604-2023</t>
        </is>
      </c>
      <c r="B443" s="1" t="n">
        <v>45117.50368055556</v>
      </c>
      <c r="C443" s="1" t="n">
        <v>46092</v>
      </c>
      <c r="D443" t="inlineStr">
        <is>
          <t>UPPSALA LÄN</t>
        </is>
      </c>
      <c r="E443" t="inlineStr">
        <is>
          <t>ENKÖPING</t>
        </is>
      </c>
      <c r="G443" t="n">
        <v>3.5</v>
      </c>
      <c r="H443" t="n">
        <v>0</v>
      </c>
      <c r="I443" t="n">
        <v>0</v>
      </c>
      <c r="J443" t="n">
        <v>0</v>
      </c>
      <c r="K443" t="n">
        <v>0</v>
      </c>
      <c r="L443" t="n">
        <v>0</v>
      </c>
      <c r="M443" t="n">
        <v>0</v>
      </c>
      <c r="N443" t="n">
        <v>0</v>
      </c>
      <c r="O443" t="n">
        <v>0</v>
      </c>
      <c r="P443" t="n">
        <v>0</v>
      </c>
      <c r="Q443" t="n">
        <v>0</v>
      </c>
      <c r="R443" s="2" t="inlineStr"/>
    </row>
    <row r="444" ht="15" customHeight="1">
      <c r="A444" t="inlineStr">
        <is>
          <t>A 25598-2021</t>
        </is>
      </c>
      <c r="B444" s="1" t="n">
        <v>44343.4558912037</v>
      </c>
      <c r="C444" s="1" t="n">
        <v>46092</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15162-2025</t>
        </is>
      </c>
      <c r="B445" s="1" t="n">
        <v>45744</v>
      </c>
      <c r="C445" s="1" t="n">
        <v>46092</v>
      </c>
      <c r="D445" t="inlineStr">
        <is>
          <t>UPPSALA LÄN</t>
        </is>
      </c>
      <c r="E445" t="inlineStr">
        <is>
          <t>ENKÖPING</t>
        </is>
      </c>
      <c r="G445" t="n">
        <v>4.2</v>
      </c>
      <c r="H445" t="n">
        <v>0</v>
      </c>
      <c r="I445" t="n">
        <v>0</v>
      </c>
      <c r="J445" t="n">
        <v>0</v>
      </c>
      <c r="K445" t="n">
        <v>0</v>
      </c>
      <c r="L445" t="n">
        <v>0</v>
      </c>
      <c r="M445" t="n">
        <v>0</v>
      </c>
      <c r="N445" t="n">
        <v>0</v>
      </c>
      <c r="O445" t="n">
        <v>0</v>
      </c>
      <c r="P445" t="n">
        <v>0</v>
      </c>
      <c r="Q445" t="n">
        <v>0</v>
      </c>
      <c r="R445" s="2" t="inlineStr"/>
    </row>
    <row r="446" ht="15" customHeight="1">
      <c r="A446" t="inlineStr">
        <is>
          <t>A 52388-2024</t>
        </is>
      </c>
      <c r="B446" s="1" t="n">
        <v>45609.42939814815</v>
      </c>
      <c r="C446" s="1" t="n">
        <v>46092</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53607-2023</t>
        </is>
      </c>
      <c r="B447" s="1" t="n">
        <v>45230</v>
      </c>
      <c r="C447" s="1" t="n">
        <v>46092</v>
      </c>
      <c r="D447" t="inlineStr">
        <is>
          <t>UPPSALA LÄN</t>
        </is>
      </c>
      <c r="E447" t="inlineStr">
        <is>
          <t>ENKÖPING</t>
        </is>
      </c>
      <c r="F447" t="inlineStr">
        <is>
          <t>Allmännings- och besparingsskogar</t>
        </is>
      </c>
      <c r="G447" t="n">
        <v>6.3</v>
      </c>
      <c r="H447" t="n">
        <v>0</v>
      </c>
      <c r="I447" t="n">
        <v>0</v>
      </c>
      <c r="J447" t="n">
        <v>0</v>
      </c>
      <c r="K447" t="n">
        <v>0</v>
      </c>
      <c r="L447" t="n">
        <v>0</v>
      </c>
      <c r="M447" t="n">
        <v>0</v>
      </c>
      <c r="N447" t="n">
        <v>0</v>
      </c>
      <c r="O447" t="n">
        <v>0</v>
      </c>
      <c r="P447" t="n">
        <v>0</v>
      </c>
      <c r="Q447" t="n">
        <v>0</v>
      </c>
      <c r="R447" s="2" t="inlineStr"/>
    </row>
    <row r="448" ht="15" customHeight="1">
      <c r="A448" t="inlineStr">
        <is>
          <t>A 40202-2024</t>
        </is>
      </c>
      <c r="B448" s="1" t="n">
        <v>45554</v>
      </c>
      <c r="C448" s="1" t="n">
        <v>46092</v>
      </c>
      <c r="D448" t="inlineStr">
        <is>
          <t>UPPSALA LÄN</t>
        </is>
      </c>
      <c r="E448" t="inlineStr">
        <is>
          <t>ENKÖPING</t>
        </is>
      </c>
      <c r="G448" t="n">
        <v>6.2</v>
      </c>
      <c r="H448" t="n">
        <v>0</v>
      </c>
      <c r="I448" t="n">
        <v>0</v>
      </c>
      <c r="J448" t="n">
        <v>0</v>
      </c>
      <c r="K448" t="n">
        <v>0</v>
      </c>
      <c r="L448" t="n">
        <v>0</v>
      </c>
      <c r="M448" t="n">
        <v>0</v>
      </c>
      <c r="N448" t="n">
        <v>0</v>
      </c>
      <c r="O448" t="n">
        <v>0</v>
      </c>
      <c r="P448" t="n">
        <v>0</v>
      </c>
      <c r="Q448" t="n">
        <v>0</v>
      </c>
      <c r="R448" s="2" t="inlineStr"/>
    </row>
    <row r="449" ht="15" customHeight="1">
      <c r="A449" t="inlineStr">
        <is>
          <t>A 57152-2021</t>
        </is>
      </c>
      <c r="B449" s="1" t="n">
        <v>44482</v>
      </c>
      <c r="C449" s="1" t="n">
        <v>46092</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34124-2021</t>
        </is>
      </c>
      <c r="B450" s="1" t="n">
        <v>44379</v>
      </c>
      <c r="C450" s="1" t="n">
        <v>46092</v>
      </c>
      <c r="D450" t="inlineStr">
        <is>
          <t>UPPSALA LÄN</t>
        </is>
      </c>
      <c r="E450" t="inlineStr">
        <is>
          <t>ENKÖPING</t>
        </is>
      </c>
      <c r="G450" t="n">
        <v>2.2</v>
      </c>
      <c r="H450" t="n">
        <v>0</v>
      </c>
      <c r="I450" t="n">
        <v>0</v>
      </c>
      <c r="J450" t="n">
        <v>0</v>
      </c>
      <c r="K450" t="n">
        <v>0</v>
      </c>
      <c r="L450" t="n">
        <v>0</v>
      </c>
      <c r="M450" t="n">
        <v>0</v>
      </c>
      <c r="N450" t="n">
        <v>0</v>
      </c>
      <c r="O450" t="n">
        <v>0</v>
      </c>
      <c r="P450" t="n">
        <v>0</v>
      </c>
      <c r="Q450" t="n">
        <v>0</v>
      </c>
      <c r="R450" s="2" t="inlineStr"/>
    </row>
    <row r="451" ht="15" customHeight="1">
      <c r="A451" t="inlineStr">
        <is>
          <t>A 28518-2024</t>
        </is>
      </c>
      <c r="B451" s="1" t="n">
        <v>45477</v>
      </c>
      <c r="C451" s="1" t="n">
        <v>46092</v>
      </c>
      <c r="D451" t="inlineStr">
        <is>
          <t>UPPSALA LÄN</t>
        </is>
      </c>
      <c r="E451" t="inlineStr">
        <is>
          <t>ENKÖPING</t>
        </is>
      </c>
      <c r="G451" t="n">
        <v>3.4</v>
      </c>
      <c r="H451" t="n">
        <v>0</v>
      </c>
      <c r="I451" t="n">
        <v>0</v>
      </c>
      <c r="J451" t="n">
        <v>0</v>
      </c>
      <c r="K451" t="n">
        <v>0</v>
      </c>
      <c r="L451" t="n">
        <v>0</v>
      </c>
      <c r="M451" t="n">
        <v>0</v>
      </c>
      <c r="N451" t="n">
        <v>0</v>
      </c>
      <c r="O451" t="n">
        <v>0</v>
      </c>
      <c r="P451" t="n">
        <v>0</v>
      </c>
      <c r="Q451" t="n">
        <v>0</v>
      </c>
      <c r="R451" s="2" t="inlineStr"/>
    </row>
    <row r="452" ht="15" customHeight="1">
      <c r="A452" t="inlineStr">
        <is>
          <t>A 52299-2023</t>
        </is>
      </c>
      <c r="B452" s="1" t="n">
        <v>45224.61636574074</v>
      </c>
      <c r="C452" s="1" t="n">
        <v>46092</v>
      </c>
      <c r="D452" t="inlineStr">
        <is>
          <t>UPPSALA LÄN</t>
        </is>
      </c>
      <c r="E452" t="inlineStr">
        <is>
          <t>ENKÖPING</t>
        </is>
      </c>
      <c r="G452" t="n">
        <v>2.2</v>
      </c>
      <c r="H452" t="n">
        <v>0</v>
      </c>
      <c r="I452" t="n">
        <v>0</v>
      </c>
      <c r="J452" t="n">
        <v>0</v>
      </c>
      <c r="K452" t="n">
        <v>0</v>
      </c>
      <c r="L452" t="n">
        <v>0</v>
      </c>
      <c r="M452" t="n">
        <v>0</v>
      </c>
      <c r="N452" t="n">
        <v>0</v>
      </c>
      <c r="O452" t="n">
        <v>0</v>
      </c>
      <c r="P452" t="n">
        <v>0</v>
      </c>
      <c r="Q452" t="n">
        <v>0</v>
      </c>
      <c r="R452" s="2" t="inlineStr"/>
    </row>
    <row r="453" ht="15" customHeight="1">
      <c r="A453" t="inlineStr">
        <is>
          <t>A 30634-2022</t>
        </is>
      </c>
      <c r="B453" s="1" t="n">
        <v>44763.45711805556</v>
      </c>
      <c r="C453" s="1" t="n">
        <v>46092</v>
      </c>
      <c r="D453" t="inlineStr">
        <is>
          <t>UPPSALA LÄN</t>
        </is>
      </c>
      <c r="E453" t="inlineStr">
        <is>
          <t>ENKÖPING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18259-2025</t>
        </is>
      </c>
      <c r="B454" s="1" t="n">
        <v>45762</v>
      </c>
      <c r="C454" s="1" t="n">
        <v>46092</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14004-2023</t>
        </is>
      </c>
      <c r="B455" s="1" t="n">
        <v>45008</v>
      </c>
      <c r="C455" s="1" t="n">
        <v>46092</v>
      </c>
      <c r="D455" t="inlineStr">
        <is>
          <t>UPPSALA LÄN</t>
        </is>
      </c>
      <c r="E455" t="inlineStr">
        <is>
          <t>ENKÖPING</t>
        </is>
      </c>
      <c r="G455" t="n">
        <v>1.3</v>
      </c>
      <c r="H455" t="n">
        <v>0</v>
      </c>
      <c r="I455" t="n">
        <v>0</v>
      </c>
      <c r="J455" t="n">
        <v>0</v>
      </c>
      <c r="K455" t="n">
        <v>0</v>
      </c>
      <c r="L455" t="n">
        <v>0</v>
      </c>
      <c r="M455" t="n">
        <v>0</v>
      </c>
      <c r="N455" t="n">
        <v>0</v>
      </c>
      <c r="O455" t="n">
        <v>0</v>
      </c>
      <c r="P455" t="n">
        <v>0</v>
      </c>
      <c r="Q455" t="n">
        <v>0</v>
      </c>
      <c r="R455" s="2" t="inlineStr"/>
    </row>
    <row r="456" ht="15" customHeight="1">
      <c r="A456" t="inlineStr">
        <is>
          <t>A 52005-2024</t>
        </is>
      </c>
      <c r="B456" s="1" t="n">
        <v>45607.7627662037</v>
      </c>
      <c r="C456" s="1" t="n">
        <v>46092</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1960-2022</t>
        </is>
      </c>
      <c r="B457" s="1" t="n">
        <v>44575</v>
      </c>
      <c r="C457" s="1" t="n">
        <v>46092</v>
      </c>
      <c r="D457" t="inlineStr">
        <is>
          <t>UPPSALA LÄN</t>
        </is>
      </c>
      <c r="E457" t="inlineStr">
        <is>
          <t>ENKÖPING</t>
        </is>
      </c>
      <c r="G457" t="n">
        <v>1.3</v>
      </c>
      <c r="H457" t="n">
        <v>0</v>
      </c>
      <c r="I457" t="n">
        <v>0</v>
      </c>
      <c r="J457" t="n">
        <v>0</v>
      </c>
      <c r="K457" t="n">
        <v>0</v>
      </c>
      <c r="L457" t="n">
        <v>0</v>
      </c>
      <c r="M457" t="n">
        <v>0</v>
      </c>
      <c r="N457" t="n">
        <v>0</v>
      </c>
      <c r="O457" t="n">
        <v>0</v>
      </c>
      <c r="P457" t="n">
        <v>0</v>
      </c>
      <c r="Q457" t="n">
        <v>0</v>
      </c>
      <c r="R457" s="2" t="inlineStr"/>
    </row>
    <row r="458" ht="15" customHeight="1">
      <c r="A458" t="inlineStr">
        <is>
          <t>A 49627-2024</t>
        </is>
      </c>
      <c r="B458" s="1" t="n">
        <v>45596.59140046296</v>
      </c>
      <c r="C458" s="1" t="n">
        <v>46092</v>
      </c>
      <c r="D458" t="inlineStr">
        <is>
          <t>UPPSALA LÄN</t>
        </is>
      </c>
      <c r="E458" t="inlineStr">
        <is>
          <t>ENKÖPING</t>
        </is>
      </c>
      <c r="G458" t="n">
        <v>0.4</v>
      </c>
      <c r="H458" t="n">
        <v>0</v>
      </c>
      <c r="I458" t="n">
        <v>0</v>
      </c>
      <c r="J458" t="n">
        <v>0</v>
      </c>
      <c r="K458" t="n">
        <v>0</v>
      </c>
      <c r="L458" t="n">
        <v>0</v>
      </c>
      <c r="M458" t="n">
        <v>0</v>
      </c>
      <c r="N458" t="n">
        <v>0</v>
      </c>
      <c r="O458" t="n">
        <v>0</v>
      </c>
      <c r="P458" t="n">
        <v>0</v>
      </c>
      <c r="Q458" t="n">
        <v>0</v>
      </c>
      <c r="R458" s="2" t="inlineStr"/>
    </row>
    <row r="459" ht="15" customHeight="1">
      <c r="A459" t="inlineStr">
        <is>
          <t>A 57998-2024</t>
        </is>
      </c>
      <c r="B459" s="1" t="n">
        <v>45631</v>
      </c>
      <c r="C459" s="1" t="n">
        <v>46092</v>
      </c>
      <c r="D459" t="inlineStr">
        <is>
          <t>UPPSALA LÄN</t>
        </is>
      </c>
      <c r="E459" t="inlineStr">
        <is>
          <t>ENKÖPING</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9667-2024</t>
        </is>
      </c>
      <c r="B460" s="1" t="n">
        <v>45362.45130787037</v>
      </c>
      <c r="C460" s="1" t="n">
        <v>46092</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35645-2021</t>
        </is>
      </c>
      <c r="B461" s="1" t="n">
        <v>44386.42</v>
      </c>
      <c r="C461" s="1" t="n">
        <v>46092</v>
      </c>
      <c r="D461" t="inlineStr">
        <is>
          <t>UPPSALA LÄN</t>
        </is>
      </c>
      <c r="E461" t="inlineStr">
        <is>
          <t>ENKÖPING</t>
        </is>
      </c>
      <c r="G461" t="n">
        <v>2.7</v>
      </c>
      <c r="H461" t="n">
        <v>0</v>
      </c>
      <c r="I461" t="n">
        <v>0</v>
      </c>
      <c r="J461" t="n">
        <v>0</v>
      </c>
      <c r="K461" t="n">
        <v>0</v>
      </c>
      <c r="L461" t="n">
        <v>0</v>
      </c>
      <c r="M461" t="n">
        <v>0</v>
      </c>
      <c r="N461" t="n">
        <v>0</v>
      </c>
      <c r="O461" t="n">
        <v>0</v>
      </c>
      <c r="P461" t="n">
        <v>0</v>
      </c>
      <c r="Q461" t="n">
        <v>0</v>
      </c>
      <c r="R461" s="2" t="inlineStr"/>
    </row>
    <row r="462" ht="15" customHeight="1">
      <c r="A462" t="inlineStr">
        <is>
          <t>A 15711-2025</t>
        </is>
      </c>
      <c r="B462" s="1" t="n">
        <v>45748</v>
      </c>
      <c r="C462" s="1" t="n">
        <v>46092</v>
      </c>
      <c r="D462" t="inlineStr">
        <is>
          <t>UPPSALA LÄN</t>
        </is>
      </c>
      <c r="E462" t="inlineStr">
        <is>
          <t>ENKÖPING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28318-2024</t>
        </is>
      </c>
      <c r="B463" s="1" t="n">
        <v>45477</v>
      </c>
      <c r="C463" s="1" t="n">
        <v>46092</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69344-2021</t>
        </is>
      </c>
      <c r="B464" s="1" t="n">
        <v>44531</v>
      </c>
      <c r="C464" s="1" t="n">
        <v>46092</v>
      </c>
      <c r="D464" t="inlineStr">
        <is>
          <t>UPPSALA LÄN</t>
        </is>
      </c>
      <c r="E464" t="inlineStr">
        <is>
          <t>ENKÖPING</t>
        </is>
      </c>
      <c r="G464" t="n">
        <v>2.9</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46092</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46103-2023</t>
        </is>
      </c>
      <c r="B466" s="1" t="n">
        <v>45190</v>
      </c>
      <c r="C466" s="1" t="n">
        <v>46092</v>
      </c>
      <c r="D466" t="inlineStr">
        <is>
          <t>UPPSALA LÄN</t>
        </is>
      </c>
      <c r="E466" t="inlineStr">
        <is>
          <t>ENKÖPING</t>
        </is>
      </c>
      <c r="G466" t="n">
        <v>4.6</v>
      </c>
      <c r="H466" t="n">
        <v>0</v>
      </c>
      <c r="I466" t="n">
        <v>0</v>
      </c>
      <c r="J466" t="n">
        <v>0</v>
      </c>
      <c r="K466" t="n">
        <v>0</v>
      </c>
      <c r="L466" t="n">
        <v>0</v>
      </c>
      <c r="M466" t="n">
        <v>0</v>
      </c>
      <c r="N466" t="n">
        <v>0</v>
      </c>
      <c r="O466" t="n">
        <v>0</v>
      </c>
      <c r="P466" t="n">
        <v>0</v>
      </c>
      <c r="Q466" t="n">
        <v>0</v>
      </c>
      <c r="R466" s="2" t="inlineStr"/>
    </row>
    <row r="467" ht="15" customHeight="1">
      <c r="A467" t="inlineStr">
        <is>
          <t>A 41737-2022</t>
        </is>
      </c>
      <c r="B467" s="1" t="n">
        <v>44827.63826388889</v>
      </c>
      <c r="C467" s="1" t="n">
        <v>46092</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8137-2025</t>
        </is>
      </c>
      <c r="B468" s="1" t="n">
        <v>45707.8561574074</v>
      </c>
      <c r="C468" s="1" t="n">
        <v>46092</v>
      </c>
      <c r="D468" t="inlineStr">
        <is>
          <t>UPPSALA LÄN</t>
        </is>
      </c>
      <c r="E468" t="inlineStr">
        <is>
          <t>ENKÖPING</t>
        </is>
      </c>
      <c r="G468" t="n">
        <v>0.4</v>
      </c>
      <c r="H468" t="n">
        <v>0</v>
      </c>
      <c r="I468" t="n">
        <v>0</v>
      </c>
      <c r="J468" t="n">
        <v>0</v>
      </c>
      <c r="K468" t="n">
        <v>0</v>
      </c>
      <c r="L468" t="n">
        <v>0</v>
      </c>
      <c r="M468" t="n">
        <v>0</v>
      </c>
      <c r="N468" t="n">
        <v>0</v>
      </c>
      <c r="O468" t="n">
        <v>0</v>
      </c>
      <c r="P468" t="n">
        <v>0</v>
      </c>
      <c r="Q468" t="n">
        <v>0</v>
      </c>
      <c r="R468" s="2" t="inlineStr"/>
    </row>
    <row r="469" ht="15" customHeight="1">
      <c r="A469" t="inlineStr">
        <is>
          <t>A 23301-2024</t>
        </is>
      </c>
      <c r="B469" s="1" t="n">
        <v>45453.4396412037</v>
      </c>
      <c r="C469" s="1" t="n">
        <v>46092</v>
      </c>
      <c r="D469" t="inlineStr">
        <is>
          <t>UPPSALA LÄN</t>
        </is>
      </c>
      <c r="E469" t="inlineStr">
        <is>
          <t>ENKÖPING</t>
        </is>
      </c>
      <c r="G469" t="n">
        <v>4.3</v>
      </c>
      <c r="H469" t="n">
        <v>0</v>
      </c>
      <c r="I469" t="n">
        <v>0</v>
      </c>
      <c r="J469" t="n">
        <v>0</v>
      </c>
      <c r="K469" t="n">
        <v>0</v>
      </c>
      <c r="L469" t="n">
        <v>0</v>
      </c>
      <c r="M469" t="n">
        <v>0</v>
      </c>
      <c r="N469" t="n">
        <v>0</v>
      </c>
      <c r="O469" t="n">
        <v>0</v>
      </c>
      <c r="P469" t="n">
        <v>0</v>
      </c>
      <c r="Q469" t="n">
        <v>0</v>
      </c>
      <c r="R469" s="2" t="inlineStr"/>
    </row>
    <row r="470" ht="15" customHeight="1">
      <c r="A470" t="inlineStr">
        <is>
          <t>A 52380-2024</t>
        </is>
      </c>
      <c r="B470" s="1" t="n">
        <v>45609</v>
      </c>
      <c r="C470" s="1" t="n">
        <v>46092</v>
      </c>
      <c r="D470" t="inlineStr">
        <is>
          <t>UPPSALA LÄN</t>
        </is>
      </c>
      <c r="E470" t="inlineStr">
        <is>
          <t>ENKÖPING</t>
        </is>
      </c>
      <c r="G470" t="n">
        <v>1.8</v>
      </c>
      <c r="H470" t="n">
        <v>0</v>
      </c>
      <c r="I470" t="n">
        <v>0</v>
      </c>
      <c r="J470" t="n">
        <v>0</v>
      </c>
      <c r="K470" t="n">
        <v>0</v>
      </c>
      <c r="L470" t="n">
        <v>0</v>
      </c>
      <c r="M470" t="n">
        <v>0</v>
      </c>
      <c r="N470" t="n">
        <v>0</v>
      </c>
      <c r="O470" t="n">
        <v>0</v>
      </c>
      <c r="P470" t="n">
        <v>0</v>
      </c>
      <c r="Q470" t="n">
        <v>0</v>
      </c>
      <c r="R470" s="2" t="inlineStr"/>
    </row>
    <row r="471" ht="15" customHeight="1">
      <c r="A471" t="inlineStr">
        <is>
          <t>A 30098-2024</t>
        </is>
      </c>
      <c r="B471" s="1" t="n">
        <v>45489.41609953704</v>
      </c>
      <c r="C471" s="1" t="n">
        <v>46092</v>
      </c>
      <c r="D471" t="inlineStr">
        <is>
          <t>UPPSALA LÄN</t>
        </is>
      </c>
      <c r="E471" t="inlineStr">
        <is>
          <t>ENKÖPING</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34735-2023</t>
        </is>
      </c>
      <c r="B472" s="1" t="n">
        <v>45139</v>
      </c>
      <c r="C472" s="1" t="n">
        <v>46092</v>
      </c>
      <c r="D472" t="inlineStr">
        <is>
          <t>UPPSALA LÄN</t>
        </is>
      </c>
      <c r="E472" t="inlineStr">
        <is>
          <t>ENKÖPING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57328-2024</t>
        </is>
      </c>
      <c r="B473" s="1" t="n">
        <v>45629.62798611111</v>
      </c>
      <c r="C473" s="1" t="n">
        <v>46092</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29482-2022</t>
        </is>
      </c>
      <c r="B474" s="1" t="n">
        <v>44753.57703703704</v>
      </c>
      <c r="C474" s="1" t="n">
        <v>46092</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29483-2022</t>
        </is>
      </c>
      <c r="B475" s="1" t="n">
        <v>44753.57829861111</v>
      </c>
      <c r="C475" s="1" t="n">
        <v>46092</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44232-2022</t>
        </is>
      </c>
      <c r="B476" s="1" t="n">
        <v>44839</v>
      </c>
      <c r="C476" s="1" t="n">
        <v>46092</v>
      </c>
      <c r="D476" t="inlineStr">
        <is>
          <t>UPPSALA LÄN</t>
        </is>
      </c>
      <c r="E476" t="inlineStr">
        <is>
          <t>ENKÖPING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61106-2022</t>
        </is>
      </c>
      <c r="B477" s="1" t="n">
        <v>44915.4128587963</v>
      </c>
      <c r="C477" s="1" t="n">
        <v>46092</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39624-2023</t>
        </is>
      </c>
      <c r="B478" s="1" t="n">
        <v>45164</v>
      </c>
      <c r="C478" s="1" t="n">
        <v>46092</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20184-2023</t>
        </is>
      </c>
      <c r="B479" s="1" t="n">
        <v>45055.5670949074</v>
      </c>
      <c r="C479" s="1" t="n">
        <v>46092</v>
      </c>
      <c r="D479" t="inlineStr">
        <is>
          <t>UPPSALA LÄN</t>
        </is>
      </c>
      <c r="E479" t="inlineStr">
        <is>
          <t>ENKÖPING</t>
        </is>
      </c>
      <c r="G479" t="n">
        <v>3.2</v>
      </c>
      <c r="H479" t="n">
        <v>0</v>
      </c>
      <c r="I479" t="n">
        <v>0</v>
      </c>
      <c r="J479" t="n">
        <v>0</v>
      </c>
      <c r="K479" t="n">
        <v>0</v>
      </c>
      <c r="L479" t="n">
        <v>0</v>
      </c>
      <c r="M479" t="n">
        <v>0</v>
      </c>
      <c r="N479" t="n">
        <v>0</v>
      </c>
      <c r="O479" t="n">
        <v>0</v>
      </c>
      <c r="P479" t="n">
        <v>0</v>
      </c>
      <c r="Q479" t="n">
        <v>0</v>
      </c>
      <c r="R479" s="2" t="inlineStr"/>
    </row>
    <row r="480" ht="15" customHeight="1">
      <c r="A480" t="inlineStr">
        <is>
          <t>A 8152-2022</t>
        </is>
      </c>
      <c r="B480" s="1" t="n">
        <v>44609</v>
      </c>
      <c r="C480" s="1" t="n">
        <v>46092</v>
      </c>
      <c r="D480" t="inlineStr">
        <is>
          <t>UPPSALA LÄN</t>
        </is>
      </c>
      <c r="E480" t="inlineStr">
        <is>
          <t>ENKÖPING</t>
        </is>
      </c>
      <c r="F480" t="inlineStr">
        <is>
          <t>Kyrkan</t>
        </is>
      </c>
      <c r="G480" t="n">
        <v>1.3</v>
      </c>
      <c r="H480" t="n">
        <v>0</v>
      </c>
      <c r="I480" t="n">
        <v>0</v>
      </c>
      <c r="J480" t="n">
        <v>0</v>
      </c>
      <c r="K480" t="n">
        <v>0</v>
      </c>
      <c r="L480" t="n">
        <v>0</v>
      </c>
      <c r="M480" t="n">
        <v>0</v>
      </c>
      <c r="N480" t="n">
        <v>0</v>
      </c>
      <c r="O480" t="n">
        <v>0</v>
      </c>
      <c r="P480" t="n">
        <v>0</v>
      </c>
      <c r="Q480" t="n">
        <v>0</v>
      </c>
      <c r="R480" s="2" t="inlineStr"/>
    </row>
    <row r="481" ht="15" customHeight="1">
      <c r="A481" t="inlineStr">
        <is>
          <t>A 40223-2024</t>
        </is>
      </c>
      <c r="B481" s="1" t="n">
        <v>45554</v>
      </c>
      <c r="C481" s="1" t="n">
        <v>46092</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37035-2023</t>
        </is>
      </c>
      <c r="B482" s="1" t="n">
        <v>45155</v>
      </c>
      <c r="C482" s="1" t="n">
        <v>46092</v>
      </c>
      <c r="D482" t="inlineStr">
        <is>
          <t>UPPSALA LÄN</t>
        </is>
      </c>
      <c r="E482" t="inlineStr">
        <is>
          <t>ENKÖPING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46092</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51030-2024</t>
        </is>
      </c>
      <c r="B484" s="1" t="n">
        <v>45603</v>
      </c>
      <c r="C484" s="1" t="n">
        <v>46092</v>
      </c>
      <c r="D484" t="inlineStr">
        <is>
          <t>UPPSALA LÄN</t>
        </is>
      </c>
      <c r="E484" t="inlineStr">
        <is>
          <t>ENKÖPING</t>
        </is>
      </c>
      <c r="G484" t="n">
        <v>2</v>
      </c>
      <c r="H484" t="n">
        <v>0</v>
      </c>
      <c r="I484" t="n">
        <v>0</v>
      </c>
      <c r="J484" t="n">
        <v>0</v>
      </c>
      <c r="K484" t="n">
        <v>0</v>
      </c>
      <c r="L484" t="n">
        <v>0</v>
      </c>
      <c r="M484" t="n">
        <v>0</v>
      </c>
      <c r="N484" t="n">
        <v>0</v>
      </c>
      <c r="O484" t="n">
        <v>0</v>
      </c>
      <c r="P484" t="n">
        <v>0</v>
      </c>
      <c r="Q484" t="n">
        <v>0</v>
      </c>
      <c r="R484" s="2" t="inlineStr"/>
    </row>
    <row r="485" ht="15" customHeight="1">
      <c r="A485" t="inlineStr">
        <is>
          <t>A 26292-2022</t>
        </is>
      </c>
      <c r="B485" s="1" t="n">
        <v>44735</v>
      </c>
      <c r="C485" s="1" t="n">
        <v>46092</v>
      </c>
      <c r="D485" t="inlineStr">
        <is>
          <t>UPPSALA LÄN</t>
        </is>
      </c>
      <c r="E485" t="inlineStr">
        <is>
          <t>ENKÖPING</t>
        </is>
      </c>
      <c r="F485" t="inlineStr">
        <is>
          <t>Kyrkan</t>
        </is>
      </c>
      <c r="G485" t="n">
        <v>4.6</v>
      </c>
      <c r="H485" t="n">
        <v>0</v>
      </c>
      <c r="I485" t="n">
        <v>0</v>
      </c>
      <c r="J485" t="n">
        <v>0</v>
      </c>
      <c r="K485" t="n">
        <v>0</v>
      </c>
      <c r="L485" t="n">
        <v>0</v>
      </c>
      <c r="M485" t="n">
        <v>0</v>
      </c>
      <c r="N485" t="n">
        <v>0</v>
      </c>
      <c r="O485" t="n">
        <v>0</v>
      </c>
      <c r="P485" t="n">
        <v>0</v>
      </c>
      <c r="Q485" t="n">
        <v>0</v>
      </c>
      <c r="R485" s="2" t="inlineStr"/>
    </row>
    <row r="486" ht="15" customHeight="1">
      <c r="A486" t="inlineStr">
        <is>
          <t>A 4044-2024</t>
        </is>
      </c>
      <c r="B486" s="1" t="n">
        <v>45323.45954861111</v>
      </c>
      <c r="C486" s="1" t="n">
        <v>46092</v>
      </c>
      <c r="D486" t="inlineStr">
        <is>
          <t>UPPSALA LÄN</t>
        </is>
      </c>
      <c r="E486" t="inlineStr">
        <is>
          <t>ENKÖPING</t>
        </is>
      </c>
      <c r="G486" t="n">
        <v>2.1</v>
      </c>
      <c r="H486" t="n">
        <v>0</v>
      </c>
      <c r="I486" t="n">
        <v>0</v>
      </c>
      <c r="J486" t="n">
        <v>0</v>
      </c>
      <c r="K486" t="n">
        <v>0</v>
      </c>
      <c r="L486" t="n">
        <v>0</v>
      </c>
      <c r="M486" t="n">
        <v>0</v>
      </c>
      <c r="N486" t="n">
        <v>0</v>
      </c>
      <c r="O486" t="n">
        <v>0</v>
      </c>
      <c r="P486" t="n">
        <v>0</v>
      </c>
      <c r="Q486" t="n">
        <v>0</v>
      </c>
      <c r="R486" s="2" t="inlineStr"/>
    </row>
    <row r="487" ht="15" customHeight="1">
      <c r="A487" t="inlineStr">
        <is>
          <t>A 33349-2024</t>
        </is>
      </c>
      <c r="B487" s="1" t="n">
        <v>45519</v>
      </c>
      <c r="C487" s="1" t="n">
        <v>46092</v>
      </c>
      <c r="D487" t="inlineStr">
        <is>
          <t>UPPSALA LÄN</t>
        </is>
      </c>
      <c r="E487" t="inlineStr">
        <is>
          <t>ENKÖPING</t>
        </is>
      </c>
      <c r="G487" t="n">
        <v>3.6</v>
      </c>
      <c r="H487" t="n">
        <v>0</v>
      </c>
      <c r="I487" t="n">
        <v>0</v>
      </c>
      <c r="J487" t="n">
        <v>0</v>
      </c>
      <c r="K487" t="n">
        <v>0</v>
      </c>
      <c r="L487" t="n">
        <v>0</v>
      </c>
      <c r="M487" t="n">
        <v>0</v>
      </c>
      <c r="N487" t="n">
        <v>0</v>
      </c>
      <c r="O487" t="n">
        <v>0</v>
      </c>
      <c r="P487" t="n">
        <v>0</v>
      </c>
      <c r="Q487" t="n">
        <v>0</v>
      </c>
      <c r="R487" s="2" t="inlineStr"/>
    </row>
    <row r="488" ht="15" customHeight="1">
      <c r="A488" t="inlineStr">
        <is>
          <t>A 22912-2024</t>
        </is>
      </c>
      <c r="B488" s="1" t="n">
        <v>45448.73118055556</v>
      </c>
      <c r="C488" s="1" t="n">
        <v>46092</v>
      </c>
      <c r="D488" t="inlineStr">
        <is>
          <t>UPPSALA LÄN</t>
        </is>
      </c>
      <c r="E488" t="inlineStr">
        <is>
          <t>ENKÖPING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21612-2023</t>
        </is>
      </c>
      <c r="B489" s="1" t="n">
        <v>45063</v>
      </c>
      <c r="C489" s="1" t="n">
        <v>46092</v>
      </c>
      <c r="D489" t="inlineStr">
        <is>
          <t>UPPSALA LÄN</t>
        </is>
      </c>
      <c r="E489" t="inlineStr">
        <is>
          <t>ENKÖPING</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14243-2025</t>
        </is>
      </c>
      <c r="B490" s="1" t="n">
        <v>45740.61288194444</v>
      </c>
      <c r="C490" s="1" t="n">
        <v>46092</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33343-2024</t>
        </is>
      </c>
      <c r="B491" s="1" t="n">
        <v>45519</v>
      </c>
      <c r="C491" s="1" t="n">
        <v>46092</v>
      </c>
      <c r="D491" t="inlineStr">
        <is>
          <t>UPPSALA LÄN</t>
        </is>
      </c>
      <c r="E491" t="inlineStr">
        <is>
          <t>ENKÖPING</t>
        </is>
      </c>
      <c r="G491" t="n">
        <v>2</v>
      </c>
      <c r="H491" t="n">
        <v>0</v>
      </c>
      <c r="I491" t="n">
        <v>0</v>
      </c>
      <c r="J491" t="n">
        <v>0</v>
      </c>
      <c r="K491" t="n">
        <v>0</v>
      </c>
      <c r="L491" t="n">
        <v>0</v>
      </c>
      <c r="M491" t="n">
        <v>0</v>
      </c>
      <c r="N491" t="n">
        <v>0</v>
      </c>
      <c r="O491" t="n">
        <v>0</v>
      </c>
      <c r="P491" t="n">
        <v>0</v>
      </c>
      <c r="Q491" t="n">
        <v>0</v>
      </c>
      <c r="R491" s="2" t="inlineStr"/>
    </row>
    <row r="492" ht="15" customHeight="1">
      <c r="A492" t="inlineStr">
        <is>
          <t>A 18302-2025</t>
        </is>
      </c>
      <c r="B492" s="1" t="n">
        <v>45762</v>
      </c>
      <c r="C492" s="1" t="n">
        <v>46092</v>
      </c>
      <c r="D492" t="inlineStr">
        <is>
          <t>UPPSALA LÄN</t>
        </is>
      </c>
      <c r="E492" t="inlineStr">
        <is>
          <t>ENKÖPING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28243-2023</t>
        </is>
      </c>
      <c r="B493" s="1" t="n">
        <v>45099.58885416666</v>
      </c>
      <c r="C493" s="1" t="n">
        <v>46092</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3235-2025</t>
        </is>
      </c>
      <c r="B494" s="1" t="n">
        <v>45679</v>
      </c>
      <c r="C494" s="1" t="n">
        <v>46092</v>
      </c>
      <c r="D494" t="inlineStr">
        <is>
          <t>UPPSALA LÄN</t>
        </is>
      </c>
      <c r="E494" t="inlineStr">
        <is>
          <t>ENKÖPING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41828-2024</t>
        </is>
      </c>
      <c r="B495" s="1" t="n">
        <v>45561</v>
      </c>
      <c r="C495" s="1" t="n">
        <v>46092</v>
      </c>
      <c r="D495" t="inlineStr">
        <is>
          <t>UPPSALA LÄN</t>
        </is>
      </c>
      <c r="E495" t="inlineStr">
        <is>
          <t>ENKÖPING</t>
        </is>
      </c>
      <c r="G495" t="n">
        <v>2.5</v>
      </c>
      <c r="H495" t="n">
        <v>0</v>
      </c>
      <c r="I495" t="n">
        <v>0</v>
      </c>
      <c r="J495" t="n">
        <v>0</v>
      </c>
      <c r="K495" t="n">
        <v>0</v>
      </c>
      <c r="L495" t="n">
        <v>0</v>
      </c>
      <c r="M495" t="n">
        <v>0</v>
      </c>
      <c r="N495" t="n">
        <v>0</v>
      </c>
      <c r="O495" t="n">
        <v>0</v>
      </c>
      <c r="P495" t="n">
        <v>0</v>
      </c>
      <c r="Q495" t="n">
        <v>0</v>
      </c>
      <c r="R495" s="2" t="inlineStr"/>
    </row>
    <row r="496" ht="15" customHeight="1">
      <c r="A496" t="inlineStr">
        <is>
          <t>A 1536-2024</t>
        </is>
      </c>
      <c r="B496" s="1" t="n">
        <v>45306</v>
      </c>
      <c r="C496" s="1" t="n">
        <v>46092</v>
      </c>
      <c r="D496" t="inlineStr">
        <is>
          <t>UPPSALA LÄN</t>
        </is>
      </c>
      <c r="E496" t="inlineStr">
        <is>
          <t>ENKÖPING</t>
        </is>
      </c>
      <c r="F496" t="inlineStr">
        <is>
          <t>Kyrkan</t>
        </is>
      </c>
      <c r="G496" t="n">
        <v>5.6</v>
      </c>
      <c r="H496" t="n">
        <v>0</v>
      </c>
      <c r="I496" t="n">
        <v>0</v>
      </c>
      <c r="J496" t="n">
        <v>0</v>
      </c>
      <c r="K496" t="n">
        <v>0</v>
      </c>
      <c r="L496" t="n">
        <v>0</v>
      </c>
      <c r="M496" t="n">
        <v>0</v>
      </c>
      <c r="N496" t="n">
        <v>0</v>
      </c>
      <c r="O496" t="n">
        <v>0</v>
      </c>
      <c r="P496" t="n">
        <v>0</v>
      </c>
      <c r="Q496" t="n">
        <v>0</v>
      </c>
      <c r="R496" s="2" t="inlineStr"/>
    </row>
    <row r="497" ht="15" customHeight="1">
      <c r="A497" t="inlineStr">
        <is>
          <t>A 42564-2024</t>
        </is>
      </c>
      <c r="B497" s="1" t="n">
        <v>45565.63358796296</v>
      </c>
      <c r="C497" s="1" t="n">
        <v>46092</v>
      </c>
      <c r="D497" t="inlineStr">
        <is>
          <t>UPPSALA LÄN</t>
        </is>
      </c>
      <c r="E497" t="inlineStr">
        <is>
          <t>ENKÖPING</t>
        </is>
      </c>
      <c r="G497" t="n">
        <v>1.7</v>
      </c>
      <c r="H497" t="n">
        <v>0</v>
      </c>
      <c r="I497" t="n">
        <v>0</v>
      </c>
      <c r="J497" t="n">
        <v>0</v>
      </c>
      <c r="K497" t="n">
        <v>0</v>
      </c>
      <c r="L497" t="n">
        <v>0</v>
      </c>
      <c r="M497" t="n">
        <v>0</v>
      </c>
      <c r="N497" t="n">
        <v>0</v>
      </c>
      <c r="O497" t="n">
        <v>0</v>
      </c>
      <c r="P497" t="n">
        <v>0</v>
      </c>
      <c r="Q497" t="n">
        <v>0</v>
      </c>
      <c r="R497" s="2" t="inlineStr"/>
    </row>
    <row r="498" ht="15" customHeight="1">
      <c r="A498" t="inlineStr">
        <is>
          <t>A 43492-2023</t>
        </is>
      </c>
      <c r="B498" s="1" t="n">
        <v>45181</v>
      </c>
      <c r="C498" s="1" t="n">
        <v>46092</v>
      </c>
      <c r="D498" t="inlineStr">
        <is>
          <t>UPPSALA LÄN</t>
        </is>
      </c>
      <c r="E498" t="inlineStr">
        <is>
          <t>ENKÖPING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6626-2023</t>
        </is>
      </c>
      <c r="B499" s="1" t="n">
        <v>44966.55946759259</v>
      </c>
      <c r="C499" s="1" t="n">
        <v>46092</v>
      </c>
      <c r="D499" t="inlineStr">
        <is>
          <t>UPPSALA LÄN</t>
        </is>
      </c>
      <c r="E499" t="inlineStr">
        <is>
          <t>ENKÖPING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17165-2025</t>
        </is>
      </c>
      <c r="B500" s="1" t="n">
        <v>45756</v>
      </c>
      <c r="C500" s="1" t="n">
        <v>46092</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5013-2025</t>
        </is>
      </c>
      <c r="B501" s="1" t="n">
        <v>45691</v>
      </c>
      <c r="C501" s="1" t="n">
        <v>46092</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37170-2021</t>
        </is>
      </c>
      <c r="B502" s="1" t="n">
        <v>44395</v>
      </c>
      <c r="C502" s="1" t="n">
        <v>46092</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58147-2024</t>
        </is>
      </c>
      <c r="B503" s="1" t="n">
        <v>45632.4334375</v>
      </c>
      <c r="C503" s="1" t="n">
        <v>46092</v>
      </c>
      <c r="D503" t="inlineStr">
        <is>
          <t>UPPSALA LÄN</t>
        </is>
      </c>
      <c r="E503" t="inlineStr">
        <is>
          <t>ENKÖPING</t>
        </is>
      </c>
      <c r="G503" t="n">
        <v>3</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46092</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19014-2025</t>
        </is>
      </c>
      <c r="B505" s="1" t="n">
        <v>45764.59631944444</v>
      </c>
      <c r="C505" s="1" t="n">
        <v>46092</v>
      </c>
      <c r="D505" t="inlineStr">
        <is>
          <t>UPPSALA LÄN</t>
        </is>
      </c>
      <c r="E505" t="inlineStr">
        <is>
          <t>ENKÖPING</t>
        </is>
      </c>
      <c r="G505" t="n">
        <v>0.2</v>
      </c>
      <c r="H505" t="n">
        <v>0</v>
      </c>
      <c r="I505" t="n">
        <v>0</v>
      </c>
      <c r="J505" t="n">
        <v>0</v>
      </c>
      <c r="K505" t="n">
        <v>0</v>
      </c>
      <c r="L505" t="n">
        <v>0</v>
      </c>
      <c r="M505" t="n">
        <v>0</v>
      </c>
      <c r="N505" t="n">
        <v>0</v>
      </c>
      <c r="O505" t="n">
        <v>0</v>
      </c>
      <c r="P505" t="n">
        <v>0</v>
      </c>
      <c r="Q505" t="n">
        <v>0</v>
      </c>
      <c r="R505" s="2" t="inlineStr"/>
    </row>
    <row r="506" ht="15" customHeight="1">
      <c r="A506" t="inlineStr">
        <is>
          <t>A 12958-2024</t>
        </is>
      </c>
      <c r="B506" s="1" t="n">
        <v>45385</v>
      </c>
      <c r="C506" s="1" t="n">
        <v>46092</v>
      </c>
      <c r="D506" t="inlineStr">
        <is>
          <t>UPPSALA LÄN</t>
        </is>
      </c>
      <c r="E506" t="inlineStr">
        <is>
          <t>ENKÖPING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1651-2024</t>
        </is>
      </c>
      <c r="B507" s="1" t="n">
        <v>45306.73770833333</v>
      </c>
      <c r="C507" s="1" t="n">
        <v>46092</v>
      </c>
      <c r="D507" t="inlineStr">
        <is>
          <t>UPPSALA LÄN</t>
        </is>
      </c>
      <c r="E507" t="inlineStr">
        <is>
          <t>ENKÖPING</t>
        </is>
      </c>
      <c r="G507" t="n">
        <v>10.2</v>
      </c>
      <c r="H507" t="n">
        <v>0</v>
      </c>
      <c r="I507" t="n">
        <v>0</v>
      </c>
      <c r="J507" t="n">
        <v>0</v>
      </c>
      <c r="K507" t="n">
        <v>0</v>
      </c>
      <c r="L507" t="n">
        <v>0</v>
      </c>
      <c r="M507" t="n">
        <v>0</v>
      </c>
      <c r="N507" t="n">
        <v>0</v>
      </c>
      <c r="O507" t="n">
        <v>0</v>
      </c>
      <c r="P507" t="n">
        <v>0</v>
      </c>
      <c r="Q507" t="n">
        <v>0</v>
      </c>
      <c r="R507" s="2" t="inlineStr"/>
    </row>
    <row r="508" ht="15" customHeight="1">
      <c r="A508" t="inlineStr">
        <is>
          <t>A 51012-2024</t>
        </is>
      </c>
      <c r="B508" s="1" t="n">
        <v>45603.39686342593</v>
      </c>
      <c r="C508" s="1" t="n">
        <v>46092</v>
      </c>
      <c r="D508" t="inlineStr">
        <is>
          <t>UPPSALA LÄN</t>
        </is>
      </c>
      <c r="E508" t="inlineStr">
        <is>
          <t>ENKÖPING</t>
        </is>
      </c>
      <c r="G508" t="n">
        <v>2.7</v>
      </c>
      <c r="H508" t="n">
        <v>0</v>
      </c>
      <c r="I508" t="n">
        <v>0</v>
      </c>
      <c r="J508" t="n">
        <v>0</v>
      </c>
      <c r="K508" t="n">
        <v>0</v>
      </c>
      <c r="L508" t="n">
        <v>0</v>
      </c>
      <c r="M508" t="n">
        <v>0</v>
      </c>
      <c r="N508" t="n">
        <v>0</v>
      </c>
      <c r="O508" t="n">
        <v>0</v>
      </c>
      <c r="P508" t="n">
        <v>0</v>
      </c>
      <c r="Q508" t="n">
        <v>0</v>
      </c>
      <c r="R508" s="2" t="inlineStr"/>
    </row>
    <row r="509" ht="15" customHeight="1">
      <c r="A509" t="inlineStr">
        <is>
          <t>A 57940-2022</t>
        </is>
      </c>
      <c r="B509" s="1" t="n">
        <v>44900</v>
      </c>
      <c r="C509" s="1" t="n">
        <v>46092</v>
      </c>
      <c r="D509" t="inlineStr">
        <is>
          <t>UPPSALA LÄN</t>
        </is>
      </c>
      <c r="E509" t="inlineStr">
        <is>
          <t>ENKÖPING</t>
        </is>
      </c>
      <c r="G509" t="n">
        <v>1.9</v>
      </c>
      <c r="H509" t="n">
        <v>0</v>
      </c>
      <c r="I509" t="n">
        <v>0</v>
      </c>
      <c r="J509" t="n">
        <v>0</v>
      </c>
      <c r="K509" t="n">
        <v>0</v>
      </c>
      <c r="L509" t="n">
        <v>0</v>
      </c>
      <c r="M509" t="n">
        <v>0</v>
      </c>
      <c r="N509" t="n">
        <v>0</v>
      </c>
      <c r="O509" t="n">
        <v>0</v>
      </c>
      <c r="P509" t="n">
        <v>0</v>
      </c>
      <c r="Q509" t="n">
        <v>0</v>
      </c>
      <c r="R509" s="2" t="inlineStr"/>
    </row>
    <row r="510" ht="15" customHeight="1">
      <c r="A510" t="inlineStr">
        <is>
          <t>A 63310-2021</t>
        </is>
      </c>
      <c r="B510" s="1" t="n">
        <v>44508</v>
      </c>
      <c r="C510" s="1" t="n">
        <v>46092</v>
      </c>
      <c r="D510" t="inlineStr">
        <is>
          <t>UPPSALA LÄN</t>
        </is>
      </c>
      <c r="E510" t="inlineStr">
        <is>
          <t>ENKÖPING</t>
        </is>
      </c>
      <c r="G510" t="n">
        <v>3.5</v>
      </c>
      <c r="H510" t="n">
        <v>0</v>
      </c>
      <c r="I510" t="n">
        <v>0</v>
      </c>
      <c r="J510" t="n">
        <v>0</v>
      </c>
      <c r="K510" t="n">
        <v>0</v>
      </c>
      <c r="L510" t="n">
        <v>0</v>
      </c>
      <c r="M510" t="n">
        <v>0</v>
      </c>
      <c r="N510" t="n">
        <v>0</v>
      </c>
      <c r="O510" t="n">
        <v>0</v>
      </c>
      <c r="P510" t="n">
        <v>0</v>
      </c>
      <c r="Q510" t="n">
        <v>0</v>
      </c>
      <c r="R510" s="2" t="inlineStr"/>
    </row>
    <row r="511" ht="15" customHeight="1">
      <c r="A511" t="inlineStr">
        <is>
          <t>A 20440-2025</t>
        </is>
      </c>
      <c r="B511" s="1" t="n">
        <v>45775</v>
      </c>
      <c r="C511" s="1" t="n">
        <v>46092</v>
      </c>
      <c r="D511" t="inlineStr">
        <is>
          <t>UPPSALA LÄN</t>
        </is>
      </c>
      <c r="E511" t="inlineStr">
        <is>
          <t>ENKÖPING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19488-2022</t>
        </is>
      </c>
      <c r="B512" s="1" t="n">
        <v>44693</v>
      </c>
      <c r="C512" s="1" t="n">
        <v>46092</v>
      </c>
      <c r="D512" t="inlineStr">
        <is>
          <t>UPPSALA LÄN</t>
        </is>
      </c>
      <c r="E512" t="inlineStr">
        <is>
          <t>ENKÖPING</t>
        </is>
      </c>
      <c r="G512" t="n">
        <v>7.8</v>
      </c>
      <c r="H512" t="n">
        <v>0</v>
      </c>
      <c r="I512" t="n">
        <v>0</v>
      </c>
      <c r="J512" t="n">
        <v>0</v>
      </c>
      <c r="K512" t="n">
        <v>0</v>
      </c>
      <c r="L512" t="n">
        <v>0</v>
      </c>
      <c r="M512" t="n">
        <v>0</v>
      </c>
      <c r="N512" t="n">
        <v>0</v>
      </c>
      <c r="O512" t="n">
        <v>0</v>
      </c>
      <c r="P512" t="n">
        <v>0</v>
      </c>
      <c r="Q512" t="n">
        <v>0</v>
      </c>
      <c r="R512" s="2" t="inlineStr"/>
    </row>
    <row r="513" ht="15" customHeight="1">
      <c r="A513" t="inlineStr">
        <is>
          <t>A 5188-2022</t>
        </is>
      </c>
      <c r="B513" s="1" t="n">
        <v>44594.4471412037</v>
      </c>
      <c r="C513" s="1" t="n">
        <v>46092</v>
      </c>
      <c r="D513" t="inlineStr">
        <is>
          <t>UPPSALA LÄN</t>
        </is>
      </c>
      <c r="E513" t="inlineStr">
        <is>
          <t>ENKÖPING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31622-2022</t>
        </is>
      </c>
      <c r="B514" s="1" t="n">
        <v>44775</v>
      </c>
      <c r="C514" s="1" t="n">
        <v>46092</v>
      </c>
      <c r="D514" t="inlineStr">
        <is>
          <t>UPPSALA LÄN</t>
        </is>
      </c>
      <c r="E514" t="inlineStr">
        <is>
          <t>ENKÖPING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12102-2024</t>
        </is>
      </c>
      <c r="B515" s="1" t="n">
        <v>45377</v>
      </c>
      <c r="C515" s="1" t="n">
        <v>46092</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59602-2024</t>
        </is>
      </c>
      <c r="B516" s="1" t="n">
        <v>45638</v>
      </c>
      <c r="C516" s="1" t="n">
        <v>46092</v>
      </c>
      <c r="D516" t="inlineStr">
        <is>
          <t>UPPSALA LÄN</t>
        </is>
      </c>
      <c r="E516" t="inlineStr">
        <is>
          <t>ENKÖPING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44131-2023</t>
        </is>
      </c>
      <c r="B517" s="1" t="n">
        <v>45188</v>
      </c>
      <c r="C517" s="1" t="n">
        <v>46092</v>
      </c>
      <c r="D517" t="inlineStr">
        <is>
          <t>UPPSALA LÄN</t>
        </is>
      </c>
      <c r="E517" t="inlineStr">
        <is>
          <t>ENKÖPING</t>
        </is>
      </c>
      <c r="G517" t="n">
        <v>0.3</v>
      </c>
      <c r="H517" t="n">
        <v>0</v>
      </c>
      <c r="I517" t="n">
        <v>0</v>
      </c>
      <c r="J517" t="n">
        <v>0</v>
      </c>
      <c r="K517" t="n">
        <v>0</v>
      </c>
      <c r="L517" t="n">
        <v>0</v>
      </c>
      <c r="M517" t="n">
        <v>0</v>
      </c>
      <c r="N517" t="n">
        <v>0</v>
      </c>
      <c r="O517" t="n">
        <v>0</v>
      </c>
      <c r="P517" t="n">
        <v>0</v>
      </c>
      <c r="Q517" t="n">
        <v>0</v>
      </c>
      <c r="R517" s="2" t="inlineStr"/>
    </row>
    <row r="518" ht="15" customHeight="1">
      <c r="A518" t="inlineStr">
        <is>
          <t>A 60533-2021</t>
        </is>
      </c>
      <c r="B518" s="1" t="n">
        <v>44496</v>
      </c>
      <c r="C518" s="1" t="n">
        <v>46092</v>
      </c>
      <c r="D518" t="inlineStr">
        <is>
          <t>UPPSALA LÄN</t>
        </is>
      </c>
      <c r="E518" t="inlineStr">
        <is>
          <t>ENKÖPING</t>
        </is>
      </c>
      <c r="G518" t="n">
        <v>2.2</v>
      </c>
      <c r="H518" t="n">
        <v>0</v>
      </c>
      <c r="I518" t="n">
        <v>0</v>
      </c>
      <c r="J518" t="n">
        <v>0</v>
      </c>
      <c r="K518" t="n">
        <v>0</v>
      </c>
      <c r="L518" t="n">
        <v>0</v>
      </c>
      <c r="M518" t="n">
        <v>0</v>
      </c>
      <c r="N518" t="n">
        <v>0</v>
      </c>
      <c r="O518" t="n">
        <v>0</v>
      </c>
      <c r="P518" t="n">
        <v>0</v>
      </c>
      <c r="Q518" t="n">
        <v>0</v>
      </c>
      <c r="R518" s="2" t="inlineStr"/>
    </row>
    <row r="519" ht="15" customHeight="1">
      <c r="A519" t="inlineStr">
        <is>
          <t>A 35052-2024</t>
        </is>
      </c>
      <c r="B519" s="1" t="n">
        <v>45527.6516087963</v>
      </c>
      <c r="C519" s="1" t="n">
        <v>46092</v>
      </c>
      <c r="D519" t="inlineStr">
        <is>
          <t>UPPSALA LÄN</t>
        </is>
      </c>
      <c r="E519" t="inlineStr">
        <is>
          <t>ENKÖPING</t>
        </is>
      </c>
      <c r="G519" t="n">
        <v>1.5</v>
      </c>
      <c r="H519" t="n">
        <v>0</v>
      </c>
      <c r="I519" t="n">
        <v>0</v>
      </c>
      <c r="J519" t="n">
        <v>0</v>
      </c>
      <c r="K519" t="n">
        <v>0</v>
      </c>
      <c r="L519" t="n">
        <v>0</v>
      </c>
      <c r="M519" t="n">
        <v>0</v>
      </c>
      <c r="N519" t="n">
        <v>0</v>
      </c>
      <c r="O519" t="n">
        <v>0</v>
      </c>
      <c r="P519" t="n">
        <v>0</v>
      </c>
      <c r="Q519" t="n">
        <v>0</v>
      </c>
      <c r="R519" s="2" t="inlineStr"/>
    </row>
    <row r="520">
      <c r="A520" t="inlineStr">
        <is>
          <t>A 51008-2024</t>
        </is>
      </c>
      <c r="B520" s="1" t="n">
        <v>45603.39041666667</v>
      </c>
      <c r="C520" s="1" t="n">
        <v>46092</v>
      </c>
      <c r="D520" t="inlineStr">
        <is>
          <t>UPPSALA LÄN</t>
        </is>
      </c>
      <c r="E520" t="inlineStr">
        <is>
          <t>ENKÖPING</t>
        </is>
      </c>
      <c r="G520" t="n">
        <v>2.4</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2026-03-11T11:22:24Z</dcterms:created>
  <dcterms:modified xmlns:dcterms="http://purl.org/dc/terms/" xmlns:xsi="http://www.w3.org/2001/XMLSchema-instance" xsi:type="dcterms:W3CDTF">2026-03-11T11:22:24Z</dcterms:modified>
</cp:coreProperties>
</file>