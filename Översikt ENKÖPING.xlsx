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46077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46077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46077</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46077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46077</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46077</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46077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46077</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46077</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46077</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46077</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46077</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50105-2023</t>
        </is>
      </c>
      <c r="B14" s="1" t="n">
        <v>45215</v>
      </c>
      <c r="C14" s="1" t="n">
        <v>46077</v>
      </c>
      <c r="D14" t="inlineStr">
        <is>
          <t>UPPSALA LÄN</t>
        </is>
      </c>
      <c r="E14" t="inlineStr">
        <is>
          <t>ENKÖPING</t>
        </is>
      </c>
      <c r="G14" t="n">
        <v>8.5</v>
      </c>
      <c r="H14" t="n">
        <v>0</v>
      </c>
      <c r="I14" t="n">
        <v>0</v>
      </c>
      <c r="J14" t="n">
        <v>1</v>
      </c>
      <c r="K14" t="n">
        <v>1</v>
      </c>
      <c r="L14" t="n">
        <v>0</v>
      </c>
      <c r="M14" t="n">
        <v>0</v>
      </c>
      <c r="N14" t="n">
        <v>0</v>
      </c>
      <c r="O14" t="n">
        <v>2</v>
      </c>
      <c r="P14" t="n">
        <v>1</v>
      </c>
      <c r="Q14" t="n">
        <v>2</v>
      </c>
      <c r="R14" s="2" t="inlineStr">
        <is>
          <t>Smalskaftslav
Ullticka</t>
        </is>
      </c>
      <c r="S14">
        <f>HYPERLINK("https://klasma.github.io/Logging_0381/artfynd/A 50105-2023 artfynd.xlsx", "A 50105-2023")</f>
        <v/>
      </c>
      <c r="T14">
        <f>HYPERLINK("https://klasma.github.io/Logging_0381/kartor/A 50105-2023 karta.png", "A 50105-2023")</f>
        <v/>
      </c>
      <c r="V14">
        <f>HYPERLINK("https://klasma.github.io/Logging_0381/klagomål/A 50105-2023 FSC-klagomål.docx", "A 50105-2023")</f>
        <v/>
      </c>
      <c r="W14">
        <f>HYPERLINK("https://klasma.github.io/Logging_0381/klagomålsmail/A 50105-2023 FSC-klagomål mail.docx", "A 50105-2023")</f>
        <v/>
      </c>
      <c r="X14">
        <f>HYPERLINK("https://klasma.github.io/Logging_0381/tillsyn/A 50105-2023 tillsynsbegäran.docx", "A 50105-2023")</f>
        <v/>
      </c>
      <c r="Y14">
        <f>HYPERLINK("https://klasma.github.io/Logging_0381/tillsynsmail/A 50105-2023 tillsynsbegäran mail.docx", "A 50105-2023")</f>
        <v/>
      </c>
    </row>
    <row r="15" ht="15" customHeight="1">
      <c r="A15" t="inlineStr">
        <is>
          <t>A 425-2024</t>
        </is>
      </c>
      <c r="B15" s="1" t="n">
        <v>45296</v>
      </c>
      <c r="C15" s="1" t="n">
        <v>46077</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52092-2022</t>
        </is>
      </c>
      <c r="B16" s="1" t="n">
        <v>44873</v>
      </c>
      <c r="C16" s="1" t="n">
        <v>46077</v>
      </c>
      <c r="D16" t="inlineStr">
        <is>
          <t>UPPSALA LÄN</t>
        </is>
      </c>
      <c r="E16" t="inlineStr">
        <is>
          <t>ENKÖPING</t>
        </is>
      </c>
      <c r="G16" t="n">
        <v>2.4</v>
      </c>
      <c r="H16" t="n">
        <v>1</v>
      </c>
      <c r="I16" t="n">
        <v>0</v>
      </c>
      <c r="J16" t="n">
        <v>1</v>
      </c>
      <c r="K16" t="n">
        <v>1</v>
      </c>
      <c r="L16" t="n">
        <v>0</v>
      </c>
      <c r="M16" t="n">
        <v>0</v>
      </c>
      <c r="N16" t="n">
        <v>0</v>
      </c>
      <c r="O16" t="n">
        <v>2</v>
      </c>
      <c r="P16" t="n">
        <v>1</v>
      </c>
      <c r="Q16" t="n">
        <v>2</v>
      </c>
      <c r="R16" s="2" t="inlineStr">
        <is>
          <t>Bombmurkla
Fyrflikig jordstjärna</t>
        </is>
      </c>
      <c r="S16">
        <f>HYPERLINK("https://klasma.github.io/Logging_0381/artfynd/A 52092-2022 artfynd.xlsx", "A 52092-2022")</f>
        <v/>
      </c>
      <c r="T16">
        <f>HYPERLINK("https://klasma.github.io/Logging_0381/kartor/A 52092-2022 karta.png", "A 52092-2022")</f>
        <v/>
      </c>
      <c r="V16">
        <f>HYPERLINK("https://klasma.github.io/Logging_0381/klagomål/A 52092-2022 FSC-klagomål.docx", "A 52092-2022")</f>
        <v/>
      </c>
      <c r="W16">
        <f>HYPERLINK("https://klasma.github.io/Logging_0381/klagomålsmail/A 52092-2022 FSC-klagomål mail.docx", "A 52092-2022")</f>
        <v/>
      </c>
      <c r="X16">
        <f>HYPERLINK("https://klasma.github.io/Logging_0381/tillsyn/A 52092-2022 tillsynsbegäran.docx", "A 52092-2022")</f>
        <v/>
      </c>
      <c r="Y16">
        <f>HYPERLINK("https://klasma.github.io/Logging_0381/tillsynsmail/A 52092-2022 tillsynsbegäran mail.docx", "A 52092-2022")</f>
        <v/>
      </c>
    </row>
    <row r="17" ht="15" customHeight="1">
      <c r="A17" t="inlineStr">
        <is>
          <t>A 21970-2025</t>
        </is>
      </c>
      <c r="B17" s="1" t="n">
        <v>45784.63335648148</v>
      </c>
      <c r="C17" s="1" t="n">
        <v>46077</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46077</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9147-2026</t>
        </is>
      </c>
      <c r="B19" s="1" t="n">
        <v>46070.30649305556</v>
      </c>
      <c r="C19" s="1" t="n">
        <v>46077</v>
      </c>
      <c r="D19" t="inlineStr">
        <is>
          <t>UPPSALA LÄN</t>
        </is>
      </c>
      <c r="E19" t="inlineStr">
        <is>
          <t>ENKÖPING</t>
        </is>
      </c>
      <c r="G19" t="n">
        <v>1.6</v>
      </c>
      <c r="H19" t="n">
        <v>0</v>
      </c>
      <c r="I19" t="n">
        <v>1</v>
      </c>
      <c r="J19" t="n">
        <v>1</v>
      </c>
      <c r="K19" t="n">
        <v>0</v>
      </c>
      <c r="L19" t="n">
        <v>0</v>
      </c>
      <c r="M19" t="n">
        <v>0</v>
      </c>
      <c r="N19" t="n">
        <v>0</v>
      </c>
      <c r="O19" t="n">
        <v>1</v>
      </c>
      <c r="P19" t="n">
        <v>0</v>
      </c>
      <c r="Q19" t="n">
        <v>2</v>
      </c>
      <c r="R19" s="2" t="inlineStr">
        <is>
          <t>Motaggsvamp
Dropptaggsvamp</t>
        </is>
      </c>
      <c r="S19">
        <f>HYPERLINK("https://klasma.github.io/Logging_0381/artfynd/A 9147-2026 artfynd.xlsx", "A 9147-2026")</f>
        <v/>
      </c>
      <c r="T19">
        <f>HYPERLINK("https://klasma.github.io/Logging_0381/kartor/A 9147-2026 karta.png", "A 9147-2026")</f>
        <v/>
      </c>
      <c r="V19">
        <f>HYPERLINK("https://klasma.github.io/Logging_0381/klagomål/A 9147-2026 FSC-klagomål.docx", "A 9147-2026")</f>
        <v/>
      </c>
      <c r="W19">
        <f>HYPERLINK("https://klasma.github.io/Logging_0381/klagomålsmail/A 9147-2026 FSC-klagomål mail.docx", "A 9147-2026")</f>
        <v/>
      </c>
      <c r="X19">
        <f>HYPERLINK("https://klasma.github.io/Logging_0381/tillsyn/A 9147-2026 tillsynsbegäran.docx", "A 9147-2026")</f>
        <v/>
      </c>
      <c r="Y19">
        <f>HYPERLINK("https://klasma.github.io/Logging_0381/tillsynsmail/A 9147-2026 tillsynsbegäran mail.docx", "A 9147-2026")</f>
        <v/>
      </c>
    </row>
    <row r="20" ht="15" customHeight="1">
      <c r="A20" t="inlineStr">
        <is>
          <t>A 36523-2021</t>
        </is>
      </c>
      <c r="B20" s="1" t="n">
        <v>44391</v>
      </c>
      <c r="C20" s="1" t="n">
        <v>46077</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46077</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46077</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28900-2024</t>
        </is>
      </c>
      <c r="B23" s="1" t="n">
        <v>45480</v>
      </c>
      <c r="C23" s="1" t="n">
        <v>46077</v>
      </c>
      <c r="D23" t="inlineStr">
        <is>
          <t>UPPSALA LÄN</t>
        </is>
      </c>
      <c r="E23" t="inlineStr">
        <is>
          <t>ENKÖPING</t>
        </is>
      </c>
      <c r="G23" t="n">
        <v>8.6</v>
      </c>
      <c r="H23" t="n">
        <v>1</v>
      </c>
      <c r="I23" t="n">
        <v>0</v>
      </c>
      <c r="J23" t="n">
        <v>0</v>
      </c>
      <c r="K23" t="n">
        <v>0</v>
      </c>
      <c r="L23" t="n">
        <v>0</v>
      </c>
      <c r="M23" t="n">
        <v>0</v>
      </c>
      <c r="N23" t="n">
        <v>0</v>
      </c>
      <c r="O23" t="n">
        <v>0</v>
      </c>
      <c r="P23" t="n">
        <v>0</v>
      </c>
      <c r="Q23" t="n">
        <v>1</v>
      </c>
      <c r="R23" s="2" t="inlineStr">
        <is>
          <t>Blåsippa</t>
        </is>
      </c>
      <c r="S23">
        <f>HYPERLINK("https://klasma.github.io/Logging_0381/artfynd/A 28900-2024 artfynd.xlsx", "A 28900-2024")</f>
        <v/>
      </c>
      <c r="T23">
        <f>HYPERLINK("https://klasma.github.io/Logging_0381/kartor/A 28900-2024 karta.png", "A 28900-2024")</f>
        <v/>
      </c>
      <c r="V23">
        <f>HYPERLINK("https://klasma.github.io/Logging_0381/klagomål/A 28900-2024 FSC-klagomål.docx", "A 28900-2024")</f>
        <v/>
      </c>
      <c r="W23">
        <f>HYPERLINK("https://klasma.github.io/Logging_0381/klagomålsmail/A 28900-2024 FSC-klagomål mail.docx", "A 28900-2024")</f>
        <v/>
      </c>
      <c r="X23">
        <f>HYPERLINK("https://klasma.github.io/Logging_0381/tillsyn/A 28900-2024 tillsynsbegäran.docx", "A 28900-2024")</f>
        <v/>
      </c>
      <c r="Y23">
        <f>HYPERLINK("https://klasma.github.io/Logging_0381/tillsynsmail/A 28900-2024 tillsynsbegäran mail.docx", "A 28900-2024")</f>
        <v/>
      </c>
    </row>
    <row r="24" ht="15" customHeight="1">
      <c r="A24" t="inlineStr">
        <is>
          <t>A 17942-2024</t>
        </is>
      </c>
      <c r="B24" s="1" t="n">
        <v>45419</v>
      </c>
      <c r="C24" s="1" t="n">
        <v>46077</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1524-2023</t>
        </is>
      </c>
      <c r="B25" s="1" t="n">
        <v>44935</v>
      </c>
      <c r="C25" s="1" t="n">
        <v>46077</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23961-2022</t>
        </is>
      </c>
      <c r="B26" s="1" t="n">
        <v>44722</v>
      </c>
      <c r="C26" s="1" t="n">
        <v>46077</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33339-2024</t>
        </is>
      </c>
      <c r="B27" s="1" t="n">
        <v>45519</v>
      </c>
      <c r="C27" s="1" t="n">
        <v>46077</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45116-2023</t>
        </is>
      </c>
      <c r="B28" s="1" t="n">
        <v>45191</v>
      </c>
      <c r="C28" s="1" t="n">
        <v>46077</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29510-2025</t>
        </is>
      </c>
      <c r="B29" s="1" t="n">
        <v>45825</v>
      </c>
      <c r="C29" s="1" t="n">
        <v>46077</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52439-2025</t>
        </is>
      </c>
      <c r="B30" s="1" t="n">
        <v>45954.40697916667</v>
      </c>
      <c r="C30" s="1" t="n">
        <v>46077</v>
      </c>
      <c r="D30" t="inlineStr">
        <is>
          <t>UPPSALA LÄN</t>
        </is>
      </c>
      <c r="E30" t="inlineStr">
        <is>
          <t>ENKÖPING</t>
        </is>
      </c>
      <c r="F30" t="inlineStr">
        <is>
          <t>Allmännings- och besparingsskogar</t>
        </is>
      </c>
      <c r="G30" t="n">
        <v>2.2</v>
      </c>
      <c r="H30" t="n">
        <v>0</v>
      </c>
      <c r="I30" t="n">
        <v>0</v>
      </c>
      <c r="J30" t="n">
        <v>1</v>
      </c>
      <c r="K30" t="n">
        <v>0</v>
      </c>
      <c r="L30" t="n">
        <v>0</v>
      </c>
      <c r="M30" t="n">
        <v>0</v>
      </c>
      <c r="N30" t="n">
        <v>0</v>
      </c>
      <c r="O30" t="n">
        <v>1</v>
      </c>
      <c r="P30" t="n">
        <v>0</v>
      </c>
      <c r="Q30" t="n">
        <v>1</v>
      </c>
      <c r="R30" s="2" t="inlineStr">
        <is>
          <t>Igelkott</t>
        </is>
      </c>
      <c r="S30">
        <f>HYPERLINK("https://klasma.github.io/Logging_0381/artfynd/A 52439-2025 artfynd.xlsx", "A 52439-2025")</f>
        <v/>
      </c>
      <c r="T30">
        <f>HYPERLINK("https://klasma.github.io/Logging_0381/kartor/A 52439-2025 karta.png", "A 52439-2025")</f>
        <v/>
      </c>
      <c r="V30">
        <f>HYPERLINK("https://klasma.github.io/Logging_0381/klagomål/A 52439-2025 FSC-klagomål.docx", "A 52439-2025")</f>
        <v/>
      </c>
      <c r="W30">
        <f>HYPERLINK("https://klasma.github.io/Logging_0381/klagomålsmail/A 52439-2025 FSC-klagomål mail.docx", "A 52439-2025")</f>
        <v/>
      </c>
      <c r="X30">
        <f>HYPERLINK("https://klasma.github.io/Logging_0381/tillsyn/A 52439-2025 tillsynsbegäran.docx", "A 52439-2025")</f>
        <v/>
      </c>
      <c r="Y30">
        <f>HYPERLINK("https://klasma.github.io/Logging_0381/tillsynsmail/A 52439-2025 tillsynsbegäran mail.docx", "A 52439-2025")</f>
        <v/>
      </c>
    </row>
    <row r="31" ht="15" customHeight="1">
      <c r="A31" t="inlineStr">
        <is>
          <t>A 46749-2024</t>
        </is>
      </c>
      <c r="B31" s="1" t="n">
        <v>45583.48347222222</v>
      </c>
      <c r="C31" s="1" t="n">
        <v>46077</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4166-2026</t>
        </is>
      </c>
      <c r="B32" s="1" t="n">
        <v>46044.66402777778</v>
      </c>
      <c r="C32" s="1" t="n">
        <v>46077</v>
      </c>
      <c r="D32" t="inlineStr">
        <is>
          <t>UPPSALA LÄN</t>
        </is>
      </c>
      <c r="E32" t="inlineStr">
        <is>
          <t>ENKÖPING</t>
        </is>
      </c>
      <c r="G32" t="n">
        <v>1.7</v>
      </c>
      <c r="H32" t="n">
        <v>1</v>
      </c>
      <c r="I32" t="n">
        <v>0</v>
      </c>
      <c r="J32" t="n">
        <v>1</v>
      </c>
      <c r="K32" t="n">
        <v>0</v>
      </c>
      <c r="L32" t="n">
        <v>0</v>
      </c>
      <c r="M32" t="n">
        <v>0</v>
      </c>
      <c r="N32" t="n">
        <v>0</v>
      </c>
      <c r="O32" t="n">
        <v>1</v>
      </c>
      <c r="P32" t="n">
        <v>0</v>
      </c>
      <c r="Q32" t="n">
        <v>1</v>
      </c>
      <c r="R32" s="2" t="inlineStr">
        <is>
          <t>Gulsparv</t>
        </is>
      </c>
      <c r="S32">
        <f>HYPERLINK("https://klasma.github.io/Logging_0381/artfynd/A 4166-2026 artfynd.xlsx", "A 4166-2026")</f>
        <v/>
      </c>
      <c r="T32">
        <f>HYPERLINK("https://klasma.github.io/Logging_0381/kartor/A 4166-2026 karta.png", "A 4166-2026")</f>
        <v/>
      </c>
      <c r="V32">
        <f>HYPERLINK("https://klasma.github.io/Logging_0381/klagomål/A 4166-2026 FSC-klagomål.docx", "A 4166-2026")</f>
        <v/>
      </c>
      <c r="W32">
        <f>HYPERLINK("https://klasma.github.io/Logging_0381/klagomålsmail/A 4166-2026 FSC-klagomål mail.docx", "A 4166-2026")</f>
        <v/>
      </c>
      <c r="X32">
        <f>HYPERLINK("https://klasma.github.io/Logging_0381/tillsyn/A 4166-2026 tillsynsbegäran.docx", "A 4166-2026")</f>
        <v/>
      </c>
      <c r="Y32">
        <f>HYPERLINK("https://klasma.github.io/Logging_0381/tillsynsmail/A 4166-2026 tillsynsbegäran mail.docx", "A 4166-2026")</f>
        <v/>
      </c>
      <c r="Z32">
        <f>HYPERLINK("https://klasma.github.io/Logging_0381/fåglar/A 4166-2026 prioriterade fågelarter.docx", "A 4166-2026")</f>
        <v/>
      </c>
    </row>
    <row r="33" ht="15" customHeight="1">
      <c r="A33" t="inlineStr">
        <is>
          <t>A 26347-2025</t>
        </is>
      </c>
      <c r="B33" s="1" t="n">
        <v>45805.7403125</v>
      </c>
      <c r="C33" s="1" t="n">
        <v>46077</v>
      </c>
      <c r="D33" t="inlineStr">
        <is>
          <t>UPPSALA LÄN</t>
        </is>
      </c>
      <c r="E33" t="inlineStr">
        <is>
          <t>ENKÖPING</t>
        </is>
      </c>
      <c r="G33" t="n">
        <v>7.3</v>
      </c>
      <c r="H33" t="n">
        <v>1</v>
      </c>
      <c r="I33" t="n">
        <v>0</v>
      </c>
      <c r="J33" t="n">
        <v>0</v>
      </c>
      <c r="K33" t="n">
        <v>1</v>
      </c>
      <c r="L33" t="n">
        <v>0</v>
      </c>
      <c r="M33" t="n">
        <v>0</v>
      </c>
      <c r="N33" t="n">
        <v>0</v>
      </c>
      <c r="O33" t="n">
        <v>1</v>
      </c>
      <c r="P33" t="n">
        <v>1</v>
      </c>
      <c r="Q33" t="n">
        <v>1</v>
      </c>
      <c r="R33" s="2" t="inlineStr">
        <is>
          <t>Tofsvipa</t>
        </is>
      </c>
      <c r="S33">
        <f>HYPERLINK("https://klasma.github.io/Logging_0381/artfynd/A 26347-2025 artfynd.xlsx", "A 26347-2025")</f>
        <v/>
      </c>
      <c r="T33">
        <f>HYPERLINK("https://klasma.github.io/Logging_0381/kartor/A 26347-2025 karta.png", "A 26347-2025")</f>
        <v/>
      </c>
      <c r="V33">
        <f>HYPERLINK("https://klasma.github.io/Logging_0381/klagomål/A 26347-2025 FSC-klagomål.docx", "A 26347-2025")</f>
        <v/>
      </c>
      <c r="W33">
        <f>HYPERLINK("https://klasma.github.io/Logging_0381/klagomålsmail/A 26347-2025 FSC-klagomål mail.docx", "A 26347-2025")</f>
        <v/>
      </c>
      <c r="X33">
        <f>HYPERLINK("https://klasma.github.io/Logging_0381/tillsyn/A 26347-2025 tillsynsbegäran.docx", "A 26347-2025")</f>
        <v/>
      </c>
      <c r="Y33">
        <f>HYPERLINK("https://klasma.github.io/Logging_0381/tillsynsmail/A 26347-2025 tillsynsbegäran mail.docx", "A 26347-2025")</f>
        <v/>
      </c>
    </row>
    <row r="34" ht="15" customHeight="1">
      <c r="A34" t="inlineStr">
        <is>
          <t>A 27060-2025</t>
        </is>
      </c>
      <c r="B34" s="1" t="n">
        <v>45811.63590277778</v>
      </c>
      <c r="C34" s="1" t="n">
        <v>46077</v>
      </c>
      <c r="D34" t="inlineStr">
        <is>
          <t>UPPSALA LÄN</t>
        </is>
      </c>
      <c r="E34" t="inlineStr">
        <is>
          <t>ENKÖPING</t>
        </is>
      </c>
      <c r="G34" t="n">
        <v>2.6</v>
      </c>
      <c r="H34" t="n">
        <v>0</v>
      </c>
      <c r="I34" t="n">
        <v>1</v>
      </c>
      <c r="J34" t="n">
        <v>0</v>
      </c>
      <c r="K34" t="n">
        <v>0</v>
      </c>
      <c r="L34" t="n">
        <v>0</v>
      </c>
      <c r="M34" t="n">
        <v>0</v>
      </c>
      <c r="N34" t="n">
        <v>0</v>
      </c>
      <c r="O34" t="n">
        <v>0</v>
      </c>
      <c r="P34" t="n">
        <v>0</v>
      </c>
      <c r="Q34" t="n">
        <v>1</v>
      </c>
      <c r="R34" s="2" t="inlineStr">
        <is>
          <t>Granbarkgnagare</t>
        </is>
      </c>
      <c r="S34">
        <f>HYPERLINK("https://klasma.github.io/Logging_0381/artfynd/A 27060-2025 artfynd.xlsx", "A 27060-2025")</f>
        <v/>
      </c>
      <c r="T34">
        <f>HYPERLINK("https://klasma.github.io/Logging_0381/kartor/A 27060-2025 karta.png", "A 27060-2025")</f>
        <v/>
      </c>
      <c r="V34">
        <f>HYPERLINK("https://klasma.github.io/Logging_0381/klagomål/A 27060-2025 FSC-klagomål.docx", "A 27060-2025")</f>
        <v/>
      </c>
      <c r="W34">
        <f>HYPERLINK("https://klasma.github.io/Logging_0381/klagomålsmail/A 27060-2025 FSC-klagomål mail.docx", "A 27060-2025")</f>
        <v/>
      </c>
      <c r="X34">
        <f>HYPERLINK("https://klasma.github.io/Logging_0381/tillsyn/A 27060-2025 tillsynsbegäran.docx", "A 27060-2025")</f>
        <v/>
      </c>
      <c r="Y34">
        <f>HYPERLINK("https://klasma.github.io/Logging_0381/tillsynsmail/A 27060-2025 tillsynsbegäran mail.docx", "A 27060-2025")</f>
        <v/>
      </c>
    </row>
    <row r="35" ht="15" customHeight="1">
      <c r="A35" t="inlineStr">
        <is>
          <t>A 16683-2021</t>
        </is>
      </c>
      <c r="B35" s="1" t="n">
        <v>44294.58495370371</v>
      </c>
      <c r="C35" s="1" t="n">
        <v>46077</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46077</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46077</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46077</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10989-2021</t>
        </is>
      </c>
      <c r="B39" s="1" t="n">
        <v>44260</v>
      </c>
      <c r="C39" s="1" t="n">
        <v>46077</v>
      </c>
      <c r="D39" t="inlineStr">
        <is>
          <t>UPPSALA LÄN</t>
        </is>
      </c>
      <c r="E39" t="inlineStr">
        <is>
          <t>ENKÖPING</t>
        </is>
      </c>
      <c r="G39" t="n">
        <v>3.5</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46077</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15298-2021</t>
        </is>
      </c>
      <c r="B41" s="1" t="n">
        <v>44284</v>
      </c>
      <c r="C41" s="1" t="n">
        <v>46077</v>
      </c>
      <c r="D41" t="inlineStr">
        <is>
          <t>UPPSALA LÄN</t>
        </is>
      </c>
      <c r="E41" t="inlineStr">
        <is>
          <t>ENKÖPING</t>
        </is>
      </c>
      <c r="G41" t="n">
        <v>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46077</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37570-2021</t>
        </is>
      </c>
      <c r="B43" s="1" t="n">
        <v>44399</v>
      </c>
      <c r="C43" s="1" t="n">
        <v>46077</v>
      </c>
      <c r="D43" t="inlineStr">
        <is>
          <t>UPPSALA LÄN</t>
        </is>
      </c>
      <c r="E43" t="inlineStr">
        <is>
          <t>ENKÖPING</t>
        </is>
      </c>
      <c r="G43" t="n">
        <v>0.4</v>
      </c>
      <c r="H43" t="n">
        <v>0</v>
      </c>
      <c r="I43" t="n">
        <v>0</v>
      </c>
      <c r="J43" t="n">
        <v>0</v>
      </c>
      <c r="K43" t="n">
        <v>0</v>
      </c>
      <c r="L43" t="n">
        <v>0</v>
      </c>
      <c r="M43" t="n">
        <v>0</v>
      </c>
      <c r="N43" t="n">
        <v>0</v>
      </c>
      <c r="O43" t="n">
        <v>0</v>
      </c>
      <c r="P43" t="n">
        <v>0</v>
      </c>
      <c r="Q43" t="n">
        <v>0</v>
      </c>
      <c r="R43" s="2" t="inlineStr"/>
    </row>
    <row r="44" ht="15" customHeight="1">
      <c r="A44" t="inlineStr">
        <is>
          <t>A 37571-2021</t>
        </is>
      </c>
      <c r="B44" s="1" t="n">
        <v>44399.58929398148</v>
      </c>
      <c r="C44" s="1" t="n">
        <v>46077</v>
      </c>
      <c r="D44" t="inlineStr">
        <is>
          <t>UPPSALA LÄN</t>
        </is>
      </c>
      <c r="E44" t="inlineStr">
        <is>
          <t>ENKÖPING</t>
        </is>
      </c>
      <c r="G44" t="n">
        <v>4.6</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46077</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46749-2022</t>
        </is>
      </c>
      <c r="B46" s="1" t="n">
        <v>44851</v>
      </c>
      <c r="C46" s="1" t="n">
        <v>46077</v>
      </c>
      <c r="D46" t="inlineStr">
        <is>
          <t>UPPSALA LÄN</t>
        </is>
      </c>
      <c r="E46" t="inlineStr">
        <is>
          <t>ENKÖPING</t>
        </is>
      </c>
      <c r="G46" t="n">
        <v>6.6</v>
      </c>
      <c r="H46" t="n">
        <v>0</v>
      </c>
      <c r="I46" t="n">
        <v>0</v>
      </c>
      <c r="J46" t="n">
        <v>0</v>
      </c>
      <c r="K46" t="n">
        <v>0</v>
      </c>
      <c r="L46" t="n">
        <v>0</v>
      </c>
      <c r="M46" t="n">
        <v>0</v>
      </c>
      <c r="N46" t="n">
        <v>0</v>
      </c>
      <c r="O46" t="n">
        <v>0</v>
      </c>
      <c r="P46" t="n">
        <v>0</v>
      </c>
      <c r="Q46" t="n">
        <v>0</v>
      </c>
      <c r="R46" s="2" t="inlineStr"/>
    </row>
    <row r="47" ht="15" customHeight="1">
      <c r="A47" t="inlineStr">
        <is>
          <t>A 13201-2021</t>
        </is>
      </c>
      <c r="B47" s="1" t="n">
        <v>44272</v>
      </c>
      <c r="C47" s="1" t="n">
        <v>46077</v>
      </c>
      <c r="D47" t="inlineStr">
        <is>
          <t>UPPSALA LÄN</t>
        </is>
      </c>
      <c r="E47" t="inlineStr">
        <is>
          <t>ENKÖPING</t>
        </is>
      </c>
      <c r="G47" t="n">
        <v>0.1</v>
      </c>
      <c r="H47" t="n">
        <v>0</v>
      </c>
      <c r="I47" t="n">
        <v>0</v>
      </c>
      <c r="J47" t="n">
        <v>0</v>
      </c>
      <c r="K47" t="n">
        <v>0</v>
      </c>
      <c r="L47" t="n">
        <v>0</v>
      </c>
      <c r="M47" t="n">
        <v>0</v>
      </c>
      <c r="N47" t="n">
        <v>0</v>
      </c>
      <c r="O47" t="n">
        <v>0</v>
      </c>
      <c r="P47" t="n">
        <v>0</v>
      </c>
      <c r="Q47" t="n">
        <v>0</v>
      </c>
      <c r="R47" s="2" t="inlineStr"/>
    </row>
    <row r="48" ht="15" customHeight="1">
      <c r="A48" t="inlineStr">
        <is>
          <t>A 14840-2021</t>
        </is>
      </c>
      <c r="B48" s="1" t="n">
        <v>44280</v>
      </c>
      <c r="C48" s="1" t="n">
        <v>46077</v>
      </c>
      <c r="D48" t="inlineStr">
        <is>
          <t>UPPSALA LÄN</t>
        </is>
      </c>
      <c r="E48" t="inlineStr">
        <is>
          <t>ENKÖPING</t>
        </is>
      </c>
      <c r="G48" t="n">
        <v>16</v>
      </c>
      <c r="H48" t="n">
        <v>0</v>
      </c>
      <c r="I48" t="n">
        <v>0</v>
      </c>
      <c r="J48" t="n">
        <v>0</v>
      </c>
      <c r="K48" t="n">
        <v>0</v>
      </c>
      <c r="L48" t="n">
        <v>0</v>
      </c>
      <c r="M48" t="n">
        <v>0</v>
      </c>
      <c r="N48" t="n">
        <v>0</v>
      </c>
      <c r="O48" t="n">
        <v>0</v>
      </c>
      <c r="P48" t="n">
        <v>0</v>
      </c>
      <c r="Q48" t="n">
        <v>0</v>
      </c>
      <c r="R48" s="2" t="inlineStr"/>
    </row>
    <row r="49" ht="15" customHeight="1">
      <c r="A49" t="inlineStr">
        <is>
          <t>A 14841-2021</t>
        </is>
      </c>
      <c r="B49" s="1" t="n">
        <v>44280</v>
      </c>
      <c r="C49" s="1" t="n">
        <v>46077</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16512-2021</t>
        </is>
      </c>
      <c r="B50" s="1" t="n">
        <v>44293.63837962963</v>
      </c>
      <c r="C50" s="1" t="n">
        <v>46077</v>
      </c>
      <c r="D50" t="inlineStr">
        <is>
          <t>UPPSALA LÄN</t>
        </is>
      </c>
      <c r="E50" t="inlineStr">
        <is>
          <t>ENKÖPING</t>
        </is>
      </c>
      <c r="G50" t="n">
        <v>4.7</v>
      </c>
      <c r="H50" t="n">
        <v>0</v>
      </c>
      <c r="I50" t="n">
        <v>0</v>
      </c>
      <c r="J50" t="n">
        <v>0</v>
      </c>
      <c r="K50" t="n">
        <v>0</v>
      </c>
      <c r="L50" t="n">
        <v>0</v>
      </c>
      <c r="M50" t="n">
        <v>0</v>
      </c>
      <c r="N50" t="n">
        <v>0</v>
      </c>
      <c r="O50" t="n">
        <v>0</v>
      </c>
      <c r="P50" t="n">
        <v>0</v>
      </c>
      <c r="Q50" t="n">
        <v>0</v>
      </c>
      <c r="R50" s="2" t="inlineStr"/>
    </row>
    <row r="51" ht="15" customHeight="1">
      <c r="A51" t="inlineStr">
        <is>
          <t>A 39922-2022</t>
        </is>
      </c>
      <c r="B51" s="1" t="n">
        <v>44819</v>
      </c>
      <c r="C51" s="1" t="n">
        <v>46077</v>
      </c>
      <c r="D51" t="inlineStr">
        <is>
          <t>UPPSALA LÄN</t>
        </is>
      </c>
      <c r="E51" t="inlineStr">
        <is>
          <t>ENKÖPING</t>
        </is>
      </c>
      <c r="G51" t="n">
        <v>1.7</v>
      </c>
      <c r="H51" t="n">
        <v>0</v>
      </c>
      <c r="I51" t="n">
        <v>0</v>
      </c>
      <c r="J51" t="n">
        <v>0</v>
      </c>
      <c r="K51" t="n">
        <v>0</v>
      </c>
      <c r="L51" t="n">
        <v>0</v>
      </c>
      <c r="M51" t="n">
        <v>0</v>
      </c>
      <c r="N51" t="n">
        <v>0</v>
      </c>
      <c r="O51" t="n">
        <v>0</v>
      </c>
      <c r="P51" t="n">
        <v>0</v>
      </c>
      <c r="Q51" t="n">
        <v>0</v>
      </c>
      <c r="R51" s="2" t="inlineStr"/>
    </row>
    <row r="52" ht="15" customHeight="1">
      <c r="A52" t="inlineStr">
        <is>
          <t>A 41736-2022</t>
        </is>
      </c>
      <c r="B52" s="1" t="n">
        <v>44827</v>
      </c>
      <c r="C52" s="1" t="n">
        <v>46077</v>
      </c>
      <c r="D52" t="inlineStr">
        <is>
          <t>UPPSALA LÄN</t>
        </is>
      </c>
      <c r="E52" t="inlineStr">
        <is>
          <t>ENKÖPING</t>
        </is>
      </c>
      <c r="G52" t="n">
        <v>0.9</v>
      </c>
      <c r="H52" t="n">
        <v>0</v>
      </c>
      <c r="I52" t="n">
        <v>0</v>
      </c>
      <c r="J52" t="n">
        <v>0</v>
      </c>
      <c r="K52" t="n">
        <v>0</v>
      </c>
      <c r="L52" t="n">
        <v>0</v>
      </c>
      <c r="M52" t="n">
        <v>0</v>
      </c>
      <c r="N52" t="n">
        <v>0</v>
      </c>
      <c r="O52" t="n">
        <v>0</v>
      </c>
      <c r="P52" t="n">
        <v>0</v>
      </c>
      <c r="Q52" t="n">
        <v>0</v>
      </c>
      <c r="R52" s="2" t="inlineStr"/>
    </row>
    <row r="53" ht="15" customHeight="1">
      <c r="A53" t="inlineStr">
        <is>
          <t>A 24399-2021</t>
        </is>
      </c>
      <c r="B53" s="1" t="n">
        <v>44337</v>
      </c>
      <c r="C53" s="1" t="n">
        <v>46077</v>
      </c>
      <c r="D53" t="inlineStr">
        <is>
          <t>UPPSALA LÄN</t>
        </is>
      </c>
      <c r="E53" t="inlineStr">
        <is>
          <t>ENKÖPING</t>
        </is>
      </c>
      <c r="G53" t="n">
        <v>4</v>
      </c>
      <c r="H53" t="n">
        <v>0</v>
      </c>
      <c r="I53" t="n">
        <v>0</v>
      </c>
      <c r="J53" t="n">
        <v>0</v>
      </c>
      <c r="K53" t="n">
        <v>0</v>
      </c>
      <c r="L53" t="n">
        <v>0</v>
      </c>
      <c r="M53" t="n">
        <v>0</v>
      </c>
      <c r="N53" t="n">
        <v>0</v>
      </c>
      <c r="O53" t="n">
        <v>0</v>
      </c>
      <c r="P53" t="n">
        <v>0</v>
      </c>
      <c r="Q53" t="n">
        <v>0</v>
      </c>
      <c r="R53" s="2" t="inlineStr"/>
    </row>
    <row r="54" ht="15" customHeight="1">
      <c r="A54" t="inlineStr">
        <is>
          <t>A 32748-2021</t>
        </is>
      </c>
      <c r="B54" s="1" t="n">
        <v>44375.53055555555</v>
      </c>
      <c r="C54" s="1" t="n">
        <v>46077</v>
      </c>
      <c r="D54" t="inlineStr">
        <is>
          <t>UPPSALA LÄN</t>
        </is>
      </c>
      <c r="E54" t="inlineStr">
        <is>
          <t>ENKÖPING</t>
        </is>
      </c>
      <c r="G54" t="n">
        <v>1.1</v>
      </c>
      <c r="H54" t="n">
        <v>0</v>
      </c>
      <c r="I54" t="n">
        <v>0</v>
      </c>
      <c r="J54" t="n">
        <v>0</v>
      </c>
      <c r="K54" t="n">
        <v>0</v>
      </c>
      <c r="L54" t="n">
        <v>0</v>
      </c>
      <c r="M54" t="n">
        <v>0</v>
      </c>
      <c r="N54" t="n">
        <v>0</v>
      </c>
      <c r="O54" t="n">
        <v>0</v>
      </c>
      <c r="P54" t="n">
        <v>0</v>
      </c>
      <c r="Q54" t="n">
        <v>0</v>
      </c>
      <c r="R54" s="2" t="inlineStr"/>
    </row>
    <row r="55" ht="15" customHeight="1">
      <c r="A55" t="inlineStr">
        <is>
          <t>A 54433-2021</t>
        </is>
      </c>
      <c r="B55" s="1" t="n">
        <v>44473</v>
      </c>
      <c r="C55" s="1" t="n">
        <v>46077</v>
      </c>
      <c r="D55" t="inlineStr">
        <is>
          <t>UPPSALA LÄN</t>
        </is>
      </c>
      <c r="E55" t="inlineStr">
        <is>
          <t>ENKÖPING</t>
        </is>
      </c>
      <c r="G55" t="n">
        <v>1</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46077</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10202-2022</t>
        </is>
      </c>
      <c r="B57" s="1" t="n">
        <v>44622</v>
      </c>
      <c r="C57" s="1" t="n">
        <v>46077</v>
      </c>
      <c r="D57" t="inlineStr">
        <is>
          <t>UPPSALA LÄN</t>
        </is>
      </c>
      <c r="E57" t="inlineStr">
        <is>
          <t>ENKÖPING</t>
        </is>
      </c>
      <c r="G57" t="n">
        <v>5.6</v>
      </c>
      <c r="H57" t="n">
        <v>0</v>
      </c>
      <c r="I57" t="n">
        <v>0</v>
      </c>
      <c r="J57" t="n">
        <v>0</v>
      </c>
      <c r="K57" t="n">
        <v>0</v>
      </c>
      <c r="L57" t="n">
        <v>0</v>
      </c>
      <c r="M57" t="n">
        <v>0</v>
      </c>
      <c r="N57" t="n">
        <v>0</v>
      </c>
      <c r="O57" t="n">
        <v>0</v>
      </c>
      <c r="P57" t="n">
        <v>0</v>
      </c>
      <c r="Q57" t="n">
        <v>0</v>
      </c>
      <c r="R57" s="2" t="inlineStr"/>
    </row>
    <row r="58" ht="15" customHeight="1">
      <c r="A58" t="inlineStr">
        <is>
          <t>A 10207-2022</t>
        </is>
      </c>
      <c r="B58" s="1" t="n">
        <v>44622</v>
      </c>
      <c r="C58" s="1" t="n">
        <v>46077</v>
      </c>
      <c r="D58" t="inlineStr">
        <is>
          <t>UPPSALA LÄN</t>
        </is>
      </c>
      <c r="E58" t="inlineStr">
        <is>
          <t>ENKÖPING</t>
        </is>
      </c>
      <c r="G58" t="n">
        <v>4.9</v>
      </c>
      <c r="H58" t="n">
        <v>0</v>
      </c>
      <c r="I58" t="n">
        <v>0</v>
      </c>
      <c r="J58" t="n">
        <v>0</v>
      </c>
      <c r="K58" t="n">
        <v>0</v>
      </c>
      <c r="L58" t="n">
        <v>0</v>
      </c>
      <c r="M58" t="n">
        <v>0</v>
      </c>
      <c r="N58" t="n">
        <v>0</v>
      </c>
      <c r="O58" t="n">
        <v>0</v>
      </c>
      <c r="P58" t="n">
        <v>0</v>
      </c>
      <c r="Q58" t="n">
        <v>0</v>
      </c>
      <c r="R58" s="2" t="inlineStr"/>
    </row>
    <row r="59" ht="15" customHeight="1">
      <c r="A59" t="inlineStr">
        <is>
          <t>A 17704-2022</t>
        </is>
      </c>
      <c r="B59" s="1" t="n">
        <v>44680.61315972222</v>
      </c>
      <c r="C59" s="1" t="n">
        <v>46077</v>
      </c>
      <c r="D59" t="inlineStr">
        <is>
          <t>UPPSALA LÄN</t>
        </is>
      </c>
      <c r="E59" t="inlineStr">
        <is>
          <t>ENKÖPING</t>
        </is>
      </c>
      <c r="G59" t="n">
        <v>0.8</v>
      </c>
      <c r="H59" t="n">
        <v>0</v>
      </c>
      <c r="I59" t="n">
        <v>0</v>
      </c>
      <c r="J59" t="n">
        <v>0</v>
      </c>
      <c r="K59" t="n">
        <v>0</v>
      </c>
      <c r="L59" t="n">
        <v>0</v>
      </c>
      <c r="M59" t="n">
        <v>0</v>
      </c>
      <c r="N59" t="n">
        <v>0</v>
      </c>
      <c r="O59" t="n">
        <v>0</v>
      </c>
      <c r="P59" t="n">
        <v>0</v>
      </c>
      <c r="Q59" t="n">
        <v>0</v>
      </c>
      <c r="R59" s="2" t="inlineStr"/>
    </row>
    <row r="60" ht="15" customHeight="1">
      <c r="A60" t="inlineStr">
        <is>
          <t>A 48230-2022</t>
        </is>
      </c>
      <c r="B60" s="1" t="n">
        <v>44858.45100694444</v>
      </c>
      <c r="C60" s="1" t="n">
        <v>46077</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14531-2022</t>
        </is>
      </c>
      <c r="B61" s="1" t="n">
        <v>44655</v>
      </c>
      <c r="C61" s="1" t="n">
        <v>46077</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3861-2022</t>
        </is>
      </c>
      <c r="B62" s="1" t="n">
        <v>44587</v>
      </c>
      <c r="C62" s="1" t="n">
        <v>46077</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38005-2022</t>
        </is>
      </c>
      <c r="B63" s="1" t="n">
        <v>44810</v>
      </c>
      <c r="C63" s="1" t="n">
        <v>46077</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46077</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2680-2022</t>
        </is>
      </c>
      <c r="B65" s="1" t="n">
        <v>44580</v>
      </c>
      <c r="C65" s="1" t="n">
        <v>46077</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46077</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29425-2022</t>
        </is>
      </c>
      <c r="B67" s="1" t="n">
        <v>44753.47837962963</v>
      </c>
      <c r="C67" s="1" t="n">
        <v>46077</v>
      </c>
      <c r="D67" t="inlineStr">
        <is>
          <t>UPPSALA LÄN</t>
        </is>
      </c>
      <c r="E67" t="inlineStr">
        <is>
          <t>ENKÖPING</t>
        </is>
      </c>
      <c r="G67" t="n">
        <v>2.5</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46077</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46077</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52896-2022</t>
        </is>
      </c>
      <c r="B70" s="1" t="n">
        <v>44875.5665625</v>
      </c>
      <c r="C70" s="1" t="n">
        <v>46077</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12732-2021</t>
        </is>
      </c>
      <c r="B71" s="1" t="n">
        <v>44270.62864583333</v>
      </c>
      <c r="C71" s="1" t="n">
        <v>46077</v>
      </c>
      <c r="D71" t="inlineStr">
        <is>
          <t>UPPSALA LÄN</t>
        </is>
      </c>
      <c r="E71" t="inlineStr">
        <is>
          <t>ENKÖPING</t>
        </is>
      </c>
      <c r="G71" t="n">
        <v>1.1</v>
      </c>
      <c r="H71" t="n">
        <v>0</v>
      </c>
      <c r="I71" t="n">
        <v>0</v>
      </c>
      <c r="J71" t="n">
        <v>0</v>
      </c>
      <c r="K71" t="n">
        <v>0</v>
      </c>
      <c r="L71" t="n">
        <v>0</v>
      </c>
      <c r="M71" t="n">
        <v>0</v>
      </c>
      <c r="N71" t="n">
        <v>0</v>
      </c>
      <c r="O71" t="n">
        <v>0</v>
      </c>
      <c r="P71" t="n">
        <v>0</v>
      </c>
      <c r="Q71" t="n">
        <v>0</v>
      </c>
      <c r="R71" s="2" t="inlineStr"/>
    </row>
    <row r="72" ht="15" customHeight="1">
      <c r="A72" t="inlineStr">
        <is>
          <t>A 52014-2021</t>
        </is>
      </c>
      <c r="B72" s="1" t="n">
        <v>44463.3425462963</v>
      </c>
      <c r="C72" s="1" t="n">
        <v>46077</v>
      </c>
      <c r="D72" t="inlineStr">
        <is>
          <t>UPPSALA LÄN</t>
        </is>
      </c>
      <c r="E72" t="inlineStr">
        <is>
          <t>ENKÖPING</t>
        </is>
      </c>
      <c r="G72" t="n">
        <v>5.8</v>
      </c>
      <c r="H72" t="n">
        <v>0</v>
      </c>
      <c r="I72" t="n">
        <v>0</v>
      </c>
      <c r="J72" t="n">
        <v>0</v>
      </c>
      <c r="K72" t="n">
        <v>0</v>
      </c>
      <c r="L72" t="n">
        <v>0</v>
      </c>
      <c r="M72" t="n">
        <v>0</v>
      </c>
      <c r="N72" t="n">
        <v>0</v>
      </c>
      <c r="O72" t="n">
        <v>0</v>
      </c>
      <c r="P72" t="n">
        <v>0</v>
      </c>
      <c r="Q72" t="n">
        <v>0</v>
      </c>
      <c r="R72" s="2" t="inlineStr"/>
    </row>
    <row r="73" ht="15" customHeight="1">
      <c r="A73" t="inlineStr">
        <is>
          <t>A 14839-2021</t>
        </is>
      </c>
      <c r="B73" s="1" t="n">
        <v>44280</v>
      </c>
      <c r="C73" s="1" t="n">
        <v>46077</v>
      </c>
      <c r="D73" t="inlineStr">
        <is>
          <t>UPPSALA LÄN</t>
        </is>
      </c>
      <c r="E73" t="inlineStr">
        <is>
          <t>ENKÖPING</t>
        </is>
      </c>
      <c r="G73" t="n">
        <v>11.4</v>
      </c>
      <c r="H73" t="n">
        <v>0</v>
      </c>
      <c r="I73" t="n">
        <v>0</v>
      </c>
      <c r="J73" t="n">
        <v>0</v>
      </c>
      <c r="K73" t="n">
        <v>0</v>
      </c>
      <c r="L73" t="n">
        <v>0</v>
      </c>
      <c r="M73" t="n">
        <v>0</v>
      </c>
      <c r="N73" t="n">
        <v>0</v>
      </c>
      <c r="O73" t="n">
        <v>0</v>
      </c>
      <c r="P73" t="n">
        <v>0</v>
      </c>
      <c r="Q73" t="n">
        <v>0</v>
      </c>
      <c r="R73" s="2" t="inlineStr"/>
    </row>
    <row r="74" ht="15" customHeight="1">
      <c r="A74" t="inlineStr">
        <is>
          <t>A 17264-2021</t>
        </is>
      </c>
      <c r="B74" s="1" t="n">
        <v>44298.56068287037</v>
      </c>
      <c r="C74" s="1" t="n">
        <v>46077</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17268-2021</t>
        </is>
      </c>
      <c r="B75" s="1" t="n">
        <v>44298.56302083333</v>
      </c>
      <c r="C75" s="1" t="n">
        <v>46077</v>
      </c>
      <c r="D75" t="inlineStr">
        <is>
          <t>UPPSALA LÄN</t>
        </is>
      </c>
      <c r="E75" t="inlineStr">
        <is>
          <t>ENKÖPING</t>
        </is>
      </c>
      <c r="G75" t="n">
        <v>0.4</v>
      </c>
      <c r="H75" t="n">
        <v>0</v>
      </c>
      <c r="I75" t="n">
        <v>0</v>
      </c>
      <c r="J75" t="n">
        <v>0</v>
      </c>
      <c r="K75" t="n">
        <v>0</v>
      </c>
      <c r="L75" t="n">
        <v>0</v>
      </c>
      <c r="M75" t="n">
        <v>0</v>
      </c>
      <c r="N75" t="n">
        <v>0</v>
      </c>
      <c r="O75" t="n">
        <v>0</v>
      </c>
      <c r="P75" t="n">
        <v>0</v>
      </c>
      <c r="Q75" t="n">
        <v>0</v>
      </c>
      <c r="R75" s="2" t="inlineStr"/>
    </row>
    <row r="76" ht="15" customHeight="1">
      <c r="A76" t="inlineStr">
        <is>
          <t>A 1979-2022</t>
        </is>
      </c>
      <c r="B76" s="1" t="n">
        <v>44575</v>
      </c>
      <c r="C76" s="1" t="n">
        <v>46077</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40773-2022</t>
        </is>
      </c>
      <c r="B77" s="1" t="n">
        <v>44824.61237268519</v>
      </c>
      <c r="C77" s="1" t="n">
        <v>46077</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15997-2021</t>
        </is>
      </c>
      <c r="B78" s="1" t="n">
        <v>44287</v>
      </c>
      <c r="C78" s="1" t="n">
        <v>46077</v>
      </c>
      <c r="D78" t="inlineStr">
        <is>
          <t>UPPSALA LÄN</t>
        </is>
      </c>
      <c r="E78" t="inlineStr">
        <is>
          <t>ENKÖPING</t>
        </is>
      </c>
      <c r="G78" t="n">
        <v>1.2</v>
      </c>
      <c r="H78" t="n">
        <v>0</v>
      </c>
      <c r="I78" t="n">
        <v>0</v>
      </c>
      <c r="J78" t="n">
        <v>0</v>
      </c>
      <c r="K78" t="n">
        <v>0</v>
      </c>
      <c r="L78" t="n">
        <v>0</v>
      </c>
      <c r="M78" t="n">
        <v>0</v>
      </c>
      <c r="N78" t="n">
        <v>0</v>
      </c>
      <c r="O78" t="n">
        <v>0</v>
      </c>
      <c r="P78" t="n">
        <v>0</v>
      </c>
      <c r="Q78" t="n">
        <v>0</v>
      </c>
      <c r="R78" s="2" t="inlineStr"/>
    </row>
    <row r="79" ht="15" customHeight="1">
      <c r="A79" t="inlineStr">
        <is>
          <t>A 28795-2021</t>
        </is>
      </c>
      <c r="B79" s="1" t="n">
        <v>44357</v>
      </c>
      <c r="C79" s="1" t="n">
        <v>46077</v>
      </c>
      <c r="D79" t="inlineStr">
        <is>
          <t>UPPSALA LÄN</t>
        </is>
      </c>
      <c r="E79" t="inlineStr">
        <is>
          <t>ENKÖPING</t>
        </is>
      </c>
      <c r="F79" t="inlineStr">
        <is>
          <t>Allmännings- och besparingsskogar</t>
        </is>
      </c>
      <c r="G79" t="n">
        <v>2.8</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46077</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69791-2021</t>
        </is>
      </c>
      <c r="B81" s="1" t="n">
        <v>44532</v>
      </c>
      <c r="C81" s="1" t="n">
        <v>46077</v>
      </c>
      <c r="D81" t="inlineStr">
        <is>
          <t>UPPSALA LÄN</t>
        </is>
      </c>
      <c r="E81" t="inlineStr">
        <is>
          <t>ENKÖPING</t>
        </is>
      </c>
      <c r="G81" t="n">
        <v>0.8</v>
      </c>
      <c r="H81" t="n">
        <v>0</v>
      </c>
      <c r="I81" t="n">
        <v>0</v>
      </c>
      <c r="J81" t="n">
        <v>0</v>
      </c>
      <c r="K81" t="n">
        <v>0</v>
      </c>
      <c r="L81" t="n">
        <v>0</v>
      </c>
      <c r="M81" t="n">
        <v>0</v>
      </c>
      <c r="N81" t="n">
        <v>0</v>
      </c>
      <c r="O81" t="n">
        <v>0</v>
      </c>
      <c r="P81" t="n">
        <v>0</v>
      </c>
      <c r="Q81" t="n">
        <v>0</v>
      </c>
      <c r="R81" s="2" t="inlineStr"/>
    </row>
    <row r="82" ht="15" customHeight="1">
      <c r="A82" t="inlineStr">
        <is>
          <t>A 11688-2021</t>
        </is>
      </c>
      <c r="B82" s="1" t="n">
        <v>44264</v>
      </c>
      <c r="C82" s="1" t="n">
        <v>46077</v>
      </c>
      <c r="D82" t="inlineStr">
        <is>
          <t>UPPSALA LÄN</t>
        </is>
      </c>
      <c r="E82" t="inlineStr">
        <is>
          <t>ENKÖPING</t>
        </is>
      </c>
      <c r="G82" t="n">
        <v>4.7</v>
      </c>
      <c r="H82" t="n">
        <v>0</v>
      </c>
      <c r="I82" t="n">
        <v>0</v>
      </c>
      <c r="J82" t="n">
        <v>0</v>
      </c>
      <c r="K82" t="n">
        <v>0</v>
      </c>
      <c r="L82" t="n">
        <v>0</v>
      </c>
      <c r="M82" t="n">
        <v>0</v>
      </c>
      <c r="N82" t="n">
        <v>0</v>
      </c>
      <c r="O82" t="n">
        <v>0</v>
      </c>
      <c r="P82" t="n">
        <v>0</v>
      </c>
      <c r="Q82" t="n">
        <v>0</v>
      </c>
      <c r="R82" s="2" t="inlineStr"/>
    </row>
    <row r="83" ht="15" customHeight="1">
      <c r="A83" t="inlineStr">
        <is>
          <t>A 12538-2021</t>
        </is>
      </c>
      <c r="B83" s="1" t="n">
        <v>44269</v>
      </c>
      <c r="C83" s="1" t="n">
        <v>46077</v>
      </c>
      <c r="D83" t="inlineStr">
        <is>
          <t>UPPSALA LÄN</t>
        </is>
      </c>
      <c r="E83" t="inlineStr">
        <is>
          <t>ENKÖPING</t>
        </is>
      </c>
      <c r="G83" t="n">
        <v>3.3</v>
      </c>
      <c r="H83" t="n">
        <v>0</v>
      </c>
      <c r="I83" t="n">
        <v>0</v>
      </c>
      <c r="J83" t="n">
        <v>0</v>
      </c>
      <c r="K83" t="n">
        <v>0</v>
      </c>
      <c r="L83" t="n">
        <v>0</v>
      </c>
      <c r="M83" t="n">
        <v>0</v>
      </c>
      <c r="N83" t="n">
        <v>0</v>
      </c>
      <c r="O83" t="n">
        <v>0</v>
      </c>
      <c r="P83" t="n">
        <v>0</v>
      </c>
      <c r="Q83" t="n">
        <v>0</v>
      </c>
      <c r="R83" s="2" t="inlineStr"/>
    </row>
    <row r="84" ht="15" customHeight="1">
      <c r="A84" t="inlineStr">
        <is>
          <t>A 49375-2021</t>
        </is>
      </c>
      <c r="B84" s="1" t="n">
        <v>44454</v>
      </c>
      <c r="C84" s="1" t="n">
        <v>46077</v>
      </c>
      <c r="D84" t="inlineStr">
        <is>
          <t>UPPSALA LÄN</t>
        </is>
      </c>
      <c r="E84" t="inlineStr">
        <is>
          <t>ENKÖPING</t>
        </is>
      </c>
      <c r="G84" t="n">
        <v>0.7</v>
      </c>
      <c r="H84" t="n">
        <v>0</v>
      </c>
      <c r="I84" t="n">
        <v>0</v>
      </c>
      <c r="J84" t="n">
        <v>0</v>
      </c>
      <c r="K84" t="n">
        <v>0</v>
      </c>
      <c r="L84" t="n">
        <v>0</v>
      </c>
      <c r="M84" t="n">
        <v>0</v>
      </c>
      <c r="N84" t="n">
        <v>0</v>
      </c>
      <c r="O84" t="n">
        <v>0</v>
      </c>
      <c r="P84" t="n">
        <v>0</v>
      </c>
      <c r="Q84" t="n">
        <v>0</v>
      </c>
      <c r="R84" s="2" t="inlineStr"/>
    </row>
    <row r="85" ht="15" customHeight="1">
      <c r="A85" t="inlineStr">
        <is>
          <t>A 498-2022</t>
        </is>
      </c>
      <c r="B85" s="1" t="n">
        <v>44566</v>
      </c>
      <c r="C85" s="1" t="n">
        <v>46077</v>
      </c>
      <c r="D85" t="inlineStr">
        <is>
          <t>UPPSALA LÄN</t>
        </is>
      </c>
      <c r="E85" t="inlineStr">
        <is>
          <t>ENKÖPING</t>
        </is>
      </c>
      <c r="F85" t="inlineStr">
        <is>
          <t>Övriga statliga verk och myndigheter</t>
        </is>
      </c>
      <c r="G85" t="n">
        <v>11.1</v>
      </c>
      <c r="H85" t="n">
        <v>0</v>
      </c>
      <c r="I85" t="n">
        <v>0</v>
      </c>
      <c r="J85" t="n">
        <v>0</v>
      </c>
      <c r="K85" t="n">
        <v>0</v>
      </c>
      <c r="L85" t="n">
        <v>0</v>
      </c>
      <c r="M85" t="n">
        <v>0</v>
      </c>
      <c r="N85" t="n">
        <v>0</v>
      </c>
      <c r="O85" t="n">
        <v>0</v>
      </c>
      <c r="P85" t="n">
        <v>0</v>
      </c>
      <c r="Q85" t="n">
        <v>0</v>
      </c>
      <c r="R85" s="2" t="inlineStr"/>
    </row>
    <row r="86" ht="15" customHeight="1">
      <c r="A86" t="inlineStr">
        <is>
          <t>A 16967-2022</t>
        </is>
      </c>
      <c r="B86" s="1" t="n">
        <v>44676</v>
      </c>
      <c r="C86" s="1" t="n">
        <v>46077</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57055-2021</t>
        </is>
      </c>
      <c r="B87" s="1" t="n">
        <v>44482.55201388889</v>
      </c>
      <c r="C87" s="1" t="n">
        <v>46077</v>
      </c>
      <c r="D87" t="inlineStr">
        <is>
          <t>UPPSALA LÄN</t>
        </is>
      </c>
      <c r="E87" t="inlineStr">
        <is>
          <t>ENKÖPING</t>
        </is>
      </c>
      <c r="G87" t="n">
        <v>3.3</v>
      </c>
      <c r="H87" t="n">
        <v>0</v>
      </c>
      <c r="I87" t="n">
        <v>0</v>
      </c>
      <c r="J87" t="n">
        <v>0</v>
      </c>
      <c r="K87" t="n">
        <v>0</v>
      </c>
      <c r="L87" t="n">
        <v>0</v>
      </c>
      <c r="M87" t="n">
        <v>0</v>
      </c>
      <c r="N87" t="n">
        <v>0</v>
      </c>
      <c r="O87" t="n">
        <v>0</v>
      </c>
      <c r="P87" t="n">
        <v>0</v>
      </c>
      <c r="Q87" t="n">
        <v>0</v>
      </c>
      <c r="R87" s="2" t="inlineStr"/>
    </row>
    <row r="88" ht="15" customHeight="1">
      <c r="A88" t="inlineStr">
        <is>
          <t>A 68107-2021</t>
        </is>
      </c>
      <c r="B88" s="1" t="n">
        <v>44526</v>
      </c>
      <c r="C88" s="1" t="n">
        <v>46077</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60874-2021</t>
        </is>
      </c>
      <c r="B89" s="1" t="n">
        <v>44497</v>
      </c>
      <c r="C89" s="1" t="n">
        <v>46077</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31013-2022</t>
        </is>
      </c>
      <c r="B90" s="1" t="n">
        <v>44768</v>
      </c>
      <c r="C90" s="1" t="n">
        <v>46077</v>
      </c>
      <c r="D90" t="inlineStr">
        <is>
          <t>UPPSALA LÄN</t>
        </is>
      </c>
      <c r="E90" t="inlineStr">
        <is>
          <t>ENKÖPING</t>
        </is>
      </c>
      <c r="F90" t="inlineStr">
        <is>
          <t>Allmännings- och besparingsskogar</t>
        </is>
      </c>
      <c r="G90" t="n">
        <v>0.5</v>
      </c>
      <c r="H90" t="n">
        <v>0</v>
      </c>
      <c r="I90" t="n">
        <v>0</v>
      </c>
      <c r="J90" t="n">
        <v>0</v>
      </c>
      <c r="K90" t="n">
        <v>0</v>
      </c>
      <c r="L90" t="n">
        <v>0</v>
      </c>
      <c r="M90" t="n">
        <v>0</v>
      </c>
      <c r="N90" t="n">
        <v>0</v>
      </c>
      <c r="O90" t="n">
        <v>0</v>
      </c>
      <c r="P90" t="n">
        <v>0</v>
      </c>
      <c r="Q90" t="n">
        <v>0</v>
      </c>
      <c r="R90" s="2" t="inlineStr"/>
    </row>
    <row r="91" ht="15" customHeight="1">
      <c r="A91" t="inlineStr">
        <is>
          <t>A 42029-2021</t>
        </is>
      </c>
      <c r="B91" s="1" t="n">
        <v>44426</v>
      </c>
      <c r="C91" s="1" t="n">
        <v>46077</v>
      </c>
      <c r="D91" t="inlineStr">
        <is>
          <t>UPPSALA LÄN</t>
        </is>
      </c>
      <c r="E91" t="inlineStr">
        <is>
          <t>ENKÖPING</t>
        </is>
      </c>
      <c r="G91" t="n">
        <v>5.3</v>
      </c>
      <c r="H91" t="n">
        <v>0</v>
      </c>
      <c r="I91" t="n">
        <v>0</v>
      </c>
      <c r="J91" t="n">
        <v>0</v>
      </c>
      <c r="K91" t="n">
        <v>0</v>
      </c>
      <c r="L91" t="n">
        <v>0</v>
      </c>
      <c r="M91" t="n">
        <v>0</v>
      </c>
      <c r="N91" t="n">
        <v>0</v>
      </c>
      <c r="O91" t="n">
        <v>0</v>
      </c>
      <c r="P91" t="n">
        <v>0</v>
      </c>
      <c r="Q91" t="n">
        <v>0</v>
      </c>
      <c r="R91" s="2" t="inlineStr"/>
    </row>
    <row r="92" ht="15" customHeight="1">
      <c r="A92" t="inlineStr">
        <is>
          <t>A 1965-2022</t>
        </is>
      </c>
      <c r="B92" s="1" t="n">
        <v>44575</v>
      </c>
      <c r="C92" s="1" t="n">
        <v>46077</v>
      </c>
      <c r="D92" t="inlineStr">
        <is>
          <t>UPPSALA LÄN</t>
        </is>
      </c>
      <c r="E92" t="inlineStr">
        <is>
          <t>ENKÖPING</t>
        </is>
      </c>
      <c r="G92" t="n">
        <v>0.7</v>
      </c>
      <c r="H92" t="n">
        <v>0</v>
      </c>
      <c r="I92" t="n">
        <v>0</v>
      </c>
      <c r="J92" t="n">
        <v>0</v>
      </c>
      <c r="K92" t="n">
        <v>0</v>
      </c>
      <c r="L92" t="n">
        <v>0</v>
      </c>
      <c r="M92" t="n">
        <v>0</v>
      </c>
      <c r="N92" t="n">
        <v>0</v>
      </c>
      <c r="O92" t="n">
        <v>0</v>
      </c>
      <c r="P92" t="n">
        <v>0</v>
      </c>
      <c r="Q92" t="n">
        <v>0</v>
      </c>
      <c r="R92" s="2" t="inlineStr"/>
    </row>
    <row r="93" ht="15" customHeight="1">
      <c r="A93" t="inlineStr">
        <is>
          <t>A 15021-2022</t>
        </is>
      </c>
      <c r="B93" s="1" t="n">
        <v>44657</v>
      </c>
      <c r="C93" s="1" t="n">
        <v>46077</v>
      </c>
      <c r="D93" t="inlineStr">
        <is>
          <t>UPPSALA LÄN</t>
        </is>
      </c>
      <c r="E93" t="inlineStr">
        <is>
          <t>ENKÖPING</t>
        </is>
      </c>
      <c r="G93" t="n">
        <v>1.1</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46077</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46077</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57043-2021</t>
        </is>
      </c>
      <c r="B96" s="1" t="n">
        <v>44482.53399305556</v>
      </c>
      <c r="C96" s="1" t="n">
        <v>46077</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15924-2022</t>
        </is>
      </c>
      <c r="B97" s="1" t="n">
        <v>44664</v>
      </c>
      <c r="C97" s="1" t="n">
        <v>46077</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15943-2022</t>
        </is>
      </c>
      <c r="B98" s="1" t="n">
        <v>44664.66428240741</v>
      </c>
      <c r="C98" s="1" t="n">
        <v>46077</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47106-2021</t>
        </is>
      </c>
      <c r="B99" s="1" t="n">
        <v>44446</v>
      </c>
      <c r="C99" s="1" t="n">
        <v>46077</v>
      </c>
      <c r="D99" t="inlineStr">
        <is>
          <t>UPPSALA LÄN</t>
        </is>
      </c>
      <c r="E99" t="inlineStr">
        <is>
          <t>ENKÖPING</t>
        </is>
      </c>
      <c r="G99" t="n">
        <v>7.6</v>
      </c>
      <c r="H99" t="n">
        <v>0</v>
      </c>
      <c r="I99" t="n">
        <v>0</v>
      </c>
      <c r="J99" t="n">
        <v>0</v>
      </c>
      <c r="K99" t="n">
        <v>0</v>
      </c>
      <c r="L99" t="n">
        <v>0</v>
      </c>
      <c r="M99" t="n">
        <v>0</v>
      </c>
      <c r="N99" t="n">
        <v>0</v>
      </c>
      <c r="O99" t="n">
        <v>0</v>
      </c>
      <c r="P99" t="n">
        <v>0</v>
      </c>
      <c r="Q99" t="n">
        <v>0</v>
      </c>
      <c r="R99" s="2" t="inlineStr"/>
    </row>
    <row r="100" ht="15" customHeight="1">
      <c r="A100" t="inlineStr">
        <is>
          <t>A 19731-2022</t>
        </is>
      </c>
      <c r="B100" s="1" t="n">
        <v>44694</v>
      </c>
      <c r="C100" s="1" t="n">
        <v>46077</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46077</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46077</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46077</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46077</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46077</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46077</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46077</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59121-2021</t>
        </is>
      </c>
      <c r="B108" s="1" t="n">
        <v>44490</v>
      </c>
      <c r="C108" s="1" t="n">
        <v>46077</v>
      </c>
      <c r="D108" t="inlineStr">
        <is>
          <t>UPPSALA LÄN</t>
        </is>
      </c>
      <c r="E108" t="inlineStr">
        <is>
          <t>ENKÖPING</t>
        </is>
      </c>
      <c r="G108" t="n">
        <v>2.4</v>
      </c>
      <c r="H108" t="n">
        <v>0</v>
      </c>
      <c r="I108" t="n">
        <v>0</v>
      </c>
      <c r="J108" t="n">
        <v>0</v>
      </c>
      <c r="K108" t="n">
        <v>0</v>
      </c>
      <c r="L108" t="n">
        <v>0</v>
      </c>
      <c r="M108" t="n">
        <v>0</v>
      </c>
      <c r="N108" t="n">
        <v>0</v>
      </c>
      <c r="O108" t="n">
        <v>0</v>
      </c>
      <c r="P108" t="n">
        <v>0</v>
      </c>
      <c r="Q108" t="n">
        <v>0</v>
      </c>
      <c r="R108" s="2" t="inlineStr"/>
    </row>
    <row r="109" ht="15" customHeight="1">
      <c r="A109" t="inlineStr">
        <is>
          <t>A 31965-2021</t>
        </is>
      </c>
      <c r="B109" s="1" t="n">
        <v>44370.56901620371</v>
      </c>
      <c r="C109" s="1" t="n">
        <v>46077</v>
      </c>
      <c r="D109" t="inlineStr">
        <is>
          <t>UPPSALA LÄN</t>
        </is>
      </c>
      <c r="E109" t="inlineStr">
        <is>
          <t>ENKÖPING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10468-2025</t>
        </is>
      </c>
      <c r="B110" s="1" t="n">
        <v>45720</v>
      </c>
      <c r="C110" s="1" t="n">
        <v>46077</v>
      </c>
      <c r="D110" t="inlineStr">
        <is>
          <t>UPPSALA LÄN</t>
        </is>
      </c>
      <c r="E110" t="inlineStr">
        <is>
          <t>ENKÖPING</t>
        </is>
      </c>
      <c r="G110" t="n">
        <v>1.6</v>
      </c>
      <c r="H110" t="n">
        <v>0</v>
      </c>
      <c r="I110" t="n">
        <v>0</v>
      </c>
      <c r="J110" t="n">
        <v>0</v>
      </c>
      <c r="K110" t="n">
        <v>0</v>
      </c>
      <c r="L110" t="n">
        <v>0</v>
      </c>
      <c r="M110" t="n">
        <v>0</v>
      </c>
      <c r="N110" t="n">
        <v>0</v>
      </c>
      <c r="O110" t="n">
        <v>0</v>
      </c>
      <c r="P110" t="n">
        <v>0</v>
      </c>
      <c r="Q110" t="n">
        <v>0</v>
      </c>
      <c r="R110" s="2" t="inlineStr"/>
    </row>
    <row r="111" ht="15" customHeight="1">
      <c r="A111" t="inlineStr">
        <is>
          <t>A 43488-2023</t>
        </is>
      </c>
      <c r="B111" s="1" t="n">
        <v>45181</v>
      </c>
      <c r="C111" s="1" t="n">
        <v>46077</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12755-2025</t>
        </is>
      </c>
      <c r="B112" s="1" t="n">
        <v>45733.56541666666</v>
      </c>
      <c r="C112" s="1" t="n">
        <v>46077</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29983-2021</t>
        </is>
      </c>
      <c r="B113" s="1" t="n">
        <v>44363</v>
      </c>
      <c r="C113" s="1" t="n">
        <v>46077</v>
      </c>
      <c r="D113" t="inlineStr">
        <is>
          <t>UPPSALA LÄN</t>
        </is>
      </c>
      <c r="E113" t="inlineStr">
        <is>
          <t>ENKÖPING</t>
        </is>
      </c>
      <c r="F113" t="inlineStr">
        <is>
          <t>Kommuner</t>
        </is>
      </c>
      <c r="G113" t="n">
        <v>3.1</v>
      </c>
      <c r="H113" t="n">
        <v>0</v>
      </c>
      <c r="I113" t="n">
        <v>0</v>
      </c>
      <c r="J113" t="n">
        <v>0</v>
      </c>
      <c r="K113" t="n">
        <v>0</v>
      </c>
      <c r="L113" t="n">
        <v>0</v>
      </c>
      <c r="M113" t="n">
        <v>0</v>
      </c>
      <c r="N113" t="n">
        <v>0</v>
      </c>
      <c r="O113" t="n">
        <v>0</v>
      </c>
      <c r="P113" t="n">
        <v>0</v>
      </c>
      <c r="Q113" t="n">
        <v>0</v>
      </c>
      <c r="R113" s="2" t="inlineStr"/>
    </row>
    <row r="114" ht="15" customHeight="1">
      <c r="A114" t="inlineStr">
        <is>
          <t>A 43506-2023</t>
        </is>
      </c>
      <c r="B114" s="1" t="n">
        <v>45181</v>
      </c>
      <c r="C114" s="1" t="n">
        <v>46077</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4044-2024</t>
        </is>
      </c>
      <c r="B115" s="1" t="n">
        <v>45323.45954861111</v>
      </c>
      <c r="C115" s="1" t="n">
        <v>46077</v>
      </c>
      <c r="D115" t="inlineStr">
        <is>
          <t>UPPSALA LÄN</t>
        </is>
      </c>
      <c r="E115" t="inlineStr">
        <is>
          <t>ENKÖPING</t>
        </is>
      </c>
      <c r="G115" t="n">
        <v>2.1</v>
      </c>
      <c r="H115" t="n">
        <v>0</v>
      </c>
      <c r="I115" t="n">
        <v>0</v>
      </c>
      <c r="J115" t="n">
        <v>0</v>
      </c>
      <c r="K115" t="n">
        <v>0</v>
      </c>
      <c r="L115" t="n">
        <v>0</v>
      </c>
      <c r="M115" t="n">
        <v>0</v>
      </c>
      <c r="N115" t="n">
        <v>0</v>
      </c>
      <c r="O115" t="n">
        <v>0</v>
      </c>
      <c r="P115" t="n">
        <v>0</v>
      </c>
      <c r="Q115" t="n">
        <v>0</v>
      </c>
      <c r="R115" s="2" t="inlineStr"/>
    </row>
    <row r="116" ht="15" customHeight="1">
      <c r="A116" t="inlineStr">
        <is>
          <t>A 5211-2024</t>
        </is>
      </c>
      <c r="B116" s="1" t="n">
        <v>45330</v>
      </c>
      <c r="C116" s="1" t="n">
        <v>46077</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14004-2023</t>
        </is>
      </c>
      <c r="B117" s="1" t="n">
        <v>45008</v>
      </c>
      <c r="C117" s="1" t="n">
        <v>46077</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25334-2023</t>
        </is>
      </c>
      <c r="B118" s="1" t="n">
        <v>45083</v>
      </c>
      <c r="C118" s="1" t="n">
        <v>46077</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51012-2024</t>
        </is>
      </c>
      <c r="B119" s="1" t="n">
        <v>45603.39686342593</v>
      </c>
      <c r="C119" s="1" t="n">
        <v>46077</v>
      </c>
      <c r="D119" t="inlineStr">
        <is>
          <t>UPPSALA LÄN</t>
        </is>
      </c>
      <c r="E119" t="inlineStr">
        <is>
          <t>ENKÖPING</t>
        </is>
      </c>
      <c r="G119" t="n">
        <v>2.7</v>
      </c>
      <c r="H119" t="n">
        <v>0</v>
      </c>
      <c r="I119" t="n">
        <v>0</v>
      </c>
      <c r="J119" t="n">
        <v>0</v>
      </c>
      <c r="K119" t="n">
        <v>0</v>
      </c>
      <c r="L119" t="n">
        <v>0</v>
      </c>
      <c r="M119" t="n">
        <v>0</v>
      </c>
      <c r="N119" t="n">
        <v>0</v>
      </c>
      <c r="O119" t="n">
        <v>0</v>
      </c>
      <c r="P119" t="n">
        <v>0</v>
      </c>
      <c r="Q119" t="n">
        <v>0</v>
      </c>
      <c r="R119" s="2" t="inlineStr"/>
    </row>
    <row r="120" ht="15" customHeight="1">
      <c r="A120" t="inlineStr">
        <is>
          <t>A 46103-2023</t>
        </is>
      </c>
      <c r="B120" s="1" t="n">
        <v>45190</v>
      </c>
      <c r="C120" s="1" t="n">
        <v>46077</v>
      </c>
      <c r="D120" t="inlineStr">
        <is>
          <t>UPPSALA LÄN</t>
        </is>
      </c>
      <c r="E120" t="inlineStr">
        <is>
          <t>ENKÖPING</t>
        </is>
      </c>
      <c r="G120" t="n">
        <v>4.6</v>
      </c>
      <c r="H120" t="n">
        <v>0</v>
      </c>
      <c r="I120" t="n">
        <v>0</v>
      </c>
      <c r="J120" t="n">
        <v>0</v>
      </c>
      <c r="K120" t="n">
        <v>0</v>
      </c>
      <c r="L120" t="n">
        <v>0</v>
      </c>
      <c r="M120" t="n">
        <v>0</v>
      </c>
      <c r="N120" t="n">
        <v>0</v>
      </c>
      <c r="O120" t="n">
        <v>0</v>
      </c>
      <c r="P120" t="n">
        <v>0</v>
      </c>
      <c r="Q120" t="n">
        <v>0</v>
      </c>
      <c r="R120" s="2" t="inlineStr"/>
    </row>
    <row r="121" ht="15" customHeight="1">
      <c r="A121" t="inlineStr">
        <is>
          <t>A 33349-2024</t>
        </is>
      </c>
      <c r="B121" s="1" t="n">
        <v>45519</v>
      </c>
      <c r="C121" s="1" t="n">
        <v>46077</v>
      </c>
      <c r="D121" t="inlineStr">
        <is>
          <t>UPPSALA LÄN</t>
        </is>
      </c>
      <c r="E121" t="inlineStr">
        <is>
          <t>ENKÖPING</t>
        </is>
      </c>
      <c r="G121" t="n">
        <v>3.6</v>
      </c>
      <c r="H121" t="n">
        <v>0</v>
      </c>
      <c r="I121" t="n">
        <v>0</v>
      </c>
      <c r="J121" t="n">
        <v>0</v>
      </c>
      <c r="K121" t="n">
        <v>0</v>
      </c>
      <c r="L121" t="n">
        <v>0</v>
      </c>
      <c r="M121" t="n">
        <v>0</v>
      </c>
      <c r="N121" t="n">
        <v>0</v>
      </c>
      <c r="O121" t="n">
        <v>0</v>
      </c>
      <c r="P121" t="n">
        <v>0</v>
      </c>
      <c r="Q121" t="n">
        <v>0</v>
      </c>
      <c r="R121" s="2" t="inlineStr"/>
    </row>
    <row r="122" ht="15" customHeight="1">
      <c r="A122" t="inlineStr">
        <is>
          <t>A 40812-2022</t>
        </is>
      </c>
      <c r="B122" s="1" t="n">
        <v>44824.68791666667</v>
      </c>
      <c r="C122" s="1" t="n">
        <v>46077</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41828-2024</t>
        </is>
      </c>
      <c r="B123" s="1" t="n">
        <v>45561</v>
      </c>
      <c r="C123" s="1" t="n">
        <v>46077</v>
      </c>
      <c r="D123" t="inlineStr">
        <is>
          <t>UPPSALA LÄN</t>
        </is>
      </c>
      <c r="E123" t="inlineStr">
        <is>
          <t>ENKÖPING</t>
        </is>
      </c>
      <c r="G123" t="n">
        <v>2.5</v>
      </c>
      <c r="H123" t="n">
        <v>0</v>
      </c>
      <c r="I123" t="n">
        <v>0</v>
      </c>
      <c r="J123" t="n">
        <v>0</v>
      </c>
      <c r="K123" t="n">
        <v>0</v>
      </c>
      <c r="L123" t="n">
        <v>0</v>
      </c>
      <c r="M123" t="n">
        <v>0</v>
      </c>
      <c r="N123" t="n">
        <v>0</v>
      </c>
      <c r="O123" t="n">
        <v>0</v>
      </c>
      <c r="P123" t="n">
        <v>0</v>
      </c>
      <c r="Q123" t="n">
        <v>0</v>
      </c>
      <c r="R123" s="2" t="inlineStr"/>
    </row>
    <row r="124" ht="15" customHeight="1">
      <c r="A124" t="inlineStr">
        <is>
          <t>A 24291-2024</t>
        </is>
      </c>
      <c r="B124" s="1" t="n">
        <v>45457.4584837963</v>
      </c>
      <c r="C124" s="1" t="n">
        <v>46077</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25333-2023</t>
        </is>
      </c>
      <c r="B125" s="1" t="n">
        <v>45083</v>
      </c>
      <c r="C125" s="1" t="n">
        <v>46077</v>
      </c>
      <c r="D125" t="inlineStr">
        <is>
          <t>UPPSALA LÄN</t>
        </is>
      </c>
      <c r="E125" t="inlineStr">
        <is>
          <t>ENKÖPING</t>
        </is>
      </c>
      <c r="G125" t="n">
        <v>2.7</v>
      </c>
      <c r="H125" t="n">
        <v>0</v>
      </c>
      <c r="I125" t="n">
        <v>0</v>
      </c>
      <c r="J125" t="n">
        <v>0</v>
      </c>
      <c r="K125" t="n">
        <v>0</v>
      </c>
      <c r="L125" t="n">
        <v>0</v>
      </c>
      <c r="M125" t="n">
        <v>0</v>
      </c>
      <c r="N125" t="n">
        <v>0</v>
      </c>
      <c r="O125" t="n">
        <v>0</v>
      </c>
      <c r="P125" t="n">
        <v>0</v>
      </c>
      <c r="Q125" t="n">
        <v>0</v>
      </c>
      <c r="R125" s="2" t="inlineStr"/>
    </row>
    <row r="126" ht="15" customHeight="1">
      <c r="A126" t="inlineStr">
        <is>
          <t>A 53587-2024</t>
        </is>
      </c>
      <c r="B126" s="1" t="n">
        <v>45614.66953703704</v>
      </c>
      <c r="C126" s="1" t="n">
        <v>46077</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10465-2022</t>
        </is>
      </c>
      <c r="B127" s="1" t="n">
        <v>44623</v>
      </c>
      <c r="C127" s="1" t="n">
        <v>46077</v>
      </c>
      <c r="D127" t="inlineStr">
        <is>
          <t>UPPSALA LÄN</t>
        </is>
      </c>
      <c r="E127" t="inlineStr">
        <is>
          <t>ENKÖPING</t>
        </is>
      </c>
      <c r="G127" t="n">
        <v>1.7</v>
      </c>
      <c r="H127" t="n">
        <v>0</v>
      </c>
      <c r="I127" t="n">
        <v>0</v>
      </c>
      <c r="J127" t="n">
        <v>0</v>
      </c>
      <c r="K127" t="n">
        <v>0</v>
      </c>
      <c r="L127" t="n">
        <v>0</v>
      </c>
      <c r="M127" t="n">
        <v>0</v>
      </c>
      <c r="N127" t="n">
        <v>0</v>
      </c>
      <c r="O127" t="n">
        <v>0</v>
      </c>
      <c r="P127" t="n">
        <v>0</v>
      </c>
      <c r="Q127" t="n">
        <v>0</v>
      </c>
      <c r="R127" s="2" t="inlineStr"/>
    </row>
    <row r="128" ht="15" customHeight="1">
      <c r="A128" t="inlineStr">
        <is>
          <t>A 50747-2022</t>
        </is>
      </c>
      <c r="B128" s="1" t="n">
        <v>44867.40162037037</v>
      </c>
      <c r="C128" s="1" t="n">
        <v>46077</v>
      </c>
      <c r="D128" t="inlineStr">
        <is>
          <t>UPPSALA LÄN</t>
        </is>
      </c>
      <c r="E128" t="inlineStr">
        <is>
          <t>ENKÖPING</t>
        </is>
      </c>
      <c r="G128" t="n">
        <v>1.5</v>
      </c>
      <c r="H128" t="n">
        <v>0</v>
      </c>
      <c r="I128" t="n">
        <v>0</v>
      </c>
      <c r="J128" t="n">
        <v>0</v>
      </c>
      <c r="K128" t="n">
        <v>0</v>
      </c>
      <c r="L128" t="n">
        <v>0</v>
      </c>
      <c r="M128" t="n">
        <v>0</v>
      </c>
      <c r="N128" t="n">
        <v>0</v>
      </c>
      <c r="O128" t="n">
        <v>0</v>
      </c>
      <c r="P128" t="n">
        <v>0</v>
      </c>
      <c r="Q128" t="n">
        <v>0</v>
      </c>
      <c r="R128" s="2" t="inlineStr"/>
    </row>
    <row r="129" ht="15" customHeight="1">
      <c r="A129" t="inlineStr">
        <is>
          <t>A 57152-2021</t>
        </is>
      </c>
      <c r="B129" s="1" t="n">
        <v>44482</v>
      </c>
      <c r="C129" s="1" t="n">
        <v>46077</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30437-2022</t>
        </is>
      </c>
      <c r="B130" s="1" t="n">
        <v>44761</v>
      </c>
      <c r="C130" s="1" t="n">
        <v>46077</v>
      </c>
      <c r="D130" t="inlineStr">
        <is>
          <t>UPPSALA LÄN</t>
        </is>
      </c>
      <c r="E130" t="inlineStr">
        <is>
          <t>ENKÖPING</t>
        </is>
      </c>
      <c r="G130" t="n">
        <v>3.4</v>
      </c>
      <c r="H130" t="n">
        <v>0</v>
      </c>
      <c r="I130" t="n">
        <v>0</v>
      </c>
      <c r="J130" t="n">
        <v>0</v>
      </c>
      <c r="K130" t="n">
        <v>0</v>
      </c>
      <c r="L130" t="n">
        <v>0</v>
      </c>
      <c r="M130" t="n">
        <v>0</v>
      </c>
      <c r="N130" t="n">
        <v>0</v>
      </c>
      <c r="O130" t="n">
        <v>0</v>
      </c>
      <c r="P130" t="n">
        <v>0</v>
      </c>
      <c r="Q130" t="n">
        <v>0</v>
      </c>
      <c r="R130" s="2" t="inlineStr"/>
    </row>
    <row r="131" ht="15" customHeight="1">
      <c r="A131" t="inlineStr">
        <is>
          <t>A 12572-2021</t>
        </is>
      </c>
      <c r="B131" s="1" t="n">
        <v>44270.36438657407</v>
      </c>
      <c r="C131" s="1" t="n">
        <v>46077</v>
      </c>
      <c r="D131" t="inlineStr">
        <is>
          <t>UPPSALA LÄN</t>
        </is>
      </c>
      <c r="E131" t="inlineStr">
        <is>
          <t>ENKÖPING</t>
        </is>
      </c>
      <c r="G131" t="n">
        <v>3.3</v>
      </c>
      <c r="H131" t="n">
        <v>0</v>
      </c>
      <c r="I131" t="n">
        <v>0</v>
      </c>
      <c r="J131" t="n">
        <v>0</v>
      </c>
      <c r="K131" t="n">
        <v>0</v>
      </c>
      <c r="L131" t="n">
        <v>0</v>
      </c>
      <c r="M131" t="n">
        <v>0</v>
      </c>
      <c r="N131" t="n">
        <v>0</v>
      </c>
      <c r="O131" t="n">
        <v>0</v>
      </c>
      <c r="P131" t="n">
        <v>0</v>
      </c>
      <c r="Q131" t="n">
        <v>0</v>
      </c>
      <c r="R131" s="2" t="inlineStr"/>
    </row>
    <row r="132" ht="15" customHeight="1">
      <c r="A132" t="inlineStr">
        <is>
          <t>A 18583-2021</t>
        </is>
      </c>
      <c r="B132" s="1" t="n">
        <v>44306</v>
      </c>
      <c r="C132" s="1" t="n">
        <v>46077</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60125-2024</t>
        </is>
      </c>
      <c r="B133" s="1" t="n">
        <v>45642</v>
      </c>
      <c r="C133" s="1" t="n">
        <v>46077</v>
      </c>
      <c r="D133" t="inlineStr">
        <is>
          <t>UPPSALA LÄN</t>
        </is>
      </c>
      <c r="E133" t="inlineStr">
        <is>
          <t>ENKÖPING</t>
        </is>
      </c>
      <c r="G133" t="n">
        <v>2.1</v>
      </c>
      <c r="H133" t="n">
        <v>0</v>
      </c>
      <c r="I133" t="n">
        <v>0</v>
      </c>
      <c r="J133" t="n">
        <v>0</v>
      </c>
      <c r="K133" t="n">
        <v>0</v>
      </c>
      <c r="L133" t="n">
        <v>0</v>
      </c>
      <c r="M133" t="n">
        <v>0</v>
      </c>
      <c r="N133" t="n">
        <v>0</v>
      </c>
      <c r="O133" t="n">
        <v>0</v>
      </c>
      <c r="P133" t="n">
        <v>0</v>
      </c>
      <c r="Q133" t="n">
        <v>0</v>
      </c>
      <c r="R133" s="2" t="inlineStr"/>
    </row>
    <row r="134" ht="15" customHeight="1">
      <c r="A134" t="inlineStr">
        <is>
          <t>A 44232-2022</t>
        </is>
      </c>
      <c r="B134" s="1" t="n">
        <v>44839</v>
      </c>
      <c r="C134" s="1" t="n">
        <v>46077</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20112-2024</t>
        </is>
      </c>
      <c r="B135" s="1" t="n">
        <v>45434</v>
      </c>
      <c r="C135" s="1" t="n">
        <v>46077</v>
      </c>
      <c r="D135" t="inlineStr">
        <is>
          <t>UPPSALA LÄN</t>
        </is>
      </c>
      <c r="E135" t="inlineStr">
        <is>
          <t>ENKÖPING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1695-2025</t>
        </is>
      </c>
      <c r="B136" s="1" t="n">
        <v>45670</v>
      </c>
      <c r="C136" s="1" t="n">
        <v>46077</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59027-2024</t>
        </is>
      </c>
      <c r="B137" s="1" t="n">
        <v>45636.68755787037</v>
      </c>
      <c r="C137" s="1" t="n">
        <v>46077</v>
      </c>
      <c r="D137" t="inlineStr">
        <is>
          <t>UPPSALA LÄN</t>
        </is>
      </c>
      <c r="E137" t="inlineStr">
        <is>
          <t>ENKÖPING</t>
        </is>
      </c>
      <c r="G137" t="n">
        <v>1.1</v>
      </c>
      <c r="H137" t="n">
        <v>0</v>
      </c>
      <c r="I137" t="n">
        <v>0</v>
      </c>
      <c r="J137" t="n">
        <v>0</v>
      </c>
      <c r="K137" t="n">
        <v>0</v>
      </c>
      <c r="L137" t="n">
        <v>0</v>
      </c>
      <c r="M137" t="n">
        <v>0</v>
      </c>
      <c r="N137" t="n">
        <v>0</v>
      </c>
      <c r="O137" t="n">
        <v>0</v>
      </c>
      <c r="P137" t="n">
        <v>0</v>
      </c>
      <c r="Q137" t="n">
        <v>0</v>
      </c>
      <c r="R137" s="2" t="inlineStr"/>
    </row>
    <row r="138" ht="15" customHeight="1">
      <c r="A138" t="inlineStr">
        <is>
          <t>A 5013-2025</t>
        </is>
      </c>
      <c r="B138" s="1" t="n">
        <v>45691</v>
      </c>
      <c r="C138" s="1" t="n">
        <v>46077</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11503-2024</t>
        </is>
      </c>
      <c r="B139" s="1" t="n">
        <v>45372.68020833333</v>
      </c>
      <c r="C139" s="1" t="n">
        <v>46077</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42564-2024</t>
        </is>
      </c>
      <c r="B140" s="1" t="n">
        <v>45565.63358796296</v>
      </c>
      <c r="C140" s="1" t="n">
        <v>46077</v>
      </c>
      <c r="D140" t="inlineStr">
        <is>
          <t>UPPSALA LÄN</t>
        </is>
      </c>
      <c r="E140" t="inlineStr">
        <is>
          <t>ENKÖPING</t>
        </is>
      </c>
      <c r="G140" t="n">
        <v>1.7</v>
      </c>
      <c r="H140" t="n">
        <v>0</v>
      </c>
      <c r="I140" t="n">
        <v>0</v>
      </c>
      <c r="J140" t="n">
        <v>0</v>
      </c>
      <c r="K140" t="n">
        <v>0</v>
      </c>
      <c r="L140" t="n">
        <v>0</v>
      </c>
      <c r="M140" t="n">
        <v>0</v>
      </c>
      <c r="N140" t="n">
        <v>0</v>
      </c>
      <c r="O140" t="n">
        <v>0</v>
      </c>
      <c r="P140" t="n">
        <v>0</v>
      </c>
      <c r="Q140" t="n">
        <v>0</v>
      </c>
      <c r="R140" s="2" t="inlineStr"/>
    </row>
    <row r="141" ht="15" customHeight="1">
      <c r="A141" t="inlineStr">
        <is>
          <t>A 51932-2022</t>
        </is>
      </c>
      <c r="B141" s="1" t="n">
        <v>44872</v>
      </c>
      <c r="C141" s="1" t="n">
        <v>46077</v>
      </c>
      <c r="D141" t="inlineStr">
        <is>
          <t>UPPSALA LÄN</t>
        </is>
      </c>
      <c r="E141" t="inlineStr">
        <is>
          <t>ENKÖPING</t>
        </is>
      </c>
      <c r="G141" t="n">
        <v>5.5</v>
      </c>
      <c r="H141" t="n">
        <v>0</v>
      </c>
      <c r="I141" t="n">
        <v>0</v>
      </c>
      <c r="J141" t="n">
        <v>0</v>
      </c>
      <c r="K141" t="n">
        <v>0</v>
      </c>
      <c r="L141" t="n">
        <v>0</v>
      </c>
      <c r="M141" t="n">
        <v>0</v>
      </c>
      <c r="N141" t="n">
        <v>0</v>
      </c>
      <c r="O141" t="n">
        <v>0</v>
      </c>
      <c r="P141" t="n">
        <v>0</v>
      </c>
      <c r="Q141" t="n">
        <v>0</v>
      </c>
      <c r="R141" s="2" t="inlineStr"/>
    </row>
    <row r="142" ht="15" customHeight="1">
      <c r="A142" t="inlineStr">
        <is>
          <t>A 3235-2025</t>
        </is>
      </c>
      <c r="B142" s="1" t="n">
        <v>45679</v>
      </c>
      <c r="C142" s="1" t="n">
        <v>46077</v>
      </c>
      <c r="D142" t="inlineStr">
        <is>
          <t>UPPSALA LÄN</t>
        </is>
      </c>
      <c r="E142" t="inlineStr">
        <is>
          <t>ENKÖPING</t>
        </is>
      </c>
      <c r="G142" t="n">
        <v>0.6</v>
      </c>
      <c r="H142" t="n">
        <v>0</v>
      </c>
      <c r="I142" t="n">
        <v>0</v>
      </c>
      <c r="J142" t="n">
        <v>0</v>
      </c>
      <c r="K142" t="n">
        <v>0</v>
      </c>
      <c r="L142" t="n">
        <v>0</v>
      </c>
      <c r="M142" t="n">
        <v>0</v>
      </c>
      <c r="N142" t="n">
        <v>0</v>
      </c>
      <c r="O142" t="n">
        <v>0</v>
      </c>
      <c r="P142" t="n">
        <v>0</v>
      </c>
      <c r="Q142" t="n">
        <v>0</v>
      </c>
      <c r="R142" s="2" t="inlineStr"/>
    </row>
    <row r="143" ht="15" customHeight="1">
      <c r="A143" t="inlineStr">
        <is>
          <t>A 47428-2023</t>
        </is>
      </c>
      <c r="B143" s="1" t="n">
        <v>45202.66664351852</v>
      </c>
      <c r="C143" s="1" t="n">
        <v>46077</v>
      </c>
      <c r="D143" t="inlineStr">
        <is>
          <t>UPPSALA LÄN</t>
        </is>
      </c>
      <c r="E143" t="inlineStr">
        <is>
          <t>ENKÖPING</t>
        </is>
      </c>
      <c r="G143" t="n">
        <v>3</v>
      </c>
      <c r="H143" t="n">
        <v>0</v>
      </c>
      <c r="I143" t="n">
        <v>0</v>
      </c>
      <c r="J143" t="n">
        <v>0</v>
      </c>
      <c r="K143" t="n">
        <v>0</v>
      </c>
      <c r="L143" t="n">
        <v>0</v>
      </c>
      <c r="M143" t="n">
        <v>0</v>
      </c>
      <c r="N143" t="n">
        <v>0</v>
      </c>
      <c r="O143" t="n">
        <v>0</v>
      </c>
      <c r="P143" t="n">
        <v>0</v>
      </c>
      <c r="Q143" t="n">
        <v>0</v>
      </c>
      <c r="R143" s="2" t="inlineStr"/>
    </row>
    <row r="144" ht="15" customHeight="1">
      <c r="A144" t="inlineStr">
        <is>
          <t>A 12958-2024</t>
        </is>
      </c>
      <c r="B144" s="1" t="n">
        <v>45385</v>
      </c>
      <c r="C144" s="1" t="n">
        <v>46077</v>
      </c>
      <c r="D144" t="inlineStr">
        <is>
          <t>UPPSALA LÄN</t>
        </is>
      </c>
      <c r="E144" t="inlineStr">
        <is>
          <t>ENKÖPING</t>
        </is>
      </c>
      <c r="G144" t="n">
        <v>2.1</v>
      </c>
      <c r="H144" t="n">
        <v>0</v>
      </c>
      <c r="I144" t="n">
        <v>0</v>
      </c>
      <c r="J144" t="n">
        <v>0</v>
      </c>
      <c r="K144" t="n">
        <v>0</v>
      </c>
      <c r="L144" t="n">
        <v>0</v>
      </c>
      <c r="M144" t="n">
        <v>0</v>
      </c>
      <c r="N144" t="n">
        <v>0</v>
      </c>
      <c r="O144" t="n">
        <v>0</v>
      </c>
      <c r="P144" t="n">
        <v>0</v>
      </c>
      <c r="Q144" t="n">
        <v>0</v>
      </c>
      <c r="R144" s="2" t="inlineStr"/>
    </row>
    <row r="145" ht="15" customHeight="1">
      <c r="A145" t="inlineStr">
        <is>
          <t>A 15711-2025</t>
        </is>
      </c>
      <c r="B145" s="1" t="n">
        <v>45748</v>
      </c>
      <c r="C145" s="1" t="n">
        <v>46077</v>
      </c>
      <c r="D145" t="inlineStr">
        <is>
          <t>UPPSALA LÄN</t>
        </is>
      </c>
      <c r="E145" t="inlineStr">
        <is>
          <t>ENKÖPING</t>
        </is>
      </c>
      <c r="G145" t="n">
        <v>1.3</v>
      </c>
      <c r="H145" t="n">
        <v>0</v>
      </c>
      <c r="I145" t="n">
        <v>0</v>
      </c>
      <c r="J145" t="n">
        <v>0</v>
      </c>
      <c r="K145" t="n">
        <v>0</v>
      </c>
      <c r="L145" t="n">
        <v>0</v>
      </c>
      <c r="M145" t="n">
        <v>0</v>
      </c>
      <c r="N145" t="n">
        <v>0</v>
      </c>
      <c r="O145" t="n">
        <v>0</v>
      </c>
      <c r="P145" t="n">
        <v>0</v>
      </c>
      <c r="Q145" t="n">
        <v>0</v>
      </c>
      <c r="R145" s="2" t="inlineStr"/>
    </row>
    <row r="146" ht="15" customHeight="1">
      <c r="A146" t="inlineStr">
        <is>
          <t>A 2164-2023</t>
        </is>
      </c>
      <c r="B146" s="1" t="n">
        <v>44941</v>
      </c>
      <c r="C146" s="1" t="n">
        <v>46077</v>
      </c>
      <c r="D146" t="inlineStr">
        <is>
          <t>UPPSALA LÄN</t>
        </is>
      </c>
      <c r="E146" t="inlineStr">
        <is>
          <t>ENKÖPING</t>
        </is>
      </c>
      <c r="G146" t="n">
        <v>2.5</v>
      </c>
      <c r="H146" t="n">
        <v>0</v>
      </c>
      <c r="I146" t="n">
        <v>0</v>
      </c>
      <c r="J146" t="n">
        <v>0</v>
      </c>
      <c r="K146" t="n">
        <v>0</v>
      </c>
      <c r="L146" t="n">
        <v>0</v>
      </c>
      <c r="M146" t="n">
        <v>0</v>
      </c>
      <c r="N146" t="n">
        <v>0</v>
      </c>
      <c r="O146" t="n">
        <v>0</v>
      </c>
      <c r="P146" t="n">
        <v>0</v>
      </c>
      <c r="Q146" t="n">
        <v>0</v>
      </c>
      <c r="R146" s="2" t="inlineStr"/>
    </row>
    <row r="147" ht="15" customHeight="1">
      <c r="A147" t="inlineStr">
        <is>
          <t>A 46186-2023</t>
        </is>
      </c>
      <c r="B147" s="1" t="n">
        <v>45196</v>
      </c>
      <c r="C147" s="1" t="n">
        <v>46077</v>
      </c>
      <c r="D147" t="inlineStr">
        <is>
          <t>UPPSALA LÄN</t>
        </is>
      </c>
      <c r="E147" t="inlineStr">
        <is>
          <t>ENKÖPING</t>
        </is>
      </c>
      <c r="G147" t="n">
        <v>0.8</v>
      </c>
      <c r="H147" t="n">
        <v>0</v>
      </c>
      <c r="I147" t="n">
        <v>0</v>
      </c>
      <c r="J147" t="n">
        <v>0</v>
      </c>
      <c r="K147" t="n">
        <v>0</v>
      </c>
      <c r="L147" t="n">
        <v>0</v>
      </c>
      <c r="M147" t="n">
        <v>0</v>
      </c>
      <c r="N147" t="n">
        <v>0</v>
      </c>
      <c r="O147" t="n">
        <v>0</v>
      </c>
      <c r="P147" t="n">
        <v>0</v>
      </c>
      <c r="Q147" t="n">
        <v>0</v>
      </c>
      <c r="R147" s="2" t="inlineStr"/>
    </row>
    <row r="148" ht="15" customHeight="1">
      <c r="A148" t="inlineStr">
        <is>
          <t>A 6959-2025</t>
        </is>
      </c>
      <c r="B148" s="1" t="n">
        <v>45701.49315972222</v>
      </c>
      <c r="C148" s="1" t="n">
        <v>46077</v>
      </c>
      <c r="D148" t="inlineStr">
        <is>
          <t>UPPSALA LÄN</t>
        </is>
      </c>
      <c r="E148" t="inlineStr">
        <is>
          <t>ENKÖPING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15162-2025</t>
        </is>
      </c>
      <c r="B149" s="1" t="n">
        <v>45744</v>
      </c>
      <c r="C149" s="1" t="n">
        <v>46077</v>
      </c>
      <c r="D149" t="inlineStr">
        <is>
          <t>UPPSALA LÄN</t>
        </is>
      </c>
      <c r="E149" t="inlineStr">
        <is>
          <t>ENKÖPING</t>
        </is>
      </c>
      <c r="G149" t="n">
        <v>4.2</v>
      </c>
      <c r="H149" t="n">
        <v>0</v>
      </c>
      <c r="I149" t="n">
        <v>0</v>
      </c>
      <c r="J149" t="n">
        <v>0</v>
      </c>
      <c r="K149" t="n">
        <v>0</v>
      </c>
      <c r="L149" t="n">
        <v>0</v>
      </c>
      <c r="M149" t="n">
        <v>0</v>
      </c>
      <c r="N149" t="n">
        <v>0</v>
      </c>
      <c r="O149" t="n">
        <v>0</v>
      </c>
      <c r="P149" t="n">
        <v>0</v>
      </c>
      <c r="Q149" t="n">
        <v>0</v>
      </c>
      <c r="R149" s="2" t="inlineStr"/>
    </row>
    <row r="150" ht="15" customHeight="1">
      <c r="A150" t="inlineStr">
        <is>
          <t>A 17165-2025</t>
        </is>
      </c>
      <c r="B150" s="1" t="n">
        <v>45756</v>
      </c>
      <c r="C150" s="1" t="n">
        <v>46077</v>
      </c>
      <c r="D150" t="inlineStr">
        <is>
          <t>UPPSALA LÄN</t>
        </is>
      </c>
      <c r="E150" t="inlineStr">
        <is>
          <t>ENKÖPING</t>
        </is>
      </c>
      <c r="G150" t="n">
        <v>0.9</v>
      </c>
      <c r="H150" t="n">
        <v>0</v>
      </c>
      <c r="I150" t="n">
        <v>0</v>
      </c>
      <c r="J150" t="n">
        <v>0</v>
      </c>
      <c r="K150" t="n">
        <v>0</v>
      </c>
      <c r="L150" t="n">
        <v>0</v>
      </c>
      <c r="M150" t="n">
        <v>0</v>
      </c>
      <c r="N150" t="n">
        <v>0</v>
      </c>
      <c r="O150" t="n">
        <v>0</v>
      </c>
      <c r="P150" t="n">
        <v>0</v>
      </c>
      <c r="Q150" t="n">
        <v>0</v>
      </c>
      <c r="R150" s="2" t="inlineStr"/>
    </row>
    <row r="151" ht="15" customHeight="1">
      <c r="A151" t="inlineStr">
        <is>
          <t>A 33955-2024</t>
        </is>
      </c>
      <c r="B151" s="1" t="n">
        <v>45523.46952546296</v>
      </c>
      <c r="C151" s="1" t="n">
        <v>46077</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18299-2025</t>
        </is>
      </c>
      <c r="B152" s="1" t="n">
        <v>45762</v>
      </c>
      <c r="C152" s="1" t="n">
        <v>46077</v>
      </c>
      <c r="D152" t="inlineStr">
        <is>
          <t>UPPSALA LÄN</t>
        </is>
      </c>
      <c r="E152" t="inlineStr">
        <is>
          <t>ENKÖPING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6172-2023</t>
        </is>
      </c>
      <c r="B153" s="1" t="n">
        <v>44964.68663194445</v>
      </c>
      <c r="C153" s="1" t="n">
        <v>46077</v>
      </c>
      <c r="D153" t="inlineStr">
        <is>
          <t>UPPSALA LÄN</t>
        </is>
      </c>
      <c r="E153" t="inlineStr">
        <is>
          <t>ENKÖPING</t>
        </is>
      </c>
      <c r="G153" t="n">
        <v>2.6</v>
      </c>
      <c r="H153" t="n">
        <v>0</v>
      </c>
      <c r="I153" t="n">
        <v>0</v>
      </c>
      <c r="J153" t="n">
        <v>0</v>
      </c>
      <c r="K153" t="n">
        <v>0</v>
      </c>
      <c r="L153" t="n">
        <v>0</v>
      </c>
      <c r="M153" t="n">
        <v>0</v>
      </c>
      <c r="N153" t="n">
        <v>0</v>
      </c>
      <c r="O153" t="n">
        <v>0</v>
      </c>
      <c r="P153" t="n">
        <v>0</v>
      </c>
      <c r="Q153" t="n">
        <v>0</v>
      </c>
      <c r="R153" s="2" t="inlineStr"/>
    </row>
    <row r="154" ht="15" customHeight="1">
      <c r="A154" t="inlineStr">
        <is>
          <t>A 10409-2025</t>
        </is>
      </c>
      <c r="B154" s="1" t="n">
        <v>45720.631875</v>
      </c>
      <c r="C154" s="1" t="n">
        <v>46077</v>
      </c>
      <c r="D154" t="inlineStr">
        <is>
          <t>UPPSALA LÄN</t>
        </is>
      </c>
      <c r="E154" t="inlineStr">
        <is>
          <t>ENKÖPING</t>
        </is>
      </c>
      <c r="G154" t="n">
        <v>2.2</v>
      </c>
      <c r="H154" t="n">
        <v>0</v>
      </c>
      <c r="I154" t="n">
        <v>0</v>
      </c>
      <c r="J154" t="n">
        <v>0</v>
      </c>
      <c r="K154" t="n">
        <v>0</v>
      </c>
      <c r="L154" t="n">
        <v>0</v>
      </c>
      <c r="M154" t="n">
        <v>0</v>
      </c>
      <c r="N154" t="n">
        <v>0</v>
      </c>
      <c r="O154" t="n">
        <v>0</v>
      </c>
      <c r="P154" t="n">
        <v>0</v>
      </c>
      <c r="Q154" t="n">
        <v>0</v>
      </c>
      <c r="R154" s="2" t="inlineStr"/>
    </row>
    <row r="155" ht="15" customHeight="1">
      <c r="A155" t="inlineStr">
        <is>
          <t>A 6242-2025</t>
        </is>
      </c>
      <c r="B155" s="1" t="n">
        <v>45697</v>
      </c>
      <c r="C155" s="1" t="n">
        <v>46077</v>
      </c>
      <c r="D155" t="inlineStr">
        <is>
          <t>UPPSALA LÄN</t>
        </is>
      </c>
      <c r="E155" t="inlineStr">
        <is>
          <t>ENKÖPING</t>
        </is>
      </c>
      <c r="G155" t="n">
        <v>17.9</v>
      </c>
      <c r="H155" t="n">
        <v>0</v>
      </c>
      <c r="I155" t="n">
        <v>0</v>
      </c>
      <c r="J155" t="n">
        <v>0</v>
      </c>
      <c r="K155" t="n">
        <v>0</v>
      </c>
      <c r="L155" t="n">
        <v>0</v>
      </c>
      <c r="M155" t="n">
        <v>0</v>
      </c>
      <c r="N155" t="n">
        <v>0</v>
      </c>
      <c r="O155" t="n">
        <v>0</v>
      </c>
      <c r="P155" t="n">
        <v>0</v>
      </c>
      <c r="Q155" t="n">
        <v>0</v>
      </c>
      <c r="R155" s="2" t="inlineStr"/>
    </row>
    <row r="156" ht="15" customHeight="1">
      <c r="A156" t="inlineStr">
        <is>
          <t>A 45362-2022</t>
        </is>
      </c>
      <c r="B156" s="1" t="n">
        <v>44844.62366898148</v>
      </c>
      <c r="C156" s="1" t="n">
        <v>46077</v>
      </c>
      <c r="D156" t="inlineStr">
        <is>
          <t>UPPSALA LÄN</t>
        </is>
      </c>
      <c r="E156" t="inlineStr">
        <is>
          <t>ENKÖPING</t>
        </is>
      </c>
      <c r="G156" t="n">
        <v>1.8</v>
      </c>
      <c r="H156" t="n">
        <v>0</v>
      </c>
      <c r="I156" t="n">
        <v>0</v>
      </c>
      <c r="J156" t="n">
        <v>0</v>
      </c>
      <c r="K156" t="n">
        <v>0</v>
      </c>
      <c r="L156" t="n">
        <v>0</v>
      </c>
      <c r="M156" t="n">
        <v>0</v>
      </c>
      <c r="N156" t="n">
        <v>0</v>
      </c>
      <c r="O156" t="n">
        <v>0</v>
      </c>
      <c r="P156" t="n">
        <v>0</v>
      </c>
      <c r="Q156" t="n">
        <v>0</v>
      </c>
      <c r="R156" s="2" t="inlineStr"/>
    </row>
    <row r="157" ht="15" customHeight="1">
      <c r="A157" t="inlineStr">
        <is>
          <t>A 6144-2024</t>
        </is>
      </c>
      <c r="B157" s="1" t="n">
        <v>45337.4684837963</v>
      </c>
      <c r="C157" s="1" t="n">
        <v>46077</v>
      </c>
      <c r="D157" t="inlineStr">
        <is>
          <t>UPPSALA LÄN</t>
        </is>
      </c>
      <c r="E157" t="inlineStr">
        <is>
          <t>ENKÖPING</t>
        </is>
      </c>
      <c r="G157" t="n">
        <v>13.8</v>
      </c>
      <c r="H157" t="n">
        <v>0</v>
      </c>
      <c r="I157" t="n">
        <v>0</v>
      </c>
      <c r="J157" t="n">
        <v>0</v>
      </c>
      <c r="K157" t="n">
        <v>0</v>
      </c>
      <c r="L157" t="n">
        <v>0</v>
      </c>
      <c r="M157" t="n">
        <v>0</v>
      </c>
      <c r="N157" t="n">
        <v>0</v>
      </c>
      <c r="O157" t="n">
        <v>0</v>
      </c>
      <c r="P157" t="n">
        <v>0</v>
      </c>
      <c r="Q157" t="n">
        <v>0</v>
      </c>
      <c r="R157" s="2" t="inlineStr"/>
    </row>
    <row r="158" ht="15" customHeight="1">
      <c r="A158" t="inlineStr">
        <is>
          <t>A 67984-2021</t>
        </is>
      </c>
      <c r="B158" s="1" t="n">
        <v>44525.70237268518</v>
      </c>
      <c r="C158" s="1" t="n">
        <v>46077</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56526-2022</t>
        </is>
      </c>
      <c r="B159" s="1" t="n">
        <v>44893</v>
      </c>
      <c r="C159" s="1" t="n">
        <v>46077</v>
      </c>
      <c r="D159" t="inlineStr">
        <is>
          <t>UPPSALA LÄN</t>
        </is>
      </c>
      <c r="E159" t="inlineStr">
        <is>
          <t>ENKÖPING</t>
        </is>
      </c>
      <c r="G159" t="n">
        <v>3.8</v>
      </c>
      <c r="H159" t="n">
        <v>0</v>
      </c>
      <c r="I159" t="n">
        <v>0</v>
      </c>
      <c r="J159" t="n">
        <v>0</v>
      </c>
      <c r="K159" t="n">
        <v>0</v>
      </c>
      <c r="L159" t="n">
        <v>0</v>
      </c>
      <c r="M159" t="n">
        <v>0</v>
      </c>
      <c r="N159" t="n">
        <v>0</v>
      </c>
      <c r="O159" t="n">
        <v>0</v>
      </c>
      <c r="P159" t="n">
        <v>0</v>
      </c>
      <c r="Q159" t="n">
        <v>0</v>
      </c>
      <c r="R159" s="2" t="inlineStr"/>
    </row>
    <row r="160" ht="15" customHeight="1">
      <c r="A160" t="inlineStr">
        <is>
          <t>A 52299-2023</t>
        </is>
      </c>
      <c r="B160" s="1" t="n">
        <v>45224.61636574074</v>
      </c>
      <c r="C160" s="1" t="n">
        <v>46077</v>
      </c>
      <c r="D160" t="inlineStr">
        <is>
          <t>UPPSALA LÄN</t>
        </is>
      </c>
      <c r="E160" t="inlineStr">
        <is>
          <t>ENKÖPING</t>
        </is>
      </c>
      <c r="G160" t="n">
        <v>2.2</v>
      </c>
      <c r="H160" t="n">
        <v>0</v>
      </c>
      <c r="I160" t="n">
        <v>0</v>
      </c>
      <c r="J160" t="n">
        <v>0</v>
      </c>
      <c r="K160" t="n">
        <v>0</v>
      </c>
      <c r="L160" t="n">
        <v>0</v>
      </c>
      <c r="M160" t="n">
        <v>0</v>
      </c>
      <c r="N160" t="n">
        <v>0</v>
      </c>
      <c r="O160" t="n">
        <v>0</v>
      </c>
      <c r="P160" t="n">
        <v>0</v>
      </c>
      <c r="Q160" t="n">
        <v>0</v>
      </c>
      <c r="R160" s="2" t="inlineStr"/>
    </row>
    <row r="161" ht="15" customHeight="1">
      <c r="A161" t="inlineStr">
        <is>
          <t>A 25598-2021</t>
        </is>
      </c>
      <c r="B161" s="1" t="n">
        <v>44343.4558912037</v>
      </c>
      <c r="C161" s="1" t="n">
        <v>46077</v>
      </c>
      <c r="D161" t="inlineStr">
        <is>
          <t>UPPSALA LÄN</t>
        </is>
      </c>
      <c r="E161" t="inlineStr">
        <is>
          <t>ENKÖPING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18592-2021</t>
        </is>
      </c>
      <c r="B162" s="1" t="n">
        <v>44306</v>
      </c>
      <c r="C162" s="1" t="n">
        <v>46077</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11918-2025</t>
        </is>
      </c>
      <c r="B163" s="1" t="n">
        <v>45728.49331018519</v>
      </c>
      <c r="C163" s="1" t="n">
        <v>46077</v>
      </c>
      <c r="D163" t="inlineStr">
        <is>
          <t>UPPSALA LÄN</t>
        </is>
      </c>
      <c r="E163" t="inlineStr">
        <is>
          <t>ENKÖPING</t>
        </is>
      </c>
      <c r="G163" t="n">
        <v>1.2</v>
      </c>
      <c r="H163" t="n">
        <v>0</v>
      </c>
      <c r="I163" t="n">
        <v>0</v>
      </c>
      <c r="J163" t="n">
        <v>0</v>
      </c>
      <c r="K163" t="n">
        <v>0</v>
      </c>
      <c r="L163" t="n">
        <v>0</v>
      </c>
      <c r="M163" t="n">
        <v>0</v>
      </c>
      <c r="N163" t="n">
        <v>0</v>
      </c>
      <c r="O163" t="n">
        <v>0</v>
      </c>
      <c r="P163" t="n">
        <v>0</v>
      </c>
      <c r="Q163" t="n">
        <v>0</v>
      </c>
      <c r="R163" s="2" t="inlineStr"/>
    </row>
    <row r="164" ht="15" customHeight="1">
      <c r="A164" t="inlineStr">
        <is>
          <t>A 32081-2024</t>
        </is>
      </c>
      <c r="B164" s="1" t="n">
        <v>45511.34605324074</v>
      </c>
      <c r="C164" s="1" t="n">
        <v>46077</v>
      </c>
      <c r="D164" t="inlineStr">
        <is>
          <t>UPPSALA LÄN</t>
        </is>
      </c>
      <c r="E164" t="inlineStr">
        <is>
          <t>ENKÖPING</t>
        </is>
      </c>
      <c r="G164" t="n">
        <v>5.4</v>
      </c>
      <c r="H164" t="n">
        <v>0</v>
      </c>
      <c r="I164" t="n">
        <v>0</v>
      </c>
      <c r="J164" t="n">
        <v>0</v>
      </c>
      <c r="K164" t="n">
        <v>0</v>
      </c>
      <c r="L164" t="n">
        <v>0</v>
      </c>
      <c r="M164" t="n">
        <v>0</v>
      </c>
      <c r="N164" t="n">
        <v>0</v>
      </c>
      <c r="O164" t="n">
        <v>0</v>
      </c>
      <c r="P164" t="n">
        <v>0</v>
      </c>
      <c r="Q164" t="n">
        <v>0</v>
      </c>
      <c r="R164" s="2" t="inlineStr"/>
    </row>
    <row r="165" ht="15" customHeight="1">
      <c r="A165" t="inlineStr">
        <is>
          <t>A 20184-2023</t>
        </is>
      </c>
      <c r="B165" s="1" t="n">
        <v>45055.5670949074</v>
      </c>
      <c r="C165" s="1" t="n">
        <v>46077</v>
      </c>
      <c r="D165" t="inlineStr">
        <is>
          <t>UPPSALA LÄN</t>
        </is>
      </c>
      <c r="E165" t="inlineStr">
        <is>
          <t>ENKÖPING</t>
        </is>
      </c>
      <c r="G165" t="n">
        <v>3.2</v>
      </c>
      <c r="H165" t="n">
        <v>0</v>
      </c>
      <c r="I165" t="n">
        <v>0</v>
      </c>
      <c r="J165" t="n">
        <v>0</v>
      </c>
      <c r="K165" t="n">
        <v>0</v>
      </c>
      <c r="L165" t="n">
        <v>0</v>
      </c>
      <c r="M165" t="n">
        <v>0</v>
      </c>
      <c r="N165" t="n">
        <v>0</v>
      </c>
      <c r="O165" t="n">
        <v>0</v>
      </c>
      <c r="P165" t="n">
        <v>0</v>
      </c>
      <c r="Q165" t="n">
        <v>0</v>
      </c>
      <c r="R165" s="2" t="inlineStr"/>
    </row>
    <row r="166" ht="15" customHeight="1">
      <c r="A166" t="inlineStr">
        <is>
          <t>A 61952-2021</t>
        </is>
      </c>
      <c r="B166" s="1" t="n">
        <v>44502</v>
      </c>
      <c r="C166" s="1" t="n">
        <v>46077</v>
      </c>
      <c r="D166" t="inlineStr">
        <is>
          <t>UPPSALA LÄN</t>
        </is>
      </c>
      <c r="E166" t="inlineStr">
        <is>
          <t>ENKÖPING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21686-2022</t>
        </is>
      </c>
      <c r="B167" s="1" t="n">
        <v>44707</v>
      </c>
      <c r="C167" s="1" t="n">
        <v>46077</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43896-2022</t>
        </is>
      </c>
      <c r="B168" s="1" t="n">
        <v>44838</v>
      </c>
      <c r="C168" s="1" t="n">
        <v>46077</v>
      </c>
      <c r="D168" t="inlineStr">
        <is>
          <t>UPPSALA LÄN</t>
        </is>
      </c>
      <c r="E168" t="inlineStr">
        <is>
          <t>ENKÖPING</t>
        </is>
      </c>
      <c r="G168" t="n">
        <v>5.3</v>
      </c>
      <c r="H168" t="n">
        <v>0</v>
      </c>
      <c r="I168" t="n">
        <v>0</v>
      </c>
      <c r="J168" t="n">
        <v>0</v>
      </c>
      <c r="K168" t="n">
        <v>0</v>
      </c>
      <c r="L168" t="n">
        <v>0</v>
      </c>
      <c r="M168" t="n">
        <v>0</v>
      </c>
      <c r="N168" t="n">
        <v>0</v>
      </c>
      <c r="O168" t="n">
        <v>0</v>
      </c>
      <c r="P168" t="n">
        <v>0</v>
      </c>
      <c r="Q168" t="n">
        <v>0</v>
      </c>
      <c r="R168" s="2" t="inlineStr"/>
    </row>
    <row r="169" ht="15" customHeight="1">
      <c r="A169" t="inlineStr">
        <is>
          <t>A 29479-2022</t>
        </is>
      </c>
      <c r="B169" s="1" t="n">
        <v>44753.57265046296</v>
      </c>
      <c r="C169" s="1" t="n">
        <v>46077</v>
      </c>
      <c r="D169" t="inlineStr">
        <is>
          <t>UPPSALA LÄN</t>
        </is>
      </c>
      <c r="E169" t="inlineStr">
        <is>
          <t>ENKÖPING</t>
        </is>
      </c>
      <c r="G169" t="n">
        <v>0.9</v>
      </c>
      <c r="H169" t="n">
        <v>0</v>
      </c>
      <c r="I169" t="n">
        <v>0</v>
      </c>
      <c r="J169" t="n">
        <v>0</v>
      </c>
      <c r="K169" t="n">
        <v>0</v>
      </c>
      <c r="L169" t="n">
        <v>0</v>
      </c>
      <c r="M169" t="n">
        <v>0</v>
      </c>
      <c r="N169" t="n">
        <v>0</v>
      </c>
      <c r="O169" t="n">
        <v>0</v>
      </c>
      <c r="P169" t="n">
        <v>0</v>
      </c>
      <c r="Q169" t="n">
        <v>0</v>
      </c>
      <c r="R169" s="2" t="inlineStr"/>
    </row>
    <row r="170" ht="15" customHeight="1">
      <c r="A170" t="inlineStr">
        <is>
          <t>A 20440-2025</t>
        </is>
      </c>
      <c r="B170" s="1" t="n">
        <v>45775</v>
      </c>
      <c r="C170" s="1" t="n">
        <v>46077</v>
      </c>
      <c r="D170" t="inlineStr">
        <is>
          <t>UPPSALA LÄN</t>
        </is>
      </c>
      <c r="E170" t="inlineStr">
        <is>
          <t>ENKÖPING</t>
        </is>
      </c>
      <c r="G170" t="n">
        <v>1.6</v>
      </c>
      <c r="H170" t="n">
        <v>0</v>
      </c>
      <c r="I170" t="n">
        <v>0</v>
      </c>
      <c r="J170" t="n">
        <v>0</v>
      </c>
      <c r="K170" t="n">
        <v>0</v>
      </c>
      <c r="L170" t="n">
        <v>0</v>
      </c>
      <c r="M170" t="n">
        <v>0</v>
      </c>
      <c r="N170" t="n">
        <v>0</v>
      </c>
      <c r="O170" t="n">
        <v>0</v>
      </c>
      <c r="P170" t="n">
        <v>0</v>
      </c>
      <c r="Q170" t="n">
        <v>0</v>
      </c>
      <c r="R170" s="2" t="inlineStr"/>
    </row>
    <row r="171" ht="15" customHeight="1">
      <c r="A171" t="inlineStr">
        <is>
          <t>A 60350-2022</t>
        </is>
      </c>
      <c r="B171" s="1" t="n">
        <v>44910</v>
      </c>
      <c r="C171" s="1" t="n">
        <v>46077</v>
      </c>
      <c r="D171" t="inlineStr">
        <is>
          <t>UPPSALA LÄN</t>
        </is>
      </c>
      <c r="E171" t="inlineStr">
        <is>
          <t>ENKÖPING</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49525-2021</t>
        </is>
      </c>
      <c r="B172" s="1" t="n">
        <v>44455</v>
      </c>
      <c r="C172" s="1" t="n">
        <v>46077</v>
      </c>
      <c r="D172" t="inlineStr">
        <is>
          <t>UPPSALA LÄN</t>
        </is>
      </c>
      <c r="E172" t="inlineStr">
        <is>
          <t>ENKÖPING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59602-2022</t>
        </is>
      </c>
      <c r="B173" s="1" t="n">
        <v>44907.72241898148</v>
      </c>
      <c r="C173" s="1" t="n">
        <v>46077</v>
      </c>
      <c r="D173" t="inlineStr">
        <is>
          <t>UPPSALA LÄN</t>
        </is>
      </c>
      <c r="E173" t="inlineStr">
        <is>
          <t>ENKÖPING</t>
        </is>
      </c>
      <c r="G173" t="n">
        <v>14.2</v>
      </c>
      <c r="H173" t="n">
        <v>0</v>
      </c>
      <c r="I173" t="n">
        <v>0</v>
      </c>
      <c r="J173" t="n">
        <v>0</v>
      </c>
      <c r="K173" t="n">
        <v>0</v>
      </c>
      <c r="L173" t="n">
        <v>0</v>
      </c>
      <c r="M173" t="n">
        <v>0</v>
      </c>
      <c r="N173" t="n">
        <v>0</v>
      </c>
      <c r="O173" t="n">
        <v>0</v>
      </c>
      <c r="P173" t="n">
        <v>0</v>
      </c>
      <c r="Q173" t="n">
        <v>0</v>
      </c>
      <c r="R173" s="2" t="inlineStr"/>
    </row>
    <row r="174" ht="15" customHeight="1">
      <c r="A174" t="inlineStr">
        <is>
          <t>A 42589-2022</t>
        </is>
      </c>
      <c r="B174" s="1" t="n">
        <v>44831</v>
      </c>
      <c r="C174" s="1" t="n">
        <v>46077</v>
      </c>
      <c r="D174" t="inlineStr">
        <is>
          <t>UPPSALA LÄN</t>
        </is>
      </c>
      <c r="E174" t="inlineStr">
        <is>
          <t>ENKÖPING</t>
        </is>
      </c>
      <c r="G174" t="n">
        <v>20</v>
      </c>
      <c r="H174" t="n">
        <v>0</v>
      </c>
      <c r="I174" t="n">
        <v>0</v>
      </c>
      <c r="J174" t="n">
        <v>0</v>
      </c>
      <c r="K174" t="n">
        <v>0</v>
      </c>
      <c r="L174" t="n">
        <v>0</v>
      </c>
      <c r="M174" t="n">
        <v>0</v>
      </c>
      <c r="N174" t="n">
        <v>0</v>
      </c>
      <c r="O174" t="n">
        <v>0</v>
      </c>
      <c r="P174" t="n">
        <v>0</v>
      </c>
      <c r="Q174" t="n">
        <v>0</v>
      </c>
      <c r="R174" s="2" t="inlineStr"/>
    </row>
    <row r="175" ht="15" customHeight="1">
      <c r="A175" t="inlineStr">
        <is>
          <t>A 35645-2021</t>
        </is>
      </c>
      <c r="B175" s="1" t="n">
        <v>44386.42</v>
      </c>
      <c r="C175" s="1" t="n">
        <v>46077</v>
      </c>
      <c r="D175" t="inlineStr">
        <is>
          <t>UPPSALA LÄN</t>
        </is>
      </c>
      <c r="E175" t="inlineStr">
        <is>
          <t>ENKÖPING</t>
        </is>
      </c>
      <c r="G175" t="n">
        <v>2.7</v>
      </c>
      <c r="H175" t="n">
        <v>0</v>
      </c>
      <c r="I175" t="n">
        <v>0</v>
      </c>
      <c r="J175" t="n">
        <v>0</v>
      </c>
      <c r="K175" t="n">
        <v>0</v>
      </c>
      <c r="L175" t="n">
        <v>0</v>
      </c>
      <c r="M175" t="n">
        <v>0</v>
      </c>
      <c r="N175" t="n">
        <v>0</v>
      </c>
      <c r="O175" t="n">
        <v>0</v>
      </c>
      <c r="P175" t="n">
        <v>0</v>
      </c>
      <c r="Q175" t="n">
        <v>0</v>
      </c>
      <c r="R175" s="2" t="inlineStr"/>
    </row>
    <row r="176" ht="15" customHeight="1">
      <c r="A176" t="inlineStr">
        <is>
          <t>A 41737-2022</t>
        </is>
      </c>
      <c r="B176" s="1" t="n">
        <v>44827.63826388889</v>
      </c>
      <c r="C176" s="1" t="n">
        <v>46077</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2968-2025</t>
        </is>
      </c>
      <c r="B177" s="1" t="n">
        <v>45678</v>
      </c>
      <c r="C177" s="1" t="n">
        <v>46077</v>
      </c>
      <c r="D177" t="inlineStr">
        <is>
          <t>UPPSALA LÄN</t>
        </is>
      </c>
      <c r="E177" t="inlineStr">
        <is>
          <t>ENKÖPING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28518-2024</t>
        </is>
      </c>
      <c r="B178" s="1" t="n">
        <v>45477</v>
      </c>
      <c r="C178" s="1" t="n">
        <v>46077</v>
      </c>
      <c r="D178" t="inlineStr">
        <is>
          <t>UPPSALA LÄN</t>
        </is>
      </c>
      <c r="E178" t="inlineStr">
        <is>
          <t>ENKÖPING</t>
        </is>
      </c>
      <c r="G178" t="n">
        <v>3.4</v>
      </c>
      <c r="H178" t="n">
        <v>0</v>
      </c>
      <c r="I178" t="n">
        <v>0</v>
      </c>
      <c r="J178" t="n">
        <v>0</v>
      </c>
      <c r="K178" t="n">
        <v>0</v>
      </c>
      <c r="L178" t="n">
        <v>0</v>
      </c>
      <c r="M178" t="n">
        <v>0</v>
      </c>
      <c r="N178" t="n">
        <v>0</v>
      </c>
      <c r="O178" t="n">
        <v>0</v>
      </c>
      <c r="P178" t="n">
        <v>0</v>
      </c>
      <c r="Q178" t="n">
        <v>0</v>
      </c>
      <c r="R178" s="2" t="inlineStr"/>
    </row>
    <row r="179" ht="15" customHeight="1">
      <c r="A179" t="inlineStr">
        <is>
          <t>A 54595-2021</t>
        </is>
      </c>
      <c r="B179" s="1" t="n">
        <v>44473.58824074074</v>
      </c>
      <c r="C179" s="1" t="n">
        <v>46077</v>
      </c>
      <c r="D179" t="inlineStr">
        <is>
          <t>UPPSALA LÄN</t>
        </is>
      </c>
      <c r="E179" t="inlineStr">
        <is>
          <t>ENKÖPING</t>
        </is>
      </c>
      <c r="G179" t="n">
        <v>1</v>
      </c>
      <c r="H179" t="n">
        <v>0</v>
      </c>
      <c r="I179" t="n">
        <v>0</v>
      </c>
      <c r="J179" t="n">
        <v>0</v>
      </c>
      <c r="K179" t="n">
        <v>0</v>
      </c>
      <c r="L179" t="n">
        <v>0</v>
      </c>
      <c r="M179" t="n">
        <v>0</v>
      </c>
      <c r="N179" t="n">
        <v>0</v>
      </c>
      <c r="O179" t="n">
        <v>0</v>
      </c>
      <c r="P179" t="n">
        <v>0</v>
      </c>
      <c r="Q179" t="n">
        <v>0</v>
      </c>
      <c r="R179" s="2" t="inlineStr"/>
    </row>
    <row r="180" ht="15" customHeight="1">
      <c r="A180" t="inlineStr">
        <is>
          <t>A 22094-2023</t>
        </is>
      </c>
      <c r="B180" s="1" t="n">
        <v>45069</v>
      </c>
      <c r="C180" s="1" t="n">
        <v>46077</v>
      </c>
      <c r="D180" t="inlineStr">
        <is>
          <t>UPPSALA LÄN</t>
        </is>
      </c>
      <c r="E180" t="inlineStr">
        <is>
          <t>ENKÖPING</t>
        </is>
      </c>
      <c r="G180" t="n">
        <v>2.1</v>
      </c>
      <c r="H180" t="n">
        <v>0</v>
      </c>
      <c r="I180" t="n">
        <v>0</v>
      </c>
      <c r="J180" t="n">
        <v>0</v>
      </c>
      <c r="K180" t="n">
        <v>0</v>
      </c>
      <c r="L180" t="n">
        <v>0</v>
      </c>
      <c r="M180" t="n">
        <v>0</v>
      </c>
      <c r="N180" t="n">
        <v>0</v>
      </c>
      <c r="O180" t="n">
        <v>0</v>
      </c>
      <c r="P180" t="n">
        <v>0</v>
      </c>
      <c r="Q180" t="n">
        <v>0</v>
      </c>
      <c r="R180" s="2" t="inlineStr"/>
    </row>
    <row r="181" ht="15" customHeight="1">
      <c r="A181" t="inlineStr">
        <is>
          <t>A 9487-2025</t>
        </is>
      </c>
      <c r="B181" s="1" t="n">
        <v>45715.49331018519</v>
      </c>
      <c r="C181" s="1" t="n">
        <v>46077</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16176-2025</t>
        </is>
      </c>
      <c r="B182" s="1" t="n">
        <v>45750</v>
      </c>
      <c r="C182" s="1" t="n">
        <v>46077</v>
      </c>
      <c r="D182" t="inlineStr">
        <is>
          <t>UPPSALA LÄN</t>
        </is>
      </c>
      <c r="E182" t="inlineStr">
        <is>
          <t>ENKÖPING</t>
        </is>
      </c>
      <c r="G182" t="n">
        <v>3.9</v>
      </c>
      <c r="H182" t="n">
        <v>0</v>
      </c>
      <c r="I182" t="n">
        <v>0</v>
      </c>
      <c r="J182" t="n">
        <v>0</v>
      </c>
      <c r="K182" t="n">
        <v>0</v>
      </c>
      <c r="L182" t="n">
        <v>0</v>
      </c>
      <c r="M182" t="n">
        <v>0</v>
      </c>
      <c r="N182" t="n">
        <v>0</v>
      </c>
      <c r="O182" t="n">
        <v>0</v>
      </c>
      <c r="P182" t="n">
        <v>0</v>
      </c>
      <c r="Q182" t="n">
        <v>0</v>
      </c>
      <c r="R182" s="2" t="inlineStr"/>
    </row>
    <row r="183" ht="15" customHeight="1">
      <c r="A183" t="inlineStr">
        <is>
          <t>A 35647-2021</t>
        </is>
      </c>
      <c r="B183" s="1" t="n">
        <v>44386</v>
      </c>
      <c r="C183" s="1" t="n">
        <v>46077</v>
      </c>
      <c r="D183" t="inlineStr">
        <is>
          <t>UPPSALA LÄN</t>
        </is>
      </c>
      <c r="E183" t="inlineStr">
        <is>
          <t>ENKÖPING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37035-2023</t>
        </is>
      </c>
      <c r="B184" s="1" t="n">
        <v>45155</v>
      </c>
      <c r="C184" s="1" t="n">
        <v>46077</v>
      </c>
      <c r="D184" t="inlineStr">
        <is>
          <t>UPPSALA LÄN</t>
        </is>
      </c>
      <c r="E184" t="inlineStr">
        <is>
          <t>ENKÖPING</t>
        </is>
      </c>
      <c r="G184" t="n">
        <v>1.2</v>
      </c>
      <c r="H184" t="n">
        <v>0</v>
      </c>
      <c r="I184" t="n">
        <v>0</v>
      </c>
      <c r="J184" t="n">
        <v>0</v>
      </c>
      <c r="K184" t="n">
        <v>0</v>
      </c>
      <c r="L184" t="n">
        <v>0</v>
      </c>
      <c r="M184" t="n">
        <v>0</v>
      </c>
      <c r="N184" t="n">
        <v>0</v>
      </c>
      <c r="O184" t="n">
        <v>0</v>
      </c>
      <c r="P184" t="n">
        <v>0</v>
      </c>
      <c r="Q184" t="n">
        <v>0</v>
      </c>
      <c r="R184" s="2" t="inlineStr"/>
    </row>
    <row r="185" ht="15" customHeight="1">
      <c r="A185" t="inlineStr">
        <is>
          <t>A 33670-2024</t>
        </is>
      </c>
      <c r="B185" s="1" t="n">
        <v>45520</v>
      </c>
      <c r="C185" s="1" t="n">
        <v>46077</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24962-2023</t>
        </is>
      </c>
      <c r="B186" s="1" t="n">
        <v>45085.60123842592</v>
      </c>
      <c r="C186" s="1" t="n">
        <v>46077</v>
      </c>
      <c r="D186" t="inlineStr">
        <is>
          <t>UPPSALA LÄN</t>
        </is>
      </c>
      <c r="E186" t="inlineStr">
        <is>
          <t>ENKÖPING</t>
        </is>
      </c>
      <c r="G186" t="n">
        <v>2.8</v>
      </c>
      <c r="H186" t="n">
        <v>0</v>
      </c>
      <c r="I186" t="n">
        <v>0</v>
      </c>
      <c r="J186" t="n">
        <v>0</v>
      </c>
      <c r="K186" t="n">
        <v>0</v>
      </c>
      <c r="L186" t="n">
        <v>0</v>
      </c>
      <c r="M186" t="n">
        <v>0</v>
      </c>
      <c r="N186" t="n">
        <v>0</v>
      </c>
      <c r="O186" t="n">
        <v>0</v>
      </c>
      <c r="P186" t="n">
        <v>0</v>
      </c>
      <c r="Q186" t="n">
        <v>0</v>
      </c>
      <c r="R186" s="2" t="inlineStr"/>
    </row>
    <row r="187" ht="15" customHeight="1">
      <c r="A187" t="inlineStr">
        <is>
          <t>A 44131-2023</t>
        </is>
      </c>
      <c r="B187" s="1" t="n">
        <v>45188</v>
      </c>
      <c r="C187" s="1" t="n">
        <v>46077</v>
      </c>
      <c r="D187" t="inlineStr">
        <is>
          <t>UPPSALA LÄN</t>
        </is>
      </c>
      <c r="E187" t="inlineStr">
        <is>
          <t>ENKÖPING</t>
        </is>
      </c>
      <c r="G187" t="n">
        <v>0.3</v>
      </c>
      <c r="H187" t="n">
        <v>0</v>
      </c>
      <c r="I187" t="n">
        <v>0</v>
      </c>
      <c r="J187" t="n">
        <v>0</v>
      </c>
      <c r="K187" t="n">
        <v>0</v>
      </c>
      <c r="L187" t="n">
        <v>0</v>
      </c>
      <c r="M187" t="n">
        <v>0</v>
      </c>
      <c r="N187" t="n">
        <v>0</v>
      </c>
      <c r="O187" t="n">
        <v>0</v>
      </c>
      <c r="P187" t="n">
        <v>0</v>
      </c>
      <c r="Q187" t="n">
        <v>0</v>
      </c>
      <c r="R187" s="2" t="inlineStr"/>
    </row>
    <row r="188" ht="15" customHeight="1">
      <c r="A188" t="inlineStr">
        <is>
          <t>A 29482-2022</t>
        </is>
      </c>
      <c r="B188" s="1" t="n">
        <v>44753.57703703704</v>
      </c>
      <c r="C188" s="1" t="n">
        <v>46077</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29483-2022</t>
        </is>
      </c>
      <c r="B189" s="1" t="n">
        <v>44753.57829861111</v>
      </c>
      <c r="C189" s="1" t="n">
        <v>46077</v>
      </c>
      <c r="D189" t="inlineStr">
        <is>
          <t>UPPSALA LÄN</t>
        </is>
      </c>
      <c r="E189" t="inlineStr">
        <is>
          <t>ENKÖPING</t>
        </is>
      </c>
      <c r="G189" t="n">
        <v>3.6</v>
      </c>
      <c r="H189" t="n">
        <v>0</v>
      </c>
      <c r="I189" t="n">
        <v>0</v>
      </c>
      <c r="J189" t="n">
        <v>0</v>
      </c>
      <c r="K189" t="n">
        <v>0</v>
      </c>
      <c r="L189" t="n">
        <v>0</v>
      </c>
      <c r="M189" t="n">
        <v>0</v>
      </c>
      <c r="N189" t="n">
        <v>0</v>
      </c>
      <c r="O189" t="n">
        <v>0</v>
      </c>
      <c r="P189" t="n">
        <v>0</v>
      </c>
      <c r="Q189" t="n">
        <v>0</v>
      </c>
      <c r="R189" s="2" t="inlineStr"/>
    </row>
    <row r="190" ht="15" customHeight="1">
      <c r="A190" t="inlineStr">
        <is>
          <t>A 37170-2021</t>
        </is>
      </c>
      <c r="B190" s="1" t="n">
        <v>44395</v>
      </c>
      <c r="C190" s="1" t="n">
        <v>46077</v>
      </c>
      <c r="D190" t="inlineStr">
        <is>
          <t>UPPSALA LÄN</t>
        </is>
      </c>
      <c r="E190" t="inlineStr">
        <is>
          <t>ENKÖPING</t>
        </is>
      </c>
      <c r="G190" t="n">
        <v>1.5</v>
      </c>
      <c r="H190" t="n">
        <v>0</v>
      </c>
      <c r="I190" t="n">
        <v>0</v>
      </c>
      <c r="J190" t="n">
        <v>0</v>
      </c>
      <c r="K190" t="n">
        <v>0</v>
      </c>
      <c r="L190" t="n">
        <v>0</v>
      </c>
      <c r="M190" t="n">
        <v>0</v>
      </c>
      <c r="N190" t="n">
        <v>0</v>
      </c>
      <c r="O190" t="n">
        <v>0</v>
      </c>
      <c r="P190" t="n">
        <v>0</v>
      </c>
      <c r="Q190" t="n">
        <v>0</v>
      </c>
      <c r="R190" s="2" t="inlineStr"/>
    </row>
    <row r="191" ht="15" customHeight="1">
      <c r="A191" t="inlineStr">
        <is>
          <t>A 19147-2024</t>
        </is>
      </c>
      <c r="B191" s="1" t="n">
        <v>45428</v>
      </c>
      <c r="C191" s="1" t="n">
        <v>46077</v>
      </c>
      <c r="D191" t="inlineStr">
        <is>
          <t>UPPSALA LÄN</t>
        </is>
      </c>
      <c r="E191" t="inlineStr">
        <is>
          <t>ENKÖPING</t>
        </is>
      </c>
      <c r="G191" t="n">
        <v>1.9</v>
      </c>
      <c r="H191" t="n">
        <v>0</v>
      </c>
      <c r="I191" t="n">
        <v>0</v>
      </c>
      <c r="J191" t="n">
        <v>0</v>
      </c>
      <c r="K191" t="n">
        <v>0</v>
      </c>
      <c r="L191" t="n">
        <v>0</v>
      </c>
      <c r="M191" t="n">
        <v>0</v>
      </c>
      <c r="N191" t="n">
        <v>0</v>
      </c>
      <c r="O191" t="n">
        <v>0</v>
      </c>
      <c r="P191" t="n">
        <v>0</v>
      </c>
      <c r="Q191" t="n">
        <v>0</v>
      </c>
      <c r="R191" s="2" t="inlineStr"/>
    </row>
    <row r="192" ht="15" customHeight="1">
      <c r="A192" t="inlineStr">
        <is>
          <t>A 30098-2024</t>
        </is>
      </c>
      <c r="B192" s="1" t="n">
        <v>45489.41609953704</v>
      </c>
      <c r="C192" s="1" t="n">
        <v>46077</v>
      </c>
      <c r="D192" t="inlineStr">
        <is>
          <t>UPPSALA LÄN</t>
        </is>
      </c>
      <c r="E192" t="inlineStr">
        <is>
          <t>ENKÖPING</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57328-2024</t>
        </is>
      </c>
      <c r="B193" s="1" t="n">
        <v>45629.62798611111</v>
      </c>
      <c r="C193" s="1" t="n">
        <v>46077</v>
      </c>
      <c r="D193" t="inlineStr">
        <is>
          <t>UPPSALA LÄN</t>
        </is>
      </c>
      <c r="E193" t="inlineStr">
        <is>
          <t>ENKÖPING</t>
        </is>
      </c>
      <c r="G193" t="n">
        <v>0.8</v>
      </c>
      <c r="H193" t="n">
        <v>0</v>
      </c>
      <c r="I193" t="n">
        <v>0</v>
      </c>
      <c r="J193" t="n">
        <v>0</v>
      </c>
      <c r="K193" t="n">
        <v>0</v>
      </c>
      <c r="L193" t="n">
        <v>0</v>
      </c>
      <c r="M193" t="n">
        <v>0</v>
      </c>
      <c r="N193" t="n">
        <v>0</v>
      </c>
      <c r="O193" t="n">
        <v>0</v>
      </c>
      <c r="P193" t="n">
        <v>0</v>
      </c>
      <c r="Q193" t="n">
        <v>0</v>
      </c>
      <c r="R193" s="2" t="inlineStr"/>
    </row>
    <row r="194" ht="15" customHeight="1">
      <c r="A194" t="inlineStr">
        <is>
          <t>A 67982-2021</t>
        </is>
      </c>
      <c r="B194" s="1" t="n">
        <v>44525</v>
      </c>
      <c r="C194" s="1" t="n">
        <v>46077</v>
      </c>
      <c r="D194" t="inlineStr">
        <is>
          <t>UPPSALA LÄN</t>
        </is>
      </c>
      <c r="E194" t="inlineStr">
        <is>
          <t>ENKÖPING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53496-2022</t>
        </is>
      </c>
      <c r="B195" s="1" t="n">
        <v>44879.57217592592</v>
      </c>
      <c r="C195" s="1" t="n">
        <v>46077</v>
      </c>
      <c r="D195" t="inlineStr">
        <is>
          <t>UPPSALA LÄN</t>
        </is>
      </c>
      <c r="E195" t="inlineStr">
        <is>
          <t>ENKÖPING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57835-2024</t>
        </is>
      </c>
      <c r="B196" s="1" t="n">
        <v>45631.39947916667</v>
      </c>
      <c r="C196" s="1" t="n">
        <v>46077</v>
      </c>
      <c r="D196" t="inlineStr">
        <is>
          <t>UPPSALA LÄN</t>
        </is>
      </c>
      <c r="E196" t="inlineStr">
        <is>
          <t>ENKÖPING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21612-2023</t>
        </is>
      </c>
      <c r="B197" s="1" t="n">
        <v>45063</v>
      </c>
      <c r="C197" s="1" t="n">
        <v>46077</v>
      </c>
      <c r="D197" t="inlineStr">
        <is>
          <t>UPPSALA LÄN</t>
        </is>
      </c>
      <c r="E197" t="inlineStr">
        <is>
          <t>ENKÖPING</t>
        </is>
      </c>
      <c r="F197" t="inlineStr">
        <is>
          <t>Allmännings- och besparingsskogar</t>
        </is>
      </c>
      <c r="G197" t="n">
        <v>1</v>
      </c>
      <c r="H197" t="n">
        <v>0</v>
      </c>
      <c r="I197" t="n">
        <v>0</v>
      </c>
      <c r="J197" t="n">
        <v>0</v>
      </c>
      <c r="K197" t="n">
        <v>0</v>
      </c>
      <c r="L197" t="n">
        <v>0</v>
      </c>
      <c r="M197" t="n">
        <v>0</v>
      </c>
      <c r="N197" t="n">
        <v>0</v>
      </c>
      <c r="O197" t="n">
        <v>0</v>
      </c>
      <c r="P197" t="n">
        <v>0</v>
      </c>
      <c r="Q197" t="n">
        <v>0</v>
      </c>
      <c r="R197" s="2" t="inlineStr"/>
    </row>
    <row r="198" ht="15" customHeight="1">
      <c r="A198" t="inlineStr">
        <is>
          <t>A 39624-2023</t>
        </is>
      </c>
      <c r="B198" s="1" t="n">
        <v>45164</v>
      </c>
      <c r="C198" s="1" t="n">
        <v>46077</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7870-2024</t>
        </is>
      </c>
      <c r="B199" s="1" t="n">
        <v>45350.33349537037</v>
      </c>
      <c r="C199" s="1" t="n">
        <v>46077</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28243-2023</t>
        </is>
      </c>
      <c r="B200" s="1" t="n">
        <v>45099.58885416666</v>
      </c>
      <c r="C200" s="1" t="n">
        <v>46077</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10829-2024</t>
        </is>
      </c>
      <c r="B201" s="1" t="n">
        <v>45369</v>
      </c>
      <c r="C201" s="1" t="n">
        <v>46077</v>
      </c>
      <c r="D201" t="inlineStr">
        <is>
          <t>UPPSALA LÄN</t>
        </is>
      </c>
      <c r="E201" t="inlineStr">
        <is>
          <t>ENKÖPING</t>
        </is>
      </c>
      <c r="G201" t="n">
        <v>2.1</v>
      </c>
      <c r="H201" t="n">
        <v>0</v>
      </c>
      <c r="I201" t="n">
        <v>0</v>
      </c>
      <c r="J201" t="n">
        <v>0</v>
      </c>
      <c r="K201" t="n">
        <v>0</v>
      </c>
      <c r="L201" t="n">
        <v>0</v>
      </c>
      <c r="M201" t="n">
        <v>0</v>
      </c>
      <c r="N201" t="n">
        <v>0</v>
      </c>
      <c r="O201" t="n">
        <v>0</v>
      </c>
      <c r="P201" t="n">
        <v>0</v>
      </c>
      <c r="Q201" t="n">
        <v>0</v>
      </c>
      <c r="R201" s="2" t="inlineStr"/>
    </row>
    <row r="202" ht="15" customHeight="1">
      <c r="A202" t="inlineStr">
        <is>
          <t>A 5892-2023</t>
        </is>
      </c>
      <c r="B202" s="1" t="n">
        <v>44963.64883101852</v>
      </c>
      <c r="C202" s="1" t="n">
        <v>46077</v>
      </c>
      <c r="D202" t="inlineStr">
        <is>
          <t>UPPSALA LÄN</t>
        </is>
      </c>
      <c r="E202" t="inlineStr">
        <is>
          <t>ENKÖPING</t>
        </is>
      </c>
      <c r="G202" t="n">
        <v>5.5</v>
      </c>
      <c r="H202" t="n">
        <v>0</v>
      </c>
      <c r="I202" t="n">
        <v>0</v>
      </c>
      <c r="J202" t="n">
        <v>0</v>
      </c>
      <c r="K202" t="n">
        <v>0</v>
      </c>
      <c r="L202" t="n">
        <v>0</v>
      </c>
      <c r="M202" t="n">
        <v>0</v>
      </c>
      <c r="N202" t="n">
        <v>0</v>
      </c>
      <c r="O202" t="n">
        <v>0</v>
      </c>
      <c r="P202" t="n">
        <v>0</v>
      </c>
      <c r="Q202" t="n">
        <v>0</v>
      </c>
      <c r="R202" s="2" t="inlineStr"/>
    </row>
    <row r="203" ht="15" customHeight="1">
      <c r="A203" t="inlineStr">
        <is>
          <t>A 2161-2023</t>
        </is>
      </c>
      <c r="B203" s="1" t="n">
        <v>44941</v>
      </c>
      <c r="C203" s="1" t="n">
        <v>46077</v>
      </c>
      <c r="D203" t="inlineStr">
        <is>
          <t>UPPSALA LÄN</t>
        </is>
      </c>
      <c r="E203" t="inlineStr">
        <is>
          <t>ENKÖPING</t>
        </is>
      </c>
      <c r="G203" t="n">
        <v>0.9</v>
      </c>
      <c r="H203" t="n">
        <v>0</v>
      </c>
      <c r="I203" t="n">
        <v>0</v>
      </c>
      <c r="J203" t="n">
        <v>0</v>
      </c>
      <c r="K203" t="n">
        <v>0</v>
      </c>
      <c r="L203" t="n">
        <v>0</v>
      </c>
      <c r="M203" t="n">
        <v>0</v>
      </c>
      <c r="N203" t="n">
        <v>0</v>
      </c>
      <c r="O203" t="n">
        <v>0</v>
      </c>
      <c r="P203" t="n">
        <v>0</v>
      </c>
      <c r="Q203" t="n">
        <v>0</v>
      </c>
      <c r="R203" s="2" t="inlineStr"/>
    </row>
    <row r="204" ht="15" customHeight="1">
      <c r="A204" t="inlineStr">
        <is>
          <t>A 2165-2023</t>
        </is>
      </c>
      <c r="B204" s="1" t="n">
        <v>44941</v>
      </c>
      <c r="C204" s="1" t="n">
        <v>46077</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39858-2024</t>
        </is>
      </c>
      <c r="B205" s="1" t="n">
        <v>45553</v>
      </c>
      <c r="C205" s="1" t="n">
        <v>46077</v>
      </c>
      <c r="D205" t="inlineStr">
        <is>
          <t>UPPSALA LÄN</t>
        </is>
      </c>
      <c r="E205" t="inlineStr">
        <is>
          <t>ENKÖPING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56837-2024</t>
        </is>
      </c>
      <c r="B206" s="1" t="n">
        <v>45628</v>
      </c>
      <c r="C206" s="1" t="n">
        <v>46077</v>
      </c>
      <c r="D206" t="inlineStr">
        <is>
          <t>UPPSALA LÄN</t>
        </is>
      </c>
      <c r="E206" t="inlineStr">
        <is>
          <t>ENKÖPING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9957-2023</t>
        </is>
      </c>
      <c r="B207" s="1" t="n">
        <v>44978</v>
      </c>
      <c r="C207" s="1" t="n">
        <v>46077</v>
      </c>
      <c r="D207" t="inlineStr">
        <is>
          <t>UPPSALA LÄN</t>
        </is>
      </c>
      <c r="E207" t="inlineStr">
        <is>
          <t>ENKÖPING</t>
        </is>
      </c>
      <c r="G207" t="n">
        <v>5.9</v>
      </c>
      <c r="H207" t="n">
        <v>0</v>
      </c>
      <c r="I207" t="n">
        <v>0</v>
      </c>
      <c r="J207" t="n">
        <v>0</v>
      </c>
      <c r="K207" t="n">
        <v>0</v>
      </c>
      <c r="L207" t="n">
        <v>0</v>
      </c>
      <c r="M207" t="n">
        <v>0</v>
      </c>
      <c r="N207" t="n">
        <v>0</v>
      </c>
      <c r="O207" t="n">
        <v>0</v>
      </c>
      <c r="P207" t="n">
        <v>0</v>
      </c>
      <c r="Q207" t="n">
        <v>0</v>
      </c>
      <c r="R207" s="2" t="inlineStr"/>
    </row>
    <row r="208" ht="15" customHeight="1">
      <c r="A208" t="inlineStr">
        <is>
          <t>A 55876-2024</t>
        </is>
      </c>
      <c r="B208" s="1" t="n">
        <v>45623.5546412037</v>
      </c>
      <c r="C208" s="1" t="n">
        <v>46077</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1651-2024</t>
        </is>
      </c>
      <c r="B209" s="1" t="n">
        <v>45306.73770833333</v>
      </c>
      <c r="C209" s="1" t="n">
        <v>46077</v>
      </c>
      <c r="D209" t="inlineStr">
        <is>
          <t>UPPSALA LÄN</t>
        </is>
      </c>
      <c r="E209" t="inlineStr">
        <is>
          <t>ENKÖPING</t>
        </is>
      </c>
      <c r="G209" t="n">
        <v>10.2</v>
      </c>
      <c r="H209" t="n">
        <v>0</v>
      </c>
      <c r="I209" t="n">
        <v>0</v>
      </c>
      <c r="J209" t="n">
        <v>0</v>
      </c>
      <c r="K209" t="n">
        <v>0</v>
      </c>
      <c r="L209" t="n">
        <v>0</v>
      </c>
      <c r="M209" t="n">
        <v>0</v>
      </c>
      <c r="N209" t="n">
        <v>0</v>
      </c>
      <c r="O209" t="n">
        <v>0</v>
      </c>
      <c r="P209" t="n">
        <v>0</v>
      </c>
      <c r="Q209" t="n">
        <v>0</v>
      </c>
      <c r="R209" s="2" t="inlineStr"/>
    </row>
    <row r="210" ht="15" customHeight="1">
      <c r="A210" t="inlineStr">
        <is>
          <t>A 13853-2023</t>
        </is>
      </c>
      <c r="B210" s="1" t="n">
        <v>45007</v>
      </c>
      <c r="C210" s="1" t="n">
        <v>46077</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60289-2022</t>
        </is>
      </c>
      <c r="B211" s="1" t="n">
        <v>44910.53026620371</v>
      </c>
      <c r="C211" s="1" t="n">
        <v>46077</v>
      </c>
      <c r="D211" t="inlineStr">
        <is>
          <t>UPPSALA LÄN</t>
        </is>
      </c>
      <c r="E211" t="inlineStr">
        <is>
          <t>ENKÖPING</t>
        </is>
      </c>
      <c r="G211" t="n">
        <v>3.2</v>
      </c>
      <c r="H211" t="n">
        <v>0</v>
      </c>
      <c r="I211" t="n">
        <v>0</v>
      </c>
      <c r="J211" t="n">
        <v>0</v>
      </c>
      <c r="K211" t="n">
        <v>0</v>
      </c>
      <c r="L211" t="n">
        <v>0</v>
      </c>
      <c r="M211" t="n">
        <v>0</v>
      </c>
      <c r="N211" t="n">
        <v>0</v>
      </c>
      <c r="O211" t="n">
        <v>0</v>
      </c>
      <c r="P211" t="n">
        <v>0</v>
      </c>
      <c r="Q211" t="n">
        <v>0</v>
      </c>
      <c r="R211" s="2" t="inlineStr"/>
    </row>
    <row r="212" ht="15" customHeight="1">
      <c r="A212" t="inlineStr">
        <is>
          <t>A 3300-2025</t>
        </is>
      </c>
      <c r="B212" s="1" t="n">
        <v>45679</v>
      </c>
      <c r="C212" s="1" t="n">
        <v>46077</v>
      </c>
      <c r="D212" t="inlineStr">
        <is>
          <t>UPPSALA LÄN</t>
        </is>
      </c>
      <c r="E212" t="inlineStr">
        <is>
          <t>ENKÖPING</t>
        </is>
      </c>
      <c r="G212" t="n">
        <v>8.9</v>
      </c>
      <c r="H212" t="n">
        <v>0</v>
      </c>
      <c r="I212" t="n">
        <v>0</v>
      </c>
      <c r="J212" t="n">
        <v>0</v>
      </c>
      <c r="K212" t="n">
        <v>0</v>
      </c>
      <c r="L212" t="n">
        <v>0</v>
      </c>
      <c r="M212" t="n">
        <v>0</v>
      </c>
      <c r="N212" t="n">
        <v>0</v>
      </c>
      <c r="O212" t="n">
        <v>0</v>
      </c>
      <c r="P212" t="n">
        <v>0</v>
      </c>
      <c r="Q212" t="n">
        <v>0</v>
      </c>
      <c r="R212" s="2" t="inlineStr"/>
    </row>
    <row r="213" ht="15" customHeight="1">
      <c r="A213" t="inlineStr">
        <is>
          <t>A 63310-2021</t>
        </is>
      </c>
      <c r="B213" s="1" t="n">
        <v>44508</v>
      </c>
      <c r="C213" s="1" t="n">
        <v>46077</v>
      </c>
      <c r="D213" t="inlineStr">
        <is>
          <t>UPPSALA LÄN</t>
        </is>
      </c>
      <c r="E213" t="inlineStr">
        <is>
          <t>ENKÖPING</t>
        </is>
      </c>
      <c r="G213" t="n">
        <v>3.5</v>
      </c>
      <c r="H213" t="n">
        <v>0</v>
      </c>
      <c r="I213" t="n">
        <v>0</v>
      </c>
      <c r="J213" t="n">
        <v>0</v>
      </c>
      <c r="K213" t="n">
        <v>0</v>
      </c>
      <c r="L213" t="n">
        <v>0</v>
      </c>
      <c r="M213" t="n">
        <v>0</v>
      </c>
      <c r="N213" t="n">
        <v>0</v>
      </c>
      <c r="O213" t="n">
        <v>0</v>
      </c>
      <c r="P213" t="n">
        <v>0</v>
      </c>
      <c r="Q213" t="n">
        <v>0</v>
      </c>
      <c r="R213" s="2" t="inlineStr"/>
    </row>
    <row r="214" ht="15" customHeight="1">
      <c r="A214" t="inlineStr">
        <is>
          <t>A 8152-2022</t>
        </is>
      </c>
      <c r="B214" s="1" t="n">
        <v>44609</v>
      </c>
      <c r="C214" s="1" t="n">
        <v>46077</v>
      </c>
      <c r="D214" t="inlineStr">
        <is>
          <t>UPPSALA LÄN</t>
        </is>
      </c>
      <c r="E214" t="inlineStr">
        <is>
          <t>ENKÖPING</t>
        </is>
      </c>
      <c r="F214" t="inlineStr">
        <is>
          <t>Kyrkan</t>
        </is>
      </c>
      <c r="G214" t="n">
        <v>1.3</v>
      </c>
      <c r="H214" t="n">
        <v>0</v>
      </c>
      <c r="I214" t="n">
        <v>0</v>
      </c>
      <c r="J214" t="n">
        <v>0</v>
      </c>
      <c r="K214" t="n">
        <v>0</v>
      </c>
      <c r="L214" t="n">
        <v>0</v>
      </c>
      <c r="M214" t="n">
        <v>0</v>
      </c>
      <c r="N214" t="n">
        <v>0</v>
      </c>
      <c r="O214" t="n">
        <v>0</v>
      </c>
      <c r="P214" t="n">
        <v>0</v>
      </c>
      <c r="Q214" t="n">
        <v>0</v>
      </c>
      <c r="R214" s="2" t="inlineStr"/>
    </row>
    <row r="215" ht="15" customHeight="1">
      <c r="A215" t="inlineStr">
        <is>
          <t>A 61106-2022</t>
        </is>
      </c>
      <c r="B215" s="1" t="n">
        <v>44915.4128587963</v>
      </c>
      <c r="C215" s="1" t="n">
        <v>46077</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9171-2024</t>
        </is>
      </c>
      <c r="B216" s="1" t="n">
        <v>45358</v>
      </c>
      <c r="C216" s="1" t="n">
        <v>46077</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17657-2025</t>
        </is>
      </c>
      <c r="B217" s="1" t="n">
        <v>45758.35006944444</v>
      </c>
      <c r="C217" s="1" t="n">
        <v>46077</v>
      </c>
      <c r="D217" t="inlineStr">
        <is>
          <t>UPPSALA LÄN</t>
        </is>
      </c>
      <c r="E217" t="inlineStr">
        <is>
          <t>ENKÖPING</t>
        </is>
      </c>
      <c r="G217" t="n">
        <v>3</v>
      </c>
      <c r="H217" t="n">
        <v>0</v>
      </c>
      <c r="I217" t="n">
        <v>0</v>
      </c>
      <c r="J217" t="n">
        <v>0</v>
      </c>
      <c r="K217" t="n">
        <v>0</v>
      </c>
      <c r="L217" t="n">
        <v>0</v>
      </c>
      <c r="M217" t="n">
        <v>0</v>
      </c>
      <c r="N217" t="n">
        <v>0</v>
      </c>
      <c r="O217" t="n">
        <v>0</v>
      </c>
      <c r="P217" t="n">
        <v>0</v>
      </c>
      <c r="Q217" t="n">
        <v>0</v>
      </c>
      <c r="R217" s="2" t="inlineStr"/>
    </row>
    <row r="218" ht="15" customHeight="1">
      <c r="A218" t="inlineStr">
        <is>
          <t>A 51120-2023</t>
        </is>
      </c>
      <c r="B218" s="1" t="n">
        <v>45219.3088425926</v>
      </c>
      <c r="C218" s="1" t="n">
        <v>46077</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671-2022</t>
        </is>
      </c>
      <c r="B219" s="1" t="n">
        <v>44568</v>
      </c>
      <c r="C219" s="1" t="n">
        <v>46077</v>
      </c>
      <c r="D219" t="inlineStr">
        <is>
          <t>UPPSALA LÄN</t>
        </is>
      </c>
      <c r="E219" t="inlineStr">
        <is>
          <t>ENKÖPING</t>
        </is>
      </c>
      <c r="G219" t="n">
        <v>3.5</v>
      </c>
      <c r="H219" t="n">
        <v>0</v>
      </c>
      <c r="I219" t="n">
        <v>0</v>
      </c>
      <c r="J219" t="n">
        <v>0</v>
      </c>
      <c r="K219" t="n">
        <v>0</v>
      </c>
      <c r="L219" t="n">
        <v>0</v>
      </c>
      <c r="M219" t="n">
        <v>0</v>
      </c>
      <c r="N219" t="n">
        <v>0</v>
      </c>
      <c r="O219" t="n">
        <v>0</v>
      </c>
      <c r="P219" t="n">
        <v>0</v>
      </c>
      <c r="Q219" t="n">
        <v>0</v>
      </c>
      <c r="R219" s="2" t="inlineStr"/>
    </row>
    <row r="220" ht="15" customHeight="1">
      <c r="A220" t="inlineStr">
        <is>
          <t>A 26319-2022</t>
        </is>
      </c>
      <c r="B220" s="1" t="n">
        <v>44735</v>
      </c>
      <c r="C220" s="1" t="n">
        <v>46077</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11005-2023</t>
        </is>
      </c>
      <c r="B221" s="1" t="n">
        <v>44991</v>
      </c>
      <c r="C221" s="1" t="n">
        <v>46077</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54357-2023</t>
        </is>
      </c>
      <c r="B222" s="1" t="n">
        <v>45225</v>
      </c>
      <c r="C222" s="1" t="n">
        <v>46077</v>
      </c>
      <c r="D222" t="inlineStr">
        <is>
          <t>UPPSALA LÄN</t>
        </is>
      </c>
      <c r="E222" t="inlineStr">
        <is>
          <t>ENKÖPING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29918-2023</t>
        </is>
      </c>
      <c r="B223" s="1" t="n">
        <v>45099</v>
      </c>
      <c r="C223" s="1" t="n">
        <v>46077</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13816-2021</t>
        </is>
      </c>
      <c r="B224" s="1" t="n">
        <v>44276</v>
      </c>
      <c r="C224" s="1" t="n">
        <v>46077</v>
      </c>
      <c r="D224" t="inlineStr">
        <is>
          <t>UPPSALA LÄN</t>
        </is>
      </c>
      <c r="E224" t="inlineStr">
        <is>
          <t>ENKÖPING</t>
        </is>
      </c>
      <c r="G224" t="n">
        <v>0.4</v>
      </c>
      <c r="H224" t="n">
        <v>0</v>
      </c>
      <c r="I224" t="n">
        <v>0</v>
      </c>
      <c r="J224" t="n">
        <v>0</v>
      </c>
      <c r="K224" t="n">
        <v>0</v>
      </c>
      <c r="L224" t="n">
        <v>0</v>
      </c>
      <c r="M224" t="n">
        <v>0</v>
      </c>
      <c r="N224" t="n">
        <v>0</v>
      </c>
      <c r="O224" t="n">
        <v>0</v>
      </c>
      <c r="P224" t="n">
        <v>0</v>
      </c>
      <c r="Q224" t="n">
        <v>0</v>
      </c>
      <c r="R224" s="2" t="inlineStr"/>
    </row>
    <row r="225" ht="15" customHeight="1">
      <c r="A225" t="inlineStr">
        <is>
          <t>A 15939-2022</t>
        </is>
      </c>
      <c r="B225" s="1" t="n">
        <v>44664</v>
      </c>
      <c r="C225" s="1" t="n">
        <v>46077</v>
      </c>
      <c r="D225" t="inlineStr">
        <is>
          <t>UPPSALA LÄN</t>
        </is>
      </c>
      <c r="E225" t="inlineStr">
        <is>
          <t>ENKÖPING</t>
        </is>
      </c>
      <c r="G225" t="n">
        <v>2</v>
      </c>
      <c r="H225" t="n">
        <v>0</v>
      </c>
      <c r="I225" t="n">
        <v>0</v>
      </c>
      <c r="J225" t="n">
        <v>0</v>
      </c>
      <c r="K225" t="n">
        <v>0</v>
      </c>
      <c r="L225" t="n">
        <v>0</v>
      </c>
      <c r="M225" t="n">
        <v>0</v>
      </c>
      <c r="N225" t="n">
        <v>0</v>
      </c>
      <c r="O225" t="n">
        <v>0</v>
      </c>
      <c r="P225" t="n">
        <v>0</v>
      </c>
      <c r="Q225" t="n">
        <v>0</v>
      </c>
      <c r="R225" s="2" t="inlineStr"/>
    </row>
    <row r="226" ht="15" customHeight="1">
      <c r="A226" t="inlineStr">
        <is>
          <t>A 58384-2022</t>
        </is>
      </c>
      <c r="B226" s="1" t="n">
        <v>44901</v>
      </c>
      <c r="C226" s="1" t="n">
        <v>46077</v>
      </c>
      <c r="D226" t="inlineStr">
        <is>
          <t>UPPSALA LÄN</t>
        </is>
      </c>
      <c r="E226" t="inlineStr">
        <is>
          <t>ENKÖPING</t>
        </is>
      </c>
      <c r="G226" t="n">
        <v>0.7</v>
      </c>
      <c r="H226" t="n">
        <v>0</v>
      </c>
      <c r="I226" t="n">
        <v>0</v>
      </c>
      <c r="J226" t="n">
        <v>0</v>
      </c>
      <c r="K226" t="n">
        <v>0</v>
      </c>
      <c r="L226" t="n">
        <v>0</v>
      </c>
      <c r="M226" t="n">
        <v>0</v>
      </c>
      <c r="N226" t="n">
        <v>0</v>
      </c>
      <c r="O226" t="n">
        <v>0</v>
      </c>
      <c r="P226" t="n">
        <v>0</v>
      </c>
      <c r="Q226" t="n">
        <v>0</v>
      </c>
      <c r="R226" s="2" t="inlineStr"/>
    </row>
    <row r="227" ht="15" customHeight="1">
      <c r="A227" t="inlineStr">
        <is>
          <t>A 43016-2021</t>
        </is>
      </c>
      <c r="B227" s="1" t="n">
        <v>44431</v>
      </c>
      <c r="C227" s="1" t="n">
        <v>46077</v>
      </c>
      <c r="D227" t="inlineStr">
        <is>
          <t>UPPSALA LÄN</t>
        </is>
      </c>
      <c r="E227" t="inlineStr">
        <is>
          <t>ENKÖPING</t>
        </is>
      </c>
      <c r="G227" t="n">
        <v>1.5</v>
      </c>
      <c r="H227" t="n">
        <v>0</v>
      </c>
      <c r="I227" t="n">
        <v>0</v>
      </c>
      <c r="J227" t="n">
        <v>0</v>
      </c>
      <c r="K227" t="n">
        <v>0</v>
      </c>
      <c r="L227" t="n">
        <v>0</v>
      </c>
      <c r="M227" t="n">
        <v>0</v>
      </c>
      <c r="N227" t="n">
        <v>0</v>
      </c>
      <c r="O227" t="n">
        <v>0</v>
      </c>
      <c r="P227" t="n">
        <v>0</v>
      </c>
      <c r="Q227" t="n">
        <v>0</v>
      </c>
      <c r="R227" s="2" t="inlineStr"/>
    </row>
    <row r="228" ht="15" customHeight="1">
      <c r="A228" t="inlineStr">
        <is>
          <t>A 50394-2024</t>
        </is>
      </c>
      <c r="B228" s="1" t="n">
        <v>45600</v>
      </c>
      <c r="C228" s="1" t="n">
        <v>46077</v>
      </c>
      <c r="D228" t="inlineStr">
        <is>
          <t>UPPSALA LÄN</t>
        </is>
      </c>
      <c r="E228" t="inlineStr">
        <is>
          <t>ENKÖPING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15893-2024</t>
        </is>
      </c>
      <c r="B229" s="1" t="n">
        <v>45405</v>
      </c>
      <c r="C229" s="1" t="n">
        <v>46077</v>
      </c>
      <c r="D229" t="inlineStr">
        <is>
          <t>UPPSALA LÄN</t>
        </is>
      </c>
      <c r="E229" t="inlineStr">
        <is>
          <t>ENKÖPING</t>
        </is>
      </c>
      <c r="G229" t="n">
        <v>1.9</v>
      </c>
      <c r="H229" t="n">
        <v>0</v>
      </c>
      <c r="I229" t="n">
        <v>0</v>
      </c>
      <c r="J229" t="n">
        <v>0</v>
      </c>
      <c r="K229" t="n">
        <v>0</v>
      </c>
      <c r="L229" t="n">
        <v>0</v>
      </c>
      <c r="M229" t="n">
        <v>0</v>
      </c>
      <c r="N229" t="n">
        <v>0</v>
      </c>
      <c r="O229" t="n">
        <v>0</v>
      </c>
      <c r="P229" t="n">
        <v>0</v>
      </c>
      <c r="Q229" t="n">
        <v>0</v>
      </c>
      <c r="R229" s="2" t="inlineStr"/>
    </row>
    <row r="230" ht="15" customHeight="1">
      <c r="A230" t="inlineStr">
        <is>
          <t>A 33343-2024</t>
        </is>
      </c>
      <c r="B230" s="1" t="n">
        <v>45519</v>
      </c>
      <c r="C230" s="1" t="n">
        <v>46077</v>
      </c>
      <c r="D230" t="inlineStr">
        <is>
          <t>UPPSALA LÄN</t>
        </is>
      </c>
      <c r="E230" t="inlineStr">
        <is>
          <t>ENKÖPING</t>
        </is>
      </c>
      <c r="G230" t="n">
        <v>2</v>
      </c>
      <c r="H230" t="n">
        <v>0</v>
      </c>
      <c r="I230" t="n">
        <v>0</v>
      </c>
      <c r="J230" t="n">
        <v>0</v>
      </c>
      <c r="K230" t="n">
        <v>0</v>
      </c>
      <c r="L230" t="n">
        <v>0</v>
      </c>
      <c r="M230" t="n">
        <v>0</v>
      </c>
      <c r="N230" t="n">
        <v>0</v>
      </c>
      <c r="O230" t="n">
        <v>0</v>
      </c>
      <c r="P230" t="n">
        <v>0</v>
      </c>
      <c r="Q230" t="n">
        <v>0</v>
      </c>
      <c r="R230" s="2" t="inlineStr"/>
    </row>
    <row r="231" ht="15" customHeight="1">
      <c r="A231" t="inlineStr">
        <is>
          <t>A 63402-2023</t>
        </is>
      </c>
      <c r="B231" s="1" t="n">
        <v>45274.50646990741</v>
      </c>
      <c r="C231" s="1" t="n">
        <v>46077</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53208-2023</t>
        </is>
      </c>
      <c r="B232" s="1" t="n">
        <v>45226</v>
      </c>
      <c r="C232" s="1" t="n">
        <v>46077</v>
      </c>
      <c r="D232" t="inlineStr">
        <is>
          <t>UPPSALA LÄN</t>
        </is>
      </c>
      <c r="E232" t="inlineStr">
        <is>
          <t>ENKÖPING</t>
        </is>
      </c>
      <c r="G232" t="n">
        <v>4.3</v>
      </c>
      <c r="H232" t="n">
        <v>0</v>
      </c>
      <c r="I232" t="n">
        <v>0</v>
      </c>
      <c r="J232" t="n">
        <v>0</v>
      </c>
      <c r="K232" t="n">
        <v>0</v>
      </c>
      <c r="L232" t="n">
        <v>0</v>
      </c>
      <c r="M232" t="n">
        <v>0</v>
      </c>
      <c r="N232" t="n">
        <v>0</v>
      </c>
      <c r="O232" t="n">
        <v>0</v>
      </c>
      <c r="P232" t="n">
        <v>0</v>
      </c>
      <c r="Q232" t="n">
        <v>0</v>
      </c>
      <c r="R232" s="2" t="inlineStr"/>
    </row>
    <row r="233" ht="15" customHeight="1">
      <c r="A233" t="inlineStr">
        <is>
          <t>A 57142-2021</t>
        </is>
      </c>
      <c r="B233" s="1" t="n">
        <v>44482</v>
      </c>
      <c r="C233" s="1" t="n">
        <v>46077</v>
      </c>
      <c r="D233" t="inlineStr">
        <is>
          <t>UPPSALA LÄN</t>
        </is>
      </c>
      <c r="E233" t="inlineStr">
        <is>
          <t>ENKÖPING</t>
        </is>
      </c>
      <c r="G233" t="n">
        <v>0.7</v>
      </c>
      <c r="H233" t="n">
        <v>0</v>
      </c>
      <c r="I233" t="n">
        <v>0</v>
      </c>
      <c r="J233" t="n">
        <v>0</v>
      </c>
      <c r="K233" t="n">
        <v>0</v>
      </c>
      <c r="L233" t="n">
        <v>0</v>
      </c>
      <c r="M233" t="n">
        <v>0</v>
      </c>
      <c r="N233" t="n">
        <v>0</v>
      </c>
      <c r="O233" t="n">
        <v>0</v>
      </c>
      <c r="P233" t="n">
        <v>0</v>
      </c>
      <c r="Q233" t="n">
        <v>0</v>
      </c>
      <c r="R233" s="2" t="inlineStr"/>
    </row>
    <row r="234" ht="15" customHeight="1">
      <c r="A234" t="inlineStr">
        <is>
          <t>A 57153-2021</t>
        </is>
      </c>
      <c r="B234" s="1" t="n">
        <v>44482</v>
      </c>
      <c r="C234" s="1" t="n">
        <v>46077</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72840-2021</t>
        </is>
      </c>
      <c r="B235" s="1" t="n">
        <v>44547</v>
      </c>
      <c r="C235" s="1" t="n">
        <v>46077</v>
      </c>
      <c r="D235" t="inlineStr">
        <is>
          <t>UPPSALA LÄN</t>
        </is>
      </c>
      <c r="E235" t="inlineStr">
        <is>
          <t>ENKÖPING</t>
        </is>
      </c>
      <c r="G235" t="n">
        <v>1.9</v>
      </c>
      <c r="H235" t="n">
        <v>0</v>
      </c>
      <c r="I235" t="n">
        <v>0</v>
      </c>
      <c r="J235" t="n">
        <v>0</v>
      </c>
      <c r="K235" t="n">
        <v>0</v>
      </c>
      <c r="L235" t="n">
        <v>0</v>
      </c>
      <c r="M235" t="n">
        <v>0</v>
      </c>
      <c r="N235" t="n">
        <v>0</v>
      </c>
      <c r="O235" t="n">
        <v>0</v>
      </c>
      <c r="P235" t="n">
        <v>0</v>
      </c>
      <c r="Q235" t="n">
        <v>0</v>
      </c>
      <c r="R235" s="2" t="inlineStr"/>
    </row>
    <row r="236" ht="15" customHeight="1">
      <c r="A236" t="inlineStr">
        <is>
          <t>A 5188-2022</t>
        </is>
      </c>
      <c r="B236" s="1" t="n">
        <v>44594.4471412037</v>
      </c>
      <c r="C236" s="1" t="n">
        <v>46077</v>
      </c>
      <c r="D236" t="inlineStr">
        <is>
          <t>UPPSALA LÄN</t>
        </is>
      </c>
      <c r="E236" t="inlineStr">
        <is>
          <t>ENKÖPING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19014-2025</t>
        </is>
      </c>
      <c r="B237" s="1" t="n">
        <v>45764.59631944444</v>
      </c>
      <c r="C237" s="1" t="n">
        <v>46077</v>
      </c>
      <c r="D237" t="inlineStr">
        <is>
          <t>UPPSALA LÄN</t>
        </is>
      </c>
      <c r="E237" t="inlineStr">
        <is>
          <t>ENKÖPING</t>
        </is>
      </c>
      <c r="G237" t="n">
        <v>0.2</v>
      </c>
      <c r="H237" t="n">
        <v>0</v>
      </c>
      <c r="I237" t="n">
        <v>0</v>
      </c>
      <c r="J237" t="n">
        <v>0</v>
      </c>
      <c r="K237" t="n">
        <v>0</v>
      </c>
      <c r="L237" t="n">
        <v>0</v>
      </c>
      <c r="M237" t="n">
        <v>0</v>
      </c>
      <c r="N237" t="n">
        <v>0</v>
      </c>
      <c r="O237" t="n">
        <v>0</v>
      </c>
      <c r="P237" t="n">
        <v>0</v>
      </c>
      <c r="Q237" t="n">
        <v>0</v>
      </c>
      <c r="R237" s="2" t="inlineStr"/>
    </row>
    <row r="238" ht="15" customHeight="1">
      <c r="A238" t="inlineStr">
        <is>
          <t>A 43691-2024</t>
        </is>
      </c>
      <c r="B238" s="1" t="n">
        <v>45569</v>
      </c>
      <c r="C238" s="1" t="n">
        <v>46077</v>
      </c>
      <c r="D238" t="inlineStr">
        <is>
          <t>UPPSALA LÄN</t>
        </is>
      </c>
      <c r="E238" t="inlineStr">
        <is>
          <t>ENKÖPING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37870-2023</t>
        </is>
      </c>
      <c r="B239" s="1" t="n">
        <v>45160.41996527778</v>
      </c>
      <c r="C239" s="1" t="n">
        <v>46077</v>
      </c>
      <c r="D239" t="inlineStr">
        <is>
          <t>UPPSALA LÄN</t>
        </is>
      </c>
      <c r="E239" t="inlineStr">
        <is>
          <t>ENKÖPING</t>
        </is>
      </c>
      <c r="G239" t="n">
        <v>3.5</v>
      </c>
      <c r="H239" t="n">
        <v>0</v>
      </c>
      <c r="I239" t="n">
        <v>0</v>
      </c>
      <c r="J239" t="n">
        <v>0</v>
      </c>
      <c r="K239" t="n">
        <v>0</v>
      </c>
      <c r="L239" t="n">
        <v>0</v>
      </c>
      <c r="M239" t="n">
        <v>0</v>
      </c>
      <c r="N239" t="n">
        <v>0</v>
      </c>
      <c r="O239" t="n">
        <v>0</v>
      </c>
      <c r="P239" t="n">
        <v>0</v>
      </c>
      <c r="Q239" t="n">
        <v>0</v>
      </c>
      <c r="R239" s="2" t="inlineStr"/>
    </row>
    <row r="240" ht="15" customHeight="1">
      <c r="A240" t="inlineStr">
        <is>
          <t>A 7090-2022</t>
        </is>
      </c>
      <c r="B240" s="1" t="n">
        <v>44603.59520833333</v>
      </c>
      <c r="C240" s="1" t="n">
        <v>46077</v>
      </c>
      <c r="D240" t="inlineStr">
        <is>
          <t>UPPSALA LÄN</t>
        </is>
      </c>
      <c r="E240" t="inlineStr">
        <is>
          <t>ENKÖPING</t>
        </is>
      </c>
      <c r="G240" t="n">
        <v>2.8</v>
      </c>
      <c r="H240" t="n">
        <v>0</v>
      </c>
      <c r="I240" t="n">
        <v>0</v>
      </c>
      <c r="J240" t="n">
        <v>0</v>
      </c>
      <c r="K240" t="n">
        <v>0</v>
      </c>
      <c r="L240" t="n">
        <v>0</v>
      </c>
      <c r="M240" t="n">
        <v>0</v>
      </c>
      <c r="N240" t="n">
        <v>0</v>
      </c>
      <c r="O240" t="n">
        <v>0</v>
      </c>
      <c r="P240" t="n">
        <v>0</v>
      </c>
      <c r="Q240" t="n">
        <v>0</v>
      </c>
      <c r="R240" s="2" t="inlineStr"/>
    </row>
    <row r="241" ht="15" customHeight="1">
      <c r="A241" t="inlineStr">
        <is>
          <t>A 49063-2024</t>
        </is>
      </c>
      <c r="B241" s="1" t="n">
        <v>45594.59869212963</v>
      </c>
      <c r="C241" s="1" t="n">
        <v>46077</v>
      </c>
      <c r="D241" t="inlineStr">
        <is>
          <t>UPPSALA LÄN</t>
        </is>
      </c>
      <c r="E241" t="inlineStr">
        <is>
          <t>ENKÖPING</t>
        </is>
      </c>
      <c r="G241" t="n">
        <v>1.5</v>
      </c>
      <c r="H241" t="n">
        <v>0</v>
      </c>
      <c r="I241" t="n">
        <v>0</v>
      </c>
      <c r="J241" t="n">
        <v>0</v>
      </c>
      <c r="K241" t="n">
        <v>0</v>
      </c>
      <c r="L241" t="n">
        <v>0</v>
      </c>
      <c r="M241" t="n">
        <v>0</v>
      </c>
      <c r="N241" t="n">
        <v>0</v>
      </c>
      <c r="O241" t="n">
        <v>0</v>
      </c>
      <c r="P241" t="n">
        <v>0</v>
      </c>
      <c r="Q241" t="n">
        <v>0</v>
      </c>
      <c r="R241" s="2" t="inlineStr"/>
    </row>
    <row r="242" ht="15" customHeight="1">
      <c r="A242" t="inlineStr">
        <is>
          <t>A 31242-2024</t>
        </is>
      </c>
      <c r="B242" s="1" t="n">
        <v>45503</v>
      </c>
      <c r="C242" s="1" t="n">
        <v>46077</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19376-2024</t>
        </is>
      </c>
      <c r="B243" s="1" t="n">
        <v>45429</v>
      </c>
      <c r="C243" s="1" t="n">
        <v>46077</v>
      </c>
      <c r="D243" t="inlineStr">
        <is>
          <t>UPPSALA LÄN</t>
        </is>
      </c>
      <c r="E243" t="inlineStr">
        <is>
          <t>ENKÖPING</t>
        </is>
      </c>
      <c r="G243" t="n">
        <v>1.6</v>
      </c>
      <c r="H243" t="n">
        <v>0</v>
      </c>
      <c r="I243" t="n">
        <v>0</v>
      </c>
      <c r="J243" t="n">
        <v>0</v>
      </c>
      <c r="K243" t="n">
        <v>0</v>
      </c>
      <c r="L243" t="n">
        <v>0</v>
      </c>
      <c r="M243" t="n">
        <v>0</v>
      </c>
      <c r="N243" t="n">
        <v>0</v>
      </c>
      <c r="O243" t="n">
        <v>0</v>
      </c>
      <c r="P243" t="n">
        <v>0</v>
      </c>
      <c r="Q243" t="n">
        <v>0</v>
      </c>
      <c r="R243" s="2" t="inlineStr"/>
    </row>
    <row r="244" ht="15" customHeight="1">
      <c r="A244" t="inlineStr">
        <is>
          <t>A 14083-2025</t>
        </is>
      </c>
      <c r="B244" s="1" t="n">
        <v>45740</v>
      </c>
      <c r="C244" s="1" t="n">
        <v>46077</v>
      </c>
      <c r="D244" t="inlineStr">
        <is>
          <t>UPPSALA LÄN</t>
        </is>
      </c>
      <c r="E244" t="inlineStr">
        <is>
          <t>ENKÖPING</t>
        </is>
      </c>
      <c r="G244" t="n">
        <v>1.1</v>
      </c>
      <c r="H244" t="n">
        <v>0</v>
      </c>
      <c r="I244" t="n">
        <v>0</v>
      </c>
      <c r="J244" t="n">
        <v>0</v>
      </c>
      <c r="K244" t="n">
        <v>0</v>
      </c>
      <c r="L244" t="n">
        <v>0</v>
      </c>
      <c r="M244" t="n">
        <v>0</v>
      </c>
      <c r="N244" t="n">
        <v>0</v>
      </c>
      <c r="O244" t="n">
        <v>0</v>
      </c>
      <c r="P244" t="n">
        <v>0</v>
      </c>
      <c r="Q244" t="n">
        <v>0</v>
      </c>
      <c r="R244" s="2" t="inlineStr"/>
    </row>
    <row r="245" ht="15" customHeight="1">
      <c r="A245" t="inlineStr">
        <is>
          <t>A 2162-2023</t>
        </is>
      </c>
      <c r="B245" s="1" t="n">
        <v>44941</v>
      </c>
      <c r="C245" s="1" t="n">
        <v>46077</v>
      </c>
      <c r="D245" t="inlineStr">
        <is>
          <t>UPPSALA LÄN</t>
        </is>
      </c>
      <c r="E245" t="inlineStr">
        <is>
          <t>ENKÖPING</t>
        </is>
      </c>
      <c r="G245" t="n">
        <v>2.4</v>
      </c>
      <c r="H245" t="n">
        <v>0</v>
      </c>
      <c r="I245" t="n">
        <v>0</v>
      </c>
      <c r="J245" t="n">
        <v>0</v>
      </c>
      <c r="K245" t="n">
        <v>0</v>
      </c>
      <c r="L245" t="n">
        <v>0</v>
      </c>
      <c r="M245" t="n">
        <v>0</v>
      </c>
      <c r="N245" t="n">
        <v>0</v>
      </c>
      <c r="O245" t="n">
        <v>0</v>
      </c>
      <c r="P245" t="n">
        <v>0</v>
      </c>
      <c r="Q245" t="n">
        <v>0</v>
      </c>
      <c r="R245" s="2" t="inlineStr"/>
    </row>
    <row r="246" ht="15" customHeight="1">
      <c r="A246" t="inlineStr">
        <is>
          <t>A 19298-2023</t>
        </is>
      </c>
      <c r="B246" s="1" t="n">
        <v>45048</v>
      </c>
      <c r="C246" s="1" t="n">
        <v>46077</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56163-2021</t>
        </is>
      </c>
      <c r="B247" s="1" t="n">
        <v>44477</v>
      </c>
      <c r="C247" s="1" t="n">
        <v>46077</v>
      </c>
      <c r="D247" t="inlineStr">
        <is>
          <t>UPPSALA LÄN</t>
        </is>
      </c>
      <c r="E247" t="inlineStr">
        <is>
          <t>ENKÖPING</t>
        </is>
      </c>
      <c r="F247" t="inlineStr">
        <is>
          <t>Allmännings- och besparingsskogar</t>
        </is>
      </c>
      <c r="G247" t="n">
        <v>0.6</v>
      </c>
      <c r="H247" t="n">
        <v>0</v>
      </c>
      <c r="I247" t="n">
        <v>0</v>
      </c>
      <c r="J247" t="n">
        <v>0</v>
      </c>
      <c r="K247" t="n">
        <v>0</v>
      </c>
      <c r="L247" t="n">
        <v>0</v>
      </c>
      <c r="M247" t="n">
        <v>0</v>
      </c>
      <c r="N247" t="n">
        <v>0</v>
      </c>
      <c r="O247" t="n">
        <v>0</v>
      </c>
      <c r="P247" t="n">
        <v>0</v>
      </c>
      <c r="Q247" t="n">
        <v>0</v>
      </c>
      <c r="R247" s="2" t="inlineStr"/>
    </row>
    <row r="248" ht="15" customHeight="1">
      <c r="A248" t="inlineStr">
        <is>
          <t>A 28318-2024</t>
        </is>
      </c>
      <c r="B248" s="1" t="n">
        <v>45477</v>
      </c>
      <c r="C248" s="1" t="n">
        <v>46077</v>
      </c>
      <c r="D248" t="inlineStr">
        <is>
          <t>UPPSALA LÄN</t>
        </is>
      </c>
      <c r="E248" t="inlineStr">
        <is>
          <t>ENKÖPING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15409-2025</t>
        </is>
      </c>
      <c r="B249" s="1" t="n">
        <v>45747</v>
      </c>
      <c r="C249" s="1" t="n">
        <v>46077</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18259-2025</t>
        </is>
      </c>
      <c r="B250" s="1" t="n">
        <v>45762</v>
      </c>
      <c r="C250" s="1" t="n">
        <v>46077</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62158-2023</t>
        </is>
      </c>
      <c r="B251" s="1" t="n">
        <v>45267</v>
      </c>
      <c r="C251" s="1" t="n">
        <v>46077</v>
      </c>
      <c r="D251" t="inlineStr">
        <is>
          <t>UPPSALA LÄN</t>
        </is>
      </c>
      <c r="E251" t="inlineStr">
        <is>
          <t>ENKÖPING</t>
        </is>
      </c>
      <c r="G251" t="n">
        <v>1.4</v>
      </c>
      <c r="H251" t="n">
        <v>0</v>
      </c>
      <c r="I251" t="n">
        <v>0</v>
      </c>
      <c r="J251" t="n">
        <v>0</v>
      </c>
      <c r="K251" t="n">
        <v>0</v>
      </c>
      <c r="L251" t="n">
        <v>0</v>
      </c>
      <c r="M251" t="n">
        <v>0</v>
      </c>
      <c r="N251" t="n">
        <v>0</v>
      </c>
      <c r="O251" t="n">
        <v>0</v>
      </c>
      <c r="P251" t="n">
        <v>0</v>
      </c>
      <c r="Q251" t="n">
        <v>0</v>
      </c>
      <c r="R251" s="2" t="inlineStr"/>
    </row>
    <row r="252" ht="15" customHeight="1">
      <c r="A252" t="inlineStr">
        <is>
          <t>A 14402-2023</t>
        </is>
      </c>
      <c r="B252" s="1" t="n">
        <v>45012</v>
      </c>
      <c r="C252" s="1" t="n">
        <v>46077</v>
      </c>
      <c r="D252" t="inlineStr">
        <is>
          <t>UPPSALA LÄN</t>
        </is>
      </c>
      <c r="E252" t="inlineStr">
        <is>
          <t>ENKÖPING</t>
        </is>
      </c>
      <c r="G252" t="n">
        <v>9.5</v>
      </c>
      <c r="H252" t="n">
        <v>0</v>
      </c>
      <c r="I252" t="n">
        <v>0</v>
      </c>
      <c r="J252" t="n">
        <v>0</v>
      </c>
      <c r="K252" t="n">
        <v>0</v>
      </c>
      <c r="L252" t="n">
        <v>0</v>
      </c>
      <c r="M252" t="n">
        <v>0</v>
      </c>
      <c r="N252" t="n">
        <v>0</v>
      </c>
      <c r="O252" t="n">
        <v>0</v>
      </c>
      <c r="P252" t="n">
        <v>0</v>
      </c>
      <c r="Q252" t="n">
        <v>0</v>
      </c>
      <c r="R252" s="2" t="inlineStr"/>
    </row>
    <row r="253" ht="15" customHeight="1">
      <c r="A253" t="inlineStr">
        <is>
          <t>A 60874-2023</t>
        </is>
      </c>
      <c r="B253" s="1" t="n">
        <v>45261.06280092592</v>
      </c>
      <c r="C253" s="1" t="n">
        <v>46077</v>
      </c>
      <c r="D253" t="inlineStr">
        <is>
          <t>UPPSALA LÄN</t>
        </is>
      </c>
      <c r="E253" t="inlineStr">
        <is>
          <t>ENKÖPING</t>
        </is>
      </c>
      <c r="G253" t="n">
        <v>1.5</v>
      </c>
      <c r="H253" t="n">
        <v>0</v>
      </c>
      <c r="I253" t="n">
        <v>0</v>
      </c>
      <c r="J253" t="n">
        <v>0</v>
      </c>
      <c r="K253" t="n">
        <v>0</v>
      </c>
      <c r="L253" t="n">
        <v>0</v>
      </c>
      <c r="M253" t="n">
        <v>0</v>
      </c>
      <c r="N253" t="n">
        <v>0</v>
      </c>
      <c r="O253" t="n">
        <v>0</v>
      </c>
      <c r="P253" t="n">
        <v>0</v>
      </c>
      <c r="Q253" t="n">
        <v>0</v>
      </c>
      <c r="R253" s="2" t="inlineStr"/>
    </row>
    <row r="254" ht="15" customHeight="1">
      <c r="A254" t="inlineStr">
        <is>
          <t>A 34617-2022</t>
        </is>
      </c>
      <c r="B254" s="1" t="n">
        <v>44795</v>
      </c>
      <c r="C254" s="1" t="n">
        <v>46077</v>
      </c>
      <c r="D254" t="inlineStr">
        <is>
          <t>UPPSALA LÄN</t>
        </is>
      </c>
      <c r="E254" t="inlineStr">
        <is>
          <t>ENKÖPING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40202-2024</t>
        </is>
      </c>
      <c r="B255" s="1" t="n">
        <v>45554</v>
      </c>
      <c r="C255" s="1" t="n">
        <v>46077</v>
      </c>
      <c r="D255" t="inlineStr">
        <is>
          <t>UPPSALA LÄN</t>
        </is>
      </c>
      <c r="E255" t="inlineStr">
        <is>
          <t>ENKÖPING</t>
        </is>
      </c>
      <c r="G255" t="n">
        <v>6.2</v>
      </c>
      <c r="H255" t="n">
        <v>0</v>
      </c>
      <c r="I255" t="n">
        <v>0</v>
      </c>
      <c r="J255" t="n">
        <v>0</v>
      </c>
      <c r="K255" t="n">
        <v>0</v>
      </c>
      <c r="L255" t="n">
        <v>0</v>
      </c>
      <c r="M255" t="n">
        <v>0</v>
      </c>
      <c r="N255" t="n">
        <v>0</v>
      </c>
      <c r="O255" t="n">
        <v>0</v>
      </c>
      <c r="P255" t="n">
        <v>0</v>
      </c>
      <c r="Q255" t="n">
        <v>0</v>
      </c>
      <c r="R255" s="2" t="inlineStr"/>
    </row>
    <row r="256" ht="15" customHeight="1">
      <c r="A256" t="inlineStr">
        <is>
          <t>A 40223-2024</t>
        </is>
      </c>
      <c r="B256" s="1" t="n">
        <v>45554</v>
      </c>
      <c r="C256" s="1" t="n">
        <v>46077</v>
      </c>
      <c r="D256" t="inlineStr">
        <is>
          <t>UPPSALA LÄN</t>
        </is>
      </c>
      <c r="E256" t="inlineStr">
        <is>
          <t>ENKÖPING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39115-2024</t>
        </is>
      </c>
      <c r="B257" s="1" t="n">
        <v>45548</v>
      </c>
      <c r="C257" s="1" t="n">
        <v>46077</v>
      </c>
      <c r="D257" t="inlineStr">
        <is>
          <t>UPPSALA LÄN</t>
        </is>
      </c>
      <c r="E257" t="inlineStr">
        <is>
          <t>ENKÖPING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12020-2024</t>
        </is>
      </c>
      <c r="B258" s="1" t="n">
        <v>45377</v>
      </c>
      <c r="C258" s="1" t="n">
        <v>46077</v>
      </c>
      <c r="D258" t="inlineStr">
        <is>
          <t>UPPSALA LÄN</t>
        </is>
      </c>
      <c r="E258" t="inlineStr">
        <is>
          <t>ENKÖPING</t>
        </is>
      </c>
      <c r="G258" t="n">
        <v>2</v>
      </c>
      <c r="H258" t="n">
        <v>0</v>
      </c>
      <c r="I258" t="n">
        <v>0</v>
      </c>
      <c r="J258" t="n">
        <v>0</v>
      </c>
      <c r="K258" t="n">
        <v>0</v>
      </c>
      <c r="L258" t="n">
        <v>0</v>
      </c>
      <c r="M258" t="n">
        <v>0</v>
      </c>
      <c r="N258" t="n">
        <v>0</v>
      </c>
      <c r="O258" t="n">
        <v>0</v>
      </c>
      <c r="P258" t="n">
        <v>0</v>
      </c>
      <c r="Q258" t="n">
        <v>0</v>
      </c>
      <c r="R258" s="2" t="inlineStr"/>
    </row>
    <row r="259" ht="15" customHeight="1">
      <c r="A259" t="inlineStr">
        <is>
          <t>A 69879-2021</t>
        </is>
      </c>
      <c r="B259" s="1" t="n">
        <v>44532</v>
      </c>
      <c r="C259" s="1" t="n">
        <v>46077</v>
      </c>
      <c r="D259" t="inlineStr">
        <is>
          <t>UPPSALA LÄN</t>
        </is>
      </c>
      <c r="E259" t="inlineStr">
        <is>
          <t>ENKÖPING</t>
        </is>
      </c>
      <c r="G259" t="n">
        <v>4.2</v>
      </c>
      <c r="H259" t="n">
        <v>0</v>
      </c>
      <c r="I259" t="n">
        <v>0</v>
      </c>
      <c r="J259" t="n">
        <v>0</v>
      </c>
      <c r="K259" t="n">
        <v>0</v>
      </c>
      <c r="L259" t="n">
        <v>0</v>
      </c>
      <c r="M259" t="n">
        <v>0</v>
      </c>
      <c r="N259" t="n">
        <v>0</v>
      </c>
      <c r="O259" t="n">
        <v>0</v>
      </c>
      <c r="P259" t="n">
        <v>0</v>
      </c>
      <c r="Q259" t="n">
        <v>0</v>
      </c>
      <c r="R259" s="2" t="inlineStr"/>
    </row>
    <row r="260" ht="15" customHeight="1">
      <c r="A260" t="inlineStr">
        <is>
          <t>A 69344-2021</t>
        </is>
      </c>
      <c r="B260" s="1" t="n">
        <v>44531</v>
      </c>
      <c r="C260" s="1" t="n">
        <v>46077</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19013-2025</t>
        </is>
      </c>
      <c r="B261" s="1" t="n">
        <v>45764.59533564815</v>
      </c>
      <c r="C261" s="1" t="n">
        <v>46077</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57335-2024</t>
        </is>
      </c>
      <c r="B262" s="1" t="n">
        <v>45629.63302083333</v>
      </c>
      <c r="C262" s="1" t="n">
        <v>46077</v>
      </c>
      <c r="D262" t="inlineStr">
        <is>
          <t>UPPSALA LÄN</t>
        </is>
      </c>
      <c r="E262" t="inlineStr">
        <is>
          <t>ENKÖPING</t>
        </is>
      </c>
      <c r="G262" t="n">
        <v>2.1</v>
      </c>
      <c r="H262" t="n">
        <v>0</v>
      </c>
      <c r="I262" t="n">
        <v>0</v>
      </c>
      <c r="J262" t="n">
        <v>0</v>
      </c>
      <c r="K262" t="n">
        <v>0</v>
      </c>
      <c r="L262" t="n">
        <v>0</v>
      </c>
      <c r="M262" t="n">
        <v>0</v>
      </c>
      <c r="N262" t="n">
        <v>0</v>
      </c>
      <c r="O262" t="n">
        <v>0</v>
      </c>
      <c r="P262" t="n">
        <v>0</v>
      </c>
      <c r="Q262" t="n">
        <v>0</v>
      </c>
      <c r="R262" s="2" t="inlineStr"/>
    </row>
    <row r="263" ht="15" customHeight="1">
      <c r="A263" t="inlineStr">
        <is>
          <t>A 23301-2024</t>
        </is>
      </c>
      <c r="B263" s="1" t="n">
        <v>45453.4396412037</v>
      </c>
      <c r="C263" s="1" t="n">
        <v>46077</v>
      </c>
      <c r="D263" t="inlineStr">
        <is>
          <t>UPPSALA LÄN</t>
        </is>
      </c>
      <c r="E263" t="inlineStr">
        <is>
          <t>ENKÖPING</t>
        </is>
      </c>
      <c r="G263" t="n">
        <v>4.3</v>
      </c>
      <c r="H263" t="n">
        <v>0</v>
      </c>
      <c r="I263" t="n">
        <v>0</v>
      </c>
      <c r="J263" t="n">
        <v>0</v>
      </c>
      <c r="K263" t="n">
        <v>0</v>
      </c>
      <c r="L263" t="n">
        <v>0</v>
      </c>
      <c r="M263" t="n">
        <v>0</v>
      </c>
      <c r="N263" t="n">
        <v>0</v>
      </c>
      <c r="O263" t="n">
        <v>0</v>
      </c>
      <c r="P263" t="n">
        <v>0</v>
      </c>
      <c r="Q263" t="n">
        <v>0</v>
      </c>
      <c r="R263" s="2" t="inlineStr"/>
    </row>
    <row r="264" ht="15" customHeight="1">
      <c r="A264" t="inlineStr">
        <is>
          <t>A 3550-2023</t>
        </is>
      </c>
      <c r="B264" s="1" t="n">
        <v>44950</v>
      </c>
      <c r="C264" s="1" t="n">
        <v>46077</v>
      </c>
      <c r="D264" t="inlineStr">
        <is>
          <t>UPPSALA LÄN</t>
        </is>
      </c>
      <c r="E264" t="inlineStr">
        <is>
          <t>ENKÖPING</t>
        </is>
      </c>
      <c r="G264" t="n">
        <v>0.9</v>
      </c>
      <c r="H264" t="n">
        <v>0</v>
      </c>
      <c r="I264" t="n">
        <v>0</v>
      </c>
      <c r="J264" t="n">
        <v>0</v>
      </c>
      <c r="K264" t="n">
        <v>0</v>
      </c>
      <c r="L264" t="n">
        <v>0</v>
      </c>
      <c r="M264" t="n">
        <v>0</v>
      </c>
      <c r="N264" t="n">
        <v>0</v>
      </c>
      <c r="O264" t="n">
        <v>0</v>
      </c>
      <c r="P264" t="n">
        <v>0</v>
      </c>
      <c r="Q264" t="n">
        <v>0</v>
      </c>
      <c r="R264" s="2" t="inlineStr"/>
    </row>
    <row r="265" ht="15" customHeight="1">
      <c r="A265" t="inlineStr">
        <is>
          <t>A 2833-2025</t>
        </is>
      </c>
      <c r="B265" s="1" t="n">
        <v>45677.63206018518</v>
      </c>
      <c r="C265" s="1" t="n">
        <v>46077</v>
      </c>
      <c r="D265" t="inlineStr">
        <is>
          <t>UPPSALA LÄN</t>
        </is>
      </c>
      <c r="E265" t="inlineStr">
        <is>
          <t>ENKÖPING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69344-2021</t>
        </is>
      </c>
      <c r="B266" s="1" t="n">
        <v>44531</v>
      </c>
      <c r="C266" s="1" t="n">
        <v>46077</v>
      </c>
      <c r="D266" t="inlineStr">
        <is>
          <t>UPPSALA LÄN</t>
        </is>
      </c>
      <c r="E266" t="inlineStr">
        <is>
          <t>ENKÖPING</t>
        </is>
      </c>
      <c r="G266" t="n">
        <v>2.9</v>
      </c>
      <c r="H266" t="n">
        <v>0</v>
      </c>
      <c r="I266" t="n">
        <v>0</v>
      </c>
      <c r="J266" t="n">
        <v>0</v>
      </c>
      <c r="K266" t="n">
        <v>0</v>
      </c>
      <c r="L266" t="n">
        <v>0</v>
      </c>
      <c r="M266" t="n">
        <v>0</v>
      </c>
      <c r="N266" t="n">
        <v>0</v>
      </c>
      <c r="O266" t="n">
        <v>0</v>
      </c>
      <c r="P266" t="n">
        <v>0</v>
      </c>
      <c r="Q266" t="n">
        <v>0</v>
      </c>
      <c r="R266" s="2" t="inlineStr"/>
    </row>
    <row r="267" ht="15" customHeight="1">
      <c r="A267" t="inlineStr">
        <is>
          <t>A 26292-2022</t>
        </is>
      </c>
      <c r="B267" s="1" t="n">
        <v>44735</v>
      </c>
      <c r="C267" s="1" t="n">
        <v>46077</v>
      </c>
      <c r="D267" t="inlineStr">
        <is>
          <t>UPPSALA LÄN</t>
        </is>
      </c>
      <c r="E267" t="inlineStr">
        <is>
          <t>ENKÖPING</t>
        </is>
      </c>
      <c r="F267" t="inlineStr">
        <is>
          <t>Kyrkan</t>
        </is>
      </c>
      <c r="G267" t="n">
        <v>4.6</v>
      </c>
      <c r="H267" t="n">
        <v>0</v>
      </c>
      <c r="I267" t="n">
        <v>0</v>
      </c>
      <c r="J267" t="n">
        <v>0</v>
      </c>
      <c r="K267" t="n">
        <v>0</v>
      </c>
      <c r="L267" t="n">
        <v>0</v>
      </c>
      <c r="M267" t="n">
        <v>0</v>
      </c>
      <c r="N267" t="n">
        <v>0</v>
      </c>
      <c r="O267" t="n">
        <v>0</v>
      </c>
      <c r="P267" t="n">
        <v>0</v>
      </c>
      <c r="Q267" t="n">
        <v>0</v>
      </c>
      <c r="R267" s="2" t="inlineStr"/>
    </row>
    <row r="268" ht="15" customHeight="1">
      <c r="A268" t="inlineStr">
        <is>
          <t>A 34124-2021</t>
        </is>
      </c>
      <c r="B268" s="1" t="n">
        <v>44379</v>
      </c>
      <c r="C268" s="1" t="n">
        <v>46077</v>
      </c>
      <c r="D268" t="inlineStr">
        <is>
          <t>UPPSALA LÄN</t>
        </is>
      </c>
      <c r="E268" t="inlineStr">
        <is>
          <t>ENKÖPING</t>
        </is>
      </c>
      <c r="G268" t="n">
        <v>2.2</v>
      </c>
      <c r="H268" t="n">
        <v>0</v>
      </c>
      <c r="I268" t="n">
        <v>0</v>
      </c>
      <c r="J268" t="n">
        <v>0</v>
      </c>
      <c r="K268" t="n">
        <v>0</v>
      </c>
      <c r="L268" t="n">
        <v>0</v>
      </c>
      <c r="M268" t="n">
        <v>0</v>
      </c>
      <c r="N268" t="n">
        <v>0</v>
      </c>
      <c r="O268" t="n">
        <v>0</v>
      </c>
      <c r="P268" t="n">
        <v>0</v>
      </c>
      <c r="Q268" t="n">
        <v>0</v>
      </c>
      <c r="R268" s="2" t="inlineStr"/>
    </row>
    <row r="269" ht="15" customHeight="1">
      <c r="A269" t="inlineStr">
        <is>
          <t>A 43697-2024</t>
        </is>
      </c>
      <c r="B269" s="1" t="n">
        <v>45569</v>
      </c>
      <c r="C269" s="1" t="n">
        <v>46077</v>
      </c>
      <c r="D269" t="inlineStr">
        <is>
          <t>UPPSALA LÄN</t>
        </is>
      </c>
      <c r="E269" t="inlineStr">
        <is>
          <t>ENKÖPING</t>
        </is>
      </c>
      <c r="G269" t="n">
        <v>2.1</v>
      </c>
      <c r="H269" t="n">
        <v>0</v>
      </c>
      <c r="I269" t="n">
        <v>0</v>
      </c>
      <c r="J269" t="n">
        <v>0</v>
      </c>
      <c r="K269" t="n">
        <v>0</v>
      </c>
      <c r="L269" t="n">
        <v>0</v>
      </c>
      <c r="M269" t="n">
        <v>0</v>
      </c>
      <c r="N269" t="n">
        <v>0</v>
      </c>
      <c r="O269" t="n">
        <v>0</v>
      </c>
      <c r="P269" t="n">
        <v>0</v>
      </c>
      <c r="Q269" t="n">
        <v>0</v>
      </c>
      <c r="R269" s="2" t="inlineStr"/>
    </row>
    <row r="270" ht="15" customHeight="1">
      <c r="A270" t="inlineStr">
        <is>
          <t>A 61207-2023</t>
        </is>
      </c>
      <c r="B270" s="1" t="n">
        <v>45264.39444444444</v>
      </c>
      <c r="C270" s="1" t="n">
        <v>46077</v>
      </c>
      <c r="D270" t="inlineStr">
        <is>
          <t>UPPSALA LÄN</t>
        </is>
      </c>
      <c r="E270" t="inlineStr">
        <is>
          <t>ENKÖPING</t>
        </is>
      </c>
      <c r="G270" t="n">
        <v>10.8</v>
      </c>
      <c r="H270" t="n">
        <v>0</v>
      </c>
      <c r="I270" t="n">
        <v>0</v>
      </c>
      <c r="J270" t="n">
        <v>0</v>
      </c>
      <c r="K270" t="n">
        <v>0</v>
      </c>
      <c r="L270" t="n">
        <v>0</v>
      </c>
      <c r="M270" t="n">
        <v>0</v>
      </c>
      <c r="N270" t="n">
        <v>0</v>
      </c>
      <c r="O270" t="n">
        <v>0</v>
      </c>
      <c r="P270" t="n">
        <v>0</v>
      </c>
      <c r="Q270" t="n">
        <v>0</v>
      </c>
      <c r="R270" s="2" t="inlineStr"/>
    </row>
    <row r="271" ht="15" customHeight="1">
      <c r="A271" t="inlineStr">
        <is>
          <t>A 33619-2022</t>
        </is>
      </c>
      <c r="B271" s="1" t="n">
        <v>44789</v>
      </c>
      <c r="C271" s="1" t="n">
        <v>46077</v>
      </c>
      <c r="D271" t="inlineStr">
        <is>
          <t>UPPSALA LÄN</t>
        </is>
      </c>
      <c r="E271" t="inlineStr">
        <is>
          <t>ENKÖPING</t>
        </is>
      </c>
      <c r="F271" t="inlineStr">
        <is>
          <t>Allmännings- och besparingsskogar</t>
        </is>
      </c>
      <c r="G271" t="n">
        <v>4.5</v>
      </c>
      <c r="H271" t="n">
        <v>0</v>
      </c>
      <c r="I271" t="n">
        <v>0</v>
      </c>
      <c r="J271" t="n">
        <v>0</v>
      </c>
      <c r="K271" t="n">
        <v>0</v>
      </c>
      <c r="L271" t="n">
        <v>0</v>
      </c>
      <c r="M271" t="n">
        <v>0</v>
      </c>
      <c r="N271" t="n">
        <v>0</v>
      </c>
      <c r="O271" t="n">
        <v>0</v>
      </c>
      <c r="P271" t="n">
        <v>0</v>
      </c>
      <c r="Q271" t="n">
        <v>0</v>
      </c>
      <c r="R271" s="2" t="inlineStr"/>
    </row>
    <row r="272" ht="15" customHeight="1">
      <c r="A272" t="inlineStr">
        <is>
          <t>A 31604-2023</t>
        </is>
      </c>
      <c r="B272" s="1" t="n">
        <v>45117.50368055556</v>
      </c>
      <c r="C272" s="1" t="n">
        <v>46077</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27983-2024</t>
        </is>
      </c>
      <c r="B273" s="1" t="n">
        <v>45476</v>
      </c>
      <c r="C273" s="1" t="n">
        <v>46077</v>
      </c>
      <c r="D273" t="inlineStr">
        <is>
          <t>UPPSALA LÄN</t>
        </is>
      </c>
      <c r="E273" t="inlineStr">
        <is>
          <t>ENKÖPING</t>
        </is>
      </c>
      <c r="G273" t="n">
        <v>3.2</v>
      </c>
      <c r="H273" t="n">
        <v>0</v>
      </c>
      <c r="I273" t="n">
        <v>0</v>
      </c>
      <c r="J273" t="n">
        <v>0</v>
      </c>
      <c r="K273" t="n">
        <v>0</v>
      </c>
      <c r="L273" t="n">
        <v>0</v>
      </c>
      <c r="M273" t="n">
        <v>0</v>
      </c>
      <c r="N273" t="n">
        <v>0</v>
      </c>
      <c r="O273" t="n">
        <v>0</v>
      </c>
      <c r="P273" t="n">
        <v>0</v>
      </c>
      <c r="Q273" t="n">
        <v>0</v>
      </c>
      <c r="R273" s="2" t="inlineStr"/>
    </row>
    <row r="274" ht="15" customHeight="1">
      <c r="A274" t="inlineStr">
        <is>
          <t>A 59602-2024</t>
        </is>
      </c>
      <c r="B274" s="1" t="n">
        <v>45638</v>
      </c>
      <c r="C274" s="1" t="n">
        <v>46077</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51010-2024</t>
        </is>
      </c>
      <c r="B275" s="1" t="n">
        <v>45603.39285879629</v>
      </c>
      <c r="C275" s="1" t="n">
        <v>46077</v>
      </c>
      <c r="D275" t="inlineStr">
        <is>
          <t>UPPSALA LÄN</t>
        </is>
      </c>
      <c r="E275" t="inlineStr">
        <is>
          <t>ENKÖPING</t>
        </is>
      </c>
      <c r="G275" t="n">
        <v>1.7</v>
      </c>
      <c r="H275" t="n">
        <v>0</v>
      </c>
      <c r="I275" t="n">
        <v>0</v>
      </c>
      <c r="J275" t="n">
        <v>0</v>
      </c>
      <c r="K275" t="n">
        <v>0</v>
      </c>
      <c r="L275" t="n">
        <v>0</v>
      </c>
      <c r="M275" t="n">
        <v>0</v>
      </c>
      <c r="N275" t="n">
        <v>0</v>
      </c>
      <c r="O275" t="n">
        <v>0</v>
      </c>
      <c r="P275" t="n">
        <v>0</v>
      </c>
      <c r="Q275" t="n">
        <v>0</v>
      </c>
      <c r="R275" s="2" t="inlineStr"/>
    </row>
    <row r="276" ht="15" customHeight="1">
      <c r="A276" t="inlineStr">
        <is>
          <t>A 14243-2025</t>
        </is>
      </c>
      <c r="B276" s="1" t="n">
        <v>45740.61288194444</v>
      </c>
      <c r="C276" s="1" t="n">
        <v>46077</v>
      </c>
      <c r="D276" t="inlineStr">
        <is>
          <t>UPPSALA LÄN</t>
        </is>
      </c>
      <c r="E276" t="inlineStr">
        <is>
          <t>ENKÖPING</t>
        </is>
      </c>
      <c r="G276" t="n">
        <v>2.2</v>
      </c>
      <c r="H276" t="n">
        <v>0</v>
      </c>
      <c r="I276" t="n">
        <v>0</v>
      </c>
      <c r="J276" t="n">
        <v>0</v>
      </c>
      <c r="K276" t="n">
        <v>0</v>
      </c>
      <c r="L276" t="n">
        <v>0</v>
      </c>
      <c r="M276" t="n">
        <v>0</v>
      </c>
      <c r="N276" t="n">
        <v>0</v>
      </c>
      <c r="O276" t="n">
        <v>0</v>
      </c>
      <c r="P276" t="n">
        <v>0</v>
      </c>
      <c r="Q276" t="n">
        <v>0</v>
      </c>
      <c r="R276" s="2" t="inlineStr"/>
    </row>
    <row r="277" ht="15" customHeight="1">
      <c r="A277" t="inlineStr">
        <is>
          <t>A 840-2025</t>
        </is>
      </c>
      <c r="B277" s="1" t="n">
        <v>45665</v>
      </c>
      <c r="C277" s="1" t="n">
        <v>46077</v>
      </c>
      <c r="D277" t="inlineStr">
        <is>
          <t>UPPSALA LÄN</t>
        </is>
      </c>
      <c r="E277" t="inlineStr">
        <is>
          <t>ENKÖPING</t>
        </is>
      </c>
      <c r="G277" t="n">
        <v>0.9</v>
      </c>
      <c r="H277" t="n">
        <v>0</v>
      </c>
      <c r="I277" t="n">
        <v>0</v>
      </c>
      <c r="J277" t="n">
        <v>0</v>
      </c>
      <c r="K277" t="n">
        <v>0</v>
      </c>
      <c r="L277" t="n">
        <v>0</v>
      </c>
      <c r="M277" t="n">
        <v>0</v>
      </c>
      <c r="N277" t="n">
        <v>0</v>
      </c>
      <c r="O277" t="n">
        <v>0</v>
      </c>
      <c r="P277" t="n">
        <v>0</v>
      </c>
      <c r="Q277" t="n">
        <v>0</v>
      </c>
      <c r="R277" s="2" t="inlineStr"/>
    </row>
    <row r="278" ht="15" customHeight="1">
      <c r="A278" t="inlineStr">
        <is>
          <t>A 19488-2022</t>
        </is>
      </c>
      <c r="B278" s="1" t="n">
        <v>44693</v>
      </c>
      <c r="C278" s="1" t="n">
        <v>46077</v>
      </c>
      <c r="D278" t="inlineStr">
        <is>
          <t>UPPSALA LÄN</t>
        </is>
      </c>
      <c r="E278" t="inlineStr">
        <is>
          <t>ENKÖPING</t>
        </is>
      </c>
      <c r="G278" t="n">
        <v>7.8</v>
      </c>
      <c r="H278" t="n">
        <v>0</v>
      </c>
      <c r="I278" t="n">
        <v>0</v>
      </c>
      <c r="J278" t="n">
        <v>0</v>
      </c>
      <c r="K278" t="n">
        <v>0</v>
      </c>
      <c r="L278" t="n">
        <v>0</v>
      </c>
      <c r="M278" t="n">
        <v>0</v>
      </c>
      <c r="N278" t="n">
        <v>0</v>
      </c>
      <c r="O278" t="n">
        <v>0</v>
      </c>
      <c r="P278" t="n">
        <v>0</v>
      </c>
      <c r="Q278" t="n">
        <v>0</v>
      </c>
      <c r="R278" s="2" t="inlineStr"/>
    </row>
    <row r="279" ht="15" customHeight="1">
      <c r="A279" t="inlineStr">
        <is>
          <t>A 10458-2022</t>
        </is>
      </c>
      <c r="B279" s="1" t="n">
        <v>44623.56711805556</v>
      </c>
      <c r="C279" s="1" t="n">
        <v>46077</v>
      </c>
      <c r="D279" t="inlineStr">
        <is>
          <t>UPPSALA LÄN</t>
        </is>
      </c>
      <c r="E279" t="inlineStr">
        <is>
          <t>ENKÖPING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45142-2023</t>
        </is>
      </c>
      <c r="B280" s="1" t="n">
        <v>45191.4702662037</v>
      </c>
      <c r="C280" s="1" t="n">
        <v>46077</v>
      </c>
      <c r="D280" t="inlineStr">
        <is>
          <t>UPPSALA LÄN</t>
        </is>
      </c>
      <c r="E280" t="inlineStr">
        <is>
          <t>ENKÖPING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57998-2024</t>
        </is>
      </c>
      <c r="B281" s="1" t="n">
        <v>45631</v>
      </c>
      <c r="C281" s="1" t="n">
        <v>46077</v>
      </c>
      <c r="D281" t="inlineStr">
        <is>
          <t>UPPSALA LÄN</t>
        </is>
      </c>
      <c r="E281" t="inlineStr">
        <is>
          <t>ENKÖPING</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41826-2024</t>
        </is>
      </c>
      <c r="B282" s="1" t="n">
        <v>45561</v>
      </c>
      <c r="C282" s="1" t="n">
        <v>46077</v>
      </c>
      <c r="D282" t="inlineStr">
        <is>
          <t>UPPSALA LÄN</t>
        </is>
      </c>
      <c r="E282" t="inlineStr">
        <is>
          <t>ENKÖPING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14332-2024</t>
        </is>
      </c>
      <c r="B283" s="1" t="n">
        <v>45393</v>
      </c>
      <c r="C283" s="1" t="n">
        <v>46077</v>
      </c>
      <c r="D283" t="inlineStr">
        <is>
          <t>UPPSALA LÄN</t>
        </is>
      </c>
      <c r="E283" t="inlineStr">
        <is>
          <t>ENKÖPING</t>
        </is>
      </c>
      <c r="G283" t="n">
        <v>0.9</v>
      </c>
      <c r="H283" t="n">
        <v>0</v>
      </c>
      <c r="I283" t="n">
        <v>0</v>
      </c>
      <c r="J283" t="n">
        <v>0</v>
      </c>
      <c r="K283" t="n">
        <v>0</v>
      </c>
      <c r="L283" t="n">
        <v>0</v>
      </c>
      <c r="M283" t="n">
        <v>0</v>
      </c>
      <c r="N283" t="n">
        <v>0</v>
      </c>
      <c r="O283" t="n">
        <v>0</v>
      </c>
      <c r="P283" t="n">
        <v>0</v>
      </c>
      <c r="Q283" t="n">
        <v>0</v>
      </c>
      <c r="R283" s="2" t="inlineStr"/>
    </row>
    <row r="284" ht="15" customHeight="1">
      <c r="A284" t="inlineStr">
        <is>
          <t>A 16916-2022</t>
        </is>
      </c>
      <c r="B284" s="1" t="n">
        <v>44676</v>
      </c>
      <c r="C284" s="1" t="n">
        <v>46077</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18831-2023</t>
        </is>
      </c>
      <c r="B285" s="1" t="n">
        <v>45044.40798611111</v>
      </c>
      <c r="C285" s="1" t="n">
        <v>46077</v>
      </c>
      <c r="D285" t="inlineStr">
        <is>
          <t>UPPSALA LÄN</t>
        </is>
      </c>
      <c r="E285" t="inlineStr">
        <is>
          <t>ENKÖPING</t>
        </is>
      </c>
      <c r="G285" t="n">
        <v>4.3</v>
      </c>
      <c r="H285" t="n">
        <v>0</v>
      </c>
      <c r="I285" t="n">
        <v>0</v>
      </c>
      <c r="J285" t="n">
        <v>0</v>
      </c>
      <c r="K285" t="n">
        <v>0</v>
      </c>
      <c r="L285" t="n">
        <v>0</v>
      </c>
      <c r="M285" t="n">
        <v>0</v>
      </c>
      <c r="N285" t="n">
        <v>0</v>
      </c>
      <c r="O285" t="n">
        <v>0</v>
      </c>
      <c r="P285" t="n">
        <v>0</v>
      </c>
      <c r="Q285" t="n">
        <v>0</v>
      </c>
      <c r="R285" s="2" t="inlineStr"/>
    </row>
    <row r="286" ht="15" customHeight="1">
      <c r="A286" t="inlineStr">
        <is>
          <t>A 44115-2024</t>
        </is>
      </c>
      <c r="B286" s="1" t="n">
        <v>45572</v>
      </c>
      <c r="C286" s="1" t="n">
        <v>46077</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39746-2025</t>
        </is>
      </c>
      <c r="B287" s="1" t="n">
        <v>45891</v>
      </c>
      <c r="C287" s="1" t="n">
        <v>46077</v>
      </c>
      <c r="D287" t="inlineStr">
        <is>
          <t>UPPSALA LÄN</t>
        </is>
      </c>
      <c r="E287" t="inlineStr">
        <is>
          <t>ENKÖPING</t>
        </is>
      </c>
      <c r="G287" t="n">
        <v>7.4</v>
      </c>
      <c r="H287" t="n">
        <v>0</v>
      </c>
      <c r="I287" t="n">
        <v>0</v>
      </c>
      <c r="J287" t="n">
        <v>0</v>
      </c>
      <c r="K287" t="n">
        <v>0</v>
      </c>
      <c r="L287" t="n">
        <v>0</v>
      </c>
      <c r="M287" t="n">
        <v>0</v>
      </c>
      <c r="N287" t="n">
        <v>0</v>
      </c>
      <c r="O287" t="n">
        <v>0</v>
      </c>
      <c r="P287" t="n">
        <v>0</v>
      </c>
      <c r="Q287" t="n">
        <v>0</v>
      </c>
      <c r="R287" s="2" t="inlineStr"/>
    </row>
    <row r="288" ht="15" customHeight="1">
      <c r="A288" t="inlineStr">
        <is>
          <t>A 30634-2022</t>
        </is>
      </c>
      <c r="B288" s="1" t="n">
        <v>44763.45711805556</v>
      </c>
      <c r="C288" s="1" t="n">
        <v>46077</v>
      </c>
      <c r="D288" t="inlineStr">
        <is>
          <t>UPPSALA LÄN</t>
        </is>
      </c>
      <c r="E288" t="inlineStr">
        <is>
          <t>ENKÖPING</t>
        </is>
      </c>
      <c r="G288" t="n">
        <v>1.2</v>
      </c>
      <c r="H288" t="n">
        <v>0</v>
      </c>
      <c r="I288" t="n">
        <v>0</v>
      </c>
      <c r="J288" t="n">
        <v>0</v>
      </c>
      <c r="K288" t="n">
        <v>0</v>
      </c>
      <c r="L288" t="n">
        <v>0</v>
      </c>
      <c r="M288" t="n">
        <v>0</v>
      </c>
      <c r="N288" t="n">
        <v>0</v>
      </c>
      <c r="O288" t="n">
        <v>0</v>
      </c>
      <c r="P288" t="n">
        <v>0</v>
      </c>
      <c r="Q288" t="n">
        <v>0</v>
      </c>
      <c r="R288" s="2" t="inlineStr"/>
    </row>
    <row r="289" ht="15" customHeight="1">
      <c r="A289" t="inlineStr">
        <is>
          <t>A 22912-2024</t>
        </is>
      </c>
      <c r="B289" s="1" t="n">
        <v>45448.73118055556</v>
      </c>
      <c r="C289" s="1" t="n">
        <v>46077</v>
      </c>
      <c r="D289" t="inlineStr">
        <is>
          <t>UPPSALA LÄN</t>
        </is>
      </c>
      <c r="E289" t="inlineStr">
        <is>
          <t>ENKÖPING</t>
        </is>
      </c>
      <c r="G289" t="n">
        <v>2.8</v>
      </c>
      <c r="H289" t="n">
        <v>0</v>
      </c>
      <c r="I289" t="n">
        <v>0</v>
      </c>
      <c r="J289" t="n">
        <v>0</v>
      </c>
      <c r="K289" t="n">
        <v>0</v>
      </c>
      <c r="L289" t="n">
        <v>0</v>
      </c>
      <c r="M289" t="n">
        <v>0</v>
      </c>
      <c r="N289" t="n">
        <v>0</v>
      </c>
      <c r="O289" t="n">
        <v>0</v>
      </c>
      <c r="P289" t="n">
        <v>0</v>
      </c>
      <c r="Q289" t="n">
        <v>0</v>
      </c>
      <c r="R289" s="2" t="inlineStr"/>
    </row>
    <row r="290" ht="15" customHeight="1">
      <c r="A290" t="inlineStr">
        <is>
          <t>A 33581-2023</t>
        </is>
      </c>
      <c r="B290" s="1" t="n">
        <v>45131</v>
      </c>
      <c r="C290" s="1" t="n">
        <v>46077</v>
      </c>
      <c r="D290" t="inlineStr">
        <is>
          <t>UPPSALA LÄN</t>
        </is>
      </c>
      <c r="E290" t="inlineStr">
        <is>
          <t>ENKÖPING</t>
        </is>
      </c>
      <c r="G290" t="n">
        <v>3.5</v>
      </c>
      <c r="H290" t="n">
        <v>0</v>
      </c>
      <c r="I290" t="n">
        <v>0</v>
      </c>
      <c r="J290" t="n">
        <v>0</v>
      </c>
      <c r="K290" t="n">
        <v>0</v>
      </c>
      <c r="L290" t="n">
        <v>0</v>
      </c>
      <c r="M290" t="n">
        <v>0</v>
      </c>
      <c r="N290" t="n">
        <v>0</v>
      </c>
      <c r="O290" t="n">
        <v>0</v>
      </c>
      <c r="P290" t="n">
        <v>0</v>
      </c>
      <c r="Q290" t="n">
        <v>0</v>
      </c>
      <c r="R290" s="2" t="inlineStr"/>
    </row>
    <row r="291" ht="15" customHeight="1">
      <c r="A291" t="inlineStr">
        <is>
          <t>A 9667-2024</t>
        </is>
      </c>
      <c r="B291" s="1" t="n">
        <v>45362.45130787037</v>
      </c>
      <c r="C291" s="1" t="n">
        <v>46077</v>
      </c>
      <c r="D291" t="inlineStr">
        <is>
          <t>UPPSALA LÄN</t>
        </is>
      </c>
      <c r="E291" t="inlineStr">
        <is>
          <t>ENKÖPING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37115-2024</t>
        </is>
      </c>
      <c r="B292" s="1" t="n">
        <v>45539</v>
      </c>
      <c r="C292" s="1" t="n">
        <v>46077</v>
      </c>
      <c r="D292" t="inlineStr">
        <is>
          <t>UPPSALA LÄN</t>
        </is>
      </c>
      <c r="E292" t="inlineStr">
        <is>
          <t>ENKÖPING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41618-2025</t>
        </is>
      </c>
      <c r="B293" s="1" t="n">
        <v>45901.70085648148</v>
      </c>
      <c r="C293" s="1" t="n">
        <v>46077</v>
      </c>
      <c r="D293" t="inlineStr">
        <is>
          <t>UPPSALA LÄN</t>
        </is>
      </c>
      <c r="E293" t="inlineStr">
        <is>
          <t>ENKÖPING</t>
        </is>
      </c>
      <c r="F293" t="inlineStr">
        <is>
          <t>Allmännings- och besparingsskogar</t>
        </is>
      </c>
      <c r="G293" t="n">
        <v>5.3</v>
      </c>
      <c r="H293" t="n">
        <v>0</v>
      </c>
      <c r="I293" t="n">
        <v>0</v>
      </c>
      <c r="J293" t="n">
        <v>0</v>
      </c>
      <c r="K293" t="n">
        <v>0</v>
      </c>
      <c r="L293" t="n">
        <v>0</v>
      </c>
      <c r="M293" t="n">
        <v>0</v>
      </c>
      <c r="N293" t="n">
        <v>0</v>
      </c>
      <c r="O293" t="n">
        <v>0</v>
      </c>
      <c r="P293" t="n">
        <v>0</v>
      </c>
      <c r="Q293" t="n">
        <v>0</v>
      </c>
      <c r="R293" s="2" t="inlineStr"/>
    </row>
    <row r="294" ht="15" customHeight="1">
      <c r="A294" t="inlineStr">
        <is>
          <t>A 41765-2025</t>
        </is>
      </c>
      <c r="B294" s="1" t="n">
        <v>45902</v>
      </c>
      <c r="C294" s="1" t="n">
        <v>46077</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41616-2025</t>
        </is>
      </c>
      <c r="B295" s="1" t="n">
        <v>45901.69684027778</v>
      </c>
      <c r="C295" s="1" t="n">
        <v>46077</v>
      </c>
      <c r="D295" t="inlineStr">
        <is>
          <t>UPPSALA LÄN</t>
        </is>
      </c>
      <c r="E295" t="inlineStr">
        <is>
          <t>ENKÖPING</t>
        </is>
      </c>
      <c r="F295" t="inlineStr">
        <is>
          <t>Allmännings- och besparingsskogar</t>
        </is>
      </c>
      <c r="G295" t="n">
        <v>17.3</v>
      </c>
      <c r="H295" t="n">
        <v>0</v>
      </c>
      <c r="I295" t="n">
        <v>0</v>
      </c>
      <c r="J295" t="n">
        <v>0</v>
      </c>
      <c r="K295" t="n">
        <v>0</v>
      </c>
      <c r="L295" t="n">
        <v>0</v>
      </c>
      <c r="M295" t="n">
        <v>0</v>
      </c>
      <c r="N295" t="n">
        <v>0</v>
      </c>
      <c r="O295" t="n">
        <v>0</v>
      </c>
      <c r="P295" t="n">
        <v>0</v>
      </c>
      <c r="Q295" t="n">
        <v>0</v>
      </c>
      <c r="R295" s="2" t="inlineStr"/>
    </row>
    <row r="296" ht="15" customHeight="1">
      <c r="A296" t="inlineStr">
        <is>
          <t>A 41637-2025</t>
        </is>
      </c>
      <c r="B296" s="1" t="n">
        <v>45901</v>
      </c>
      <c r="C296" s="1" t="n">
        <v>46077</v>
      </c>
      <c r="D296" t="inlineStr">
        <is>
          <t>UPPSALA LÄN</t>
        </is>
      </c>
      <c r="E296" t="inlineStr">
        <is>
          <t>ENKÖPING</t>
        </is>
      </c>
      <c r="F296" t="inlineStr">
        <is>
          <t>Allmännings- och besparingsskogar</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1960-2022</t>
        </is>
      </c>
      <c r="B297" s="1" t="n">
        <v>44575</v>
      </c>
      <c r="C297" s="1" t="n">
        <v>46077</v>
      </c>
      <c r="D297" t="inlineStr">
        <is>
          <t>UPPSALA LÄN</t>
        </is>
      </c>
      <c r="E297" t="inlineStr">
        <is>
          <t>ENKÖPING</t>
        </is>
      </c>
      <c r="G297" t="n">
        <v>1.3</v>
      </c>
      <c r="H297" t="n">
        <v>0</v>
      </c>
      <c r="I297" t="n">
        <v>0</v>
      </c>
      <c r="J297" t="n">
        <v>0</v>
      </c>
      <c r="K297" t="n">
        <v>0</v>
      </c>
      <c r="L297" t="n">
        <v>0</v>
      </c>
      <c r="M297" t="n">
        <v>0</v>
      </c>
      <c r="N297" t="n">
        <v>0</v>
      </c>
      <c r="O297" t="n">
        <v>0</v>
      </c>
      <c r="P297" t="n">
        <v>0</v>
      </c>
      <c r="Q297" t="n">
        <v>0</v>
      </c>
      <c r="R297" s="2" t="inlineStr"/>
    </row>
    <row r="298" ht="15" customHeight="1">
      <c r="A298" t="inlineStr">
        <is>
          <t>A 18028-2023</t>
        </is>
      </c>
      <c r="B298" s="1" t="n">
        <v>45040</v>
      </c>
      <c r="C298" s="1" t="n">
        <v>46077</v>
      </c>
      <c r="D298" t="inlineStr">
        <is>
          <t>UPPSALA LÄN</t>
        </is>
      </c>
      <c r="E298" t="inlineStr">
        <is>
          <t>ENKÖPING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47516-2022</t>
        </is>
      </c>
      <c r="B299" s="1" t="n">
        <v>44853.68895833333</v>
      </c>
      <c r="C299" s="1" t="n">
        <v>46077</v>
      </c>
      <c r="D299" t="inlineStr">
        <is>
          <t>UPPSALA LÄN</t>
        </is>
      </c>
      <c r="E299" t="inlineStr">
        <is>
          <t>ENKÖPING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49568-2022</t>
        </is>
      </c>
      <c r="B300" s="1" t="n">
        <v>44862.32791666667</v>
      </c>
      <c r="C300" s="1" t="n">
        <v>46077</v>
      </c>
      <c r="D300" t="inlineStr">
        <is>
          <t>UPPSALA LÄN</t>
        </is>
      </c>
      <c r="E300" t="inlineStr">
        <is>
          <t>ENKÖPING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42459-2024</t>
        </is>
      </c>
      <c r="B301" s="1" t="n">
        <v>45565</v>
      </c>
      <c r="C301" s="1" t="n">
        <v>46077</v>
      </c>
      <c r="D301" t="inlineStr">
        <is>
          <t>UPPSALA LÄN</t>
        </is>
      </c>
      <c r="E301" t="inlineStr">
        <is>
          <t>ENKÖPING</t>
        </is>
      </c>
      <c r="G301" t="n">
        <v>3.6</v>
      </c>
      <c r="H301" t="n">
        <v>0</v>
      </c>
      <c r="I301" t="n">
        <v>0</v>
      </c>
      <c r="J301" t="n">
        <v>0</v>
      </c>
      <c r="K301" t="n">
        <v>0</v>
      </c>
      <c r="L301" t="n">
        <v>0</v>
      </c>
      <c r="M301" t="n">
        <v>0</v>
      </c>
      <c r="N301" t="n">
        <v>0</v>
      </c>
      <c r="O301" t="n">
        <v>0</v>
      </c>
      <c r="P301" t="n">
        <v>0</v>
      </c>
      <c r="Q301" t="n">
        <v>0</v>
      </c>
      <c r="R301" s="2" t="inlineStr"/>
    </row>
    <row r="302" ht="15" customHeight="1">
      <c r="A302" t="inlineStr">
        <is>
          <t>A 42029-2025</t>
        </is>
      </c>
      <c r="B302" s="1" t="n">
        <v>45903</v>
      </c>
      <c r="C302" s="1" t="n">
        <v>46077</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48864-2022</t>
        </is>
      </c>
      <c r="B303" s="1" t="n">
        <v>44859</v>
      </c>
      <c r="C303" s="1" t="n">
        <v>46077</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31622-2022</t>
        </is>
      </c>
      <c r="B304" s="1" t="n">
        <v>44775</v>
      </c>
      <c r="C304" s="1" t="n">
        <v>46077</v>
      </c>
      <c r="D304" t="inlineStr">
        <is>
          <t>UPPSALA LÄN</t>
        </is>
      </c>
      <c r="E304" t="inlineStr">
        <is>
          <t>ENKÖPING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42756-2025</t>
        </is>
      </c>
      <c r="B305" s="1" t="n">
        <v>45908</v>
      </c>
      <c r="C305" s="1" t="n">
        <v>46077</v>
      </c>
      <c r="D305" t="inlineStr">
        <is>
          <t>UPPSALA LÄN</t>
        </is>
      </c>
      <c r="E305" t="inlineStr">
        <is>
          <t>ENKÖPING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6356-2022</t>
        </is>
      </c>
      <c r="B306" s="1" t="n">
        <v>44600</v>
      </c>
      <c r="C306" s="1" t="n">
        <v>46077</v>
      </c>
      <c r="D306" t="inlineStr">
        <is>
          <t>UPPSALA LÄN</t>
        </is>
      </c>
      <c r="E306" t="inlineStr">
        <is>
          <t>ENKÖPING</t>
        </is>
      </c>
      <c r="G306" t="n">
        <v>1.2</v>
      </c>
      <c r="H306" t="n">
        <v>0</v>
      </c>
      <c r="I306" t="n">
        <v>0</v>
      </c>
      <c r="J306" t="n">
        <v>0</v>
      </c>
      <c r="K306" t="n">
        <v>0</v>
      </c>
      <c r="L306" t="n">
        <v>0</v>
      </c>
      <c r="M306" t="n">
        <v>0</v>
      </c>
      <c r="N306" t="n">
        <v>0</v>
      </c>
      <c r="O306" t="n">
        <v>0</v>
      </c>
      <c r="P306" t="n">
        <v>0</v>
      </c>
      <c r="Q306" t="n">
        <v>0</v>
      </c>
      <c r="R306" s="2" t="inlineStr"/>
    </row>
    <row r="307" ht="15" customHeight="1">
      <c r="A307" t="inlineStr">
        <is>
          <t>A 41764-2025</t>
        </is>
      </c>
      <c r="B307" s="1" t="n">
        <v>45902</v>
      </c>
      <c r="C307" s="1" t="n">
        <v>46077</v>
      </c>
      <c r="D307" t="inlineStr">
        <is>
          <t>UPPSALA LÄN</t>
        </is>
      </c>
      <c r="E307" t="inlineStr">
        <is>
          <t>ENKÖPING</t>
        </is>
      </c>
      <c r="G307" t="n">
        <v>2.7</v>
      </c>
      <c r="H307" t="n">
        <v>0</v>
      </c>
      <c r="I307" t="n">
        <v>0</v>
      </c>
      <c r="J307" t="n">
        <v>0</v>
      </c>
      <c r="K307" t="n">
        <v>0</v>
      </c>
      <c r="L307" t="n">
        <v>0</v>
      </c>
      <c r="M307" t="n">
        <v>0</v>
      </c>
      <c r="N307" t="n">
        <v>0</v>
      </c>
      <c r="O307" t="n">
        <v>0</v>
      </c>
      <c r="P307" t="n">
        <v>0</v>
      </c>
      <c r="Q307" t="n">
        <v>0</v>
      </c>
      <c r="R307" s="2" t="inlineStr"/>
    </row>
    <row r="308" ht="15" customHeight="1">
      <c r="A308" t="inlineStr">
        <is>
          <t>A 51042-2024</t>
        </is>
      </c>
      <c r="B308" s="1" t="n">
        <v>45603.4342824074</v>
      </c>
      <c r="C308" s="1" t="n">
        <v>46077</v>
      </c>
      <c r="D308" t="inlineStr">
        <is>
          <t>UPPSALA LÄN</t>
        </is>
      </c>
      <c r="E308" t="inlineStr">
        <is>
          <t>ENKÖPING</t>
        </is>
      </c>
      <c r="G308" t="n">
        <v>4.6</v>
      </c>
      <c r="H308" t="n">
        <v>0</v>
      </c>
      <c r="I308" t="n">
        <v>0</v>
      </c>
      <c r="J308" t="n">
        <v>0</v>
      </c>
      <c r="K308" t="n">
        <v>0</v>
      </c>
      <c r="L308" t="n">
        <v>0</v>
      </c>
      <c r="M308" t="n">
        <v>0</v>
      </c>
      <c r="N308" t="n">
        <v>0</v>
      </c>
      <c r="O308" t="n">
        <v>0</v>
      </c>
      <c r="P308" t="n">
        <v>0</v>
      </c>
      <c r="Q308" t="n">
        <v>0</v>
      </c>
      <c r="R308" s="2" t="inlineStr"/>
    </row>
    <row r="309" ht="15" customHeight="1">
      <c r="A309" t="inlineStr">
        <is>
          <t>A 22632-2025</t>
        </is>
      </c>
      <c r="B309" s="1" t="n">
        <v>45789.44361111111</v>
      </c>
      <c r="C309" s="1" t="n">
        <v>46077</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51037-2024</t>
        </is>
      </c>
      <c r="B310" s="1" t="n">
        <v>45603.43005787037</v>
      </c>
      <c r="C310" s="1" t="n">
        <v>46077</v>
      </c>
      <c r="D310" t="inlineStr">
        <is>
          <t>UPPSALA LÄN</t>
        </is>
      </c>
      <c r="E310" t="inlineStr">
        <is>
          <t>ENKÖPING</t>
        </is>
      </c>
      <c r="G310" t="n">
        <v>5.7</v>
      </c>
      <c r="H310" t="n">
        <v>0</v>
      </c>
      <c r="I310" t="n">
        <v>0</v>
      </c>
      <c r="J310" t="n">
        <v>0</v>
      </c>
      <c r="K310" t="n">
        <v>0</v>
      </c>
      <c r="L310" t="n">
        <v>0</v>
      </c>
      <c r="M310" t="n">
        <v>0</v>
      </c>
      <c r="N310" t="n">
        <v>0</v>
      </c>
      <c r="O310" t="n">
        <v>0</v>
      </c>
      <c r="P310" t="n">
        <v>0</v>
      </c>
      <c r="Q310" t="n">
        <v>0</v>
      </c>
      <c r="R310" s="2" t="inlineStr"/>
    </row>
    <row r="311" ht="15" customHeight="1">
      <c r="A311" t="inlineStr">
        <is>
          <t>A 57147-2021</t>
        </is>
      </c>
      <c r="B311" s="1" t="n">
        <v>44482</v>
      </c>
      <c r="C311" s="1" t="n">
        <v>46077</v>
      </c>
      <c r="D311" t="inlineStr">
        <is>
          <t>UPPSALA LÄN</t>
        </is>
      </c>
      <c r="E311" t="inlineStr">
        <is>
          <t>ENKÖPING</t>
        </is>
      </c>
      <c r="G311" t="n">
        <v>5.7</v>
      </c>
      <c r="H311" t="n">
        <v>0</v>
      </c>
      <c r="I311" t="n">
        <v>0</v>
      </c>
      <c r="J311" t="n">
        <v>0</v>
      </c>
      <c r="K311" t="n">
        <v>0</v>
      </c>
      <c r="L311" t="n">
        <v>0</v>
      </c>
      <c r="M311" t="n">
        <v>0</v>
      </c>
      <c r="N311" t="n">
        <v>0</v>
      </c>
      <c r="O311" t="n">
        <v>0</v>
      </c>
      <c r="P311" t="n">
        <v>0</v>
      </c>
      <c r="Q311" t="n">
        <v>0</v>
      </c>
      <c r="R311" s="2" t="inlineStr"/>
    </row>
    <row r="312" ht="15" customHeight="1">
      <c r="A312" t="inlineStr">
        <is>
          <t>A 51027-2024</t>
        </is>
      </c>
      <c r="B312" s="1" t="n">
        <v>45603</v>
      </c>
      <c r="C312" s="1" t="n">
        <v>46077</v>
      </c>
      <c r="D312" t="inlineStr">
        <is>
          <t>UPPSALA LÄN</t>
        </is>
      </c>
      <c r="E312" t="inlineStr">
        <is>
          <t>ENKÖPING</t>
        </is>
      </c>
      <c r="G312" t="n">
        <v>3.5</v>
      </c>
      <c r="H312" t="n">
        <v>0</v>
      </c>
      <c r="I312" t="n">
        <v>0</v>
      </c>
      <c r="J312" t="n">
        <v>0</v>
      </c>
      <c r="K312" t="n">
        <v>0</v>
      </c>
      <c r="L312" t="n">
        <v>0</v>
      </c>
      <c r="M312" t="n">
        <v>0</v>
      </c>
      <c r="N312" t="n">
        <v>0</v>
      </c>
      <c r="O312" t="n">
        <v>0</v>
      </c>
      <c r="P312" t="n">
        <v>0</v>
      </c>
      <c r="Q312" t="n">
        <v>0</v>
      </c>
      <c r="R312" s="2" t="inlineStr"/>
    </row>
    <row r="313" ht="15" customHeight="1">
      <c r="A313" t="inlineStr">
        <is>
          <t>A 47909-2024</t>
        </is>
      </c>
      <c r="B313" s="1" t="n">
        <v>45589.31866898148</v>
      </c>
      <c r="C313" s="1" t="n">
        <v>46077</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44419-2025</t>
        </is>
      </c>
      <c r="B314" s="1" t="n">
        <v>45916.54671296296</v>
      </c>
      <c r="C314" s="1" t="n">
        <v>46077</v>
      </c>
      <c r="D314" t="inlineStr">
        <is>
          <t>UPPSALA LÄN</t>
        </is>
      </c>
      <c r="E314" t="inlineStr">
        <is>
          <t>ENKÖPING</t>
        </is>
      </c>
      <c r="G314" t="n">
        <v>1.6</v>
      </c>
      <c r="H314" t="n">
        <v>0</v>
      </c>
      <c r="I314" t="n">
        <v>0</v>
      </c>
      <c r="J314" t="n">
        <v>0</v>
      </c>
      <c r="K314" t="n">
        <v>0</v>
      </c>
      <c r="L314" t="n">
        <v>0</v>
      </c>
      <c r="M314" t="n">
        <v>0</v>
      </c>
      <c r="N314" t="n">
        <v>0</v>
      </c>
      <c r="O314" t="n">
        <v>0</v>
      </c>
      <c r="P314" t="n">
        <v>0</v>
      </c>
      <c r="Q314" t="n">
        <v>0</v>
      </c>
      <c r="R314" s="2" t="inlineStr"/>
    </row>
    <row r="315" ht="15" customHeight="1">
      <c r="A315" t="inlineStr">
        <is>
          <t>A 52005-2024</t>
        </is>
      </c>
      <c r="B315" s="1" t="n">
        <v>45607.7627662037</v>
      </c>
      <c r="C315" s="1" t="n">
        <v>46077</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43999-2025</t>
        </is>
      </c>
      <c r="B316" s="1" t="n">
        <v>45915.45158564814</v>
      </c>
      <c r="C316" s="1" t="n">
        <v>46077</v>
      </c>
      <c r="D316" t="inlineStr">
        <is>
          <t>UPPSALA LÄN</t>
        </is>
      </c>
      <c r="E316" t="inlineStr">
        <is>
          <t>ENKÖPING</t>
        </is>
      </c>
      <c r="G316" t="n">
        <v>4.1</v>
      </c>
      <c r="H316" t="n">
        <v>0</v>
      </c>
      <c r="I316" t="n">
        <v>0</v>
      </c>
      <c r="J316" t="n">
        <v>0</v>
      </c>
      <c r="K316" t="n">
        <v>0</v>
      </c>
      <c r="L316" t="n">
        <v>0</v>
      </c>
      <c r="M316" t="n">
        <v>0</v>
      </c>
      <c r="N316" t="n">
        <v>0</v>
      </c>
      <c r="O316" t="n">
        <v>0</v>
      </c>
      <c r="P316" t="n">
        <v>0</v>
      </c>
      <c r="Q316" t="n">
        <v>0</v>
      </c>
      <c r="R316" s="2" t="inlineStr"/>
    </row>
    <row r="317" ht="15" customHeight="1">
      <c r="A317" t="inlineStr">
        <is>
          <t>A 32477-2025</t>
        </is>
      </c>
      <c r="B317" s="1" t="n">
        <v>45838.43098379629</v>
      </c>
      <c r="C317" s="1" t="n">
        <v>46077</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53586-2024</t>
        </is>
      </c>
      <c r="B318" s="1" t="n">
        <v>45614</v>
      </c>
      <c r="C318" s="1" t="n">
        <v>46077</v>
      </c>
      <c r="D318" t="inlineStr">
        <is>
          <t>UPPSALA LÄN</t>
        </is>
      </c>
      <c r="E318" t="inlineStr">
        <is>
          <t>ENKÖPING</t>
        </is>
      </c>
      <c r="G318" t="n">
        <v>6.6</v>
      </c>
      <c r="H318" t="n">
        <v>0</v>
      </c>
      <c r="I318" t="n">
        <v>0</v>
      </c>
      <c r="J318" t="n">
        <v>0</v>
      </c>
      <c r="K318" t="n">
        <v>0</v>
      </c>
      <c r="L318" t="n">
        <v>0</v>
      </c>
      <c r="M318" t="n">
        <v>0</v>
      </c>
      <c r="N318" t="n">
        <v>0</v>
      </c>
      <c r="O318" t="n">
        <v>0</v>
      </c>
      <c r="P318" t="n">
        <v>0</v>
      </c>
      <c r="Q318" t="n">
        <v>0</v>
      </c>
      <c r="R318" s="2" t="inlineStr"/>
    </row>
    <row r="319" ht="15" customHeight="1">
      <c r="A319" t="inlineStr">
        <is>
          <t>A 51034-2024</t>
        </is>
      </c>
      <c r="B319" s="1" t="n">
        <v>45603.4262037037</v>
      </c>
      <c r="C319" s="1" t="n">
        <v>46077</v>
      </c>
      <c r="D319" t="inlineStr">
        <is>
          <t>UPPSALA LÄN</t>
        </is>
      </c>
      <c r="E319" t="inlineStr">
        <is>
          <t>ENKÖPING</t>
        </is>
      </c>
      <c r="G319" t="n">
        <v>1.3</v>
      </c>
      <c r="H319" t="n">
        <v>0</v>
      </c>
      <c r="I319" t="n">
        <v>0</v>
      </c>
      <c r="J319" t="n">
        <v>0</v>
      </c>
      <c r="K319" t="n">
        <v>0</v>
      </c>
      <c r="L319" t="n">
        <v>0</v>
      </c>
      <c r="M319" t="n">
        <v>0</v>
      </c>
      <c r="N319" t="n">
        <v>0</v>
      </c>
      <c r="O319" t="n">
        <v>0</v>
      </c>
      <c r="P319" t="n">
        <v>0</v>
      </c>
      <c r="Q319" t="n">
        <v>0</v>
      </c>
      <c r="R319" s="2" t="inlineStr"/>
    </row>
    <row r="320" ht="15" customHeight="1">
      <c r="A320" t="inlineStr">
        <is>
          <t>A 51036-2024</t>
        </is>
      </c>
      <c r="B320" s="1" t="n">
        <v>45603.42839120371</v>
      </c>
      <c r="C320" s="1" t="n">
        <v>46077</v>
      </c>
      <c r="D320" t="inlineStr">
        <is>
          <t>UPPSALA LÄN</t>
        </is>
      </c>
      <c r="E320" t="inlineStr">
        <is>
          <t>ENKÖPING</t>
        </is>
      </c>
      <c r="G320" t="n">
        <v>2.6</v>
      </c>
      <c r="H320" t="n">
        <v>0</v>
      </c>
      <c r="I320" t="n">
        <v>0</v>
      </c>
      <c r="J320" t="n">
        <v>0</v>
      </c>
      <c r="K320" t="n">
        <v>0</v>
      </c>
      <c r="L320" t="n">
        <v>0</v>
      </c>
      <c r="M320" t="n">
        <v>0</v>
      </c>
      <c r="N320" t="n">
        <v>0</v>
      </c>
      <c r="O320" t="n">
        <v>0</v>
      </c>
      <c r="P320" t="n">
        <v>0</v>
      </c>
      <c r="Q320" t="n">
        <v>0</v>
      </c>
      <c r="R320" s="2" t="inlineStr"/>
    </row>
    <row r="321" ht="15" customHeight="1">
      <c r="A321" t="inlineStr">
        <is>
          <t>A 43492-2023</t>
        </is>
      </c>
      <c r="B321" s="1" t="n">
        <v>45181</v>
      </c>
      <c r="C321" s="1" t="n">
        <v>46077</v>
      </c>
      <c r="D321" t="inlineStr">
        <is>
          <t>UPPSALA LÄN</t>
        </is>
      </c>
      <c r="E321" t="inlineStr">
        <is>
          <t>ENKÖPING</t>
        </is>
      </c>
      <c r="G321" t="n">
        <v>1.6</v>
      </c>
      <c r="H321" t="n">
        <v>0</v>
      </c>
      <c r="I321" t="n">
        <v>0</v>
      </c>
      <c r="J321" t="n">
        <v>0</v>
      </c>
      <c r="K321" t="n">
        <v>0</v>
      </c>
      <c r="L321" t="n">
        <v>0</v>
      </c>
      <c r="M321" t="n">
        <v>0</v>
      </c>
      <c r="N321" t="n">
        <v>0</v>
      </c>
      <c r="O321" t="n">
        <v>0</v>
      </c>
      <c r="P321" t="n">
        <v>0</v>
      </c>
      <c r="Q321" t="n">
        <v>0</v>
      </c>
      <c r="R321" s="2" t="inlineStr"/>
    </row>
    <row r="322" ht="15" customHeight="1">
      <c r="A322" t="inlineStr">
        <is>
          <t>A 1536-2024</t>
        </is>
      </c>
      <c r="B322" s="1" t="n">
        <v>45306</v>
      </c>
      <c r="C322" s="1" t="n">
        <v>46077</v>
      </c>
      <c r="D322" t="inlineStr">
        <is>
          <t>UPPSALA LÄN</t>
        </is>
      </c>
      <c r="E322" t="inlineStr">
        <is>
          <t>ENKÖPING</t>
        </is>
      </c>
      <c r="F322" t="inlineStr">
        <is>
          <t>Kyrkan</t>
        </is>
      </c>
      <c r="G322" t="n">
        <v>5.6</v>
      </c>
      <c r="H322" t="n">
        <v>0</v>
      </c>
      <c r="I322" t="n">
        <v>0</v>
      </c>
      <c r="J322" t="n">
        <v>0</v>
      </c>
      <c r="K322" t="n">
        <v>0</v>
      </c>
      <c r="L322" t="n">
        <v>0</v>
      </c>
      <c r="M322" t="n">
        <v>0</v>
      </c>
      <c r="N322" t="n">
        <v>0</v>
      </c>
      <c r="O322" t="n">
        <v>0</v>
      </c>
      <c r="P322" t="n">
        <v>0</v>
      </c>
      <c r="Q322" t="n">
        <v>0</v>
      </c>
      <c r="R322" s="2" t="inlineStr"/>
    </row>
    <row r="323" ht="15" customHeight="1">
      <c r="A323" t="inlineStr">
        <is>
          <t>A 2974-2025</t>
        </is>
      </c>
      <c r="B323" s="1" t="n">
        <v>45678.47168981482</v>
      </c>
      <c r="C323" s="1" t="n">
        <v>46077</v>
      </c>
      <c r="D323" t="inlineStr">
        <is>
          <t>UPPSALA LÄN</t>
        </is>
      </c>
      <c r="E323" t="inlineStr">
        <is>
          <t>ENKÖPING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16916-2023</t>
        </is>
      </c>
      <c r="B324" s="1" t="n">
        <v>45033.58347222222</v>
      </c>
      <c r="C324" s="1" t="n">
        <v>46077</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16920-2023</t>
        </is>
      </c>
      <c r="B325" s="1" t="n">
        <v>45033.59030092593</v>
      </c>
      <c r="C325" s="1" t="n">
        <v>46077</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45755-2025</t>
        </is>
      </c>
      <c r="B326" s="1" t="n">
        <v>45923.50240740741</v>
      </c>
      <c r="C326" s="1" t="n">
        <v>46077</v>
      </c>
      <c r="D326" t="inlineStr">
        <is>
          <t>UPPSALA LÄN</t>
        </is>
      </c>
      <c r="E326" t="inlineStr">
        <is>
          <t>ENKÖPING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52388-2024</t>
        </is>
      </c>
      <c r="B327" s="1" t="n">
        <v>45609.42939814815</v>
      </c>
      <c r="C327" s="1" t="n">
        <v>46077</v>
      </c>
      <c r="D327" t="inlineStr">
        <is>
          <t>UPPSALA LÄN</t>
        </is>
      </c>
      <c r="E327" t="inlineStr">
        <is>
          <t>ENKÖPING</t>
        </is>
      </c>
      <c r="G327" t="n">
        <v>1.8</v>
      </c>
      <c r="H327" t="n">
        <v>0</v>
      </c>
      <c r="I327" t="n">
        <v>0</v>
      </c>
      <c r="J327" t="n">
        <v>0</v>
      </c>
      <c r="K327" t="n">
        <v>0</v>
      </c>
      <c r="L327" t="n">
        <v>0</v>
      </c>
      <c r="M327" t="n">
        <v>0</v>
      </c>
      <c r="N327" t="n">
        <v>0</v>
      </c>
      <c r="O327" t="n">
        <v>0</v>
      </c>
      <c r="P327" t="n">
        <v>0</v>
      </c>
      <c r="Q327" t="n">
        <v>0</v>
      </c>
      <c r="R327" s="2" t="inlineStr"/>
    </row>
    <row r="328" ht="15" customHeight="1">
      <c r="A328" t="inlineStr">
        <is>
          <t>A 46590-2025</t>
        </is>
      </c>
      <c r="B328" s="1" t="n">
        <v>45926.39542824074</v>
      </c>
      <c r="C328" s="1" t="n">
        <v>46077</v>
      </c>
      <c r="D328" t="inlineStr">
        <is>
          <t>UPPSALA LÄN</t>
        </is>
      </c>
      <c r="E328" t="inlineStr">
        <is>
          <t>ENKÖPING</t>
        </is>
      </c>
      <c r="G328" t="n">
        <v>2.7</v>
      </c>
      <c r="H328" t="n">
        <v>0</v>
      </c>
      <c r="I328" t="n">
        <v>0</v>
      </c>
      <c r="J328" t="n">
        <v>0</v>
      </c>
      <c r="K328" t="n">
        <v>0</v>
      </c>
      <c r="L328" t="n">
        <v>0</v>
      </c>
      <c r="M328" t="n">
        <v>0</v>
      </c>
      <c r="N328" t="n">
        <v>0</v>
      </c>
      <c r="O328" t="n">
        <v>0</v>
      </c>
      <c r="P328" t="n">
        <v>0</v>
      </c>
      <c r="Q328" t="n">
        <v>0</v>
      </c>
      <c r="R328" s="2" t="inlineStr"/>
    </row>
    <row r="329" ht="15" customHeight="1">
      <c r="A329" t="inlineStr">
        <is>
          <t>A 12434-2021</t>
        </is>
      </c>
      <c r="B329" s="1" t="n">
        <v>44267</v>
      </c>
      <c r="C329" s="1" t="n">
        <v>46077</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34989-2025</t>
        </is>
      </c>
      <c r="B330" s="1" t="n">
        <v>45849</v>
      </c>
      <c r="C330" s="1" t="n">
        <v>46077</v>
      </c>
      <c r="D330" t="inlineStr">
        <is>
          <t>UPPSALA LÄN</t>
        </is>
      </c>
      <c r="E330" t="inlineStr">
        <is>
          <t>ENKÖPING</t>
        </is>
      </c>
      <c r="G330" t="n">
        <v>2.4</v>
      </c>
      <c r="H330" t="n">
        <v>0</v>
      </c>
      <c r="I330" t="n">
        <v>0</v>
      </c>
      <c r="J330" t="n">
        <v>0</v>
      </c>
      <c r="K330" t="n">
        <v>0</v>
      </c>
      <c r="L330" t="n">
        <v>0</v>
      </c>
      <c r="M330" t="n">
        <v>0</v>
      </c>
      <c r="N330" t="n">
        <v>0</v>
      </c>
      <c r="O330" t="n">
        <v>0</v>
      </c>
      <c r="P330" t="n">
        <v>0</v>
      </c>
      <c r="Q330" t="n">
        <v>0</v>
      </c>
      <c r="R330" s="2" t="inlineStr"/>
    </row>
    <row r="331" ht="15" customHeight="1">
      <c r="A331" t="inlineStr">
        <is>
          <t>A 34990-2025</t>
        </is>
      </c>
      <c r="B331" s="1" t="n">
        <v>45849.78916666667</v>
      </c>
      <c r="C331" s="1" t="n">
        <v>46077</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1992-2022</t>
        </is>
      </c>
      <c r="B332" s="1" t="n">
        <v>44575.56153935185</v>
      </c>
      <c r="C332" s="1" t="n">
        <v>46077</v>
      </c>
      <c r="D332" t="inlineStr">
        <is>
          <t>UPPSALA LÄN</t>
        </is>
      </c>
      <c r="E332" t="inlineStr">
        <is>
          <t>ENKÖPING</t>
        </is>
      </c>
      <c r="G332" t="n">
        <v>2.8</v>
      </c>
      <c r="H332" t="n">
        <v>0</v>
      </c>
      <c r="I332" t="n">
        <v>0</v>
      </c>
      <c r="J332" t="n">
        <v>0</v>
      </c>
      <c r="K332" t="n">
        <v>0</v>
      </c>
      <c r="L332" t="n">
        <v>0</v>
      </c>
      <c r="M332" t="n">
        <v>0</v>
      </c>
      <c r="N332" t="n">
        <v>0</v>
      </c>
      <c r="O332" t="n">
        <v>0</v>
      </c>
      <c r="P332" t="n">
        <v>0</v>
      </c>
      <c r="Q332" t="n">
        <v>0</v>
      </c>
      <c r="R332" s="2" t="inlineStr"/>
    </row>
    <row r="333" ht="15" customHeight="1">
      <c r="A333" t="inlineStr">
        <is>
          <t>A 6626-2023</t>
        </is>
      </c>
      <c r="B333" s="1" t="n">
        <v>44966.55946759259</v>
      </c>
      <c r="C333" s="1" t="n">
        <v>46077</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47441-2025</t>
        </is>
      </c>
      <c r="B334" s="1" t="n">
        <v>45930.63986111111</v>
      </c>
      <c r="C334" s="1" t="n">
        <v>46077</v>
      </c>
      <c r="D334" t="inlineStr">
        <is>
          <t>UPPSALA LÄN</t>
        </is>
      </c>
      <c r="E334" t="inlineStr">
        <is>
          <t>ENKÖPING</t>
        </is>
      </c>
      <c r="F334" t="inlineStr">
        <is>
          <t>Allmännings- och besparingsskogar</t>
        </is>
      </c>
      <c r="G334" t="n">
        <v>11.5</v>
      </c>
      <c r="H334" t="n">
        <v>0</v>
      </c>
      <c r="I334" t="n">
        <v>0</v>
      </c>
      <c r="J334" t="n">
        <v>0</v>
      </c>
      <c r="K334" t="n">
        <v>0</v>
      </c>
      <c r="L334" t="n">
        <v>0</v>
      </c>
      <c r="M334" t="n">
        <v>0</v>
      </c>
      <c r="N334" t="n">
        <v>0</v>
      </c>
      <c r="O334" t="n">
        <v>0</v>
      </c>
      <c r="P334" t="n">
        <v>0</v>
      </c>
      <c r="Q334" t="n">
        <v>0</v>
      </c>
      <c r="R334" s="2" t="inlineStr"/>
    </row>
    <row r="335" ht="15" customHeight="1">
      <c r="A335" t="inlineStr">
        <is>
          <t>A 46940-2025</t>
        </is>
      </c>
      <c r="B335" s="1" t="n">
        <v>45929.45483796296</v>
      </c>
      <c r="C335" s="1" t="n">
        <v>46077</v>
      </c>
      <c r="D335" t="inlineStr">
        <is>
          <t>UPPSALA LÄN</t>
        </is>
      </c>
      <c r="E335" t="inlineStr">
        <is>
          <t>ENKÖPING</t>
        </is>
      </c>
      <c r="G335" t="n">
        <v>5.3</v>
      </c>
      <c r="H335" t="n">
        <v>0</v>
      </c>
      <c r="I335" t="n">
        <v>0</v>
      </c>
      <c r="J335" t="n">
        <v>0</v>
      </c>
      <c r="K335" t="n">
        <v>0</v>
      </c>
      <c r="L335" t="n">
        <v>0</v>
      </c>
      <c r="M335" t="n">
        <v>0</v>
      </c>
      <c r="N335" t="n">
        <v>0</v>
      </c>
      <c r="O335" t="n">
        <v>0</v>
      </c>
      <c r="P335" t="n">
        <v>0</v>
      </c>
      <c r="Q335" t="n">
        <v>0</v>
      </c>
      <c r="R335" s="2" t="inlineStr"/>
    </row>
    <row r="336" ht="15" customHeight="1">
      <c r="A336" t="inlineStr">
        <is>
          <t>A 48843-2023</t>
        </is>
      </c>
      <c r="B336" s="1" t="n">
        <v>45209</v>
      </c>
      <c r="C336" s="1" t="n">
        <v>46077</v>
      </c>
      <c r="D336" t="inlineStr">
        <is>
          <t>UPPSALA LÄN</t>
        </is>
      </c>
      <c r="E336" t="inlineStr">
        <is>
          <t>ENKÖPING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57940-2022</t>
        </is>
      </c>
      <c r="B337" s="1" t="n">
        <v>44900</v>
      </c>
      <c r="C337" s="1" t="n">
        <v>46077</v>
      </c>
      <c r="D337" t="inlineStr">
        <is>
          <t>UPPSALA LÄN</t>
        </is>
      </c>
      <c r="E337" t="inlineStr">
        <is>
          <t>ENKÖPING</t>
        </is>
      </c>
      <c r="G337" t="n">
        <v>1.9</v>
      </c>
      <c r="H337" t="n">
        <v>0</v>
      </c>
      <c r="I337" t="n">
        <v>0</v>
      </c>
      <c r="J337" t="n">
        <v>0</v>
      </c>
      <c r="K337" t="n">
        <v>0</v>
      </c>
      <c r="L337" t="n">
        <v>0</v>
      </c>
      <c r="M337" t="n">
        <v>0</v>
      </c>
      <c r="N337" t="n">
        <v>0</v>
      </c>
      <c r="O337" t="n">
        <v>0</v>
      </c>
      <c r="P337" t="n">
        <v>0</v>
      </c>
      <c r="Q337" t="n">
        <v>0</v>
      </c>
      <c r="R337" s="2" t="inlineStr"/>
    </row>
    <row r="338" ht="15" customHeight="1">
      <c r="A338" t="inlineStr">
        <is>
          <t>A 35079-2024</t>
        </is>
      </c>
      <c r="B338" s="1" t="n">
        <v>45527.66770833333</v>
      </c>
      <c r="C338" s="1" t="n">
        <v>46077</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53595-2023</t>
        </is>
      </c>
      <c r="B339" s="1" t="n">
        <v>45223</v>
      </c>
      <c r="C339" s="1" t="n">
        <v>46077</v>
      </c>
      <c r="D339" t="inlineStr">
        <is>
          <t>UPPSALA LÄN</t>
        </is>
      </c>
      <c r="E339" t="inlineStr">
        <is>
          <t>ENKÖPING</t>
        </is>
      </c>
      <c r="G339" t="n">
        <v>2.6</v>
      </c>
      <c r="H339" t="n">
        <v>0</v>
      </c>
      <c r="I339" t="n">
        <v>0</v>
      </c>
      <c r="J339" t="n">
        <v>0</v>
      </c>
      <c r="K339" t="n">
        <v>0</v>
      </c>
      <c r="L339" t="n">
        <v>0</v>
      </c>
      <c r="M339" t="n">
        <v>0</v>
      </c>
      <c r="N339" t="n">
        <v>0</v>
      </c>
      <c r="O339" t="n">
        <v>0</v>
      </c>
      <c r="P339" t="n">
        <v>0</v>
      </c>
      <c r="Q339" t="n">
        <v>0</v>
      </c>
      <c r="R339" s="2" t="inlineStr"/>
    </row>
    <row r="340" ht="15" customHeight="1">
      <c r="A340" t="inlineStr">
        <is>
          <t>A 48423-2025</t>
        </is>
      </c>
      <c r="B340" s="1" t="n">
        <v>45934.68024305555</v>
      </c>
      <c r="C340" s="1" t="n">
        <v>46077</v>
      </c>
      <c r="D340" t="inlineStr">
        <is>
          <t>UPPSALA LÄN</t>
        </is>
      </c>
      <c r="E340" t="inlineStr">
        <is>
          <t>ENKÖPING</t>
        </is>
      </c>
      <c r="G340" t="n">
        <v>4.3</v>
      </c>
      <c r="H340" t="n">
        <v>0</v>
      </c>
      <c r="I340" t="n">
        <v>0</v>
      </c>
      <c r="J340" t="n">
        <v>0</v>
      </c>
      <c r="K340" t="n">
        <v>0</v>
      </c>
      <c r="L340" t="n">
        <v>0</v>
      </c>
      <c r="M340" t="n">
        <v>0</v>
      </c>
      <c r="N340" t="n">
        <v>0</v>
      </c>
      <c r="O340" t="n">
        <v>0</v>
      </c>
      <c r="P340" t="n">
        <v>0</v>
      </c>
      <c r="Q340" t="n">
        <v>0</v>
      </c>
      <c r="R340" s="2" t="inlineStr"/>
    </row>
    <row r="341" ht="15" customHeight="1">
      <c r="A341" t="inlineStr">
        <is>
          <t>A 48424-2025</t>
        </is>
      </c>
      <c r="B341" s="1" t="n">
        <v>45934.69131944444</v>
      </c>
      <c r="C341" s="1" t="n">
        <v>46077</v>
      </c>
      <c r="D341" t="inlineStr">
        <is>
          <t>UPPSALA LÄN</t>
        </is>
      </c>
      <c r="E341" t="inlineStr">
        <is>
          <t>ENKÖPING</t>
        </is>
      </c>
      <c r="G341" t="n">
        <v>0.6</v>
      </c>
      <c r="H341" t="n">
        <v>0</v>
      </c>
      <c r="I341" t="n">
        <v>0</v>
      </c>
      <c r="J341" t="n">
        <v>0</v>
      </c>
      <c r="K341" t="n">
        <v>0</v>
      </c>
      <c r="L341" t="n">
        <v>0</v>
      </c>
      <c r="M341" t="n">
        <v>0</v>
      </c>
      <c r="N341" t="n">
        <v>0</v>
      </c>
      <c r="O341" t="n">
        <v>0</v>
      </c>
      <c r="P341" t="n">
        <v>0</v>
      </c>
      <c r="Q341" t="n">
        <v>0</v>
      </c>
      <c r="R341" s="2" t="inlineStr"/>
    </row>
    <row r="342" ht="15" customHeight="1">
      <c r="A342" t="inlineStr">
        <is>
          <t>A 48678-2025</t>
        </is>
      </c>
      <c r="B342" s="1" t="n">
        <v>45936.59168981481</v>
      </c>
      <c r="C342" s="1" t="n">
        <v>46077</v>
      </c>
      <c r="D342" t="inlineStr">
        <is>
          <t>UPPSALA LÄN</t>
        </is>
      </c>
      <c r="E342" t="inlineStr">
        <is>
          <t>ENKÖPING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60533-2021</t>
        </is>
      </c>
      <c r="B343" s="1" t="n">
        <v>44496</v>
      </c>
      <c r="C343" s="1" t="n">
        <v>46077</v>
      </c>
      <c r="D343" t="inlineStr">
        <is>
          <t>UPPSALA LÄN</t>
        </is>
      </c>
      <c r="E343" t="inlineStr">
        <is>
          <t>ENKÖPING</t>
        </is>
      </c>
      <c r="G343" t="n">
        <v>2.2</v>
      </c>
      <c r="H343" t="n">
        <v>0</v>
      </c>
      <c r="I343" t="n">
        <v>0</v>
      </c>
      <c r="J343" t="n">
        <v>0</v>
      </c>
      <c r="K343" t="n">
        <v>0</v>
      </c>
      <c r="L343" t="n">
        <v>0</v>
      </c>
      <c r="M343" t="n">
        <v>0</v>
      </c>
      <c r="N343" t="n">
        <v>0</v>
      </c>
      <c r="O343" t="n">
        <v>0</v>
      </c>
      <c r="P343" t="n">
        <v>0</v>
      </c>
      <c r="Q343" t="n">
        <v>0</v>
      </c>
      <c r="R343" s="2" t="inlineStr"/>
    </row>
    <row r="344" ht="15" customHeight="1">
      <c r="A344" t="inlineStr">
        <is>
          <t>A 15757-2023</t>
        </is>
      </c>
      <c r="B344" s="1" t="n">
        <v>45021</v>
      </c>
      <c r="C344" s="1" t="n">
        <v>46077</v>
      </c>
      <c r="D344" t="inlineStr">
        <is>
          <t>UPPSALA LÄN</t>
        </is>
      </c>
      <c r="E344" t="inlineStr">
        <is>
          <t>ENKÖPING</t>
        </is>
      </c>
      <c r="G344" t="n">
        <v>3</v>
      </c>
      <c r="H344" t="n">
        <v>0</v>
      </c>
      <c r="I344" t="n">
        <v>0</v>
      </c>
      <c r="J344" t="n">
        <v>0</v>
      </c>
      <c r="K344" t="n">
        <v>0</v>
      </c>
      <c r="L344" t="n">
        <v>0</v>
      </c>
      <c r="M344" t="n">
        <v>0</v>
      </c>
      <c r="N344" t="n">
        <v>0</v>
      </c>
      <c r="O344" t="n">
        <v>0</v>
      </c>
      <c r="P344" t="n">
        <v>0</v>
      </c>
      <c r="Q344" t="n">
        <v>0</v>
      </c>
      <c r="R344" s="2" t="inlineStr"/>
    </row>
    <row r="345" ht="15" customHeight="1">
      <c r="A345" t="inlineStr">
        <is>
          <t>A 43230-2023</t>
        </is>
      </c>
      <c r="B345" s="1" t="n">
        <v>45183</v>
      </c>
      <c r="C345" s="1" t="n">
        <v>46077</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56886-2023</t>
        </is>
      </c>
      <c r="B346" s="1" t="n">
        <v>45239</v>
      </c>
      <c r="C346" s="1" t="n">
        <v>46077</v>
      </c>
      <c r="D346" t="inlineStr">
        <is>
          <t>UPPSALA LÄN</t>
        </is>
      </c>
      <c r="E346" t="inlineStr">
        <is>
          <t>ENKÖPING</t>
        </is>
      </c>
      <c r="G346" t="n">
        <v>2</v>
      </c>
      <c r="H346" t="n">
        <v>0</v>
      </c>
      <c r="I346" t="n">
        <v>0</v>
      </c>
      <c r="J346" t="n">
        <v>0</v>
      </c>
      <c r="K346" t="n">
        <v>0</v>
      </c>
      <c r="L346" t="n">
        <v>0</v>
      </c>
      <c r="M346" t="n">
        <v>0</v>
      </c>
      <c r="N346" t="n">
        <v>0</v>
      </c>
      <c r="O346" t="n">
        <v>0</v>
      </c>
      <c r="P346" t="n">
        <v>0</v>
      </c>
      <c r="Q346" t="n">
        <v>0</v>
      </c>
      <c r="R346" s="2" t="inlineStr"/>
    </row>
    <row r="347" ht="15" customHeight="1">
      <c r="A347" t="inlineStr">
        <is>
          <t>A 51011-2024</t>
        </is>
      </c>
      <c r="B347" s="1" t="n">
        <v>45603.39427083333</v>
      </c>
      <c r="C347" s="1" t="n">
        <v>46077</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49068-2025</t>
        </is>
      </c>
      <c r="B348" s="1" t="n">
        <v>45937.64766203704</v>
      </c>
      <c r="C348" s="1" t="n">
        <v>46077</v>
      </c>
      <c r="D348" t="inlineStr">
        <is>
          <t>UPPSALA LÄN</t>
        </is>
      </c>
      <c r="E348" t="inlineStr">
        <is>
          <t>ENKÖPING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39439-2025</t>
        </is>
      </c>
      <c r="B349" s="1" t="n">
        <v>45889</v>
      </c>
      <c r="C349" s="1" t="n">
        <v>46077</v>
      </c>
      <c r="D349" t="inlineStr">
        <is>
          <t>UPPSALA LÄN</t>
        </is>
      </c>
      <c r="E349" t="inlineStr">
        <is>
          <t>ENKÖPING</t>
        </is>
      </c>
      <c r="G349" t="n">
        <v>0.4</v>
      </c>
      <c r="H349" t="n">
        <v>0</v>
      </c>
      <c r="I349" t="n">
        <v>0</v>
      </c>
      <c r="J349" t="n">
        <v>0</v>
      </c>
      <c r="K349" t="n">
        <v>0</v>
      </c>
      <c r="L349" t="n">
        <v>0</v>
      </c>
      <c r="M349" t="n">
        <v>0</v>
      </c>
      <c r="N349" t="n">
        <v>0</v>
      </c>
      <c r="O349" t="n">
        <v>0</v>
      </c>
      <c r="P349" t="n">
        <v>0</v>
      </c>
      <c r="Q349" t="n">
        <v>0</v>
      </c>
      <c r="R349" s="2" t="inlineStr"/>
    </row>
    <row r="350" ht="15" customHeight="1">
      <c r="A350" t="inlineStr">
        <is>
          <t>A 12102-2024</t>
        </is>
      </c>
      <c r="B350" s="1" t="n">
        <v>45377</v>
      </c>
      <c r="C350" s="1" t="n">
        <v>46077</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43103-2025</t>
        </is>
      </c>
      <c r="B351" s="1" t="n">
        <v>45909</v>
      </c>
      <c r="C351" s="1" t="n">
        <v>46077</v>
      </c>
      <c r="D351" t="inlineStr">
        <is>
          <t>UPPSALA LÄN</t>
        </is>
      </c>
      <c r="E351" t="inlineStr">
        <is>
          <t>ENKÖPING</t>
        </is>
      </c>
      <c r="G351" t="n">
        <v>2.3</v>
      </c>
      <c r="H351" t="n">
        <v>0</v>
      </c>
      <c r="I351" t="n">
        <v>0</v>
      </c>
      <c r="J351" t="n">
        <v>0</v>
      </c>
      <c r="K351" t="n">
        <v>0</v>
      </c>
      <c r="L351" t="n">
        <v>0</v>
      </c>
      <c r="M351" t="n">
        <v>0</v>
      </c>
      <c r="N351" t="n">
        <v>0</v>
      </c>
      <c r="O351" t="n">
        <v>0</v>
      </c>
      <c r="P351" t="n">
        <v>0</v>
      </c>
      <c r="Q351" t="n">
        <v>0</v>
      </c>
      <c r="R351" s="2" t="inlineStr"/>
    </row>
    <row r="352" ht="15" customHeight="1">
      <c r="A352" t="inlineStr">
        <is>
          <t>A 58961-2024</t>
        </is>
      </c>
      <c r="B352" s="1" t="n">
        <v>45636.585</v>
      </c>
      <c r="C352" s="1" t="n">
        <v>46077</v>
      </c>
      <c r="D352" t="inlineStr">
        <is>
          <t>UPPSALA LÄN</t>
        </is>
      </c>
      <c r="E352" t="inlineStr">
        <is>
          <t>ENKÖPING</t>
        </is>
      </c>
      <c r="G352" t="n">
        <v>4</v>
      </c>
      <c r="H352" t="n">
        <v>0</v>
      </c>
      <c r="I352" t="n">
        <v>0</v>
      </c>
      <c r="J352" t="n">
        <v>0</v>
      </c>
      <c r="K352" t="n">
        <v>0</v>
      </c>
      <c r="L352" t="n">
        <v>0</v>
      </c>
      <c r="M352" t="n">
        <v>0</v>
      </c>
      <c r="N352" t="n">
        <v>0</v>
      </c>
      <c r="O352" t="n">
        <v>0</v>
      </c>
      <c r="P352" t="n">
        <v>0</v>
      </c>
      <c r="Q352" t="n">
        <v>0</v>
      </c>
      <c r="R352" s="2" t="inlineStr"/>
    </row>
    <row r="353" ht="15" customHeight="1">
      <c r="A353" t="inlineStr">
        <is>
          <t>A 45283-2022</t>
        </is>
      </c>
      <c r="B353" s="1" t="n">
        <v>44844</v>
      </c>
      <c r="C353" s="1" t="n">
        <v>46077</v>
      </c>
      <c r="D353" t="inlineStr">
        <is>
          <t>UPPSALA LÄN</t>
        </is>
      </c>
      <c r="E353" t="inlineStr">
        <is>
          <t>ENKÖPING</t>
        </is>
      </c>
      <c r="G353" t="n">
        <v>5.9</v>
      </c>
      <c r="H353" t="n">
        <v>0</v>
      </c>
      <c r="I353" t="n">
        <v>0</v>
      </c>
      <c r="J353" t="n">
        <v>0</v>
      </c>
      <c r="K353" t="n">
        <v>0</v>
      </c>
      <c r="L353" t="n">
        <v>0</v>
      </c>
      <c r="M353" t="n">
        <v>0</v>
      </c>
      <c r="N353" t="n">
        <v>0</v>
      </c>
      <c r="O353" t="n">
        <v>0</v>
      </c>
      <c r="P353" t="n">
        <v>0</v>
      </c>
      <c r="Q353" t="n">
        <v>0</v>
      </c>
      <c r="R353" s="2" t="inlineStr"/>
    </row>
    <row r="354" ht="15" customHeight="1">
      <c r="A354" t="inlineStr">
        <is>
          <t>A 845-2025</t>
        </is>
      </c>
      <c r="B354" s="1" t="n">
        <v>45665</v>
      </c>
      <c r="C354" s="1" t="n">
        <v>46077</v>
      </c>
      <c r="D354" t="inlineStr">
        <is>
          <t>UPPSALA LÄN</t>
        </is>
      </c>
      <c r="E354" t="inlineStr">
        <is>
          <t>ENKÖPING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849-2025</t>
        </is>
      </c>
      <c r="B355" s="1" t="n">
        <v>45665</v>
      </c>
      <c r="C355" s="1" t="n">
        <v>46077</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49073-2025</t>
        </is>
      </c>
      <c r="B356" s="1" t="n">
        <v>45937.65512731481</v>
      </c>
      <c r="C356" s="1" t="n">
        <v>46077</v>
      </c>
      <c r="D356" t="inlineStr">
        <is>
          <t>UPPSALA LÄN</t>
        </is>
      </c>
      <c r="E356" t="inlineStr">
        <is>
          <t>ENKÖPING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58147-2024</t>
        </is>
      </c>
      <c r="B357" s="1" t="n">
        <v>45632.4334375</v>
      </c>
      <c r="C357" s="1" t="n">
        <v>46077</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51162-2025</t>
        </is>
      </c>
      <c r="B358" s="1" t="n">
        <v>45947.58820601852</v>
      </c>
      <c r="C358" s="1" t="n">
        <v>46077</v>
      </c>
      <c r="D358" t="inlineStr">
        <is>
          <t>UPPSALA LÄN</t>
        </is>
      </c>
      <c r="E358" t="inlineStr">
        <is>
          <t>ENKÖPING</t>
        </is>
      </c>
      <c r="G358" t="n">
        <v>3.4</v>
      </c>
      <c r="H358" t="n">
        <v>0</v>
      </c>
      <c r="I358" t="n">
        <v>0</v>
      </c>
      <c r="J358" t="n">
        <v>0</v>
      </c>
      <c r="K358" t="n">
        <v>0</v>
      </c>
      <c r="L358" t="n">
        <v>0</v>
      </c>
      <c r="M358" t="n">
        <v>0</v>
      </c>
      <c r="N358" t="n">
        <v>0</v>
      </c>
      <c r="O358" t="n">
        <v>0</v>
      </c>
      <c r="P358" t="n">
        <v>0</v>
      </c>
      <c r="Q358" t="n">
        <v>0</v>
      </c>
      <c r="R358" s="2" t="inlineStr"/>
    </row>
    <row r="359" ht="15" customHeight="1">
      <c r="A359" t="inlineStr">
        <is>
          <t>A 51133-2025</t>
        </is>
      </c>
      <c r="B359" s="1" t="n">
        <v>45947.55598379629</v>
      </c>
      <c r="C359" s="1" t="n">
        <v>46077</v>
      </c>
      <c r="D359" t="inlineStr">
        <is>
          <t>UPPSALA LÄN</t>
        </is>
      </c>
      <c r="E359" t="inlineStr">
        <is>
          <t>ENKÖPING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18302-2025</t>
        </is>
      </c>
      <c r="B360" s="1" t="n">
        <v>45762</v>
      </c>
      <c r="C360" s="1" t="n">
        <v>46077</v>
      </c>
      <c r="D360" t="inlineStr">
        <is>
          <t>UPPSALA LÄN</t>
        </is>
      </c>
      <c r="E360" t="inlineStr">
        <is>
          <t>ENKÖPING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34735-2023</t>
        </is>
      </c>
      <c r="B361" s="1" t="n">
        <v>45139</v>
      </c>
      <c r="C361" s="1" t="n">
        <v>46077</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30514-2021</t>
        </is>
      </c>
      <c r="B362" s="1" t="n">
        <v>44364</v>
      </c>
      <c r="C362" s="1" t="n">
        <v>46077</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26017-2025</t>
        </is>
      </c>
      <c r="B363" s="1" t="n">
        <v>45804</v>
      </c>
      <c r="C363" s="1" t="n">
        <v>46077</v>
      </c>
      <c r="D363" t="inlineStr">
        <is>
          <t>UPPSALA LÄN</t>
        </is>
      </c>
      <c r="E363" t="inlineStr">
        <is>
          <t>ENKÖPING</t>
        </is>
      </c>
      <c r="G363" t="n">
        <v>0.4</v>
      </c>
      <c r="H363" t="n">
        <v>0</v>
      </c>
      <c r="I363" t="n">
        <v>0</v>
      </c>
      <c r="J363" t="n">
        <v>0</v>
      </c>
      <c r="K363" t="n">
        <v>0</v>
      </c>
      <c r="L363" t="n">
        <v>0</v>
      </c>
      <c r="M363" t="n">
        <v>0</v>
      </c>
      <c r="N363" t="n">
        <v>0</v>
      </c>
      <c r="O363" t="n">
        <v>0</v>
      </c>
      <c r="P363" t="n">
        <v>0</v>
      </c>
      <c r="Q363" t="n">
        <v>0</v>
      </c>
      <c r="R363" s="2" t="inlineStr"/>
    </row>
    <row r="364" ht="15" customHeight="1">
      <c r="A364" t="inlineStr">
        <is>
          <t>A 57209-2024</t>
        </is>
      </c>
      <c r="B364" s="1" t="n">
        <v>45629.49311342592</v>
      </c>
      <c r="C364" s="1" t="n">
        <v>46077</v>
      </c>
      <c r="D364" t="inlineStr">
        <is>
          <t>UPPSALA LÄN</t>
        </is>
      </c>
      <c r="E364" t="inlineStr">
        <is>
          <t>ENKÖPING</t>
        </is>
      </c>
      <c r="G364" t="n">
        <v>3.2</v>
      </c>
      <c r="H364" t="n">
        <v>0</v>
      </c>
      <c r="I364" t="n">
        <v>0</v>
      </c>
      <c r="J364" t="n">
        <v>0</v>
      </c>
      <c r="K364" t="n">
        <v>0</v>
      </c>
      <c r="L364" t="n">
        <v>0</v>
      </c>
      <c r="M364" t="n">
        <v>0</v>
      </c>
      <c r="N364" t="n">
        <v>0</v>
      </c>
      <c r="O364" t="n">
        <v>0</v>
      </c>
      <c r="P364" t="n">
        <v>0</v>
      </c>
      <c r="Q364" t="n">
        <v>0</v>
      </c>
      <c r="R364" s="2" t="inlineStr"/>
    </row>
    <row r="365" ht="15" customHeight="1">
      <c r="A365" t="inlineStr">
        <is>
          <t>A 13110-2023</t>
        </is>
      </c>
      <c r="B365" s="1" t="n">
        <v>45001</v>
      </c>
      <c r="C365" s="1" t="n">
        <v>46077</v>
      </c>
      <c r="D365" t="inlineStr">
        <is>
          <t>UPPSALA LÄN</t>
        </is>
      </c>
      <c r="E365" t="inlineStr">
        <is>
          <t>ENKÖPING</t>
        </is>
      </c>
      <c r="G365" t="n">
        <v>2.5</v>
      </c>
      <c r="H365" t="n">
        <v>0</v>
      </c>
      <c r="I365" t="n">
        <v>0</v>
      </c>
      <c r="J365" t="n">
        <v>0</v>
      </c>
      <c r="K365" t="n">
        <v>0</v>
      </c>
      <c r="L365" t="n">
        <v>0</v>
      </c>
      <c r="M365" t="n">
        <v>0</v>
      </c>
      <c r="N365" t="n">
        <v>0</v>
      </c>
      <c r="O365" t="n">
        <v>0</v>
      </c>
      <c r="P365" t="n">
        <v>0</v>
      </c>
      <c r="Q365" t="n">
        <v>0</v>
      </c>
      <c r="R365" s="2" t="inlineStr"/>
    </row>
    <row r="366" ht="15" customHeight="1">
      <c r="A366" t="inlineStr">
        <is>
          <t>A 49627-2024</t>
        </is>
      </c>
      <c r="B366" s="1" t="n">
        <v>45596.59140046296</v>
      </c>
      <c r="C366" s="1" t="n">
        <v>46077</v>
      </c>
      <c r="D366" t="inlineStr">
        <is>
          <t>UPPSALA LÄN</t>
        </is>
      </c>
      <c r="E366" t="inlineStr">
        <is>
          <t>ENKÖPING</t>
        </is>
      </c>
      <c r="G366" t="n">
        <v>0.4</v>
      </c>
      <c r="H366" t="n">
        <v>0</v>
      </c>
      <c r="I366" t="n">
        <v>0</v>
      </c>
      <c r="J366" t="n">
        <v>0</v>
      </c>
      <c r="K366" t="n">
        <v>0</v>
      </c>
      <c r="L366" t="n">
        <v>0</v>
      </c>
      <c r="M366" t="n">
        <v>0</v>
      </c>
      <c r="N366" t="n">
        <v>0</v>
      </c>
      <c r="O366" t="n">
        <v>0</v>
      </c>
      <c r="P366" t="n">
        <v>0</v>
      </c>
      <c r="Q366" t="n">
        <v>0</v>
      </c>
      <c r="R366" s="2" t="inlineStr"/>
    </row>
    <row r="367" ht="15" customHeight="1">
      <c r="A367" t="inlineStr">
        <is>
          <t>A 9231-2023</t>
        </is>
      </c>
      <c r="B367" s="1" t="n">
        <v>44980</v>
      </c>
      <c r="C367" s="1" t="n">
        <v>46077</v>
      </c>
      <c r="D367" t="inlineStr">
        <is>
          <t>UPPSALA LÄN</t>
        </is>
      </c>
      <c r="E367" t="inlineStr">
        <is>
          <t>ENKÖPING</t>
        </is>
      </c>
      <c r="G367" t="n">
        <v>1.5</v>
      </c>
      <c r="H367" t="n">
        <v>0</v>
      </c>
      <c r="I367" t="n">
        <v>0</v>
      </c>
      <c r="J367" t="n">
        <v>0</v>
      </c>
      <c r="K367" t="n">
        <v>0</v>
      </c>
      <c r="L367" t="n">
        <v>0</v>
      </c>
      <c r="M367" t="n">
        <v>0</v>
      </c>
      <c r="N367" t="n">
        <v>0</v>
      </c>
      <c r="O367" t="n">
        <v>0</v>
      </c>
      <c r="P367" t="n">
        <v>0</v>
      </c>
      <c r="Q367" t="n">
        <v>0</v>
      </c>
      <c r="R367" s="2" t="inlineStr"/>
    </row>
    <row r="368" ht="15" customHeight="1">
      <c r="A368" t="inlineStr">
        <is>
          <t>A 27538-2023</t>
        </is>
      </c>
      <c r="B368" s="1" t="n">
        <v>45097</v>
      </c>
      <c r="C368" s="1" t="n">
        <v>46077</v>
      </c>
      <c r="D368" t="inlineStr">
        <is>
          <t>UPPSALA LÄN</t>
        </is>
      </c>
      <c r="E368" t="inlineStr">
        <is>
          <t>ENKÖPING</t>
        </is>
      </c>
      <c r="G368" t="n">
        <v>5.8</v>
      </c>
      <c r="H368" t="n">
        <v>0</v>
      </c>
      <c r="I368" t="n">
        <v>0</v>
      </c>
      <c r="J368" t="n">
        <v>0</v>
      </c>
      <c r="K368" t="n">
        <v>0</v>
      </c>
      <c r="L368" t="n">
        <v>0</v>
      </c>
      <c r="M368" t="n">
        <v>0</v>
      </c>
      <c r="N368" t="n">
        <v>0</v>
      </c>
      <c r="O368" t="n">
        <v>0</v>
      </c>
      <c r="P368" t="n">
        <v>0</v>
      </c>
      <c r="Q368" t="n">
        <v>0</v>
      </c>
      <c r="R368" s="2" t="inlineStr"/>
    </row>
    <row r="369" ht="15" customHeight="1">
      <c r="A369" t="inlineStr">
        <is>
          <t>A 26011-2025</t>
        </is>
      </c>
      <c r="B369" s="1" t="n">
        <v>45804.67412037037</v>
      </c>
      <c r="C369" s="1" t="n">
        <v>46077</v>
      </c>
      <c r="D369" t="inlineStr">
        <is>
          <t>UPPSALA LÄN</t>
        </is>
      </c>
      <c r="E369" t="inlineStr">
        <is>
          <t>ENKÖPING</t>
        </is>
      </c>
      <c r="G369" t="n">
        <v>1.3</v>
      </c>
      <c r="H369" t="n">
        <v>0</v>
      </c>
      <c r="I369" t="n">
        <v>0</v>
      </c>
      <c r="J369" t="n">
        <v>0</v>
      </c>
      <c r="K369" t="n">
        <v>0</v>
      </c>
      <c r="L369" t="n">
        <v>0</v>
      </c>
      <c r="M369" t="n">
        <v>0</v>
      </c>
      <c r="N369" t="n">
        <v>0</v>
      </c>
      <c r="O369" t="n">
        <v>0</v>
      </c>
      <c r="P369" t="n">
        <v>0</v>
      </c>
      <c r="Q369" t="n">
        <v>0</v>
      </c>
      <c r="R369" s="2" t="inlineStr"/>
    </row>
    <row r="370" ht="15" customHeight="1">
      <c r="A370" t="inlineStr">
        <is>
          <t>A 18821-2023</t>
        </is>
      </c>
      <c r="B370" s="1" t="n">
        <v>45044.3782175926</v>
      </c>
      <c r="C370" s="1" t="n">
        <v>46077</v>
      </c>
      <c r="D370" t="inlineStr">
        <is>
          <t>UPPSALA LÄN</t>
        </is>
      </c>
      <c r="E370" t="inlineStr">
        <is>
          <t>ENKÖPING</t>
        </is>
      </c>
      <c r="G370" t="n">
        <v>6</v>
      </c>
      <c r="H370" t="n">
        <v>0</v>
      </c>
      <c r="I370" t="n">
        <v>0</v>
      </c>
      <c r="J370" t="n">
        <v>0</v>
      </c>
      <c r="K370" t="n">
        <v>0</v>
      </c>
      <c r="L370" t="n">
        <v>0</v>
      </c>
      <c r="M370" t="n">
        <v>0</v>
      </c>
      <c r="N370" t="n">
        <v>0</v>
      </c>
      <c r="O370" t="n">
        <v>0</v>
      </c>
      <c r="P370" t="n">
        <v>0</v>
      </c>
      <c r="Q370" t="n">
        <v>0</v>
      </c>
      <c r="R370" s="2" t="inlineStr"/>
    </row>
    <row r="371" ht="15" customHeight="1">
      <c r="A371" t="inlineStr">
        <is>
          <t>A 52380-2024</t>
        </is>
      </c>
      <c r="B371" s="1" t="n">
        <v>45609</v>
      </c>
      <c r="C371" s="1" t="n">
        <v>46077</v>
      </c>
      <c r="D371" t="inlineStr">
        <is>
          <t>UPPSALA LÄN</t>
        </is>
      </c>
      <c r="E371" t="inlineStr">
        <is>
          <t>ENKÖPING</t>
        </is>
      </c>
      <c r="G371" t="n">
        <v>1.8</v>
      </c>
      <c r="H371" t="n">
        <v>0</v>
      </c>
      <c r="I371" t="n">
        <v>0</v>
      </c>
      <c r="J371" t="n">
        <v>0</v>
      </c>
      <c r="K371" t="n">
        <v>0</v>
      </c>
      <c r="L371" t="n">
        <v>0</v>
      </c>
      <c r="M371" t="n">
        <v>0</v>
      </c>
      <c r="N371" t="n">
        <v>0</v>
      </c>
      <c r="O371" t="n">
        <v>0</v>
      </c>
      <c r="P371" t="n">
        <v>0</v>
      </c>
      <c r="Q371" t="n">
        <v>0</v>
      </c>
      <c r="R371" s="2" t="inlineStr"/>
    </row>
    <row r="372" ht="15" customHeight="1">
      <c r="A372" t="inlineStr">
        <is>
          <t>A 9041-2023</t>
        </is>
      </c>
      <c r="B372" s="1" t="n">
        <v>44979</v>
      </c>
      <c r="C372" s="1" t="n">
        <v>46077</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27786-2023</t>
        </is>
      </c>
      <c r="B373" s="1" t="n">
        <v>45098</v>
      </c>
      <c r="C373" s="1" t="n">
        <v>46077</v>
      </c>
      <c r="D373" t="inlineStr">
        <is>
          <t>UPPSALA LÄN</t>
        </is>
      </c>
      <c r="E373" t="inlineStr">
        <is>
          <t>ENKÖPING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54263-2025</t>
        </is>
      </c>
      <c r="B374" s="1" t="n">
        <v>45964.66271990741</v>
      </c>
      <c r="C374" s="1" t="n">
        <v>46077</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15942-2022</t>
        </is>
      </c>
      <c r="B375" s="1" t="n">
        <v>44664</v>
      </c>
      <c r="C375" s="1" t="n">
        <v>46077</v>
      </c>
      <c r="D375" t="inlineStr">
        <is>
          <t>UPPSALA LÄN</t>
        </is>
      </c>
      <c r="E375" t="inlineStr">
        <is>
          <t>ENKÖPING</t>
        </is>
      </c>
      <c r="G375" t="n">
        <v>6.6</v>
      </c>
      <c r="H375" t="n">
        <v>0</v>
      </c>
      <c r="I375" t="n">
        <v>0</v>
      </c>
      <c r="J375" t="n">
        <v>0</v>
      </c>
      <c r="K375" t="n">
        <v>0</v>
      </c>
      <c r="L375" t="n">
        <v>0</v>
      </c>
      <c r="M375" t="n">
        <v>0</v>
      </c>
      <c r="N375" t="n">
        <v>0</v>
      </c>
      <c r="O375" t="n">
        <v>0</v>
      </c>
      <c r="P375" t="n">
        <v>0</v>
      </c>
      <c r="Q375" t="n">
        <v>0</v>
      </c>
      <c r="R375" s="2" t="inlineStr"/>
    </row>
    <row r="376" ht="15" customHeight="1">
      <c r="A376" t="inlineStr">
        <is>
          <t>A 2850-2025</t>
        </is>
      </c>
      <c r="B376" s="1" t="n">
        <v>45677</v>
      </c>
      <c r="C376" s="1" t="n">
        <v>46077</v>
      </c>
      <c r="D376" t="inlineStr">
        <is>
          <t>UPPSALA LÄN</t>
        </is>
      </c>
      <c r="E376" t="inlineStr">
        <is>
          <t>ENKÖPING</t>
        </is>
      </c>
      <c r="G376" t="n">
        <v>0.3</v>
      </c>
      <c r="H376" t="n">
        <v>0</v>
      </c>
      <c r="I376" t="n">
        <v>0</v>
      </c>
      <c r="J376" t="n">
        <v>0</v>
      </c>
      <c r="K376" t="n">
        <v>0</v>
      </c>
      <c r="L376" t="n">
        <v>0</v>
      </c>
      <c r="M376" t="n">
        <v>0</v>
      </c>
      <c r="N376" t="n">
        <v>0</v>
      </c>
      <c r="O376" t="n">
        <v>0</v>
      </c>
      <c r="P376" t="n">
        <v>0</v>
      </c>
      <c r="Q376" t="n">
        <v>0</v>
      </c>
      <c r="R376" s="2" t="inlineStr"/>
    </row>
    <row r="377" ht="15" customHeight="1">
      <c r="A377" t="inlineStr">
        <is>
          <t>A 50006-2023</t>
        </is>
      </c>
      <c r="B377" s="1" t="n">
        <v>45215</v>
      </c>
      <c r="C377" s="1" t="n">
        <v>46077</v>
      </c>
      <c r="D377" t="inlineStr">
        <is>
          <t>UPPSALA LÄN</t>
        </is>
      </c>
      <c r="E377" t="inlineStr">
        <is>
          <t>ENKÖPING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53607-2023</t>
        </is>
      </c>
      <c r="B378" s="1" t="n">
        <v>45230</v>
      </c>
      <c r="C378" s="1" t="n">
        <v>46077</v>
      </c>
      <c r="D378" t="inlineStr">
        <is>
          <t>UPPSALA LÄN</t>
        </is>
      </c>
      <c r="E378" t="inlineStr">
        <is>
          <t>ENKÖPING</t>
        </is>
      </c>
      <c r="F378" t="inlineStr">
        <is>
          <t>Allmännings- och besparingsskogar</t>
        </is>
      </c>
      <c r="G378" t="n">
        <v>6.3</v>
      </c>
      <c r="H378" t="n">
        <v>0</v>
      </c>
      <c r="I378" t="n">
        <v>0</v>
      </c>
      <c r="J378" t="n">
        <v>0</v>
      </c>
      <c r="K378" t="n">
        <v>0</v>
      </c>
      <c r="L378" t="n">
        <v>0</v>
      </c>
      <c r="M378" t="n">
        <v>0</v>
      </c>
      <c r="N378" t="n">
        <v>0</v>
      </c>
      <c r="O378" t="n">
        <v>0</v>
      </c>
      <c r="P378" t="n">
        <v>0</v>
      </c>
      <c r="Q378" t="n">
        <v>0</v>
      </c>
      <c r="R378" s="2" t="inlineStr"/>
    </row>
    <row r="379" ht="15" customHeight="1">
      <c r="A379" t="inlineStr">
        <is>
          <t>A 59497-2022</t>
        </is>
      </c>
      <c r="B379" s="1" t="n">
        <v>44907.48258101852</v>
      </c>
      <c r="C379" s="1" t="n">
        <v>46077</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54844-2025</t>
        </is>
      </c>
      <c r="B380" s="1" t="n">
        <v>45966.69570601852</v>
      </c>
      <c r="C380" s="1" t="n">
        <v>46077</v>
      </c>
      <c r="D380" t="inlineStr">
        <is>
          <t>UPPSALA LÄN</t>
        </is>
      </c>
      <c r="E380" t="inlineStr">
        <is>
          <t>ENKÖPING</t>
        </is>
      </c>
      <c r="G380" t="n">
        <v>5.5</v>
      </c>
      <c r="H380" t="n">
        <v>0</v>
      </c>
      <c r="I380" t="n">
        <v>0</v>
      </c>
      <c r="J380" t="n">
        <v>0</v>
      </c>
      <c r="K380" t="n">
        <v>0</v>
      </c>
      <c r="L380" t="n">
        <v>0</v>
      </c>
      <c r="M380" t="n">
        <v>0</v>
      </c>
      <c r="N380" t="n">
        <v>0</v>
      </c>
      <c r="O380" t="n">
        <v>0</v>
      </c>
      <c r="P380" t="n">
        <v>0</v>
      </c>
      <c r="Q380" t="n">
        <v>0</v>
      </c>
      <c r="R380" s="2" t="inlineStr"/>
    </row>
    <row r="381" ht="15" customHeight="1">
      <c r="A381" t="inlineStr">
        <is>
          <t>A 54758-2025</t>
        </is>
      </c>
      <c r="B381" s="1" t="n">
        <v>45966.59737268519</v>
      </c>
      <c r="C381" s="1" t="n">
        <v>46077</v>
      </c>
      <c r="D381" t="inlineStr">
        <is>
          <t>UPPSALA LÄN</t>
        </is>
      </c>
      <c r="E381" t="inlineStr">
        <is>
          <t>ENKÖPING</t>
        </is>
      </c>
      <c r="G381" t="n">
        <v>3.3</v>
      </c>
      <c r="H381" t="n">
        <v>0</v>
      </c>
      <c r="I381" t="n">
        <v>0</v>
      </c>
      <c r="J381" t="n">
        <v>0</v>
      </c>
      <c r="K381" t="n">
        <v>0</v>
      </c>
      <c r="L381" t="n">
        <v>0</v>
      </c>
      <c r="M381" t="n">
        <v>0</v>
      </c>
      <c r="N381" t="n">
        <v>0</v>
      </c>
      <c r="O381" t="n">
        <v>0</v>
      </c>
      <c r="P381" t="n">
        <v>0</v>
      </c>
      <c r="Q381" t="n">
        <v>0</v>
      </c>
      <c r="R381" s="2" t="inlineStr"/>
    </row>
    <row r="382" ht="15" customHeight="1">
      <c r="A382" t="inlineStr">
        <is>
          <t>A 54541-2025</t>
        </is>
      </c>
      <c r="B382" s="1" t="n">
        <v>45965.64733796296</v>
      </c>
      <c r="C382" s="1" t="n">
        <v>46077</v>
      </c>
      <c r="D382" t="inlineStr">
        <is>
          <t>UPPSALA LÄN</t>
        </is>
      </c>
      <c r="E382" t="inlineStr">
        <is>
          <t>ENKÖPING</t>
        </is>
      </c>
      <c r="G382" t="n">
        <v>3.1</v>
      </c>
      <c r="H382" t="n">
        <v>0</v>
      </c>
      <c r="I382" t="n">
        <v>0</v>
      </c>
      <c r="J382" t="n">
        <v>0</v>
      </c>
      <c r="K382" t="n">
        <v>0</v>
      </c>
      <c r="L382" t="n">
        <v>0</v>
      </c>
      <c r="M382" t="n">
        <v>0</v>
      </c>
      <c r="N382" t="n">
        <v>0</v>
      </c>
      <c r="O382" t="n">
        <v>0</v>
      </c>
      <c r="P382" t="n">
        <v>0</v>
      </c>
      <c r="Q382" t="n">
        <v>0</v>
      </c>
      <c r="R382" s="2" t="inlineStr"/>
    </row>
    <row r="383" ht="15" customHeight="1">
      <c r="A383" t="inlineStr">
        <is>
          <t>A 49614-2024</t>
        </is>
      </c>
      <c r="B383" s="1" t="n">
        <v>45596.57716435185</v>
      </c>
      <c r="C383" s="1" t="n">
        <v>46077</v>
      </c>
      <c r="D383" t="inlineStr">
        <is>
          <t>UPPSALA LÄN</t>
        </is>
      </c>
      <c r="E383" t="inlineStr">
        <is>
          <t>ENKÖPING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49632-2024</t>
        </is>
      </c>
      <c r="B384" s="1" t="n">
        <v>45596</v>
      </c>
      <c r="C384" s="1" t="n">
        <v>46077</v>
      </c>
      <c r="D384" t="inlineStr">
        <is>
          <t>UPPSALA LÄN</t>
        </is>
      </c>
      <c r="E384" t="inlineStr">
        <is>
          <t>ENKÖPING</t>
        </is>
      </c>
      <c r="G384" t="n">
        <v>1.8</v>
      </c>
      <c r="H384" t="n">
        <v>0</v>
      </c>
      <c r="I384" t="n">
        <v>0</v>
      </c>
      <c r="J384" t="n">
        <v>0</v>
      </c>
      <c r="K384" t="n">
        <v>0</v>
      </c>
      <c r="L384" t="n">
        <v>0</v>
      </c>
      <c r="M384" t="n">
        <v>0</v>
      </c>
      <c r="N384" t="n">
        <v>0</v>
      </c>
      <c r="O384" t="n">
        <v>0</v>
      </c>
      <c r="P384" t="n">
        <v>0</v>
      </c>
      <c r="Q384" t="n">
        <v>0</v>
      </c>
      <c r="R384" s="2" t="inlineStr"/>
    </row>
    <row r="385" ht="15" customHeight="1">
      <c r="A385" t="inlineStr">
        <is>
          <t>A 51030-2024</t>
        </is>
      </c>
      <c r="B385" s="1" t="n">
        <v>45603</v>
      </c>
      <c r="C385" s="1" t="n">
        <v>46077</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55567-2025</t>
        </is>
      </c>
      <c r="B386" s="1" t="n">
        <v>45971.65589120371</v>
      </c>
      <c r="C386" s="1" t="n">
        <v>46077</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15405-2025</t>
        </is>
      </c>
      <c r="B387" s="1" t="n">
        <v>45747.44670138889</v>
      </c>
      <c r="C387" s="1" t="n">
        <v>46077</v>
      </c>
      <c r="D387" t="inlineStr">
        <is>
          <t>UPPSALA LÄN</t>
        </is>
      </c>
      <c r="E387" t="inlineStr">
        <is>
          <t>ENKÖPING</t>
        </is>
      </c>
      <c r="G387" t="n">
        <v>1.3</v>
      </c>
      <c r="H387" t="n">
        <v>0</v>
      </c>
      <c r="I387" t="n">
        <v>0</v>
      </c>
      <c r="J387" t="n">
        <v>0</v>
      </c>
      <c r="K387" t="n">
        <v>0</v>
      </c>
      <c r="L387" t="n">
        <v>0</v>
      </c>
      <c r="M387" t="n">
        <v>0</v>
      </c>
      <c r="N387" t="n">
        <v>0</v>
      </c>
      <c r="O387" t="n">
        <v>0</v>
      </c>
      <c r="P387" t="n">
        <v>0</v>
      </c>
      <c r="Q387" t="n">
        <v>0</v>
      </c>
      <c r="R387" s="2" t="inlineStr"/>
    </row>
    <row r="388" ht="15" customHeight="1">
      <c r="A388" t="inlineStr">
        <is>
          <t>A 12878-2025</t>
        </is>
      </c>
      <c r="B388" s="1" t="n">
        <v>45733.68571759259</v>
      </c>
      <c r="C388" s="1" t="n">
        <v>46077</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52889-2022</t>
        </is>
      </c>
      <c r="B389" s="1" t="n">
        <v>44875</v>
      </c>
      <c r="C389" s="1" t="n">
        <v>46077</v>
      </c>
      <c r="D389" t="inlineStr">
        <is>
          <t>UPPSALA LÄN</t>
        </is>
      </c>
      <c r="E389" t="inlineStr">
        <is>
          <t>ENKÖPING</t>
        </is>
      </c>
      <c r="G389" t="n">
        <v>1.7</v>
      </c>
      <c r="H389" t="n">
        <v>0</v>
      </c>
      <c r="I389" t="n">
        <v>0</v>
      </c>
      <c r="J389" t="n">
        <v>0</v>
      </c>
      <c r="K389" t="n">
        <v>0</v>
      </c>
      <c r="L389" t="n">
        <v>0</v>
      </c>
      <c r="M389" t="n">
        <v>0</v>
      </c>
      <c r="N389" t="n">
        <v>0</v>
      </c>
      <c r="O389" t="n">
        <v>0</v>
      </c>
      <c r="P389" t="n">
        <v>0</v>
      </c>
      <c r="Q389" t="n">
        <v>0</v>
      </c>
      <c r="R389" s="2" t="inlineStr"/>
    </row>
    <row r="390" ht="15" customHeight="1">
      <c r="A390" t="inlineStr">
        <is>
          <t>A 47681-2024</t>
        </is>
      </c>
      <c r="B390" s="1" t="n">
        <v>45588</v>
      </c>
      <c r="C390" s="1" t="n">
        <v>46077</v>
      </c>
      <c r="D390" t="inlineStr">
        <is>
          <t>UPPSALA LÄN</t>
        </is>
      </c>
      <c r="E390" t="inlineStr">
        <is>
          <t>ENKÖPING</t>
        </is>
      </c>
      <c r="G390" t="n">
        <v>4.2</v>
      </c>
      <c r="H390" t="n">
        <v>0</v>
      </c>
      <c r="I390" t="n">
        <v>0</v>
      </c>
      <c r="J390" t="n">
        <v>0</v>
      </c>
      <c r="K390" t="n">
        <v>0</v>
      </c>
      <c r="L390" t="n">
        <v>0</v>
      </c>
      <c r="M390" t="n">
        <v>0</v>
      </c>
      <c r="N390" t="n">
        <v>0</v>
      </c>
      <c r="O390" t="n">
        <v>0</v>
      </c>
      <c r="P390" t="n">
        <v>0</v>
      </c>
      <c r="Q390" t="n">
        <v>0</v>
      </c>
      <c r="R390" s="2" t="inlineStr"/>
    </row>
    <row r="391" ht="15" customHeight="1">
      <c r="A391" t="inlineStr">
        <is>
          <t>A 12754-2025</t>
        </is>
      </c>
      <c r="B391" s="1" t="n">
        <v>45733.56331018519</v>
      </c>
      <c r="C391" s="1" t="n">
        <v>46077</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56625-2025</t>
        </is>
      </c>
      <c r="B392" s="1" t="n">
        <v>45975.60608796297</v>
      </c>
      <c r="C392" s="1" t="n">
        <v>46077</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54588-2024</t>
        </is>
      </c>
      <c r="B393" s="1" t="n">
        <v>45617</v>
      </c>
      <c r="C393" s="1" t="n">
        <v>46077</v>
      </c>
      <c r="D393" t="inlineStr">
        <is>
          <t>UPPSALA LÄN</t>
        </is>
      </c>
      <c r="E393" t="inlineStr">
        <is>
          <t>ENKÖPING</t>
        </is>
      </c>
      <c r="G393" t="n">
        <v>3.7</v>
      </c>
      <c r="H393" t="n">
        <v>0</v>
      </c>
      <c r="I393" t="n">
        <v>0</v>
      </c>
      <c r="J393" t="n">
        <v>0</v>
      </c>
      <c r="K393" t="n">
        <v>0</v>
      </c>
      <c r="L393" t="n">
        <v>0</v>
      </c>
      <c r="M393" t="n">
        <v>0</v>
      </c>
      <c r="N393" t="n">
        <v>0</v>
      </c>
      <c r="O393" t="n">
        <v>0</v>
      </c>
      <c r="P393" t="n">
        <v>0</v>
      </c>
      <c r="Q393" t="n">
        <v>0</v>
      </c>
      <c r="R393" s="2" t="inlineStr"/>
    </row>
    <row r="394" ht="15" customHeight="1">
      <c r="A394" t="inlineStr">
        <is>
          <t>A 56713-2024</t>
        </is>
      </c>
      <c r="B394" s="1" t="n">
        <v>45628</v>
      </c>
      <c r="C394" s="1" t="n">
        <v>46077</v>
      </c>
      <c r="D394" t="inlineStr">
        <is>
          <t>UPPSALA LÄN</t>
        </is>
      </c>
      <c r="E394" t="inlineStr">
        <is>
          <t>ENKÖPING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57294-2025</t>
        </is>
      </c>
      <c r="B395" s="1" t="n">
        <v>45979</v>
      </c>
      <c r="C395" s="1" t="n">
        <v>46077</v>
      </c>
      <c r="D395" t="inlineStr">
        <is>
          <t>UPPSALA LÄN</t>
        </is>
      </c>
      <c r="E395" t="inlineStr">
        <is>
          <t>ENKÖPING</t>
        </is>
      </c>
      <c r="G395" t="n">
        <v>6.2</v>
      </c>
      <c r="H395" t="n">
        <v>0</v>
      </c>
      <c r="I395" t="n">
        <v>0</v>
      </c>
      <c r="J395" t="n">
        <v>0</v>
      </c>
      <c r="K395" t="n">
        <v>0</v>
      </c>
      <c r="L395" t="n">
        <v>0</v>
      </c>
      <c r="M395" t="n">
        <v>0</v>
      </c>
      <c r="N395" t="n">
        <v>0</v>
      </c>
      <c r="O395" t="n">
        <v>0</v>
      </c>
      <c r="P395" t="n">
        <v>0</v>
      </c>
      <c r="Q395" t="n">
        <v>0</v>
      </c>
      <c r="R395" s="2" t="inlineStr"/>
    </row>
    <row r="396" ht="15" customHeight="1">
      <c r="A396" t="inlineStr">
        <is>
          <t>A 51524-2022</t>
        </is>
      </c>
      <c r="B396" s="1" t="n">
        <v>44869</v>
      </c>
      <c r="C396" s="1" t="n">
        <v>46077</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8137-2025</t>
        </is>
      </c>
      <c r="B397" s="1" t="n">
        <v>45707.8561574074</v>
      </c>
      <c r="C397" s="1" t="n">
        <v>46077</v>
      </c>
      <c r="D397" t="inlineStr">
        <is>
          <t>UPPSALA LÄN</t>
        </is>
      </c>
      <c r="E397" t="inlineStr">
        <is>
          <t>ENKÖPING</t>
        </is>
      </c>
      <c r="G397" t="n">
        <v>0.4</v>
      </c>
      <c r="H397" t="n">
        <v>0</v>
      </c>
      <c r="I397" t="n">
        <v>0</v>
      </c>
      <c r="J397" t="n">
        <v>0</v>
      </c>
      <c r="K397" t="n">
        <v>0</v>
      </c>
      <c r="L397" t="n">
        <v>0</v>
      </c>
      <c r="M397" t="n">
        <v>0</v>
      </c>
      <c r="N397" t="n">
        <v>0</v>
      </c>
      <c r="O397" t="n">
        <v>0</v>
      </c>
      <c r="P397" t="n">
        <v>0</v>
      </c>
      <c r="Q397" t="n">
        <v>0</v>
      </c>
      <c r="R397" s="2" t="inlineStr"/>
    </row>
    <row r="398" ht="15" customHeight="1">
      <c r="A398" t="inlineStr">
        <is>
          <t>A 7868-2024</t>
        </is>
      </c>
      <c r="B398" s="1" t="n">
        <v>45350.33020833333</v>
      </c>
      <c r="C398" s="1" t="n">
        <v>46077</v>
      </c>
      <c r="D398" t="inlineStr">
        <is>
          <t>UPPSALA LÄN</t>
        </is>
      </c>
      <c r="E398" t="inlineStr">
        <is>
          <t>ENKÖPING</t>
        </is>
      </c>
      <c r="G398" t="n">
        <v>0.3</v>
      </c>
      <c r="H398" t="n">
        <v>0</v>
      </c>
      <c r="I398" t="n">
        <v>0</v>
      </c>
      <c r="J398" t="n">
        <v>0</v>
      </c>
      <c r="K398" t="n">
        <v>0</v>
      </c>
      <c r="L398" t="n">
        <v>0</v>
      </c>
      <c r="M398" t="n">
        <v>0</v>
      </c>
      <c r="N398" t="n">
        <v>0</v>
      </c>
      <c r="O398" t="n">
        <v>0</v>
      </c>
      <c r="P398" t="n">
        <v>0</v>
      </c>
      <c r="Q398" t="n">
        <v>0</v>
      </c>
      <c r="R398" s="2" t="inlineStr"/>
    </row>
    <row r="399" ht="15" customHeight="1">
      <c r="A399" t="inlineStr">
        <is>
          <t>A 58025-2025</t>
        </is>
      </c>
      <c r="B399" s="1" t="n">
        <v>45982</v>
      </c>
      <c r="C399" s="1" t="n">
        <v>46077</v>
      </c>
      <c r="D399" t="inlineStr">
        <is>
          <t>UPPSALA LÄN</t>
        </is>
      </c>
      <c r="E399" t="inlineStr">
        <is>
          <t>ENKÖPING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51008-2024</t>
        </is>
      </c>
      <c r="B400" s="1" t="n">
        <v>45603.39041666667</v>
      </c>
      <c r="C400" s="1" t="n">
        <v>46077</v>
      </c>
      <c r="D400" t="inlineStr">
        <is>
          <t>UPPSALA LÄN</t>
        </is>
      </c>
      <c r="E400" t="inlineStr">
        <is>
          <t>ENKÖPING</t>
        </is>
      </c>
      <c r="G400" t="n">
        <v>2.4</v>
      </c>
      <c r="H400" t="n">
        <v>0</v>
      </c>
      <c r="I400" t="n">
        <v>0</v>
      </c>
      <c r="J400" t="n">
        <v>0</v>
      </c>
      <c r="K400" t="n">
        <v>0</v>
      </c>
      <c r="L400" t="n">
        <v>0</v>
      </c>
      <c r="M400" t="n">
        <v>0</v>
      </c>
      <c r="N400" t="n">
        <v>0</v>
      </c>
      <c r="O400" t="n">
        <v>0</v>
      </c>
      <c r="P400" t="n">
        <v>0</v>
      </c>
      <c r="Q400" t="n">
        <v>0</v>
      </c>
      <c r="R400" s="2" t="inlineStr"/>
    </row>
    <row r="401" ht="15" customHeight="1">
      <c r="A401" t="inlineStr">
        <is>
          <t>A 35052-2024</t>
        </is>
      </c>
      <c r="B401" s="1" t="n">
        <v>45527.6516087963</v>
      </c>
      <c r="C401" s="1" t="n">
        <v>46077</v>
      </c>
      <c r="D401" t="inlineStr">
        <is>
          <t>UPPSALA LÄN</t>
        </is>
      </c>
      <c r="E401" t="inlineStr">
        <is>
          <t>ENKÖPING</t>
        </is>
      </c>
      <c r="G401" t="n">
        <v>1.5</v>
      </c>
      <c r="H401" t="n">
        <v>0</v>
      </c>
      <c r="I401" t="n">
        <v>0</v>
      </c>
      <c r="J401" t="n">
        <v>0</v>
      </c>
      <c r="K401" t="n">
        <v>0</v>
      </c>
      <c r="L401" t="n">
        <v>0</v>
      </c>
      <c r="M401" t="n">
        <v>0</v>
      </c>
      <c r="N401" t="n">
        <v>0</v>
      </c>
      <c r="O401" t="n">
        <v>0</v>
      </c>
      <c r="P401" t="n">
        <v>0</v>
      </c>
      <c r="Q401" t="n">
        <v>0</v>
      </c>
      <c r="R401" s="2" t="inlineStr"/>
    </row>
    <row r="402" ht="15" customHeight="1">
      <c r="A402" t="inlineStr">
        <is>
          <t>A 57188-2025</t>
        </is>
      </c>
      <c r="B402" s="1" t="n">
        <v>45979</v>
      </c>
      <c r="C402" s="1" t="n">
        <v>46077</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59668-2025</t>
        </is>
      </c>
      <c r="B403" s="1" t="n">
        <v>45992.45567129629</v>
      </c>
      <c r="C403" s="1" t="n">
        <v>46077</v>
      </c>
      <c r="D403" t="inlineStr">
        <is>
          <t>UPPSALA LÄN</t>
        </is>
      </c>
      <c r="E403" t="inlineStr">
        <is>
          <t>ENKÖPING</t>
        </is>
      </c>
      <c r="G403" t="n">
        <v>3.3</v>
      </c>
      <c r="H403" t="n">
        <v>0</v>
      </c>
      <c r="I403" t="n">
        <v>0</v>
      </c>
      <c r="J403" t="n">
        <v>0</v>
      </c>
      <c r="K403" t="n">
        <v>0</v>
      </c>
      <c r="L403" t="n">
        <v>0</v>
      </c>
      <c r="M403" t="n">
        <v>0</v>
      </c>
      <c r="N403" t="n">
        <v>0</v>
      </c>
      <c r="O403" t="n">
        <v>0</v>
      </c>
      <c r="P403" t="n">
        <v>0</v>
      </c>
      <c r="Q403" t="n">
        <v>0</v>
      </c>
      <c r="R403" s="2" t="inlineStr"/>
    </row>
    <row r="404" ht="15" customHeight="1">
      <c r="A404" t="inlineStr">
        <is>
          <t>A 14518-2025</t>
        </is>
      </c>
      <c r="B404" s="1" t="n">
        <v>45741</v>
      </c>
      <c r="C404" s="1" t="n">
        <v>46077</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54776-2024</t>
        </is>
      </c>
      <c r="B405" s="1" t="n">
        <v>45618</v>
      </c>
      <c r="C405" s="1" t="n">
        <v>46077</v>
      </c>
      <c r="D405" t="inlineStr">
        <is>
          <t>UPPSALA LÄN</t>
        </is>
      </c>
      <c r="E405" t="inlineStr">
        <is>
          <t>ENKÖPING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22150-2025</t>
        </is>
      </c>
      <c r="B406" s="1" t="n">
        <v>45785.56398148148</v>
      </c>
      <c r="C406" s="1" t="n">
        <v>46077</v>
      </c>
      <c r="D406" t="inlineStr">
        <is>
          <t>UPPSALA LÄN</t>
        </is>
      </c>
      <c r="E406" t="inlineStr">
        <is>
          <t>ENKÖPING</t>
        </is>
      </c>
      <c r="G406" t="n">
        <v>1.3</v>
      </c>
      <c r="H406" t="n">
        <v>0</v>
      </c>
      <c r="I406" t="n">
        <v>0</v>
      </c>
      <c r="J406" t="n">
        <v>0</v>
      </c>
      <c r="K406" t="n">
        <v>0</v>
      </c>
      <c r="L406" t="n">
        <v>0</v>
      </c>
      <c r="M406" t="n">
        <v>0</v>
      </c>
      <c r="N406" t="n">
        <v>0</v>
      </c>
      <c r="O406" t="n">
        <v>0</v>
      </c>
      <c r="P406" t="n">
        <v>0</v>
      </c>
      <c r="Q406" t="n">
        <v>0</v>
      </c>
      <c r="R406" s="2" t="inlineStr"/>
    </row>
    <row r="407" ht="15" customHeight="1">
      <c r="A407" t="inlineStr">
        <is>
          <t>A 2218-2026</t>
        </is>
      </c>
      <c r="B407" s="1" t="n">
        <v>46036.50010416667</v>
      </c>
      <c r="C407" s="1" t="n">
        <v>46077</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59964-2025</t>
        </is>
      </c>
      <c r="B408" s="1" t="n">
        <v>45993.48043981481</v>
      </c>
      <c r="C408" s="1" t="n">
        <v>46077</v>
      </c>
      <c r="D408" t="inlineStr">
        <is>
          <t>UPPSALA LÄN</t>
        </is>
      </c>
      <c r="E408" t="inlineStr">
        <is>
          <t>ENKÖPING</t>
        </is>
      </c>
      <c r="G408" t="n">
        <v>2.1</v>
      </c>
      <c r="H408" t="n">
        <v>0</v>
      </c>
      <c r="I408" t="n">
        <v>0</v>
      </c>
      <c r="J408" t="n">
        <v>0</v>
      </c>
      <c r="K408" t="n">
        <v>0</v>
      </c>
      <c r="L408" t="n">
        <v>0</v>
      </c>
      <c r="M408" t="n">
        <v>0</v>
      </c>
      <c r="N408" t="n">
        <v>0</v>
      </c>
      <c r="O408" t="n">
        <v>0</v>
      </c>
      <c r="P408" t="n">
        <v>0</v>
      </c>
      <c r="Q408" t="n">
        <v>0</v>
      </c>
      <c r="R408" s="2" t="inlineStr"/>
    </row>
    <row r="409" ht="15" customHeight="1">
      <c r="A409" t="inlineStr">
        <is>
          <t>A 22156-2025</t>
        </is>
      </c>
      <c r="B409" s="1" t="n">
        <v>45785.57512731481</v>
      </c>
      <c r="C409" s="1" t="n">
        <v>46077</v>
      </c>
      <c r="D409" t="inlineStr">
        <is>
          <t>UPPSALA LÄN</t>
        </is>
      </c>
      <c r="E409" t="inlineStr">
        <is>
          <t>ENKÖPING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60174-2025</t>
        </is>
      </c>
      <c r="B410" s="1" t="n">
        <v>45994.45039351852</v>
      </c>
      <c r="C410" s="1" t="n">
        <v>46077</v>
      </c>
      <c r="D410" t="inlineStr">
        <is>
          <t>UPPSALA LÄN</t>
        </is>
      </c>
      <c r="E410" t="inlineStr">
        <is>
          <t>ENKÖPING</t>
        </is>
      </c>
      <c r="G410" t="n">
        <v>2.8</v>
      </c>
      <c r="H410" t="n">
        <v>0</v>
      </c>
      <c r="I410" t="n">
        <v>0</v>
      </c>
      <c r="J410" t="n">
        <v>0</v>
      </c>
      <c r="K410" t="n">
        <v>0</v>
      </c>
      <c r="L410" t="n">
        <v>0</v>
      </c>
      <c r="M410" t="n">
        <v>0</v>
      </c>
      <c r="N410" t="n">
        <v>0</v>
      </c>
      <c r="O410" t="n">
        <v>0</v>
      </c>
      <c r="P410" t="n">
        <v>0</v>
      </c>
      <c r="Q410" t="n">
        <v>0</v>
      </c>
      <c r="R410" s="2" t="inlineStr"/>
    </row>
    <row r="411" ht="15" customHeight="1">
      <c r="A411" t="inlineStr">
        <is>
          <t>A 60175-2025</t>
        </is>
      </c>
      <c r="B411" s="1" t="n">
        <v>45994.45378472222</v>
      </c>
      <c r="C411" s="1" t="n">
        <v>46077</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30087-2024</t>
        </is>
      </c>
      <c r="B412" s="1" t="n">
        <v>45489.39447916667</v>
      </c>
      <c r="C412" s="1" t="n">
        <v>46077</v>
      </c>
      <c r="D412" t="inlineStr">
        <is>
          <t>UPPSALA LÄN</t>
        </is>
      </c>
      <c r="E412" t="inlineStr">
        <is>
          <t>ENKÖPING</t>
        </is>
      </c>
      <c r="G412" t="n">
        <v>1.4</v>
      </c>
      <c r="H412" t="n">
        <v>0</v>
      </c>
      <c r="I412" t="n">
        <v>0</v>
      </c>
      <c r="J412" t="n">
        <v>0</v>
      </c>
      <c r="K412" t="n">
        <v>0</v>
      </c>
      <c r="L412" t="n">
        <v>0</v>
      </c>
      <c r="M412" t="n">
        <v>0</v>
      </c>
      <c r="N412" t="n">
        <v>0</v>
      </c>
      <c r="O412" t="n">
        <v>0</v>
      </c>
      <c r="P412" t="n">
        <v>0</v>
      </c>
      <c r="Q412" t="n">
        <v>0</v>
      </c>
      <c r="R412" s="2" t="inlineStr"/>
    </row>
    <row r="413" ht="15" customHeight="1">
      <c r="A413" t="inlineStr">
        <is>
          <t>A 22677-2025</t>
        </is>
      </c>
      <c r="B413" s="1" t="n">
        <v>45789.49515046296</v>
      </c>
      <c r="C413" s="1" t="n">
        <v>46077</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22679-2025</t>
        </is>
      </c>
      <c r="B414" s="1" t="n">
        <v>45789.49747685185</v>
      </c>
      <c r="C414" s="1" t="n">
        <v>46077</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22729-2025</t>
        </is>
      </c>
      <c r="B415" s="1" t="n">
        <v>45789.57790509259</v>
      </c>
      <c r="C415" s="1" t="n">
        <v>46077</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22786-2025</t>
        </is>
      </c>
      <c r="B416" s="1" t="n">
        <v>45789.64643518518</v>
      </c>
      <c r="C416" s="1" t="n">
        <v>46077</v>
      </c>
      <c r="D416" t="inlineStr">
        <is>
          <t>UPPSALA LÄN</t>
        </is>
      </c>
      <c r="E416" t="inlineStr">
        <is>
          <t>ENKÖPING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22795-2025</t>
        </is>
      </c>
      <c r="B417" s="1" t="n">
        <v>45789.65944444444</v>
      </c>
      <c r="C417" s="1" t="n">
        <v>46077</v>
      </c>
      <c r="D417" t="inlineStr">
        <is>
          <t>UPPSALA LÄN</t>
        </is>
      </c>
      <c r="E417" t="inlineStr">
        <is>
          <t>ENKÖPING</t>
        </is>
      </c>
      <c r="G417" t="n">
        <v>10.4</v>
      </c>
      <c r="H417" t="n">
        <v>0</v>
      </c>
      <c r="I417" t="n">
        <v>0</v>
      </c>
      <c r="J417" t="n">
        <v>0</v>
      </c>
      <c r="K417" t="n">
        <v>0</v>
      </c>
      <c r="L417" t="n">
        <v>0</v>
      </c>
      <c r="M417" t="n">
        <v>0</v>
      </c>
      <c r="N417" t="n">
        <v>0</v>
      </c>
      <c r="O417" t="n">
        <v>0</v>
      </c>
      <c r="P417" t="n">
        <v>0</v>
      </c>
      <c r="Q417" t="n">
        <v>0</v>
      </c>
      <c r="R417" s="2" t="inlineStr"/>
    </row>
    <row r="418" ht="15" customHeight="1">
      <c r="A418" t="inlineStr">
        <is>
          <t>A 22802-2025</t>
        </is>
      </c>
      <c r="B418" s="1" t="n">
        <v>45789.6686574074</v>
      </c>
      <c r="C418" s="1" t="n">
        <v>46077</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22680-2025</t>
        </is>
      </c>
      <c r="B419" s="1" t="n">
        <v>45789.5005787037</v>
      </c>
      <c r="C419" s="1" t="n">
        <v>46077</v>
      </c>
      <c r="D419" t="inlineStr">
        <is>
          <t>UPPSALA LÄN</t>
        </is>
      </c>
      <c r="E419" t="inlineStr">
        <is>
          <t>ENKÖPING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6981-2025</t>
        </is>
      </c>
      <c r="B420" s="1" t="n">
        <v>45701</v>
      </c>
      <c r="C420" s="1" t="n">
        <v>46077</v>
      </c>
      <c r="D420" t="inlineStr">
        <is>
          <t>UPPSALA LÄN</t>
        </is>
      </c>
      <c r="E420" t="inlineStr">
        <is>
          <t>ENKÖPING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60340-2025</t>
        </is>
      </c>
      <c r="B421" s="1" t="n">
        <v>45994.83415509259</v>
      </c>
      <c r="C421" s="1" t="n">
        <v>46077</v>
      </c>
      <c r="D421" t="inlineStr">
        <is>
          <t>UPPSALA LÄN</t>
        </is>
      </c>
      <c r="E421" t="inlineStr">
        <is>
          <t>ENKÖPING</t>
        </is>
      </c>
      <c r="G421" t="n">
        <v>5.6</v>
      </c>
      <c r="H421" t="n">
        <v>0</v>
      </c>
      <c r="I421" t="n">
        <v>0</v>
      </c>
      <c r="J421" t="n">
        <v>0</v>
      </c>
      <c r="K421" t="n">
        <v>0</v>
      </c>
      <c r="L421" t="n">
        <v>0</v>
      </c>
      <c r="M421" t="n">
        <v>0</v>
      </c>
      <c r="N421" t="n">
        <v>0</v>
      </c>
      <c r="O421" t="n">
        <v>0</v>
      </c>
      <c r="P421" t="n">
        <v>0</v>
      </c>
      <c r="Q421" t="n">
        <v>0</v>
      </c>
      <c r="R421" s="2" t="inlineStr"/>
    </row>
    <row r="422" ht="15" customHeight="1">
      <c r="A422" t="inlineStr">
        <is>
          <t>A 22770-2025</t>
        </is>
      </c>
      <c r="B422" s="1" t="n">
        <v>45789.63454861111</v>
      </c>
      <c r="C422" s="1" t="n">
        <v>46077</v>
      </c>
      <c r="D422" t="inlineStr">
        <is>
          <t>UPPSALA LÄN</t>
        </is>
      </c>
      <c r="E422" t="inlineStr">
        <is>
          <t>ENKÖPING</t>
        </is>
      </c>
      <c r="G422" t="n">
        <v>4.5</v>
      </c>
      <c r="H422" t="n">
        <v>0</v>
      </c>
      <c r="I422" t="n">
        <v>0</v>
      </c>
      <c r="J422" t="n">
        <v>0</v>
      </c>
      <c r="K422" t="n">
        <v>0</v>
      </c>
      <c r="L422" t="n">
        <v>0</v>
      </c>
      <c r="M422" t="n">
        <v>0</v>
      </c>
      <c r="N422" t="n">
        <v>0</v>
      </c>
      <c r="O422" t="n">
        <v>0</v>
      </c>
      <c r="P422" t="n">
        <v>0</v>
      </c>
      <c r="Q422" t="n">
        <v>0</v>
      </c>
      <c r="R422" s="2" t="inlineStr"/>
    </row>
    <row r="423" ht="15" customHeight="1">
      <c r="A423" t="inlineStr">
        <is>
          <t>A 22725-2025</t>
        </is>
      </c>
      <c r="B423" s="1" t="n">
        <v>45789.57371527778</v>
      </c>
      <c r="C423" s="1" t="n">
        <v>46077</v>
      </c>
      <c r="D423" t="inlineStr">
        <is>
          <t>UPPSALA LÄN</t>
        </is>
      </c>
      <c r="E423" t="inlineStr">
        <is>
          <t>ENKÖPING</t>
        </is>
      </c>
      <c r="G423" t="n">
        <v>4.8</v>
      </c>
      <c r="H423" t="n">
        <v>0</v>
      </c>
      <c r="I423" t="n">
        <v>0</v>
      </c>
      <c r="J423" t="n">
        <v>0</v>
      </c>
      <c r="K423" t="n">
        <v>0</v>
      </c>
      <c r="L423" t="n">
        <v>0</v>
      </c>
      <c r="M423" t="n">
        <v>0</v>
      </c>
      <c r="N423" t="n">
        <v>0</v>
      </c>
      <c r="O423" t="n">
        <v>0</v>
      </c>
      <c r="P423" t="n">
        <v>0</v>
      </c>
      <c r="Q423" t="n">
        <v>0</v>
      </c>
      <c r="R423" s="2" t="inlineStr"/>
    </row>
    <row r="424" ht="15" customHeight="1">
      <c r="A424" t="inlineStr">
        <is>
          <t>A 22981-2025</t>
        </is>
      </c>
      <c r="B424" s="1" t="n">
        <v>45790.56964120371</v>
      </c>
      <c r="C424" s="1" t="n">
        <v>46077</v>
      </c>
      <c r="D424" t="inlineStr">
        <is>
          <t>UPPSALA LÄN</t>
        </is>
      </c>
      <c r="E424" t="inlineStr">
        <is>
          <t>ENKÖPING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68123-2021</t>
        </is>
      </c>
      <c r="B425" s="1" t="n">
        <v>44526.39126157408</v>
      </c>
      <c r="C425" s="1" t="n">
        <v>46077</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22793-2025</t>
        </is>
      </c>
      <c r="B426" s="1" t="n">
        <v>45789.65693287037</v>
      </c>
      <c r="C426" s="1" t="n">
        <v>46077</v>
      </c>
      <c r="D426" t="inlineStr">
        <is>
          <t>UPPSALA LÄN</t>
        </is>
      </c>
      <c r="E426" t="inlineStr">
        <is>
          <t>ENKÖPING</t>
        </is>
      </c>
      <c r="G426" t="n">
        <v>3.2</v>
      </c>
      <c r="H426" t="n">
        <v>0</v>
      </c>
      <c r="I426" t="n">
        <v>0</v>
      </c>
      <c r="J426" t="n">
        <v>0</v>
      </c>
      <c r="K426" t="n">
        <v>0</v>
      </c>
      <c r="L426" t="n">
        <v>0</v>
      </c>
      <c r="M426" t="n">
        <v>0</v>
      </c>
      <c r="N426" t="n">
        <v>0</v>
      </c>
      <c r="O426" t="n">
        <v>0</v>
      </c>
      <c r="P426" t="n">
        <v>0</v>
      </c>
      <c r="Q426" t="n">
        <v>0</v>
      </c>
      <c r="R426" s="2" t="inlineStr"/>
    </row>
    <row r="427" ht="15" customHeight="1">
      <c r="A427" t="inlineStr">
        <is>
          <t>A 22800-2025</t>
        </is>
      </c>
      <c r="B427" s="1" t="n">
        <v>45789.6669212963</v>
      </c>
      <c r="C427" s="1" t="n">
        <v>46077</v>
      </c>
      <c r="D427" t="inlineStr">
        <is>
          <t>UPPSALA LÄN</t>
        </is>
      </c>
      <c r="E427" t="inlineStr">
        <is>
          <t>ENKÖPING</t>
        </is>
      </c>
      <c r="G427" t="n">
        <v>2</v>
      </c>
      <c r="H427" t="n">
        <v>0</v>
      </c>
      <c r="I427" t="n">
        <v>0</v>
      </c>
      <c r="J427" t="n">
        <v>0</v>
      </c>
      <c r="K427" t="n">
        <v>0</v>
      </c>
      <c r="L427" t="n">
        <v>0</v>
      </c>
      <c r="M427" t="n">
        <v>0</v>
      </c>
      <c r="N427" t="n">
        <v>0</v>
      </c>
      <c r="O427" t="n">
        <v>0</v>
      </c>
      <c r="P427" t="n">
        <v>0</v>
      </c>
      <c r="Q427" t="n">
        <v>0</v>
      </c>
      <c r="R427" s="2" t="inlineStr"/>
    </row>
    <row r="428" ht="15" customHeight="1">
      <c r="A428" t="inlineStr">
        <is>
          <t>A 60947-2025</t>
        </is>
      </c>
      <c r="B428" s="1" t="n">
        <v>45999</v>
      </c>
      <c r="C428" s="1" t="n">
        <v>46077</v>
      </c>
      <c r="D428" t="inlineStr">
        <is>
          <t>UPPSALA LÄN</t>
        </is>
      </c>
      <c r="E428" t="inlineStr">
        <is>
          <t>ENKÖPING</t>
        </is>
      </c>
      <c r="G428" t="n">
        <v>4</v>
      </c>
      <c r="H428" t="n">
        <v>0</v>
      </c>
      <c r="I428" t="n">
        <v>0</v>
      </c>
      <c r="J428" t="n">
        <v>0</v>
      </c>
      <c r="K428" t="n">
        <v>0</v>
      </c>
      <c r="L428" t="n">
        <v>0</v>
      </c>
      <c r="M428" t="n">
        <v>0</v>
      </c>
      <c r="N428" t="n">
        <v>0</v>
      </c>
      <c r="O428" t="n">
        <v>0</v>
      </c>
      <c r="P428" t="n">
        <v>0</v>
      </c>
      <c r="Q428" t="n">
        <v>0</v>
      </c>
      <c r="R428" s="2" t="inlineStr"/>
    </row>
    <row r="429" ht="15" customHeight="1">
      <c r="A429" t="inlineStr">
        <is>
          <t>A 17729-2023</t>
        </is>
      </c>
      <c r="B429" s="1" t="n">
        <v>45037</v>
      </c>
      <c r="C429" s="1" t="n">
        <v>46077</v>
      </c>
      <c r="D429" t="inlineStr">
        <is>
          <t>UPPSALA LÄN</t>
        </is>
      </c>
      <c r="E429" t="inlineStr">
        <is>
          <t>ENKÖPING</t>
        </is>
      </c>
      <c r="G429" t="n">
        <v>10.2</v>
      </c>
      <c r="H429" t="n">
        <v>0</v>
      </c>
      <c r="I429" t="n">
        <v>0</v>
      </c>
      <c r="J429" t="n">
        <v>0</v>
      </c>
      <c r="K429" t="n">
        <v>0</v>
      </c>
      <c r="L429" t="n">
        <v>0</v>
      </c>
      <c r="M429" t="n">
        <v>0</v>
      </c>
      <c r="N429" t="n">
        <v>0</v>
      </c>
      <c r="O429" t="n">
        <v>0</v>
      </c>
      <c r="P429" t="n">
        <v>0</v>
      </c>
      <c r="Q429" t="n">
        <v>0</v>
      </c>
      <c r="R429" s="2" t="inlineStr"/>
    </row>
    <row r="430" ht="15" customHeight="1">
      <c r="A430" t="inlineStr">
        <is>
          <t>A 5749-2025</t>
        </is>
      </c>
      <c r="B430" s="1" t="n">
        <v>45694</v>
      </c>
      <c r="C430" s="1" t="n">
        <v>46077</v>
      </c>
      <c r="D430" t="inlineStr">
        <is>
          <t>UPPSALA LÄN</t>
        </is>
      </c>
      <c r="E430" t="inlineStr">
        <is>
          <t>ENKÖPING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29477-2025</t>
        </is>
      </c>
      <c r="B431" s="1" t="n">
        <v>45824.71537037037</v>
      </c>
      <c r="C431" s="1" t="n">
        <v>46077</v>
      </c>
      <c r="D431" t="inlineStr">
        <is>
          <t>UPPSALA LÄN</t>
        </is>
      </c>
      <c r="E431" t="inlineStr">
        <is>
          <t>ENKÖPING</t>
        </is>
      </c>
      <c r="G431" t="n">
        <v>13.4</v>
      </c>
      <c r="H431" t="n">
        <v>0</v>
      </c>
      <c r="I431" t="n">
        <v>0</v>
      </c>
      <c r="J431" t="n">
        <v>0</v>
      </c>
      <c r="K431" t="n">
        <v>0</v>
      </c>
      <c r="L431" t="n">
        <v>0</v>
      </c>
      <c r="M431" t="n">
        <v>0</v>
      </c>
      <c r="N431" t="n">
        <v>0</v>
      </c>
      <c r="O431" t="n">
        <v>0</v>
      </c>
      <c r="P431" t="n">
        <v>0</v>
      </c>
      <c r="Q431" t="n">
        <v>0</v>
      </c>
      <c r="R431" s="2" t="inlineStr"/>
    </row>
    <row r="432" ht="15" customHeight="1">
      <c r="A432" t="inlineStr">
        <is>
          <t>A 8020-2022</t>
        </is>
      </c>
      <c r="B432" s="1" t="n">
        <v>44609</v>
      </c>
      <c r="C432" s="1" t="n">
        <v>46077</v>
      </c>
      <c r="D432" t="inlineStr">
        <is>
          <t>UPPSALA LÄN</t>
        </is>
      </c>
      <c r="E432" t="inlineStr">
        <is>
          <t>ENKÖPING</t>
        </is>
      </c>
      <c r="G432" t="n">
        <v>6</v>
      </c>
      <c r="H432" t="n">
        <v>0</v>
      </c>
      <c r="I432" t="n">
        <v>0</v>
      </c>
      <c r="J432" t="n">
        <v>0</v>
      </c>
      <c r="K432" t="n">
        <v>0</v>
      </c>
      <c r="L432" t="n">
        <v>0</v>
      </c>
      <c r="M432" t="n">
        <v>0</v>
      </c>
      <c r="N432" t="n">
        <v>0</v>
      </c>
      <c r="O432" t="n">
        <v>0</v>
      </c>
      <c r="P432" t="n">
        <v>0</v>
      </c>
      <c r="Q432" t="n">
        <v>0</v>
      </c>
      <c r="R432" s="2" t="inlineStr"/>
    </row>
    <row r="433" ht="15" customHeight="1">
      <c r="A433" t="inlineStr">
        <is>
          <t>A 34805-2024</t>
        </is>
      </c>
      <c r="B433" s="1" t="n">
        <v>45526</v>
      </c>
      <c r="C433" s="1" t="n">
        <v>46077</v>
      </c>
      <c r="D433" t="inlineStr">
        <is>
          <t>UPPSALA LÄN</t>
        </is>
      </c>
      <c r="E433" t="inlineStr">
        <is>
          <t>ENKÖPING</t>
        </is>
      </c>
      <c r="G433" t="n">
        <v>3.6</v>
      </c>
      <c r="H433" t="n">
        <v>0</v>
      </c>
      <c r="I433" t="n">
        <v>0</v>
      </c>
      <c r="J433" t="n">
        <v>0</v>
      </c>
      <c r="K433" t="n">
        <v>0</v>
      </c>
      <c r="L433" t="n">
        <v>0</v>
      </c>
      <c r="M433" t="n">
        <v>0</v>
      </c>
      <c r="N433" t="n">
        <v>0</v>
      </c>
      <c r="O433" t="n">
        <v>0</v>
      </c>
      <c r="P433" t="n">
        <v>0</v>
      </c>
      <c r="Q433" t="n">
        <v>0</v>
      </c>
      <c r="R433" s="2" t="inlineStr"/>
    </row>
    <row r="434" ht="15" customHeight="1">
      <c r="A434" t="inlineStr">
        <is>
          <t>A 60934-2025</t>
        </is>
      </c>
      <c r="B434" s="1" t="n">
        <v>45999</v>
      </c>
      <c r="C434" s="1" t="n">
        <v>46077</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314-2025</t>
        </is>
      </c>
      <c r="B435" s="1" t="n">
        <v>45656</v>
      </c>
      <c r="C435" s="1" t="n">
        <v>46077</v>
      </c>
      <c r="D435" t="inlineStr">
        <is>
          <t>UPPSALA LÄN</t>
        </is>
      </c>
      <c r="E435" t="inlineStr">
        <is>
          <t>ENKÖPING</t>
        </is>
      </c>
      <c r="G435" t="n">
        <v>9</v>
      </c>
      <c r="H435" t="n">
        <v>0</v>
      </c>
      <c r="I435" t="n">
        <v>0</v>
      </c>
      <c r="J435" t="n">
        <v>0</v>
      </c>
      <c r="K435" t="n">
        <v>0</v>
      </c>
      <c r="L435" t="n">
        <v>0</v>
      </c>
      <c r="M435" t="n">
        <v>0</v>
      </c>
      <c r="N435" t="n">
        <v>0</v>
      </c>
      <c r="O435" t="n">
        <v>0</v>
      </c>
      <c r="P435" t="n">
        <v>0</v>
      </c>
      <c r="Q435" t="n">
        <v>0</v>
      </c>
      <c r="R435" s="2" t="inlineStr"/>
    </row>
    <row r="436" ht="15" customHeight="1">
      <c r="A436" t="inlineStr">
        <is>
          <t>A 10831-2024</t>
        </is>
      </c>
      <c r="B436" s="1" t="n">
        <v>45369</v>
      </c>
      <c r="C436" s="1" t="n">
        <v>46077</v>
      </c>
      <c r="D436" t="inlineStr">
        <is>
          <t>UPPSALA LÄN</t>
        </is>
      </c>
      <c r="E436" t="inlineStr">
        <is>
          <t>ENKÖPING</t>
        </is>
      </c>
      <c r="G436" t="n">
        <v>2.9</v>
      </c>
      <c r="H436" t="n">
        <v>0</v>
      </c>
      <c r="I436" t="n">
        <v>0</v>
      </c>
      <c r="J436" t="n">
        <v>0</v>
      </c>
      <c r="K436" t="n">
        <v>0</v>
      </c>
      <c r="L436" t="n">
        <v>0</v>
      </c>
      <c r="M436" t="n">
        <v>0</v>
      </c>
      <c r="N436" t="n">
        <v>0</v>
      </c>
      <c r="O436" t="n">
        <v>0</v>
      </c>
      <c r="P436" t="n">
        <v>0</v>
      </c>
      <c r="Q436" t="n">
        <v>0</v>
      </c>
      <c r="R436" s="2" t="inlineStr"/>
    </row>
    <row r="437" ht="15" customHeight="1">
      <c r="A437" t="inlineStr">
        <is>
          <t>A 5712-2025</t>
        </is>
      </c>
      <c r="B437" s="1" t="n">
        <v>45694</v>
      </c>
      <c r="C437" s="1" t="n">
        <v>46077</v>
      </c>
      <c r="D437" t="inlineStr">
        <is>
          <t>UPPSALA LÄN</t>
        </is>
      </c>
      <c r="E437" t="inlineStr">
        <is>
          <t>ENKÖPING</t>
        </is>
      </c>
      <c r="G437" t="n">
        <v>5.1</v>
      </c>
      <c r="H437" t="n">
        <v>0</v>
      </c>
      <c r="I437" t="n">
        <v>0</v>
      </c>
      <c r="J437" t="n">
        <v>0</v>
      </c>
      <c r="K437" t="n">
        <v>0</v>
      </c>
      <c r="L437" t="n">
        <v>0</v>
      </c>
      <c r="M437" t="n">
        <v>0</v>
      </c>
      <c r="N437" t="n">
        <v>0</v>
      </c>
      <c r="O437" t="n">
        <v>0</v>
      </c>
      <c r="P437" t="n">
        <v>0</v>
      </c>
      <c r="Q437" t="n">
        <v>0</v>
      </c>
      <c r="R437" s="2" t="inlineStr"/>
    </row>
    <row r="438" ht="15" customHeight="1">
      <c r="A438" t="inlineStr">
        <is>
          <t>A 45956-2024</t>
        </is>
      </c>
      <c r="B438" s="1" t="n">
        <v>45580</v>
      </c>
      <c r="C438" s="1" t="n">
        <v>46077</v>
      </c>
      <c r="D438" t="inlineStr">
        <is>
          <t>UPPSALA LÄN</t>
        </is>
      </c>
      <c r="E438" t="inlineStr">
        <is>
          <t>ENKÖPING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61437-2025</t>
        </is>
      </c>
      <c r="B439" s="1" t="n">
        <v>46001.5659375</v>
      </c>
      <c r="C439" s="1" t="n">
        <v>46077</v>
      </c>
      <c r="D439" t="inlineStr">
        <is>
          <t>UPPSALA LÄN</t>
        </is>
      </c>
      <c r="E439" t="inlineStr">
        <is>
          <t>ENKÖPING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11627-2025</t>
        </is>
      </c>
      <c r="B440" s="1" t="n">
        <v>45727</v>
      </c>
      <c r="C440" s="1" t="n">
        <v>46077</v>
      </c>
      <c r="D440" t="inlineStr">
        <is>
          <t>UPPSALA LÄN</t>
        </is>
      </c>
      <c r="E440" t="inlineStr">
        <is>
          <t>ENKÖPING</t>
        </is>
      </c>
      <c r="G440" t="n">
        <v>5.5</v>
      </c>
      <c r="H440" t="n">
        <v>0</v>
      </c>
      <c r="I440" t="n">
        <v>0</v>
      </c>
      <c r="J440" t="n">
        <v>0</v>
      </c>
      <c r="K440" t="n">
        <v>0</v>
      </c>
      <c r="L440" t="n">
        <v>0</v>
      </c>
      <c r="M440" t="n">
        <v>0</v>
      </c>
      <c r="N440" t="n">
        <v>0</v>
      </c>
      <c r="O440" t="n">
        <v>0</v>
      </c>
      <c r="P440" t="n">
        <v>0</v>
      </c>
      <c r="Q440" t="n">
        <v>0</v>
      </c>
      <c r="R440" s="2" t="inlineStr"/>
    </row>
    <row r="441" ht="15" customHeight="1">
      <c r="A441" t="inlineStr">
        <is>
          <t>A 74090-2021</t>
        </is>
      </c>
      <c r="B441" s="1" t="n">
        <v>44557</v>
      </c>
      <c r="C441" s="1" t="n">
        <v>46077</v>
      </c>
      <c r="D441" t="inlineStr">
        <is>
          <t>UPPSALA LÄN</t>
        </is>
      </c>
      <c r="E441" t="inlineStr">
        <is>
          <t>ENKÖPING</t>
        </is>
      </c>
      <c r="G441" t="n">
        <v>2.1</v>
      </c>
      <c r="H441" t="n">
        <v>0</v>
      </c>
      <c r="I441" t="n">
        <v>0</v>
      </c>
      <c r="J441" t="n">
        <v>0</v>
      </c>
      <c r="K441" t="n">
        <v>0</v>
      </c>
      <c r="L441" t="n">
        <v>0</v>
      </c>
      <c r="M441" t="n">
        <v>0</v>
      </c>
      <c r="N441" t="n">
        <v>0</v>
      </c>
      <c r="O441" t="n">
        <v>0</v>
      </c>
      <c r="P441" t="n">
        <v>0</v>
      </c>
      <c r="Q441" t="n">
        <v>0</v>
      </c>
      <c r="R441" s="2" t="inlineStr"/>
    </row>
    <row r="442" ht="15" customHeight="1">
      <c r="A442" t="inlineStr">
        <is>
          <t>A 38941-2025</t>
        </is>
      </c>
      <c r="B442" s="1" t="n">
        <v>45887</v>
      </c>
      <c r="C442" s="1" t="n">
        <v>46077</v>
      </c>
      <c r="D442" t="inlineStr">
        <is>
          <t>UPPSALA LÄN</t>
        </is>
      </c>
      <c r="E442" t="inlineStr">
        <is>
          <t>ENKÖPING</t>
        </is>
      </c>
      <c r="F442" t="inlineStr">
        <is>
          <t>Övriga statliga verk och myndigheter</t>
        </is>
      </c>
      <c r="G442" t="n">
        <v>0.6</v>
      </c>
      <c r="H442" t="n">
        <v>0</v>
      </c>
      <c r="I442" t="n">
        <v>0</v>
      </c>
      <c r="J442" t="n">
        <v>0</v>
      </c>
      <c r="K442" t="n">
        <v>0</v>
      </c>
      <c r="L442" t="n">
        <v>0</v>
      </c>
      <c r="M442" t="n">
        <v>0</v>
      </c>
      <c r="N442" t="n">
        <v>0</v>
      </c>
      <c r="O442" t="n">
        <v>0</v>
      </c>
      <c r="P442" t="n">
        <v>0</v>
      </c>
      <c r="Q442" t="n">
        <v>0</v>
      </c>
      <c r="R442" s="2" t="inlineStr"/>
    </row>
    <row r="443" ht="15" customHeight="1">
      <c r="A443" t="inlineStr">
        <is>
          <t>A 61778-2025</t>
        </is>
      </c>
      <c r="B443" s="1" t="n">
        <v>46002.66555555556</v>
      </c>
      <c r="C443" s="1" t="n">
        <v>46077</v>
      </c>
      <c r="D443" t="inlineStr">
        <is>
          <t>UPPSALA LÄN</t>
        </is>
      </c>
      <c r="E443" t="inlineStr">
        <is>
          <t>ENKÖPING</t>
        </is>
      </c>
      <c r="G443" t="n">
        <v>3.2</v>
      </c>
      <c r="H443" t="n">
        <v>0</v>
      </c>
      <c r="I443" t="n">
        <v>0</v>
      </c>
      <c r="J443" t="n">
        <v>0</v>
      </c>
      <c r="K443" t="n">
        <v>0</v>
      </c>
      <c r="L443" t="n">
        <v>0</v>
      </c>
      <c r="M443" t="n">
        <v>0</v>
      </c>
      <c r="N443" t="n">
        <v>0</v>
      </c>
      <c r="O443" t="n">
        <v>0</v>
      </c>
      <c r="P443" t="n">
        <v>0</v>
      </c>
      <c r="Q443" t="n">
        <v>0</v>
      </c>
      <c r="R443" s="2" t="inlineStr"/>
    </row>
    <row r="444" ht="15" customHeight="1">
      <c r="A444" t="inlineStr">
        <is>
          <t>A 61811-2025</t>
        </is>
      </c>
      <c r="B444" s="1" t="n">
        <v>46002.90059027778</v>
      </c>
      <c r="C444" s="1" t="n">
        <v>46077</v>
      </c>
      <c r="D444" t="inlineStr">
        <is>
          <t>UPPSALA LÄN</t>
        </is>
      </c>
      <c r="E444" t="inlineStr">
        <is>
          <t>ENKÖPING</t>
        </is>
      </c>
      <c r="F444" t="inlineStr">
        <is>
          <t>Allmännings- och besparingsskogar</t>
        </is>
      </c>
      <c r="G444" t="n">
        <v>4.7</v>
      </c>
      <c r="H444" t="n">
        <v>0</v>
      </c>
      <c r="I444" t="n">
        <v>0</v>
      </c>
      <c r="J444" t="n">
        <v>0</v>
      </c>
      <c r="K444" t="n">
        <v>0</v>
      </c>
      <c r="L444" t="n">
        <v>0</v>
      </c>
      <c r="M444" t="n">
        <v>0</v>
      </c>
      <c r="N444" t="n">
        <v>0</v>
      </c>
      <c r="O444" t="n">
        <v>0</v>
      </c>
      <c r="P444" t="n">
        <v>0</v>
      </c>
      <c r="Q444" t="n">
        <v>0</v>
      </c>
      <c r="R444" s="2" t="inlineStr"/>
    </row>
    <row r="445" ht="15" customHeight="1">
      <c r="A445" t="inlineStr">
        <is>
          <t>A 58092-2024</t>
        </is>
      </c>
      <c r="B445" s="1" t="n">
        <v>45632</v>
      </c>
      <c r="C445" s="1" t="n">
        <v>46077</v>
      </c>
      <c r="D445" t="inlineStr">
        <is>
          <t>UPPSALA LÄN</t>
        </is>
      </c>
      <c r="E445" t="inlineStr">
        <is>
          <t>ENKÖPING</t>
        </is>
      </c>
      <c r="G445" t="n">
        <v>4.8</v>
      </c>
      <c r="H445" t="n">
        <v>0</v>
      </c>
      <c r="I445" t="n">
        <v>0</v>
      </c>
      <c r="J445" t="n">
        <v>0</v>
      </c>
      <c r="K445" t="n">
        <v>0</v>
      </c>
      <c r="L445" t="n">
        <v>0</v>
      </c>
      <c r="M445" t="n">
        <v>0</v>
      </c>
      <c r="N445" t="n">
        <v>0</v>
      </c>
      <c r="O445" t="n">
        <v>0</v>
      </c>
      <c r="P445" t="n">
        <v>0</v>
      </c>
      <c r="Q445" t="n">
        <v>0</v>
      </c>
      <c r="R445" s="2" t="inlineStr"/>
    </row>
    <row r="446" ht="15" customHeight="1">
      <c r="A446" t="inlineStr">
        <is>
          <t>A 24411-2024</t>
        </is>
      </c>
      <c r="B446" s="1" t="n">
        <v>45457</v>
      </c>
      <c r="C446" s="1" t="n">
        <v>46077</v>
      </c>
      <c r="D446" t="inlineStr">
        <is>
          <t>UPPSALA LÄN</t>
        </is>
      </c>
      <c r="E446" t="inlineStr">
        <is>
          <t>ENKÖPING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25988-2025</t>
        </is>
      </c>
      <c r="B447" s="1" t="n">
        <v>45804.64814814815</v>
      </c>
      <c r="C447" s="1" t="n">
        <v>46077</v>
      </c>
      <c r="D447" t="inlineStr">
        <is>
          <t>UPPSALA LÄN</t>
        </is>
      </c>
      <c r="E447" t="inlineStr">
        <is>
          <t>ENKÖPING</t>
        </is>
      </c>
      <c r="G447" t="n">
        <v>4.7</v>
      </c>
      <c r="H447" t="n">
        <v>0</v>
      </c>
      <c r="I447" t="n">
        <v>0</v>
      </c>
      <c r="J447" t="n">
        <v>0</v>
      </c>
      <c r="K447" t="n">
        <v>0</v>
      </c>
      <c r="L447" t="n">
        <v>0</v>
      </c>
      <c r="M447" t="n">
        <v>0</v>
      </c>
      <c r="N447" t="n">
        <v>0</v>
      </c>
      <c r="O447" t="n">
        <v>0</v>
      </c>
      <c r="P447" t="n">
        <v>0</v>
      </c>
      <c r="Q447" t="n">
        <v>0</v>
      </c>
      <c r="R447" s="2" t="inlineStr"/>
    </row>
    <row r="448" ht="15" customHeight="1">
      <c r="A448" t="inlineStr">
        <is>
          <t>A 61889-2025</t>
        </is>
      </c>
      <c r="B448" s="1" t="n">
        <v>46003.44765046296</v>
      </c>
      <c r="C448" s="1" t="n">
        <v>46077</v>
      </c>
      <c r="D448" t="inlineStr">
        <is>
          <t>UPPSALA LÄN</t>
        </is>
      </c>
      <c r="E448" t="inlineStr">
        <is>
          <t>ENKÖPING</t>
        </is>
      </c>
      <c r="G448" t="n">
        <v>2.3</v>
      </c>
      <c r="H448" t="n">
        <v>0</v>
      </c>
      <c r="I448" t="n">
        <v>0</v>
      </c>
      <c r="J448" t="n">
        <v>0</v>
      </c>
      <c r="K448" t="n">
        <v>0</v>
      </c>
      <c r="L448" t="n">
        <v>0</v>
      </c>
      <c r="M448" t="n">
        <v>0</v>
      </c>
      <c r="N448" t="n">
        <v>0</v>
      </c>
      <c r="O448" t="n">
        <v>0</v>
      </c>
      <c r="P448" t="n">
        <v>0</v>
      </c>
      <c r="Q448" t="n">
        <v>0</v>
      </c>
      <c r="R448" s="2" t="inlineStr"/>
    </row>
    <row r="449" ht="15" customHeight="1">
      <c r="A449" t="inlineStr">
        <is>
          <t>A 26024-2025</t>
        </is>
      </c>
      <c r="B449" s="1" t="n">
        <v>45804.6831712963</v>
      </c>
      <c r="C449" s="1" t="n">
        <v>46077</v>
      </c>
      <c r="D449" t="inlineStr">
        <is>
          <t>UPPSALA LÄN</t>
        </is>
      </c>
      <c r="E449" t="inlineStr">
        <is>
          <t>ENKÖPING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26042-2025</t>
        </is>
      </c>
      <c r="B450" s="1" t="n">
        <v>45804.70018518518</v>
      </c>
      <c r="C450" s="1" t="n">
        <v>46077</v>
      </c>
      <c r="D450" t="inlineStr">
        <is>
          <t>UPPSALA LÄN</t>
        </is>
      </c>
      <c r="E450" t="inlineStr">
        <is>
          <t>ENKÖPING</t>
        </is>
      </c>
      <c r="G450" t="n">
        <v>1.2</v>
      </c>
      <c r="H450" t="n">
        <v>0</v>
      </c>
      <c r="I450" t="n">
        <v>0</v>
      </c>
      <c r="J450" t="n">
        <v>0</v>
      </c>
      <c r="K450" t="n">
        <v>0</v>
      </c>
      <c r="L450" t="n">
        <v>0</v>
      </c>
      <c r="M450" t="n">
        <v>0</v>
      </c>
      <c r="N450" t="n">
        <v>0</v>
      </c>
      <c r="O450" t="n">
        <v>0</v>
      </c>
      <c r="P450" t="n">
        <v>0</v>
      </c>
      <c r="Q450" t="n">
        <v>0</v>
      </c>
      <c r="R450" s="2" t="inlineStr"/>
    </row>
    <row r="451" ht="15" customHeight="1">
      <c r="A451" t="inlineStr">
        <is>
          <t>A 26030-2025</t>
        </is>
      </c>
      <c r="B451" s="1" t="n">
        <v>45804.68815972222</v>
      </c>
      <c r="C451" s="1" t="n">
        <v>46077</v>
      </c>
      <c r="D451" t="inlineStr">
        <is>
          <t>UPPSALA LÄN</t>
        </is>
      </c>
      <c r="E451" t="inlineStr">
        <is>
          <t>ENKÖPING</t>
        </is>
      </c>
      <c r="G451" t="n">
        <v>0.3</v>
      </c>
      <c r="H451" t="n">
        <v>0</v>
      </c>
      <c r="I451" t="n">
        <v>0</v>
      </c>
      <c r="J451" t="n">
        <v>0</v>
      </c>
      <c r="K451" t="n">
        <v>0</v>
      </c>
      <c r="L451" t="n">
        <v>0</v>
      </c>
      <c r="M451" t="n">
        <v>0</v>
      </c>
      <c r="N451" t="n">
        <v>0</v>
      </c>
      <c r="O451" t="n">
        <v>0</v>
      </c>
      <c r="P451" t="n">
        <v>0</v>
      </c>
      <c r="Q451" t="n">
        <v>0</v>
      </c>
      <c r="R451" s="2" t="inlineStr"/>
    </row>
    <row r="452" ht="15" customHeight="1">
      <c r="A452" t="inlineStr">
        <is>
          <t>A 26026-2025</t>
        </is>
      </c>
      <c r="B452" s="1" t="n">
        <v>45804.68510416667</v>
      </c>
      <c r="C452" s="1" t="n">
        <v>46077</v>
      </c>
      <c r="D452" t="inlineStr">
        <is>
          <t>UPPSALA LÄN</t>
        </is>
      </c>
      <c r="E452" t="inlineStr">
        <is>
          <t>ENKÖPING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26047-2025</t>
        </is>
      </c>
      <c r="B453" s="1" t="n">
        <v>45804.70835648148</v>
      </c>
      <c r="C453" s="1" t="n">
        <v>46077</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25847-2025</t>
        </is>
      </c>
      <c r="B454" s="1" t="n">
        <v>45804</v>
      </c>
      <c r="C454" s="1" t="n">
        <v>46077</v>
      </c>
      <c r="D454" t="inlineStr">
        <is>
          <t>UPPSALA LÄN</t>
        </is>
      </c>
      <c r="E454" t="inlineStr">
        <is>
          <t>ENKÖPING</t>
        </is>
      </c>
      <c r="G454" t="n">
        <v>3.6</v>
      </c>
      <c r="H454" t="n">
        <v>0</v>
      </c>
      <c r="I454" t="n">
        <v>0</v>
      </c>
      <c r="J454" t="n">
        <v>0</v>
      </c>
      <c r="K454" t="n">
        <v>0</v>
      </c>
      <c r="L454" t="n">
        <v>0</v>
      </c>
      <c r="M454" t="n">
        <v>0</v>
      </c>
      <c r="N454" t="n">
        <v>0</v>
      </c>
      <c r="O454" t="n">
        <v>0</v>
      </c>
      <c r="P454" t="n">
        <v>0</v>
      </c>
      <c r="Q454" t="n">
        <v>0</v>
      </c>
      <c r="R454" s="2" t="inlineStr"/>
    </row>
    <row r="455" ht="15" customHeight="1">
      <c r="A455" t="inlineStr">
        <is>
          <t>A 26005-2025</t>
        </is>
      </c>
      <c r="B455" s="1" t="n">
        <v>45804.67055555555</v>
      </c>
      <c r="C455" s="1" t="n">
        <v>46077</v>
      </c>
      <c r="D455" t="inlineStr">
        <is>
          <t>UPPSALA LÄN</t>
        </is>
      </c>
      <c r="E455" t="inlineStr">
        <is>
          <t>ENKÖPING</t>
        </is>
      </c>
      <c r="G455" t="n">
        <v>0.3</v>
      </c>
      <c r="H455" t="n">
        <v>0</v>
      </c>
      <c r="I455" t="n">
        <v>0</v>
      </c>
      <c r="J455" t="n">
        <v>0</v>
      </c>
      <c r="K455" t="n">
        <v>0</v>
      </c>
      <c r="L455" t="n">
        <v>0</v>
      </c>
      <c r="M455" t="n">
        <v>0</v>
      </c>
      <c r="N455" t="n">
        <v>0</v>
      </c>
      <c r="O455" t="n">
        <v>0</v>
      </c>
      <c r="P455" t="n">
        <v>0</v>
      </c>
      <c r="Q455" t="n">
        <v>0</v>
      </c>
      <c r="R455" s="2" t="inlineStr"/>
    </row>
    <row r="456" ht="15" customHeight="1">
      <c r="A456" t="inlineStr">
        <is>
          <t>A 26031-2025</t>
        </is>
      </c>
      <c r="B456" s="1" t="n">
        <v>45804.69050925926</v>
      </c>
      <c r="C456" s="1" t="n">
        <v>46077</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26041-2025</t>
        </is>
      </c>
      <c r="B457" s="1" t="n">
        <v>45804.69883101852</v>
      </c>
      <c r="C457" s="1" t="n">
        <v>46077</v>
      </c>
      <c r="D457" t="inlineStr">
        <is>
          <t>UPPSALA LÄN</t>
        </is>
      </c>
      <c r="E457" t="inlineStr">
        <is>
          <t>ENKÖPING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26022-2025</t>
        </is>
      </c>
      <c r="B458" s="1" t="n">
        <v>45804.68006944445</v>
      </c>
      <c r="C458" s="1" t="n">
        <v>46077</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62772-2025</t>
        </is>
      </c>
      <c r="B459" s="1" t="n">
        <v>46008.60365740741</v>
      </c>
      <c r="C459" s="1" t="n">
        <v>46077</v>
      </c>
      <c r="D459" t="inlineStr">
        <is>
          <t>UPPSALA LÄN</t>
        </is>
      </c>
      <c r="E459" t="inlineStr">
        <is>
          <t>ENKÖPING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62599-2025</t>
        </is>
      </c>
      <c r="B460" s="1" t="n">
        <v>46007.91961805556</v>
      </c>
      <c r="C460" s="1" t="n">
        <v>46077</v>
      </c>
      <c r="D460" t="inlineStr">
        <is>
          <t>UPPSALA LÄN</t>
        </is>
      </c>
      <c r="E460" t="inlineStr">
        <is>
          <t>ENKÖPING</t>
        </is>
      </c>
      <c r="G460" t="n">
        <v>1.6</v>
      </c>
      <c r="H460" t="n">
        <v>0</v>
      </c>
      <c r="I460" t="n">
        <v>0</v>
      </c>
      <c r="J460" t="n">
        <v>0</v>
      </c>
      <c r="K460" t="n">
        <v>0</v>
      </c>
      <c r="L460" t="n">
        <v>0</v>
      </c>
      <c r="M460" t="n">
        <v>0</v>
      </c>
      <c r="N460" t="n">
        <v>0</v>
      </c>
      <c r="O460" t="n">
        <v>0</v>
      </c>
      <c r="P460" t="n">
        <v>0</v>
      </c>
      <c r="Q460" t="n">
        <v>0</v>
      </c>
      <c r="R460" s="2" t="inlineStr"/>
    </row>
    <row r="461" ht="15" customHeight="1">
      <c r="A461" t="inlineStr">
        <is>
          <t>A 5104-2026</t>
        </is>
      </c>
      <c r="B461" s="1" t="n">
        <v>46049.56914351852</v>
      </c>
      <c r="C461" s="1" t="n">
        <v>46077</v>
      </c>
      <c r="D461" t="inlineStr">
        <is>
          <t>UPPSALA LÄN</t>
        </is>
      </c>
      <c r="E461" t="inlineStr">
        <is>
          <t>ENKÖPING</t>
        </is>
      </c>
      <c r="G461" t="n">
        <v>2.3</v>
      </c>
      <c r="H461" t="n">
        <v>0</v>
      </c>
      <c r="I461" t="n">
        <v>0</v>
      </c>
      <c r="J461" t="n">
        <v>0</v>
      </c>
      <c r="K461" t="n">
        <v>0</v>
      </c>
      <c r="L461" t="n">
        <v>0</v>
      </c>
      <c r="M461" t="n">
        <v>0</v>
      </c>
      <c r="N461" t="n">
        <v>0</v>
      </c>
      <c r="O461" t="n">
        <v>0</v>
      </c>
      <c r="P461" t="n">
        <v>0</v>
      </c>
      <c r="Q461" t="n">
        <v>0</v>
      </c>
      <c r="R461" s="2" t="inlineStr"/>
    </row>
    <row r="462" ht="15" customHeight="1">
      <c r="A462" t="inlineStr">
        <is>
          <t>A 62601-2025</t>
        </is>
      </c>
      <c r="B462" s="1" t="n">
        <v>46007.92395833333</v>
      </c>
      <c r="C462" s="1" t="n">
        <v>46077</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62602-2025</t>
        </is>
      </c>
      <c r="B463" s="1" t="n">
        <v>46007.92581018519</v>
      </c>
      <c r="C463" s="1" t="n">
        <v>46077</v>
      </c>
      <c r="D463" t="inlineStr">
        <is>
          <t>UPPSALA LÄN</t>
        </is>
      </c>
      <c r="E463" t="inlineStr">
        <is>
          <t>ENKÖPING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62600-2025</t>
        </is>
      </c>
      <c r="B464" s="1" t="n">
        <v>46007.92175925926</v>
      </c>
      <c r="C464" s="1" t="n">
        <v>46077</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35067-2024</t>
        </is>
      </c>
      <c r="B465" s="1" t="n">
        <v>45527.66153935185</v>
      </c>
      <c r="C465" s="1" t="n">
        <v>46077</v>
      </c>
      <c r="D465" t="inlineStr">
        <is>
          <t>UPPSALA LÄN</t>
        </is>
      </c>
      <c r="E465" t="inlineStr">
        <is>
          <t>ENKÖPING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63128-2025</t>
        </is>
      </c>
      <c r="B466" s="1" t="n">
        <v>46009</v>
      </c>
      <c r="C466" s="1" t="n">
        <v>46077</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6044-2026</t>
        </is>
      </c>
      <c r="B467" s="1" t="n">
        <v>46052.62506944445</v>
      </c>
      <c r="C467" s="1" t="n">
        <v>46077</v>
      </c>
      <c r="D467" t="inlineStr">
        <is>
          <t>UPPSALA LÄN</t>
        </is>
      </c>
      <c r="E467" t="inlineStr">
        <is>
          <t>ENKÖPING</t>
        </is>
      </c>
      <c r="G467" t="n">
        <v>1.3</v>
      </c>
      <c r="H467" t="n">
        <v>0</v>
      </c>
      <c r="I467" t="n">
        <v>0</v>
      </c>
      <c r="J467" t="n">
        <v>0</v>
      </c>
      <c r="K467" t="n">
        <v>0</v>
      </c>
      <c r="L467" t="n">
        <v>0</v>
      </c>
      <c r="M467" t="n">
        <v>0</v>
      </c>
      <c r="N467" t="n">
        <v>0</v>
      </c>
      <c r="O467" t="n">
        <v>0</v>
      </c>
      <c r="P467" t="n">
        <v>0</v>
      </c>
      <c r="Q467" t="n">
        <v>0</v>
      </c>
      <c r="R467" s="2" t="inlineStr"/>
    </row>
    <row r="468" ht="15" customHeight="1">
      <c r="A468" t="inlineStr">
        <is>
          <t>A 6031-2026</t>
        </is>
      </c>
      <c r="B468" s="1" t="n">
        <v>46052.61201388889</v>
      </c>
      <c r="C468" s="1" t="n">
        <v>46077</v>
      </c>
      <c r="D468" t="inlineStr">
        <is>
          <t>UPPSALA LÄN</t>
        </is>
      </c>
      <c r="E468" t="inlineStr">
        <is>
          <t>ENKÖPING</t>
        </is>
      </c>
      <c r="G468" t="n">
        <v>4.1</v>
      </c>
      <c r="H468" t="n">
        <v>0</v>
      </c>
      <c r="I468" t="n">
        <v>0</v>
      </c>
      <c r="J468" t="n">
        <v>0</v>
      </c>
      <c r="K468" t="n">
        <v>0</v>
      </c>
      <c r="L468" t="n">
        <v>0</v>
      </c>
      <c r="M468" t="n">
        <v>0</v>
      </c>
      <c r="N468" t="n">
        <v>0</v>
      </c>
      <c r="O468" t="n">
        <v>0</v>
      </c>
      <c r="P468" t="n">
        <v>0</v>
      </c>
      <c r="Q468" t="n">
        <v>0</v>
      </c>
      <c r="R468" s="2" t="inlineStr"/>
    </row>
    <row r="469" ht="15" customHeight="1">
      <c r="A469" t="inlineStr">
        <is>
          <t>A 6049-2026</t>
        </is>
      </c>
      <c r="B469" s="1" t="n">
        <v>46052.63005787037</v>
      </c>
      <c r="C469" s="1" t="n">
        <v>46077</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6047-2026</t>
        </is>
      </c>
      <c r="B470" s="1" t="n">
        <v>46052.62738425926</v>
      </c>
      <c r="C470" s="1" t="n">
        <v>46077</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5953-2026</t>
        </is>
      </c>
      <c r="B471" s="1" t="n">
        <v>46052.49119212963</v>
      </c>
      <c r="C471" s="1" t="n">
        <v>46077</v>
      </c>
      <c r="D471" t="inlineStr">
        <is>
          <t>UPPSALA LÄN</t>
        </is>
      </c>
      <c r="E471" t="inlineStr">
        <is>
          <t>ENKÖPING</t>
        </is>
      </c>
      <c r="G471" t="n">
        <v>1.2</v>
      </c>
      <c r="H471" t="n">
        <v>0</v>
      </c>
      <c r="I471" t="n">
        <v>0</v>
      </c>
      <c r="J471" t="n">
        <v>0</v>
      </c>
      <c r="K471" t="n">
        <v>0</v>
      </c>
      <c r="L471" t="n">
        <v>0</v>
      </c>
      <c r="M471" t="n">
        <v>0</v>
      </c>
      <c r="N471" t="n">
        <v>0</v>
      </c>
      <c r="O471" t="n">
        <v>0</v>
      </c>
      <c r="P471" t="n">
        <v>0</v>
      </c>
      <c r="Q471" t="n">
        <v>0</v>
      </c>
      <c r="R471" s="2" t="inlineStr"/>
    </row>
    <row r="472" ht="15" customHeight="1">
      <c r="A472" t="inlineStr">
        <is>
          <t>A 6041-2026</t>
        </is>
      </c>
      <c r="B472" s="1" t="n">
        <v>46052.62184027778</v>
      </c>
      <c r="C472" s="1" t="n">
        <v>46077</v>
      </c>
      <c r="D472" t="inlineStr">
        <is>
          <t>UPPSALA LÄN</t>
        </is>
      </c>
      <c r="E472" t="inlineStr">
        <is>
          <t>ENKÖPING</t>
        </is>
      </c>
      <c r="G472" t="n">
        <v>4</v>
      </c>
      <c r="H472" t="n">
        <v>0</v>
      </c>
      <c r="I472" t="n">
        <v>0</v>
      </c>
      <c r="J472" t="n">
        <v>0</v>
      </c>
      <c r="K472" t="n">
        <v>0</v>
      </c>
      <c r="L472" t="n">
        <v>0</v>
      </c>
      <c r="M472" t="n">
        <v>0</v>
      </c>
      <c r="N472" t="n">
        <v>0</v>
      </c>
      <c r="O472" t="n">
        <v>0</v>
      </c>
      <c r="P472" t="n">
        <v>0</v>
      </c>
      <c r="Q472" t="n">
        <v>0</v>
      </c>
      <c r="R472" s="2" t="inlineStr"/>
    </row>
    <row r="473" ht="15" customHeight="1">
      <c r="A473" t="inlineStr">
        <is>
          <t>A 5569-2026</t>
        </is>
      </c>
      <c r="B473" s="1" t="n">
        <v>46050.89431712963</v>
      </c>
      <c r="C473" s="1" t="n">
        <v>46077</v>
      </c>
      <c r="D473" t="inlineStr">
        <is>
          <t>UPPSALA LÄN</t>
        </is>
      </c>
      <c r="E473" t="inlineStr">
        <is>
          <t>ENKÖPING</t>
        </is>
      </c>
      <c r="G473" t="n">
        <v>1.6</v>
      </c>
      <c r="H473" t="n">
        <v>0</v>
      </c>
      <c r="I473" t="n">
        <v>0</v>
      </c>
      <c r="J473" t="n">
        <v>0</v>
      </c>
      <c r="K473" t="n">
        <v>0</v>
      </c>
      <c r="L473" t="n">
        <v>0</v>
      </c>
      <c r="M473" t="n">
        <v>0</v>
      </c>
      <c r="N473" t="n">
        <v>0</v>
      </c>
      <c r="O473" t="n">
        <v>0</v>
      </c>
      <c r="P473" t="n">
        <v>0</v>
      </c>
      <c r="Q473" t="n">
        <v>0</v>
      </c>
      <c r="R473" s="2" t="inlineStr"/>
    </row>
    <row r="474" ht="15" customHeight="1">
      <c r="A474" t="inlineStr">
        <is>
          <t>A 5948-2026</t>
        </is>
      </c>
      <c r="B474" s="1" t="n">
        <v>46052</v>
      </c>
      <c r="C474" s="1" t="n">
        <v>46077</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7003-2026</t>
        </is>
      </c>
      <c r="B475" s="1" t="n">
        <v>46057.63243055555</v>
      </c>
      <c r="C475" s="1" t="n">
        <v>46077</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27829-2025</t>
        </is>
      </c>
      <c r="B476" s="1" t="n">
        <v>45817</v>
      </c>
      <c r="C476" s="1" t="n">
        <v>46077</v>
      </c>
      <c r="D476" t="inlineStr">
        <is>
          <t>UPPSALA LÄN</t>
        </is>
      </c>
      <c r="E476" t="inlineStr">
        <is>
          <t>ENKÖPING</t>
        </is>
      </c>
      <c r="G476" t="n">
        <v>2.1</v>
      </c>
      <c r="H476" t="n">
        <v>0</v>
      </c>
      <c r="I476" t="n">
        <v>0</v>
      </c>
      <c r="J476" t="n">
        <v>0</v>
      </c>
      <c r="K476" t="n">
        <v>0</v>
      </c>
      <c r="L476" t="n">
        <v>0</v>
      </c>
      <c r="M476" t="n">
        <v>0</v>
      </c>
      <c r="N476" t="n">
        <v>0</v>
      </c>
      <c r="O476" t="n">
        <v>0</v>
      </c>
      <c r="P476" t="n">
        <v>0</v>
      </c>
      <c r="Q476" t="n">
        <v>0</v>
      </c>
      <c r="R476" s="2" t="inlineStr"/>
    </row>
    <row r="477" ht="15" customHeight="1">
      <c r="A477" t="inlineStr">
        <is>
          <t>A 7008-2026</t>
        </is>
      </c>
      <c r="B477" s="1" t="n">
        <v>46057.63806712963</v>
      </c>
      <c r="C477" s="1" t="n">
        <v>46077</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7168-2026</t>
        </is>
      </c>
      <c r="B478" s="1" t="n">
        <v>46058.45831018518</v>
      </c>
      <c r="C478" s="1" t="n">
        <v>46077</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7175-2026</t>
        </is>
      </c>
      <c r="B479" s="1" t="n">
        <v>46058.46399305556</v>
      </c>
      <c r="C479" s="1" t="n">
        <v>46077</v>
      </c>
      <c r="D479" t="inlineStr">
        <is>
          <t>UPPSALA LÄN</t>
        </is>
      </c>
      <c r="E479" t="inlineStr">
        <is>
          <t>ENKÖPING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7167-2026</t>
        </is>
      </c>
      <c r="B480" s="1" t="n">
        <v>46058.45677083333</v>
      </c>
      <c r="C480" s="1" t="n">
        <v>46077</v>
      </c>
      <c r="D480" t="inlineStr">
        <is>
          <t>UPPSALA LÄN</t>
        </is>
      </c>
      <c r="E480" t="inlineStr">
        <is>
          <t>ENKÖPING</t>
        </is>
      </c>
      <c r="G480" t="n">
        <v>0.9</v>
      </c>
      <c r="H480" t="n">
        <v>0</v>
      </c>
      <c r="I480" t="n">
        <v>0</v>
      </c>
      <c r="J480" t="n">
        <v>0</v>
      </c>
      <c r="K480" t="n">
        <v>0</v>
      </c>
      <c r="L480" t="n">
        <v>0</v>
      </c>
      <c r="M480" t="n">
        <v>0</v>
      </c>
      <c r="N480" t="n">
        <v>0</v>
      </c>
      <c r="O480" t="n">
        <v>0</v>
      </c>
      <c r="P480" t="n">
        <v>0</v>
      </c>
      <c r="Q480" t="n">
        <v>0</v>
      </c>
      <c r="R480" s="2" t="inlineStr"/>
    </row>
    <row r="481" ht="15" customHeight="1">
      <c r="A481" t="inlineStr">
        <is>
          <t>A 7172-2026</t>
        </is>
      </c>
      <c r="B481" s="1" t="n">
        <v>46058.46113425926</v>
      </c>
      <c r="C481" s="1" t="n">
        <v>46077</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60848-2025</t>
        </is>
      </c>
      <c r="B482" s="1" t="n">
        <v>45999</v>
      </c>
      <c r="C482" s="1" t="n">
        <v>46077</v>
      </c>
      <c r="D482" t="inlineStr">
        <is>
          <t>UPPSALA LÄN</t>
        </is>
      </c>
      <c r="E482" t="inlineStr">
        <is>
          <t>ENKÖPING</t>
        </is>
      </c>
      <c r="G482" t="n">
        <v>2.5</v>
      </c>
      <c r="H482" t="n">
        <v>0</v>
      </c>
      <c r="I482" t="n">
        <v>0</v>
      </c>
      <c r="J482" t="n">
        <v>0</v>
      </c>
      <c r="K482" t="n">
        <v>0</v>
      </c>
      <c r="L482" t="n">
        <v>0</v>
      </c>
      <c r="M482" t="n">
        <v>0</v>
      </c>
      <c r="N482" t="n">
        <v>0</v>
      </c>
      <c r="O482" t="n">
        <v>0</v>
      </c>
      <c r="P482" t="n">
        <v>0</v>
      </c>
      <c r="Q482" t="n">
        <v>0</v>
      </c>
      <c r="R482" s="2" t="inlineStr"/>
    </row>
    <row r="483" ht="15" customHeight="1">
      <c r="A483" t="inlineStr">
        <is>
          <t>A 28855-2025</t>
        </is>
      </c>
      <c r="B483" s="1" t="n">
        <v>45820.58274305556</v>
      </c>
      <c r="C483" s="1" t="n">
        <v>46077</v>
      </c>
      <c r="D483" t="inlineStr">
        <is>
          <t>UPPSALA LÄN</t>
        </is>
      </c>
      <c r="E483" t="inlineStr">
        <is>
          <t>ENKÖPING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28758-2025</t>
        </is>
      </c>
      <c r="B484" s="1" t="n">
        <v>45820.41212962963</v>
      </c>
      <c r="C484" s="1" t="n">
        <v>46077</v>
      </c>
      <c r="D484" t="inlineStr">
        <is>
          <t>UPPSALA LÄN</t>
        </is>
      </c>
      <c r="E484" t="inlineStr">
        <is>
          <t>ENKÖPING</t>
        </is>
      </c>
      <c r="G484" t="n">
        <v>2.4</v>
      </c>
      <c r="H484" t="n">
        <v>0</v>
      </c>
      <c r="I484" t="n">
        <v>0</v>
      </c>
      <c r="J484" t="n">
        <v>0</v>
      </c>
      <c r="K484" t="n">
        <v>0</v>
      </c>
      <c r="L484" t="n">
        <v>0</v>
      </c>
      <c r="M484" t="n">
        <v>0</v>
      </c>
      <c r="N484" t="n">
        <v>0</v>
      </c>
      <c r="O484" t="n">
        <v>0</v>
      </c>
      <c r="P484" t="n">
        <v>0</v>
      </c>
      <c r="Q484" t="n">
        <v>0</v>
      </c>
      <c r="R484" s="2" t="inlineStr"/>
    </row>
    <row r="485" ht="15" customHeight="1">
      <c r="A485" t="inlineStr">
        <is>
          <t>A 39009-2024</t>
        </is>
      </c>
      <c r="B485" s="1" t="n">
        <v>45548</v>
      </c>
      <c r="C485" s="1" t="n">
        <v>46077</v>
      </c>
      <c r="D485" t="inlineStr">
        <is>
          <t>UPPSALA LÄN</t>
        </is>
      </c>
      <c r="E485" t="inlineStr">
        <is>
          <t>ENKÖPING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8537-2025</t>
        </is>
      </c>
      <c r="B486" s="1" t="n">
        <v>45709</v>
      </c>
      <c r="C486" s="1" t="n">
        <v>46077</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28862-2025</t>
        </is>
      </c>
      <c r="B487" s="1" t="n">
        <v>45820.59189814814</v>
      </c>
      <c r="C487" s="1" t="n">
        <v>46077</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29093-2025</t>
        </is>
      </c>
      <c r="B488" s="1" t="n">
        <v>45821.55743055556</v>
      </c>
      <c r="C488" s="1" t="n">
        <v>46077</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8309-2026</t>
        </is>
      </c>
      <c r="B489" s="1" t="n">
        <v>46064.59081018518</v>
      </c>
      <c r="C489" s="1" t="n">
        <v>46077</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2258-2026</t>
        </is>
      </c>
      <c r="B490" s="1" t="n">
        <v>46036</v>
      </c>
      <c r="C490" s="1" t="n">
        <v>46077</v>
      </c>
      <c r="D490" t="inlineStr">
        <is>
          <t>UPPSALA LÄN</t>
        </is>
      </c>
      <c r="E490" t="inlineStr">
        <is>
          <t>ENKÖPING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30837-2025</t>
        </is>
      </c>
      <c r="B491" s="1" t="n">
        <v>45831.7063425926</v>
      </c>
      <c r="C491" s="1" t="n">
        <v>46077</v>
      </c>
      <c r="D491" t="inlineStr">
        <is>
          <t>UPPSALA LÄN</t>
        </is>
      </c>
      <c r="E491" t="inlineStr">
        <is>
          <t>ENKÖPING</t>
        </is>
      </c>
      <c r="G491" t="n">
        <v>3.8</v>
      </c>
      <c r="H491" t="n">
        <v>0</v>
      </c>
      <c r="I491" t="n">
        <v>0</v>
      </c>
      <c r="J491" t="n">
        <v>0</v>
      </c>
      <c r="K491" t="n">
        <v>0</v>
      </c>
      <c r="L491" t="n">
        <v>0</v>
      </c>
      <c r="M491" t="n">
        <v>0</v>
      </c>
      <c r="N491" t="n">
        <v>0</v>
      </c>
      <c r="O491" t="n">
        <v>0</v>
      </c>
      <c r="P491" t="n">
        <v>0</v>
      </c>
      <c r="Q491" t="n">
        <v>0</v>
      </c>
      <c r="R491" s="2" t="inlineStr"/>
    </row>
    <row r="492" ht="15" customHeight="1">
      <c r="A492" t="inlineStr">
        <is>
          <t>A 9148-2026</t>
        </is>
      </c>
      <c r="B492" s="1" t="n">
        <v>46070.30946759259</v>
      </c>
      <c r="C492" s="1" t="n">
        <v>46077</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25989-2025</t>
        </is>
      </c>
      <c r="B493" s="1" t="n">
        <v>45804.65050925926</v>
      </c>
      <c r="C493" s="1" t="n">
        <v>46077</v>
      </c>
      <c r="D493" t="inlineStr">
        <is>
          <t>UPPSALA LÄN</t>
        </is>
      </c>
      <c r="E493" t="inlineStr">
        <is>
          <t>ENKÖPING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9257-2026</t>
        </is>
      </c>
      <c r="B494" s="1" t="n">
        <v>46070.51166666667</v>
      </c>
      <c r="C494" s="1" t="n">
        <v>46077</v>
      </c>
      <c r="D494" t="inlineStr">
        <is>
          <t>UPPSALA LÄN</t>
        </is>
      </c>
      <c r="E494" t="inlineStr">
        <is>
          <t>ENKÖPING</t>
        </is>
      </c>
      <c r="G494" t="n">
        <v>2.6</v>
      </c>
      <c r="H494" t="n">
        <v>0</v>
      </c>
      <c r="I494" t="n">
        <v>0</v>
      </c>
      <c r="J494" t="n">
        <v>0</v>
      </c>
      <c r="K494" t="n">
        <v>0</v>
      </c>
      <c r="L494" t="n">
        <v>0</v>
      </c>
      <c r="M494" t="n">
        <v>0</v>
      </c>
      <c r="N494" t="n">
        <v>0</v>
      </c>
      <c r="O494" t="n">
        <v>0</v>
      </c>
      <c r="P494" t="n">
        <v>0</v>
      </c>
      <c r="Q494" t="n">
        <v>0</v>
      </c>
      <c r="R494" s="2" t="inlineStr"/>
    </row>
    <row r="495" ht="15" customHeight="1">
      <c r="A495" t="inlineStr">
        <is>
          <t>A 25990-2025</t>
        </is>
      </c>
      <c r="B495" s="1" t="n">
        <v>45804.65229166667</v>
      </c>
      <c r="C495" s="1" t="n">
        <v>46077</v>
      </c>
      <c r="D495" t="inlineStr">
        <is>
          <t>UPPSALA LÄN</t>
        </is>
      </c>
      <c r="E495" t="inlineStr">
        <is>
          <t>ENKÖPING</t>
        </is>
      </c>
      <c r="G495" t="n">
        <v>1.8</v>
      </c>
      <c r="H495" t="n">
        <v>0</v>
      </c>
      <c r="I495" t="n">
        <v>0</v>
      </c>
      <c r="J495" t="n">
        <v>0</v>
      </c>
      <c r="K495" t="n">
        <v>0</v>
      </c>
      <c r="L495" t="n">
        <v>0</v>
      </c>
      <c r="M495" t="n">
        <v>0</v>
      </c>
      <c r="N495" t="n">
        <v>0</v>
      </c>
      <c r="O495" t="n">
        <v>0</v>
      </c>
      <c r="P495" t="n">
        <v>0</v>
      </c>
      <c r="Q495" t="n">
        <v>0</v>
      </c>
      <c r="R495" s="2" t="inlineStr"/>
    </row>
    <row r="496" ht="15" customHeight="1">
      <c r="A496" t="inlineStr">
        <is>
          <t>A 32031-2025</t>
        </is>
      </c>
      <c r="B496" s="1" t="n">
        <v>45835.41712962963</v>
      </c>
      <c r="C496" s="1" t="n">
        <v>46077</v>
      </c>
      <c r="D496" t="inlineStr">
        <is>
          <t>UPPSALA LÄN</t>
        </is>
      </c>
      <c r="E496" t="inlineStr">
        <is>
          <t>ENKÖPING</t>
        </is>
      </c>
      <c r="G496" t="n">
        <v>2.7</v>
      </c>
      <c r="H496" t="n">
        <v>0</v>
      </c>
      <c r="I496" t="n">
        <v>0</v>
      </c>
      <c r="J496" t="n">
        <v>0</v>
      </c>
      <c r="K496" t="n">
        <v>0</v>
      </c>
      <c r="L496" t="n">
        <v>0</v>
      </c>
      <c r="M496" t="n">
        <v>0</v>
      </c>
      <c r="N496" t="n">
        <v>0</v>
      </c>
      <c r="O496" t="n">
        <v>0</v>
      </c>
      <c r="P496" t="n">
        <v>0</v>
      </c>
      <c r="Q496" t="n">
        <v>0</v>
      </c>
      <c r="R496" s="2" t="inlineStr"/>
    </row>
    <row r="497" ht="15" customHeight="1">
      <c r="A497" t="inlineStr">
        <is>
          <t>A 32111-2025</t>
        </is>
      </c>
      <c r="B497" s="1" t="n">
        <v>45835</v>
      </c>
      <c r="C497" s="1" t="n">
        <v>46077</v>
      </c>
      <c r="D497" t="inlineStr">
        <is>
          <t>UPPSALA LÄN</t>
        </is>
      </c>
      <c r="E497" t="inlineStr">
        <is>
          <t>ENKÖPING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192-2026</t>
        </is>
      </c>
      <c r="B498" s="1" t="n">
        <v>46025</v>
      </c>
      <c r="C498" s="1" t="n">
        <v>46077</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9469-2026</t>
        </is>
      </c>
      <c r="B499" s="1" t="n">
        <v>46071.51248842593</v>
      </c>
      <c r="C499" s="1" t="n">
        <v>46077</v>
      </c>
      <c r="D499" t="inlineStr">
        <is>
          <t>UPPSALA LÄN</t>
        </is>
      </c>
      <c r="E499" t="inlineStr">
        <is>
          <t>ENKÖPING</t>
        </is>
      </c>
      <c r="G499" t="n">
        <v>3</v>
      </c>
      <c r="H499" t="n">
        <v>0</v>
      </c>
      <c r="I499" t="n">
        <v>0</v>
      </c>
      <c r="J499" t="n">
        <v>0</v>
      </c>
      <c r="K499" t="n">
        <v>0</v>
      </c>
      <c r="L499" t="n">
        <v>0</v>
      </c>
      <c r="M499" t="n">
        <v>0</v>
      </c>
      <c r="N499" t="n">
        <v>0</v>
      </c>
      <c r="O499" t="n">
        <v>0</v>
      </c>
      <c r="P499" t="n">
        <v>0</v>
      </c>
      <c r="Q499" t="n">
        <v>0</v>
      </c>
      <c r="R499" s="2" t="inlineStr"/>
    </row>
    <row r="500" ht="15" customHeight="1">
      <c r="A500" t="inlineStr">
        <is>
          <t>A 9474-2026</t>
        </is>
      </c>
      <c r="B500" s="1" t="n">
        <v>46071.52324074074</v>
      </c>
      <c r="C500" s="1" t="n">
        <v>46077</v>
      </c>
      <c r="D500" t="inlineStr">
        <is>
          <t>UPPSALA LÄN</t>
        </is>
      </c>
      <c r="E500" t="inlineStr">
        <is>
          <t>ENKÖPING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861-2026</t>
        </is>
      </c>
      <c r="B501" s="1" t="n">
        <v>46030</v>
      </c>
      <c r="C501" s="1" t="n">
        <v>46077</v>
      </c>
      <c r="D501" t="inlineStr">
        <is>
          <t>UPPSALA LÄN</t>
        </is>
      </c>
      <c r="E501" t="inlineStr">
        <is>
          <t>ENKÖPING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9467-2026</t>
        </is>
      </c>
      <c r="B502" s="1" t="n">
        <v>46071.50694444445</v>
      </c>
      <c r="C502" s="1" t="n">
        <v>46077</v>
      </c>
      <c r="D502" t="inlineStr">
        <is>
          <t>UPPSALA LÄN</t>
        </is>
      </c>
      <c r="E502" t="inlineStr">
        <is>
          <t>ENKÖPING</t>
        </is>
      </c>
      <c r="G502" t="n">
        <v>5.9</v>
      </c>
      <c r="H502" t="n">
        <v>0</v>
      </c>
      <c r="I502" t="n">
        <v>0</v>
      </c>
      <c r="J502" t="n">
        <v>0</v>
      </c>
      <c r="K502" t="n">
        <v>0</v>
      </c>
      <c r="L502" t="n">
        <v>0</v>
      </c>
      <c r="M502" t="n">
        <v>0</v>
      </c>
      <c r="N502" t="n">
        <v>0</v>
      </c>
      <c r="O502" t="n">
        <v>0</v>
      </c>
      <c r="P502" t="n">
        <v>0</v>
      </c>
      <c r="Q502" t="n">
        <v>0</v>
      </c>
      <c r="R502" s="2" t="inlineStr"/>
    </row>
    <row r="503" ht="15" customHeight="1">
      <c r="A503" t="inlineStr">
        <is>
          <t>A 15740-2025</t>
        </is>
      </c>
      <c r="B503" s="1" t="n">
        <v>45748</v>
      </c>
      <c r="C503" s="1" t="n">
        <v>46077</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57848-2024</t>
        </is>
      </c>
      <c r="B504" s="1" t="n">
        <v>45631.40947916666</v>
      </c>
      <c r="C504" s="1" t="n">
        <v>46077</v>
      </c>
      <c r="D504" t="inlineStr">
        <is>
          <t>UPPSALA LÄN</t>
        </is>
      </c>
      <c r="E504" t="inlineStr">
        <is>
          <t>ENKÖPING</t>
        </is>
      </c>
      <c r="G504" t="n">
        <v>1.2</v>
      </c>
      <c r="H504" t="n">
        <v>0</v>
      </c>
      <c r="I504" t="n">
        <v>0</v>
      </c>
      <c r="J504" t="n">
        <v>0</v>
      </c>
      <c r="K504" t="n">
        <v>0</v>
      </c>
      <c r="L504" t="n">
        <v>0</v>
      </c>
      <c r="M504" t="n">
        <v>0</v>
      </c>
      <c r="N504" t="n">
        <v>0</v>
      </c>
      <c r="O504" t="n">
        <v>0</v>
      </c>
      <c r="P504" t="n">
        <v>0</v>
      </c>
      <c r="Q504" t="n">
        <v>0</v>
      </c>
      <c r="R504" s="2" t="inlineStr"/>
    </row>
    <row r="505" ht="15" customHeight="1">
      <c r="A505" t="inlineStr">
        <is>
          <t>A 18994-2025</t>
        </is>
      </c>
      <c r="B505" s="1" t="n">
        <v>45764.57350694444</v>
      </c>
      <c r="C505" s="1" t="n">
        <v>46077</v>
      </c>
      <c r="D505" t="inlineStr">
        <is>
          <t>UPPSALA LÄN</t>
        </is>
      </c>
      <c r="E505" t="inlineStr">
        <is>
          <t>ENKÖPING</t>
        </is>
      </c>
      <c r="G505" t="n">
        <v>3.8</v>
      </c>
      <c r="H505" t="n">
        <v>0</v>
      </c>
      <c r="I505" t="n">
        <v>0</v>
      </c>
      <c r="J505" t="n">
        <v>0</v>
      </c>
      <c r="K505" t="n">
        <v>0</v>
      </c>
      <c r="L505" t="n">
        <v>0</v>
      </c>
      <c r="M505" t="n">
        <v>0</v>
      </c>
      <c r="N505" t="n">
        <v>0</v>
      </c>
      <c r="O505" t="n">
        <v>0</v>
      </c>
      <c r="P505" t="n">
        <v>0</v>
      </c>
      <c r="Q505" t="n">
        <v>0</v>
      </c>
      <c r="R505" s="2" t="inlineStr"/>
    </row>
    <row r="506" ht="15" customHeight="1">
      <c r="A506" t="inlineStr">
        <is>
          <t>A 49601-2024</t>
        </is>
      </c>
      <c r="B506" s="1" t="n">
        <v>45596.56288194445</v>
      </c>
      <c r="C506" s="1" t="n">
        <v>46077</v>
      </c>
      <c r="D506" t="inlineStr">
        <is>
          <t>UPPSALA LÄN</t>
        </is>
      </c>
      <c r="E506" t="inlineStr">
        <is>
          <t>ENKÖPING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17844-2025</t>
        </is>
      </c>
      <c r="B507" s="1" t="n">
        <v>45758.59920138889</v>
      </c>
      <c r="C507" s="1" t="n">
        <v>46077</v>
      </c>
      <c r="D507" t="inlineStr">
        <is>
          <t>UPPSALA LÄN</t>
        </is>
      </c>
      <c r="E507" t="inlineStr">
        <is>
          <t>ENKÖPING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27837-2025</t>
        </is>
      </c>
      <c r="B508" s="1" t="n">
        <v>45817.37207175926</v>
      </c>
      <c r="C508" s="1" t="n">
        <v>46077</v>
      </c>
      <c r="D508" t="inlineStr">
        <is>
          <t>UPPSALA LÄN</t>
        </is>
      </c>
      <c r="E508" t="inlineStr">
        <is>
          <t>ENKÖPING</t>
        </is>
      </c>
      <c r="G508" t="n">
        <v>7.3</v>
      </c>
      <c r="H508" t="n">
        <v>0</v>
      </c>
      <c r="I508" t="n">
        <v>0</v>
      </c>
      <c r="J508" t="n">
        <v>0</v>
      </c>
      <c r="K508" t="n">
        <v>0</v>
      </c>
      <c r="L508" t="n">
        <v>0</v>
      </c>
      <c r="M508" t="n">
        <v>0</v>
      </c>
      <c r="N508" t="n">
        <v>0</v>
      </c>
      <c r="O508" t="n">
        <v>0</v>
      </c>
      <c r="P508" t="n">
        <v>0</v>
      </c>
      <c r="Q508" t="n">
        <v>0</v>
      </c>
      <c r="R508" s="2" t="inlineStr"/>
    </row>
    <row r="509" ht="15" customHeight="1">
      <c r="A509" t="inlineStr">
        <is>
          <t>A 29513-2025</t>
        </is>
      </c>
      <c r="B509" s="1" t="n">
        <v>45825</v>
      </c>
      <c r="C509" s="1" t="n">
        <v>46077</v>
      </c>
      <c r="D509" t="inlineStr">
        <is>
          <t>UPPSALA LÄN</t>
        </is>
      </c>
      <c r="E509" t="inlineStr">
        <is>
          <t>ENKÖPING</t>
        </is>
      </c>
      <c r="G509" t="n">
        <v>2.6</v>
      </c>
      <c r="H509" t="n">
        <v>0</v>
      </c>
      <c r="I509" t="n">
        <v>0</v>
      </c>
      <c r="J509" t="n">
        <v>0</v>
      </c>
      <c r="K509" t="n">
        <v>0</v>
      </c>
      <c r="L509" t="n">
        <v>0</v>
      </c>
      <c r="M509" t="n">
        <v>0</v>
      </c>
      <c r="N509" t="n">
        <v>0</v>
      </c>
      <c r="O509" t="n">
        <v>0</v>
      </c>
      <c r="P509" t="n">
        <v>0</v>
      </c>
      <c r="Q509" t="n">
        <v>0</v>
      </c>
      <c r="R509" s="2" t="inlineStr"/>
    </row>
    <row r="510" ht="15" customHeight="1">
      <c r="A510" t="inlineStr">
        <is>
          <t>A 21501-2025</t>
        </is>
      </c>
      <c r="B510" s="1" t="n">
        <v>45782</v>
      </c>
      <c r="C510" s="1" t="n">
        <v>46077</v>
      </c>
      <c r="D510" t="inlineStr">
        <is>
          <t>UPPSALA LÄN</t>
        </is>
      </c>
      <c r="E510" t="inlineStr">
        <is>
          <t>ENKÖPING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34987-2025</t>
        </is>
      </c>
      <c r="B511" s="1" t="n">
        <v>45849</v>
      </c>
      <c r="C511" s="1" t="n">
        <v>46077</v>
      </c>
      <c r="D511" t="inlineStr">
        <is>
          <t>UPPSALA LÄN</t>
        </is>
      </c>
      <c r="E511" t="inlineStr">
        <is>
          <t>ENKÖPING</t>
        </is>
      </c>
      <c r="G511" t="n">
        <v>2.2</v>
      </c>
      <c r="H511" t="n">
        <v>0</v>
      </c>
      <c r="I511" t="n">
        <v>0</v>
      </c>
      <c r="J511" t="n">
        <v>0</v>
      </c>
      <c r="K511" t="n">
        <v>0</v>
      </c>
      <c r="L511" t="n">
        <v>0</v>
      </c>
      <c r="M511" t="n">
        <v>0</v>
      </c>
      <c r="N511" t="n">
        <v>0</v>
      </c>
      <c r="O511" t="n">
        <v>0</v>
      </c>
      <c r="P511" t="n">
        <v>0</v>
      </c>
      <c r="Q511" t="n">
        <v>0</v>
      </c>
      <c r="R511" s="2" t="inlineStr"/>
    </row>
    <row r="512" ht="15" customHeight="1">
      <c r="A512" t="inlineStr">
        <is>
          <t>A 34988-2025</t>
        </is>
      </c>
      <c r="B512" s="1" t="n">
        <v>45849</v>
      </c>
      <c r="C512" s="1" t="n">
        <v>46077</v>
      </c>
      <c r="D512" t="inlineStr">
        <is>
          <t>UPPSALA LÄN</t>
        </is>
      </c>
      <c r="E512" t="inlineStr">
        <is>
          <t>ENKÖPING</t>
        </is>
      </c>
      <c r="G512" t="n">
        <v>1.1</v>
      </c>
      <c r="H512" t="n">
        <v>0</v>
      </c>
      <c r="I512" t="n">
        <v>0</v>
      </c>
      <c r="J512" t="n">
        <v>0</v>
      </c>
      <c r="K512" t="n">
        <v>0</v>
      </c>
      <c r="L512" t="n">
        <v>0</v>
      </c>
      <c r="M512" t="n">
        <v>0</v>
      </c>
      <c r="N512" t="n">
        <v>0</v>
      </c>
      <c r="O512" t="n">
        <v>0</v>
      </c>
      <c r="P512" t="n">
        <v>0</v>
      </c>
      <c r="Q512" t="n">
        <v>0</v>
      </c>
      <c r="R512" s="2" t="inlineStr"/>
    </row>
    <row r="513" ht="15" customHeight="1">
      <c r="A513" t="inlineStr">
        <is>
          <t>A 36350-2025</t>
        </is>
      </c>
      <c r="B513" s="1" t="n">
        <v>45868</v>
      </c>
      <c r="C513" s="1" t="n">
        <v>46077</v>
      </c>
      <c r="D513" t="inlineStr">
        <is>
          <t>UPPSALA LÄN</t>
        </is>
      </c>
      <c r="E513" t="inlineStr">
        <is>
          <t>ENKÖPING</t>
        </is>
      </c>
      <c r="G513" t="n">
        <v>1.9</v>
      </c>
      <c r="H513" t="n">
        <v>0</v>
      </c>
      <c r="I513" t="n">
        <v>0</v>
      </c>
      <c r="J513" t="n">
        <v>0</v>
      </c>
      <c r="K513" t="n">
        <v>0</v>
      </c>
      <c r="L513" t="n">
        <v>0</v>
      </c>
      <c r="M513" t="n">
        <v>0</v>
      </c>
      <c r="N513" t="n">
        <v>0</v>
      </c>
      <c r="O513" t="n">
        <v>0</v>
      </c>
      <c r="P513" t="n">
        <v>0</v>
      </c>
      <c r="Q513" t="n">
        <v>0</v>
      </c>
      <c r="R513" s="2" t="inlineStr"/>
    </row>
    <row r="514" ht="15" customHeight="1">
      <c r="A514" t="inlineStr">
        <is>
          <t>A 36599-2025</t>
        </is>
      </c>
      <c r="B514" s="1" t="n">
        <v>45870.51723379629</v>
      </c>
      <c r="C514" s="1" t="n">
        <v>46077</v>
      </c>
      <c r="D514" t="inlineStr">
        <is>
          <t>UPPSALA LÄN</t>
        </is>
      </c>
      <c r="E514" t="inlineStr">
        <is>
          <t>ENKÖPING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36492-2025</t>
        </is>
      </c>
      <c r="B515" s="1" t="n">
        <v>45869</v>
      </c>
      <c r="C515" s="1" t="n">
        <v>46077</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37319-2025</t>
        </is>
      </c>
      <c r="B516" s="1" t="n">
        <v>45876</v>
      </c>
      <c r="C516" s="1" t="n">
        <v>46077</v>
      </c>
      <c r="D516" t="inlineStr">
        <is>
          <t>UPPSALA LÄN</t>
        </is>
      </c>
      <c r="E516" t="inlineStr">
        <is>
          <t>ENKÖPING</t>
        </is>
      </c>
      <c r="G516" t="n">
        <v>9.5</v>
      </c>
      <c r="H516" t="n">
        <v>0</v>
      </c>
      <c r="I516" t="n">
        <v>0</v>
      </c>
      <c r="J516" t="n">
        <v>0</v>
      </c>
      <c r="K516" t="n">
        <v>0</v>
      </c>
      <c r="L516" t="n">
        <v>0</v>
      </c>
      <c r="M516" t="n">
        <v>0</v>
      </c>
      <c r="N516" t="n">
        <v>0</v>
      </c>
      <c r="O516" t="n">
        <v>0</v>
      </c>
      <c r="P516" t="n">
        <v>0</v>
      </c>
      <c r="Q516" t="n">
        <v>0</v>
      </c>
      <c r="R516" s="2" t="inlineStr"/>
    </row>
    <row r="517" ht="15" customHeight="1">
      <c r="A517" t="inlineStr">
        <is>
          <t>A 37296-2025</t>
        </is>
      </c>
      <c r="B517" s="1" t="n">
        <v>45876</v>
      </c>
      <c r="C517" s="1" t="n">
        <v>46077</v>
      </c>
      <c r="D517" t="inlineStr">
        <is>
          <t>UPPSALA LÄN</t>
        </is>
      </c>
      <c r="E517" t="inlineStr">
        <is>
          <t>ENKÖPING</t>
        </is>
      </c>
      <c r="G517" t="n">
        <v>9.5</v>
      </c>
      <c r="H517" t="n">
        <v>0</v>
      </c>
      <c r="I517" t="n">
        <v>0</v>
      </c>
      <c r="J517" t="n">
        <v>0</v>
      </c>
      <c r="K517" t="n">
        <v>0</v>
      </c>
      <c r="L517" t="n">
        <v>0</v>
      </c>
      <c r="M517" t="n">
        <v>0</v>
      </c>
      <c r="N517" t="n">
        <v>0</v>
      </c>
      <c r="O517" t="n">
        <v>0</v>
      </c>
      <c r="P517" t="n">
        <v>0</v>
      </c>
      <c r="Q517" t="n">
        <v>0</v>
      </c>
      <c r="R517" s="2" t="inlineStr"/>
    </row>
    <row r="518" ht="15" customHeight="1">
      <c r="A518" t="inlineStr">
        <is>
          <t>A 37498-2025</t>
        </is>
      </c>
      <c r="B518" s="1" t="n">
        <v>45877</v>
      </c>
      <c r="C518" s="1" t="n">
        <v>46077</v>
      </c>
      <c r="D518" t="inlineStr">
        <is>
          <t>UPPSALA LÄN</t>
        </is>
      </c>
      <c r="E518" t="inlineStr">
        <is>
          <t>ENKÖPING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49622-2024</t>
        </is>
      </c>
      <c r="B519" s="1" t="n">
        <v>45596.58372685185</v>
      </c>
      <c r="C519" s="1" t="n">
        <v>46077</v>
      </c>
      <c r="D519" t="inlineStr">
        <is>
          <t>UPPSALA LÄN</t>
        </is>
      </c>
      <c r="E519" t="inlineStr">
        <is>
          <t>ENKÖPING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21017-2023</t>
        </is>
      </c>
      <c r="B520" s="1" t="n">
        <v>45061</v>
      </c>
      <c r="C520" s="1" t="n">
        <v>46077</v>
      </c>
      <c r="D520" t="inlineStr">
        <is>
          <t>UPPSALA LÄN</t>
        </is>
      </c>
      <c r="E520" t="inlineStr">
        <is>
          <t>ENKÖPING</t>
        </is>
      </c>
      <c r="G520" t="n">
        <v>4.8</v>
      </c>
      <c r="H520" t="n">
        <v>0</v>
      </c>
      <c r="I520" t="n">
        <v>0</v>
      </c>
      <c r="J520" t="n">
        <v>0</v>
      </c>
      <c r="K520" t="n">
        <v>0</v>
      </c>
      <c r="L520" t="n">
        <v>0</v>
      </c>
      <c r="M520" t="n">
        <v>0</v>
      </c>
      <c r="N520" t="n">
        <v>0</v>
      </c>
      <c r="O520" t="n">
        <v>0</v>
      </c>
      <c r="P520" t="n">
        <v>0</v>
      </c>
      <c r="Q520" t="n">
        <v>0</v>
      </c>
      <c r="R520" s="2" t="inlineStr"/>
    </row>
    <row r="521">
      <c r="A521" t="inlineStr">
        <is>
          <t>A 56176-2021</t>
        </is>
      </c>
      <c r="B521" s="1" t="n">
        <v>44477</v>
      </c>
      <c r="C521" s="1" t="n">
        <v>46077</v>
      </c>
      <c r="D521" t="inlineStr">
        <is>
          <t>UPPSALA LÄN</t>
        </is>
      </c>
      <c r="E521" t="inlineStr">
        <is>
          <t>ENKÖPING</t>
        </is>
      </c>
      <c r="G521" t="n">
        <v>2.9</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2026-02-24T11:12:13Z</dcterms:created>
  <dcterms:modified xmlns:dcterms="http://purl.org/dc/terms/" xmlns:xsi="http://www.w3.org/2001/XMLSchema-instance" xsi:type="dcterms:W3CDTF">2026-02-24T11:12:13Z</dcterms:modified>
</cp:coreProperties>
</file>