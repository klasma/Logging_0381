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46181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46181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46181</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46181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46181</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46181</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46181</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46181</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46181</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46181</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46181</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9147-2026</t>
        </is>
      </c>
      <c r="B13" s="1" t="n">
        <v>46070.30649305556</v>
      </c>
      <c r="C13" s="1" t="n">
        <v>46181</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46181</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50105-2023</t>
        </is>
      </c>
      <c r="B15" s="1" t="n">
        <v>45215</v>
      </c>
      <c r="C15" s="1" t="n">
        <v>46181</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46181</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27073-2025</t>
        </is>
      </c>
      <c r="B17" s="1" t="n">
        <v>45811.64190972222</v>
      </c>
      <c r="C17" s="1" t="n">
        <v>46181</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21970-2025</t>
        </is>
      </c>
      <c r="B18" s="1" t="n">
        <v>45784.63335648148</v>
      </c>
      <c r="C18" s="1" t="n">
        <v>46181</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46181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27060-2025</t>
        </is>
      </c>
      <c r="B20" s="1" t="n">
        <v>45811.63590277778</v>
      </c>
      <c r="C20" s="1" t="n">
        <v>46181</v>
      </c>
      <c r="D20" t="inlineStr">
        <is>
          <t>UPPSALA LÄN</t>
        </is>
      </c>
      <c r="E20" t="inlineStr">
        <is>
          <t>ENKÖPING</t>
        </is>
      </c>
      <c r="G20" t="n">
        <v>2.6</v>
      </c>
      <c r="H20" t="n">
        <v>0</v>
      </c>
      <c r="I20" t="n">
        <v>1</v>
      </c>
      <c r="J20" t="n">
        <v>0</v>
      </c>
      <c r="K20" t="n">
        <v>0</v>
      </c>
      <c r="L20" t="n">
        <v>0</v>
      </c>
      <c r="M20" t="n">
        <v>0</v>
      </c>
      <c r="N20" t="n">
        <v>0</v>
      </c>
      <c r="O20" t="n">
        <v>0</v>
      </c>
      <c r="P20" t="n">
        <v>0</v>
      </c>
      <c r="Q20" t="n">
        <v>1</v>
      </c>
      <c r="R20" s="2" t="inlineStr">
        <is>
          <t>Granbarkgnagare</t>
        </is>
      </c>
      <c r="S20">
        <f>HYPERLINK("https://klasma.github.io/Logging_0381/artfynd/A 27060-2025 artfynd.xlsx", "A 27060-2025")</f>
        <v/>
      </c>
      <c r="T20">
        <f>HYPERLINK("https://klasma.github.io/Logging_0381/kartor/A 27060-2025 karta.png", "A 27060-2025")</f>
        <v/>
      </c>
      <c r="V20">
        <f>HYPERLINK("https://klasma.github.io/Logging_0381/klagomål/A 27060-2025 FSC-klagomål.docx", "A 27060-2025")</f>
        <v/>
      </c>
      <c r="W20">
        <f>HYPERLINK("https://klasma.github.io/Logging_0381/klagomålsmail/A 27060-2025 FSC-klagomål mail.docx", "A 27060-2025")</f>
        <v/>
      </c>
      <c r="X20">
        <f>HYPERLINK("https://klasma.github.io/Logging_0381/tillsyn/A 27060-2025 tillsynsbegäran.docx", "A 27060-2025")</f>
        <v/>
      </c>
      <c r="Y20">
        <f>HYPERLINK("https://klasma.github.io/Logging_0381/tillsynsmail/A 27060-2025 tillsynsbegäran mail.docx", "A 27060-2025")</f>
        <v/>
      </c>
    </row>
    <row r="21" ht="15" customHeight="1">
      <c r="A21" t="inlineStr">
        <is>
          <t>A 4166-2026</t>
        </is>
      </c>
      <c r="B21" s="1" t="n">
        <v>46044.66402777778</v>
      </c>
      <c r="C21" s="1" t="n">
        <v>46181</v>
      </c>
      <c r="D21" t="inlineStr">
        <is>
          <t>UPPSALA LÄN</t>
        </is>
      </c>
      <c r="E21" t="inlineStr">
        <is>
          <t>ENKÖPING</t>
        </is>
      </c>
      <c r="G21" t="n">
        <v>1.7</v>
      </c>
      <c r="H21" t="n">
        <v>1</v>
      </c>
      <c r="I21" t="n">
        <v>0</v>
      </c>
      <c r="J21" t="n">
        <v>1</v>
      </c>
      <c r="K21" t="n">
        <v>0</v>
      </c>
      <c r="L21" t="n">
        <v>0</v>
      </c>
      <c r="M21" t="n">
        <v>0</v>
      </c>
      <c r="N21" t="n">
        <v>0</v>
      </c>
      <c r="O21" t="n">
        <v>1</v>
      </c>
      <c r="P21" t="n">
        <v>0</v>
      </c>
      <c r="Q21" t="n">
        <v>1</v>
      </c>
      <c r="R21" s="2" t="inlineStr">
        <is>
          <t>Gulsparv</t>
        </is>
      </c>
      <c r="S21">
        <f>HYPERLINK("https://klasma.github.io/Logging_0381/artfynd/A 4166-2026 artfynd.xlsx", "A 4166-2026")</f>
        <v/>
      </c>
      <c r="T21">
        <f>HYPERLINK("https://klasma.github.io/Logging_0381/kartor/A 4166-2026 karta.png", "A 4166-2026")</f>
        <v/>
      </c>
      <c r="V21">
        <f>HYPERLINK("https://klasma.github.io/Logging_0381/klagomål/A 4166-2026 FSC-klagomål.docx", "A 4166-2026")</f>
        <v/>
      </c>
      <c r="W21">
        <f>HYPERLINK("https://klasma.github.io/Logging_0381/klagomålsmail/A 4166-2026 FSC-klagomål mail.docx", "A 4166-2026")</f>
        <v/>
      </c>
      <c r="X21">
        <f>HYPERLINK("https://klasma.github.io/Logging_0381/tillsyn/A 4166-2026 tillsynsbegäran.docx", "A 4166-2026")</f>
        <v/>
      </c>
      <c r="Y21">
        <f>HYPERLINK("https://klasma.github.io/Logging_0381/tillsynsmail/A 4166-2026 tillsynsbegäran mail.docx", "A 4166-2026")</f>
        <v/>
      </c>
      <c r="Z21">
        <f>HYPERLINK("https://klasma.github.io/Logging_0381/fåglar/A 4166-2026 prioriterade fågelarter.docx", "A 4166-2026")</f>
        <v/>
      </c>
    </row>
    <row r="22" ht="15" customHeight="1">
      <c r="A22" t="inlineStr">
        <is>
          <t>A 29510-2025</t>
        </is>
      </c>
      <c r="B22" s="1" t="n">
        <v>45825</v>
      </c>
      <c r="C22" s="1" t="n">
        <v>46181</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23961-2022</t>
        </is>
      </c>
      <c r="B23" s="1" t="n">
        <v>44722</v>
      </c>
      <c r="C23" s="1" t="n">
        <v>46181</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46181</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46181</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46181</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33339-2024</t>
        </is>
      </c>
      <c r="B27" s="1" t="n">
        <v>45519</v>
      </c>
      <c r="C27" s="1" t="n">
        <v>46181</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46181</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26347-2025</t>
        </is>
      </c>
      <c r="B29" s="1" t="n">
        <v>45805.7403125</v>
      </c>
      <c r="C29" s="1" t="n">
        <v>46181</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55582-2021</t>
        </is>
      </c>
      <c r="B30" s="1" t="n">
        <v>44475</v>
      </c>
      <c r="C30" s="1" t="n">
        <v>46181</v>
      </c>
      <c r="D30" t="inlineStr">
        <is>
          <t>UPPSALA LÄN</t>
        </is>
      </c>
      <c r="E30" t="inlineStr">
        <is>
          <t>ENKÖPING</t>
        </is>
      </c>
      <c r="G30" t="n">
        <v>1.3</v>
      </c>
      <c r="H30" t="n">
        <v>0</v>
      </c>
      <c r="I30" t="n">
        <v>0</v>
      </c>
      <c r="J30" t="n">
        <v>0</v>
      </c>
      <c r="K30" t="n">
        <v>0</v>
      </c>
      <c r="L30" t="n">
        <v>0</v>
      </c>
      <c r="M30" t="n">
        <v>0</v>
      </c>
      <c r="N30" t="n">
        <v>0</v>
      </c>
      <c r="O30" t="n">
        <v>0</v>
      </c>
      <c r="P30" t="n">
        <v>0</v>
      </c>
      <c r="Q30" t="n">
        <v>0</v>
      </c>
      <c r="R30" s="2" t="inlineStr"/>
    </row>
    <row r="31" ht="15" customHeight="1">
      <c r="A31" t="inlineStr">
        <is>
          <t>A 56176-2021</t>
        </is>
      </c>
      <c r="B31" s="1" t="n">
        <v>44477</v>
      </c>
      <c r="C31" s="1" t="n">
        <v>46181</v>
      </c>
      <c r="D31" t="inlineStr">
        <is>
          <t>UPPSALA LÄN</t>
        </is>
      </c>
      <c r="E31" t="inlineStr">
        <is>
          <t>ENKÖPING</t>
        </is>
      </c>
      <c r="G31" t="n">
        <v>2.9</v>
      </c>
      <c r="H31" t="n">
        <v>0</v>
      </c>
      <c r="I31" t="n">
        <v>0</v>
      </c>
      <c r="J31" t="n">
        <v>0</v>
      </c>
      <c r="K31" t="n">
        <v>0</v>
      </c>
      <c r="L31" t="n">
        <v>0</v>
      </c>
      <c r="M31" t="n">
        <v>0</v>
      </c>
      <c r="N31" t="n">
        <v>0</v>
      </c>
      <c r="O31" t="n">
        <v>0</v>
      </c>
      <c r="P31" t="n">
        <v>0</v>
      </c>
      <c r="Q31" t="n">
        <v>0</v>
      </c>
      <c r="R31" s="2" t="inlineStr"/>
    </row>
    <row r="32" ht="15" customHeight="1">
      <c r="A32" t="inlineStr">
        <is>
          <t>A 61553-2021</t>
        </is>
      </c>
      <c r="B32" s="1" t="n">
        <v>44501</v>
      </c>
      <c r="C32" s="1" t="n">
        <v>46181</v>
      </c>
      <c r="D32" t="inlineStr">
        <is>
          <t>UPPSALA LÄN</t>
        </is>
      </c>
      <c r="E32" t="inlineStr">
        <is>
          <t>ENKÖPING</t>
        </is>
      </c>
      <c r="G32" t="n">
        <v>1.3</v>
      </c>
      <c r="H32" t="n">
        <v>0</v>
      </c>
      <c r="I32" t="n">
        <v>0</v>
      </c>
      <c r="J32" t="n">
        <v>0</v>
      </c>
      <c r="K32" t="n">
        <v>0</v>
      </c>
      <c r="L32" t="n">
        <v>0</v>
      </c>
      <c r="M32" t="n">
        <v>0</v>
      </c>
      <c r="N32" t="n">
        <v>0</v>
      </c>
      <c r="O32" t="n">
        <v>0</v>
      </c>
      <c r="P32" t="n">
        <v>0</v>
      </c>
      <c r="Q32" t="n">
        <v>0</v>
      </c>
      <c r="R32" s="2" t="inlineStr"/>
    </row>
    <row r="33" ht="15" customHeight="1">
      <c r="A33" t="inlineStr">
        <is>
          <t>A 61076-2021</t>
        </is>
      </c>
      <c r="B33" s="1" t="n">
        <v>44497.84542824074</v>
      </c>
      <c r="C33" s="1" t="n">
        <v>46181</v>
      </c>
      <c r="D33" t="inlineStr">
        <is>
          <t>UPPSALA LÄN</t>
        </is>
      </c>
      <c r="E33" t="inlineStr">
        <is>
          <t>ENKÖPING</t>
        </is>
      </c>
      <c r="G33" t="n">
        <v>0.2</v>
      </c>
      <c r="H33" t="n">
        <v>0</v>
      </c>
      <c r="I33" t="n">
        <v>0</v>
      </c>
      <c r="J33" t="n">
        <v>0</v>
      </c>
      <c r="K33" t="n">
        <v>0</v>
      </c>
      <c r="L33" t="n">
        <v>0</v>
      </c>
      <c r="M33" t="n">
        <v>0</v>
      </c>
      <c r="N33" t="n">
        <v>0</v>
      </c>
      <c r="O33" t="n">
        <v>0</v>
      </c>
      <c r="P33" t="n">
        <v>0</v>
      </c>
      <c r="Q33" t="n">
        <v>0</v>
      </c>
      <c r="R33" s="2" t="inlineStr"/>
    </row>
    <row r="34" ht="15" customHeight="1">
      <c r="A34" t="inlineStr">
        <is>
          <t>A 37570-2021</t>
        </is>
      </c>
      <c r="B34" s="1" t="n">
        <v>44399</v>
      </c>
      <c r="C34" s="1" t="n">
        <v>46181</v>
      </c>
      <c r="D34" t="inlineStr">
        <is>
          <t>UPPSALA LÄN</t>
        </is>
      </c>
      <c r="E34" t="inlineStr">
        <is>
          <t>ENKÖPING</t>
        </is>
      </c>
      <c r="G34" t="n">
        <v>0.4</v>
      </c>
      <c r="H34" t="n">
        <v>0</v>
      </c>
      <c r="I34" t="n">
        <v>0</v>
      </c>
      <c r="J34" t="n">
        <v>0</v>
      </c>
      <c r="K34" t="n">
        <v>0</v>
      </c>
      <c r="L34" t="n">
        <v>0</v>
      </c>
      <c r="M34" t="n">
        <v>0</v>
      </c>
      <c r="N34" t="n">
        <v>0</v>
      </c>
      <c r="O34" t="n">
        <v>0</v>
      </c>
      <c r="P34" t="n">
        <v>0</v>
      </c>
      <c r="Q34" t="n">
        <v>0</v>
      </c>
      <c r="R34" s="2" t="inlineStr"/>
    </row>
    <row r="35" ht="15" customHeight="1">
      <c r="A35" t="inlineStr">
        <is>
          <t>A 37571-2021</t>
        </is>
      </c>
      <c r="B35" s="1" t="n">
        <v>44399.58929398148</v>
      </c>
      <c r="C35" s="1" t="n">
        <v>46181</v>
      </c>
      <c r="D35" t="inlineStr">
        <is>
          <t>UPPSALA LÄN</t>
        </is>
      </c>
      <c r="E35" t="inlineStr">
        <is>
          <t>ENKÖPING</t>
        </is>
      </c>
      <c r="G35" t="n">
        <v>4.6</v>
      </c>
      <c r="H35" t="n">
        <v>0</v>
      </c>
      <c r="I35" t="n">
        <v>0</v>
      </c>
      <c r="J35" t="n">
        <v>0</v>
      </c>
      <c r="K35" t="n">
        <v>0</v>
      </c>
      <c r="L35" t="n">
        <v>0</v>
      </c>
      <c r="M35" t="n">
        <v>0</v>
      </c>
      <c r="N35" t="n">
        <v>0</v>
      </c>
      <c r="O35" t="n">
        <v>0</v>
      </c>
      <c r="P35" t="n">
        <v>0</v>
      </c>
      <c r="Q35" t="n">
        <v>0</v>
      </c>
      <c r="R35" s="2" t="inlineStr"/>
    </row>
    <row r="36" ht="15" customHeight="1">
      <c r="A36" t="inlineStr">
        <is>
          <t>A 32748-2021</t>
        </is>
      </c>
      <c r="B36" s="1" t="n">
        <v>44375.53055555555</v>
      </c>
      <c r="C36" s="1" t="n">
        <v>46181</v>
      </c>
      <c r="D36" t="inlineStr">
        <is>
          <t>UPPSALA LÄN</t>
        </is>
      </c>
      <c r="E36" t="inlineStr">
        <is>
          <t>ENKÖPING</t>
        </is>
      </c>
      <c r="G36" t="n">
        <v>1.1</v>
      </c>
      <c r="H36" t="n">
        <v>0</v>
      </c>
      <c r="I36" t="n">
        <v>0</v>
      </c>
      <c r="J36" t="n">
        <v>0</v>
      </c>
      <c r="K36" t="n">
        <v>0</v>
      </c>
      <c r="L36" t="n">
        <v>0</v>
      </c>
      <c r="M36" t="n">
        <v>0</v>
      </c>
      <c r="N36" t="n">
        <v>0</v>
      </c>
      <c r="O36" t="n">
        <v>0</v>
      </c>
      <c r="P36" t="n">
        <v>0</v>
      </c>
      <c r="Q36" t="n">
        <v>0</v>
      </c>
      <c r="R36" s="2" t="inlineStr"/>
    </row>
    <row r="37" ht="15" customHeight="1">
      <c r="A37" t="inlineStr">
        <is>
          <t>A 54433-2021</t>
        </is>
      </c>
      <c r="B37" s="1" t="n">
        <v>44473</v>
      </c>
      <c r="C37" s="1" t="n">
        <v>46181</v>
      </c>
      <c r="D37" t="inlineStr">
        <is>
          <t>UPPSALA LÄN</t>
        </is>
      </c>
      <c r="E37" t="inlineStr">
        <is>
          <t>ENKÖPING</t>
        </is>
      </c>
      <c r="G37" t="n">
        <v>1</v>
      </c>
      <c r="H37" t="n">
        <v>0</v>
      </c>
      <c r="I37" t="n">
        <v>0</v>
      </c>
      <c r="J37" t="n">
        <v>0</v>
      </c>
      <c r="K37" t="n">
        <v>0</v>
      </c>
      <c r="L37" t="n">
        <v>0</v>
      </c>
      <c r="M37" t="n">
        <v>0</v>
      </c>
      <c r="N37" t="n">
        <v>0</v>
      </c>
      <c r="O37" t="n">
        <v>0</v>
      </c>
      <c r="P37" t="n">
        <v>0</v>
      </c>
      <c r="Q37" t="n">
        <v>0</v>
      </c>
      <c r="R37" s="2" t="inlineStr"/>
    </row>
    <row r="38" ht="15" customHeight="1">
      <c r="A38" t="inlineStr">
        <is>
          <t>A 10202-2022</t>
        </is>
      </c>
      <c r="B38" s="1" t="n">
        <v>44622</v>
      </c>
      <c r="C38" s="1" t="n">
        <v>46181</v>
      </c>
      <c r="D38" t="inlineStr">
        <is>
          <t>UPPSALA LÄN</t>
        </is>
      </c>
      <c r="E38" t="inlineStr">
        <is>
          <t>ENKÖPING</t>
        </is>
      </c>
      <c r="G38" t="n">
        <v>5.6</v>
      </c>
      <c r="H38" t="n">
        <v>0</v>
      </c>
      <c r="I38" t="n">
        <v>0</v>
      </c>
      <c r="J38" t="n">
        <v>0</v>
      </c>
      <c r="K38" t="n">
        <v>0</v>
      </c>
      <c r="L38" t="n">
        <v>0</v>
      </c>
      <c r="M38" t="n">
        <v>0</v>
      </c>
      <c r="N38" t="n">
        <v>0</v>
      </c>
      <c r="O38" t="n">
        <v>0</v>
      </c>
      <c r="P38" t="n">
        <v>0</v>
      </c>
      <c r="Q38" t="n">
        <v>0</v>
      </c>
      <c r="R38" s="2" t="inlineStr"/>
    </row>
    <row r="39" ht="15" customHeight="1">
      <c r="A39" t="inlineStr">
        <is>
          <t>A 10207-2022</t>
        </is>
      </c>
      <c r="B39" s="1" t="n">
        <v>44622</v>
      </c>
      <c r="C39" s="1" t="n">
        <v>46181</v>
      </c>
      <c r="D39" t="inlineStr">
        <is>
          <t>UPPSALA LÄN</t>
        </is>
      </c>
      <c r="E39" t="inlineStr">
        <is>
          <t>ENKÖPING</t>
        </is>
      </c>
      <c r="G39" t="n">
        <v>4.9</v>
      </c>
      <c r="H39" t="n">
        <v>0</v>
      </c>
      <c r="I39" t="n">
        <v>0</v>
      </c>
      <c r="J39" t="n">
        <v>0</v>
      </c>
      <c r="K39" t="n">
        <v>0</v>
      </c>
      <c r="L39" t="n">
        <v>0</v>
      </c>
      <c r="M39" t="n">
        <v>0</v>
      </c>
      <c r="N39" t="n">
        <v>0</v>
      </c>
      <c r="O39" t="n">
        <v>0</v>
      </c>
      <c r="P39" t="n">
        <v>0</v>
      </c>
      <c r="Q39" t="n">
        <v>0</v>
      </c>
      <c r="R39" s="2" t="inlineStr"/>
    </row>
    <row r="40" ht="15" customHeight="1">
      <c r="A40" t="inlineStr">
        <is>
          <t>A 17704-2022</t>
        </is>
      </c>
      <c r="B40" s="1" t="n">
        <v>44680.61315972222</v>
      </c>
      <c r="C40" s="1" t="n">
        <v>46181</v>
      </c>
      <c r="D40" t="inlineStr">
        <is>
          <t>UPPSALA LÄN</t>
        </is>
      </c>
      <c r="E40" t="inlineStr">
        <is>
          <t>ENKÖPING</t>
        </is>
      </c>
      <c r="G40" t="n">
        <v>0.8</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46181</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46749-2022</t>
        </is>
      </c>
      <c r="B42" s="1" t="n">
        <v>44851</v>
      </c>
      <c r="C42" s="1" t="n">
        <v>46181</v>
      </c>
      <c r="D42" t="inlineStr">
        <is>
          <t>UPPSALA LÄN</t>
        </is>
      </c>
      <c r="E42" t="inlineStr">
        <is>
          <t>ENKÖPING</t>
        </is>
      </c>
      <c r="G42" t="n">
        <v>6.6</v>
      </c>
      <c r="H42" t="n">
        <v>0</v>
      </c>
      <c r="I42" t="n">
        <v>0</v>
      </c>
      <c r="J42" t="n">
        <v>0</v>
      </c>
      <c r="K42" t="n">
        <v>0</v>
      </c>
      <c r="L42" t="n">
        <v>0</v>
      </c>
      <c r="M42" t="n">
        <v>0</v>
      </c>
      <c r="N42" t="n">
        <v>0</v>
      </c>
      <c r="O42" t="n">
        <v>0</v>
      </c>
      <c r="P42" t="n">
        <v>0</v>
      </c>
      <c r="Q42" t="n">
        <v>0</v>
      </c>
      <c r="R42" s="2" t="inlineStr"/>
    </row>
    <row r="43" ht="15" customHeight="1">
      <c r="A43" t="inlineStr">
        <is>
          <t>A 18785-2022</t>
        </is>
      </c>
      <c r="B43" s="1" t="n">
        <v>44687</v>
      </c>
      <c r="C43" s="1" t="n">
        <v>46181</v>
      </c>
      <c r="D43" t="inlineStr">
        <is>
          <t>UPPSALA LÄN</t>
        </is>
      </c>
      <c r="E43" t="inlineStr">
        <is>
          <t>ENKÖPING</t>
        </is>
      </c>
      <c r="G43" t="n">
        <v>3.4</v>
      </c>
      <c r="H43" t="n">
        <v>0</v>
      </c>
      <c r="I43" t="n">
        <v>0</v>
      </c>
      <c r="J43" t="n">
        <v>0</v>
      </c>
      <c r="K43" t="n">
        <v>0</v>
      </c>
      <c r="L43" t="n">
        <v>0</v>
      </c>
      <c r="M43" t="n">
        <v>0</v>
      </c>
      <c r="N43" t="n">
        <v>0</v>
      </c>
      <c r="O43" t="n">
        <v>0</v>
      </c>
      <c r="P43" t="n">
        <v>0</v>
      </c>
      <c r="Q43" t="n">
        <v>0</v>
      </c>
      <c r="R43" s="2" t="inlineStr"/>
    </row>
    <row r="44" ht="15" customHeight="1">
      <c r="A44" t="inlineStr">
        <is>
          <t>A 39922-2022</t>
        </is>
      </c>
      <c r="B44" s="1" t="n">
        <v>44819</v>
      </c>
      <c r="C44" s="1" t="n">
        <v>46181</v>
      </c>
      <c r="D44" t="inlineStr">
        <is>
          <t>UPPSALA LÄN</t>
        </is>
      </c>
      <c r="E44" t="inlineStr">
        <is>
          <t>ENKÖPING</t>
        </is>
      </c>
      <c r="G44" t="n">
        <v>1.7</v>
      </c>
      <c r="H44" t="n">
        <v>0</v>
      </c>
      <c r="I44" t="n">
        <v>0</v>
      </c>
      <c r="J44" t="n">
        <v>0</v>
      </c>
      <c r="K44" t="n">
        <v>0</v>
      </c>
      <c r="L44" t="n">
        <v>0</v>
      </c>
      <c r="M44" t="n">
        <v>0</v>
      </c>
      <c r="N44" t="n">
        <v>0</v>
      </c>
      <c r="O44" t="n">
        <v>0</v>
      </c>
      <c r="P44" t="n">
        <v>0</v>
      </c>
      <c r="Q44" t="n">
        <v>0</v>
      </c>
      <c r="R44" s="2" t="inlineStr"/>
    </row>
    <row r="45" ht="15" customHeight="1">
      <c r="A45" t="inlineStr">
        <is>
          <t>A 41736-2022</t>
        </is>
      </c>
      <c r="B45" s="1" t="n">
        <v>44827</v>
      </c>
      <c r="C45" s="1" t="n">
        <v>46181</v>
      </c>
      <c r="D45" t="inlineStr">
        <is>
          <t>UPPSALA LÄN</t>
        </is>
      </c>
      <c r="E45" t="inlineStr">
        <is>
          <t>ENKÖPING</t>
        </is>
      </c>
      <c r="G45" t="n">
        <v>0.9</v>
      </c>
      <c r="H45" t="n">
        <v>0</v>
      </c>
      <c r="I45" t="n">
        <v>0</v>
      </c>
      <c r="J45" t="n">
        <v>0</v>
      </c>
      <c r="K45" t="n">
        <v>0</v>
      </c>
      <c r="L45" t="n">
        <v>0</v>
      </c>
      <c r="M45" t="n">
        <v>0</v>
      </c>
      <c r="N45" t="n">
        <v>0</v>
      </c>
      <c r="O45" t="n">
        <v>0</v>
      </c>
      <c r="P45" t="n">
        <v>0</v>
      </c>
      <c r="Q45" t="n">
        <v>0</v>
      </c>
      <c r="R45" s="2" t="inlineStr"/>
    </row>
    <row r="46" ht="15" customHeight="1">
      <c r="A46" t="inlineStr">
        <is>
          <t>A 3861-2022</t>
        </is>
      </c>
      <c r="B46" s="1" t="n">
        <v>44587</v>
      </c>
      <c r="C46" s="1" t="n">
        <v>46181</v>
      </c>
      <c r="D46" t="inlineStr">
        <is>
          <t>UPPSALA LÄN</t>
        </is>
      </c>
      <c r="E46" t="inlineStr">
        <is>
          <t>ENKÖPING</t>
        </is>
      </c>
      <c r="G46" t="n">
        <v>0.5</v>
      </c>
      <c r="H46" t="n">
        <v>0</v>
      </c>
      <c r="I46" t="n">
        <v>0</v>
      </c>
      <c r="J46" t="n">
        <v>0</v>
      </c>
      <c r="K46" t="n">
        <v>0</v>
      </c>
      <c r="L46" t="n">
        <v>0</v>
      </c>
      <c r="M46" t="n">
        <v>0</v>
      </c>
      <c r="N46" t="n">
        <v>0</v>
      </c>
      <c r="O46" t="n">
        <v>0</v>
      </c>
      <c r="P46" t="n">
        <v>0</v>
      </c>
      <c r="Q46" t="n">
        <v>0</v>
      </c>
      <c r="R46" s="2" t="inlineStr"/>
    </row>
    <row r="47" ht="15" customHeight="1">
      <c r="A47" t="inlineStr">
        <is>
          <t>A 498-2022</t>
        </is>
      </c>
      <c r="B47" s="1" t="n">
        <v>44566</v>
      </c>
      <c r="C47" s="1" t="n">
        <v>46181</v>
      </c>
      <c r="D47" t="inlineStr">
        <is>
          <t>UPPSALA LÄN</t>
        </is>
      </c>
      <c r="E47" t="inlineStr">
        <is>
          <t>ENKÖPING</t>
        </is>
      </c>
      <c r="F47" t="inlineStr">
        <is>
          <t>Övriga statliga verk och myndigheter</t>
        </is>
      </c>
      <c r="G47" t="n">
        <v>11.1</v>
      </c>
      <c r="H47" t="n">
        <v>0</v>
      </c>
      <c r="I47" t="n">
        <v>0</v>
      </c>
      <c r="J47" t="n">
        <v>0</v>
      </c>
      <c r="K47" t="n">
        <v>0</v>
      </c>
      <c r="L47" t="n">
        <v>0</v>
      </c>
      <c r="M47" t="n">
        <v>0</v>
      </c>
      <c r="N47" t="n">
        <v>0</v>
      </c>
      <c r="O47" t="n">
        <v>0</v>
      </c>
      <c r="P47" t="n">
        <v>0</v>
      </c>
      <c r="Q47" t="n">
        <v>0</v>
      </c>
      <c r="R47" s="2" t="inlineStr"/>
    </row>
    <row r="48" ht="15" customHeight="1">
      <c r="A48" t="inlineStr">
        <is>
          <t>A 1965-2022</t>
        </is>
      </c>
      <c r="B48" s="1" t="n">
        <v>44575</v>
      </c>
      <c r="C48" s="1" t="n">
        <v>46181</v>
      </c>
      <c r="D48" t="inlineStr">
        <is>
          <t>UPPSALA LÄN</t>
        </is>
      </c>
      <c r="E48" t="inlineStr">
        <is>
          <t>ENKÖPING</t>
        </is>
      </c>
      <c r="G48" t="n">
        <v>0.7</v>
      </c>
      <c r="H48" t="n">
        <v>0</v>
      </c>
      <c r="I48" t="n">
        <v>0</v>
      </c>
      <c r="J48" t="n">
        <v>0</v>
      </c>
      <c r="K48" t="n">
        <v>0</v>
      </c>
      <c r="L48" t="n">
        <v>0</v>
      </c>
      <c r="M48" t="n">
        <v>0</v>
      </c>
      <c r="N48" t="n">
        <v>0</v>
      </c>
      <c r="O48" t="n">
        <v>0</v>
      </c>
      <c r="P48" t="n">
        <v>0</v>
      </c>
      <c r="Q48" t="n">
        <v>0</v>
      </c>
      <c r="R48" s="2" t="inlineStr"/>
    </row>
    <row r="49" ht="15" customHeight="1">
      <c r="A49" t="inlineStr">
        <is>
          <t>A 48230-2022</t>
        </is>
      </c>
      <c r="B49" s="1" t="n">
        <v>44858.45100694444</v>
      </c>
      <c r="C49" s="1" t="n">
        <v>46181</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14531-2022</t>
        </is>
      </c>
      <c r="B50" s="1" t="n">
        <v>44655</v>
      </c>
      <c r="C50" s="1" t="n">
        <v>46181</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48233-2022</t>
        </is>
      </c>
      <c r="B51" s="1" t="n">
        <v>44858.45300925926</v>
      </c>
      <c r="C51" s="1" t="n">
        <v>46181</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29435-2022</t>
        </is>
      </c>
      <c r="B52" s="1" t="n">
        <v>44753.49215277778</v>
      </c>
      <c r="C52" s="1" t="n">
        <v>46181</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39473-2021</t>
        </is>
      </c>
      <c r="B53" s="1" t="n">
        <v>44414</v>
      </c>
      <c r="C53" s="1" t="n">
        <v>46181</v>
      </c>
      <c r="D53" t="inlineStr">
        <is>
          <t>UPPSALA LÄN</t>
        </is>
      </c>
      <c r="E53" t="inlineStr">
        <is>
          <t>ENKÖPING</t>
        </is>
      </c>
      <c r="G53" t="n">
        <v>3.2</v>
      </c>
      <c r="H53" t="n">
        <v>0</v>
      </c>
      <c r="I53" t="n">
        <v>0</v>
      </c>
      <c r="J53" t="n">
        <v>0</v>
      </c>
      <c r="K53" t="n">
        <v>0</v>
      </c>
      <c r="L53" t="n">
        <v>0</v>
      </c>
      <c r="M53" t="n">
        <v>0</v>
      </c>
      <c r="N53" t="n">
        <v>0</v>
      </c>
      <c r="O53" t="n">
        <v>0</v>
      </c>
      <c r="P53" t="n">
        <v>0</v>
      </c>
      <c r="Q53" t="n">
        <v>0</v>
      </c>
      <c r="R53" s="2" t="inlineStr"/>
    </row>
    <row r="54" ht="15" customHeight="1">
      <c r="A54" t="inlineStr">
        <is>
          <t>A 38005-2022</t>
        </is>
      </c>
      <c r="B54" s="1" t="n">
        <v>44810</v>
      </c>
      <c r="C54" s="1" t="n">
        <v>46181</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29425-2022</t>
        </is>
      </c>
      <c r="B55" s="1" t="n">
        <v>44753.47837962963</v>
      </c>
      <c r="C55" s="1" t="n">
        <v>46181</v>
      </c>
      <c r="D55" t="inlineStr">
        <is>
          <t>UPPSALA LÄN</t>
        </is>
      </c>
      <c r="E55" t="inlineStr">
        <is>
          <t>ENKÖPING</t>
        </is>
      </c>
      <c r="G55" t="n">
        <v>2.5</v>
      </c>
      <c r="H55" t="n">
        <v>0</v>
      </c>
      <c r="I55" t="n">
        <v>0</v>
      </c>
      <c r="J55" t="n">
        <v>0</v>
      </c>
      <c r="K55" t="n">
        <v>0</v>
      </c>
      <c r="L55" t="n">
        <v>0</v>
      </c>
      <c r="M55" t="n">
        <v>0</v>
      </c>
      <c r="N55" t="n">
        <v>0</v>
      </c>
      <c r="O55" t="n">
        <v>0</v>
      </c>
      <c r="P55" t="n">
        <v>0</v>
      </c>
      <c r="Q55" t="n">
        <v>0</v>
      </c>
      <c r="R55" s="2" t="inlineStr"/>
    </row>
    <row r="56" ht="15" customHeight="1">
      <c r="A56" t="inlineStr">
        <is>
          <t>A 52896-2022</t>
        </is>
      </c>
      <c r="B56" s="1" t="n">
        <v>44875.5665625</v>
      </c>
      <c r="C56" s="1" t="n">
        <v>46181</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2680-2022</t>
        </is>
      </c>
      <c r="B57" s="1" t="n">
        <v>44580</v>
      </c>
      <c r="C57" s="1" t="n">
        <v>46181</v>
      </c>
      <c r="D57" t="inlineStr">
        <is>
          <t>UPPSALA LÄN</t>
        </is>
      </c>
      <c r="E57" t="inlineStr">
        <is>
          <t>ENKÖPING</t>
        </is>
      </c>
      <c r="G57" t="n">
        <v>0.6</v>
      </c>
      <c r="H57" t="n">
        <v>0</v>
      </c>
      <c r="I57" t="n">
        <v>0</v>
      </c>
      <c r="J57" t="n">
        <v>0</v>
      </c>
      <c r="K57" t="n">
        <v>0</v>
      </c>
      <c r="L57" t="n">
        <v>0</v>
      </c>
      <c r="M57" t="n">
        <v>0</v>
      </c>
      <c r="N57" t="n">
        <v>0</v>
      </c>
      <c r="O57" t="n">
        <v>0</v>
      </c>
      <c r="P57" t="n">
        <v>0</v>
      </c>
      <c r="Q57" t="n">
        <v>0</v>
      </c>
      <c r="R57" s="2" t="inlineStr"/>
    </row>
    <row r="58" ht="15" customHeight="1">
      <c r="A58" t="inlineStr">
        <is>
          <t>A 52014-2021</t>
        </is>
      </c>
      <c r="B58" s="1" t="n">
        <v>44463.3425462963</v>
      </c>
      <c r="C58" s="1" t="n">
        <v>46181</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37410-2022</t>
        </is>
      </c>
      <c r="B59" s="1" t="n">
        <v>44809</v>
      </c>
      <c r="C59" s="1" t="n">
        <v>46181</v>
      </c>
      <c r="D59" t="inlineStr">
        <is>
          <t>UPPSALA LÄN</t>
        </is>
      </c>
      <c r="E59" t="inlineStr">
        <is>
          <t>ENKÖPING</t>
        </is>
      </c>
      <c r="G59" t="n">
        <v>3.6</v>
      </c>
      <c r="H59" t="n">
        <v>0</v>
      </c>
      <c r="I59" t="n">
        <v>0</v>
      </c>
      <c r="J59" t="n">
        <v>0</v>
      </c>
      <c r="K59" t="n">
        <v>0</v>
      </c>
      <c r="L59" t="n">
        <v>0</v>
      </c>
      <c r="M59" t="n">
        <v>0</v>
      </c>
      <c r="N59" t="n">
        <v>0</v>
      </c>
      <c r="O59" t="n">
        <v>0</v>
      </c>
      <c r="P59" t="n">
        <v>0</v>
      </c>
      <c r="Q59" t="n">
        <v>0</v>
      </c>
      <c r="R59" s="2" t="inlineStr"/>
    </row>
    <row r="60" ht="15" customHeight="1">
      <c r="A60" t="inlineStr">
        <is>
          <t>A 1979-2022</t>
        </is>
      </c>
      <c r="B60" s="1" t="n">
        <v>44575</v>
      </c>
      <c r="C60" s="1" t="n">
        <v>46181</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28795-2021</t>
        </is>
      </c>
      <c r="B61" s="1" t="n">
        <v>44357</v>
      </c>
      <c r="C61" s="1" t="n">
        <v>46181</v>
      </c>
      <c r="D61" t="inlineStr">
        <is>
          <t>UPPSALA LÄN</t>
        </is>
      </c>
      <c r="E61" t="inlineStr">
        <is>
          <t>ENKÖPING</t>
        </is>
      </c>
      <c r="F61" t="inlineStr">
        <is>
          <t>Allmännings- och besparingsskogar</t>
        </is>
      </c>
      <c r="G61" t="n">
        <v>2.8</v>
      </c>
      <c r="H61" t="n">
        <v>0</v>
      </c>
      <c r="I61" t="n">
        <v>0</v>
      </c>
      <c r="J61" t="n">
        <v>0</v>
      </c>
      <c r="K61" t="n">
        <v>0</v>
      </c>
      <c r="L61" t="n">
        <v>0</v>
      </c>
      <c r="M61" t="n">
        <v>0</v>
      </c>
      <c r="N61" t="n">
        <v>0</v>
      </c>
      <c r="O61" t="n">
        <v>0</v>
      </c>
      <c r="P61" t="n">
        <v>0</v>
      </c>
      <c r="Q61" t="n">
        <v>0</v>
      </c>
      <c r="R61" s="2" t="inlineStr"/>
    </row>
    <row r="62" ht="15" customHeight="1">
      <c r="A62" t="inlineStr">
        <is>
          <t>A 68107-2021</t>
        </is>
      </c>
      <c r="B62" s="1" t="n">
        <v>44526</v>
      </c>
      <c r="C62" s="1" t="n">
        <v>46181</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49375-2021</t>
        </is>
      </c>
      <c r="B63" s="1" t="n">
        <v>44454</v>
      </c>
      <c r="C63" s="1" t="n">
        <v>46181</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69791-2021</t>
        </is>
      </c>
      <c r="B64" s="1" t="n">
        <v>44532</v>
      </c>
      <c r="C64" s="1" t="n">
        <v>46181</v>
      </c>
      <c r="D64" t="inlineStr">
        <is>
          <t>UPPSALA LÄN</t>
        </is>
      </c>
      <c r="E64" t="inlineStr">
        <is>
          <t>ENKÖPING</t>
        </is>
      </c>
      <c r="G64" t="n">
        <v>0.8</v>
      </c>
      <c r="H64" t="n">
        <v>0</v>
      </c>
      <c r="I64" t="n">
        <v>0</v>
      </c>
      <c r="J64" t="n">
        <v>0</v>
      </c>
      <c r="K64" t="n">
        <v>0</v>
      </c>
      <c r="L64" t="n">
        <v>0</v>
      </c>
      <c r="M64" t="n">
        <v>0</v>
      </c>
      <c r="N64" t="n">
        <v>0</v>
      </c>
      <c r="O64" t="n">
        <v>0</v>
      </c>
      <c r="P64" t="n">
        <v>0</v>
      </c>
      <c r="Q64" t="n">
        <v>0</v>
      </c>
      <c r="R64" s="2" t="inlineStr"/>
    </row>
    <row r="65" ht="15" customHeight="1">
      <c r="A65" t="inlineStr">
        <is>
          <t>A 57055-2021</t>
        </is>
      </c>
      <c r="B65" s="1" t="n">
        <v>44482.55201388889</v>
      </c>
      <c r="C65" s="1" t="n">
        <v>46181</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60874-2021</t>
        </is>
      </c>
      <c r="B66" s="1" t="n">
        <v>44497</v>
      </c>
      <c r="C66" s="1" t="n">
        <v>46181</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15021-2022</t>
        </is>
      </c>
      <c r="B67" s="1" t="n">
        <v>44657</v>
      </c>
      <c r="C67" s="1" t="n">
        <v>46181</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31013-2022</t>
        </is>
      </c>
      <c r="B68" s="1" t="n">
        <v>44768</v>
      </c>
      <c r="C68" s="1" t="n">
        <v>46181</v>
      </c>
      <c r="D68" t="inlineStr">
        <is>
          <t>UPPSALA LÄN</t>
        </is>
      </c>
      <c r="E68" t="inlineStr">
        <is>
          <t>ENKÖPING</t>
        </is>
      </c>
      <c r="F68" t="inlineStr">
        <is>
          <t>Allmännings- och besparingsskogar</t>
        </is>
      </c>
      <c r="G68" t="n">
        <v>0.5</v>
      </c>
      <c r="H68" t="n">
        <v>0</v>
      </c>
      <c r="I68" t="n">
        <v>0</v>
      </c>
      <c r="J68" t="n">
        <v>0</v>
      </c>
      <c r="K68" t="n">
        <v>0</v>
      </c>
      <c r="L68" t="n">
        <v>0</v>
      </c>
      <c r="M68" t="n">
        <v>0</v>
      </c>
      <c r="N68" t="n">
        <v>0</v>
      </c>
      <c r="O68" t="n">
        <v>0</v>
      </c>
      <c r="P68" t="n">
        <v>0</v>
      </c>
      <c r="Q68" t="n">
        <v>0</v>
      </c>
      <c r="R68" s="2" t="inlineStr"/>
    </row>
    <row r="69" ht="15" customHeight="1">
      <c r="A69" t="inlineStr">
        <is>
          <t>A 42029-2021</t>
        </is>
      </c>
      <c r="B69" s="1" t="n">
        <v>44426</v>
      </c>
      <c r="C69" s="1" t="n">
        <v>46181</v>
      </c>
      <c r="D69" t="inlineStr">
        <is>
          <t>UPPSALA LÄN</t>
        </is>
      </c>
      <c r="E69" t="inlineStr">
        <is>
          <t>ENKÖPING</t>
        </is>
      </c>
      <c r="G69" t="n">
        <v>5.3</v>
      </c>
      <c r="H69" t="n">
        <v>0</v>
      </c>
      <c r="I69" t="n">
        <v>0</v>
      </c>
      <c r="J69" t="n">
        <v>0</v>
      </c>
      <c r="K69" t="n">
        <v>0</v>
      </c>
      <c r="L69" t="n">
        <v>0</v>
      </c>
      <c r="M69" t="n">
        <v>0</v>
      </c>
      <c r="N69" t="n">
        <v>0</v>
      </c>
      <c r="O69" t="n">
        <v>0</v>
      </c>
      <c r="P69" t="n">
        <v>0</v>
      </c>
      <c r="Q69" t="n">
        <v>0</v>
      </c>
      <c r="R69" s="2" t="inlineStr"/>
    </row>
    <row r="70" ht="15" customHeight="1">
      <c r="A70" t="inlineStr">
        <is>
          <t>A 1971-2022</t>
        </is>
      </c>
      <c r="B70" s="1" t="n">
        <v>44575</v>
      </c>
      <c r="C70" s="1" t="n">
        <v>46181</v>
      </c>
      <c r="D70" t="inlineStr">
        <is>
          <t>UPPSALA LÄN</t>
        </is>
      </c>
      <c r="E70" t="inlineStr">
        <is>
          <t>ENKÖPING</t>
        </is>
      </c>
      <c r="G70" t="n">
        <v>1.4</v>
      </c>
      <c r="H70" t="n">
        <v>0</v>
      </c>
      <c r="I70" t="n">
        <v>0</v>
      </c>
      <c r="J70" t="n">
        <v>0</v>
      </c>
      <c r="K70" t="n">
        <v>0</v>
      </c>
      <c r="L70" t="n">
        <v>0</v>
      </c>
      <c r="M70" t="n">
        <v>0</v>
      </c>
      <c r="N70" t="n">
        <v>0</v>
      </c>
      <c r="O70" t="n">
        <v>0</v>
      </c>
      <c r="P70" t="n">
        <v>0</v>
      </c>
      <c r="Q70" t="n">
        <v>0</v>
      </c>
      <c r="R70" s="2" t="inlineStr"/>
    </row>
    <row r="71" ht="15" customHeight="1">
      <c r="A71" t="inlineStr">
        <is>
          <t>A 15924-2022</t>
        </is>
      </c>
      <c r="B71" s="1" t="n">
        <v>44664</v>
      </c>
      <c r="C71" s="1" t="n">
        <v>46181</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15943-2022</t>
        </is>
      </c>
      <c r="B72" s="1" t="n">
        <v>44664.66428240741</v>
      </c>
      <c r="C72" s="1" t="n">
        <v>46181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47106-2021</t>
        </is>
      </c>
      <c r="B73" s="1" t="n">
        <v>44446</v>
      </c>
      <c r="C73" s="1" t="n">
        <v>46181</v>
      </c>
      <c r="D73" t="inlineStr">
        <is>
          <t>UPPSALA LÄN</t>
        </is>
      </c>
      <c r="E73" t="inlineStr">
        <is>
          <t>ENKÖPING</t>
        </is>
      </c>
      <c r="G73" t="n">
        <v>7.6</v>
      </c>
      <c r="H73" t="n">
        <v>0</v>
      </c>
      <c r="I73" t="n">
        <v>0</v>
      </c>
      <c r="J73" t="n">
        <v>0</v>
      </c>
      <c r="K73" t="n">
        <v>0</v>
      </c>
      <c r="L73" t="n">
        <v>0</v>
      </c>
      <c r="M73" t="n">
        <v>0</v>
      </c>
      <c r="N73" t="n">
        <v>0</v>
      </c>
      <c r="O73" t="n">
        <v>0</v>
      </c>
      <c r="P73" t="n">
        <v>0</v>
      </c>
      <c r="Q73" t="n">
        <v>0</v>
      </c>
      <c r="R73" s="2" t="inlineStr"/>
    </row>
    <row r="74" ht="15" customHeight="1">
      <c r="A74" t="inlineStr">
        <is>
          <t>A 19731-2022</t>
        </is>
      </c>
      <c r="B74" s="1" t="n">
        <v>44694</v>
      </c>
      <c r="C74" s="1" t="n">
        <v>46181</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57043-2021</t>
        </is>
      </c>
      <c r="B75" s="1" t="n">
        <v>44482.53399305556</v>
      </c>
      <c r="C75" s="1" t="n">
        <v>46181</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24883-2022</t>
        </is>
      </c>
      <c r="B76" s="1" t="n">
        <v>44728</v>
      </c>
      <c r="C76" s="1" t="n">
        <v>46181</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68127-2021</t>
        </is>
      </c>
      <c r="B77" s="1" t="n">
        <v>44526.39513888889</v>
      </c>
      <c r="C77" s="1" t="n">
        <v>46181</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42021-2021</t>
        </is>
      </c>
      <c r="B78" s="1" t="n">
        <v>44426</v>
      </c>
      <c r="C78" s="1" t="n">
        <v>46181</v>
      </c>
      <c r="D78" t="inlineStr">
        <is>
          <t>UPPSALA LÄN</t>
        </is>
      </c>
      <c r="E78" t="inlineStr">
        <is>
          <t>ENKÖPING</t>
        </is>
      </c>
      <c r="G78" t="n">
        <v>2.2</v>
      </c>
      <c r="H78" t="n">
        <v>0</v>
      </c>
      <c r="I78" t="n">
        <v>0</v>
      </c>
      <c r="J78" t="n">
        <v>0</v>
      </c>
      <c r="K78" t="n">
        <v>0</v>
      </c>
      <c r="L78" t="n">
        <v>0</v>
      </c>
      <c r="M78" t="n">
        <v>0</v>
      </c>
      <c r="N78" t="n">
        <v>0</v>
      </c>
      <c r="O78" t="n">
        <v>0</v>
      </c>
      <c r="P78" t="n">
        <v>0</v>
      </c>
      <c r="Q78" t="n">
        <v>0</v>
      </c>
      <c r="R78" s="2" t="inlineStr"/>
    </row>
    <row r="79" ht="15" customHeight="1">
      <c r="A79" t="inlineStr">
        <is>
          <t>A 17467-2022</t>
        </is>
      </c>
      <c r="B79" s="1" t="n">
        <v>44679</v>
      </c>
      <c r="C79" s="1" t="n">
        <v>46181</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59121-2021</t>
        </is>
      </c>
      <c r="B80" s="1" t="n">
        <v>44490</v>
      </c>
      <c r="C80" s="1" t="n">
        <v>46181</v>
      </c>
      <c r="D80" t="inlineStr">
        <is>
          <t>UPPSALA LÄN</t>
        </is>
      </c>
      <c r="E80" t="inlineStr">
        <is>
          <t>ENKÖPING</t>
        </is>
      </c>
      <c r="G80" t="n">
        <v>2.4</v>
      </c>
      <c r="H80" t="n">
        <v>0</v>
      </c>
      <c r="I80" t="n">
        <v>0</v>
      </c>
      <c r="J80" t="n">
        <v>0</v>
      </c>
      <c r="K80" t="n">
        <v>0</v>
      </c>
      <c r="L80" t="n">
        <v>0</v>
      </c>
      <c r="M80" t="n">
        <v>0</v>
      </c>
      <c r="N80" t="n">
        <v>0</v>
      </c>
      <c r="O80" t="n">
        <v>0</v>
      </c>
      <c r="P80" t="n">
        <v>0</v>
      </c>
      <c r="Q80" t="n">
        <v>0</v>
      </c>
      <c r="R80" s="2" t="inlineStr"/>
    </row>
    <row r="81" ht="15" customHeight="1">
      <c r="A81" t="inlineStr">
        <is>
          <t>A 24815-2022</t>
        </is>
      </c>
      <c r="B81" s="1" t="n">
        <v>44728</v>
      </c>
      <c r="C81" s="1" t="n">
        <v>46181</v>
      </c>
      <c r="D81" t="inlineStr">
        <is>
          <t>UPPSALA LÄN</t>
        </is>
      </c>
      <c r="E81" t="inlineStr">
        <is>
          <t>ENKÖPING</t>
        </is>
      </c>
      <c r="G81" t="n">
        <v>1.8</v>
      </c>
      <c r="H81" t="n">
        <v>0</v>
      </c>
      <c r="I81" t="n">
        <v>0</v>
      </c>
      <c r="J81" t="n">
        <v>0</v>
      </c>
      <c r="K81" t="n">
        <v>0</v>
      </c>
      <c r="L81" t="n">
        <v>0</v>
      </c>
      <c r="M81" t="n">
        <v>0</v>
      </c>
      <c r="N81" t="n">
        <v>0</v>
      </c>
      <c r="O81" t="n">
        <v>0</v>
      </c>
      <c r="P81" t="n">
        <v>0</v>
      </c>
      <c r="Q81" t="n">
        <v>0</v>
      </c>
      <c r="R81" s="2" t="inlineStr"/>
    </row>
    <row r="82" ht="15" customHeight="1">
      <c r="A82" t="inlineStr">
        <is>
          <t>A 57078-2021</t>
        </is>
      </c>
      <c r="B82" s="1" t="n">
        <v>44482.57855324074</v>
      </c>
      <c r="C82" s="1" t="n">
        <v>46181</v>
      </c>
      <c r="D82" t="inlineStr">
        <is>
          <t>UPPSALA LÄN</t>
        </is>
      </c>
      <c r="E82" t="inlineStr">
        <is>
          <t>ENKÖPING</t>
        </is>
      </c>
      <c r="G82" t="n">
        <v>3</v>
      </c>
      <c r="H82" t="n">
        <v>0</v>
      </c>
      <c r="I82" t="n">
        <v>0</v>
      </c>
      <c r="J82" t="n">
        <v>0</v>
      </c>
      <c r="K82" t="n">
        <v>0</v>
      </c>
      <c r="L82" t="n">
        <v>0</v>
      </c>
      <c r="M82" t="n">
        <v>0</v>
      </c>
      <c r="N82" t="n">
        <v>0</v>
      </c>
      <c r="O82" t="n">
        <v>0</v>
      </c>
      <c r="P82" t="n">
        <v>0</v>
      </c>
      <c r="Q82" t="n">
        <v>0</v>
      </c>
      <c r="R82" s="2" t="inlineStr"/>
    </row>
    <row r="83" ht="15" customHeight="1">
      <c r="A83" t="inlineStr">
        <is>
          <t>A 29983-2021</t>
        </is>
      </c>
      <c r="B83" s="1" t="n">
        <v>44363</v>
      </c>
      <c r="C83" s="1" t="n">
        <v>46181</v>
      </c>
      <c r="D83" t="inlineStr">
        <is>
          <t>UPPSALA LÄN</t>
        </is>
      </c>
      <c r="E83" t="inlineStr">
        <is>
          <t>ENKÖPING</t>
        </is>
      </c>
      <c r="F83" t="inlineStr">
        <is>
          <t>Kommuner</t>
        </is>
      </c>
      <c r="G83" t="n">
        <v>3.1</v>
      </c>
      <c r="H83" t="n">
        <v>0</v>
      </c>
      <c r="I83" t="n">
        <v>0</v>
      </c>
      <c r="J83" t="n">
        <v>0</v>
      </c>
      <c r="K83" t="n">
        <v>0</v>
      </c>
      <c r="L83" t="n">
        <v>0</v>
      </c>
      <c r="M83" t="n">
        <v>0</v>
      </c>
      <c r="N83" t="n">
        <v>0</v>
      </c>
      <c r="O83" t="n">
        <v>0</v>
      </c>
      <c r="P83" t="n">
        <v>0</v>
      </c>
      <c r="Q83" t="n">
        <v>0</v>
      </c>
      <c r="R83" s="2" t="inlineStr"/>
    </row>
    <row r="84" ht="15" customHeight="1">
      <c r="A84" t="inlineStr">
        <is>
          <t>A 31965-2021</t>
        </is>
      </c>
      <c r="B84" s="1" t="n">
        <v>44370.56901620371</v>
      </c>
      <c r="C84" s="1" t="n">
        <v>46181</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5211-2024</t>
        </is>
      </c>
      <c r="B85" s="1" t="n">
        <v>45330</v>
      </c>
      <c r="C85" s="1" t="n">
        <v>46181</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10468-2025</t>
        </is>
      </c>
      <c r="B86" s="1" t="n">
        <v>45720</v>
      </c>
      <c r="C86" s="1" t="n">
        <v>46181</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4044-2024</t>
        </is>
      </c>
      <c r="B87" s="1" t="n">
        <v>45323.45954861111</v>
      </c>
      <c r="C87" s="1" t="n">
        <v>46181</v>
      </c>
      <c r="D87" t="inlineStr">
        <is>
          <t>UPPSALA LÄN</t>
        </is>
      </c>
      <c r="E87" t="inlineStr">
        <is>
          <t>ENKÖPING</t>
        </is>
      </c>
      <c r="G87" t="n">
        <v>2.1</v>
      </c>
      <c r="H87" t="n">
        <v>0</v>
      </c>
      <c r="I87" t="n">
        <v>0</v>
      </c>
      <c r="J87" t="n">
        <v>0</v>
      </c>
      <c r="K87" t="n">
        <v>0</v>
      </c>
      <c r="L87" t="n">
        <v>0</v>
      </c>
      <c r="M87" t="n">
        <v>0</v>
      </c>
      <c r="N87" t="n">
        <v>0</v>
      </c>
      <c r="O87" t="n">
        <v>0</v>
      </c>
      <c r="P87" t="n">
        <v>0</v>
      </c>
      <c r="Q87" t="n">
        <v>0</v>
      </c>
      <c r="R87" s="2" t="inlineStr"/>
    </row>
    <row r="88" ht="15" customHeight="1">
      <c r="A88" t="inlineStr">
        <is>
          <t>A 46103-2023</t>
        </is>
      </c>
      <c r="B88" s="1" t="n">
        <v>45190</v>
      </c>
      <c r="C88" s="1" t="n">
        <v>46181</v>
      </c>
      <c r="D88" t="inlineStr">
        <is>
          <t>UPPSALA LÄN</t>
        </is>
      </c>
      <c r="E88" t="inlineStr">
        <is>
          <t>ENKÖPING</t>
        </is>
      </c>
      <c r="G88" t="n">
        <v>4.6</v>
      </c>
      <c r="H88" t="n">
        <v>0</v>
      </c>
      <c r="I88" t="n">
        <v>0</v>
      </c>
      <c r="J88" t="n">
        <v>0</v>
      </c>
      <c r="K88" t="n">
        <v>0</v>
      </c>
      <c r="L88" t="n">
        <v>0</v>
      </c>
      <c r="M88" t="n">
        <v>0</v>
      </c>
      <c r="N88" t="n">
        <v>0</v>
      </c>
      <c r="O88" t="n">
        <v>0</v>
      </c>
      <c r="P88" t="n">
        <v>0</v>
      </c>
      <c r="Q88" t="n">
        <v>0</v>
      </c>
      <c r="R88" s="2" t="inlineStr"/>
    </row>
    <row r="89" ht="15" customHeight="1">
      <c r="A89" t="inlineStr">
        <is>
          <t>A 43488-2023</t>
        </is>
      </c>
      <c r="B89" s="1" t="n">
        <v>45181</v>
      </c>
      <c r="C89" s="1" t="n">
        <v>46181</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12755-2025</t>
        </is>
      </c>
      <c r="B90" s="1" t="n">
        <v>45733.56541666666</v>
      </c>
      <c r="C90" s="1" t="n">
        <v>46181</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50747-2022</t>
        </is>
      </c>
      <c r="B91" s="1" t="n">
        <v>44867.40162037037</v>
      </c>
      <c r="C91" s="1" t="n">
        <v>46181</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57152-2021</t>
        </is>
      </c>
      <c r="B92" s="1" t="n">
        <v>44482</v>
      </c>
      <c r="C92" s="1" t="n">
        <v>46181</v>
      </c>
      <c r="D92" t="inlineStr">
        <is>
          <t>UPPSALA LÄN</t>
        </is>
      </c>
      <c r="E92" t="inlineStr">
        <is>
          <t>ENKÖPING</t>
        </is>
      </c>
      <c r="G92" t="n">
        <v>1.4</v>
      </c>
      <c r="H92" t="n">
        <v>0</v>
      </c>
      <c r="I92" t="n">
        <v>0</v>
      </c>
      <c r="J92" t="n">
        <v>0</v>
      </c>
      <c r="K92" t="n">
        <v>0</v>
      </c>
      <c r="L92" t="n">
        <v>0</v>
      </c>
      <c r="M92" t="n">
        <v>0</v>
      </c>
      <c r="N92" t="n">
        <v>0</v>
      </c>
      <c r="O92" t="n">
        <v>0</v>
      </c>
      <c r="P92" t="n">
        <v>0</v>
      </c>
      <c r="Q92" t="n">
        <v>0</v>
      </c>
      <c r="R92" s="2" t="inlineStr"/>
    </row>
    <row r="93" ht="15" customHeight="1">
      <c r="A93" t="inlineStr">
        <is>
          <t>A 30437-2022</t>
        </is>
      </c>
      <c r="B93" s="1" t="n">
        <v>44761</v>
      </c>
      <c r="C93" s="1" t="n">
        <v>46181</v>
      </c>
      <c r="D93" t="inlineStr">
        <is>
          <t>UPPSALA LÄN</t>
        </is>
      </c>
      <c r="E93" t="inlineStr">
        <is>
          <t>ENKÖPING</t>
        </is>
      </c>
      <c r="G93" t="n">
        <v>3.4</v>
      </c>
      <c r="H93" t="n">
        <v>0</v>
      </c>
      <c r="I93" t="n">
        <v>0</v>
      </c>
      <c r="J93" t="n">
        <v>0</v>
      </c>
      <c r="K93" t="n">
        <v>0</v>
      </c>
      <c r="L93" t="n">
        <v>0</v>
      </c>
      <c r="M93" t="n">
        <v>0</v>
      </c>
      <c r="N93" t="n">
        <v>0</v>
      </c>
      <c r="O93" t="n">
        <v>0</v>
      </c>
      <c r="P93" t="n">
        <v>0</v>
      </c>
      <c r="Q93" t="n">
        <v>0</v>
      </c>
      <c r="R93" s="2" t="inlineStr"/>
    </row>
    <row r="94" ht="15" customHeight="1">
      <c r="A94" t="inlineStr">
        <is>
          <t>A 20112-2024</t>
        </is>
      </c>
      <c r="B94" s="1" t="n">
        <v>45434</v>
      </c>
      <c r="C94" s="1" t="n">
        <v>46181</v>
      </c>
      <c r="D94" t="inlineStr">
        <is>
          <t>UPPSALA LÄN</t>
        </is>
      </c>
      <c r="E94" t="inlineStr">
        <is>
          <t>ENKÖPING</t>
        </is>
      </c>
      <c r="G94" t="n">
        <v>1.8</v>
      </c>
      <c r="H94" t="n">
        <v>0</v>
      </c>
      <c r="I94" t="n">
        <v>0</v>
      </c>
      <c r="J94" t="n">
        <v>0</v>
      </c>
      <c r="K94" t="n">
        <v>0</v>
      </c>
      <c r="L94" t="n">
        <v>0</v>
      </c>
      <c r="M94" t="n">
        <v>0</v>
      </c>
      <c r="N94" t="n">
        <v>0</v>
      </c>
      <c r="O94" t="n">
        <v>0</v>
      </c>
      <c r="P94" t="n">
        <v>0</v>
      </c>
      <c r="Q94" t="n">
        <v>0</v>
      </c>
      <c r="R94" s="2" t="inlineStr"/>
    </row>
    <row r="95" ht="15" customHeight="1">
      <c r="A95" t="inlineStr">
        <is>
          <t>A 25333-2023</t>
        </is>
      </c>
      <c r="B95" s="1" t="n">
        <v>45083</v>
      </c>
      <c r="C95" s="1" t="n">
        <v>46181</v>
      </c>
      <c r="D95" t="inlineStr">
        <is>
          <t>UPPSALA LÄN</t>
        </is>
      </c>
      <c r="E95" t="inlineStr">
        <is>
          <t>ENKÖPING</t>
        </is>
      </c>
      <c r="G95" t="n">
        <v>2.7</v>
      </c>
      <c r="H95" t="n">
        <v>0</v>
      </c>
      <c r="I95" t="n">
        <v>0</v>
      </c>
      <c r="J95" t="n">
        <v>0</v>
      </c>
      <c r="K95" t="n">
        <v>0</v>
      </c>
      <c r="L95" t="n">
        <v>0</v>
      </c>
      <c r="M95" t="n">
        <v>0</v>
      </c>
      <c r="N95" t="n">
        <v>0</v>
      </c>
      <c r="O95" t="n">
        <v>0</v>
      </c>
      <c r="P95" t="n">
        <v>0</v>
      </c>
      <c r="Q95" t="n">
        <v>0</v>
      </c>
      <c r="R95" s="2" t="inlineStr"/>
    </row>
    <row r="96" ht="15" customHeight="1">
      <c r="A96" t="inlineStr">
        <is>
          <t>A 51932-2022</t>
        </is>
      </c>
      <c r="B96" s="1" t="n">
        <v>44872</v>
      </c>
      <c r="C96" s="1" t="n">
        <v>46181</v>
      </c>
      <c r="D96" t="inlineStr">
        <is>
          <t>UPPSALA LÄN</t>
        </is>
      </c>
      <c r="E96" t="inlineStr">
        <is>
          <t>ENKÖPING</t>
        </is>
      </c>
      <c r="G96" t="n">
        <v>5.5</v>
      </c>
      <c r="H96" t="n">
        <v>0</v>
      </c>
      <c r="I96" t="n">
        <v>0</v>
      </c>
      <c r="J96" t="n">
        <v>0</v>
      </c>
      <c r="K96" t="n">
        <v>0</v>
      </c>
      <c r="L96" t="n">
        <v>0</v>
      </c>
      <c r="M96" t="n">
        <v>0</v>
      </c>
      <c r="N96" t="n">
        <v>0</v>
      </c>
      <c r="O96" t="n">
        <v>0</v>
      </c>
      <c r="P96" t="n">
        <v>0</v>
      </c>
      <c r="Q96" t="n">
        <v>0</v>
      </c>
      <c r="R96" s="2" t="inlineStr"/>
    </row>
    <row r="97" ht="15" customHeight="1">
      <c r="A97" t="inlineStr">
        <is>
          <t>A 12958-2024</t>
        </is>
      </c>
      <c r="B97" s="1" t="n">
        <v>45385</v>
      </c>
      <c r="C97" s="1" t="n">
        <v>46181</v>
      </c>
      <c r="D97" t="inlineStr">
        <is>
          <t>UPPSALA LÄN</t>
        </is>
      </c>
      <c r="E97" t="inlineStr">
        <is>
          <t>ENKÖPING</t>
        </is>
      </c>
      <c r="G97" t="n">
        <v>2.1</v>
      </c>
      <c r="H97" t="n">
        <v>0</v>
      </c>
      <c r="I97" t="n">
        <v>0</v>
      </c>
      <c r="J97" t="n">
        <v>0</v>
      </c>
      <c r="K97" t="n">
        <v>0</v>
      </c>
      <c r="L97" t="n">
        <v>0</v>
      </c>
      <c r="M97" t="n">
        <v>0</v>
      </c>
      <c r="N97" t="n">
        <v>0</v>
      </c>
      <c r="O97" t="n">
        <v>0</v>
      </c>
      <c r="P97" t="n">
        <v>0</v>
      </c>
      <c r="Q97" t="n">
        <v>0</v>
      </c>
      <c r="R97" s="2" t="inlineStr"/>
    </row>
    <row r="98" ht="15" customHeight="1">
      <c r="A98" t="inlineStr">
        <is>
          <t>A 40812-2022</t>
        </is>
      </c>
      <c r="B98" s="1" t="n">
        <v>44824.68791666667</v>
      </c>
      <c r="C98" s="1" t="n">
        <v>46181</v>
      </c>
      <c r="D98" t="inlineStr">
        <is>
          <t>UPPSALA LÄN</t>
        </is>
      </c>
      <c r="E98" t="inlineStr">
        <is>
          <t>ENKÖPING</t>
        </is>
      </c>
      <c r="G98" t="n">
        <v>1.4</v>
      </c>
      <c r="H98" t="n">
        <v>0</v>
      </c>
      <c r="I98" t="n">
        <v>0</v>
      </c>
      <c r="J98" t="n">
        <v>0</v>
      </c>
      <c r="K98" t="n">
        <v>0</v>
      </c>
      <c r="L98" t="n">
        <v>0</v>
      </c>
      <c r="M98" t="n">
        <v>0</v>
      </c>
      <c r="N98" t="n">
        <v>0</v>
      </c>
      <c r="O98" t="n">
        <v>0</v>
      </c>
      <c r="P98" t="n">
        <v>0</v>
      </c>
      <c r="Q98" t="n">
        <v>0</v>
      </c>
      <c r="R98" s="2" t="inlineStr"/>
    </row>
    <row r="99" ht="15" customHeight="1">
      <c r="A99" t="inlineStr">
        <is>
          <t>A 24291-2024</t>
        </is>
      </c>
      <c r="B99" s="1" t="n">
        <v>45457.4584837963</v>
      </c>
      <c r="C99" s="1" t="n">
        <v>46181</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47428-2023</t>
        </is>
      </c>
      <c r="B100" s="1" t="n">
        <v>45202.66664351852</v>
      </c>
      <c r="C100" s="1" t="n">
        <v>46181</v>
      </c>
      <c r="D100" t="inlineStr">
        <is>
          <t>UPPSALA LÄN</t>
        </is>
      </c>
      <c r="E100" t="inlineStr">
        <is>
          <t>ENKÖPING</t>
        </is>
      </c>
      <c r="G100" t="n">
        <v>3</v>
      </c>
      <c r="H100" t="n">
        <v>0</v>
      </c>
      <c r="I100" t="n">
        <v>0</v>
      </c>
      <c r="J100" t="n">
        <v>0</v>
      </c>
      <c r="K100" t="n">
        <v>0</v>
      </c>
      <c r="L100" t="n">
        <v>0</v>
      </c>
      <c r="M100" t="n">
        <v>0</v>
      </c>
      <c r="N100" t="n">
        <v>0</v>
      </c>
      <c r="O100" t="n">
        <v>0</v>
      </c>
      <c r="P100" t="n">
        <v>0</v>
      </c>
      <c r="Q100" t="n">
        <v>0</v>
      </c>
      <c r="R100" s="2" t="inlineStr"/>
    </row>
    <row r="101" ht="15" customHeight="1">
      <c r="A101" t="inlineStr">
        <is>
          <t>A 44232-2022</t>
        </is>
      </c>
      <c r="B101" s="1" t="n">
        <v>44839</v>
      </c>
      <c r="C101" s="1" t="n">
        <v>46181</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45362-2022</t>
        </is>
      </c>
      <c r="B102" s="1" t="n">
        <v>44844.62366898148</v>
      </c>
      <c r="C102" s="1" t="n">
        <v>46181</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56526-2022</t>
        </is>
      </c>
      <c r="B103" s="1" t="n">
        <v>44893</v>
      </c>
      <c r="C103" s="1" t="n">
        <v>46181</v>
      </c>
      <c r="D103" t="inlineStr">
        <is>
          <t>UPPSALA LÄN</t>
        </is>
      </c>
      <c r="E103" t="inlineStr">
        <is>
          <t>ENKÖPING</t>
        </is>
      </c>
      <c r="G103" t="n">
        <v>3.8</v>
      </c>
      <c r="H103" t="n">
        <v>0</v>
      </c>
      <c r="I103" t="n">
        <v>0</v>
      </c>
      <c r="J103" t="n">
        <v>0</v>
      </c>
      <c r="K103" t="n">
        <v>0</v>
      </c>
      <c r="L103" t="n">
        <v>0</v>
      </c>
      <c r="M103" t="n">
        <v>0</v>
      </c>
      <c r="N103" t="n">
        <v>0</v>
      </c>
      <c r="O103" t="n">
        <v>0</v>
      </c>
      <c r="P103" t="n">
        <v>0</v>
      </c>
      <c r="Q103" t="n">
        <v>0</v>
      </c>
      <c r="R103" s="2" t="inlineStr"/>
    </row>
    <row r="104" ht="15" customHeight="1">
      <c r="A104" t="inlineStr">
        <is>
          <t>A 60350-2022</t>
        </is>
      </c>
      <c r="B104" s="1" t="n">
        <v>44910</v>
      </c>
      <c r="C104" s="1" t="n">
        <v>46181</v>
      </c>
      <c r="D104" t="inlineStr">
        <is>
          <t>UPPSALA LÄN</t>
        </is>
      </c>
      <c r="E104" t="inlineStr">
        <is>
          <t>ENKÖPING</t>
        </is>
      </c>
      <c r="F104" t="inlineStr">
        <is>
          <t>Allmännings- och besparingsskogar</t>
        </is>
      </c>
      <c r="G104" t="n">
        <v>3.5</v>
      </c>
      <c r="H104" t="n">
        <v>0</v>
      </c>
      <c r="I104" t="n">
        <v>0</v>
      </c>
      <c r="J104" t="n">
        <v>0</v>
      </c>
      <c r="K104" t="n">
        <v>0</v>
      </c>
      <c r="L104" t="n">
        <v>0</v>
      </c>
      <c r="M104" t="n">
        <v>0</v>
      </c>
      <c r="N104" t="n">
        <v>0</v>
      </c>
      <c r="O104" t="n">
        <v>0</v>
      </c>
      <c r="P104" t="n">
        <v>0</v>
      </c>
      <c r="Q104" t="n">
        <v>0</v>
      </c>
      <c r="R104" s="2" t="inlineStr"/>
    </row>
    <row r="105" ht="15" customHeight="1">
      <c r="A105" t="inlineStr">
        <is>
          <t>A 28518-2024</t>
        </is>
      </c>
      <c r="B105" s="1" t="n">
        <v>45477</v>
      </c>
      <c r="C105" s="1" t="n">
        <v>46181</v>
      </c>
      <c r="D105" t="inlineStr">
        <is>
          <t>UPPSALA LÄN</t>
        </is>
      </c>
      <c r="E105" t="inlineStr">
        <is>
          <t>ENKÖPING</t>
        </is>
      </c>
      <c r="G105" t="n">
        <v>3.4</v>
      </c>
      <c r="H105" t="n">
        <v>0</v>
      </c>
      <c r="I105" t="n">
        <v>0</v>
      </c>
      <c r="J105" t="n">
        <v>0</v>
      </c>
      <c r="K105" t="n">
        <v>0</v>
      </c>
      <c r="L105" t="n">
        <v>0</v>
      </c>
      <c r="M105" t="n">
        <v>0</v>
      </c>
      <c r="N105" t="n">
        <v>0</v>
      </c>
      <c r="O105" t="n">
        <v>0</v>
      </c>
      <c r="P105" t="n">
        <v>0</v>
      </c>
      <c r="Q105" t="n">
        <v>0</v>
      </c>
      <c r="R105" s="2" t="inlineStr"/>
    </row>
    <row r="106" ht="15" customHeight="1">
      <c r="A106" t="inlineStr">
        <is>
          <t>A 60289-2022</t>
        </is>
      </c>
      <c r="B106" s="1" t="n">
        <v>44910.53026620371</v>
      </c>
      <c r="C106" s="1" t="n">
        <v>46181</v>
      </c>
      <c r="D106" t="inlineStr">
        <is>
          <t>UPPSALA LÄN</t>
        </is>
      </c>
      <c r="E106" t="inlineStr">
        <is>
          <t>ENKÖPING</t>
        </is>
      </c>
      <c r="G106" t="n">
        <v>3.2</v>
      </c>
      <c r="H106" t="n">
        <v>0</v>
      </c>
      <c r="I106" t="n">
        <v>0</v>
      </c>
      <c r="J106" t="n">
        <v>0</v>
      </c>
      <c r="K106" t="n">
        <v>0</v>
      </c>
      <c r="L106" t="n">
        <v>0</v>
      </c>
      <c r="M106" t="n">
        <v>0</v>
      </c>
      <c r="N106" t="n">
        <v>0</v>
      </c>
      <c r="O106" t="n">
        <v>0</v>
      </c>
      <c r="P106" t="n">
        <v>0</v>
      </c>
      <c r="Q106" t="n">
        <v>0</v>
      </c>
      <c r="R106" s="2" t="inlineStr"/>
    </row>
    <row r="107" ht="15" customHeight="1">
      <c r="A107" t="inlineStr">
        <is>
          <t>A 30098-2024</t>
        </is>
      </c>
      <c r="B107" s="1" t="n">
        <v>45489.41609953704</v>
      </c>
      <c r="C107" s="1" t="n">
        <v>46181</v>
      </c>
      <c r="D107" t="inlineStr">
        <is>
          <t>UPPSALA LÄN</t>
        </is>
      </c>
      <c r="E107" t="inlineStr">
        <is>
          <t>ENKÖPING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1651-2024</t>
        </is>
      </c>
      <c r="B108" s="1" t="n">
        <v>45306.73770833333</v>
      </c>
      <c r="C108" s="1" t="n">
        <v>46181</v>
      </c>
      <c r="D108" t="inlineStr">
        <is>
          <t>UPPSALA LÄN</t>
        </is>
      </c>
      <c r="E108" t="inlineStr">
        <is>
          <t>ENKÖPING</t>
        </is>
      </c>
      <c r="G108" t="n">
        <v>10.2</v>
      </c>
      <c r="H108" t="n">
        <v>0</v>
      </c>
      <c r="I108" t="n">
        <v>0</v>
      </c>
      <c r="J108" t="n">
        <v>0</v>
      </c>
      <c r="K108" t="n">
        <v>0</v>
      </c>
      <c r="L108" t="n">
        <v>0</v>
      </c>
      <c r="M108" t="n">
        <v>0</v>
      </c>
      <c r="N108" t="n">
        <v>0</v>
      </c>
      <c r="O108" t="n">
        <v>0</v>
      </c>
      <c r="P108" t="n">
        <v>0</v>
      </c>
      <c r="Q108" t="n">
        <v>0</v>
      </c>
      <c r="R108" s="2" t="inlineStr"/>
    </row>
    <row r="109" ht="15" customHeight="1">
      <c r="A109" t="inlineStr">
        <is>
          <t>A 314-2025</t>
        </is>
      </c>
      <c r="B109" s="1" t="n">
        <v>45656</v>
      </c>
      <c r="C109" s="1" t="n">
        <v>46181</v>
      </c>
      <c r="D109" t="inlineStr">
        <is>
          <t>UPPSALA LÄN</t>
        </is>
      </c>
      <c r="E109" t="inlineStr">
        <is>
          <t>ENKÖPING</t>
        </is>
      </c>
      <c r="G109" t="n">
        <v>9</v>
      </c>
      <c r="H109" t="n">
        <v>0</v>
      </c>
      <c r="I109" t="n">
        <v>0</v>
      </c>
      <c r="J109" t="n">
        <v>0</v>
      </c>
      <c r="K109" t="n">
        <v>0</v>
      </c>
      <c r="L109" t="n">
        <v>0</v>
      </c>
      <c r="M109" t="n">
        <v>0</v>
      </c>
      <c r="N109" t="n">
        <v>0</v>
      </c>
      <c r="O109" t="n">
        <v>0</v>
      </c>
      <c r="P109" t="n">
        <v>0</v>
      </c>
      <c r="Q109" t="n">
        <v>0</v>
      </c>
      <c r="R109" s="2" t="inlineStr"/>
    </row>
    <row r="110" ht="15" customHeight="1">
      <c r="A110" t="inlineStr">
        <is>
          <t>A 10831-2024</t>
        </is>
      </c>
      <c r="B110" s="1" t="n">
        <v>45369</v>
      </c>
      <c r="C110" s="1" t="n">
        <v>46181</v>
      </c>
      <c r="D110" t="inlineStr">
        <is>
          <t>UPPSALA LÄN</t>
        </is>
      </c>
      <c r="E110" t="inlineStr">
        <is>
          <t>ENKÖPING</t>
        </is>
      </c>
      <c r="G110" t="n">
        <v>2.9</v>
      </c>
      <c r="H110" t="n">
        <v>0</v>
      </c>
      <c r="I110" t="n">
        <v>0</v>
      </c>
      <c r="J110" t="n">
        <v>0</v>
      </c>
      <c r="K110" t="n">
        <v>0</v>
      </c>
      <c r="L110" t="n">
        <v>0</v>
      </c>
      <c r="M110" t="n">
        <v>0</v>
      </c>
      <c r="N110" t="n">
        <v>0</v>
      </c>
      <c r="O110" t="n">
        <v>0</v>
      </c>
      <c r="P110" t="n">
        <v>0</v>
      </c>
      <c r="Q110" t="n">
        <v>0</v>
      </c>
      <c r="R110" s="2" t="inlineStr"/>
    </row>
    <row r="111" ht="15" customHeight="1">
      <c r="A111" t="inlineStr">
        <is>
          <t>A 5712-2025</t>
        </is>
      </c>
      <c r="B111" s="1" t="n">
        <v>45694</v>
      </c>
      <c r="C111" s="1" t="n">
        <v>46181</v>
      </c>
      <c r="D111" t="inlineStr">
        <is>
          <t>UPPSALA LÄN</t>
        </is>
      </c>
      <c r="E111" t="inlineStr">
        <is>
          <t>ENKÖPING</t>
        </is>
      </c>
      <c r="G111" t="n">
        <v>5.1</v>
      </c>
      <c r="H111" t="n">
        <v>0</v>
      </c>
      <c r="I111" t="n">
        <v>0</v>
      </c>
      <c r="J111" t="n">
        <v>0</v>
      </c>
      <c r="K111" t="n">
        <v>0</v>
      </c>
      <c r="L111" t="n">
        <v>0</v>
      </c>
      <c r="M111" t="n">
        <v>0</v>
      </c>
      <c r="N111" t="n">
        <v>0</v>
      </c>
      <c r="O111" t="n">
        <v>0</v>
      </c>
      <c r="P111" t="n">
        <v>0</v>
      </c>
      <c r="Q111" t="n">
        <v>0</v>
      </c>
      <c r="R111" s="2" t="inlineStr"/>
    </row>
    <row r="112" ht="15" customHeight="1">
      <c r="A112" t="inlineStr">
        <is>
          <t>A 31242-2024</t>
        </is>
      </c>
      <c r="B112" s="1" t="n">
        <v>45503</v>
      </c>
      <c r="C112" s="1" t="n">
        <v>46181</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192-2026</t>
        </is>
      </c>
      <c r="B113" s="1" t="n">
        <v>46025</v>
      </c>
      <c r="C113" s="1" t="n">
        <v>46181</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45956-2024</t>
        </is>
      </c>
      <c r="B114" s="1" t="n">
        <v>45580</v>
      </c>
      <c r="C114" s="1" t="n">
        <v>46181</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2162-2023</t>
        </is>
      </c>
      <c r="B115" s="1" t="n">
        <v>44941</v>
      </c>
      <c r="C115" s="1" t="n">
        <v>46181</v>
      </c>
      <c r="D115" t="inlineStr">
        <is>
          <t>UPPSALA LÄN</t>
        </is>
      </c>
      <c r="E115" t="inlineStr">
        <is>
          <t>ENKÖPING</t>
        </is>
      </c>
      <c r="G115" t="n">
        <v>2.4</v>
      </c>
      <c r="H115" t="n">
        <v>0</v>
      </c>
      <c r="I115" t="n">
        <v>0</v>
      </c>
      <c r="J115" t="n">
        <v>0</v>
      </c>
      <c r="K115" t="n">
        <v>0</v>
      </c>
      <c r="L115" t="n">
        <v>0</v>
      </c>
      <c r="M115" t="n">
        <v>0</v>
      </c>
      <c r="N115" t="n">
        <v>0</v>
      </c>
      <c r="O115" t="n">
        <v>0</v>
      </c>
      <c r="P115" t="n">
        <v>0</v>
      </c>
      <c r="Q115" t="n">
        <v>0</v>
      </c>
      <c r="R115" s="2" t="inlineStr"/>
    </row>
    <row r="116" ht="15" customHeight="1">
      <c r="A116" t="inlineStr">
        <is>
          <t>A 69344-2021</t>
        </is>
      </c>
      <c r="B116" s="1" t="n">
        <v>44531</v>
      </c>
      <c r="C116" s="1" t="n">
        <v>46181</v>
      </c>
      <c r="D116" t="inlineStr">
        <is>
          <t>UPPSALA LÄN</t>
        </is>
      </c>
      <c r="E116" t="inlineStr">
        <is>
          <t>ENKÖPING</t>
        </is>
      </c>
      <c r="G116" t="n">
        <v>2.9</v>
      </c>
      <c r="H116" t="n">
        <v>0</v>
      </c>
      <c r="I116" t="n">
        <v>0</v>
      </c>
      <c r="J116" t="n">
        <v>0</v>
      </c>
      <c r="K116" t="n">
        <v>0</v>
      </c>
      <c r="L116" t="n">
        <v>0</v>
      </c>
      <c r="M116" t="n">
        <v>0</v>
      </c>
      <c r="N116" t="n">
        <v>0</v>
      </c>
      <c r="O116" t="n">
        <v>0</v>
      </c>
      <c r="P116" t="n">
        <v>0</v>
      </c>
      <c r="Q116" t="n">
        <v>0</v>
      </c>
      <c r="R116" s="2" t="inlineStr"/>
    </row>
    <row r="117" ht="15" customHeight="1">
      <c r="A117" t="inlineStr">
        <is>
          <t>A 56163-2021</t>
        </is>
      </c>
      <c r="B117" s="1" t="n">
        <v>44477</v>
      </c>
      <c r="C117" s="1" t="n">
        <v>46181</v>
      </c>
      <c r="D117" t="inlineStr">
        <is>
          <t>UPPSALA LÄN</t>
        </is>
      </c>
      <c r="E117" t="inlineStr">
        <is>
          <t>ENKÖPING</t>
        </is>
      </c>
      <c r="F117" t="inlineStr">
        <is>
          <t>Allmännings- och besparingsskogar</t>
        </is>
      </c>
      <c r="G117" t="n">
        <v>0.6</v>
      </c>
      <c r="H117" t="n">
        <v>0</v>
      </c>
      <c r="I117" t="n">
        <v>0</v>
      </c>
      <c r="J117" t="n">
        <v>0</v>
      </c>
      <c r="K117" t="n">
        <v>0</v>
      </c>
      <c r="L117" t="n">
        <v>0</v>
      </c>
      <c r="M117" t="n">
        <v>0</v>
      </c>
      <c r="N117" t="n">
        <v>0</v>
      </c>
      <c r="O117" t="n">
        <v>0</v>
      </c>
      <c r="P117" t="n">
        <v>0</v>
      </c>
      <c r="Q117" t="n">
        <v>0</v>
      </c>
      <c r="R117" s="2" t="inlineStr"/>
    </row>
    <row r="118" ht="15" customHeight="1">
      <c r="A118" t="inlineStr">
        <is>
          <t>A 11627-2025</t>
        </is>
      </c>
      <c r="B118" s="1" t="n">
        <v>45727</v>
      </c>
      <c r="C118" s="1" t="n">
        <v>46181</v>
      </c>
      <c r="D118" t="inlineStr">
        <is>
          <t>UPPSALA LÄN</t>
        </is>
      </c>
      <c r="E118" t="inlineStr">
        <is>
          <t>ENKÖPING</t>
        </is>
      </c>
      <c r="G118" t="n">
        <v>5.5</v>
      </c>
      <c r="H118" t="n">
        <v>0</v>
      </c>
      <c r="I118" t="n">
        <v>0</v>
      </c>
      <c r="J118" t="n">
        <v>0</v>
      </c>
      <c r="K118" t="n">
        <v>0</v>
      </c>
      <c r="L118" t="n">
        <v>0</v>
      </c>
      <c r="M118" t="n">
        <v>0</v>
      </c>
      <c r="N118" t="n">
        <v>0</v>
      </c>
      <c r="O118" t="n">
        <v>0</v>
      </c>
      <c r="P118" t="n">
        <v>0</v>
      </c>
      <c r="Q118" t="n">
        <v>0</v>
      </c>
      <c r="R118" s="2" t="inlineStr"/>
    </row>
    <row r="119" ht="15" customHeight="1">
      <c r="A119" t="inlineStr">
        <is>
          <t>A 74090-2021</t>
        </is>
      </c>
      <c r="B119" s="1" t="n">
        <v>44557</v>
      </c>
      <c r="C119" s="1" t="n">
        <v>46181</v>
      </c>
      <c r="D119" t="inlineStr">
        <is>
          <t>UPPSALA LÄN</t>
        </is>
      </c>
      <c r="E119" t="inlineStr">
        <is>
          <t>ENKÖPING</t>
        </is>
      </c>
      <c r="G119" t="n">
        <v>2.1</v>
      </c>
      <c r="H119" t="n">
        <v>0</v>
      </c>
      <c r="I119" t="n">
        <v>0</v>
      </c>
      <c r="J119" t="n">
        <v>0</v>
      </c>
      <c r="K119" t="n">
        <v>0</v>
      </c>
      <c r="L119" t="n">
        <v>0</v>
      </c>
      <c r="M119" t="n">
        <v>0</v>
      </c>
      <c r="N119" t="n">
        <v>0</v>
      </c>
      <c r="O119" t="n">
        <v>0</v>
      </c>
      <c r="P119" t="n">
        <v>0</v>
      </c>
      <c r="Q119" t="n">
        <v>0</v>
      </c>
      <c r="R119" s="2" t="inlineStr"/>
    </row>
    <row r="120" ht="15" customHeight="1">
      <c r="A120" t="inlineStr">
        <is>
          <t>A 28318-2024</t>
        </is>
      </c>
      <c r="B120" s="1" t="n">
        <v>45477</v>
      </c>
      <c r="C120" s="1" t="n">
        <v>46181</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861-2026</t>
        </is>
      </c>
      <c r="B121" s="1" t="n">
        <v>46030</v>
      </c>
      <c r="C121" s="1" t="n">
        <v>46181</v>
      </c>
      <c r="D121" t="inlineStr">
        <is>
          <t>UPPSALA LÄN</t>
        </is>
      </c>
      <c r="E121" t="inlineStr">
        <is>
          <t>ENKÖPING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14402-2023</t>
        </is>
      </c>
      <c r="B122" s="1" t="n">
        <v>45012</v>
      </c>
      <c r="C122" s="1" t="n">
        <v>46181</v>
      </c>
      <c r="D122" t="inlineStr">
        <is>
          <t>UPPSALA LÄN</t>
        </is>
      </c>
      <c r="E122" t="inlineStr">
        <is>
          <t>ENKÖPING</t>
        </is>
      </c>
      <c r="G122" t="n">
        <v>9.5</v>
      </c>
      <c r="H122" t="n">
        <v>0</v>
      </c>
      <c r="I122" t="n">
        <v>0</v>
      </c>
      <c r="J122" t="n">
        <v>0</v>
      </c>
      <c r="K122" t="n">
        <v>0</v>
      </c>
      <c r="L122" t="n">
        <v>0</v>
      </c>
      <c r="M122" t="n">
        <v>0</v>
      </c>
      <c r="N122" t="n">
        <v>0</v>
      </c>
      <c r="O122" t="n">
        <v>0</v>
      </c>
      <c r="P122" t="n">
        <v>0</v>
      </c>
      <c r="Q122" t="n">
        <v>0</v>
      </c>
      <c r="R122" s="2" t="inlineStr"/>
    </row>
    <row r="123" ht="15" customHeight="1">
      <c r="A123" t="inlineStr">
        <is>
          <t>A 12020-2024</t>
        </is>
      </c>
      <c r="B123" s="1" t="n">
        <v>45377</v>
      </c>
      <c r="C123" s="1" t="n">
        <v>46181</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2218-2026</t>
        </is>
      </c>
      <c r="B124" s="1" t="n">
        <v>46036.50010416667</v>
      </c>
      <c r="C124" s="1" t="n">
        <v>46181</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69344-2021</t>
        </is>
      </c>
      <c r="B125" s="1" t="n">
        <v>44531</v>
      </c>
      <c r="C125" s="1" t="n">
        <v>46181</v>
      </c>
      <c r="D125" t="inlineStr">
        <is>
          <t>UPPSALA LÄN</t>
        </is>
      </c>
      <c r="E125" t="inlineStr">
        <is>
          <t>ENKÖPING</t>
        </is>
      </c>
      <c r="G125" t="n">
        <v>2.9</v>
      </c>
      <c r="H125" t="n">
        <v>0</v>
      </c>
      <c r="I125" t="n">
        <v>0</v>
      </c>
      <c r="J125" t="n">
        <v>0</v>
      </c>
      <c r="K125" t="n">
        <v>0</v>
      </c>
      <c r="L125" t="n">
        <v>0</v>
      </c>
      <c r="M125" t="n">
        <v>0</v>
      </c>
      <c r="N125" t="n">
        <v>0</v>
      </c>
      <c r="O125" t="n">
        <v>0</v>
      </c>
      <c r="P125" t="n">
        <v>0</v>
      </c>
      <c r="Q125" t="n">
        <v>0</v>
      </c>
      <c r="R125" s="2" t="inlineStr"/>
    </row>
    <row r="126" ht="15" customHeight="1">
      <c r="A126" t="inlineStr">
        <is>
          <t>A 58092-2024</t>
        </is>
      </c>
      <c r="B126" s="1" t="n">
        <v>45632</v>
      </c>
      <c r="C126" s="1" t="n">
        <v>46181</v>
      </c>
      <c r="D126" t="inlineStr">
        <is>
          <t>UPPSALA LÄN</t>
        </is>
      </c>
      <c r="E126" t="inlineStr">
        <is>
          <t>ENKÖPING</t>
        </is>
      </c>
      <c r="G126" t="n">
        <v>4.8</v>
      </c>
      <c r="H126" t="n">
        <v>0</v>
      </c>
      <c r="I126" t="n">
        <v>0</v>
      </c>
      <c r="J126" t="n">
        <v>0</v>
      </c>
      <c r="K126" t="n">
        <v>0</v>
      </c>
      <c r="L126" t="n">
        <v>0</v>
      </c>
      <c r="M126" t="n">
        <v>0</v>
      </c>
      <c r="N126" t="n">
        <v>0</v>
      </c>
      <c r="O126" t="n">
        <v>0</v>
      </c>
      <c r="P126" t="n">
        <v>0</v>
      </c>
      <c r="Q126" t="n">
        <v>0</v>
      </c>
      <c r="R126" s="2" t="inlineStr"/>
    </row>
    <row r="127" ht="15" customHeight="1">
      <c r="A127" t="inlineStr">
        <is>
          <t>A 34124-2021</t>
        </is>
      </c>
      <c r="B127" s="1" t="n">
        <v>44379</v>
      </c>
      <c r="C127" s="1" t="n">
        <v>46181</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27983-2024</t>
        </is>
      </c>
      <c r="B128" s="1" t="n">
        <v>45476</v>
      </c>
      <c r="C128" s="1" t="n">
        <v>46181</v>
      </c>
      <c r="D128" t="inlineStr">
        <is>
          <t>UPPSALA LÄN</t>
        </is>
      </c>
      <c r="E128" t="inlineStr">
        <is>
          <t>ENKÖPING</t>
        </is>
      </c>
      <c r="G128" t="n">
        <v>3.2</v>
      </c>
      <c r="H128" t="n">
        <v>0</v>
      </c>
      <c r="I128" t="n">
        <v>0</v>
      </c>
      <c r="J128" t="n">
        <v>0</v>
      </c>
      <c r="K128" t="n">
        <v>0</v>
      </c>
      <c r="L128" t="n">
        <v>0</v>
      </c>
      <c r="M128" t="n">
        <v>0</v>
      </c>
      <c r="N128" t="n">
        <v>0</v>
      </c>
      <c r="O128" t="n">
        <v>0</v>
      </c>
      <c r="P128" t="n">
        <v>0</v>
      </c>
      <c r="Q128" t="n">
        <v>0</v>
      </c>
      <c r="R128" s="2" t="inlineStr"/>
    </row>
    <row r="129" ht="15" customHeight="1">
      <c r="A129" t="inlineStr">
        <is>
          <t>A 24411-2024</t>
        </is>
      </c>
      <c r="B129" s="1" t="n">
        <v>45457</v>
      </c>
      <c r="C129" s="1" t="n">
        <v>46181</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51010-2024</t>
        </is>
      </c>
      <c r="B130" s="1" t="n">
        <v>45603.39285879629</v>
      </c>
      <c r="C130" s="1" t="n">
        <v>46181</v>
      </c>
      <c r="D130" t="inlineStr">
        <is>
          <t>UPPSALA LÄN</t>
        </is>
      </c>
      <c r="E130" t="inlineStr">
        <is>
          <t>ENKÖPING</t>
        </is>
      </c>
      <c r="G130" t="n">
        <v>1.7</v>
      </c>
      <c r="H130" t="n">
        <v>0</v>
      </c>
      <c r="I130" t="n">
        <v>0</v>
      </c>
      <c r="J130" t="n">
        <v>0</v>
      </c>
      <c r="K130" t="n">
        <v>0</v>
      </c>
      <c r="L130" t="n">
        <v>0</v>
      </c>
      <c r="M130" t="n">
        <v>0</v>
      </c>
      <c r="N130" t="n">
        <v>0</v>
      </c>
      <c r="O130" t="n">
        <v>0</v>
      </c>
      <c r="P130" t="n">
        <v>0</v>
      </c>
      <c r="Q130" t="n">
        <v>0</v>
      </c>
      <c r="R130" s="2" t="inlineStr"/>
    </row>
    <row r="131" ht="15" customHeight="1">
      <c r="A131" t="inlineStr">
        <is>
          <t>A 25988-2025</t>
        </is>
      </c>
      <c r="B131" s="1" t="n">
        <v>45804.64814814815</v>
      </c>
      <c r="C131" s="1" t="n">
        <v>46181</v>
      </c>
      <c r="D131" t="inlineStr">
        <is>
          <t>UPPSALA LÄN</t>
        </is>
      </c>
      <c r="E131" t="inlineStr">
        <is>
          <t>ENKÖPING</t>
        </is>
      </c>
      <c r="G131" t="n">
        <v>4.7</v>
      </c>
      <c r="H131" t="n">
        <v>0</v>
      </c>
      <c r="I131" t="n">
        <v>0</v>
      </c>
      <c r="J131" t="n">
        <v>0</v>
      </c>
      <c r="K131" t="n">
        <v>0</v>
      </c>
      <c r="L131" t="n">
        <v>0</v>
      </c>
      <c r="M131" t="n">
        <v>0</v>
      </c>
      <c r="N131" t="n">
        <v>0</v>
      </c>
      <c r="O131" t="n">
        <v>0</v>
      </c>
      <c r="P131" t="n">
        <v>0</v>
      </c>
      <c r="Q131" t="n">
        <v>0</v>
      </c>
      <c r="R131" s="2" t="inlineStr"/>
    </row>
    <row r="132" ht="15" customHeight="1">
      <c r="A132" t="inlineStr">
        <is>
          <t>A 26024-2025</t>
        </is>
      </c>
      <c r="B132" s="1" t="n">
        <v>45804.6831712963</v>
      </c>
      <c r="C132" s="1" t="n">
        <v>46181</v>
      </c>
      <c r="D132" t="inlineStr">
        <is>
          <t>UPPSALA LÄN</t>
        </is>
      </c>
      <c r="E132" t="inlineStr">
        <is>
          <t>ENKÖPING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26042-2025</t>
        </is>
      </c>
      <c r="B133" s="1" t="n">
        <v>45804.70018518518</v>
      </c>
      <c r="C133" s="1" t="n">
        <v>46181</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22912-2024</t>
        </is>
      </c>
      <c r="B134" s="1" t="n">
        <v>45448.73118055556</v>
      </c>
      <c r="C134" s="1" t="n">
        <v>46181</v>
      </c>
      <c r="D134" t="inlineStr">
        <is>
          <t>UPPSALA LÄN</t>
        </is>
      </c>
      <c r="E134" t="inlineStr">
        <is>
          <t>ENKÖPING</t>
        </is>
      </c>
      <c r="G134" t="n">
        <v>2.8</v>
      </c>
      <c r="H134" t="n">
        <v>0</v>
      </c>
      <c r="I134" t="n">
        <v>0</v>
      </c>
      <c r="J134" t="n">
        <v>0</v>
      </c>
      <c r="K134" t="n">
        <v>0</v>
      </c>
      <c r="L134" t="n">
        <v>0</v>
      </c>
      <c r="M134" t="n">
        <v>0</v>
      </c>
      <c r="N134" t="n">
        <v>0</v>
      </c>
      <c r="O134" t="n">
        <v>0</v>
      </c>
      <c r="P134" t="n">
        <v>0</v>
      </c>
      <c r="Q134" t="n">
        <v>0</v>
      </c>
      <c r="R134" s="2" t="inlineStr"/>
    </row>
    <row r="135" ht="15" customHeight="1">
      <c r="A135" t="inlineStr">
        <is>
          <t>A 26030-2025</t>
        </is>
      </c>
      <c r="B135" s="1" t="n">
        <v>45804.68815972222</v>
      </c>
      <c r="C135" s="1" t="n">
        <v>46181</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26047-2025</t>
        </is>
      </c>
      <c r="B136" s="1" t="n">
        <v>45804.70835648148</v>
      </c>
      <c r="C136" s="1" t="n">
        <v>46181</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9667-2024</t>
        </is>
      </c>
      <c r="B137" s="1" t="n">
        <v>45362.45130787037</v>
      </c>
      <c r="C137" s="1" t="n">
        <v>46181</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25847-2025</t>
        </is>
      </c>
      <c r="B138" s="1" t="n">
        <v>45804</v>
      </c>
      <c r="C138" s="1" t="n">
        <v>46181</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26005-2025</t>
        </is>
      </c>
      <c r="B139" s="1" t="n">
        <v>45804.67055555555</v>
      </c>
      <c r="C139" s="1" t="n">
        <v>46181</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26031-2025</t>
        </is>
      </c>
      <c r="B140" s="1" t="n">
        <v>45804.69050925926</v>
      </c>
      <c r="C140" s="1" t="n">
        <v>46181</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26041-2025</t>
        </is>
      </c>
      <c r="B141" s="1" t="n">
        <v>45804.69883101852</v>
      </c>
      <c r="C141" s="1" t="n">
        <v>46181</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26022-2025</t>
        </is>
      </c>
      <c r="B142" s="1" t="n">
        <v>45804.68006944445</v>
      </c>
      <c r="C142" s="1" t="n">
        <v>46181</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43506-2023</t>
        </is>
      </c>
      <c r="B143" s="1" t="n">
        <v>45181</v>
      </c>
      <c r="C143" s="1" t="n">
        <v>46181</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14004-2023</t>
        </is>
      </c>
      <c r="B144" s="1" t="n">
        <v>45008</v>
      </c>
      <c r="C144" s="1" t="n">
        <v>46181</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51012-2024</t>
        </is>
      </c>
      <c r="B145" s="1" t="n">
        <v>45603.39686342593</v>
      </c>
      <c r="C145" s="1" t="n">
        <v>46181</v>
      </c>
      <c r="D145" t="inlineStr">
        <is>
          <t>UPPSALA LÄN</t>
        </is>
      </c>
      <c r="E145" t="inlineStr">
        <is>
          <t>ENKÖPING</t>
        </is>
      </c>
      <c r="G145" t="n">
        <v>2.7</v>
      </c>
      <c r="H145" t="n">
        <v>0</v>
      </c>
      <c r="I145" t="n">
        <v>0</v>
      </c>
      <c r="J145" t="n">
        <v>0</v>
      </c>
      <c r="K145" t="n">
        <v>0</v>
      </c>
      <c r="L145" t="n">
        <v>0</v>
      </c>
      <c r="M145" t="n">
        <v>0</v>
      </c>
      <c r="N145" t="n">
        <v>0</v>
      </c>
      <c r="O145" t="n">
        <v>0</v>
      </c>
      <c r="P145" t="n">
        <v>0</v>
      </c>
      <c r="Q145" t="n">
        <v>0</v>
      </c>
      <c r="R145" s="2" t="inlineStr"/>
    </row>
    <row r="146" ht="15" customHeight="1">
      <c r="A146" t="inlineStr">
        <is>
          <t>A 41618-2025</t>
        </is>
      </c>
      <c r="B146" s="1" t="n">
        <v>45901.70085648148</v>
      </c>
      <c r="C146" s="1" t="n">
        <v>46181</v>
      </c>
      <c r="D146" t="inlineStr">
        <is>
          <t>UPPSALA LÄN</t>
        </is>
      </c>
      <c r="E146" t="inlineStr">
        <is>
          <t>ENKÖPING</t>
        </is>
      </c>
      <c r="F146" t="inlineStr">
        <is>
          <t>Allmännings- och besparingsskogar</t>
        </is>
      </c>
      <c r="G146" t="n">
        <v>5.3</v>
      </c>
      <c r="H146" t="n">
        <v>0</v>
      </c>
      <c r="I146" t="n">
        <v>0</v>
      </c>
      <c r="J146" t="n">
        <v>0</v>
      </c>
      <c r="K146" t="n">
        <v>0</v>
      </c>
      <c r="L146" t="n">
        <v>0</v>
      </c>
      <c r="M146" t="n">
        <v>0</v>
      </c>
      <c r="N146" t="n">
        <v>0</v>
      </c>
      <c r="O146" t="n">
        <v>0</v>
      </c>
      <c r="P146" t="n">
        <v>0</v>
      </c>
      <c r="Q146" t="n">
        <v>0</v>
      </c>
      <c r="R146" s="2" t="inlineStr"/>
    </row>
    <row r="147" ht="15" customHeight="1">
      <c r="A147" t="inlineStr">
        <is>
          <t>A 35067-2024</t>
        </is>
      </c>
      <c r="B147" s="1" t="n">
        <v>45527.66153935185</v>
      </c>
      <c r="C147" s="1" t="n">
        <v>46181</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41828-2024</t>
        </is>
      </c>
      <c r="B148" s="1" t="n">
        <v>45561</v>
      </c>
      <c r="C148" s="1" t="n">
        <v>46181</v>
      </c>
      <c r="D148" t="inlineStr">
        <is>
          <t>UPPSALA LÄN</t>
        </is>
      </c>
      <c r="E148" t="inlineStr">
        <is>
          <t>ENKÖPING</t>
        </is>
      </c>
      <c r="G148" t="n">
        <v>2.5</v>
      </c>
      <c r="H148" t="n">
        <v>0</v>
      </c>
      <c r="I148" t="n">
        <v>0</v>
      </c>
      <c r="J148" t="n">
        <v>0</v>
      </c>
      <c r="K148" t="n">
        <v>0</v>
      </c>
      <c r="L148" t="n">
        <v>0</v>
      </c>
      <c r="M148" t="n">
        <v>0</v>
      </c>
      <c r="N148" t="n">
        <v>0</v>
      </c>
      <c r="O148" t="n">
        <v>0</v>
      </c>
      <c r="P148" t="n">
        <v>0</v>
      </c>
      <c r="Q148" t="n">
        <v>0</v>
      </c>
      <c r="R148" s="2" t="inlineStr"/>
    </row>
    <row r="149" ht="15" customHeight="1">
      <c r="A149" t="inlineStr">
        <is>
          <t>A 47516-2022</t>
        </is>
      </c>
      <c r="B149" s="1" t="n">
        <v>44853.68895833333</v>
      </c>
      <c r="C149" s="1" t="n">
        <v>46181</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10465-2022</t>
        </is>
      </c>
      <c r="B150" s="1" t="n">
        <v>44623</v>
      </c>
      <c r="C150" s="1" t="n">
        <v>46181</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42029-2025</t>
        </is>
      </c>
      <c r="B151" s="1" t="n">
        <v>45903</v>
      </c>
      <c r="C151" s="1" t="n">
        <v>46181</v>
      </c>
      <c r="D151" t="inlineStr">
        <is>
          <t>UPPSALA LÄN</t>
        </is>
      </c>
      <c r="E151" t="inlineStr">
        <is>
          <t>ENKÖPING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42756-2025</t>
        </is>
      </c>
      <c r="B152" s="1" t="n">
        <v>45908</v>
      </c>
      <c r="C152" s="1" t="n">
        <v>46181</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11503-2024</t>
        </is>
      </c>
      <c r="B153" s="1" t="n">
        <v>45372.68020833333</v>
      </c>
      <c r="C153" s="1" t="n">
        <v>46181</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51042-2024</t>
        </is>
      </c>
      <c r="B154" s="1" t="n">
        <v>45603.4342824074</v>
      </c>
      <c r="C154" s="1" t="n">
        <v>46181</v>
      </c>
      <c r="D154" t="inlineStr">
        <is>
          <t>UPPSALA LÄN</t>
        </is>
      </c>
      <c r="E154" t="inlineStr">
        <is>
          <t>ENKÖPING</t>
        </is>
      </c>
      <c r="G154" t="n">
        <v>4.6</v>
      </c>
      <c r="H154" t="n">
        <v>0</v>
      </c>
      <c r="I154" t="n">
        <v>0</v>
      </c>
      <c r="J154" t="n">
        <v>0</v>
      </c>
      <c r="K154" t="n">
        <v>0</v>
      </c>
      <c r="L154" t="n">
        <v>0</v>
      </c>
      <c r="M154" t="n">
        <v>0</v>
      </c>
      <c r="N154" t="n">
        <v>0</v>
      </c>
      <c r="O154" t="n">
        <v>0</v>
      </c>
      <c r="P154" t="n">
        <v>0</v>
      </c>
      <c r="Q154" t="n">
        <v>0</v>
      </c>
      <c r="R154" s="2" t="inlineStr"/>
    </row>
    <row r="155" ht="15" customHeight="1">
      <c r="A155" t="inlineStr">
        <is>
          <t>A 2164-2023</t>
        </is>
      </c>
      <c r="B155" s="1" t="n">
        <v>44941</v>
      </c>
      <c r="C155" s="1" t="n">
        <v>46181</v>
      </c>
      <c r="D155" t="inlineStr">
        <is>
          <t>UPPSALA LÄN</t>
        </is>
      </c>
      <c r="E155" t="inlineStr">
        <is>
          <t>ENKÖPING</t>
        </is>
      </c>
      <c r="G155" t="n">
        <v>2.5</v>
      </c>
      <c r="H155" t="n">
        <v>0</v>
      </c>
      <c r="I155" t="n">
        <v>0</v>
      </c>
      <c r="J155" t="n">
        <v>0</v>
      </c>
      <c r="K155" t="n">
        <v>0</v>
      </c>
      <c r="L155" t="n">
        <v>0</v>
      </c>
      <c r="M155" t="n">
        <v>0</v>
      </c>
      <c r="N155" t="n">
        <v>0</v>
      </c>
      <c r="O155" t="n">
        <v>0</v>
      </c>
      <c r="P155" t="n">
        <v>0</v>
      </c>
      <c r="Q155" t="n">
        <v>0</v>
      </c>
      <c r="R155" s="2" t="inlineStr"/>
    </row>
    <row r="156" ht="15" customHeight="1">
      <c r="A156" t="inlineStr">
        <is>
          <t>A 22632-2025</t>
        </is>
      </c>
      <c r="B156" s="1" t="n">
        <v>45789.44361111111</v>
      </c>
      <c r="C156" s="1" t="n">
        <v>46181</v>
      </c>
      <c r="D156" t="inlineStr">
        <is>
          <t>UPPSALA LÄN</t>
        </is>
      </c>
      <c r="E156" t="inlineStr">
        <is>
          <t>ENKÖPING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51037-2024</t>
        </is>
      </c>
      <c r="B157" s="1" t="n">
        <v>45603.43005787037</v>
      </c>
      <c r="C157" s="1" t="n">
        <v>46181</v>
      </c>
      <c r="D157" t="inlineStr">
        <is>
          <t>UPPSALA LÄN</t>
        </is>
      </c>
      <c r="E157" t="inlineStr">
        <is>
          <t>ENKÖPING</t>
        </is>
      </c>
      <c r="G157" t="n">
        <v>5.7</v>
      </c>
      <c r="H157" t="n">
        <v>0</v>
      </c>
      <c r="I157" t="n">
        <v>0</v>
      </c>
      <c r="J157" t="n">
        <v>0</v>
      </c>
      <c r="K157" t="n">
        <v>0</v>
      </c>
      <c r="L157" t="n">
        <v>0</v>
      </c>
      <c r="M157" t="n">
        <v>0</v>
      </c>
      <c r="N157" t="n">
        <v>0</v>
      </c>
      <c r="O157" t="n">
        <v>0</v>
      </c>
      <c r="P157" t="n">
        <v>0</v>
      </c>
      <c r="Q157" t="n">
        <v>0</v>
      </c>
      <c r="R157" s="2" t="inlineStr"/>
    </row>
    <row r="158" ht="15" customHeight="1">
      <c r="A158" t="inlineStr">
        <is>
          <t>A 28855-2025</t>
        </is>
      </c>
      <c r="B158" s="1" t="n">
        <v>45820.58274305556</v>
      </c>
      <c r="C158" s="1" t="n">
        <v>46181</v>
      </c>
      <c r="D158" t="inlineStr">
        <is>
          <t>UPPSALA LÄN</t>
        </is>
      </c>
      <c r="E158" t="inlineStr">
        <is>
          <t>ENKÖPING</t>
        </is>
      </c>
      <c r="G158" t="n">
        <v>2.4</v>
      </c>
      <c r="H158" t="n">
        <v>0</v>
      </c>
      <c r="I158" t="n">
        <v>0</v>
      </c>
      <c r="J158" t="n">
        <v>0</v>
      </c>
      <c r="K158" t="n">
        <v>0</v>
      </c>
      <c r="L158" t="n">
        <v>0</v>
      </c>
      <c r="M158" t="n">
        <v>0</v>
      </c>
      <c r="N158" t="n">
        <v>0</v>
      </c>
      <c r="O158" t="n">
        <v>0</v>
      </c>
      <c r="P158" t="n">
        <v>0</v>
      </c>
      <c r="Q158" t="n">
        <v>0</v>
      </c>
      <c r="R158" s="2" t="inlineStr"/>
    </row>
    <row r="159" ht="15" customHeight="1">
      <c r="A159" t="inlineStr">
        <is>
          <t>A 28758-2025</t>
        </is>
      </c>
      <c r="B159" s="1" t="n">
        <v>45820.41212962963</v>
      </c>
      <c r="C159" s="1" t="n">
        <v>46181</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39009-2024</t>
        </is>
      </c>
      <c r="B160" s="1" t="n">
        <v>45548</v>
      </c>
      <c r="C160" s="1" t="n">
        <v>46181</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8537-2025</t>
        </is>
      </c>
      <c r="B161" s="1" t="n">
        <v>45709</v>
      </c>
      <c r="C161" s="1" t="n">
        <v>46181</v>
      </c>
      <c r="D161" t="inlineStr">
        <is>
          <t>UPPSALA LÄN</t>
        </is>
      </c>
      <c r="E161" t="inlineStr">
        <is>
          <t>ENKÖPING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28862-2025</t>
        </is>
      </c>
      <c r="B162" s="1" t="n">
        <v>45820.59189814814</v>
      </c>
      <c r="C162" s="1" t="n">
        <v>46181</v>
      </c>
      <c r="D162" t="inlineStr">
        <is>
          <t>UPPSALA LÄN</t>
        </is>
      </c>
      <c r="E162" t="inlineStr">
        <is>
          <t>ENKÖPING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29093-2025</t>
        </is>
      </c>
      <c r="B163" s="1" t="n">
        <v>45821.55743055556</v>
      </c>
      <c r="C163" s="1" t="n">
        <v>46181</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51027-2024</t>
        </is>
      </c>
      <c r="B164" s="1" t="n">
        <v>45603</v>
      </c>
      <c r="C164" s="1" t="n">
        <v>46181</v>
      </c>
      <c r="D164" t="inlineStr">
        <is>
          <t>UPPSALA LÄN</t>
        </is>
      </c>
      <c r="E164" t="inlineStr">
        <is>
          <t>ENKÖPING</t>
        </is>
      </c>
      <c r="G164" t="n">
        <v>3.5</v>
      </c>
      <c r="H164" t="n">
        <v>0</v>
      </c>
      <c r="I164" t="n">
        <v>0</v>
      </c>
      <c r="J164" t="n">
        <v>0</v>
      </c>
      <c r="K164" t="n">
        <v>0</v>
      </c>
      <c r="L164" t="n">
        <v>0</v>
      </c>
      <c r="M164" t="n">
        <v>0</v>
      </c>
      <c r="N164" t="n">
        <v>0</v>
      </c>
      <c r="O164" t="n">
        <v>0</v>
      </c>
      <c r="P164" t="n">
        <v>0</v>
      </c>
      <c r="Q164" t="n">
        <v>0</v>
      </c>
      <c r="R164" s="2" t="inlineStr"/>
    </row>
    <row r="165" ht="15" customHeight="1">
      <c r="A165" t="inlineStr">
        <is>
          <t>A 33955-2024</t>
        </is>
      </c>
      <c r="B165" s="1" t="n">
        <v>45523.46952546296</v>
      </c>
      <c r="C165" s="1" t="n">
        <v>46181</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6172-2023</t>
        </is>
      </c>
      <c r="B166" s="1" t="n">
        <v>44964.68663194445</v>
      </c>
      <c r="C166" s="1" t="n">
        <v>46181</v>
      </c>
      <c r="D166" t="inlineStr">
        <is>
          <t>UPPSALA LÄN</t>
        </is>
      </c>
      <c r="E166" t="inlineStr">
        <is>
          <t>ENKÖPING</t>
        </is>
      </c>
      <c r="G166" t="n">
        <v>2.6</v>
      </c>
      <c r="H166" t="n">
        <v>0</v>
      </c>
      <c r="I166" t="n">
        <v>0</v>
      </c>
      <c r="J166" t="n">
        <v>0</v>
      </c>
      <c r="K166" t="n">
        <v>0</v>
      </c>
      <c r="L166" t="n">
        <v>0</v>
      </c>
      <c r="M166" t="n">
        <v>0</v>
      </c>
      <c r="N166" t="n">
        <v>0</v>
      </c>
      <c r="O166" t="n">
        <v>0</v>
      </c>
      <c r="P166" t="n">
        <v>0</v>
      </c>
      <c r="Q166" t="n">
        <v>0</v>
      </c>
      <c r="R166" s="2" t="inlineStr"/>
    </row>
    <row r="167" ht="15" customHeight="1">
      <c r="A167" t="inlineStr">
        <is>
          <t>A 10409-2025</t>
        </is>
      </c>
      <c r="B167" s="1" t="n">
        <v>45720.631875</v>
      </c>
      <c r="C167" s="1" t="n">
        <v>46181</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43999-2025</t>
        </is>
      </c>
      <c r="B168" s="1" t="n">
        <v>45915.45158564814</v>
      </c>
      <c r="C168" s="1" t="n">
        <v>46181</v>
      </c>
      <c r="D168" t="inlineStr">
        <is>
          <t>UPPSALA LÄN</t>
        </is>
      </c>
      <c r="E168" t="inlineStr">
        <is>
          <t>ENKÖPING</t>
        </is>
      </c>
      <c r="G168" t="n">
        <v>4.1</v>
      </c>
      <c r="H168" t="n">
        <v>0</v>
      </c>
      <c r="I168" t="n">
        <v>0</v>
      </c>
      <c r="J168" t="n">
        <v>0</v>
      </c>
      <c r="K168" t="n">
        <v>0</v>
      </c>
      <c r="L168" t="n">
        <v>0</v>
      </c>
      <c r="M168" t="n">
        <v>0</v>
      </c>
      <c r="N168" t="n">
        <v>0</v>
      </c>
      <c r="O168" t="n">
        <v>0</v>
      </c>
      <c r="P168" t="n">
        <v>0</v>
      </c>
      <c r="Q168" t="n">
        <v>0</v>
      </c>
      <c r="R168" s="2" t="inlineStr"/>
    </row>
    <row r="169" ht="15" customHeight="1">
      <c r="A169" t="inlineStr">
        <is>
          <t>A 30837-2025</t>
        </is>
      </c>
      <c r="B169" s="1" t="n">
        <v>45831.7063425926</v>
      </c>
      <c r="C169" s="1" t="n">
        <v>46181</v>
      </c>
      <c r="D169" t="inlineStr">
        <is>
          <t>UPPSALA LÄN</t>
        </is>
      </c>
      <c r="E169" t="inlineStr">
        <is>
          <t>ENKÖPING</t>
        </is>
      </c>
      <c r="G169" t="n">
        <v>3.8</v>
      </c>
      <c r="H169" t="n">
        <v>0</v>
      </c>
      <c r="I169" t="n">
        <v>0</v>
      </c>
      <c r="J169" t="n">
        <v>0</v>
      </c>
      <c r="K169" t="n">
        <v>0</v>
      </c>
      <c r="L169" t="n">
        <v>0</v>
      </c>
      <c r="M169" t="n">
        <v>0</v>
      </c>
      <c r="N169" t="n">
        <v>0</v>
      </c>
      <c r="O169" t="n">
        <v>0</v>
      </c>
      <c r="P169" t="n">
        <v>0</v>
      </c>
      <c r="Q169" t="n">
        <v>0</v>
      </c>
      <c r="R169" s="2" t="inlineStr"/>
    </row>
    <row r="170" ht="15" customHeight="1">
      <c r="A170" t="inlineStr">
        <is>
          <t>A 5104-2026</t>
        </is>
      </c>
      <c r="B170" s="1" t="n">
        <v>46049.56914351852</v>
      </c>
      <c r="C170" s="1" t="n">
        <v>46181</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5569-2026</t>
        </is>
      </c>
      <c r="B171" s="1" t="n">
        <v>46050.89431712963</v>
      </c>
      <c r="C171" s="1" t="n">
        <v>46181</v>
      </c>
      <c r="D171" t="inlineStr">
        <is>
          <t>UPPSALA LÄN</t>
        </is>
      </c>
      <c r="E171" t="inlineStr">
        <is>
          <t>ENKÖPING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21686-2022</t>
        </is>
      </c>
      <c r="B172" s="1" t="n">
        <v>44707</v>
      </c>
      <c r="C172" s="1" t="n">
        <v>46181</v>
      </c>
      <c r="D172" t="inlineStr">
        <is>
          <t>UPPSALA LÄN</t>
        </is>
      </c>
      <c r="E172" t="inlineStr">
        <is>
          <t>ENKÖPING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29479-2022</t>
        </is>
      </c>
      <c r="B173" s="1" t="n">
        <v>44753.57265046296</v>
      </c>
      <c r="C173" s="1" t="n">
        <v>46181</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5948-2026</t>
        </is>
      </c>
      <c r="B174" s="1" t="n">
        <v>46052</v>
      </c>
      <c r="C174" s="1" t="n">
        <v>46181</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49525-2021</t>
        </is>
      </c>
      <c r="B175" s="1" t="n">
        <v>44455</v>
      </c>
      <c r="C175" s="1" t="n">
        <v>46181</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6031-2026</t>
        </is>
      </c>
      <c r="B176" s="1" t="n">
        <v>46052.61201388889</v>
      </c>
      <c r="C176" s="1" t="n">
        <v>46181</v>
      </c>
      <c r="D176" t="inlineStr">
        <is>
          <t>UPPSALA LÄN</t>
        </is>
      </c>
      <c r="E176" t="inlineStr">
        <is>
          <t>ENKÖPING</t>
        </is>
      </c>
      <c r="G176" t="n">
        <v>4.1</v>
      </c>
      <c r="H176" t="n">
        <v>0</v>
      </c>
      <c r="I176" t="n">
        <v>0</v>
      </c>
      <c r="J176" t="n">
        <v>0</v>
      </c>
      <c r="K176" t="n">
        <v>0</v>
      </c>
      <c r="L176" t="n">
        <v>0</v>
      </c>
      <c r="M176" t="n">
        <v>0</v>
      </c>
      <c r="N176" t="n">
        <v>0</v>
      </c>
      <c r="O176" t="n">
        <v>0</v>
      </c>
      <c r="P176" t="n">
        <v>0</v>
      </c>
      <c r="Q176" t="n">
        <v>0</v>
      </c>
      <c r="R176" s="2" t="inlineStr"/>
    </row>
    <row r="177" ht="15" customHeight="1">
      <c r="A177" t="inlineStr">
        <is>
          <t>A 45755-2025</t>
        </is>
      </c>
      <c r="B177" s="1" t="n">
        <v>45923.50240740741</v>
      </c>
      <c r="C177" s="1" t="n">
        <v>46181</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6047-2026</t>
        </is>
      </c>
      <c r="B178" s="1" t="n">
        <v>46052.62738425926</v>
      </c>
      <c r="C178" s="1" t="n">
        <v>46181</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46590-2025</t>
        </is>
      </c>
      <c r="B179" s="1" t="n">
        <v>45926.39542824074</v>
      </c>
      <c r="C179" s="1" t="n">
        <v>46181</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32031-2025</t>
        </is>
      </c>
      <c r="B180" s="1" t="n">
        <v>45835.41712962963</v>
      </c>
      <c r="C180" s="1" t="n">
        <v>46181</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32111-2025</t>
        </is>
      </c>
      <c r="B181" s="1" t="n">
        <v>45835</v>
      </c>
      <c r="C181" s="1" t="n">
        <v>46181</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57328-2024</t>
        </is>
      </c>
      <c r="B182" s="1" t="n">
        <v>45629.62798611111</v>
      </c>
      <c r="C182" s="1" t="n">
        <v>46181</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47441-2025</t>
        </is>
      </c>
      <c r="B183" s="1" t="n">
        <v>45930.63986111111</v>
      </c>
      <c r="C183" s="1" t="n">
        <v>46181</v>
      </c>
      <c r="D183" t="inlineStr">
        <is>
          <t>UPPSALA LÄN</t>
        </is>
      </c>
      <c r="E183" t="inlineStr">
        <is>
          <t>ENKÖPING</t>
        </is>
      </c>
      <c r="F183" t="inlineStr">
        <is>
          <t>Allmännings- och besparingsskogar</t>
        </is>
      </c>
      <c r="G183" t="n">
        <v>11.5</v>
      </c>
      <c r="H183" t="n">
        <v>0</v>
      </c>
      <c r="I183" t="n">
        <v>0</v>
      </c>
      <c r="J183" t="n">
        <v>0</v>
      </c>
      <c r="K183" t="n">
        <v>0</v>
      </c>
      <c r="L183" t="n">
        <v>0</v>
      </c>
      <c r="M183" t="n">
        <v>0</v>
      </c>
      <c r="N183" t="n">
        <v>0</v>
      </c>
      <c r="O183" t="n">
        <v>0</v>
      </c>
      <c r="P183" t="n">
        <v>0</v>
      </c>
      <c r="Q183" t="n">
        <v>0</v>
      </c>
      <c r="R183" s="2" t="inlineStr"/>
    </row>
    <row r="184" ht="15" customHeight="1">
      <c r="A184" t="inlineStr">
        <is>
          <t>A 56837-2024</t>
        </is>
      </c>
      <c r="B184" s="1" t="n">
        <v>45628</v>
      </c>
      <c r="C184" s="1" t="n">
        <v>46181</v>
      </c>
      <c r="D184" t="inlineStr">
        <is>
          <t>UPPSALA LÄN</t>
        </is>
      </c>
      <c r="E184" t="inlineStr">
        <is>
          <t>ENKÖPING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15740-2025</t>
        </is>
      </c>
      <c r="B185" s="1" t="n">
        <v>45748</v>
      </c>
      <c r="C185" s="1" t="n">
        <v>46181</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57848-2024</t>
        </is>
      </c>
      <c r="B186" s="1" t="n">
        <v>45631.40947916666</v>
      </c>
      <c r="C186" s="1" t="n">
        <v>46181</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55876-2024</t>
        </is>
      </c>
      <c r="B187" s="1" t="n">
        <v>45623.5546412037</v>
      </c>
      <c r="C187" s="1" t="n">
        <v>46181</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18994-2025</t>
        </is>
      </c>
      <c r="B188" s="1" t="n">
        <v>45764.57350694444</v>
      </c>
      <c r="C188" s="1" t="n">
        <v>46181</v>
      </c>
      <c r="D188" t="inlineStr">
        <is>
          <t>UPPSALA LÄN</t>
        </is>
      </c>
      <c r="E188" t="inlineStr">
        <is>
          <t>ENKÖPING</t>
        </is>
      </c>
      <c r="G188" t="n">
        <v>3.8</v>
      </c>
      <c r="H188" t="n">
        <v>0</v>
      </c>
      <c r="I188" t="n">
        <v>0</v>
      </c>
      <c r="J188" t="n">
        <v>0</v>
      </c>
      <c r="K188" t="n">
        <v>0</v>
      </c>
      <c r="L188" t="n">
        <v>0</v>
      </c>
      <c r="M188" t="n">
        <v>0</v>
      </c>
      <c r="N188" t="n">
        <v>0</v>
      </c>
      <c r="O188" t="n">
        <v>0</v>
      </c>
      <c r="P188" t="n">
        <v>0</v>
      </c>
      <c r="Q188" t="n">
        <v>0</v>
      </c>
      <c r="R188" s="2" t="inlineStr"/>
    </row>
    <row r="189" ht="15" customHeight="1">
      <c r="A189" t="inlineStr">
        <is>
          <t>A 49601-2024</t>
        </is>
      </c>
      <c r="B189" s="1" t="n">
        <v>45596.56288194445</v>
      </c>
      <c r="C189" s="1" t="n">
        <v>46181</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7003-2026</t>
        </is>
      </c>
      <c r="B190" s="1" t="n">
        <v>46057.63243055555</v>
      </c>
      <c r="C190" s="1" t="n">
        <v>46181</v>
      </c>
      <c r="D190" t="inlineStr">
        <is>
          <t>UPPSALA LÄN</t>
        </is>
      </c>
      <c r="E190" t="inlineStr">
        <is>
          <t>ENKÖPING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48678-2025</t>
        </is>
      </c>
      <c r="B191" s="1" t="n">
        <v>45936.59168981481</v>
      </c>
      <c r="C191" s="1" t="n">
        <v>46181</v>
      </c>
      <c r="D191" t="inlineStr">
        <is>
          <t>UPPSALA LÄN</t>
        </is>
      </c>
      <c r="E191" t="inlineStr">
        <is>
          <t>ENKÖPING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25334-2023</t>
        </is>
      </c>
      <c r="B192" s="1" t="n">
        <v>45083</v>
      </c>
      <c r="C192" s="1" t="n">
        <v>46181</v>
      </c>
      <c r="D192" t="inlineStr">
        <is>
          <t>UPPSALA LÄN</t>
        </is>
      </c>
      <c r="E192" t="inlineStr">
        <is>
          <t>ENKÖPING</t>
        </is>
      </c>
      <c r="G192" t="n">
        <v>0.2</v>
      </c>
      <c r="H192" t="n">
        <v>0</v>
      </c>
      <c r="I192" t="n">
        <v>0</v>
      </c>
      <c r="J192" t="n">
        <v>0</v>
      </c>
      <c r="K192" t="n">
        <v>0</v>
      </c>
      <c r="L192" t="n">
        <v>0</v>
      </c>
      <c r="M192" t="n">
        <v>0</v>
      </c>
      <c r="N192" t="n">
        <v>0</v>
      </c>
      <c r="O192" t="n">
        <v>0</v>
      </c>
      <c r="P192" t="n">
        <v>0</v>
      </c>
      <c r="Q192" t="n">
        <v>0</v>
      </c>
      <c r="R192" s="2" t="inlineStr"/>
    </row>
    <row r="193" ht="15" customHeight="1">
      <c r="A193" t="inlineStr">
        <is>
          <t>A 49068-2025</t>
        </is>
      </c>
      <c r="B193" s="1" t="n">
        <v>45937.64766203704</v>
      </c>
      <c r="C193" s="1" t="n">
        <v>46181</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7008-2026</t>
        </is>
      </c>
      <c r="B194" s="1" t="n">
        <v>46057.63806712963</v>
      </c>
      <c r="C194" s="1" t="n">
        <v>46181</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17844-2025</t>
        </is>
      </c>
      <c r="B195" s="1" t="n">
        <v>45758.59920138889</v>
      </c>
      <c r="C195" s="1" t="n">
        <v>46181</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29513-2025</t>
        </is>
      </c>
      <c r="B196" s="1" t="n">
        <v>45825</v>
      </c>
      <c r="C196" s="1" t="n">
        <v>46181</v>
      </c>
      <c r="D196" t="inlineStr">
        <is>
          <t>UPPSALA LÄN</t>
        </is>
      </c>
      <c r="E196" t="inlineStr">
        <is>
          <t>ENKÖPING</t>
        </is>
      </c>
      <c r="G196" t="n">
        <v>2.6</v>
      </c>
      <c r="H196" t="n">
        <v>0</v>
      </c>
      <c r="I196" t="n">
        <v>0</v>
      </c>
      <c r="J196" t="n">
        <v>0</v>
      </c>
      <c r="K196" t="n">
        <v>0</v>
      </c>
      <c r="L196" t="n">
        <v>0</v>
      </c>
      <c r="M196" t="n">
        <v>0</v>
      </c>
      <c r="N196" t="n">
        <v>0</v>
      </c>
      <c r="O196" t="n">
        <v>0</v>
      </c>
      <c r="P196" t="n">
        <v>0</v>
      </c>
      <c r="Q196" t="n">
        <v>0</v>
      </c>
      <c r="R196" s="2" t="inlineStr"/>
    </row>
    <row r="197" ht="15" customHeight="1">
      <c r="A197" t="inlineStr">
        <is>
          <t>A 39439-2025</t>
        </is>
      </c>
      <c r="B197" s="1" t="n">
        <v>45889</v>
      </c>
      <c r="C197" s="1" t="n">
        <v>46181</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21501-2025</t>
        </is>
      </c>
      <c r="B198" s="1" t="n">
        <v>45782</v>
      </c>
      <c r="C198" s="1" t="n">
        <v>46181</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43103-2025</t>
        </is>
      </c>
      <c r="B199" s="1" t="n">
        <v>45909</v>
      </c>
      <c r="C199" s="1" t="n">
        <v>46181</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34987-2025</t>
        </is>
      </c>
      <c r="B200" s="1" t="n">
        <v>45849</v>
      </c>
      <c r="C200" s="1" t="n">
        <v>46181</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8309-2026</t>
        </is>
      </c>
      <c r="B201" s="1" t="n">
        <v>46064.59081018518</v>
      </c>
      <c r="C201" s="1" t="n">
        <v>46181</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49073-2025</t>
        </is>
      </c>
      <c r="B202" s="1" t="n">
        <v>45937.65512731481</v>
      </c>
      <c r="C202" s="1" t="n">
        <v>46181</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36350-2025</t>
        </is>
      </c>
      <c r="B203" s="1" t="n">
        <v>45868</v>
      </c>
      <c r="C203" s="1" t="n">
        <v>46181</v>
      </c>
      <c r="D203" t="inlineStr">
        <is>
          <t>UPPSALA LÄN</t>
        </is>
      </c>
      <c r="E203" t="inlineStr">
        <is>
          <t>ENKÖPING</t>
        </is>
      </c>
      <c r="G203" t="n">
        <v>1.9</v>
      </c>
      <c r="H203" t="n">
        <v>0</v>
      </c>
      <c r="I203" t="n">
        <v>0</v>
      </c>
      <c r="J203" t="n">
        <v>0</v>
      </c>
      <c r="K203" t="n">
        <v>0</v>
      </c>
      <c r="L203" t="n">
        <v>0</v>
      </c>
      <c r="M203" t="n">
        <v>0</v>
      </c>
      <c r="N203" t="n">
        <v>0</v>
      </c>
      <c r="O203" t="n">
        <v>0</v>
      </c>
      <c r="P203" t="n">
        <v>0</v>
      </c>
      <c r="Q203" t="n">
        <v>0</v>
      </c>
      <c r="R203" s="2" t="inlineStr"/>
    </row>
    <row r="204" ht="15" customHeight="1">
      <c r="A204" t="inlineStr">
        <is>
          <t>A 36599-2025</t>
        </is>
      </c>
      <c r="B204" s="1" t="n">
        <v>45870.51723379629</v>
      </c>
      <c r="C204" s="1" t="n">
        <v>46181</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1695-2025</t>
        </is>
      </c>
      <c r="B205" s="1" t="n">
        <v>45670</v>
      </c>
      <c r="C205" s="1" t="n">
        <v>46181</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59027-2024</t>
        </is>
      </c>
      <c r="B206" s="1" t="n">
        <v>45636.68755787037</v>
      </c>
      <c r="C206" s="1" t="n">
        <v>46181</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37319-2025</t>
        </is>
      </c>
      <c r="B207" s="1" t="n">
        <v>45876</v>
      </c>
      <c r="C207" s="1" t="n">
        <v>46181</v>
      </c>
      <c r="D207" t="inlineStr">
        <is>
          <t>UPPSALA LÄN</t>
        </is>
      </c>
      <c r="E207" t="inlineStr">
        <is>
          <t>ENKÖPING</t>
        </is>
      </c>
      <c r="G207" t="n">
        <v>9.5</v>
      </c>
      <c r="H207" t="n">
        <v>0</v>
      </c>
      <c r="I207" t="n">
        <v>0</v>
      </c>
      <c r="J207" t="n">
        <v>0</v>
      </c>
      <c r="K207" t="n">
        <v>0</v>
      </c>
      <c r="L207" t="n">
        <v>0</v>
      </c>
      <c r="M207" t="n">
        <v>0</v>
      </c>
      <c r="N207" t="n">
        <v>0</v>
      </c>
      <c r="O207" t="n">
        <v>0</v>
      </c>
      <c r="P207" t="n">
        <v>0</v>
      </c>
      <c r="Q207" t="n">
        <v>0</v>
      </c>
      <c r="R207" s="2" t="inlineStr"/>
    </row>
    <row r="208" ht="15" customHeight="1">
      <c r="A208" t="inlineStr">
        <is>
          <t>A 37296-2025</t>
        </is>
      </c>
      <c r="B208" s="1" t="n">
        <v>45876</v>
      </c>
      <c r="C208" s="1" t="n">
        <v>46181</v>
      </c>
      <c r="D208" t="inlineStr">
        <is>
          <t>UPPSALA LÄN</t>
        </is>
      </c>
      <c r="E208" t="inlineStr">
        <is>
          <t>ENKÖPING</t>
        </is>
      </c>
      <c r="G208" t="n">
        <v>9.5</v>
      </c>
      <c r="H208" t="n">
        <v>0</v>
      </c>
      <c r="I208" t="n">
        <v>0</v>
      </c>
      <c r="J208" t="n">
        <v>0</v>
      </c>
      <c r="K208" t="n">
        <v>0</v>
      </c>
      <c r="L208" t="n">
        <v>0</v>
      </c>
      <c r="M208" t="n">
        <v>0</v>
      </c>
      <c r="N208" t="n">
        <v>0</v>
      </c>
      <c r="O208" t="n">
        <v>0</v>
      </c>
      <c r="P208" t="n">
        <v>0</v>
      </c>
      <c r="Q208" t="n">
        <v>0</v>
      </c>
      <c r="R208" s="2" t="inlineStr"/>
    </row>
    <row r="209" ht="15" customHeight="1">
      <c r="A209" t="inlineStr">
        <is>
          <t>A 37498-2025</t>
        </is>
      </c>
      <c r="B209" s="1" t="n">
        <v>45877</v>
      </c>
      <c r="C209" s="1" t="n">
        <v>46181</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9148-2026</t>
        </is>
      </c>
      <c r="B210" s="1" t="n">
        <v>46070.30946759259</v>
      </c>
      <c r="C210" s="1" t="n">
        <v>46181</v>
      </c>
      <c r="D210" t="inlineStr">
        <is>
          <t>UPPSALA LÄN</t>
        </is>
      </c>
      <c r="E210" t="inlineStr">
        <is>
          <t>ENKÖPING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51162-2025</t>
        </is>
      </c>
      <c r="B211" s="1" t="n">
        <v>45947.58820601852</v>
      </c>
      <c r="C211" s="1" t="n">
        <v>46181</v>
      </c>
      <c r="D211" t="inlineStr">
        <is>
          <t>UPPSALA LÄN</t>
        </is>
      </c>
      <c r="E211" t="inlineStr">
        <is>
          <t>ENKÖPING</t>
        </is>
      </c>
      <c r="G211" t="n">
        <v>3.4</v>
      </c>
      <c r="H211" t="n">
        <v>0</v>
      </c>
      <c r="I211" t="n">
        <v>0</v>
      </c>
      <c r="J211" t="n">
        <v>0</v>
      </c>
      <c r="K211" t="n">
        <v>0</v>
      </c>
      <c r="L211" t="n">
        <v>0</v>
      </c>
      <c r="M211" t="n">
        <v>0</v>
      </c>
      <c r="N211" t="n">
        <v>0</v>
      </c>
      <c r="O211" t="n">
        <v>0</v>
      </c>
      <c r="P211" t="n">
        <v>0</v>
      </c>
      <c r="Q211" t="n">
        <v>0</v>
      </c>
      <c r="R211" s="2" t="inlineStr"/>
    </row>
    <row r="212" ht="15" customHeight="1">
      <c r="A212" t="inlineStr">
        <is>
          <t>A 51133-2025</t>
        </is>
      </c>
      <c r="B212" s="1" t="n">
        <v>45947.55598379629</v>
      </c>
      <c r="C212" s="1" t="n">
        <v>46181</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49622-2024</t>
        </is>
      </c>
      <c r="B213" s="1" t="n">
        <v>45596.58372685185</v>
      </c>
      <c r="C213" s="1" t="n">
        <v>46181</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3235-2025</t>
        </is>
      </c>
      <c r="B214" s="1" t="n">
        <v>45679</v>
      </c>
      <c r="C214" s="1" t="n">
        <v>46181</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9467-2026</t>
        </is>
      </c>
      <c r="B215" s="1" t="n">
        <v>46071.50694444445</v>
      </c>
      <c r="C215" s="1" t="n">
        <v>46181</v>
      </c>
      <c r="D215" t="inlineStr">
        <is>
          <t>UPPSALA LÄN</t>
        </is>
      </c>
      <c r="E215" t="inlineStr">
        <is>
          <t>ENKÖPING</t>
        </is>
      </c>
      <c r="G215" t="n">
        <v>5.9</v>
      </c>
      <c r="H215" t="n">
        <v>0</v>
      </c>
      <c r="I215" t="n">
        <v>0</v>
      </c>
      <c r="J215" t="n">
        <v>0</v>
      </c>
      <c r="K215" t="n">
        <v>0</v>
      </c>
      <c r="L215" t="n">
        <v>0</v>
      </c>
      <c r="M215" t="n">
        <v>0</v>
      </c>
      <c r="N215" t="n">
        <v>0</v>
      </c>
      <c r="O215" t="n">
        <v>0</v>
      </c>
      <c r="P215" t="n">
        <v>0</v>
      </c>
      <c r="Q215" t="n">
        <v>0</v>
      </c>
      <c r="R215" s="2" t="inlineStr"/>
    </row>
    <row r="216" ht="15" customHeight="1">
      <c r="A216" t="inlineStr">
        <is>
          <t>A 9474-2026</t>
        </is>
      </c>
      <c r="B216" s="1" t="n">
        <v>46071.52324074074</v>
      </c>
      <c r="C216" s="1" t="n">
        <v>46181</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15711-2025</t>
        </is>
      </c>
      <c r="B217" s="1" t="n">
        <v>45748</v>
      </c>
      <c r="C217" s="1" t="n">
        <v>46181</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21017-2023</t>
        </is>
      </c>
      <c r="B218" s="1" t="n">
        <v>45061</v>
      </c>
      <c r="C218" s="1" t="n">
        <v>46181</v>
      </c>
      <c r="D218" t="inlineStr">
        <is>
          <t>UPPSALA LÄN</t>
        </is>
      </c>
      <c r="E218" t="inlineStr">
        <is>
          <t>ENKÖPING</t>
        </is>
      </c>
      <c r="G218" t="n">
        <v>4.8</v>
      </c>
      <c r="H218" t="n">
        <v>0</v>
      </c>
      <c r="I218" t="n">
        <v>0</v>
      </c>
      <c r="J218" t="n">
        <v>0</v>
      </c>
      <c r="K218" t="n">
        <v>0</v>
      </c>
      <c r="L218" t="n">
        <v>0</v>
      </c>
      <c r="M218" t="n">
        <v>0</v>
      </c>
      <c r="N218" t="n">
        <v>0</v>
      </c>
      <c r="O218" t="n">
        <v>0</v>
      </c>
      <c r="P218" t="n">
        <v>0</v>
      </c>
      <c r="Q218" t="n">
        <v>0</v>
      </c>
      <c r="R218" s="2" t="inlineStr"/>
    </row>
    <row r="219" ht="15" customHeight="1">
      <c r="A219" t="inlineStr">
        <is>
          <t>A 26017-2025</t>
        </is>
      </c>
      <c r="B219" s="1" t="n">
        <v>45804</v>
      </c>
      <c r="C219" s="1" t="n">
        <v>46181</v>
      </c>
      <c r="D219" t="inlineStr">
        <is>
          <t>UPPSALA LÄN</t>
        </is>
      </c>
      <c r="E219" t="inlineStr">
        <is>
          <t>ENKÖPING</t>
        </is>
      </c>
      <c r="G219" t="n">
        <v>0.4</v>
      </c>
      <c r="H219" t="n">
        <v>0</v>
      </c>
      <c r="I219" t="n">
        <v>0</v>
      </c>
      <c r="J219" t="n">
        <v>0</v>
      </c>
      <c r="K219" t="n">
        <v>0</v>
      </c>
      <c r="L219" t="n">
        <v>0</v>
      </c>
      <c r="M219" t="n">
        <v>0</v>
      </c>
      <c r="N219" t="n">
        <v>0</v>
      </c>
      <c r="O219" t="n">
        <v>0</v>
      </c>
      <c r="P219" t="n">
        <v>0</v>
      </c>
      <c r="Q219" t="n">
        <v>0</v>
      </c>
      <c r="R219" s="2" t="inlineStr"/>
    </row>
    <row r="220" ht="15" customHeight="1">
      <c r="A220" t="inlineStr">
        <is>
          <t>A 56176-2021</t>
        </is>
      </c>
      <c r="B220" s="1" t="n">
        <v>44477</v>
      </c>
      <c r="C220" s="1" t="n">
        <v>46181</v>
      </c>
      <c r="D220" t="inlineStr">
        <is>
          <t>UPPSALA LÄN</t>
        </is>
      </c>
      <c r="E220" t="inlineStr">
        <is>
          <t>ENKÖPING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9469-2026</t>
        </is>
      </c>
      <c r="B221" s="1" t="n">
        <v>46071.51248842593</v>
      </c>
      <c r="C221" s="1" t="n">
        <v>46181</v>
      </c>
      <c r="D221" t="inlineStr">
        <is>
          <t>UPPSALA LÄN</t>
        </is>
      </c>
      <c r="E221" t="inlineStr">
        <is>
          <t>ENKÖPING</t>
        </is>
      </c>
      <c r="G221" t="n">
        <v>3</v>
      </c>
      <c r="H221" t="n">
        <v>0</v>
      </c>
      <c r="I221" t="n">
        <v>0</v>
      </c>
      <c r="J221" t="n">
        <v>0</v>
      </c>
      <c r="K221" t="n">
        <v>0</v>
      </c>
      <c r="L221" t="n">
        <v>0</v>
      </c>
      <c r="M221" t="n">
        <v>0</v>
      </c>
      <c r="N221" t="n">
        <v>0</v>
      </c>
      <c r="O221" t="n">
        <v>0</v>
      </c>
      <c r="P221" t="n">
        <v>0</v>
      </c>
      <c r="Q221" t="n">
        <v>0</v>
      </c>
      <c r="R221" s="2" t="inlineStr"/>
    </row>
    <row r="222" ht="15" customHeight="1">
      <c r="A222" t="inlineStr">
        <is>
          <t>A 6959-2025</t>
        </is>
      </c>
      <c r="B222" s="1" t="n">
        <v>45701.49315972222</v>
      </c>
      <c r="C222" s="1" t="n">
        <v>46181</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17165-2025</t>
        </is>
      </c>
      <c r="B223" s="1" t="n">
        <v>45756</v>
      </c>
      <c r="C223" s="1" t="n">
        <v>46181</v>
      </c>
      <c r="D223" t="inlineStr">
        <is>
          <t>UPPSALA LÄN</t>
        </is>
      </c>
      <c r="E223" t="inlineStr">
        <is>
          <t>ENKÖPING</t>
        </is>
      </c>
      <c r="G223" t="n">
        <v>0.9</v>
      </c>
      <c r="H223" t="n">
        <v>0</v>
      </c>
      <c r="I223" t="n">
        <v>0</v>
      </c>
      <c r="J223" t="n">
        <v>0</v>
      </c>
      <c r="K223" t="n">
        <v>0</v>
      </c>
      <c r="L223" t="n">
        <v>0</v>
      </c>
      <c r="M223" t="n">
        <v>0</v>
      </c>
      <c r="N223" t="n">
        <v>0</v>
      </c>
      <c r="O223" t="n">
        <v>0</v>
      </c>
      <c r="P223" t="n">
        <v>0</v>
      </c>
      <c r="Q223" t="n">
        <v>0</v>
      </c>
      <c r="R223" s="2" t="inlineStr"/>
    </row>
    <row r="224" ht="15" customHeight="1">
      <c r="A224" t="inlineStr">
        <is>
          <t>A 26011-2025</t>
        </is>
      </c>
      <c r="B224" s="1" t="n">
        <v>45804.67412037037</v>
      </c>
      <c r="C224" s="1" t="n">
        <v>46181</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52299-2023</t>
        </is>
      </c>
      <c r="B225" s="1" t="n">
        <v>45224.61636574074</v>
      </c>
      <c r="C225" s="1" t="n">
        <v>46181</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32081-2024</t>
        </is>
      </c>
      <c r="B226" s="1" t="n">
        <v>45511.34605324074</v>
      </c>
      <c r="C226" s="1" t="n">
        <v>46181</v>
      </c>
      <c r="D226" t="inlineStr">
        <is>
          <t>UPPSALA LÄN</t>
        </is>
      </c>
      <c r="E226" t="inlineStr">
        <is>
          <t>ENKÖPING</t>
        </is>
      </c>
      <c r="G226" t="n">
        <v>5.4</v>
      </c>
      <c r="H226" t="n">
        <v>0</v>
      </c>
      <c r="I226" t="n">
        <v>0</v>
      </c>
      <c r="J226" t="n">
        <v>0</v>
      </c>
      <c r="K226" t="n">
        <v>0</v>
      </c>
      <c r="L226" t="n">
        <v>0</v>
      </c>
      <c r="M226" t="n">
        <v>0</v>
      </c>
      <c r="N226" t="n">
        <v>0</v>
      </c>
      <c r="O226" t="n">
        <v>0</v>
      </c>
      <c r="P226" t="n">
        <v>0</v>
      </c>
      <c r="Q226" t="n">
        <v>0</v>
      </c>
      <c r="R226" s="2" t="inlineStr"/>
    </row>
    <row r="227" ht="15" customHeight="1">
      <c r="A227" t="inlineStr">
        <is>
          <t>A 2850-2025</t>
        </is>
      </c>
      <c r="B227" s="1" t="n">
        <v>45677</v>
      </c>
      <c r="C227" s="1" t="n">
        <v>46181</v>
      </c>
      <c r="D227" t="inlineStr">
        <is>
          <t>UPPSALA LÄN</t>
        </is>
      </c>
      <c r="E227" t="inlineStr">
        <is>
          <t>ENKÖPING</t>
        </is>
      </c>
      <c r="G227" t="n">
        <v>0.3</v>
      </c>
      <c r="H227" t="n">
        <v>0</v>
      </c>
      <c r="I227" t="n">
        <v>0</v>
      </c>
      <c r="J227" t="n">
        <v>0</v>
      </c>
      <c r="K227" t="n">
        <v>0</v>
      </c>
      <c r="L227" t="n">
        <v>0</v>
      </c>
      <c r="M227" t="n">
        <v>0</v>
      </c>
      <c r="N227" t="n">
        <v>0</v>
      </c>
      <c r="O227" t="n">
        <v>0</v>
      </c>
      <c r="P227" t="n">
        <v>0</v>
      </c>
      <c r="Q227" t="n">
        <v>0</v>
      </c>
      <c r="R227" s="2" t="inlineStr"/>
    </row>
    <row r="228" ht="15" customHeight="1">
      <c r="A228" t="inlineStr">
        <is>
          <t>A 20184-2023</t>
        </is>
      </c>
      <c r="B228" s="1" t="n">
        <v>45055.5670949074</v>
      </c>
      <c r="C228" s="1" t="n">
        <v>46181</v>
      </c>
      <c r="D228" t="inlineStr">
        <is>
          <t>UPPSALA LÄN</t>
        </is>
      </c>
      <c r="E228" t="inlineStr">
        <is>
          <t>ENKÖPING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61952-2021</t>
        </is>
      </c>
      <c r="B229" s="1" t="n">
        <v>44502</v>
      </c>
      <c r="C229" s="1" t="n">
        <v>46181</v>
      </c>
      <c r="D229" t="inlineStr">
        <is>
          <t>UPPSALA LÄN</t>
        </is>
      </c>
      <c r="E229" t="inlineStr">
        <is>
          <t>ENKÖPING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54844-2025</t>
        </is>
      </c>
      <c r="B230" s="1" t="n">
        <v>45966.69570601852</v>
      </c>
      <c r="C230" s="1" t="n">
        <v>46181</v>
      </c>
      <c r="D230" t="inlineStr">
        <is>
          <t>UPPSALA LÄN</t>
        </is>
      </c>
      <c r="E230" t="inlineStr">
        <is>
          <t>ENKÖPING</t>
        </is>
      </c>
      <c r="G230" t="n">
        <v>5.5</v>
      </c>
      <c r="H230" t="n">
        <v>0</v>
      </c>
      <c r="I230" t="n">
        <v>0</v>
      </c>
      <c r="J230" t="n">
        <v>0</v>
      </c>
      <c r="K230" t="n">
        <v>0</v>
      </c>
      <c r="L230" t="n">
        <v>0</v>
      </c>
      <c r="M230" t="n">
        <v>0</v>
      </c>
      <c r="N230" t="n">
        <v>0</v>
      </c>
      <c r="O230" t="n">
        <v>0</v>
      </c>
      <c r="P230" t="n">
        <v>0</v>
      </c>
      <c r="Q230" t="n">
        <v>0</v>
      </c>
      <c r="R230" s="2" t="inlineStr"/>
    </row>
    <row r="231" ht="15" customHeight="1">
      <c r="A231" t="inlineStr">
        <is>
          <t>A 54541-2025</t>
        </is>
      </c>
      <c r="B231" s="1" t="n">
        <v>45965.64733796296</v>
      </c>
      <c r="C231" s="1" t="n">
        <v>46181</v>
      </c>
      <c r="D231" t="inlineStr">
        <is>
          <t>UPPSALA LÄN</t>
        </is>
      </c>
      <c r="E231" t="inlineStr">
        <is>
          <t>ENKÖPING</t>
        </is>
      </c>
      <c r="G231" t="n">
        <v>3.1</v>
      </c>
      <c r="H231" t="n">
        <v>0</v>
      </c>
      <c r="I231" t="n">
        <v>0</v>
      </c>
      <c r="J231" t="n">
        <v>0</v>
      </c>
      <c r="K231" t="n">
        <v>0</v>
      </c>
      <c r="L231" t="n">
        <v>0</v>
      </c>
      <c r="M231" t="n">
        <v>0</v>
      </c>
      <c r="N231" t="n">
        <v>0</v>
      </c>
      <c r="O231" t="n">
        <v>0</v>
      </c>
      <c r="P231" t="n">
        <v>0</v>
      </c>
      <c r="Q231" t="n">
        <v>0</v>
      </c>
      <c r="R231" s="2" t="inlineStr"/>
    </row>
    <row r="232" ht="15" customHeight="1">
      <c r="A232" t="inlineStr">
        <is>
          <t>A 59602-2022</t>
        </is>
      </c>
      <c r="B232" s="1" t="n">
        <v>44907.72241898148</v>
      </c>
      <c r="C232" s="1" t="n">
        <v>46181</v>
      </c>
      <c r="D232" t="inlineStr">
        <is>
          <t>UPPSALA LÄN</t>
        </is>
      </c>
      <c r="E232" t="inlineStr">
        <is>
          <t>ENKÖPING</t>
        </is>
      </c>
      <c r="G232" t="n">
        <v>14.2</v>
      </c>
      <c r="H232" t="n">
        <v>0</v>
      </c>
      <c r="I232" t="n">
        <v>0</v>
      </c>
      <c r="J232" t="n">
        <v>0</v>
      </c>
      <c r="K232" t="n">
        <v>0</v>
      </c>
      <c r="L232" t="n">
        <v>0</v>
      </c>
      <c r="M232" t="n">
        <v>0</v>
      </c>
      <c r="N232" t="n">
        <v>0</v>
      </c>
      <c r="O232" t="n">
        <v>0</v>
      </c>
      <c r="P232" t="n">
        <v>0</v>
      </c>
      <c r="Q232" t="n">
        <v>0</v>
      </c>
      <c r="R232" s="2" t="inlineStr"/>
    </row>
    <row r="233" ht="15" customHeight="1">
      <c r="A233" t="inlineStr">
        <is>
          <t>A 42589-2022</t>
        </is>
      </c>
      <c r="B233" s="1" t="n">
        <v>44831</v>
      </c>
      <c r="C233" s="1" t="n">
        <v>46181</v>
      </c>
      <c r="D233" t="inlineStr">
        <is>
          <t>UPPSALA LÄN</t>
        </is>
      </c>
      <c r="E233" t="inlineStr">
        <is>
          <t>ENKÖPING</t>
        </is>
      </c>
      <c r="G233" t="n">
        <v>20</v>
      </c>
      <c r="H233" t="n">
        <v>0</v>
      </c>
      <c r="I233" t="n">
        <v>0</v>
      </c>
      <c r="J233" t="n">
        <v>0</v>
      </c>
      <c r="K233" t="n">
        <v>0</v>
      </c>
      <c r="L233" t="n">
        <v>0</v>
      </c>
      <c r="M233" t="n">
        <v>0</v>
      </c>
      <c r="N233" t="n">
        <v>0</v>
      </c>
      <c r="O233" t="n">
        <v>0</v>
      </c>
      <c r="P233" t="n">
        <v>0</v>
      </c>
      <c r="Q233" t="n">
        <v>0</v>
      </c>
      <c r="R233" s="2" t="inlineStr"/>
    </row>
    <row r="234" ht="15" customHeight="1">
      <c r="A234" t="inlineStr">
        <is>
          <t>A 35645-2021</t>
        </is>
      </c>
      <c r="B234" s="1" t="n">
        <v>44386.42</v>
      </c>
      <c r="C234" s="1" t="n">
        <v>46181</v>
      </c>
      <c r="D234" t="inlineStr">
        <is>
          <t>UPPSALA LÄN</t>
        </is>
      </c>
      <c r="E234" t="inlineStr">
        <is>
          <t>ENKÖPING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9487-2025</t>
        </is>
      </c>
      <c r="B235" s="1" t="n">
        <v>45715.49331018519</v>
      </c>
      <c r="C235" s="1" t="n">
        <v>46181</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16176-2025</t>
        </is>
      </c>
      <c r="B236" s="1" t="n">
        <v>45750</v>
      </c>
      <c r="C236" s="1" t="n">
        <v>46181</v>
      </c>
      <c r="D236" t="inlineStr">
        <is>
          <t>UPPSALA LÄN</t>
        </is>
      </c>
      <c r="E236" t="inlineStr">
        <is>
          <t>ENKÖPING</t>
        </is>
      </c>
      <c r="G236" t="n">
        <v>3.9</v>
      </c>
      <c r="H236" t="n">
        <v>0</v>
      </c>
      <c r="I236" t="n">
        <v>0</v>
      </c>
      <c r="J236" t="n">
        <v>0</v>
      </c>
      <c r="K236" t="n">
        <v>0</v>
      </c>
      <c r="L236" t="n">
        <v>0</v>
      </c>
      <c r="M236" t="n">
        <v>0</v>
      </c>
      <c r="N236" t="n">
        <v>0</v>
      </c>
      <c r="O236" t="n">
        <v>0</v>
      </c>
      <c r="P236" t="n">
        <v>0</v>
      </c>
      <c r="Q236" t="n">
        <v>0</v>
      </c>
      <c r="R236" s="2" t="inlineStr"/>
    </row>
    <row r="237" ht="15" customHeight="1">
      <c r="A237" t="inlineStr">
        <is>
          <t>A 55567-2025</t>
        </is>
      </c>
      <c r="B237" s="1" t="n">
        <v>45971.65589120371</v>
      </c>
      <c r="C237" s="1" t="n">
        <v>46181</v>
      </c>
      <c r="D237" t="inlineStr">
        <is>
          <t>UPPSALA LÄN</t>
        </is>
      </c>
      <c r="E237" t="inlineStr">
        <is>
          <t>ENKÖPING</t>
        </is>
      </c>
      <c r="G237" t="n">
        <v>1.3</v>
      </c>
      <c r="H237" t="n">
        <v>0</v>
      </c>
      <c r="I237" t="n">
        <v>0</v>
      </c>
      <c r="J237" t="n">
        <v>0</v>
      </c>
      <c r="K237" t="n">
        <v>0</v>
      </c>
      <c r="L237" t="n">
        <v>0</v>
      </c>
      <c r="M237" t="n">
        <v>0</v>
      </c>
      <c r="N237" t="n">
        <v>0</v>
      </c>
      <c r="O237" t="n">
        <v>0</v>
      </c>
      <c r="P237" t="n">
        <v>0</v>
      </c>
      <c r="Q237" t="n">
        <v>0</v>
      </c>
      <c r="R237" s="2" t="inlineStr"/>
    </row>
    <row r="238" ht="15" customHeight="1">
      <c r="A238" t="inlineStr">
        <is>
          <t>A 37035-2023</t>
        </is>
      </c>
      <c r="B238" s="1" t="n">
        <v>45155</v>
      </c>
      <c r="C238" s="1" t="n">
        <v>46181</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46186-2023</t>
        </is>
      </c>
      <c r="B239" s="1" t="n">
        <v>45196</v>
      </c>
      <c r="C239" s="1" t="n">
        <v>46181</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15162-2025</t>
        </is>
      </c>
      <c r="B240" s="1" t="n">
        <v>45744</v>
      </c>
      <c r="C240" s="1" t="n">
        <v>46181</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18299-2025</t>
        </is>
      </c>
      <c r="B241" s="1" t="n">
        <v>45762</v>
      </c>
      <c r="C241" s="1" t="n">
        <v>46181</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6242-2025</t>
        </is>
      </c>
      <c r="B242" s="1" t="n">
        <v>45697</v>
      </c>
      <c r="C242" s="1" t="n">
        <v>46181</v>
      </c>
      <c r="D242" t="inlineStr">
        <is>
          <t>UPPSALA LÄN</t>
        </is>
      </c>
      <c r="E242" t="inlineStr">
        <is>
          <t>ENKÖPING</t>
        </is>
      </c>
      <c r="G242" t="n">
        <v>17.9</v>
      </c>
      <c r="H242" t="n">
        <v>0</v>
      </c>
      <c r="I242" t="n">
        <v>0</v>
      </c>
      <c r="J242" t="n">
        <v>0</v>
      </c>
      <c r="K242" t="n">
        <v>0</v>
      </c>
      <c r="L242" t="n">
        <v>0</v>
      </c>
      <c r="M242" t="n">
        <v>0</v>
      </c>
      <c r="N242" t="n">
        <v>0</v>
      </c>
      <c r="O242" t="n">
        <v>0</v>
      </c>
      <c r="P242" t="n">
        <v>0</v>
      </c>
      <c r="Q242" t="n">
        <v>0</v>
      </c>
      <c r="R242" s="2" t="inlineStr"/>
    </row>
    <row r="243" ht="15" customHeight="1">
      <c r="A243" t="inlineStr">
        <is>
          <t>A 6144-2024</t>
        </is>
      </c>
      <c r="B243" s="1" t="n">
        <v>45337.4684837963</v>
      </c>
      <c r="C243" s="1" t="n">
        <v>46181</v>
      </c>
      <c r="D243" t="inlineStr">
        <is>
          <t>UPPSALA LÄN</t>
        </is>
      </c>
      <c r="E243" t="inlineStr">
        <is>
          <t>ENKÖPING</t>
        </is>
      </c>
      <c r="G243" t="n">
        <v>13.8</v>
      </c>
      <c r="H243" t="n">
        <v>0</v>
      </c>
      <c r="I243" t="n">
        <v>0</v>
      </c>
      <c r="J243" t="n">
        <v>0</v>
      </c>
      <c r="K243" t="n">
        <v>0</v>
      </c>
      <c r="L243" t="n">
        <v>0</v>
      </c>
      <c r="M243" t="n">
        <v>0</v>
      </c>
      <c r="N243" t="n">
        <v>0</v>
      </c>
      <c r="O243" t="n">
        <v>0</v>
      </c>
      <c r="P243" t="n">
        <v>0</v>
      </c>
      <c r="Q243" t="n">
        <v>0</v>
      </c>
      <c r="R243" s="2" t="inlineStr"/>
    </row>
    <row r="244" ht="15" customHeight="1">
      <c r="A244" t="inlineStr">
        <is>
          <t>A 67984-2021</t>
        </is>
      </c>
      <c r="B244" s="1" t="n">
        <v>44525.70237268518</v>
      </c>
      <c r="C244" s="1" t="n">
        <v>46181</v>
      </c>
      <c r="D244" t="inlineStr">
        <is>
          <t>UPPSALA LÄN</t>
        </is>
      </c>
      <c r="E244" t="inlineStr">
        <is>
          <t>ENKÖPING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12411-2026</t>
        </is>
      </c>
      <c r="B245" s="1" t="n">
        <v>46090.42670138889</v>
      </c>
      <c r="C245" s="1" t="n">
        <v>46181</v>
      </c>
      <c r="D245" t="inlineStr">
        <is>
          <t>UPPSALA LÄN</t>
        </is>
      </c>
      <c r="E245" t="inlineStr">
        <is>
          <t>ENKÖPING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57294-2025</t>
        </is>
      </c>
      <c r="B246" s="1" t="n">
        <v>45979</v>
      </c>
      <c r="C246" s="1" t="n">
        <v>46181</v>
      </c>
      <c r="D246" t="inlineStr">
        <is>
          <t>UPPSALA LÄN</t>
        </is>
      </c>
      <c r="E246" t="inlineStr">
        <is>
          <t>ENKÖPING</t>
        </is>
      </c>
      <c r="G246" t="n">
        <v>6.2</v>
      </c>
      <c r="H246" t="n">
        <v>0</v>
      </c>
      <c r="I246" t="n">
        <v>0</v>
      </c>
      <c r="J246" t="n">
        <v>0</v>
      </c>
      <c r="K246" t="n">
        <v>0</v>
      </c>
      <c r="L246" t="n">
        <v>0</v>
      </c>
      <c r="M246" t="n">
        <v>0</v>
      </c>
      <c r="N246" t="n">
        <v>0</v>
      </c>
      <c r="O246" t="n">
        <v>0</v>
      </c>
      <c r="P246" t="n">
        <v>0</v>
      </c>
      <c r="Q246" t="n">
        <v>0</v>
      </c>
      <c r="R246" s="2" t="inlineStr"/>
    </row>
    <row r="247" ht="15" customHeight="1">
      <c r="A247" t="inlineStr">
        <is>
          <t>A 11918-2025</t>
        </is>
      </c>
      <c r="B247" s="1" t="n">
        <v>45728.49331018519</v>
      </c>
      <c r="C247" s="1" t="n">
        <v>46181</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58025-2025</t>
        </is>
      </c>
      <c r="B248" s="1" t="n">
        <v>45982</v>
      </c>
      <c r="C248" s="1" t="n">
        <v>46181</v>
      </c>
      <c r="D248" t="inlineStr">
        <is>
          <t>UPPSALA LÄN</t>
        </is>
      </c>
      <c r="E248" t="inlineStr">
        <is>
          <t>ENKÖPING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12997-2026</t>
        </is>
      </c>
      <c r="B249" s="1" t="n">
        <v>46092.6834375</v>
      </c>
      <c r="C249" s="1" t="n">
        <v>46181</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5953-2026</t>
        </is>
      </c>
      <c r="B250" s="1" t="n">
        <v>46052.49119212963</v>
      </c>
      <c r="C250" s="1" t="n">
        <v>46181</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12996-2026</t>
        </is>
      </c>
      <c r="B251" s="1" t="n">
        <v>46092.68149305556</v>
      </c>
      <c r="C251" s="1" t="n">
        <v>46181</v>
      </c>
      <c r="D251" t="inlineStr">
        <is>
          <t>UPPSALA LÄN</t>
        </is>
      </c>
      <c r="E251" t="inlineStr">
        <is>
          <t>ENKÖPING</t>
        </is>
      </c>
      <c r="G251" t="n">
        <v>2</v>
      </c>
      <c r="H251" t="n">
        <v>0</v>
      </c>
      <c r="I251" t="n">
        <v>0</v>
      </c>
      <c r="J251" t="n">
        <v>0</v>
      </c>
      <c r="K251" t="n">
        <v>0</v>
      </c>
      <c r="L251" t="n">
        <v>0</v>
      </c>
      <c r="M251" t="n">
        <v>0</v>
      </c>
      <c r="N251" t="n">
        <v>0</v>
      </c>
      <c r="O251" t="n">
        <v>0</v>
      </c>
      <c r="P251" t="n">
        <v>0</v>
      </c>
      <c r="Q251" t="n">
        <v>0</v>
      </c>
      <c r="R251" s="2" t="inlineStr"/>
    </row>
    <row r="252" ht="15" customHeight="1">
      <c r="A252" t="inlineStr">
        <is>
          <t>A 43896-2022</t>
        </is>
      </c>
      <c r="B252" s="1" t="n">
        <v>44838</v>
      </c>
      <c r="C252" s="1" t="n">
        <v>46181</v>
      </c>
      <c r="D252" t="inlineStr">
        <is>
          <t>UPPSALA LÄN</t>
        </is>
      </c>
      <c r="E252" t="inlineStr">
        <is>
          <t>ENKÖPING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20440-2025</t>
        </is>
      </c>
      <c r="B253" s="1" t="n">
        <v>45775</v>
      </c>
      <c r="C253" s="1" t="n">
        <v>46181</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13590-2026</t>
        </is>
      </c>
      <c r="B254" s="1" t="n">
        <v>46096</v>
      </c>
      <c r="C254" s="1" t="n">
        <v>46181</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41737-2022</t>
        </is>
      </c>
      <c r="B255" s="1" t="n">
        <v>44827.63826388889</v>
      </c>
      <c r="C255" s="1" t="n">
        <v>46181</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57188-2025</t>
        </is>
      </c>
      <c r="B256" s="1" t="n">
        <v>45979</v>
      </c>
      <c r="C256" s="1" t="n">
        <v>46181</v>
      </c>
      <c r="D256" t="inlineStr">
        <is>
          <t>UPPSALA LÄN</t>
        </is>
      </c>
      <c r="E256" t="inlineStr">
        <is>
          <t>ENKÖPING</t>
        </is>
      </c>
      <c r="G256" t="n">
        <v>1.7</v>
      </c>
      <c r="H256" t="n">
        <v>0</v>
      </c>
      <c r="I256" t="n">
        <v>0</v>
      </c>
      <c r="J256" t="n">
        <v>0</v>
      </c>
      <c r="K256" t="n">
        <v>0</v>
      </c>
      <c r="L256" t="n">
        <v>0</v>
      </c>
      <c r="M256" t="n">
        <v>0</v>
      </c>
      <c r="N256" t="n">
        <v>0</v>
      </c>
      <c r="O256" t="n">
        <v>0</v>
      </c>
      <c r="P256" t="n">
        <v>0</v>
      </c>
      <c r="Q256" t="n">
        <v>0</v>
      </c>
      <c r="R256" s="2" t="inlineStr"/>
    </row>
    <row r="257" ht="15" customHeight="1">
      <c r="A257" t="inlineStr">
        <is>
          <t>A 54595-2021</t>
        </is>
      </c>
      <c r="B257" s="1" t="n">
        <v>44473.58824074074</v>
      </c>
      <c r="C257" s="1" t="n">
        <v>46181</v>
      </c>
      <c r="D257" t="inlineStr">
        <is>
          <t>UPPSALA LÄN</t>
        </is>
      </c>
      <c r="E257" t="inlineStr">
        <is>
          <t>ENKÖPING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22094-2023</t>
        </is>
      </c>
      <c r="B258" s="1" t="n">
        <v>45069</v>
      </c>
      <c r="C258" s="1" t="n">
        <v>46181</v>
      </c>
      <c r="D258" t="inlineStr">
        <is>
          <t>UPPSALA LÄN</t>
        </is>
      </c>
      <c r="E258" t="inlineStr">
        <is>
          <t>ENKÖPING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35647-2021</t>
        </is>
      </c>
      <c r="B259" s="1" t="n">
        <v>44386</v>
      </c>
      <c r="C259" s="1" t="n">
        <v>46181</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59668-2025</t>
        </is>
      </c>
      <c r="B260" s="1" t="n">
        <v>45992.45567129629</v>
      </c>
      <c r="C260" s="1" t="n">
        <v>46181</v>
      </c>
      <c r="D260" t="inlineStr">
        <is>
          <t>UPPSALA LÄN</t>
        </is>
      </c>
      <c r="E260" t="inlineStr">
        <is>
          <t>ENKÖPING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24962-2023</t>
        </is>
      </c>
      <c r="B261" s="1" t="n">
        <v>45085.60123842592</v>
      </c>
      <c r="C261" s="1" t="n">
        <v>46181</v>
      </c>
      <c r="D261" t="inlineStr">
        <is>
          <t>UPPSALA LÄN</t>
        </is>
      </c>
      <c r="E261" t="inlineStr">
        <is>
          <t>ENKÖPING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44131-2023</t>
        </is>
      </c>
      <c r="B262" s="1" t="n">
        <v>45188</v>
      </c>
      <c r="C262" s="1" t="n">
        <v>46181</v>
      </c>
      <c r="D262" t="inlineStr">
        <is>
          <t>UPPSALA LÄN</t>
        </is>
      </c>
      <c r="E262" t="inlineStr">
        <is>
          <t>ENKÖPING</t>
        </is>
      </c>
      <c r="G262" t="n">
        <v>0.3</v>
      </c>
      <c r="H262" t="n">
        <v>0</v>
      </c>
      <c r="I262" t="n">
        <v>0</v>
      </c>
      <c r="J262" t="n">
        <v>0</v>
      </c>
      <c r="K262" t="n">
        <v>0</v>
      </c>
      <c r="L262" t="n">
        <v>0</v>
      </c>
      <c r="M262" t="n">
        <v>0</v>
      </c>
      <c r="N262" t="n">
        <v>0</v>
      </c>
      <c r="O262" t="n">
        <v>0</v>
      </c>
      <c r="P262" t="n">
        <v>0</v>
      </c>
      <c r="Q262" t="n">
        <v>0</v>
      </c>
      <c r="R262" s="2" t="inlineStr"/>
    </row>
    <row r="263" ht="15" customHeight="1">
      <c r="A263" t="inlineStr">
        <is>
          <t>A 29482-2022</t>
        </is>
      </c>
      <c r="B263" s="1" t="n">
        <v>44753.57703703704</v>
      </c>
      <c r="C263" s="1" t="n">
        <v>46181</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29483-2022</t>
        </is>
      </c>
      <c r="B264" s="1" t="n">
        <v>44753.57829861111</v>
      </c>
      <c r="C264" s="1" t="n">
        <v>46181</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37170-2021</t>
        </is>
      </c>
      <c r="B265" s="1" t="n">
        <v>44395</v>
      </c>
      <c r="C265" s="1" t="n">
        <v>46181</v>
      </c>
      <c r="D265" t="inlineStr">
        <is>
          <t>UPPSALA LÄN</t>
        </is>
      </c>
      <c r="E265" t="inlineStr">
        <is>
          <t>ENKÖPING</t>
        </is>
      </c>
      <c r="G265" t="n">
        <v>1.5</v>
      </c>
      <c r="H265" t="n">
        <v>0</v>
      </c>
      <c r="I265" t="n">
        <v>0</v>
      </c>
      <c r="J265" t="n">
        <v>0</v>
      </c>
      <c r="K265" t="n">
        <v>0</v>
      </c>
      <c r="L265" t="n">
        <v>0</v>
      </c>
      <c r="M265" t="n">
        <v>0</v>
      </c>
      <c r="N265" t="n">
        <v>0</v>
      </c>
      <c r="O265" t="n">
        <v>0</v>
      </c>
      <c r="P265" t="n">
        <v>0</v>
      </c>
      <c r="Q265" t="n">
        <v>0</v>
      </c>
      <c r="R265" s="2" t="inlineStr"/>
    </row>
    <row r="266" ht="15" customHeight="1">
      <c r="A266" t="inlineStr">
        <is>
          <t>A 14178-2026</t>
        </is>
      </c>
      <c r="B266" s="1" t="n">
        <v>46099.49608796297</v>
      </c>
      <c r="C266" s="1" t="n">
        <v>46181</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14260-2026</t>
        </is>
      </c>
      <c r="B267" s="1" t="n">
        <v>46099.63395833333</v>
      </c>
      <c r="C267" s="1" t="n">
        <v>46181</v>
      </c>
      <c r="D267" t="inlineStr">
        <is>
          <t>UPPSALA LÄN</t>
        </is>
      </c>
      <c r="E267" t="inlineStr">
        <is>
          <t>ENKÖPING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14298-2026</t>
        </is>
      </c>
      <c r="B268" s="1" t="n">
        <v>46099</v>
      </c>
      <c r="C268" s="1" t="n">
        <v>46181</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14182-2026</t>
        </is>
      </c>
      <c r="B269" s="1" t="n">
        <v>46099.49839120371</v>
      </c>
      <c r="C269" s="1" t="n">
        <v>46181</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14229-2026</t>
        </is>
      </c>
      <c r="B270" s="1" t="n">
        <v>46099</v>
      </c>
      <c r="C270" s="1" t="n">
        <v>46181</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59964-2025</t>
        </is>
      </c>
      <c r="B271" s="1" t="n">
        <v>45993.48043981481</v>
      </c>
      <c r="C271" s="1" t="n">
        <v>46181</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60174-2025</t>
        </is>
      </c>
      <c r="B272" s="1" t="n">
        <v>45994.45039351852</v>
      </c>
      <c r="C272" s="1" t="n">
        <v>46181</v>
      </c>
      <c r="D272" t="inlineStr">
        <is>
          <t>UPPSALA LÄN</t>
        </is>
      </c>
      <c r="E272" t="inlineStr">
        <is>
          <t>ENKÖPING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60175-2025</t>
        </is>
      </c>
      <c r="B273" s="1" t="n">
        <v>45994.45378472222</v>
      </c>
      <c r="C273" s="1" t="n">
        <v>46181</v>
      </c>
      <c r="D273" t="inlineStr">
        <is>
          <t>UPPSALA LÄN</t>
        </is>
      </c>
      <c r="E273" t="inlineStr">
        <is>
          <t>ENKÖPING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14296-2026</t>
        </is>
      </c>
      <c r="B274" s="1" t="n">
        <v>46099.7181712963</v>
      </c>
      <c r="C274" s="1" t="n">
        <v>46181</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53496-2022</t>
        </is>
      </c>
      <c r="B275" s="1" t="n">
        <v>44879.57217592592</v>
      </c>
      <c r="C275" s="1" t="n">
        <v>46181</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60340-2025</t>
        </is>
      </c>
      <c r="B276" s="1" t="n">
        <v>45994.83415509259</v>
      </c>
      <c r="C276" s="1" t="n">
        <v>46181</v>
      </c>
      <c r="D276" t="inlineStr">
        <is>
          <t>UPPSALA LÄN</t>
        </is>
      </c>
      <c r="E276" t="inlineStr">
        <is>
          <t>ENKÖPING</t>
        </is>
      </c>
      <c r="G276" t="n">
        <v>5.6</v>
      </c>
      <c r="H276" t="n">
        <v>0</v>
      </c>
      <c r="I276" t="n">
        <v>0</v>
      </c>
      <c r="J276" t="n">
        <v>0</v>
      </c>
      <c r="K276" t="n">
        <v>0</v>
      </c>
      <c r="L276" t="n">
        <v>0</v>
      </c>
      <c r="M276" t="n">
        <v>0</v>
      </c>
      <c r="N276" t="n">
        <v>0</v>
      </c>
      <c r="O276" t="n">
        <v>0</v>
      </c>
      <c r="P276" t="n">
        <v>0</v>
      </c>
      <c r="Q276" t="n">
        <v>0</v>
      </c>
      <c r="R276" s="2" t="inlineStr"/>
    </row>
    <row r="277" ht="15" customHeight="1">
      <c r="A277" t="inlineStr">
        <is>
          <t>A 7870-2024</t>
        </is>
      </c>
      <c r="B277" s="1" t="n">
        <v>45350.33349537037</v>
      </c>
      <c r="C277" s="1" t="n">
        <v>46181</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28243-2023</t>
        </is>
      </c>
      <c r="B278" s="1" t="n">
        <v>45099.58885416666</v>
      </c>
      <c r="C278" s="1" t="n">
        <v>46181</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10829-2024</t>
        </is>
      </c>
      <c r="B279" s="1" t="n">
        <v>45369</v>
      </c>
      <c r="C279" s="1" t="n">
        <v>46181</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2161-2023</t>
        </is>
      </c>
      <c r="B280" s="1" t="n">
        <v>44941</v>
      </c>
      <c r="C280" s="1" t="n">
        <v>46181</v>
      </c>
      <c r="D280" t="inlineStr">
        <is>
          <t>UPPSALA LÄN</t>
        </is>
      </c>
      <c r="E280" t="inlineStr">
        <is>
          <t>ENKÖPING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2165-2023</t>
        </is>
      </c>
      <c r="B281" s="1" t="n">
        <v>44941</v>
      </c>
      <c r="C281" s="1" t="n">
        <v>46181</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60947-2025</t>
        </is>
      </c>
      <c r="B282" s="1" t="n">
        <v>45999</v>
      </c>
      <c r="C282" s="1" t="n">
        <v>46181</v>
      </c>
      <c r="D282" t="inlineStr">
        <is>
          <t>UPPSALA LÄN</t>
        </is>
      </c>
      <c r="E282" t="inlineStr">
        <is>
          <t>ENKÖPING</t>
        </is>
      </c>
      <c r="G282" t="n">
        <v>4</v>
      </c>
      <c r="H282" t="n">
        <v>0</v>
      </c>
      <c r="I282" t="n">
        <v>0</v>
      </c>
      <c r="J282" t="n">
        <v>0</v>
      </c>
      <c r="K282" t="n">
        <v>0</v>
      </c>
      <c r="L282" t="n">
        <v>0</v>
      </c>
      <c r="M282" t="n">
        <v>0</v>
      </c>
      <c r="N282" t="n">
        <v>0</v>
      </c>
      <c r="O282" t="n">
        <v>0</v>
      </c>
      <c r="P282" t="n">
        <v>0</v>
      </c>
      <c r="Q282" t="n">
        <v>0</v>
      </c>
      <c r="R282" s="2" t="inlineStr"/>
    </row>
    <row r="283" ht="15" customHeight="1">
      <c r="A283" t="inlineStr">
        <is>
          <t>A 29477-2025</t>
        </is>
      </c>
      <c r="B283" s="1" t="n">
        <v>45824.71537037037</v>
      </c>
      <c r="C283" s="1" t="n">
        <v>46181</v>
      </c>
      <c r="D283" t="inlineStr">
        <is>
          <t>UPPSALA LÄN</t>
        </is>
      </c>
      <c r="E283" t="inlineStr">
        <is>
          <t>ENKÖPING</t>
        </is>
      </c>
      <c r="G283" t="n">
        <v>13.4</v>
      </c>
      <c r="H283" t="n">
        <v>0</v>
      </c>
      <c r="I283" t="n">
        <v>0</v>
      </c>
      <c r="J283" t="n">
        <v>0</v>
      </c>
      <c r="K283" t="n">
        <v>0</v>
      </c>
      <c r="L283" t="n">
        <v>0</v>
      </c>
      <c r="M283" t="n">
        <v>0</v>
      </c>
      <c r="N283" t="n">
        <v>0</v>
      </c>
      <c r="O283" t="n">
        <v>0</v>
      </c>
      <c r="P283" t="n">
        <v>0</v>
      </c>
      <c r="Q283" t="n">
        <v>0</v>
      </c>
      <c r="R283" s="2" t="inlineStr"/>
    </row>
    <row r="284" ht="15" customHeight="1">
      <c r="A284" t="inlineStr">
        <is>
          <t>A 60934-2025</t>
        </is>
      </c>
      <c r="B284" s="1" t="n">
        <v>45999</v>
      </c>
      <c r="C284" s="1" t="n">
        <v>46181</v>
      </c>
      <c r="D284" t="inlineStr">
        <is>
          <t>UPPSALA LÄN</t>
        </is>
      </c>
      <c r="E284" t="inlineStr">
        <is>
          <t>ENKÖPING</t>
        </is>
      </c>
      <c r="G284" t="n">
        <v>2.5</v>
      </c>
      <c r="H284" t="n">
        <v>0</v>
      </c>
      <c r="I284" t="n">
        <v>0</v>
      </c>
      <c r="J284" t="n">
        <v>0</v>
      </c>
      <c r="K284" t="n">
        <v>0</v>
      </c>
      <c r="L284" t="n">
        <v>0</v>
      </c>
      <c r="M284" t="n">
        <v>0</v>
      </c>
      <c r="N284" t="n">
        <v>0</v>
      </c>
      <c r="O284" t="n">
        <v>0</v>
      </c>
      <c r="P284" t="n">
        <v>0</v>
      </c>
      <c r="Q284" t="n">
        <v>0</v>
      </c>
      <c r="R284" s="2" t="inlineStr"/>
    </row>
    <row r="285" ht="15" customHeight="1">
      <c r="A285" t="inlineStr">
        <is>
          <t>A 61437-2025</t>
        </is>
      </c>
      <c r="B285" s="1" t="n">
        <v>46001.5659375</v>
      </c>
      <c r="C285" s="1" t="n">
        <v>46181</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38941-2025</t>
        </is>
      </c>
      <c r="B286" s="1" t="n">
        <v>45887</v>
      </c>
      <c r="C286" s="1" t="n">
        <v>46181</v>
      </c>
      <c r="D286" t="inlineStr">
        <is>
          <t>UPPSALA LÄN</t>
        </is>
      </c>
      <c r="E286" t="inlineStr">
        <is>
          <t>ENKÖPING</t>
        </is>
      </c>
      <c r="F286" t="inlineStr">
        <is>
          <t>Övriga statliga verk och myndigheter</t>
        </is>
      </c>
      <c r="G286" t="n">
        <v>0.6</v>
      </c>
      <c r="H286" t="n">
        <v>0</v>
      </c>
      <c r="I286" t="n">
        <v>0</v>
      </c>
      <c r="J286" t="n">
        <v>0</v>
      </c>
      <c r="K286" t="n">
        <v>0</v>
      </c>
      <c r="L286" t="n">
        <v>0</v>
      </c>
      <c r="M286" t="n">
        <v>0</v>
      </c>
      <c r="N286" t="n">
        <v>0</v>
      </c>
      <c r="O286" t="n">
        <v>0</v>
      </c>
      <c r="P286" t="n">
        <v>0</v>
      </c>
      <c r="Q286" t="n">
        <v>0</v>
      </c>
      <c r="R286" s="2" t="inlineStr"/>
    </row>
    <row r="287" ht="15" customHeight="1">
      <c r="A287" t="inlineStr">
        <is>
          <t>A 61778-2025</t>
        </is>
      </c>
      <c r="B287" s="1" t="n">
        <v>46002.66555555556</v>
      </c>
      <c r="C287" s="1" t="n">
        <v>46181</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13853-2023</t>
        </is>
      </c>
      <c r="B288" s="1" t="n">
        <v>45007</v>
      </c>
      <c r="C288" s="1" t="n">
        <v>46181</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61811-2025</t>
        </is>
      </c>
      <c r="B289" s="1" t="n">
        <v>46002.90059027778</v>
      </c>
      <c r="C289" s="1" t="n">
        <v>46181</v>
      </c>
      <c r="D289" t="inlineStr">
        <is>
          <t>UPPSALA LÄN</t>
        </is>
      </c>
      <c r="E289" t="inlineStr">
        <is>
          <t>ENKÖPING</t>
        </is>
      </c>
      <c r="F289" t="inlineStr">
        <is>
          <t>Allmännings- och besparingsskogar</t>
        </is>
      </c>
      <c r="G289" t="n">
        <v>4.7</v>
      </c>
      <c r="H289" t="n">
        <v>0</v>
      </c>
      <c r="I289" t="n">
        <v>0</v>
      </c>
      <c r="J289" t="n">
        <v>0</v>
      </c>
      <c r="K289" t="n">
        <v>0</v>
      </c>
      <c r="L289" t="n">
        <v>0</v>
      </c>
      <c r="M289" t="n">
        <v>0</v>
      </c>
      <c r="N289" t="n">
        <v>0</v>
      </c>
      <c r="O289" t="n">
        <v>0</v>
      </c>
      <c r="P289" t="n">
        <v>0</v>
      </c>
      <c r="Q289" t="n">
        <v>0</v>
      </c>
      <c r="R289" s="2" t="inlineStr"/>
    </row>
    <row r="290" ht="15" customHeight="1">
      <c r="A290" t="inlineStr">
        <is>
          <t>A 63310-2021</t>
        </is>
      </c>
      <c r="B290" s="1" t="n">
        <v>44508</v>
      </c>
      <c r="C290" s="1" t="n">
        <v>46181</v>
      </c>
      <c r="D290" t="inlineStr">
        <is>
          <t>UPPSALA LÄN</t>
        </is>
      </c>
      <c r="E290" t="inlineStr">
        <is>
          <t>ENKÖPING</t>
        </is>
      </c>
      <c r="G290" t="n">
        <v>3.5</v>
      </c>
      <c r="H290" t="n">
        <v>0</v>
      </c>
      <c r="I290" t="n">
        <v>0</v>
      </c>
      <c r="J290" t="n">
        <v>0</v>
      </c>
      <c r="K290" t="n">
        <v>0</v>
      </c>
      <c r="L290" t="n">
        <v>0</v>
      </c>
      <c r="M290" t="n">
        <v>0</v>
      </c>
      <c r="N290" t="n">
        <v>0</v>
      </c>
      <c r="O290" t="n">
        <v>0</v>
      </c>
      <c r="P290" t="n">
        <v>0</v>
      </c>
      <c r="Q290" t="n">
        <v>0</v>
      </c>
      <c r="R290" s="2" t="inlineStr"/>
    </row>
    <row r="291" ht="15" customHeight="1">
      <c r="A291" t="inlineStr">
        <is>
          <t>A 61889-2025</t>
        </is>
      </c>
      <c r="B291" s="1" t="n">
        <v>46003.44765046296</v>
      </c>
      <c r="C291" s="1" t="n">
        <v>46181</v>
      </c>
      <c r="D291" t="inlineStr">
        <is>
          <t>UPPSALA LÄN</t>
        </is>
      </c>
      <c r="E291" t="inlineStr">
        <is>
          <t>ENKÖPING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61106-2022</t>
        </is>
      </c>
      <c r="B292" s="1" t="n">
        <v>44915.4128587963</v>
      </c>
      <c r="C292" s="1" t="n">
        <v>46181</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15003-2026</t>
        </is>
      </c>
      <c r="B293" s="1" t="n">
        <v>46104.60931712963</v>
      </c>
      <c r="C293" s="1" t="n">
        <v>46181</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62772-2025</t>
        </is>
      </c>
      <c r="B294" s="1" t="n">
        <v>46008.60365740741</v>
      </c>
      <c r="C294" s="1" t="n">
        <v>46181</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9171-2024</t>
        </is>
      </c>
      <c r="B295" s="1" t="n">
        <v>45358</v>
      </c>
      <c r="C295" s="1" t="n">
        <v>46181</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62601-2025</t>
        </is>
      </c>
      <c r="B296" s="1" t="n">
        <v>46007.92395833333</v>
      </c>
      <c r="C296" s="1" t="n">
        <v>46181</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62602-2025</t>
        </is>
      </c>
      <c r="B297" s="1" t="n">
        <v>46007.92581018519</v>
      </c>
      <c r="C297" s="1" t="n">
        <v>46181</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671-2022</t>
        </is>
      </c>
      <c r="B298" s="1" t="n">
        <v>44568</v>
      </c>
      <c r="C298" s="1" t="n">
        <v>46181</v>
      </c>
      <c r="D298" t="inlineStr">
        <is>
          <t>UPPSALA LÄN</t>
        </is>
      </c>
      <c r="E298" t="inlineStr">
        <is>
          <t>ENKÖPING</t>
        </is>
      </c>
      <c r="G298" t="n">
        <v>3.5</v>
      </c>
      <c r="H298" t="n">
        <v>0</v>
      </c>
      <c r="I298" t="n">
        <v>0</v>
      </c>
      <c r="J298" t="n">
        <v>0</v>
      </c>
      <c r="K298" t="n">
        <v>0</v>
      </c>
      <c r="L298" t="n">
        <v>0</v>
      </c>
      <c r="M298" t="n">
        <v>0</v>
      </c>
      <c r="N298" t="n">
        <v>0</v>
      </c>
      <c r="O298" t="n">
        <v>0</v>
      </c>
      <c r="P298" t="n">
        <v>0</v>
      </c>
      <c r="Q298" t="n">
        <v>0</v>
      </c>
      <c r="R298" s="2" t="inlineStr"/>
    </row>
    <row r="299" ht="15" customHeight="1">
      <c r="A299" t="inlineStr">
        <is>
          <t>A 62600-2025</t>
        </is>
      </c>
      <c r="B299" s="1" t="n">
        <v>46007.92175925926</v>
      </c>
      <c r="C299" s="1" t="n">
        <v>46181</v>
      </c>
      <c r="D299" t="inlineStr">
        <is>
          <t>UPPSALA LÄN</t>
        </is>
      </c>
      <c r="E299" t="inlineStr">
        <is>
          <t>ENKÖPING</t>
        </is>
      </c>
      <c r="G299" t="n">
        <v>2</v>
      </c>
      <c r="H299" t="n">
        <v>0</v>
      </c>
      <c r="I299" t="n">
        <v>0</v>
      </c>
      <c r="J299" t="n">
        <v>0</v>
      </c>
      <c r="K299" t="n">
        <v>0</v>
      </c>
      <c r="L299" t="n">
        <v>0</v>
      </c>
      <c r="M299" t="n">
        <v>0</v>
      </c>
      <c r="N299" t="n">
        <v>0</v>
      </c>
      <c r="O299" t="n">
        <v>0</v>
      </c>
      <c r="P299" t="n">
        <v>0</v>
      </c>
      <c r="Q299" t="n">
        <v>0</v>
      </c>
      <c r="R299" s="2" t="inlineStr"/>
    </row>
    <row r="300" ht="15" customHeight="1">
      <c r="A300" t="inlineStr">
        <is>
          <t>A 11005-2023</t>
        </is>
      </c>
      <c r="B300" s="1" t="n">
        <v>44991</v>
      </c>
      <c r="C300" s="1" t="n">
        <v>46181</v>
      </c>
      <c r="D300" t="inlineStr">
        <is>
          <t>UPPSALA LÄN</t>
        </is>
      </c>
      <c r="E300" t="inlineStr">
        <is>
          <t>ENKÖPING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63128-2025</t>
        </is>
      </c>
      <c r="B301" s="1" t="n">
        <v>46009</v>
      </c>
      <c r="C301" s="1" t="n">
        <v>46181</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29918-2023</t>
        </is>
      </c>
      <c r="B302" s="1" t="n">
        <v>45099</v>
      </c>
      <c r="C302" s="1" t="n">
        <v>46181</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58384-2022</t>
        </is>
      </c>
      <c r="B303" s="1" t="n">
        <v>44901</v>
      </c>
      <c r="C303" s="1" t="n">
        <v>46181</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43016-2021</t>
        </is>
      </c>
      <c r="B304" s="1" t="n">
        <v>44431</v>
      </c>
      <c r="C304" s="1" t="n">
        <v>46181</v>
      </c>
      <c r="D304" t="inlineStr">
        <is>
          <t>UPPSALA LÄN</t>
        </is>
      </c>
      <c r="E304" t="inlineStr">
        <is>
          <t>ENKÖPING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15893-2024</t>
        </is>
      </c>
      <c r="B305" s="1" t="n">
        <v>45405</v>
      </c>
      <c r="C305" s="1" t="n">
        <v>46181</v>
      </c>
      <c r="D305" t="inlineStr">
        <is>
          <t>UPPSALA LÄN</t>
        </is>
      </c>
      <c r="E305" t="inlineStr">
        <is>
          <t>ENKÖPING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33343-2024</t>
        </is>
      </c>
      <c r="B306" s="1" t="n">
        <v>45519</v>
      </c>
      <c r="C306" s="1" t="n">
        <v>46181</v>
      </c>
      <c r="D306" t="inlineStr">
        <is>
          <t>UPPSALA LÄN</t>
        </is>
      </c>
      <c r="E306" t="inlineStr">
        <is>
          <t>ENKÖPING</t>
        </is>
      </c>
      <c r="G306" t="n">
        <v>2</v>
      </c>
      <c r="H306" t="n">
        <v>0</v>
      </c>
      <c r="I306" t="n">
        <v>0</v>
      </c>
      <c r="J306" t="n">
        <v>0</v>
      </c>
      <c r="K306" t="n">
        <v>0</v>
      </c>
      <c r="L306" t="n">
        <v>0</v>
      </c>
      <c r="M306" t="n">
        <v>0</v>
      </c>
      <c r="N306" t="n">
        <v>0</v>
      </c>
      <c r="O306" t="n">
        <v>0</v>
      </c>
      <c r="P306" t="n">
        <v>0</v>
      </c>
      <c r="Q306" t="n">
        <v>0</v>
      </c>
      <c r="R306" s="2" t="inlineStr"/>
    </row>
    <row r="307" ht="15" customHeight="1">
      <c r="A307" t="inlineStr">
        <is>
          <t>A 57142-2021</t>
        </is>
      </c>
      <c r="B307" s="1" t="n">
        <v>44482</v>
      </c>
      <c r="C307" s="1" t="n">
        <v>46181</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57153-2021</t>
        </is>
      </c>
      <c r="B308" s="1" t="n">
        <v>44482</v>
      </c>
      <c r="C308" s="1" t="n">
        <v>46181</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5188-2022</t>
        </is>
      </c>
      <c r="B309" s="1" t="n">
        <v>44594.4471412037</v>
      </c>
      <c r="C309" s="1" t="n">
        <v>46181</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19014-2025</t>
        </is>
      </c>
      <c r="B310" s="1" t="n">
        <v>45764.59631944444</v>
      </c>
      <c r="C310" s="1" t="n">
        <v>46181</v>
      </c>
      <c r="D310" t="inlineStr">
        <is>
          <t>UPPSALA LÄN</t>
        </is>
      </c>
      <c r="E310" t="inlineStr">
        <is>
          <t>ENKÖPING</t>
        </is>
      </c>
      <c r="G310" t="n">
        <v>0.2</v>
      </c>
      <c r="H310" t="n">
        <v>0</v>
      </c>
      <c r="I310" t="n">
        <v>0</v>
      </c>
      <c r="J310" t="n">
        <v>0</v>
      </c>
      <c r="K310" t="n">
        <v>0</v>
      </c>
      <c r="L310" t="n">
        <v>0</v>
      </c>
      <c r="M310" t="n">
        <v>0</v>
      </c>
      <c r="N310" t="n">
        <v>0</v>
      </c>
      <c r="O310" t="n">
        <v>0</v>
      </c>
      <c r="P310" t="n">
        <v>0</v>
      </c>
      <c r="Q310" t="n">
        <v>0</v>
      </c>
      <c r="R310" s="2" t="inlineStr"/>
    </row>
    <row r="311" ht="15" customHeight="1">
      <c r="A311" t="inlineStr">
        <is>
          <t>A 60848-2025</t>
        </is>
      </c>
      <c r="B311" s="1" t="n">
        <v>45999</v>
      </c>
      <c r="C311" s="1" t="n">
        <v>46181</v>
      </c>
      <c r="D311" t="inlineStr">
        <is>
          <t>UPPSALA LÄN</t>
        </is>
      </c>
      <c r="E311" t="inlineStr">
        <is>
          <t>ENKÖPING</t>
        </is>
      </c>
      <c r="G311" t="n">
        <v>2.5</v>
      </c>
      <c r="H311" t="n">
        <v>0</v>
      </c>
      <c r="I311" t="n">
        <v>0</v>
      </c>
      <c r="J311" t="n">
        <v>0</v>
      </c>
      <c r="K311" t="n">
        <v>0</v>
      </c>
      <c r="L311" t="n">
        <v>0</v>
      </c>
      <c r="M311" t="n">
        <v>0</v>
      </c>
      <c r="N311" t="n">
        <v>0</v>
      </c>
      <c r="O311" t="n">
        <v>0</v>
      </c>
      <c r="P311" t="n">
        <v>0</v>
      </c>
      <c r="Q311" t="n">
        <v>0</v>
      </c>
      <c r="R311" s="2" t="inlineStr"/>
    </row>
    <row r="312" ht="15" customHeight="1">
      <c r="A312" t="inlineStr">
        <is>
          <t>A 19376-2024</t>
        </is>
      </c>
      <c r="B312" s="1" t="n">
        <v>45429</v>
      </c>
      <c r="C312" s="1" t="n">
        <v>46181</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33670-2024</t>
        </is>
      </c>
      <c r="B313" s="1" t="n">
        <v>45520</v>
      </c>
      <c r="C313" s="1" t="n">
        <v>46181</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15547-2026</t>
        </is>
      </c>
      <c r="B314" s="1" t="n">
        <v>46106.52613425926</v>
      </c>
      <c r="C314" s="1" t="n">
        <v>46181</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19147-2024</t>
        </is>
      </c>
      <c r="B315" s="1" t="n">
        <v>45428</v>
      </c>
      <c r="C315" s="1" t="n">
        <v>46181</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67982-2021</t>
        </is>
      </c>
      <c r="B316" s="1" t="n">
        <v>44525</v>
      </c>
      <c r="C316" s="1" t="n">
        <v>46181</v>
      </c>
      <c r="D316" t="inlineStr">
        <is>
          <t>UPPSALA LÄN</t>
        </is>
      </c>
      <c r="E316" t="inlineStr">
        <is>
          <t>ENKÖPING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57835-2024</t>
        </is>
      </c>
      <c r="B317" s="1" t="n">
        <v>45631.39947916667</v>
      </c>
      <c r="C317" s="1" t="n">
        <v>46181</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21612-2023</t>
        </is>
      </c>
      <c r="B318" s="1" t="n">
        <v>45063</v>
      </c>
      <c r="C318" s="1" t="n">
        <v>46181</v>
      </c>
      <c r="D318" t="inlineStr">
        <is>
          <t>UPPSALA LÄN</t>
        </is>
      </c>
      <c r="E318" t="inlineStr">
        <is>
          <t>ENKÖPING</t>
        </is>
      </c>
      <c r="F318" t="inlineStr">
        <is>
          <t>Allmännings- och besparingsskogar</t>
        </is>
      </c>
      <c r="G318" t="n">
        <v>1</v>
      </c>
      <c r="H318" t="n">
        <v>0</v>
      </c>
      <c r="I318" t="n">
        <v>0</v>
      </c>
      <c r="J318" t="n">
        <v>0</v>
      </c>
      <c r="K318" t="n">
        <v>0</v>
      </c>
      <c r="L318" t="n">
        <v>0</v>
      </c>
      <c r="M318" t="n">
        <v>0</v>
      </c>
      <c r="N318" t="n">
        <v>0</v>
      </c>
      <c r="O318" t="n">
        <v>0</v>
      </c>
      <c r="P318" t="n">
        <v>0</v>
      </c>
      <c r="Q318" t="n">
        <v>0</v>
      </c>
      <c r="R318" s="2" t="inlineStr"/>
    </row>
    <row r="319" ht="15" customHeight="1">
      <c r="A319" t="inlineStr">
        <is>
          <t>A 39624-2023</t>
        </is>
      </c>
      <c r="B319" s="1" t="n">
        <v>45164</v>
      </c>
      <c r="C319" s="1" t="n">
        <v>46181</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5892-2023</t>
        </is>
      </c>
      <c r="B320" s="1" t="n">
        <v>44963.64883101852</v>
      </c>
      <c r="C320" s="1" t="n">
        <v>46181</v>
      </c>
      <c r="D320" t="inlineStr">
        <is>
          <t>UPPSALA LÄN</t>
        </is>
      </c>
      <c r="E320" t="inlineStr">
        <is>
          <t>ENKÖPING</t>
        </is>
      </c>
      <c r="G320" t="n">
        <v>5.5</v>
      </c>
      <c r="H320" t="n">
        <v>0</v>
      </c>
      <c r="I320" t="n">
        <v>0</v>
      </c>
      <c r="J320" t="n">
        <v>0</v>
      </c>
      <c r="K320" t="n">
        <v>0</v>
      </c>
      <c r="L320" t="n">
        <v>0</v>
      </c>
      <c r="M320" t="n">
        <v>0</v>
      </c>
      <c r="N320" t="n">
        <v>0</v>
      </c>
      <c r="O320" t="n">
        <v>0</v>
      </c>
      <c r="P320" t="n">
        <v>0</v>
      </c>
      <c r="Q320" t="n">
        <v>0</v>
      </c>
      <c r="R320" s="2" t="inlineStr"/>
    </row>
    <row r="321" ht="15" customHeight="1">
      <c r="A321" t="inlineStr">
        <is>
          <t>A 39858-2024</t>
        </is>
      </c>
      <c r="B321" s="1" t="n">
        <v>45553</v>
      </c>
      <c r="C321" s="1" t="n">
        <v>46181</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21862-2026</t>
        </is>
      </c>
      <c r="B322" s="1" t="n">
        <v>46150.55599537037</v>
      </c>
      <c r="C322" s="1" t="n">
        <v>46181</v>
      </c>
      <c r="D322" t="inlineStr">
        <is>
          <t>UPPSALA LÄN</t>
        </is>
      </c>
      <c r="E322" t="inlineStr">
        <is>
          <t>ENKÖPING</t>
        </is>
      </c>
      <c r="G322" t="n">
        <v>4.1</v>
      </c>
      <c r="H322" t="n">
        <v>0</v>
      </c>
      <c r="I322" t="n">
        <v>0</v>
      </c>
      <c r="J322" t="n">
        <v>0</v>
      </c>
      <c r="K322" t="n">
        <v>0</v>
      </c>
      <c r="L322" t="n">
        <v>0</v>
      </c>
      <c r="M322" t="n">
        <v>0</v>
      </c>
      <c r="N322" t="n">
        <v>0</v>
      </c>
      <c r="O322" t="n">
        <v>0</v>
      </c>
      <c r="P322" t="n">
        <v>0</v>
      </c>
      <c r="Q322" t="n">
        <v>0</v>
      </c>
      <c r="R322" s="2" t="inlineStr"/>
    </row>
    <row r="323" ht="15" customHeight="1">
      <c r="A323" t="inlineStr">
        <is>
          <t>A 9957-2023</t>
        </is>
      </c>
      <c r="B323" s="1" t="n">
        <v>44978</v>
      </c>
      <c r="C323" s="1" t="n">
        <v>46181</v>
      </c>
      <c r="D323" t="inlineStr">
        <is>
          <t>UPPSALA LÄN</t>
        </is>
      </c>
      <c r="E323" t="inlineStr">
        <is>
          <t>ENKÖPING</t>
        </is>
      </c>
      <c r="G323" t="n">
        <v>5.9</v>
      </c>
      <c r="H323" t="n">
        <v>0</v>
      </c>
      <c r="I323" t="n">
        <v>0</v>
      </c>
      <c r="J323" t="n">
        <v>0</v>
      </c>
      <c r="K323" t="n">
        <v>0</v>
      </c>
      <c r="L323" t="n">
        <v>0</v>
      </c>
      <c r="M323" t="n">
        <v>0</v>
      </c>
      <c r="N323" t="n">
        <v>0</v>
      </c>
      <c r="O323" t="n">
        <v>0</v>
      </c>
      <c r="P323" t="n">
        <v>0</v>
      </c>
      <c r="Q323" t="n">
        <v>0</v>
      </c>
      <c r="R323" s="2" t="inlineStr"/>
    </row>
    <row r="324" ht="15" customHeight="1">
      <c r="A324" t="inlineStr">
        <is>
          <t>A 22315-2026</t>
        </is>
      </c>
      <c r="B324" s="1" t="n">
        <v>46154.49106481481</v>
      </c>
      <c r="C324" s="1" t="n">
        <v>46181</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8152-2022</t>
        </is>
      </c>
      <c r="B325" s="1" t="n">
        <v>44609</v>
      </c>
      <c r="C325" s="1" t="n">
        <v>46181</v>
      </c>
      <c r="D325" t="inlineStr">
        <is>
          <t>UPPSALA LÄN</t>
        </is>
      </c>
      <c r="E325" t="inlineStr">
        <is>
          <t>ENKÖPING</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17657-2025</t>
        </is>
      </c>
      <c r="B326" s="1" t="n">
        <v>45758.35006944444</v>
      </c>
      <c r="C326" s="1" t="n">
        <v>46181</v>
      </c>
      <c r="D326" t="inlineStr">
        <is>
          <t>UPPSALA LÄN</t>
        </is>
      </c>
      <c r="E326" t="inlineStr">
        <is>
          <t>ENKÖPING</t>
        </is>
      </c>
      <c r="G326" t="n">
        <v>3</v>
      </c>
      <c r="H326" t="n">
        <v>0</v>
      </c>
      <c r="I326" t="n">
        <v>0</v>
      </c>
      <c r="J326" t="n">
        <v>0</v>
      </c>
      <c r="K326" t="n">
        <v>0</v>
      </c>
      <c r="L326" t="n">
        <v>0</v>
      </c>
      <c r="M326" t="n">
        <v>0</v>
      </c>
      <c r="N326" t="n">
        <v>0</v>
      </c>
      <c r="O326" t="n">
        <v>0</v>
      </c>
      <c r="P326" t="n">
        <v>0</v>
      </c>
      <c r="Q326" t="n">
        <v>0</v>
      </c>
      <c r="R326" s="2" t="inlineStr"/>
    </row>
    <row r="327" ht="15" customHeight="1">
      <c r="A327" t="inlineStr">
        <is>
          <t>A 15939-2022</t>
        </is>
      </c>
      <c r="B327" s="1" t="n">
        <v>44664</v>
      </c>
      <c r="C327" s="1" t="n">
        <v>46181</v>
      </c>
      <c r="D327" t="inlineStr">
        <is>
          <t>UPPSALA LÄN</t>
        </is>
      </c>
      <c r="E327" t="inlineStr">
        <is>
          <t>ENKÖPING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50394-2024</t>
        </is>
      </c>
      <c r="B328" s="1" t="n">
        <v>45600</v>
      </c>
      <c r="C328" s="1" t="n">
        <v>46181</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72840-2021</t>
        </is>
      </c>
      <c r="B329" s="1" t="n">
        <v>44547</v>
      </c>
      <c r="C329" s="1" t="n">
        <v>46181</v>
      </c>
      <c r="D329" t="inlineStr">
        <is>
          <t>UPPSALA LÄN</t>
        </is>
      </c>
      <c r="E329" t="inlineStr">
        <is>
          <t>ENKÖPING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37870-2023</t>
        </is>
      </c>
      <c r="B330" s="1" t="n">
        <v>45160.41996527778</v>
      </c>
      <c r="C330" s="1" t="n">
        <v>46181</v>
      </c>
      <c r="D330" t="inlineStr">
        <is>
          <t>UPPSALA LÄN</t>
        </is>
      </c>
      <c r="E330" t="inlineStr">
        <is>
          <t>ENKÖPING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7090-2022</t>
        </is>
      </c>
      <c r="B331" s="1" t="n">
        <v>44603.59520833333</v>
      </c>
      <c r="C331" s="1" t="n">
        <v>46181</v>
      </c>
      <c r="D331" t="inlineStr">
        <is>
          <t>UPPSALA LÄN</t>
        </is>
      </c>
      <c r="E331" t="inlineStr">
        <is>
          <t>ENKÖPING</t>
        </is>
      </c>
      <c r="G331" t="n">
        <v>2.8</v>
      </c>
      <c r="H331" t="n">
        <v>0</v>
      </c>
      <c r="I331" t="n">
        <v>0</v>
      </c>
      <c r="J331" t="n">
        <v>0</v>
      </c>
      <c r="K331" t="n">
        <v>0</v>
      </c>
      <c r="L331" t="n">
        <v>0</v>
      </c>
      <c r="M331" t="n">
        <v>0</v>
      </c>
      <c r="N331" t="n">
        <v>0</v>
      </c>
      <c r="O331" t="n">
        <v>0</v>
      </c>
      <c r="P331" t="n">
        <v>0</v>
      </c>
      <c r="Q331" t="n">
        <v>0</v>
      </c>
      <c r="R331" s="2" t="inlineStr"/>
    </row>
    <row r="332" ht="15" customHeight="1">
      <c r="A332" t="inlineStr">
        <is>
          <t>A 19298-2023</t>
        </is>
      </c>
      <c r="B332" s="1" t="n">
        <v>45048</v>
      </c>
      <c r="C332" s="1" t="n">
        <v>46181</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15409-2025</t>
        </is>
      </c>
      <c r="B333" s="1" t="n">
        <v>45747</v>
      </c>
      <c r="C333" s="1" t="n">
        <v>46181</v>
      </c>
      <c r="D333" t="inlineStr">
        <is>
          <t>UPPSALA LÄN</t>
        </is>
      </c>
      <c r="E333" t="inlineStr">
        <is>
          <t>ENKÖPING</t>
        </is>
      </c>
      <c r="G333" t="n">
        <v>2.5</v>
      </c>
      <c r="H333" t="n">
        <v>0</v>
      </c>
      <c r="I333" t="n">
        <v>0</v>
      </c>
      <c r="J333" t="n">
        <v>0</v>
      </c>
      <c r="K333" t="n">
        <v>0</v>
      </c>
      <c r="L333" t="n">
        <v>0</v>
      </c>
      <c r="M333" t="n">
        <v>0</v>
      </c>
      <c r="N333" t="n">
        <v>0</v>
      </c>
      <c r="O333" t="n">
        <v>0</v>
      </c>
      <c r="P333" t="n">
        <v>0</v>
      </c>
      <c r="Q333" t="n">
        <v>0</v>
      </c>
      <c r="R333" s="2" t="inlineStr"/>
    </row>
    <row r="334" ht="15" customHeight="1">
      <c r="A334" t="inlineStr">
        <is>
          <t>A 34617-2022</t>
        </is>
      </c>
      <c r="B334" s="1" t="n">
        <v>44795</v>
      </c>
      <c r="C334" s="1" t="n">
        <v>46181</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40202-2024</t>
        </is>
      </c>
      <c r="B335" s="1" t="n">
        <v>45554</v>
      </c>
      <c r="C335" s="1" t="n">
        <v>46181</v>
      </c>
      <c r="D335" t="inlineStr">
        <is>
          <t>UPPSALA LÄN</t>
        </is>
      </c>
      <c r="E335" t="inlineStr">
        <is>
          <t>ENKÖPING</t>
        </is>
      </c>
      <c r="G335" t="n">
        <v>6.2</v>
      </c>
      <c r="H335" t="n">
        <v>0</v>
      </c>
      <c r="I335" t="n">
        <v>0</v>
      </c>
      <c r="J335" t="n">
        <v>0</v>
      </c>
      <c r="K335" t="n">
        <v>0</v>
      </c>
      <c r="L335" t="n">
        <v>0</v>
      </c>
      <c r="M335" t="n">
        <v>0</v>
      </c>
      <c r="N335" t="n">
        <v>0</v>
      </c>
      <c r="O335" t="n">
        <v>0</v>
      </c>
      <c r="P335" t="n">
        <v>0</v>
      </c>
      <c r="Q335" t="n">
        <v>0</v>
      </c>
      <c r="R335" s="2" t="inlineStr"/>
    </row>
    <row r="336" ht="15" customHeight="1">
      <c r="A336" t="inlineStr">
        <is>
          <t>A 40223-2024</t>
        </is>
      </c>
      <c r="B336" s="1" t="n">
        <v>45554</v>
      </c>
      <c r="C336" s="1" t="n">
        <v>46181</v>
      </c>
      <c r="D336" t="inlineStr">
        <is>
          <t>UPPSALA LÄN</t>
        </is>
      </c>
      <c r="E336" t="inlineStr">
        <is>
          <t>ENKÖPING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69879-2021</t>
        </is>
      </c>
      <c r="B337" s="1" t="n">
        <v>44532</v>
      </c>
      <c r="C337" s="1" t="n">
        <v>46181</v>
      </c>
      <c r="D337" t="inlineStr">
        <is>
          <t>UPPSALA LÄN</t>
        </is>
      </c>
      <c r="E337" t="inlineStr">
        <is>
          <t>ENKÖPING</t>
        </is>
      </c>
      <c r="G337" t="n">
        <v>4.2</v>
      </c>
      <c r="H337" t="n">
        <v>0</v>
      </c>
      <c r="I337" t="n">
        <v>0</v>
      </c>
      <c r="J337" t="n">
        <v>0</v>
      </c>
      <c r="K337" t="n">
        <v>0</v>
      </c>
      <c r="L337" t="n">
        <v>0</v>
      </c>
      <c r="M337" t="n">
        <v>0</v>
      </c>
      <c r="N337" t="n">
        <v>0</v>
      </c>
      <c r="O337" t="n">
        <v>0</v>
      </c>
      <c r="P337" t="n">
        <v>0</v>
      </c>
      <c r="Q337" t="n">
        <v>0</v>
      </c>
      <c r="R337" s="2" t="inlineStr"/>
    </row>
    <row r="338" ht="15" customHeight="1">
      <c r="A338" t="inlineStr">
        <is>
          <t>A 19013-2025</t>
        </is>
      </c>
      <c r="B338" s="1" t="n">
        <v>45764.59533564815</v>
      </c>
      <c r="C338" s="1" t="n">
        <v>46181</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57335-2024</t>
        </is>
      </c>
      <c r="B339" s="1" t="n">
        <v>45629.63302083333</v>
      </c>
      <c r="C339" s="1" t="n">
        <v>46181</v>
      </c>
      <c r="D339" t="inlineStr">
        <is>
          <t>UPPSALA LÄN</t>
        </is>
      </c>
      <c r="E339" t="inlineStr">
        <is>
          <t>ENKÖPING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23301-2024</t>
        </is>
      </c>
      <c r="B340" s="1" t="n">
        <v>45453.4396412037</v>
      </c>
      <c r="C340" s="1" t="n">
        <v>46181</v>
      </c>
      <c r="D340" t="inlineStr">
        <is>
          <t>UPPSALA LÄN</t>
        </is>
      </c>
      <c r="E340" t="inlineStr">
        <is>
          <t>ENKÖPING</t>
        </is>
      </c>
      <c r="G340" t="n">
        <v>4.3</v>
      </c>
      <c r="H340" t="n">
        <v>0</v>
      </c>
      <c r="I340" t="n">
        <v>0</v>
      </c>
      <c r="J340" t="n">
        <v>0</v>
      </c>
      <c r="K340" t="n">
        <v>0</v>
      </c>
      <c r="L340" t="n">
        <v>0</v>
      </c>
      <c r="M340" t="n">
        <v>0</v>
      </c>
      <c r="N340" t="n">
        <v>0</v>
      </c>
      <c r="O340" t="n">
        <v>0</v>
      </c>
      <c r="P340" t="n">
        <v>0</v>
      </c>
      <c r="Q340" t="n">
        <v>0</v>
      </c>
      <c r="R340" s="2" t="inlineStr"/>
    </row>
    <row r="341" ht="15" customHeight="1">
      <c r="A341" t="inlineStr">
        <is>
          <t>A 2833-2025</t>
        </is>
      </c>
      <c r="B341" s="1" t="n">
        <v>45677.63206018518</v>
      </c>
      <c r="C341" s="1" t="n">
        <v>46181</v>
      </c>
      <c r="D341" t="inlineStr">
        <is>
          <t>UPPSALA LÄN</t>
        </is>
      </c>
      <c r="E341" t="inlineStr">
        <is>
          <t>ENKÖPING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33619-2022</t>
        </is>
      </c>
      <c r="B342" s="1" t="n">
        <v>44789</v>
      </c>
      <c r="C342" s="1" t="n">
        <v>46181</v>
      </c>
      <c r="D342" t="inlineStr">
        <is>
          <t>UPPSALA LÄN</t>
        </is>
      </c>
      <c r="E342" t="inlineStr">
        <is>
          <t>ENKÖPING</t>
        </is>
      </c>
      <c r="F342" t="inlineStr">
        <is>
          <t>Allmännings- och besparingsskogar</t>
        </is>
      </c>
      <c r="G342" t="n">
        <v>4.5</v>
      </c>
      <c r="H342" t="n">
        <v>0</v>
      </c>
      <c r="I342" t="n">
        <v>0</v>
      </c>
      <c r="J342" t="n">
        <v>0</v>
      </c>
      <c r="K342" t="n">
        <v>0</v>
      </c>
      <c r="L342" t="n">
        <v>0</v>
      </c>
      <c r="M342" t="n">
        <v>0</v>
      </c>
      <c r="N342" t="n">
        <v>0</v>
      </c>
      <c r="O342" t="n">
        <v>0</v>
      </c>
      <c r="P342" t="n">
        <v>0</v>
      </c>
      <c r="Q342" t="n">
        <v>0</v>
      </c>
      <c r="R342" s="2" t="inlineStr"/>
    </row>
    <row r="343" ht="15" customHeight="1">
      <c r="A343" t="inlineStr">
        <is>
          <t>A 31604-2023</t>
        </is>
      </c>
      <c r="B343" s="1" t="n">
        <v>45117.50368055556</v>
      </c>
      <c r="C343" s="1" t="n">
        <v>46181</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59602-2024</t>
        </is>
      </c>
      <c r="B344" s="1" t="n">
        <v>45638</v>
      </c>
      <c r="C344" s="1" t="n">
        <v>46181</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14243-2025</t>
        </is>
      </c>
      <c r="B345" s="1" t="n">
        <v>45740.61288194444</v>
      </c>
      <c r="C345" s="1" t="n">
        <v>46181</v>
      </c>
      <c r="D345" t="inlineStr">
        <is>
          <t>UPPSALA LÄN</t>
        </is>
      </c>
      <c r="E345" t="inlineStr">
        <is>
          <t>ENKÖPING</t>
        </is>
      </c>
      <c r="G345" t="n">
        <v>2.2</v>
      </c>
      <c r="H345" t="n">
        <v>0</v>
      </c>
      <c r="I345" t="n">
        <v>0</v>
      </c>
      <c r="J345" t="n">
        <v>0</v>
      </c>
      <c r="K345" t="n">
        <v>0</v>
      </c>
      <c r="L345" t="n">
        <v>0</v>
      </c>
      <c r="M345" t="n">
        <v>0</v>
      </c>
      <c r="N345" t="n">
        <v>0</v>
      </c>
      <c r="O345" t="n">
        <v>0</v>
      </c>
      <c r="P345" t="n">
        <v>0</v>
      </c>
      <c r="Q345" t="n">
        <v>0</v>
      </c>
      <c r="R345" s="2" t="inlineStr"/>
    </row>
    <row r="346" ht="15" customHeight="1">
      <c r="A346" t="inlineStr">
        <is>
          <t>A 19488-2022</t>
        </is>
      </c>
      <c r="B346" s="1" t="n">
        <v>44693</v>
      </c>
      <c r="C346" s="1" t="n">
        <v>46181</v>
      </c>
      <c r="D346" t="inlineStr">
        <is>
          <t>UPPSALA LÄN</t>
        </is>
      </c>
      <c r="E346" t="inlineStr">
        <is>
          <t>ENKÖPING</t>
        </is>
      </c>
      <c r="G346" t="n">
        <v>7.8</v>
      </c>
      <c r="H346" t="n">
        <v>0</v>
      </c>
      <c r="I346" t="n">
        <v>0</v>
      </c>
      <c r="J346" t="n">
        <v>0</v>
      </c>
      <c r="K346" t="n">
        <v>0</v>
      </c>
      <c r="L346" t="n">
        <v>0</v>
      </c>
      <c r="M346" t="n">
        <v>0</v>
      </c>
      <c r="N346" t="n">
        <v>0</v>
      </c>
      <c r="O346" t="n">
        <v>0</v>
      </c>
      <c r="P346" t="n">
        <v>0</v>
      </c>
      <c r="Q346" t="n">
        <v>0</v>
      </c>
      <c r="R346" s="2" t="inlineStr"/>
    </row>
    <row r="347" ht="15" customHeight="1">
      <c r="A347" t="inlineStr">
        <is>
          <t>A 41826-2024</t>
        </is>
      </c>
      <c r="B347" s="1" t="n">
        <v>45561</v>
      </c>
      <c r="C347" s="1" t="n">
        <v>46181</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16916-2022</t>
        </is>
      </c>
      <c r="B348" s="1" t="n">
        <v>44676</v>
      </c>
      <c r="C348" s="1" t="n">
        <v>46181</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44115-2024</t>
        </is>
      </c>
      <c r="B349" s="1" t="n">
        <v>45572</v>
      </c>
      <c r="C349" s="1" t="n">
        <v>46181</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30634-2022</t>
        </is>
      </c>
      <c r="B350" s="1" t="n">
        <v>44763.45711805556</v>
      </c>
      <c r="C350" s="1" t="n">
        <v>46181</v>
      </c>
      <c r="D350" t="inlineStr">
        <is>
          <t>UPPSALA LÄN</t>
        </is>
      </c>
      <c r="E350" t="inlineStr">
        <is>
          <t>ENKÖPING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3300-2025</t>
        </is>
      </c>
      <c r="B351" s="1" t="n">
        <v>45679</v>
      </c>
      <c r="C351" s="1" t="n">
        <v>46181</v>
      </c>
      <c r="D351" t="inlineStr">
        <is>
          <t>UPPSALA LÄN</t>
        </is>
      </c>
      <c r="E351" t="inlineStr">
        <is>
          <t>ENKÖPING</t>
        </is>
      </c>
      <c r="G351" t="n">
        <v>8.9</v>
      </c>
      <c r="H351" t="n">
        <v>0</v>
      </c>
      <c r="I351" t="n">
        <v>0</v>
      </c>
      <c r="J351" t="n">
        <v>0</v>
      </c>
      <c r="K351" t="n">
        <v>0</v>
      </c>
      <c r="L351" t="n">
        <v>0</v>
      </c>
      <c r="M351" t="n">
        <v>0</v>
      </c>
      <c r="N351" t="n">
        <v>0</v>
      </c>
      <c r="O351" t="n">
        <v>0</v>
      </c>
      <c r="P351" t="n">
        <v>0</v>
      </c>
      <c r="Q351" t="n">
        <v>0</v>
      </c>
      <c r="R351" s="2" t="inlineStr"/>
    </row>
    <row r="352" ht="15" customHeight="1">
      <c r="A352" t="inlineStr">
        <is>
          <t>A 51120-2023</t>
        </is>
      </c>
      <c r="B352" s="1" t="n">
        <v>45219.3088425926</v>
      </c>
      <c r="C352" s="1" t="n">
        <v>46181</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26319-2022</t>
        </is>
      </c>
      <c r="B353" s="1" t="n">
        <v>44735</v>
      </c>
      <c r="C353" s="1" t="n">
        <v>46181</v>
      </c>
      <c r="D353" t="inlineStr">
        <is>
          <t>UPPSALA LÄN</t>
        </is>
      </c>
      <c r="E353" t="inlineStr">
        <is>
          <t>ENKÖPING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54357-2023</t>
        </is>
      </c>
      <c r="B354" s="1" t="n">
        <v>45225</v>
      </c>
      <c r="C354" s="1" t="n">
        <v>46181</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63402-2023</t>
        </is>
      </c>
      <c r="B355" s="1" t="n">
        <v>45274.50646990741</v>
      </c>
      <c r="C355" s="1" t="n">
        <v>46181</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53208-2023</t>
        </is>
      </c>
      <c r="B356" s="1" t="n">
        <v>45226</v>
      </c>
      <c r="C356" s="1" t="n">
        <v>46181</v>
      </c>
      <c r="D356" t="inlineStr">
        <is>
          <t>UPPSALA LÄN</t>
        </is>
      </c>
      <c r="E356" t="inlineStr">
        <is>
          <t>ENKÖPING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18259-2025</t>
        </is>
      </c>
      <c r="B357" s="1" t="n">
        <v>45762</v>
      </c>
      <c r="C357" s="1" t="n">
        <v>46181</v>
      </c>
      <c r="D357" t="inlineStr">
        <is>
          <t>UPPSALA LÄN</t>
        </is>
      </c>
      <c r="E357" t="inlineStr">
        <is>
          <t>ENKÖPING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62158-2023</t>
        </is>
      </c>
      <c r="B358" s="1" t="n">
        <v>45267</v>
      </c>
      <c r="C358" s="1" t="n">
        <v>46181</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60874-2023</t>
        </is>
      </c>
      <c r="B359" s="1" t="n">
        <v>45261.06280092592</v>
      </c>
      <c r="C359" s="1" t="n">
        <v>46181</v>
      </c>
      <c r="D359" t="inlineStr">
        <is>
          <t>UPPSALA LÄN</t>
        </is>
      </c>
      <c r="E359" t="inlineStr">
        <is>
          <t>ENKÖPING</t>
        </is>
      </c>
      <c r="G359" t="n">
        <v>1.5</v>
      </c>
      <c r="H359" t="n">
        <v>0</v>
      </c>
      <c r="I359" t="n">
        <v>0</v>
      </c>
      <c r="J359" t="n">
        <v>0</v>
      </c>
      <c r="K359" t="n">
        <v>0</v>
      </c>
      <c r="L359" t="n">
        <v>0</v>
      </c>
      <c r="M359" t="n">
        <v>0</v>
      </c>
      <c r="N359" t="n">
        <v>0</v>
      </c>
      <c r="O359" t="n">
        <v>0</v>
      </c>
      <c r="P359" t="n">
        <v>0</v>
      </c>
      <c r="Q359" t="n">
        <v>0</v>
      </c>
      <c r="R359" s="2" t="inlineStr"/>
    </row>
    <row r="360" ht="15" customHeight="1">
      <c r="A360" t="inlineStr">
        <is>
          <t>A 3550-2023</t>
        </is>
      </c>
      <c r="B360" s="1" t="n">
        <v>44950</v>
      </c>
      <c r="C360" s="1" t="n">
        <v>46181</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26292-2022</t>
        </is>
      </c>
      <c r="B361" s="1" t="n">
        <v>44735</v>
      </c>
      <c r="C361" s="1" t="n">
        <v>46181</v>
      </c>
      <c r="D361" t="inlineStr">
        <is>
          <t>UPPSALA LÄN</t>
        </is>
      </c>
      <c r="E361" t="inlineStr">
        <is>
          <t>ENKÖPING</t>
        </is>
      </c>
      <c r="F361" t="inlineStr">
        <is>
          <t>Kyrkan</t>
        </is>
      </c>
      <c r="G361" t="n">
        <v>4.6</v>
      </c>
      <c r="H361" t="n">
        <v>0</v>
      </c>
      <c r="I361" t="n">
        <v>0</v>
      </c>
      <c r="J361" t="n">
        <v>0</v>
      </c>
      <c r="K361" t="n">
        <v>0</v>
      </c>
      <c r="L361" t="n">
        <v>0</v>
      </c>
      <c r="M361" t="n">
        <v>0</v>
      </c>
      <c r="N361" t="n">
        <v>0</v>
      </c>
      <c r="O361" t="n">
        <v>0</v>
      </c>
      <c r="P361" t="n">
        <v>0</v>
      </c>
      <c r="Q361" t="n">
        <v>0</v>
      </c>
      <c r="R361" s="2" t="inlineStr"/>
    </row>
    <row r="362" ht="15" customHeight="1">
      <c r="A362" t="inlineStr">
        <is>
          <t>A 61207-2023</t>
        </is>
      </c>
      <c r="B362" s="1" t="n">
        <v>45264.39444444444</v>
      </c>
      <c r="C362" s="1" t="n">
        <v>46181</v>
      </c>
      <c r="D362" t="inlineStr">
        <is>
          <t>UPPSALA LÄN</t>
        </is>
      </c>
      <c r="E362" t="inlineStr">
        <is>
          <t>ENKÖPING</t>
        </is>
      </c>
      <c r="G362" t="n">
        <v>10.8</v>
      </c>
      <c r="H362" t="n">
        <v>0</v>
      </c>
      <c r="I362" t="n">
        <v>0</v>
      </c>
      <c r="J362" t="n">
        <v>0</v>
      </c>
      <c r="K362" t="n">
        <v>0</v>
      </c>
      <c r="L362" t="n">
        <v>0</v>
      </c>
      <c r="M362" t="n">
        <v>0</v>
      </c>
      <c r="N362" t="n">
        <v>0</v>
      </c>
      <c r="O362" t="n">
        <v>0</v>
      </c>
      <c r="P362" t="n">
        <v>0</v>
      </c>
      <c r="Q362" t="n">
        <v>0</v>
      </c>
      <c r="R362" s="2" t="inlineStr"/>
    </row>
    <row r="363" ht="15" customHeight="1">
      <c r="A363" t="inlineStr">
        <is>
          <t>A 840-2025</t>
        </is>
      </c>
      <c r="B363" s="1" t="n">
        <v>45665</v>
      </c>
      <c r="C363" s="1" t="n">
        <v>46181</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10458-2022</t>
        </is>
      </c>
      <c r="B364" s="1" t="n">
        <v>44623.56711805556</v>
      </c>
      <c r="C364" s="1" t="n">
        <v>46181</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45142-2023</t>
        </is>
      </c>
      <c r="B365" s="1" t="n">
        <v>45191.4702662037</v>
      </c>
      <c r="C365" s="1" t="n">
        <v>46181</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23202-2026</t>
        </is>
      </c>
      <c r="B366" s="1" t="n">
        <v>46162.19833333333</v>
      </c>
      <c r="C366" s="1" t="n">
        <v>46181</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57998-2024</t>
        </is>
      </c>
      <c r="B367" s="1" t="n">
        <v>45631</v>
      </c>
      <c r="C367" s="1" t="n">
        <v>46181</v>
      </c>
      <c r="D367" t="inlineStr">
        <is>
          <t>UPPSALA LÄN</t>
        </is>
      </c>
      <c r="E367" t="inlineStr">
        <is>
          <t>ENKÖPING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14332-2024</t>
        </is>
      </c>
      <c r="B368" s="1" t="n">
        <v>45393</v>
      </c>
      <c r="C368" s="1" t="n">
        <v>46181</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18831-2023</t>
        </is>
      </c>
      <c r="B369" s="1" t="n">
        <v>45044.40798611111</v>
      </c>
      <c r="C369" s="1" t="n">
        <v>46181</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17418-2026</t>
        </is>
      </c>
      <c r="B370" s="1" t="n">
        <v>46120.3591087963</v>
      </c>
      <c r="C370" s="1" t="n">
        <v>46181</v>
      </c>
      <c r="D370" t="inlineStr">
        <is>
          <t>UPPSALA LÄN</t>
        </is>
      </c>
      <c r="E370" t="inlineStr">
        <is>
          <t>ENKÖPING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33581-2023</t>
        </is>
      </c>
      <c r="B371" s="1" t="n">
        <v>45131</v>
      </c>
      <c r="C371" s="1" t="n">
        <v>46181</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37115-2024</t>
        </is>
      </c>
      <c r="B372" s="1" t="n">
        <v>45539</v>
      </c>
      <c r="C372" s="1" t="n">
        <v>46181</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1960-2022</t>
        </is>
      </c>
      <c r="B373" s="1" t="n">
        <v>44575</v>
      </c>
      <c r="C373" s="1" t="n">
        <v>46181</v>
      </c>
      <c r="D373" t="inlineStr">
        <is>
          <t>UPPSALA LÄN</t>
        </is>
      </c>
      <c r="E373" t="inlineStr">
        <is>
          <t>ENKÖPING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18028-2023</t>
        </is>
      </c>
      <c r="B374" s="1" t="n">
        <v>45040</v>
      </c>
      <c r="C374" s="1" t="n">
        <v>46181</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49568-2022</t>
        </is>
      </c>
      <c r="B375" s="1" t="n">
        <v>44862.32791666667</v>
      </c>
      <c r="C375" s="1" t="n">
        <v>46181</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42459-2024</t>
        </is>
      </c>
      <c r="B376" s="1" t="n">
        <v>45565</v>
      </c>
      <c r="C376" s="1" t="n">
        <v>46181</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17419-2026</t>
        </is>
      </c>
      <c r="B377" s="1" t="n">
        <v>46120.36064814815</v>
      </c>
      <c r="C377" s="1" t="n">
        <v>46181</v>
      </c>
      <c r="D377" t="inlineStr">
        <is>
          <t>UPPSALA LÄN</t>
        </is>
      </c>
      <c r="E377" t="inlineStr">
        <is>
          <t>ENKÖPING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48864-2022</t>
        </is>
      </c>
      <c r="B378" s="1" t="n">
        <v>44859</v>
      </c>
      <c r="C378" s="1" t="n">
        <v>46181</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31622-2022</t>
        </is>
      </c>
      <c r="B379" s="1" t="n">
        <v>44775</v>
      </c>
      <c r="C379" s="1" t="n">
        <v>46181</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23882-2026</t>
        </is>
      </c>
      <c r="B380" s="1" t="n">
        <v>46167.448125</v>
      </c>
      <c r="C380" s="1" t="n">
        <v>46181</v>
      </c>
      <c r="D380" t="inlineStr">
        <is>
          <t>UPPSALA LÄN</t>
        </is>
      </c>
      <c r="E380" t="inlineStr">
        <is>
          <t>ENKÖPING</t>
        </is>
      </c>
      <c r="G380" t="n">
        <v>8.5</v>
      </c>
      <c r="H380" t="n">
        <v>0</v>
      </c>
      <c r="I380" t="n">
        <v>0</v>
      </c>
      <c r="J380" t="n">
        <v>0</v>
      </c>
      <c r="K380" t="n">
        <v>0</v>
      </c>
      <c r="L380" t="n">
        <v>0</v>
      </c>
      <c r="M380" t="n">
        <v>0</v>
      </c>
      <c r="N380" t="n">
        <v>0</v>
      </c>
      <c r="O380" t="n">
        <v>0</v>
      </c>
      <c r="P380" t="n">
        <v>0</v>
      </c>
      <c r="Q380" t="n">
        <v>0</v>
      </c>
      <c r="R380" s="2" t="inlineStr"/>
    </row>
    <row r="381" ht="15" customHeight="1">
      <c r="A381" t="inlineStr">
        <is>
          <t>A 23889-2026</t>
        </is>
      </c>
      <c r="B381" s="1" t="n">
        <v>46167.45914351852</v>
      </c>
      <c r="C381" s="1" t="n">
        <v>46181</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18565-2026</t>
        </is>
      </c>
      <c r="B382" s="1" t="n">
        <v>46127.5871412037</v>
      </c>
      <c r="C382" s="1" t="n">
        <v>46181</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46181</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16967-2022</t>
        </is>
      </c>
      <c r="B384" s="1" t="n">
        <v>44676</v>
      </c>
      <c r="C384" s="1" t="n">
        <v>46181</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40773-2022</t>
        </is>
      </c>
      <c r="B385" s="1" t="n">
        <v>44824.61237268519</v>
      </c>
      <c r="C385" s="1" t="n">
        <v>46181</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18562-2026</t>
        </is>
      </c>
      <c r="B386" s="1" t="n">
        <v>46127</v>
      </c>
      <c r="C386" s="1" t="n">
        <v>46181</v>
      </c>
      <c r="D386" t="inlineStr">
        <is>
          <t>UPPSALA LÄN</t>
        </is>
      </c>
      <c r="E386" t="inlineStr">
        <is>
          <t>ENKÖPING</t>
        </is>
      </c>
      <c r="G386" t="n">
        <v>4</v>
      </c>
      <c r="H386" t="n">
        <v>0</v>
      </c>
      <c r="I386" t="n">
        <v>0</v>
      </c>
      <c r="J386" t="n">
        <v>0</v>
      </c>
      <c r="K386" t="n">
        <v>0</v>
      </c>
      <c r="L386" t="n">
        <v>0</v>
      </c>
      <c r="M386" t="n">
        <v>0</v>
      </c>
      <c r="N386" t="n">
        <v>0</v>
      </c>
      <c r="O386" t="n">
        <v>0</v>
      </c>
      <c r="P386" t="n">
        <v>0</v>
      </c>
      <c r="Q386" t="n">
        <v>0</v>
      </c>
      <c r="R386" s="2" t="inlineStr"/>
    </row>
    <row r="387" ht="15" customHeight="1">
      <c r="A387" t="inlineStr">
        <is>
          <t>A 57147-2021</t>
        </is>
      </c>
      <c r="B387" s="1" t="n">
        <v>44482</v>
      </c>
      <c r="C387" s="1" t="n">
        <v>46181</v>
      </c>
      <c r="D387" t="inlineStr">
        <is>
          <t>UPPSALA LÄN</t>
        </is>
      </c>
      <c r="E387" t="inlineStr">
        <is>
          <t>ENKÖPING</t>
        </is>
      </c>
      <c r="G387" t="n">
        <v>5.7</v>
      </c>
      <c r="H387" t="n">
        <v>0</v>
      </c>
      <c r="I387" t="n">
        <v>0</v>
      </c>
      <c r="J387" t="n">
        <v>0</v>
      </c>
      <c r="K387" t="n">
        <v>0</v>
      </c>
      <c r="L387" t="n">
        <v>0</v>
      </c>
      <c r="M387" t="n">
        <v>0</v>
      </c>
      <c r="N387" t="n">
        <v>0</v>
      </c>
      <c r="O387" t="n">
        <v>0</v>
      </c>
      <c r="P387" t="n">
        <v>0</v>
      </c>
      <c r="Q387" t="n">
        <v>0</v>
      </c>
      <c r="R387" s="2" t="inlineStr"/>
    </row>
    <row r="388" ht="15" customHeight="1">
      <c r="A388" t="inlineStr">
        <is>
          <t>A 62599-2025</t>
        </is>
      </c>
      <c r="B388" s="1" t="n">
        <v>46007.91961805556</v>
      </c>
      <c r="C388" s="1" t="n">
        <v>46181</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47909-2024</t>
        </is>
      </c>
      <c r="B389" s="1" t="n">
        <v>45589.31866898148</v>
      </c>
      <c r="C389" s="1" t="n">
        <v>46181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52005-2024</t>
        </is>
      </c>
      <c r="B390" s="1" t="n">
        <v>45607.7627662037</v>
      </c>
      <c r="C390" s="1" t="n">
        <v>46181</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24887-2026</t>
        </is>
      </c>
      <c r="B391" s="1" t="n">
        <v>46174.45263888889</v>
      </c>
      <c r="C391" s="1" t="n">
        <v>46181</v>
      </c>
      <c r="D391" t="inlineStr">
        <is>
          <t>UPPSALA LÄN</t>
        </is>
      </c>
      <c r="E391" t="inlineStr">
        <is>
          <t>ENKÖPING</t>
        </is>
      </c>
      <c r="G391" t="n">
        <v>8</v>
      </c>
      <c r="H391" t="n">
        <v>0</v>
      </c>
      <c r="I391" t="n">
        <v>0</v>
      </c>
      <c r="J391" t="n">
        <v>0</v>
      </c>
      <c r="K391" t="n">
        <v>0</v>
      </c>
      <c r="L391" t="n">
        <v>0</v>
      </c>
      <c r="M391" t="n">
        <v>0</v>
      </c>
      <c r="N391" t="n">
        <v>0</v>
      </c>
      <c r="O391" t="n">
        <v>0</v>
      </c>
      <c r="P391" t="n">
        <v>0</v>
      </c>
      <c r="Q391" t="n">
        <v>0</v>
      </c>
      <c r="R391" s="2" t="inlineStr"/>
    </row>
    <row r="392" ht="15" customHeight="1">
      <c r="A392" t="inlineStr">
        <is>
          <t>A 53586-2024</t>
        </is>
      </c>
      <c r="B392" s="1" t="n">
        <v>45614</v>
      </c>
      <c r="C392" s="1" t="n">
        <v>46181</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51034-2024</t>
        </is>
      </c>
      <c r="B393" s="1" t="n">
        <v>45603.4262037037</v>
      </c>
      <c r="C393" s="1" t="n">
        <v>46181</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51036-2024</t>
        </is>
      </c>
      <c r="B394" s="1" t="n">
        <v>45603.42839120371</v>
      </c>
      <c r="C394" s="1" t="n">
        <v>46181</v>
      </c>
      <c r="D394" t="inlineStr">
        <is>
          <t>UPPSALA LÄN</t>
        </is>
      </c>
      <c r="E394" t="inlineStr">
        <is>
          <t>ENKÖPING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43492-2023</t>
        </is>
      </c>
      <c r="B395" s="1" t="n">
        <v>45181</v>
      </c>
      <c r="C395" s="1" t="n">
        <v>46181</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1536-2024</t>
        </is>
      </c>
      <c r="B396" s="1" t="n">
        <v>45306</v>
      </c>
      <c r="C396" s="1" t="n">
        <v>46181</v>
      </c>
      <c r="D396" t="inlineStr">
        <is>
          <t>UPPSALA LÄN</t>
        </is>
      </c>
      <c r="E396" t="inlineStr">
        <is>
          <t>ENKÖPING</t>
        </is>
      </c>
      <c r="F396" t="inlineStr">
        <is>
          <t>Kyrkan</t>
        </is>
      </c>
      <c r="G396" t="n">
        <v>5.6</v>
      </c>
      <c r="H396" t="n">
        <v>0</v>
      </c>
      <c r="I396" t="n">
        <v>0</v>
      </c>
      <c r="J396" t="n">
        <v>0</v>
      </c>
      <c r="K396" t="n">
        <v>0</v>
      </c>
      <c r="L396" t="n">
        <v>0</v>
      </c>
      <c r="M396" t="n">
        <v>0</v>
      </c>
      <c r="N396" t="n">
        <v>0</v>
      </c>
      <c r="O396" t="n">
        <v>0</v>
      </c>
      <c r="P396" t="n">
        <v>0</v>
      </c>
      <c r="Q396" t="n">
        <v>0</v>
      </c>
      <c r="R396" s="2" t="inlineStr"/>
    </row>
    <row r="397" ht="15" customHeight="1">
      <c r="A397" t="inlineStr">
        <is>
          <t>A 16916-2023</t>
        </is>
      </c>
      <c r="B397" s="1" t="n">
        <v>45033.58347222222</v>
      </c>
      <c r="C397" s="1" t="n">
        <v>46181</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16920-2023</t>
        </is>
      </c>
      <c r="B398" s="1" t="n">
        <v>45033.59030092593</v>
      </c>
      <c r="C398" s="1" t="n">
        <v>46181</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52388-2024</t>
        </is>
      </c>
      <c r="B399" s="1" t="n">
        <v>45609.42939814815</v>
      </c>
      <c r="C399" s="1" t="n">
        <v>46181</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18643-2026</t>
        </is>
      </c>
      <c r="B400" s="1" t="n">
        <v>46128.33024305556</v>
      </c>
      <c r="C400" s="1" t="n">
        <v>46181</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1992-2022</t>
        </is>
      </c>
      <c r="B401" s="1" t="n">
        <v>44575.56153935185</v>
      </c>
      <c r="C401" s="1" t="n">
        <v>46181</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6626-2023</t>
        </is>
      </c>
      <c r="B402" s="1" t="n">
        <v>44966.55946759259</v>
      </c>
      <c r="C402" s="1" t="n">
        <v>46181</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48843-2023</t>
        </is>
      </c>
      <c r="B403" s="1" t="n">
        <v>45209</v>
      </c>
      <c r="C403" s="1" t="n">
        <v>46181</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57940-2022</t>
        </is>
      </c>
      <c r="B404" s="1" t="n">
        <v>44900</v>
      </c>
      <c r="C404" s="1" t="n">
        <v>46181</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35079-2024</t>
        </is>
      </c>
      <c r="B405" s="1" t="n">
        <v>45527.66770833333</v>
      </c>
      <c r="C405" s="1" t="n">
        <v>46181</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53595-2023</t>
        </is>
      </c>
      <c r="B406" s="1" t="n">
        <v>45223</v>
      </c>
      <c r="C406" s="1" t="n">
        <v>46181</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60533-2021</t>
        </is>
      </c>
      <c r="B407" s="1" t="n">
        <v>44496</v>
      </c>
      <c r="C407" s="1" t="n">
        <v>46181</v>
      </c>
      <c r="D407" t="inlineStr">
        <is>
          <t>UPPSALA LÄN</t>
        </is>
      </c>
      <c r="E407" t="inlineStr">
        <is>
          <t>ENKÖPING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15757-2023</t>
        </is>
      </c>
      <c r="B408" s="1" t="n">
        <v>45021</v>
      </c>
      <c r="C408" s="1" t="n">
        <v>46181</v>
      </c>
      <c r="D408" t="inlineStr">
        <is>
          <t>UPPSALA LÄN</t>
        </is>
      </c>
      <c r="E408" t="inlineStr">
        <is>
          <t>ENKÖPING</t>
        </is>
      </c>
      <c r="G408" t="n">
        <v>3</v>
      </c>
      <c r="H408" t="n">
        <v>0</v>
      </c>
      <c r="I408" t="n">
        <v>0</v>
      </c>
      <c r="J408" t="n">
        <v>0</v>
      </c>
      <c r="K408" t="n">
        <v>0</v>
      </c>
      <c r="L408" t="n">
        <v>0</v>
      </c>
      <c r="M408" t="n">
        <v>0</v>
      </c>
      <c r="N408" t="n">
        <v>0</v>
      </c>
      <c r="O408" t="n">
        <v>0</v>
      </c>
      <c r="P408" t="n">
        <v>0</v>
      </c>
      <c r="Q408" t="n">
        <v>0</v>
      </c>
      <c r="R408" s="2" t="inlineStr"/>
    </row>
    <row r="409" ht="15" customHeight="1">
      <c r="A409" t="inlineStr">
        <is>
          <t>A 43230-2023</t>
        </is>
      </c>
      <c r="B409" s="1" t="n">
        <v>45183</v>
      </c>
      <c r="C409" s="1" t="n">
        <v>46181</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56886-2023</t>
        </is>
      </c>
      <c r="B410" s="1" t="n">
        <v>45239</v>
      </c>
      <c r="C410" s="1" t="n">
        <v>46181</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51011-2024</t>
        </is>
      </c>
      <c r="B411" s="1" t="n">
        <v>45603.39427083333</v>
      </c>
      <c r="C411" s="1" t="n">
        <v>46181</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12102-2024</t>
        </is>
      </c>
      <c r="B412" s="1" t="n">
        <v>45377</v>
      </c>
      <c r="C412" s="1" t="n">
        <v>46181</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45283-2022</t>
        </is>
      </c>
      <c r="B413" s="1" t="n">
        <v>44844</v>
      </c>
      <c r="C413" s="1" t="n">
        <v>46181</v>
      </c>
      <c r="D413" t="inlineStr">
        <is>
          <t>UPPSALA LÄN</t>
        </is>
      </c>
      <c r="E413" t="inlineStr">
        <is>
          <t>ENKÖPING</t>
        </is>
      </c>
      <c r="G413" t="n">
        <v>5.9</v>
      </c>
      <c r="H413" t="n">
        <v>0</v>
      </c>
      <c r="I413" t="n">
        <v>0</v>
      </c>
      <c r="J413" t="n">
        <v>0</v>
      </c>
      <c r="K413" t="n">
        <v>0</v>
      </c>
      <c r="L413" t="n">
        <v>0</v>
      </c>
      <c r="M413" t="n">
        <v>0</v>
      </c>
      <c r="N413" t="n">
        <v>0</v>
      </c>
      <c r="O413" t="n">
        <v>0</v>
      </c>
      <c r="P413" t="n">
        <v>0</v>
      </c>
      <c r="Q413" t="n">
        <v>0</v>
      </c>
      <c r="R413" s="2" t="inlineStr"/>
    </row>
    <row r="414" ht="15" customHeight="1">
      <c r="A414" t="inlineStr">
        <is>
          <t>A 845-2025</t>
        </is>
      </c>
      <c r="B414" s="1" t="n">
        <v>45665</v>
      </c>
      <c r="C414" s="1" t="n">
        <v>46181</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849-2025</t>
        </is>
      </c>
      <c r="B415" s="1" t="n">
        <v>45665</v>
      </c>
      <c r="C415" s="1" t="n">
        <v>46181</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58147-2024</t>
        </is>
      </c>
      <c r="B416" s="1" t="n">
        <v>45632.4334375</v>
      </c>
      <c r="C416" s="1" t="n">
        <v>46181</v>
      </c>
      <c r="D416" t="inlineStr">
        <is>
          <t>UPPSALA LÄN</t>
        </is>
      </c>
      <c r="E416" t="inlineStr">
        <is>
          <t>ENKÖPING</t>
        </is>
      </c>
      <c r="G416" t="n">
        <v>3</v>
      </c>
      <c r="H416" t="n">
        <v>0</v>
      </c>
      <c r="I416" t="n">
        <v>0</v>
      </c>
      <c r="J416" t="n">
        <v>0</v>
      </c>
      <c r="K416" t="n">
        <v>0</v>
      </c>
      <c r="L416" t="n">
        <v>0</v>
      </c>
      <c r="M416" t="n">
        <v>0</v>
      </c>
      <c r="N416" t="n">
        <v>0</v>
      </c>
      <c r="O416" t="n">
        <v>0</v>
      </c>
      <c r="P416" t="n">
        <v>0</v>
      </c>
      <c r="Q416" t="n">
        <v>0</v>
      </c>
      <c r="R416" s="2" t="inlineStr"/>
    </row>
    <row r="417" ht="15" customHeight="1">
      <c r="A417" t="inlineStr">
        <is>
          <t>A 25989-2025</t>
        </is>
      </c>
      <c r="B417" s="1" t="n">
        <v>45804.65050925926</v>
      </c>
      <c r="C417" s="1" t="n">
        <v>46181</v>
      </c>
      <c r="D417" t="inlineStr">
        <is>
          <t>UPPSALA LÄN</t>
        </is>
      </c>
      <c r="E417" t="inlineStr">
        <is>
          <t>ENKÖPING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18302-2025</t>
        </is>
      </c>
      <c r="B418" s="1" t="n">
        <v>45762</v>
      </c>
      <c r="C418" s="1" t="n">
        <v>46181</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34735-2023</t>
        </is>
      </c>
      <c r="B419" s="1" t="n">
        <v>45139</v>
      </c>
      <c r="C419" s="1" t="n">
        <v>46181</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30514-2021</t>
        </is>
      </c>
      <c r="B420" s="1" t="n">
        <v>44364</v>
      </c>
      <c r="C420" s="1" t="n">
        <v>46181</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18644-2026</t>
        </is>
      </c>
      <c r="B421" s="1" t="n">
        <v>46128.33157407407</v>
      </c>
      <c r="C421" s="1" t="n">
        <v>46181</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25990-2025</t>
        </is>
      </c>
      <c r="B422" s="1" t="n">
        <v>45804.65229166667</v>
      </c>
      <c r="C422" s="1" t="n">
        <v>46181</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57209-2024</t>
        </is>
      </c>
      <c r="B423" s="1" t="n">
        <v>45629.49311342592</v>
      </c>
      <c r="C423" s="1" t="n">
        <v>46181</v>
      </c>
      <c r="D423" t="inlineStr">
        <is>
          <t>UPPSALA LÄN</t>
        </is>
      </c>
      <c r="E423" t="inlineStr">
        <is>
          <t>ENKÖPING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9257-2026</t>
        </is>
      </c>
      <c r="B424" s="1" t="n">
        <v>46070.51166666667</v>
      </c>
      <c r="C424" s="1" t="n">
        <v>46181</v>
      </c>
      <c r="D424" t="inlineStr">
        <is>
          <t>UPPSALA LÄN</t>
        </is>
      </c>
      <c r="E424" t="inlineStr">
        <is>
          <t>ENKÖPING</t>
        </is>
      </c>
      <c r="G424" t="n">
        <v>2.6</v>
      </c>
      <c r="H424" t="n">
        <v>0</v>
      </c>
      <c r="I424" t="n">
        <v>0</v>
      </c>
      <c r="J424" t="n">
        <v>0</v>
      </c>
      <c r="K424" t="n">
        <v>0</v>
      </c>
      <c r="L424" t="n">
        <v>0</v>
      </c>
      <c r="M424" t="n">
        <v>0</v>
      </c>
      <c r="N424" t="n">
        <v>0</v>
      </c>
      <c r="O424" t="n">
        <v>0</v>
      </c>
      <c r="P424" t="n">
        <v>0</v>
      </c>
      <c r="Q424" t="n">
        <v>0</v>
      </c>
      <c r="R424" s="2" t="inlineStr"/>
    </row>
    <row r="425" ht="15" customHeight="1">
      <c r="A425" t="inlineStr">
        <is>
          <t>A 6041-2026</t>
        </is>
      </c>
      <c r="B425" s="1" t="n">
        <v>46052.62184027778</v>
      </c>
      <c r="C425" s="1" t="n">
        <v>46181</v>
      </c>
      <c r="D425" t="inlineStr">
        <is>
          <t>UPPSALA LÄN</t>
        </is>
      </c>
      <c r="E425" t="inlineStr">
        <is>
          <t>ENKÖPING</t>
        </is>
      </c>
      <c r="G425" t="n">
        <v>4</v>
      </c>
      <c r="H425" t="n">
        <v>0</v>
      </c>
      <c r="I425" t="n">
        <v>0</v>
      </c>
      <c r="J425" t="n">
        <v>0</v>
      </c>
      <c r="K425" t="n">
        <v>0</v>
      </c>
      <c r="L425" t="n">
        <v>0</v>
      </c>
      <c r="M425" t="n">
        <v>0</v>
      </c>
      <c r="N425" t="n">
        <v>0</v>
      </c>
      <c r="O425" t="n">
        <v>0</v>
      </c>
      <c r="P425" t="n">
        <v>0</v>
      </c>
      <c r="Q425" t="n">
        <v>0</v>
      </c>
      <c r="R425" s="2" t="inlineStr"/>
    </row>
    <row r="426" ht="15" customHeight="1">
      <c r="A426" t="inlineStr">
        <is>
          <t>A 6044-2026</t>
        </is>
      </c>
      <c r="B426" s="1" t="n">
        <v>46052.62506944445</v>
      </c>
      <c r="C426" s="1" t="n">
        <v>46181</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13110-2023</t>
        </is>
      </c>
      <c r="B427" s="1" t="n">
        <v>45001</v>
      </c>
      <c r="C427" s="1" t="n">
        <v>46181</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7167-2026</t>
        </is>
      </c>
      <c r="B428" s="1" t="n">
        <v>46058.45677083333</v>
      </c>
      <c r="C428" s="1" t="n">
        <v>46181</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49627-2024</t>
        </is>
      </c>
      <c r="B429" s="1" t="n">
        <v>45596.59140046296</v>
      </c>
      <c r="C429" s="1" t="n">
        <v>46181</v>
      </c>
      <c r="D429" t="inlineStr">
        <is>
          <t>UPPSALA LÄN</t>
        </is>
      </c>
      <c r="E429" t="inlineStr">
        <is>
          <t>ENKÖPING</t>
        </is>
      </c>
      <c r="G429" t="n">
        <v>0.4</v>
      </c>
      <c r="H429" t="n">
        <v>0</v>
      </c>
      <c r="I429" t="n">
        <v>0</v>
      </c>
      <c r="J429" t="n">
        <v>0</v>
      </c>
      <c r="K429" t="n">
        <v>0</v>
      </c>
      <c r="L429" t="n">
        <v>0</v>
      </c>
      <c r="M429" t="n">
        <v>0</v>
      </c>
      <c r="N429" t="n">
        <v>0</v>
      </c>
      <c r="O429" t="n">
        <v>0</v>
      </c>
      <c r="P429" t="n">
        <v>0</v>
      </c>
      <c r="Q429" t="n">
        <v>0</v>
      </c>
      <c r="R429" s="2" t="inlineStr"/>
    </row>
    <row r="430" ht="15" customHeight="1">
      <c r="A430" t="inlineStr">
        <is>
          <t>A 9231-2023</t>
        </is>
      </c>
      <c r="B430" s="1" t="n">
        <v>44980</v>
      </c>
      <c r="C430" s="1" t="n">
        <v>46181</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27538-2023</t>
        </is>
      </c>
      <c r="B431" s="1" t="n">
        <v>45097</v>
      </c>
      <c r="C431" s="1" t="n">
        <v>46181</v>
      </c>
      <c r="D431" t="inlineStr">
        <is>
          <t>UPPSALA LÄN</t>
        </is>
      </c>
      <c r="E431" t="inlineStr">
        <is>
          <t>ENKÖPING</t>
        </is>
      </c>
      <c r="G431" t="n">
        <v>5.8</v>
      </c>
      <c r="H431" t="n">
        <v>0</v>
      </c>
      <c r="I431" t="n">
        <v>0</v>
      </c>
      <c r="J431" t="n">
        <v>0</v>
      </c>
      <c r="K431" t="n">
        <v>0</v>
      </c>
      <c r="L431" t="n">
        <v>0</v>
      </c>
      <c r="M431" t="n">
        <v>0</v>
      </c>
      <c r="N431" t="n">
        <v>0</v>
      </c>
      <c r="O431" t="n">
        <v>0</v>
      </c>
      <c r="P431" t="n">
        <v>0</v>
      </c>
      <c r="Q431" t="n">
        <v>0</v>
      </c>
      <c r="R431" s="2" t="inlineStr"/>
    </row>
    <row r="432" ht="15" customHeight="1">
      <c r="A432" t="inlineStr">
        <is>
          <t>A 18806-2026</t>
        </is>
      </c>
      <c r="B432" s="1" t="n">
        <v>46128.63238425926</v>
      </c>
      <c r="C432" s="1" t="n">
        <v>46181</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6049-2026</t>
        </is>
      </c>
      <c r="B433" s="1" t="n">
        <v>46052.63005787037</v>
      </c>
      <c r="C433" s="1" t="n">
        <v>46181</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7168-2026</t>
        </is>
      </c>
      <c r="B434" s="1" t="n">
        <v>46058.45831018518</v>
      </c>
      <c r="C434" s="1" t="n">
        <v>46181</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7172-2026</t>
        </is>
      </c>
      <c r="B435" s="1" t="n">
        <v>46058.46113425926</v>
      </c>
      <c r="C435" s="1" t="n">
        <v>46181</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18821-2023</t>
        </is>
      </c>
      <c r="B436" s="1" t="n">
        <v>45044.3782175926</v>
      </c>
      <c r="C436" s="1" t="n">
        <v>46181</v>
      </c>
      <c r="D436" t="inlineStr">
        <is>
          <t>UPPSALA LÄN</t>
        </is>
      </c>
      <c r="E436" t="inlineStr">
        <is>
          <t>ENKÖPING</t>
        </is>
      </c>
      <c r="G436" t="n">
        <v>6</v>
      </c>
      <c r="H436" t="n">
        <v>0</v>
      </c>
      <c r="I436" t="n">
        <v>0</v>
      </c>
      <c r="J436" t="n">
        <v>0</v>
      </c>
      <c r="K436" t="n">
        <v>0</v>
      </c>
      <c r="L436" t="n">
        <v>0</v>
      </c>
      <c r="M436" t="n">
        <v>0</v>
      </c>
      <c r="N436" t="n">
        <v>0</v>
      </c>
      <c r="O436" t="n">
        <v>0</v>
      </c>
      <c r="P436" t="n">
        <v>0</v>
      </c>
      <c r="Q436" t="n">
        <v>0</v>
      </c>
      <c r="R436" s="2" t="inlineStr"/>
    </row>
    <row r="437" ht="15" customHeight="1">
      <c r="A437" t="inlineStr">
        <is>
          <t>A 7175-2026</t>
        </is>
      </c>
      <c r="B437" s="1" t="n">
        <v>46058.46399305556</v>
      </c>
      <c r="C437" s="1" t="n">
        <v>46181</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52380-2024</t>
        </is>
      </c>
      <c r="B438" s="1" t="n">
        <v>45609</v>
      </c>
      <c r="C438" s="1" t="n">
        <v>46181</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9041-2023</t>
        </is>
      </c>
      <c r="B439" s="1" t="n">
        <v>44979</v>
      </c>
      <c r="C439" s="1" t="n">
        <v>46181</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27786-2023</t>
        </is>
      </c>
      <c r="B440" s="1" t="n">
        <v>45098</v>
      </c>
      <c r="C440" s="1" t="n">
        <v>46181</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15942-2022</t>
        </is>
      </c>
      <c r="B441" s="1" t="n">
        <v>44664</v>
      </c>
      <c r="C441" s="1" t="n">
        <v>46181</v>
      </c>
      <c r="D441" t="inlineStr">
        <is>
          <t>UPPSALA LÄN</t>
        </is>
      </c>
      <c r="E441" t="inlineStr">
        <is>
          <t>ENKÖPING</t>
        </is>
      </c>
      <c r="G441" t="n">
        <v>6.6</v>
      </c>
      <c r="H441" t="n">
        <v>0</v>
      </c>
      <c r="I441" t="n">
        <v>0</v>
      </c>
      <c r="J441" t="n">
        <v>0</v>
      </c>
      <c r="K441" t="n">
        <v>0</v>
      </c>
      <c r="L441" t="n">
        <v>0</v>
      </c>
      <c r="M441" t="n">
        <v>0</v>
      </c>
      <c r="N441" t="n">
        <v>0</v>
      </c>
      <c r="O441" t="n">
        <v>0</v>
      </c>
      <c r="P441" t="n">
        <v>0</v>
      </c>
      <c r="Q441" t="n">
        <v>0</v>
      </c>
      <c r="R441" s="2" t="inlineStr"/>
    </row>
    <row r="442" ht="15" customHeight="1">
      <c r="A442" t="inlineStr">
        <is>
          <t>A 50006-2023</t>
        </is>
      </c>
      <c r="B442" s="1" t="n">
        <v>45215</v>
      </c>
      <c r="C442" s="1" t="n">
        <v>46181</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53607-2023</t>
        </is>
      </c>
      <c r="B443" s="1" t="n">
        <v>45230</v>
      </c>
      <c r="C443" s="1" t="n">
        <v>46181</v>
      </c>
      <c r="D443" t="inlineStr">
        <is>
          <t>UPPSALA LÄN</t>
        </is>
      </c>
      <c r="E443" t="inlineStr">
        <is>
          <t>ENKÖPING</t>
        </is>
      </c>
      <c r="F443" t="inlineStr">
        <is>
          <t>Allmännings- och besparingsskogar</t>
        </is>
      </c>
      <c r="G443" t="n">
        <v>6.3</v>
      </c>
      <c r="H443" t="n">
        <v>0</v>
      </c>
      <c r="I443" t="n">
        <v>0</v>
      </c>
      <c r="J443" t="n">
        <v>0</v>
      </c>
      <c r="K443" t="n">
        <v>0</v>
      </c>
      <c r="L443" t="n">
        <v>0</v>
      </c>
      <c r="M443" t="n">
        <v>0</v>
      </c>
      <c r="N443" t="n">
        <v>0</v>
      </c>
      <c r="O443" t="n">
        <v>0</v>
      </c>
      <c r="P443" t="n">
        <v>0</v>
      </c>
      <c r="Q443" t="n">
        <v>0</v>
      </c>
      <c r="R443" s="2" t="inlineStr"/>
    </row>
    <row r="444" ht="15" customHeight="1">
      <c r="A444" t="inlineStr">
        <is>
          <t>A 25557-2026</t>
        </is>
      </c>
      <c r="B444" s="1" t="n">
        <v>46177.5766087963</v>
      </c>
      <c r="C444" s="1" t="n">
        <v>46181</v>
      </c>
      <c r="D444" t="inlineStr">
        <is>
          <t>UPPSALA LÄN</t>
        </is>
      </c>
      <c r="E444" t="inlineStr">
        <is>
          <t>ENKÖPING</t>
        </is>
      </c>
      <c r="G444" t="n">
        <v>4.5</v>
      </c>
      <c r="H444" t="n">
        <v>0</v>
      </c>
      <c r="I444" t="n">
        <v>0</v>
      </c>
      <c r="J444" t="n">
        <v>0</v>
      </c>
      <c r="K444" t="n">
        <v>0</v>
      </c>
      <c r="L444" t="n">
        <v>0</v>
      </c>
      <c r="M444" t="n">
        <v>0</v>
      </c>
      <c r="N444" t="n">
        <v>0</v>
      </c>
      <c r="O444" t="n">
        <v>0</v>
      </c>
      <c r="P444" t="n">
        <v>0</v>
      </c>
      <c r="Q444" t="n">
        <v>0</v>
      </c>
      <c r="R444" s="2" t="inlineStr"/>
    </row>
    <row r="445" ht="15" customHeight="1">
      <c r="A445" t="inlineStr">
        <is>
          <t>A 27837-2025</t>
        </is>
      </c>
      <c r="B445" s="1" t="n">
        <v>45817.37207175926</v>
      </c>
      <c r="C445" s="1" t="n">
        <v>46181</v>
      </c>
      <c r="D445" t="inlineStr">
        <is>
          <t>UPPSALA LÄN</t>
        </is>
      </c>
      <c r="E445" t="inlineStr">
        <is>
          <t>ENKÖPING</t>
        </is>
      </c>
      <c r="G445" t="n">
        <v>7.3</v>
      </c>
      <c r="H445" t="n">
        <v>0</v>
      </c>
      <c r="I445" t="n">
        <v>0</v>
      </c>
      <c r="J445" t="n">
        <v>0</v>
      </c>
      <c r="K445" t="n">
        <v>0</v>
      </c>
      <c r="L445" t="n">
        <v>0</v>
      </c>
      <c r="M445" t="n">
        <v>0</v>
      </c>
      <c r="N445" t="n">
        <v>0</v>
      </c>
      <c r="O445" t="n">
        <v>0</v>
      </c>
      <c r="P445" t="n">
        <v>0</v>
      </c>
      <c r="Q445" t="n">
        <v>0</v>
      </c>
      <c r="R445" s="2" t="inlineStr"/>
    </row>
    <row r="446" ht="15" customHeight="1">
      <c r="A446" t="inlineStr">
        <is>
          <t>A 59497-2022</t>
        </is>
      </c>
      <c r="B446" s="1" t="n">
        <v>44907.48258101852</v>
      </c>
      <c r="C446" s="1" t="n">
        <v>46181</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41764-2025</t>
        </is>
      </c>
      <c r="B447" s="1" t="n">
        <v>45902</v>
      </c>
      <c r="C447" s="1" t="n">
        <v>46181</v>
      </c>
      <c r="D447" t="inlineStr">
        <is>
          <t>UPPSALA LÄN</t>
        </is>
      </c>
      <c r="E447" t="inlineStr">
        <is>
          <t>ENKÖPING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41765-2025</t>
        </is>
      </c>
      <c r="B448" s="1" t="n">
        <v>45902</v>
      </c>
      <c r="C448" s="1" t="n">
        <v>46181</v>
      </c>
      <c r="D448" t="inlineStr">
        <is>
          <t>UPPSALA LÄN</t>
        </is>
      </c>
      <c r="E448" t="inlineStr">
        <is>
          <t>ENKÖPING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49614-2024</t>
        </is>
      </c>
      <c r="B449" s="1" t="n">
        <v>45596.57716435185</v>
      </c>
      <c r="C449" s="1" t="n">
        <v>46181</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49632-2024</t>
        </is>
      </c>
      <c r="B450" s="1" t="n">
        <v>45596</v>
      </c>
      <c r="C450" s="1" t="n">
        <v>46181</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12878-2025</t>
        </is>
      </c>
      <c r="B451" s="1" t="n">
        <v>45733.68571759259</v>
      </c>
      <c r="C451" s="1" t="n">
        <v>46181</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52889-2022</t>
        </is>
      </c>
      <c r="B452" s="1" t="n">
        <v>44875</v>
      </c>
      <c r="C452" s="1" t="n">
        <v>46181</v>
      </c>
      <c r="D452" t="inlineStr">
        <is>
          <t>UPPSALA LÄN</t>
        </is>
      </c>
      <c r="E452" t="inlineStr">
        <is>
          <t>ENKÖPING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47681-2024</t>
        </is>
      </c>
      <c r="B453" s="1" t="n">
        <v>45588</v>
      </c>
      <c r="C453" s="1" t="n">
        <v>46181</v>
      </c>
      <c r="D453" t="inlineStr">
        <is>
          <t>UPPSALA LÄN</t>
        </is>
      </c>
      <c r="E453" t="inlineStr">
        <is>
          <t>ENKÖPING</t>
        </is>
      </c>
      <c r="G453" t="n">
        <v>4.2</v>
      </c>
      <c r="H453" t="n">
        <v>0</v>
      </c>
      <c r="I453" t="n">
        <v>0</v>
      </c>
      <c r="J453" t="n">
        <v>0</v>
      </c>
      <c r="K453" t="n">
        <v>0</v>
      </c>
      <c r="L453" t="n">
        <v>0</v>
      </c>
      <c r="M453" t="n">
        <v>0</v>
      </c>
      <c r="N453" t="n">
        <v>0</v>
      </c>
      <c r="O453" t="n">
        <v>0</v>
      </c>
      <c r="P453" t="n">
        <v>0</v>
      </c>
      <c r="Q453" t="n">
        <v>0</v>
      </c>
      <c r="R453" s="2" t="inlineStr"/>
    </row>
    <row r="454" ht="15" customHeight="1">
      <c r="A454" t="inlineStr">
        <is>
          <t>A 12754-2025</t>
        </is>
      </c>
      <c r="B454" s="1" t="n">
        <v>45733.56331018519</v>
      </c>
      <c r="C454" s="1" t="n">
        <v>46181</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54588-2024</t>
        </is>
      </c>
      <c r="B455" s="1" t="n">
        <v>45617</v>
      </c>
      <c r="C455" s="1" t="n">
        <v>46181</v>
      </c>
      <c r="D455" t="inlineStr">
        <is>
          <t>UPPSALA LÄN</t>
        </is>
      </c>
      <c r="E455" t="inlineStr">
        <is>
          <t>ENKÖPING</t>
        </is>
      </c>
      <c r="G455" t="n">
        <v>3.7</v>
      </c>
      <c r="H455" t="n">
        <v>0</v>
      </c>
      <c r="I455" t="n">
        <v>0</v>
      </c>
      <c r="J455" t="n">
        <v>0</v>
      </c>
      <c r="K455" t="n">
        <v>0</v>
      </c>
      <c r="L455" t="n">
        <v>0</v>
      </c>
      <c r="M455" t="n">
        <v>0</v>
      </c>
      <c r="N455" t="n">
        <v>0</v>
      </c>
      <c r="O455" t="n">
        <v>0</v>
      </c>
      <c r="P455" t="n">
        <v>0</v>
      </c>
      <c r="Q455" t="n">
        <v>0</v>
      </c>
      <c r="R455" s="2" t="inlineStr"/>
    </row>
    <row r="456" ht="15" customHeight="1">
      <c r="A456" t="inlineStr">
        <is>
          <t>A 56713-2024</t>
        </is>
      </c>
      <c r="B456" s="1" t="n">
        <v>45628</v>
      </c>
      <c r="C456" s="1" t="n">
        <v>46181</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51524-2022</t>
        </is>
      </c>
      <c r="B457" s="1" t="n">
        <v>44869</v>
      </c>
      <c r="C457" s="1" t="n">
        <v>46181</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8137-2025</t>
        </is>
      </c>
      <c r="B458" s="1" t="n">
        <v>45707.8561574074</v>
      </c>
      <c r="C458" s="1" t="n">
        <v>46181</v>
      </c>
      <c r="D458" t="inlineStr">
        <is>
          <t>UPPSALA LÄN</t>
        </is>
      </c>
      <c r="E458" t="inlineStr">
        <is>
          <t>ENKÖPING</t>
        </is>
      </c>
      <c r="G458" t="n">
        <v>0.4</v>
      </c>
      <c r="H458" t="n">
        <v>0</v>
      </c>
      <c r="I458" t="n">
        <v>0</v>
      </c>
      <c r="J458" t="n">
        <v>0</v>
      </c>
      <c r="K458" t="n">
        <v>0</v>
      </c>
      <c r="L458" t="n">
        <v>0</v>
      </c>
      <c r="M458" t="n">
        <v>0</v>
      </c>
      <c r="N458" t="n">
        <v>0</v>
      </c>
      <c r="O458" t="n">
        <v>0</v>
      </c>
      <c r="P458" t="n">
        <v>0</v>
      </c>
      <c r="Q458" t="n">
        <v>0</v>
      </c>
      <c r="R458" s="2" t="inlineStr"/>
    </row>
    <row r="459" ht="15" customHeight="1">
      <c r="A459" t="inlineStr">
        <is>
          <t>A 7868-2024</t>
        </is>
      </c>
      <c r="B459" s="1" t="n">
        <v>45350.33020833333</v>
      </c>
      <c r="C459" s="1" t="n">
        <v>46181</v>
      </c>
      <c r="D459" t="inlineStr">
        <is>
          <t>UPPSALA LÄN</t>
        </is>
      </c>
      <c r="E459" t="inlineStr">
        <is>
          <t>ENKÖPING</t>
        </is>
      </c>
      <c r="G459" t="n">
        <v>0.3</v>
      </c>
      <c r="H459" t="n">
        <v>0</v>
      </c>
      <c r="I459" t="n">
        <v>0</v>
      </c>
      <c r="J459" t="n">
        <v>0</v>
      </c>
      <c r="K459" t="n">
        <v>0</v>
      </c>
      <c r="L459" t="n">
        <v>0</v>
      </c>
      <c r="M459" t="n">
        <v>0</v>
      </c>
      <c r="N459" t="n">
        <v>0</v>
      </c>
      <c r="O459" t="n">
        <v>0</v>
      </c>
      <c r="P459" t="n">
        <v>0</v>
      </c>
      <c r="Q459" t="n">
        <v>0</v>
      </c>
      <c r="R459" s="2" t="inlineStr"/>
    </row>
    <row r="460" ht="15" customHeight="1">
      <c r="A460" t="inlineStr">
        <is>
          <t>A 51008-2024</t>
        </is>
      </c>
      <c r="B460" s="1" t="n">
        <v>45603.39041666667</v>
      </c>
      <c r="C460" s="1" t="n">
        <v>46181</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35052-2024</t>
        </is>
      </c>
      <c r="B461" s="1" t="n">
        <v>45527.6516087963</v>
      </c>
      <c r="C461" s="1" t="n">
        <v>46181</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14518-2025</t>
        </is>
      </c>
      <c r="B462" s="1" t="n">
        <v>45741</v>
      </c>
      <c r="C462" s="1" t="n">
        <v>46181</v>
      </c>
      <c r="D462" t="inlineStr">
        <is>
          <t>UPPSALA LÄN</t>
        </is>
      </c>
      <c r="E462" t="inlineStr">
        <is>
          <t>ENKÖPING</t>
        </is>
      </c>
      <c r="G462" t="n">
        <v>2</v>
      </c>
      <c r="H462" t="n">
        <v>0</v>
      </c>
      <c r="I462" t="n">
        <v>0</v>
      </c>
      <c r="J462" t="n">
        <v>0</v>
      </c>
      <c r="K462" t="n">
        <v>0</v>
      </c>
      <c r="L462" t="n">
        <v>0</v>
      </c>
      <c r="M462" t="n">
        <v>0</v>
      </c>
      <c r="N462" t="n">
        <v>0</v>
      </c>
      <c r="O462" t="n">
        <v>0</v>
      </c>
      <c r="P462" t="n">
        <v>0</v>
      </c>
      <c r="Q462" t="n">
        <v>0</v>
      </c>
      <c r="R462" s="2" t="inlineStr"/>
    </row>
    <row r="463" ht="15" customHeight="1">
      <c r="A463" t="inlineStr">
        <is>
          <t>A 54776-2024</t>
        </is>
      </c>
      <c r="B463" s="1" t="n">
        <v>45618</v>
      </c>
      <c r="C463" s="1" t="n">
        <v>46181</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22150-2025</t>
        </is>
      </c>
      <c r="B464" s="1" t="n">
        <v>45785.56398148148</v>
      </c>
      <c r="C464" s="1" t="n">
        <v>46181</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22156-2025</t>
        </is>
      </c>
      <c r="B465" s="1" t="n">
        <v>45785.57512731481</v>
      </c>
      <c r="C465" s="1" t="n">
        <v>46181</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30087-2024</t>
        </is>
      </c>
      <c r="B466" s="1" t="n">
        <v>45489.39447916667</v>
      </c>
      <c r="C466" s="1" t="n">
        <v>46181</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22677-2025</t>
        </is>
      </c>
      <c r="B467" s="1" t="n">
        <v>45789.49515046296</v>
      </c>
      <c r="C467" s="1" t="n">
        <v>46181</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22729-2025</t>
        </is>
      </c>
      <c r="B468" s="1" t="n">
        <v>45789.57790509259</v>
      </c>
      <c r="C468" s="1" t="n">
        <v>46181</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22786-2025</t>
        </is>
      </c>
      <c r="B469" s="1" t="n">
        <v>45789.64643518518</v>
      </c>
      <c r="C469" s="1" t="n">
        <v>46181</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22795-2025</t>
        </is>
      </c>
      <c r="B470" s="1" t="n">
        <v>45789.65944444444</v>
      </c>
      <c r="C470" s="1" t="n">
        <v>46181</v>
      </c>
      <c r="D470" t="inlineStr">
        <is>
          <t>UPPSALA LÄN</t>
        </is>
      </c>
      <c r="E470" t="inlineStr">
        <is>
          <t>ENKÖPING</t>
        </is>
      </c>
      <c r="G470" t="n">
        <v>10.4</v>
      </c>
      <c r="H470" t="n">
        <v>0</v>
      </c>
      <c r="I470" t="n">
        <v>0</v>
      </c>
      <c r="J470" t="n">
        <v>0</v>
      </c>
      <c r="K470" t="n">
        <v>0</v>
      </c>
      <c r="L470" t="n">
        <v>0</v>
      </c>
      <c r="M470" t="n">
        <v>0</v>
      </c>
      <c r="N470" t="n">
        <v>0</v>
      </c>
      <c r="O470" t="n">
        <v>0</v>
      </c>
      <c r="P470" t="n">
        <v>0</v>
      </c>
      <c r="Q470" t="n">
        <v>0</v>
      </c>
      <c r="R470" s="2" t="inlineStr"/>
    </row>
    <row r="471" ht="15" customHeight="1">
      <c r="A471" t="inlineStr">
        <is>
          <t>A 22802-2025</t>
        </is>
      </c>
      <c r="B471" s="1" t="n">
        <v>45789.6686574074</v>
      </c>
      <c r="C471" s="1" t="n">
        <v>46181</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22680-2025</t>
        </is>
      </c>
      <c r="B472" s="1" t="n">
        <v>45789.5005787037</v>
      </c>
      <c r="C472" s="1" t="n">
        <v>46181</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6981-2025</t>
        </is>
      </c>
      <c r="B473" s="1" t="n">
        <v>45701</v>
      </c>
      <c r="C473" s="1" t="n">
        <v>46181</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22770-2025</t>
        </is>
      </c>
      <c r="B474" s="1" t="n">
        <v>45789.63454861111</v>
      </c>
      <c r="C474" s="1" t="n">
        <v>46181</v>
      </c>
      <c r="D474" t="inlineStr">
        <is>
          <t>UPPSALA LÄN</t>
        </is>
      </c>
      <c r="E474" t="inlineStr">
        <is>
          <t>ENKÖPING</t>
        </is>
      </c>
      <c r="G474" t="n">
        <v>4.5</v>
      </c>
      <c r="H474" t="n">
        <v>0</v>
      </c>
      <c r="I474" t="n">
        <v>0</v>
      </c>
      <c r="J474" t="n">
        <v>0</v>
      </c>
      <c r="K474" t="n">
        <v>0</v>
      </c>
      <c r="L474" t="n">
        <v>0</v>
      </c>
      <c r="M474" t="n">
        <v>0</v>
      </c>
      <c r="N474" t="n">
        <v>0</v>
      </c>
      <c r="O474" t="n">
        <v>0</v>
      </c>
      <c r="P474" t="n">
        <v>0</v>
      </c>
      <c r="Q474" t="n">
        <v>0</v>
      </c>
      <c r="R474" s="2" t="inlineStr"/>
    </row>
    <row r="475" ht="15" customHeight="1">
      <c r="A475" t="inlineStr">
        <is>
          <t>A 22725-2025</t>
        </is>
      </c>
      <c r="B475" s="1" t="n">
        <v>45789.57371527778</v>
      </c>
      <c r="C475" s="1" t="n">
        <v>46181</v>
      </c>
      <c r="D475" t="inlineStr">
        <is>
          <t>UPPSALA LÄN</t>
        </is>
      </c>
      <c r="E475" t="inlineStr">
        <is>
          <t>ENKÖPING</t>
        </is>
      </c>
      <c r="G475" t="n">
        <v>4.8</v>
      </c>
      <c r="H475" t="n">
        <v>0</v>
      </c>
      <c r="I475" t="n">
        <v>0</v>
      </c>
      <c r="J475" t="n">
        <v>0</v>
      </c>
      <c r="K475" t="n">
        <v>0</v>
      </c>
      <c r="L475" t="n">
        <v>0</v>
      </c>
      <c r="M475" t="n">
        <v>0</v>
      </c>
      <c r="N475" t="n">
        <v>0</v>
      </c>
      <c r="O475" t="n">
        <v>0</v>
      </c>
      <c r="P475" t="n">
        <v>0</v>
      </c>
      <c r="Q475" t="n">
        <v>0</v>
      </c>
      <c r="R475" s="2" t="inlineStr"/>
    </row>
    <row r="476" ht="15" customHeight="1">
      <c r="A476" t="inlineStr">
        <is>
          <t>A 22981-2025</t>
        </is>
      </c>
      <c r="B476" s="1" t="n">
        <v>45790.56964120371</v>
      </c>
      <c r="C476" s="1" t="n">
        <v>46181</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68123-2021</t>
        </is>
      </c>
      <c r="B477" s="1" t="n">
        <v>44526.39126157408</v>
      </c>
      <c r="C477" s="1" t="n">
        <v>46181</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22800-2025</t>
        </is>
      </c>
      <c r="B478" s="1" t="n">
        <v>45789.6669212963</v>
      </c>
      <c r="C478" s="1" t="n">
        <v>46181</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17729-2023</t>
        </is>
      </c>
      <c r="B479" s="1" t="n">
        <v>45037</v>
      </c>
      <c r="C479" s="1" t="n">
        <v>46181</v>
      </c>
      <c r="D479" t="inlineStr">
        <is>
          <t>UPPSALA LÄN</t>
        </is>
      </c>
      <c r="E479" t="inlineStr">
        <is>
          <t>ENKÖPING</t>
        </is>
      </c>
      <c r="G479" t="n">
        <v>10.2</v>
      </c>
      <c r="H479" t="n">
        <v>0</v>
      </c>
      <c r="I479" t="n">
        <v>0</v>
      </c>
      <c r="J479" t="n">
        <v>0</v>
      </c>
      <c r="K479" t="n">
        <v>0</v>
      </c>
      <c r="L479" t="n">
        <v>0</v>
      </c>
      <c r="M479" t="n">
        <v>0</v>
      </c>
      <c r="N479" t="n">
        <v>0</v>
      </c>
      <c r="O479" t="n">
        <v>0</v>
      </c>
      <c r="P479" t="n">
        <v>0</v>
      </c>
      <c r="Q479" t="n">
        <v>0</v>
      </c>
      <c r="R479" s="2" t="inlineStr"/>
    </row>
    <row r="480" ht="15" customHeight="1">
      <c r="A480" t="inlineStr">
        <is>
          <t>A 5749-2025</t>
        </is>
      </c>
      <c r="B480" s="1" t="n">
        <v>45694</v>
      </c>
      <c r="C480" s="1" t="n">
        <v>46181</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8020-2022</t>
        </is>
      </c>
      <c r="B481" s="1" t="n">
        <v>44609</v>
      </c>
      <c r="C481" s="1" t="n">
        <v>46181</v>
      </c>
      <c r="D481" t="inlineStr">
        <is>
          <t>UPPSALA LÄN</t>
        </is>
      </c>
      <c r="E481" t="inlineStr">
        <is>
          <t>ENKÖPING</t>
        </is>
      </c>
      <c r="G481" t="n">
        <v>6</v>
      </c>
      <c r="H481" t="n">
        <v>0</v>
      </c>
      <c r="I481" t="n">
        <v>0</v>
      </c>
      <c r="J481" t="n">
        <v>0</v>
      </c>
      <c r="K481" t="n">
        <v>0</v>
      </c>
      <c r="L481" t="n">
        <v>0</v>
      </c>
      <c r="M481" t="n">
        <v>0</v>
      </c>
      <c r="N481" t="n">
        <v>0</v>
      </c>
      <c r="O481" t="n">
        <v>0</v>
      </c>
      <c r="P481" t="n">
        <v>0</v>
      </c>
      <c r="Q481" t="n">
        <v>0</v>
      </c>
      <c r="R481" s="2" t="inlineStr"/>
    </row>
    <row r="482" ht="15" customHeight="1">
      <c r="A482" t="inlineStr">
        <is>
          <t>A 34805-2024</t>
        </is>
      </c>
      <c r="B482" s="1" t="n">
        <v>45526</v>
      </c>
      <c r="C482" s="1" t="n">
        <v>46181</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43691-2024</t>
        </is>
      </c>
      <c r="B483" s="1" t="n">
        <v>45569</v>
      </c>
      <c r="C483" s="1" t="n">
        <v>46181</v>
      </c>
      <c r="D483" t="inlineStr">
        <is>
          <t>UPPSALA LÄN</t>
        </is>
      </c>
      <c r="E483" t="inlineStr">
        <is>
          <t>ENKÖPING</t>
        </is>
      </c>
      <c r="G483" t="n">
        <v>1.8</v>
      </c>
      <c r="H483" t="n">
        <v>0</v>
      </c>
      <c r="I483" t="n">
        <v>0</v>
      </c>
      <c r="J483" t="n">
        <v>0</v>
      </c>
      <c r="K483" t="n">
        <v>0</v>
      </c>
      <c r="L483" t="n">
        <v>0</v>
      </c>
      <c r="M483" t="n">
        <v>0</v>
      </c>
      <c r="N483" t="n">
        <v>0</v>
      </c>
      <c r="O483" t="n">
        <v>0</v>
      </c>
      <c r="P483" t="n">
        <v>0</v>
      </c>
      <c r="Q483" t="n">
        <v>0</v>
      </c>
      <c r="R483" s="2" t="inlineStr"/>
    </row>
    <row r="484" ht="15" customHeight="1">
      <c r="A484" t="inlineStr">
        <is>
          <t>A 46940-2025</t>
        </is>
      </c>
      <c r="B484" s="1" t="n">
        <v>45929.45483796296</v>
      </c>
      <c r="C484" s="1" t="n">
        <v>46181</v>
      </c>
      <c r="D484" t="inlineStr">
        <is>
          <t>UPPSALA LÄN</t>
        </is>
      </c>
      <c r="E484" t="inlineStr">
        <is>
          <t>ENKÖPING</t>
        </is>
      </c>
      <c r="G484" t="n">
        <v>5.3</v>
      </c>
      <c r="H484" t="n">
        <v>0</v>
      </c>
      <c r="I484" t="n">
        <v>0</v>
      </c>
      <c r="J484" t="n">
        <v>0</v>
      </c>
      <c r="K484" t="n">
        <v>0</v>
      </c>
      <c r="L484" t="n">
        <v>0</v>
      </c>
      <c r="M484" t="n">
        <v>0</v>
      </c>
      <c r="N484" t="n">
        <v>0</v>
      </c>
      <c r="O484" t="n">
        <v>0</v>
      </c>
      <c r="P484" t="n">
        <v>0</v>
      </c>
      <c r="Q484" t="n">
        <v>0</v>
      </c>
      <c r="R484" s="2" t="inlineStr"/>
    </row>
    <row r="485" ht="15" customHeight="1">
      <c r="A485" t="inlineStr">
        <is>
          <t>A 27829-2025</t>
        </is>
      </c>
      <c r="B485" s="1" t="n">
        <v>45817</v>
      </c>
      <c r="C485" s="1" t="n">
        <v>46181</v>
      </c>
      <c r="D485" t="inlineStr">
        <is>
          <t>UPPSALA LÄN</t>
        </is>
      </c>
      <c r="E485" t="inlineStr">
        <is>
          <t>ENKÖPING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32477-2025</t>
        </is>
      </c>
      <c r="B486" s="1" t="n">
        <v>45838.43098379629</v>
      </c>
      <c r="C486" s="1" t="n">
        <v>46181</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41637-2025</t>
        </is>
      </c>
      <c r="B487" s="1" t="n">
        <v>45901</v>
      </c>
      <c r="C487" s="1" t="n">
        <v>46181</v>
      </c>
      <c r="D487" t="inlineStr">
        <is>
          <t>UPPSALA LÄN</t>
        </is>
      </c>
      <c r="E487" t="inlineStr">
        <is>
          <t>ENKÖPING</t>
        </is>
      </c>
      <c r="F487" t="inlineStr">
        <is>
          <t>Allmännings- och besparingsskogar</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25566-2026</t>
        </is>
      </c>
      <c r="B488" s="1" t="n">
        <v>46177.59635416666</v>
      </c>
      <c r="C488" s="1" t="n">
        <v>46181</v>
      </c>
      <c r="D488" t="inlineStr">
        <is>
          <t>UPPSALA LÄN</t>
        </is>
      </c>
      <c r="E488" t="inlineStr">
        <is>
          <t>ENKÖPING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43697-2024</t>
        </is>
      </c>
      <c r="B489" s="1" t="n">
        <v>45569</v>
      </c>
      <c r="C489" s="1" t="n">
        <v>46181</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c r="A490" t="inlineStr">
        <is>
          <t>A 42564-2024</t>
        </is>
      </c>
      <c r="B490" s="1" t="n">
        <v>45565.63358796296</v>
      </c>
      <c r="C490" s="1" t="n">
        <v>46181</v>
      </c>
      <c r="D490" t="inlineStr">
        <is>
          <t>UPPSALA LÄN</t>
        </is>
      </c>
      <c r="E490" t="inlineStr">
        <is>
          <t>ENKÖPING</t>
        </is>
      </c>
      <c r="G490" t="n">
        <v>1.7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2026-06-08T10:36:31Z</dcterms:created>
  <dcterms:modified xmlns:dcterms="http://purl.org/dc/terms/" xmlns:xsi="http://www.w3.org/2001/XMLSchema-instance" xsi:type="dcterms:W3CDTF">2026-06-08T10:36:32Z</dcterms:modified>
</cp:coreProperties>
</file>