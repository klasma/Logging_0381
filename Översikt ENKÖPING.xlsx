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46048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46048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46048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46048</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46048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46048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46048</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46048</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46048</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46048</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46048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23385-2021</t>
        </is>
      </c>
      <c r="B20" s="1" t="n">
        <v>44333.6091087963</v>
      </c>
      <c r="C20" s="1" t="n">
        <v>46048</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74028-2021</t>
        </is>
      </c>
      <c r="B21" s="1" t="n">
        <v>44557.4596875</v>
      </c>
      <c r="C21" s="1" t="n">
        <v>46048</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17942-2024</t>
        </is>
      </c>
      <c r="B22" s="1" t="n">
        <v>45419</v>
      </c>
      <c r="C22" s="1" t="n">
        <v>46048</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46048</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46048</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46048</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28900-2024</t>
        </is>
      </c>
      <c r="B26" s="1" t="n">
        <v>45480</v>
      </c>
      <c r="C26" s="1" t="n">
        <v>46048</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46749-2024</t>
        </is>
      </c>
      <c r="B27" s="1" t="n">
        <v>45583.48347222222</v>
      </c>
      <c r="C27" s="1" t="n">
        <v>46048</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45116-2023</t>
        </is>
      </c>
      <c r="B28" s="1" t="n">
        <v>45191</v>
      </c>
      <c r="C28" s="1" t="n">
        <v>46048</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23961-2022</t>
        </is>
      </c>
      <c r="B29" s="1" t="n">
        <v>44722</v>
      </c>
      <c r="C29" s="1" t="n">
        <v>46048</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46048</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46048</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52439-2025</t>
        </is>
      </c>
      <c r="B32" s="1" t="n">
        <v>45954.40697916667</v>
      </c>
      <c r="C32" s="1" t="n">
        <v>46048</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4166-2026</t>
        </is>
      </c>
      <c r="B33" s="1" t="n">
        <v>46044.66402777778</v>
      </c>
      <c r="C33" s="1" t="n">
        <v>46048</v>
      </c>
      <c r="D33" t="inlineStr">
        <is>
          <t>UPPSALA LÄN</t>
        </is>
      </c>
      <c r="E33" t="inlineStr">
        <is>
          <t>ENKÖPING</t>
        </is>
      </c>
      <c r="G33" t="n">
        <v>1.7</v>
      </c>
      <c r="H33" t="n">
        <v>1</v>
      </c>
      <c r="I33" t="n">
        <v>0</v>
      </c>
      <c r="J33" t="n">
        <v>1</v>
      </c>
      <c r="K33" t="n">
        <v>0</v>
      </c>
      <c r="L33" t="n">
        <v>0</v>
      </c>
      <c r="M33" t="n">
        <v>0</v>
      </c>
      <c r="N33" t="n">
        <v>0</v>
      </c>
      <c r="O33" t="n">
        <v>1</v>
      </c>
      <c r="P33" t="n">
        <v>0</v>
      </c>
      <c r="Q33" t="n">
        <v>1</v>
      </c>
      <c r="R33" s="2" t="inlineStr">
        <is>
          <t>Gulsparv</t>
        </is>
      </c>
      <c r="S33">
        <f>HYPERLINK("https://klasma.github.io/Logging_0381/artfynd/A 4166-2026 artfynd.xlsx", "A 4166-2026")</f>
        <v/>
      </c>
      <c r="T33">
        <f>HYPERLINK("https://klasma.github.io/Logging_0381/kartor/A 4166-2026 karta.png", "A 4166-2026")</f>
        <v/>
      </c>
      <c r="V33">
        <f>HYPERLINK("https://klasma.github.io/Logging_0381/klagomål/A 4166-2026 FSC-klagomål.docx", "A 4166-2026")</f>
        <v/>
      </c>
      <c r="W33">
        <f>HYPERLINK("https://klasma.github.io/Logging_0381/klagomålsmail/A 4166-2026 FSC-klagomål mail.docx", "A 4166-2026")</f>
        <v/>
      </c>
      <c r="X33">
        <f>HYPERLINK("https://klasma.github.io/Logging_0381/tillsyn/A 4166-2026 tillsynsbegäran.docx", "A 4166-2026")</f>
        <v/>
      </c>
      <c r="Y33">
        <f>HYPERLINK("https://klasma.github.io/Logging_0381/tillsynsmail/A 4166-2026 tillsynsbegäran mail.docx", "A 4166-2026")</f>
        <v/>
      </c>
      <c r="Z33">
        <f>HYPERLINK("https://klasma.github.io/Logging_0381/fåglar/A 4166-2026 prioriterade fågelarter.docx", "A 4166-2026")</f>
        <v/>
      </c>
    </row>
    <row r="34" ht="15" customHeight="1">
      <c r="A34" t="inlineStr">
        <is>
          <t>A 16683-2021</t>
        </is>
      </c>
      <c r="B34" s="1" t="n">
        <v>44294.58495370371</v>
      </c>
      <c r="C34" s="1" t="n">
        <v>46048</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46048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46048</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46048</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46048</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46048</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46048</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46048</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46048</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46048</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46048</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46048</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46048</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46048</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46048</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46048</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46048</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46048</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46048</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46048</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46048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46048</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46048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46048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46048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46048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46048</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46048</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46048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46048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46048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46048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46048</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46048</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46048</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46048</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46048</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46048</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46048</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46048</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11688-2021</t>
        </is>
      </c>
      <c r="B74" s="1" t="n">
        <v>44264</v>
      </c>
      <c r="C74" s="1" t="n">
        <v>46048</v>
      </c>
      <c r="D74" t="inlineStr">
        <is>
          <t>UPPSALA LÄN</t>
        </is>
      </c>
      <c r="E74" t="inlineStr">
        <is>
          <t>ENKÖPING</t>
        </is>
      </c>
      <c r="G74" t="n">
        <v>4.7</v>
      </c>
      <c r="H74" t="n">
        <v>0</v>
      </c>
      <c r="I74" t="n">
        <v>0</v>
      </c>
      <c r="J74" t="n">
        <v>0</v>
      </c>
      <c r="K74" t="n">
        <v>0</v>
      </c>
      <c r="L74" t="n">
        <v>0</v>
      </c>
      <c r="M74" t="n">
        <v>0</v>
      </c>
      <c r="N74" t="n">
        <v>0</v>
      </c>
      <c r="O74" t="n">
        <v>0</v>
      </c>
      <c r="P74" t="n">
        <v>0</v>
      </c>
      <c r="Q74" t="n">
        <v>0</v>
      </c>
      <c r="R74" s="2" t="inlineStr"/>
    </row>
    <row r="75" ht="15" customHeight="1">
      <c r="A75" t="inlineStr">
        <is>
          <t>A 12538-2021</t>
        </is>
      </c>
      <c r="B75" s="1" t="n">
        <v>44269</v>
      </c>
      <c r="C75" s="1" t="n">
        <v>46048</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57055-2021</t>
        </is>
      </c>
      <c r="B76" s="1" t="n">
        <v>44482.55201388889</v>
      </c>
      <c r="C76" s="1" t="n">
        <v>46048</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60874-2021</t>
        </is>
      </c>
      <c r="B77" s="1" t="n">
        <v>44497</v>
      </c>
      <c r="C77" s="1" t="n">
        <v>46048</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46048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14839-2021</t>
        </is>
      </c>
      <c r="B79" s="1" t="n">
        <v>44280</v>
      </c>
      <c r="C79" s="1" t="n">
        <v>46048</v>
      </c>
      <c r="D79" t="inlineStr">
        <is>
          <t>UPPSALA LÄN</t>
        </is>
      </c>
      <c r="E79" t="inlineStr">
        <is>
          <t>ENKÖPING</t>
        </is>
      </c>
      <c r="G79" t="n">
        <v>11.4</v>
      </c>
      <c r="H79" t="n">
        <v>0</v>
      </c>
      <c r="I79" t="n">
        <v>0</v>
      </c>
      <c r="J79" t="n">
        <v>0</v>
      </c>
      <c r="K79" t="n">
        <v>0</v>
      </c>
      <c r="L79" t="n">
        <v>0</v>
      </c>
      <c r="M79" t="n">
        <v>0</v>
      </c>
      <c r="N79" t="n">
        <v>0</v>
      </c>
      <c r="O79" t="n">
        <v>0</v>
      </c>
      <c r="P79" t="n">
        <v>0</v>
      </c>
      <c r="Q79" t="n">
        <v>0</v>
      </c>
      <c r="R79" s="2" t="inlineStr"/>
    </row>
    <row r="80" ht="15" customHeight="1">
      <c r="A80" t="inlineStr">
        <is>
          <t>A 15997-2021</t>
        </is>
      </c>
      <c r="B80" s="1" t="n">
        <v>44287</v>
      </c>
      <c r="C80" s="1" t="n">
        <v>46048</v>
      </c>
      <c r="D80" t="inlineStr">
        <is>
          <t>UPPSALA LÄN</t>
        </is>
      </c>
      <c r="E80" t="inlineStr">
        <is>
          <t>ENKÖPING</t>
        </is>
      </c>
      <c r="G80" t="n">
        <v>1.2</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46048</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46048</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17264-2021</t>
        </is>
      </c>
      <c r="B83" s="1" t="n">
        <v>44298.56068287037</v>
      </c>
      <c r="C83" s="1" t="n">
        <v>46048</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17268-2021</t>
        </is>
      </c>
      <c r="B84" s="1" t="n">
        <v>44298.56302083333</v>
      </c>
      <c r="C84" s="1" t="n">
        <v>46048</v>
      </c>
      <c r="D84" t="inlineStr">
        <is>
          <t>UPPSALA LÄN</t>
        </is>
      </c>
      <c r="E84" t="inlineStr">
        <is>
          <t>ENKÖPING</t>
        </is>
      </c>
      <c r="G84" t="n">
        <v>0.4</v>
      </c>
      <c r="H84" t="n">
        <v>0</v>
      </c>
      <c r="I84" t="n">
        <v>0</v>
      </c>
      <c r="J84" t="n">
        <v>0</v>
      </c>
      <c r="K84" t="n">
        <v>0</v>
      </c>
      <c r="L84" t="n">
        <v>0</v>
      </c>
      <c r="M84" t="n">
        <v>0</v>
      </c>
      <c r="N84" t="n">
        <v>0</v>
      </c>
      <c r="O84" t="n">
        <v>0</v>
      </c>
      <c r="P84" t="n">
        <v>0</v>
      </c>
      <c r="Q84" t="n">
        <v>0</v>
      </c>
      <c r="R84" s="2" t="inlineStr"/>
    </row>
    <row r="85" ht="15" customHeight="1">
      <c r="A85" t="inlineStr">
        <is>
          <t>A 31013-2022</t>
        </is>
      </c>
      <c r="B85" s="1" t="n">
        <v>44768</v>
      </c>
      <c r="C85" s="1" t="n">
        <v>46048</v>
      </c>
      <c r="D85" t="inlineStr">
        <is>
          <t>UPPSALA LÄN</t>
        </is>
      </c>
      <c r="E85" t="inlineStr">
        <is>
          <t>ENKÖPING</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37410-2022</t>
        </is>
      </c>
      <c r="B86" s="1" t="n">
        <v>44809</v>
      </c>
      <c r="C86" s="1" t="n">
        <v>46048</v>
      </c>
      <c r="D86" t="inlineStr">
        <is>
          <t>UPPSALA LÄN</t>
        </is>
      </c>
      <c r="E86" t="inlineStr">
        <is>
          <t>ENKÖPING</t>
        </is>
      </c>
      <c r="G86" t="n">
        <v>3.6</v>
      </c>
      <c r="H86" t="n">
        <v>0</v>
      </c>
      <c r="I86" t="n">
        <v>0</v>
      </c>
      <c r="J86" t="n">
        <v>0</v>
      </c>
      <c r="K86" t="n">
        <v>0</v>
      </c>
      <c r="L86" t="n">
        <v>0</v>
      </c>
      <c r="M86" t="n">
        <v>0</v>
      </c>
      <c r="N86" t="n">
        <v>0</v>
      </c>
      <c r="O86" t="n">
        <v>0</v>
      </c>
      <c r="P86" t="n">
        <v>0</v>
      </c>
      <c r="Q86" t="n">
        <v>0</v>
      </c>
      <c r="R86" s="2" t="inlineStr"/>
    </row>
    <row r="87" ht="15" customHeight="1">
      <c r="A87" t="inlineStr">
        <is>
          <t>A 15021-2022</t>
        </is>
      </c>
      <c r="B87" s="1" t="n">
        <v>44657</v>
      </c>
      <c r="C87" s="1" t="n">
        <v>46048</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46048</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1979-2022</t>
        </is>
      </c>
      <c r="B89" s="1" t="n">
        <v>44575</v>
      </c>
      <c r="C89" s="1" t="n">
        <v>46048</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40773-2022</t>
        </is>
      </c>
      <c r="B90" s="1" t="n">
        <v>44824.61237268519</v>
      </c>
      <c r="C90" s="1" t="n">
        <v>46048</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46048</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57043-2021</t>
        </is>
      </c>
      <c r="B92" s="1" t="n">
        <v>44482.53399305556</v>
      </c>
      <c r="C92" s="1" t="n">
        <v>46048</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46048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46048</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46048</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46048</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46048</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46048</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17467-2022</t>
        </is>
      </c>
      <c r="B99" s="1" t="n">
        <v>44679</v>
      </c>
      <c r="C99" s="1" t="n">
        <v>46048</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1971-2022</t>
        </is>
      </c>
      <c r="B100" s="1" t="n">
        <v>44575</v>
      </c>
      <c r="C100" s="1" t="n">
        <v>46048</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46048</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50747-2022</t>
        </is>
      </c>
      <c r="B102" s="1" t="n">
        <v>44867.40162037037</v>
      </c>
      <c r="C102" s="1" t="n">
        <v>46048</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59121-2021</t>
        </is>
      </c>
      <c r="B103" s="1" t="n">
        <v>44490</v>
      </c>
      <c r="C103" s="1" t="n">
        <v>46048</v>
      </c>
      <c r="D103" t="inlineStr">
        <is>
          <t>UPPSALA LÄN</t>
        </is>
      </c>
      <c r="E103" t="inlineStr">
        <is>
          <t>ENKÖPING</t>
        </is>
      </c>
      <c r="G103" t="n">
        <v>2.4</v>
      </c>
      <c r="H103" t="n">
        <v>0</v>
      </c>
      <c r="I103" t="n">
        <v>0</v>
      </c>
      <c r="J103" t="n">
        <v>0</v>
      </c>
      <c r="K103" t="n">
        <v>0</v>
      </c>
      <c r="L103" t="n">
        <v>0</v>
      </c>
      <c r="M103" t="n">
        <v>0</v>
      </c>
      <c r="N103" t="n">
        <v>0</v>
      </c>
      <c r="O103" t="n">
        <v>0</v>
      </c>
      <c r="P103" t="n">
        <v>0</v>
      </c>
      <c r="Q103" t="n">
        <v>0</v>
      </c>
      <c r="R103" s="2" t="inlineStr"/>
    </row>
    <row r="104" ht="15" customHeight="1">
      <c r="A104" t="inlineStr">
        <is>
          <t>A 17657-2025</t>
        </is>
      </c>
      <c r="B104" s="1" t="n">
        <v>45758.35006944444</v>
      </c>
      <c r="C104" s="1" t="n">
        <v>46048</v>
      </c>
      <c r="D104" t="inlineStr">
        <is>
          <t>UPPSALA LÄN</t>
        </is>
      </c>
      <c r="E104" t="inlineStr">
        <is>
          <t>ENKÖPING</t>
        </is>
      </c>
      <c r="G104" t="n">
        <v>3</v>
      </c>
      <c r="H104" t="n">
        <v>0</v>
      </c>
      <c r="I104" t="n">
        <v>0</v>
      </c>
      <c r="J104" t="n">
        <v>0</v>
      </c>
      <c r="K104" t="n">
        <v>0</v>
      </c>
      <c r="L104" t="n">
        <v>0</v>
      </c>
      <c r="M104" t="n">
        <v>0</v>
      </c>
      <c r="N104" t="n">
        <v>0</v>
      </c>
      <c r="O104" t="n">
        <v>0</v>
      </c>
      <c r="P104" t="n">
        <v>0</v>
      </c>
      <c r="Q104" t="n">
        <v>0</v>
      </c>
      <c r="R104" s="2" t="inlineStr"/>
    </row>
    <row r="105" ht="15" customHeight="1">
      <c r="A105" t="inlineStr">
        <is>
          <t>A 49568-2022</t>
        </is>
      </c>
      <c r="B105" s="1" t="n">
        <v>44862.32791666667</v>
      </c>
      <c r="C105" s="1" t="n">
        <v>46048</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15924-2022</t>
        </is>
      </c>
      <c r="B106" s="1" t="n">
        <v>44664</v>
      </c>
      <c r="C106" s="1" t="n">
        <v>46048</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15943-2022</t>
        </is>
      </c>
      <c r="B107" s="1" t="n">
        <v>44664.66428240741</v>
      </c>
      <c r="C107" s="1" t="n">
        <v>46048</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47106-2021</t>
        </is>
      </c>
      <c r="B108" s="1" t="n">
        <v>44446</v>
      </c>
      <c r="C108" s="1" t="n">
        <v>46048</v>
      </c>
      <c r="D108" t="inlineStr">
        <is>
          <t>UPPSALA LÄN</t>
        </is>
      </c>
      <c r="E108" t="inlineStr">
        <is>
          <t>ENKÖPING</t>
        </is>
      </c>
      <c r="G108" t="n">
        <v>7.6</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46048</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46048</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19731-2022</t>
        </is>
      </c>
      <c r="B111" s="1" t="n">
        <v>44694</v>
      </c>
      <c r="C111" s="1" t="n">
        <v>46048</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46048</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6298-2021</t>
        </is>
      </c>
      <c r="B113" s="1" t="n">
        <v>44235</v>
      </c>
      <c r="C113" s="1" t="n">
        <v>46048</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46048</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58961-2024</t>
        </is>
      </c>
      <c r="B115" s="1" t="n">
        <v>45636.585</v>
      </c>
      <c r="C115" s="1" t="n">
        <v>46048</v>
      </c>
      <c r="D115" t="inlineStr">
        <is>
          <t>UPPSALA LÄN</t>
        </is>
      </c>
      <c r="E115" t="inlineStr">
        <is>
          <t>ENKÖPING</t>
        </is>
      </c>
      <c r="G115" t="n">
        <v>4</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46048</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46048</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46048</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53595-2023</t>
        </is>
      </c>
      <c r="B119" s="1" t="n">
        <v>45223</v>
      </c>
      <c r="C119" s="1" t="n">
        <v>46048</v>
      </c>
      <c r="D119" t="inlineStr">
        <is>
          <t>UPPSALA LÄN</t>
        </is>
      </c>
      <c r="E119" t="inlineStr">
        <is>
          <t>ENKÖPING</t>
        </is>
      </c>
      <c r="G119" t="n">
        <v>2.6</v>
      </c>
      <c r="H119" t="n">
        <v>0</v>
      </c>
      <c r="I119" t="n">
        <v>0</v>
      </c>
      <c r="J119" t="n">
        <v>0</v>
      </c>
      <c r="K119" t="n">
        <v>0</v>
      </c>
      <c r="L119" t="n">
        <v>0</v>
      </c>
      <c r="M119" t="n">
        <v>0</v>
      </c>
      <c r="N119" t="n">
        <v>0</v>
      </c>
      <c r="O119" t="n">
        <v>0</v>
      </c>
      <c r="P119" t="n">
        <v>0</v>
      </c>
      <c r="Q119" t="n">
        <v>0</v>
      </c>
      <c r="R119" s="2" t="inlineStr"/>
    </row>
    <row r="120" ht="15" customHeight="1">
      <c r="A120" t="inlineStr">
        <is>
          <t>A 15893-2024</t>
        </is>
      </c>
      <c r="B120" s="1" t="n">
        <v>45405</v>
      </c>
      <c r="C120" s="1" t="n">
        <v>46048</v>
      </c>
      <c r="D120" t="inlineStr">
        <is>
          <t>UPPSALA LÄN</t>
        </is>
      </c>
      <c r="E120" t="inlineStr">
        <is>
          <t>ENKÖPING</t>
        </is>
      </c>
      <c r="G120" t="n">
        <v>1.9</v>
      </c>
      <c r="H120" t="n">
        <v>0</v>
      </c>
      <c r="I120" t="n">
        <v>0</v>
      </c>
      <c r="J120" t="n">
        <v>0</v>
      </c>
      <c r="K120" t="n">
        <v>0</v>
      </c>
      <c r="L120" t="n">
        <v>0</v>
      </c>
      <c r="M120" t="n">
        <v>0</v>
      </c>
      <c r="N120" t="n">
        <v>0</v>
      </c>
      <c r="O120" t="n">
        <v>0</v>
      </c>
      <c r="P120" t="n">
        <v>0</v>
      </c>
      <c r="Q120" t="n">
        <v>0</v>
      </c>
      <c r="R120" s="2" t="inlineStr"/>
    </row>
    <row r="121" ht="15" customHeight="1">
      <c r="A121" t="inlineStr">
        <is>
          <t>A 27786-2023</t>
        </is>
      </c>
      <c r="B121" s="1" t="n">
        <v>45098</v>
      </c>
      <c r="C121" s="1" t="n">
        <v>46048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18028-2023</t>
        </is>
      </c>
      <c r="B122" s="1" t="n">
        <v>45040</v>
      </c>
      <c r="C122" s="1" t="n">
        <v>46048</v>
      </c>
      <c r="D122" t="inlineStr">
        <is>
          <t>UPPSALA LÄN</t>
        </is>
      </c>
      <c r="E122" t="inlineStr">
        <is>
          <t>ENKÖPING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49063-2024</t>
        </is>
      </c>
      <c r="B123" s="1" t="n">
        <v>45594.59869212963</v>
      </c>
      <c r="C123" s="1" t="n">
        <v>46048</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13853-2023</t>
        </is>
      </c>
      <c r="B124" s="1" t="n">
        <v>45007</v>
      </c>
      <c r="C124" s="1" t="n">
        <v>46048</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48864-2022</t>
        </is>
      </c>
      <c r="B125" s="1" t="n">
        <v>44859</v>
      </c>
      <c r="C125" s="1" t="n">
        <v>46048</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44131-2023</t>
        </is>
      </c>
      <c r="B126" s="1" t="n">
        <v>45188</v>
      </c>
      <c r="C126" s="1" t="n">
        <v>46048</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46048</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42459-2024</t>
        </is>
      </c>
      <c r="B128" s="1" t="n">
        <v>45565</v>
      </c>
      <c r="C128" s="1" t="n">
        <v>46048</v>
      </c>
      <c r="D128" t="inlineStr">
        <is>
          <t>UPPSALA LÄN</t>
        </is>
      </c>
      <c r="E128" t="inlineStr">
        <is>
          <t>ENKÖPING</t>
        </is>
      </c>
      <c r="G128" t="n">
        <v>3.6</v>
      </c>
      <c r="H128" t="n">
        <v>0</v>
      </c>
      <c r="I128" t="n">
        <v>0</v>
      </c>
      <c r="J128" t="n">
        <v>0</v>
      </c>
      <c r="K128" t="n">
        <v>0</v>
      </c>
      <c r="L128" t="n">
        <v>0</v>
      </c>
      <c r="M128" t="n">
        <v>0</v>
      </c>
      <c r="N128" t="n">
        <v>0</v>
      </c>
      <c r="O128" t="n">
        <v>0</v>
      </c>
      <c r="P128" t="n">
        <v>0</v>
      </c>
      <c r="Q128" t="n">
        <v>0</v>
      </c>
      <c r="R128" s="2" t="inlineStr"/>
    </row>
    <row r="129" ht="15" customHeight="1">
      <c r="A129" t="inlineStr">
        <is>
          <t>A 60533-2021</t>
        </is>
      </c>
      <c r="B129" s="1" t="n">
        <v>44496</v>
      </c>
      <c r="C129" s="1" t="n">
        <v>46048</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60125-2024</t>
        </is>
      </c>
      <c r="B130" s="1" t="n">
        <v>45642</v>
      </c>
      <c r="C130" s="1" t="n">
        <v>46048</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10468-2025</t>
        </is>
      </c>
      <c r="B131" s="1" t="n">
        <v>45720</v>
      </c>
      <c r="C131" s="1" t="n">
        <v>46048</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35052-2024</t>
        </is>
      </c>
      <c r="B132" s="1" t="n">
        <v>45527.6516087963</v>
      </c>
      <c r="C132" s="1" t="n">
        <v>46048</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51008-2024</t>
        </is>
      </c>
      <c r="B133" s="1" t="n">
        <v>45603.39041666667</v>
      </c>
      <c r="C133" s="1" t="n">
        <v>46048</v>
      </c>
      <c r="D133" t="inlineStr">
        <is>
          <t>UPPSALA LÄN</t>
        </is>
      </c>
      <c r="E133" t="inlineStr">
        <is>
          <t>ENKÖPING</t>
        </is>
      </c>
      <c r="G133" t="n">
        <v>2.4</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46048</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10409-2025</t>
        </is>
      </c>
      <c r="B135" s="1" t="n">
        <v>45720.631875</v>
      </c>
      <c r="C135" s="1" t="n">
        <v>46048</v>
      </c>
      <c r="D135" t="inlineStr">
        <is>
          <t>UPPSALA LÄN</t>
        </is>
      </c>
      <c r="E135" t="inlineStr">
        <is>
          <t>ENKÖPING</t>
        </is>
      </c>
      <c r="G135" t="n">
        <v>2.2</v>
      </c>
      <c r="H135" t="n">
        <v>0</v>
      </c>
      <c r="I135" t="n">
        <v>0</v>
      </c>
      <c r="J135" t="n">
        <v>0</v>
      </c>
      <c r="K135" t="n">
        <v>0</v>
      </c>
      <c r="L135" t="n">
        <v>0</v>
      </c>
      <c r="M135" t="n">
        <v>0</v>
      </c>
      <c r="N135" t="n">
        <v>0</v>
      </c>
      <c r="O135" t="n">
        <v>0</v>
      </c>
      <c r="P135" t="n">
        <v>0</v>
      </c>
      <c r="Q135" t="n">
        <v>0</v>
      </c>
      <c r="R135" s="2" t="inlineStr"/>
    </row>
    <row r="136" ht="15" customHeight="1">
      <c r="A136" t="inlineStr">
        <is>
          <t>A 18299-2025</t>
        </is>
      </c>
      <c r="B136" s="1" t="n">
        <v>45762</v>
      </c>
      <c r="C136" s="1" t="n">
        <v>46048</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48843-2023</t>
        </is>
      </c>
      <c r="B137" s="1" t="n">
        <v>45209</v>
      </c>
      <c r="C137" s="1" t="n">
        <v>46048</v>
      </c>
      <c r="D137" t="inlineStr">
        <is>
          <t>UPPSALA LÄN</t>
        </is>
      </c>
      <c r="E137" t="inlineStr">
        <is>
          <t>ENKÖPING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33670-2024</t>
        </is>
      </c>
      <c r="B138" s="1" t="n">
        <v>45520</v>
      </c>
      <c r="C138" s="1" t="n">
        <v>46048</v>
      </c>
      <c r="D138" t="inlineStr">
        <is>
          <t>UPPSALA LÄN</t>
        </is>
      </c>
      <c r="E138" t="inlineStr">
        <is>
          <t>ENKÖPING</t>
        </is>
      </c>
      <c r="G138" t="n">
        <v>1.9</v>
      </c>
      <c r="H138" t="n">
        <v>0</v>
      </c>
      <c r="I138" t="n">
        <v>0</v>
      </c>
      <c r="J138" t="n">
        <v>0</v>
      </c>
      <c r="K138" t="n">
        <v>0</v>
      </c>
      <c r="L138" t="n">
        <v>0</v>
      </c>
      <c r="M138" t="n">
        <v>0</v>
      </c>
      <c r="N138" t="n">
        <v>0</v>
      </c>
      <c r="O138" t="n">
        <v>0</v>
      </c>
      <c r="P138" t="n">
        <v>0</v>
      </c>
      <c r="Q138" t="n">
        <v>0</v>
      </c>
      <c r="R138" s="2" t="inlineStr"/>
    </row>
    <row r="139" ht="15" customHeight="1">
      <c r="A139" t="inlineStr">
        <is>
          <t>A 21686-2022</t>
        </is>
      </c>
      <c r="B139" s="1" t="n">
        <v>44707</v>
      </c>
      <c r="C139" s="1" t="n">
        <v>46048</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18831-2023</t>
        </is>
      </c>
      <c r="B140" s="1" t="n">
        <v>45044.40798611111</v>
      </c>
      <c r="C140" s="1" t="n">
        <v>46048</v>
      </c>
      <c r="D140" t="inlineStr">
        <is>
          <t>UPPSALA LÄN</t>
        </is>
      </c>
      <c r="E140" t="inlineStr">
        <is>
          <t>ENKÖPING</t>
        </is>
      </c>
      <c r="G140" t="n">
        <v>4.3</v>
      </c>
      <c r="H140" t="n">
        <v>0</v>
      </c>
      <c r="I140" t="n">
        <v>0</v>
      </c>
      <c r="J140" t="n">
        <v>0</v>
      </c>
      <c r="K140" t="n">
        <v>0</v>
      </c>
      <c r="L140" t="n">
        <v>0</v>
      </c>
      <c r="M140" t="n">
        <v>0</v>
      </c>
      <c r="N140" t="n">
        <v>0</v>
      </c>
      <c r="O140" t="n">
        <v>0</v>
      </c>
      <c r="P140" t="n">
        <v>0</v>
      </c>
      <c r="Q140" t="n">
        <v>0</v>
      </c>
      <c r="R140" s="2" t="inlineStr"/>
    </row>
    <row r="141" ht="15" customHeight="1">
      <c r="A141" t="inlineStr">
        <is>
          <t>A 6172-2023</t>
        </is>
      </c>
      <c r="B141" s="1" t="n">
        <v>44964.68663194445</v>
      </c>
      <c r="C141" s="1" t="n">
        <v>46048</v>
      </c>
      <c r="D141" t="inlineStr">
        <is>
          <t>UPPSALA LÄN</t>
        </is>
      </c>
      <c r="E141" t="inlineStr">
        <is>
          <t>ENKÖPING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14402-2023</t>
        </is>
      </c>
      <c r="B142" s="1" t="n">
        <v>45012</v>
      </c>
      <c r="C142" s="1" t="n">
        <v>46048</v>
      </c>
      <c r="D142" t="inlineStr">
        <is>
          <t>UPPSALA LÄN</t>
        </is>
      </c>
      <c r="E142" t="inlineStr">
        <is>
          <t>ENKÖPING</t>
        </is>
      </c>
      <c r="G142" t="n">
        <v>9.5</v>
      </c>
      <c r="H142" t="n">
        <v>0</v>
      </c>
      <c r="I142" t="n">
        <v>0</v>
      </c>
      <c r="J142" t="n">
        <v>0</v>
      </c>
      <c r="K142" t="n">
        <v>0</v>
      </c>
      <c r="L142" t="n">
        <v>0</v>
      </c>
      <c r="M142" t="n">
        <v>0</v>
      </c>
      <c r="N142" t="n">
        <v>0</v>
      </c>
      <c r="O142" t="n">
        <v>0</v>
      </c>
      <c r="P142" t="n">
        <v>0</v>
      </c>
      <c r="Q142" t="n">
        <v>0</v>
      </c>
      <c r="R142" s="2" t="inlineStr"/>
    </row>
    <row r="143" ht="15" customHeight="1">
      <c r="A143" t="inlineStr">
        <is>
          <t>A 19376-2024</t>
        </is>
      </c>
      <c r="B143" s="1" t="n">
        <v>45429</v>
      </c>
      <c r="C143" s="1" t="n">
        <v>46048</v>
      </c>
      <c r="D143" t="inlineStr">
        <is>
          <t>UPPSALA LÄN</t>
        </is>
      </c>
      <c r="E143" t="inlineStr">
        <is>
          <t>ENKÖPING</t>
        </is>
      </c>
      <c r="G143" t="n">
        <v>1.6</v>
      </c>
      <c r="H143" t="n">
        <v>0</v>
      </c>
      <c r="I143" t="n">
        <v>0</v>
      </c>
      <c r="J143" t="n">
        <v>0</v>
      </c>
      <c r="K143" t="n">
        <v>0</v>
      </c>
      <c r="L143" t="n">
        <v>0</v>
      </c>
      <c r="M143" t="n">
        <v>0</v>
      </c>
      <c r="N143" t="n">
        <v>0</v>
      </c>
      <c r="O143" t="n">
        <v>0</v>
      </c>
      <c r="P143" t="n">
        <v>0</v>
      </c>
      <c r="Q143" t="n">
        <v>0</v>
      </c>
      <c r="R143" s="2" t="inlineStr"/>
    </row>
    <row r="144" ht="15" customHeight="1">
      <c r="A144" t="inlineStr">
        <is>
          <t>A 10829-2024</t>
        </is>
      </c>
      <c r="B144" s="1" t="n">
        <v>45369</v>
      </c>
      <c r="C144" s="1" t="n">
        <v>46048</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46048</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19298-2023</t>
        </is>
      </c>
      <c r="B146" s="1" t="n">
        <v>45048</v>
      </c>
      <c r="C146" s="1" t="n">
        <v>46048</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6147-2021</t>
        </is>
      </c>
      <c r="B147" s="1" t="n">
        <v>44232</v>
      </c>
      <c r="C147" s="1" t="n">
        <v>46048</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15939-2022</t>
        </is>
      </c>
      <c r="B148" s="1" t="n">
        <v>44664</v>
      </c>
      <c r="C148" s="1" t="n">
        <v>46048</v>
      </c>
      <c r="D148" t="inlineStr">
        <is>
          <t>UPPSALA LÄN</t>
        </is>
      </c>
      <c r="E148" t="inlineStr">
        <is>
          <t>ENKÖPING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22156-2025</t>
        </is>
      </c>
      <c r="B149" s="1" t="n">
        <v>45785.57512731481</v>
      </c>
      <c r="C149" s="1" t="n">
        <v>46048</v>
      </c>
      <c r="D149" t="inlineStr">
        <is>
          <t>UPPSALA LÄN</t>
        </is>
      </c>
      <c r="E149" t="inlineStr">
        <is>
          <t>ENKÖPING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22150-2025</t>
        </is>
      </c>
      <c r="B150" s="1" t="n">
        <v>45785.56398148148</v>
      </c>
      <c r="C150" s="1" t="n">
        <v>46048</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57153-2021</t>
        </is>
      </c>
      <c r="B151" s="1" t="n">
        <v>44482</v>
      </c>
      <c r="C151" s="1" t="n">
        <v>46048</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43697-2024</t>
        </is>
      </c>
      <c r="B152" s="1" t="n">
        <v>45569</v>
      </c>
      <c r="C152" s="1" t="n">
        <v>46048</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30087-2024</t>
        </is>
      </c>
      <c r="B153" s="1" t="n">
        <v>45489.39447916667</v>
      </c>
      <c r="C153" s="1" t="n">
        <v>46048</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54776-2024</t>
        </is>
      </c>
      <c r="B154" s="1" t="n">
        <v>45618</v>
      </c>
      <c r="C154" s="1" t="n">
        <v>46048</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22729-2025</t>
        </is>
      </c>
      <c r="B155" s="1" t="n">
        <v>45789.57790509259</v>
      </c>
      <c r="C155" s="1" t="n">
        <v>46048</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45283-2022</t>
        </is>
      </c>
      <c r="B156" s="1" t="n">
        <v>44844</v>
      </c>
      <c r="C156" s="1" t="n">
        <v>46048</v>
      </c>
      <c r="D156" t="inlineStr">
        <is>
          <t>UPPSALA LÄN</t>
        </is>
      </c>
      <c r="E156" t="inlineStr">
        <is>
          <t>ENKÖPING</t>
        </is>
      </c>
      <c r="G156" t="n">
        <v>5.9</v>
      </c>
      <c r="H156" t="n">
        <v>0</v>
      </c>
      <c r="I156" t="n">
        <v>0</v>
      </c>
      <c r="J156" t="n">
        <v>0</v>
      </c>
      <c r="K156" t="n">
        <v>0</v>
      </c>
      <c r="L156" t="n">
        <v>0</v>
      </c>
      <c r="M156" t="n">
        <v>0</v>
      </c>
      <c r="N156" t="n">
        <v>0</v>
      </c>
      <c r="O156" t="n">
        <v>0</v>
      </c>
      <c r="P156" t="n">
        <v>0</v>
      </c>
      <c r="Q156" t="n">
        <v>0</v>
      </c>
      <c r="R156" s="2" t="inlineStr"/>
    </row>
    <row r="157" ht="15" customHeight="1">
      <c r="A157" t="inlineStr">
        <is>
          <t>A 14518-2025</t>
        </is>
      </c>
      <c r="B157" s="1" t="n">
        <v>45741</v>
      </c>
      <c r="C157" s="1" t="n">
        <v>46048</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22677-2025</t>
        </is>
      </c>
      <c r="B158" s="1" t="n">
        <v>45789.49515046296</v>
      </c>
      <c r="C158" s="1" t="n">
        <v>46048</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22679-2025</t>
        </is>
      </c>
      <c r="B159" s="1" t="n">
        <v>45789.49747685185</v>
      </c>
      <c r="C159" s="1" t="n">
        <v>46048</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22770-2025</t>
        </is>
      </c>
      <c r="B160" s="1" t="n">
        <v>45789.63454861111</v>
      </c>
      <c r="C160" s="1" t="n">
        <v>46048</v>
      </c>
      <c r="D160" t="inlineStr">
        <is>
          <t>UPPSALA LÄN</t>
        </is>
      </c>
      <c r="E160" t="inlineStr">
        <is>
          <t>ENKÖPING</t>
        </is>
      </c>
      <c r="G160" t="n">
        <v>4.5</v>
      </c>
      <c r="H160" t="n">
        <v>0</v>
      </c>
      <c r="I160" t="n">
        <v>0</v>
      </c>
      <c r="J160" t="n">
        <v>0</v>
      </c>
      <c r="K160" t="n">
        <v>0</v>
      </c>
      <c r="L160" t="n">
        <v>0</v>
      </c>
      <c r="M160" t="n">
        <v>0</v>
      </c>
      <c r="N160" t="n">
        <v>0</v>
      </c>
      <c r="O160" t="n">
        <v>0</v>
      </c>
      <c r="P160" t="n">
        <v>0</v>
      </c>
      <c r="Q160" t="n">
        <v>0</v>
      </c>
      <c r="R160" s="2" t="inlineStr"/>
    </row>
    <row r="161" ht="15" customHeight="1">
      <c r="A161" t="inlineStr">
        <is>
          <t>A 22800-2025</t>
        </is>
      </c>
      <c r="B161" s="1" t="n">
        <v>45789.6669212963</v>
      </c>
      <c r="C161" s="1" t="n">
        <v>46048</v>
      </c>
      <c r="D161" t="inlineStr">
        <is>
          <t>UPPSALA LÄN</t>
        </is>
      </c>
      <c r="E161" t="inlineStr">
        <is>
          <t>ENKÖPING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12020-2024</t>
        </is>
      </c>
      <c r="B162" s="1" t="n">
        <v>45377</v>
      </c>
      <c r="C162" s="1" t="n">
        <v>46048</v>
      </c>
      <c r="D162" t="inlineStr">
        <is>
          <t>UPPSALA LÄN</t>
        </is>
      </c>
      <c r="E162" t="inlineStr">
        <is>
          <t>ENKÖPING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41826-2024</t>
        </is>
      </c>
      <c r="B163" s="1" t="n">
        <v>45561</v>
      </c>
      <c r="C163" s="1" t="n">
        <v>46048</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6981-2025</t>
        </is>
      </c>
      <c r="B164" s="1" t="n">
        <v>45701</v>
      </c>
      <c r="C164" s="1" t="n">
        <v>46048</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22786-2025</t>
        </is>
      </c>
      <c r="B165" s="1" t="n">
        <v>45789.64643518518</v>
      </c>
      <c r="C165" s="1" t="n">
        <v>46048</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68123-2021</t>
        </is>
      </c>
      <c r="B166" s="1" t="n">
        <v>44526.39126157408</v>
      </c>
      <c r="C166" s="1" t="n">
        <v>46048</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22680-2025</t>
        </is>
      </c>
      <c r="B167" s="1" t="n">
        <v>45789.5005787037</v>
      </c>
      <c r="C167" s="1" t="n">
        <v>46048</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22802-2025</t>
        </is>
      </c>
      <c r="B168" s="1" t="n">
        <v>45789.6686574074</v>
      </c>
      <c r="C168" s="1" t="n">
        <v>46048</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10465-2022</t>
        </is>
      </c>
      <c r="B169" s="1" t="n">
        <v>44623</v>
      </c>
      <c r="C169" s="1" t="n">
        <v>46048</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14332-2024</t>
        </is>
      </c>
      <c r="B170" s="1" t="n">
        <v>45393</v>
      </c>
      <c r="C170" s="1" t="n">
        <v>46048</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42589-2022</t>
        </is>
      </c>
      <c r="B171" s="1" t="n">
        <v>44831</v>
      </c>
      <c r="C171" s="1" t="n">
        <v>46048</v>
      </c>
      <c r="D171" t="inlineStr">
        <is>
          <t>UPPSALA LÄN</t>
        </is>
      </c>
      <c r="E171" t="inlineStr">
        <is>
          <t>ENKÖPING</t>
        </is>
      </c>
      <c r="G171" t="n">
        <v>20</v>
      </c>
      <c r="H171" t="n">
        <v>0</v>
      </c>
      <c r="I171" t="n">
        <v>0</v>
      </c>
      <c r="J171" t="n">
        <v>0</v>
      </c>
      <c r="K171" t="n">
        <v>0</v>
      </c>
      <c r="L171" t="n">
        <v>0</v>
      </c>
      <c r="M171" t="n">
        <v>0</v>
      </c>
      <c r="N171" t="n">
        <v>0</v>
      </c>
      <c r="O171" t="n">
        <v>0</v>
      </c>
      <c r="P171" t="n">
        <v>0</v>
      </c>
      <c r="Q171" t="n">
        <v>0</v>
      </c>
      <c r="R171" s="2" t="inlineStr"/>
    </row>
    <row r="172" ht="15" customHeight="1">
      <c r="A172" t="inlineStr">
        <is>
          <t>A 61207-2023</t>
        </is>
      </c>
      <c r="B172" s="1" t="n">
        <v>45264.39444444444</v>
      </c>
      <c r="C172" s="1" t="n">
        <v>46048</v>
      </c>
      <c r="D172" t="inlineStr">
        <is>
          <t>UPPSALA LÄN</t>
        </is>
      </c>
      <c r="E172" t="inlineStr">
        <is>
          <t>ENKÖPING</t>
        </is>
      </c>
      <c r="G172" t="n">
        <v>10.8</v>
      </c>
      <c r="H172" t="n">
        <v>0</v>
      </c>
      <c r="I172" t="n">
        <v>0</v>
      </c>
      <c r="J172" t="n">
        <v>0</v>
      </c>
      <c r="K172" t="n">
        <v>0</v>
      </c>
      <c r="L172" t="n">
        <v>0</v>
      </c>
      <c r="M172" t="n">
        <v>0</v>
      </c>
      <c r="N172" t="n">
        <v>0</v>
      </c>
      <c r="O172" t="n">
        <v>0</v>
      </c>
      <c r="P172" t="n">
        <v>0</v>
      </c>
      <c r="Q172" t="n">
        <v>0</v>
      </c>
      <c r="R172" s="2" t="inlineStr"/>
    </row>
    <row r="173" ht="15" customHeight="1">
      <c r="A173" t="inlineStr">
        <is>
          <t>A 67982-2021</t>
        </is>
      </c>
      <c r="B173" s="1" t="n">
        <v>44525</v>
      </c>
      <c r="C173" s="1" t="n">
        <v>46048</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840-2025</t>
        </is>
      </c>
      <c r="B174" s="1" t="n">
        <v>45665</v>
      </c>
      <c r="C174" s="1" t="n">
        <v>46048</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22793-2025</t>
        </is>
      </c>
      <c r="B175" s="1" t="n">
        <v>45789.65693287037</v>
      </c>
      <c r="C175" s="1" t="n">
        <v>46048</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22795-2025</t>
        </is>
      </c>
      <c r="B176" s="1" t="n">
        <v>45789.65944444444</v>
      </c>
      <c r="C176" s="1" t="n">
        <v>46048</v>
      </c>
      <c r="D176" t="inlineStr">
        <is>
          <t>UPPSALA LÄN</t>
        </is>
      </c>
      <c r="E176" t="inlineStr">
        <is>
          <t>ENKÖPING</t>
        </is>
      </c>
      <c r="G176" t="n">
        <v>10.4</v>
      </c>
      <c r="H176" t="n">
        <v>0</v>
      </c>
      <c r="I176" t="n">
        <v>0</v>
      </c>
      <c r="J176" t="n">
        <v>0</v>
      </c>
      <c r="K176" t="n">
        <v>0</v>
      </c>
      <c r="L176" t="n">
        <v>0</v>
      </c>
      <c r="M176" t="n">
        <v>0</v>
      </c>
      <c r="N176" t="n">
        <v>0</v>
      </c>
      <c r="O176" t="n">
        <v>0</v>
      </c>
      <c r="P176" t="n">
        <v>0</v>
      </c>
      <c r="Q176" t="n">
        <v>0</v>
      </c>
      <c r="R176" s="2" t="inlineStr"/>
    </row>
    <row r="177" ht="15" customHeight="1">
      <c r="A177" t="inlineStr">
        <is>
          <t>A 22725-2025</t>
        </is>
      </c>
      <c r="B177" s="1" t="n">
        <v>45789.57371527778</v>
      </c>
      <c r="C177" s="1" t="n">
        <v>46048</v>
      </c>
      <c r="D177" t="inlineStr">
        <is>
          <t>UPPSALA LÄN</t>
        </is>
      </c>
      <c r="E177" t="inlineStr">
        <is>
          <t>ENKÖPING</t>
        </is>
      </c>
      <c r="G177" t="n">
        <v>4.8</v>
      </c>
      <c r="H177" t="n">
        <v>0</v>
      </c>
      <c r="I177" t="n">
        <v>0</v>
      </c>
      <c r="J177" t="n">
        <v>0</v>
      </c>
      <c r="K177" t="n">
        <v>0</v>
      </c>
      <c r="L177" t="n">
        <v>0</v>
      </c>
      <c r="M177" t="n">
        <v>0</v>
      </c>
      <c r="N177" t="n">
        <v>0</v>
      </c>
      <c r="O177" t="n">
        <v>0</v>
      </c>
      <c r="P177" t="n">
        <v>0</v>
      </c>
      <c r="Q177" t="n">
        <v>0</v>
      </c>
      <c r="R177" s="2" t="inlineStr"/>
    </row>
    <row r="178" ht="15" customHeight="1">
      <c r="A178" t="inlineStr">
        <is>
          <t>A 37115-2024</t>
        </is>
      </c>
      <c r="B178" s="1" t="n">
        <v>45539</v>
      </c>
      <c r="C178" s="1" t="n">
        <v>46048</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40812-2022</t>
        </is>
      </c>
      <c r="B179" s="1" t="n">
        <v>44824.68791666667</v>
      </c>
      <c r="C179" s="1" t="n">
        <v>46048</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45142-2023</t>
        </is>
      </c>
      <c r="B180" s="1" t="n">
        <v>45191.4702662037</v>
      </c>
      <c r="C180" s="1" t="n">
        <v>46048</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11918-2025</t>
        </is>
      </c>
      <c r="B181" s="1" t="n">
        <v>45728.49331018519</v>
      </c>
      <c r="C181" s="1" t="n">
        <v>46048</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43691-2024</t>
        </is>
      </c>
      <c r="B182" s="1" t="n">
        <v>45569</v>
      </c>
      <c r="C182" s="1" t="n">
        <v>46048</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51034-2024</t>
        </is>
      </c>
      <c r="B183" s="1" t="n">
        <v>45603.4262037037</v>
      </c>
      <c r="C183" s="1" t="n">
        <v>46048</v>
      </c>
      <c r="D183" t="inlineStr">
        <is>
          <t>UPPSALA LÄN</t>
        </is>
      </c>
      <c r="E183" t="inlineStr">
        <is>
          <t>ENKÖPING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51036-2024</t>
        </is>
      </c>
      <c r="B184" s="1" t="n">
        <v>45603.42839120371</v>
      </c>
      <c r="C184" s="1" t="n">
        <v>46048</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31242-2024</t>
        </is>
      </c>
      <c r="B185" s="1" t="n">
        <v>45503</v>
      </c>
      <c r="C185" s="1" t="n">
        <v>46048</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22981-2025</t>
        </is>
      </c>
      <c r="B186" s="1" t="n">
        <v>45790.56964120371</v>
      </c>
      <c r="C186" s="1" t="n">
        <v>46048</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845-2025</t>
        </is>
      </c>
      <c r="B187" s="1" t="n">
        <v>45665</v>
      </c>
      <c r="C187" s="1" t="n">
        <v>46048</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849-2025</t>
        </is>
      </c>
      <c r="B188" s="1" t="n">
        <v>45665</v>
      </c>
      <c r="C188" s="1" t="n">
        <v>46048</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55876-2024</t>
        </is>
      </c>
      <c r="B189" s="1" t="n">
        <v>45623.5546412037</v>
      </c>
      <c r="C189" s="1" t="n">
        <v>46048</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25333-2023</t>
        </is>
      </c>
      <c r="B190" s="1" t="n">
        <v>45083</v>
      </c>
      <c r="C190" s="1" t="n">
        <v>46048</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3300-2025</t>
        </is>
      </c>
      <c r="B191" s="1" t="n">
        <v>45679</v>
      </c>
      <c r="C191" s="1" t="n">
        <v>46048</v>
      </c>
      <c r="D191" t="inlineStr">
        <is>
          <t>UPPSALA LÄN</t>
        </is>
      </c>
      <c r="E191" t="inlineStr">
        <is>
          <t>ENKÖPING</t>
        </is>
      </c>
      <c r="G191" t="n">
        <v>8.9</v>
      </c>
      <c r="H191" t="n">
        <v>0</v>
      </c>
      <c r="I191" t="n">
        <v>0</v>
      </c>
      <c r="J191" t="n">
        <v>0</v>
      </c>
      <c r="K191" t="n">
        <v>0</v>
      </c>
      <c r="L191" t="n">
        <v>0</v>
      </c>
      <c r="M191" t="n">
        <v>0</v>
      </c>
      <c r="N191" t="n">
        <v>0</v>
      </c>
      <c r="O191" t="n">
        <v>0</v>
      </c>
      <c r="P191" t="n">
        <v>0</v>
      </c>
      <c r="Q191" t="n">
        <v>0</v>
      </c>
      <c r="R191" s="2" t="inlineStr"/>
    </row>
    <row r="192" ht="15" customHeight="1">
      <c r="A192" t="inlineStr">
        <is>
          <t>A 45956-2024</t>
        </is>
      </c>
      <c r="B192" s="1" t="n">
        <v>45580</v>
      </c>
      <c r="C192" s="1" t="n">
        <v>46048</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10831-2024</t>
        </is>
      </c>
      <c r="B193" s="1" t="n">
        <v>45369</v>
      </c>
      <c r="C193" s="1" t="n">
        <v>46048</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12754-2025</t>
        </is>
      </c>
      <c r="B194" s="1" t="n">
        <v>45733.56331018519</v>
      </c>
      <c r="C194" s="1" t="n">
        <v>46048</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8020-2022</t>
        </is>
      </c>
      <c r="B195" s="1" t="n">
        <v>44609</v>
      </c>
      <c r="C195" s="1" t="n">
        <v>46048</v>
      </c>
      <c r="D195" t="inlineStr">
        <is>
          <t>UPPSALA LÄN</t>
        </is>
      </c>
      <c r="E195" t="inlineStr">
        <is>
          <t>ENKÖPING</t>
        </is>
      </c>
      <c r="G195" t="n">
        <v>6</v>
      </c>
      <c r="H195" t="n">
        <v>0</v>
      </c>
      <c r="I195" t="n">
        <v>0</v>
      </c>
      <c r="J195" t="n">
        <v>0</v>
      </c>
      <c r="K195" t="n">
        <v>0</v>
      </c>
      <c r="L195" t="n">
        <v>0</v>
      </c>
      <c r="M195" t="n">
        <v>0</v>
      </c>
      <c r="N195" t="n">
        <v>0</v>
      </c>
      <c r="O195" t="n">
        <v>0</v>
      </c>
      <c r="P195" t="n">
        <v>0</v>
      </c>
      <c r="Q195" t="n">
        <v>0</v>
      </c>
      <c r="R195" s="2" t="inlineStr"/>
    </row>
    <row r="196" ht="15" customHeight="1">
      <c r="A196" t="inlineStr">
        <is>
          <t>A 74090-2021</t>
        </is>
      </c>
      <c r="B196" s="1" t="n">
        <v>44557</v>
      </c>
      <c r="C196" s="1" t="n">
        <v>46048</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34805-2024</t>
        </is>
      </c>
      <c r="B197" s="1" t="n">
        <v>45526</v>
      </c>
      <c r="C197" s="1" t="n">
        <v>46048</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17729-2023</t>
        </is>
      </c>
      <c r="B198" s="1" t="n">
        <v>45037</v>
      </c>
      <c r="C198" s="1" t="n">
        <v>46048</v>
      </c>
      <c r="D198" t="inlineStr">
        <is>
          <t>UPPSALA LÄN</t>
        </is>
      </c>
      <c r="E198" t="inlineStr">
        <is>
          <t>ENKÖPING</t>
        </is>
      </c>
      <c r="G198" t="n">
        <v>10.2</v>
      </c>
      <c r="H198" t="n">
        <v>0</v>
      </c>
      <c r="I198" t="n">
        <v>0</v>
      </c>
      <c r="J198" t="n">
        <v>0</v>
      </c>
      <c r="K198" t="n">
        <v>0</v>
      </c>
      <c r="L198" t="n">
        <v>0</v>
      </c>
      <c r="M198" t="n">
        <v>0</v>
      </c>
      <c r="N198" t="n">
        <v>0</v>
      </c>
      <c r="O198" t="n">
        <v>0</v>
      </c>
      <c r="P198" t="n">
        <v>0</v>
      </c>
      <c r="Q198" t="n">
        <v>0</v>
      </c>
      <c r="R198" s="2" t="inlineStr"/>
    </row>
    <row r="199" ht="15" customHeight="1">
      <c r="A199" t="inlineStr">
        <is>
          <t>A 11005-2023</t>
        </is>
      </c>
      <c r="B199" s="1" t="n">
        <v>44991</v>
      </c>
      <c r="C199" s="1" t="n">
        <v>46048</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62158-2023</t>
        </is>
      </c>
      <c r="B200" s="1" t="n">
        <v>45267</v>
      </c>
      <c r="C200" s="1" t="n">
        <v>46048</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60350-2022</t>
        </is>
      </c>
      <c r="B201" s="1" t="n">
        <v>44910</v>
      </c>
      <c r="C201" s="1" t="n">
        <v>46048</v>
      </c>
      <c r="D201" t="inlineStr">
        <is>
          <t>UPPSALA LÄN</t>
        </is>
      </c>
      <c r="E201" t="inlineStr">
        <is>
          <t>ENKÖPING</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5712-2025</t>
        </is>
      </c>
      <c r="B202" s="1" t="n">
        <v>45694</v>
      </c>
      <c r="C202" s="1" t="n">
        <v>46048</v>
      </c>
      <c r="D202" t="inlineStr">
        <is>
          <t>UPPSALA LÄN</t>
        </is>
      </c>
      <c r="E202" t="inlineStr">
        <is>
          <t>ENKÖPING</t>
        </is>
      </c>
      <c r="G202" t="n">
        <v>5.1</v>
      </c>
      <c r="H202" t="n">
        <v>0</v>
      </c>
      <c r="I202" t="n">
        <v>0</v>
      </c>
      <c r="J202" t="n">
        <v>0</v>
      </c>
      <c r="K202" t="n">
        <v>0</v>
      </c>
      <c r="L202" t="n">
        <v>0</v>
      </c>
      <c r="M202" t="n">
        <v>0</v>
      </c>
      <c r="N202" t="n">
        <v>0</v>
      </c>
      <c r="O202" t="n">
        <v>0</v>
      </c>
      <c r="P202" t="n">
        <v>0</v>
      </c>
      <c r="Q202" t="n">
        <v>0</v>
      </c>
      <c r="R202" s="2" t="inlineStr"/>
    </row>
    <row r="203" ht="15" customHeight="1">
      <c r="A203" t="inlineStr">
        <is>
          <t>A 5749-2025</t>
        </is>
      </c>
      <c r="B203" s="1" t="n">
        <v>45694</v>
      </c>
      <c r="C203" s="1" t="n">
        <v>46048</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57142-2021</t>
        </is>
      </c>
      <c r="B204" s="1" t="n">
        <v>44482</v>
      </c>
      <c r="C204" s="1" t="n">
        <v>46048</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57147-2021</t>
        </is>
      </c>
      <c r="B205" s="1" t="n">
        <v>44482</v>
      </c>
      <c r="C205" s="1" t="n">
        <v>46048</v>
      </c>
      <c r="D205" t="inlineStr">
        <is>
          <t>UPPSALA LÄN</t>
        </is>
      </c>
      <c r="E205" t="inlineStr">
        <is>
          <t>ENKÖPING</t>
        </is>
      </c>
      <c r="G205" t="n">
        <v>5.7</v>
      </c>
      <c r="H205" t="n">
        <v>0</v>
      </c>
      <c r="I205" t="n">
        <v>0</v>
      </c>
      <c r="J205" t="n">
        <v>0</v>
      </c>
      <c r="K205" t="n">
        <v>0</v>
      </c>
      <c r="L205" t="n">
        <v>0</v>
      </c>
      <c r="M205" t="n">
        <v>0</v>
      </c>
      <c r="N205" t="n">
        <v>0</v>
      </c>
      <c r="O205" t="n">
        <v>0</v>
      </c>
      <c r="P205" t="n">
        <v>0</v>
      </c>
      <c r="Q205" t="n">
        <v>0</v>
      </c>
      <c r="R205" s="2" t="inlineStr"/>
    </row>
    <row r="206" ht="15" customHeight="1">
      <c r="A206" t="inlineStr">
        <is>
          <t>A 16176-2025</t>
        </is>
      </c>
      <c r="B206" s="1" t="n">
        <v>45750</v>
      </c>
      <c r="C206" s="1" t="n">
        <v>46048</v>
      </c>
      <c r="D206" t="inlineStr">
        <is>
          <t>UPPSALA LÄN</t>
        </is>
      </c>
      <c r="E206" t="inlineStr">
        <is>
          <t>ENKÖPING</t>
        </is>
      </c>
      <c r="G206" t="n">
        <v>3.9</v>
      </c>
      <c r="H206" t="n">
        <v>0</v>
      </c>
      <c r="I206" t="n">
        <v>0</v>
      </c>
      <c r="J206" t="n">
        <v>0</v>
      </c>
      <c r="K206" t="n">
        <v>0</v>
      </c>
      <c r="L206" t="n">
        <v>0</v>
      </c>
      <c r="M206" t="n">
        <v>0</v>
      </c>
      <c r="N206" t="n">
        <v>0</v>
      </c>
      <c r="O206" t="n">
        <v>0</v>
      </c>
      <c r="P206" t="n">
        <v>0</v>
      </c>
      <c r="Q206" t="n">
        <v>0</v>
      </c>
      <c r="R206" s="2" t="inlineStr"/>
    </row>
    <row r="207" ht="15" customHeight="1">
      <c r="A207" t="inlineStr">
        <is>
          <t>A 7868-2024</t>
        </is>
      </c>
      <c r="B207" s="1" t="n">
        <v>45350.33020833333</v>
      </c>
      <c r="C207" s="1" t="n">
        <v>46048</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7870-2024</t>
        </is>
      </c>
      <c r="B208" s="1" t="n">
        <v>45350.33349537037</v>
      </c>
      <c r="C208" s="1" t="n">
        <v>46048</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9231-2023</t>
        </is>
      </c>
      <c r="B209" s="1" t="n">
        <v>44980</v>
      </c>
      <c r="C209" s="1" t="n">
        <v>46048</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35647-2021</t>
        </is>
      </c>
      <c r="B210" s="1" t="n">
        <v>44386</v>
      </c>
      <c r="C210" s="1" t="n">
        <v>46048</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314-2025</t>
        </is>
      </c>
      <c r="B211" s="1" t="n">
        <v>45656</v>
      </c>
      <c r="C211" s="1" t="n">
        <v>46048</v>
      </c>
      <c r="D211" t="inlineStr">
        <is>
          <t>UPPSALA LÄN</t>
        </is>
      </c>
      <c r="E211" t="inlineStr">
        <is>
          <t>ENKÖPING</t>
        </is>
      </c>
      <c r="G211" t="n">
        <v>9</v>
      </c>
      <c r="H211" t="n">
        <v>0</v>
      </c>
      <c r="I211" t="n">
        <v>0</v>
      </c>
      <c r="J211" t="n">
        <v>0</v>
      </c>
      <c r="K211" t="n">
        <v>0</v>
      </c>
      <c r="L211" t="n">
        <v>0</v>
      </c>
      <c r="M211" t="n">
        <v>0</v>
      </c>
      <c r="N211" t="n">
        <v>0</v>
      </c>
      <c r="O211" t="n">
        <v>0</v>
      </c>
      <c r="P211" t="n">
        <v>0</v>
      </c>
      <c r="Q211" t="n">
        <v>0</v>
      </c>
      <c r="R211" s="2" t="inlineStr"/>
    </row>
    <row r="212" ht="15" customHeight="1">
      <c r="A212" t="inlineStr">
        <is>
          <t>A 56713-2024</t>
        </is>
      </c>
      <c r="B212" s="1" t="n">
        <v>45628</v>
      </c>
      <c r="C212" s="1" t="n">
        <v>46048</v>
      </c>
      <c r="D212" t="inlineStr">
        <is>
          <t>UPPSALA LÄN</t>
        </is>
      </c>
      <c r="E212" t="inlineStr">
        <is>
          <t>ENKÖPING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11627-2025</t>
        </is>
      </c>
      <c r="B213" s="1" t="n">
        <v>45727</v>
      </c>
      <c r="C213" s="1" t="n">
        <v>46048</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37870-2023</t>
        </is>
      </c>
      <c r="B214" s="1" t="n">
        <v>45160.41996527778</v>
      </c>
      <c r="C214" s="1" t="n">
        <v>46048</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16916-2022</t>
        </is>
      </c>
      <c r="B215" s="1" t="n">
        <v>44676</v>
      </c>
      <c r="C215" s="1" t="n">
        <v>46048</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22094-2023</t>
        </is>
      </c>
      <c r="B216" s="1" t="n">
        <v>45069</v>
      </c>
      <c r="C216" s="1" t="n">
        <v>46048</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24411-2024</t>
        </is>
      </c>
      <c r="B217" s="1" t="n">
        <v>45457</v>
      </c>
      <c r="C217" s="1" t="n">
        <v>46048</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15405-2025</t>
        </is>
      </c>
      <c r="B218" s="1" t="n">
        <v>45747.44670138889</v>
      </c>
      <c r="C218" s="1" t="n">
        <v>46048</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30514-2021</t>
        </is>
      </c>
      <c r="B219" s="1" t="n">
        <v>44364</v>
      </c>
      <c r="C219" s="1" t="n">
        <v>46048</v>
      </c>
      <c r="D219" t="inlineStr">
        <is>
          <t>UPPSALA LÄN</t>
        </is>
      </c>
      <c r="E219" t="inlineStr">
        <is>
          <t>ENKÖPING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35079-2024</t>
        </is>
      </c>
      <c r="B220" s="1" t="n">
        <v>45527.66770833333</v>
      </c>
      <c r="C220" s="1" t="n">
        <v>46048</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31604-2023</t>
        </is>
      </c>
      <c r="B221" s="1" t="n">
        <v>45117.50368055556</v>
      </c>
      <c r="C221" s="1" t="n">
        <v>46048</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25598-2021</t>
        </is>
      </c>
      <c r="B222" s="1" t="n">
        <v>44343.4558912037</v>
      </c>
      <c r="C222" s="1" t="n">
        <v>46048</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15162-2025</t>
        </is>
      </c>
      <c r="B223" s="1" t="n">
        <v>45744</v>
      </c>
      <c r="C223" s="1" t="n">
        <v>46048</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10458-2022</t>
        </is>
      </c>
      <c r="B224" s="1" t="n">
        <v>44623.56711805556</v>
      </c>
      <c r="C224" s="1" t="n">
        <v>46048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33581-2023</t>
        </is>
      </c>
      <c r="B225" s="1" t="n">
        <v>45131</v>
      </c>
      <c r="C225" s="1" t="n">
        <v>46048</v>
      </c>
      <c r="D225" t="inlineStr">
        <is>
          <t>UPPSALA LÄN</t>
        </is>
      </c>
      <c r="E225" t="inlineStr">
        <is>
          <t>ENKÖPING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44115-2024</t>
        </is>
      </c>
      <c r="B226" s="1" t="n">
        <v>45572</v>
      </c>
      <c r="C226" s="1" t="n">
        <v>46048</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58092-2024</t>
        </is>
      </c>
      <c r="B227" s="1" t="n">
        <v>45632</v>
      </c>
      <c r="C227" s="1" t="n">
        <v>46048</v>
      </c>
      <c r="D227" t="inlineStr">
        <is>
          <t>UPPSALA LÄN</t>
        </is>
      </c>
      <c r="E227" t="inlineStr">
        <is>
          <t>ENKÖPING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56163-2021</t>
        </is>
      </c>
      <c r="B228" s="1" t="n">
        <v>44477</v>
      </c>
      <c r="C228" s="1" t="n">
        <v>46048</v>
      </c>
      <c r="D228" t="inlineStr">
        <is>
          <t>UPPSALA LÄN</t>
        </is>
      </c>
      <c r="E228" t="inlineStr">
        <is>
          <t>ENKÖPING</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47909-2024</t>
        </is>
      </c>
      <c r="B229" s="1" t="n">
        <v>45589.31866898148</v>
      </c>
      <c r="C229" s="1" t="n">
        <v>46048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46048</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51932-2022</t>
        </is>
      </c>
      <c r="B231" s="1" t="n">
        <v>44872</v>
      </c>
      <c r="C231" s="1" t="n">
        <v>46048</v>
      </c>
      <c r="D231" t="inlineStr">
        <is>
          <t>UPPSALA LÄN</t>
        </is>
      </c>
      <c r="E231" t="inlineStr">
        <is>
          <t>ENKÖPING</t>
        </is>
      </c>
      <c r="G231" t="n">
        <v>5.5</v>
      </c>
      <c r="H231" t="n">
        <v>0</v>
      </c>
      <c r="I231" t="n">
        <v>0</v>
      </c>
      <c r="J231" t="n">
        <v>0</v>
      </c>
      <c r="K231" t="n">
        <v>0</v>
      </c>
      <c r="L231" t="n">
        <v>0</v>
      </c>
      <c r="M231" t="n">
        <v>0</v>
      </c>
      <c r="N231" t="n">
        <v>0</v>
      </c>
      <c r="O231" t="n">
        <v>0</v>
      </c>
      <c r="P231" t="n">
        <v>0</v>
      </c>
      <c r="Q231" t="n">
        <v>0</v>
      </c>
      <c r="R231" s="2" t="inlineStr"/>
    </row>
    <row r="232" ht="15" customHeight="1">
      <c r="A232" t="inlineStr">
        <is>
          <t>A 63402-2023</t>
        </is>
      </c>
      <c r="B232" s="1" t="n">
        <v>45274.50646990741</v>
      </c>
      <c r="C232" s="1" t="n">
        <v>46048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26024-2025</t>
        </is>
      </c>
      <c r="B233" s="1" t="n">
        <v>45804.6831712963</v>
      </c>
      <c r="C233" s="1" t="n">
        <v>46048</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26042-2025</t>
        </is>
      </c>
      <c r="B234" s="1" t="n">
        <v>45804.70018518518</v>
      </c>
      <c r="C234" s="1" t="n">
        <v>46048</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26005-2025</t>
        </is>
      </c>
      <c r="B235" s="1" t="n">
        <v>45804.67055555555</v>
      </c>
      <c r="C235" s="1" t="n">
        <v>46048</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26026-2025</t>
        </is>
      </c>
      <c r="B236" s="1" t="n">
        <v>45804.68510416667</v>
      </c>
      <c r="C236" s="1" t="n">
        <v>46048</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26030-2025</t>
        </is>
      </c>
      <c r="B237" s="1" t="n">
        <v>45804.68815972222</v>
      </c>
      <c r="C237" s="1" t="n">
        <v>46048</v>
      </c>
      <c r="D237" t="inlineStr">
        <is>
          <t>UPPSALA LÄN</t>
        </is>
      </c>
      <c r="E237" t="inlineStr">
        <is>
          <t>ENKÖPING</t>
        </is>
      </c>
      <c r="G237" t="n">
        <v>0.3</v>
      </c>
      <c r="H237" t="n">
        <v>0</v>
      </c>
      <c r="I237" t="n">
        <v>0</v>
      </c>
      <c r="J237" t="n">
        <v>0</v>
      </c>
      <c r="K237" t="n">
        <v>0</v>
      </c>
      <c r="L237" t="n">
        <v>0</v>
      </c>
      <c r="M237" t="n">
        <v>0</v>
      </c>
      <c r="N237" t="n">
        <v>0</v>
      </c>
      <c r="O237" t="n">
        <v>0</v>
      </c>
      <c r="P237" t="n">
        <v>0</v>
      </c>
      <c r="Q237" t="n">
        <v>0</v>
      </c>
      <c r="R237" s="2" t="inlineStr"/>
    </row>
    <row r="238" ht="15" customHeight="1">
      <c r="A238" t="inlineStr">
        <is>
          <t>A 52388-2024</t>
        </is>
      </c>
      <c r="B238" s="1" t="n">
        <v>45609.42939814815</v>
      </c>
      <c r="C238" s="1" t="n">
        <v>46048</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26022-2025</t>
        </is>
      </c>
      <c r="B239" s="1" t="n">
        <v>45804.68006944445</v>
      </c>
      <c r="C239" s="1" t="n">
        <v>46048</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25988-2025</t>
        </is>
      </c>
      <c r="B240" s="1" t="n">
        <v>45804.64814814815</v>
      </c>
      <c r="C240" s="1" t="n">
        <v>46048</v>
      </c>
      <c r="D240" t="inlineStr">
        <is>
          <t>UPPSALA LÄN</t>
        </is>
      </c>
      <c r="E240" t="inlineStr">
        <is>
          <t>ENKÖPING</t>
        </is>
      </c>
      <c r="G240" t="n">
        <v>4.7</v>
      </c>
      <c r="H240" t="n">
        <v>0</v>
      </c>
      <c r="I240" t="n">
        <v>0</v>
      </c>
      <c r="J240" t="n">
        <v>0</v>
      </c>
      <c r="K240" t="n">
        <v>0</v>
      </c>
      <c r="L240" t="n">
        <v>0</v>
      </c>
      <c r="M240" t="n">
        <v>0</v>
      </c>
      <c r="N240" t="n">
        <v>0</v>
      </c>
      <c r="O240" t="n">
        <v>0</v>
      </c>
      <c r="P240" t="n">
        <v>0</v>
      </c>
      <c r="Q240" t="n">
        <v>0</v>
      </c>
      <c r="R240" s="2" t="inlineStr"/>
    </row>
    <row r="241" ht="15" customHeight="1">
      <c r="A241" t="inlineStr">
        <is>
          <t>A 26031-2025</t>
        </is>
      </c>
      <c r="B241" s="1" t="n">
        <v>45804.69050925926</v>
      </c>
      <c r="C241" s="1" t="n">
        <v>46048</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53607-2023</t>
        </is>
      </c>
      <c r="B242" s="1" t="n">
        <v>45230</v>
      </c>
      <c r="C242" s="1" t="n">
        <v>46048</v>
      </c>
      <c r="D242" t="inlineStr">
        <is>
          <t>UPPSALA LÄN</t>
        </is>
      </c>
      <c r="E242" t="inlineStr">
        <is>
          <t>ENKÖPING</t>
        </is>
      </c>
      <c r="F242" t="inlineStr">
        <is>
          <t>Allmännings- och besparingsskogar</t>
        </is>
      </c>
      <c r="G242" t="n">
        <v>6.3</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46048</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26041-2025</t>
        </is>
      </c>
      <c r="B244" s="1" t="n">
        <v>45804.69883101852</v>
      </c>
      <c r="C244" s="1" t="n">
        <v>46048</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56886-2023</t>
        </is>
      </c>
      <c r="B245" s="1" t="n">
        <v>45239</v>
      </c>
      <c r="C245" s="1" t="n">
        <v>46048</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25990-2025</t>
        </is>
      </c>
      <c r="B246" s="1" t="n">
        <v>45804.65229166667</v>
      </c>
      <c r="C246" s="1" t="n">
        <v>46048</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25847-2025</t>
        </is>
      </c>
      <c r="B247" s="1" t="n">
        <v>45804</v>
      </c>
      <c r="C247" s="1" t="n">
        <v>46048</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26047-2025</t>
        </is>
      </c>
      <c r="B248" s="1" t="n">
        <v>45804.70835648148</v>
      </c>
      <c r="C248" s="1" t="n">
        <v>46048</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35067-2024</t>
        </is>
      </c>
      <c r="B249" s="1" t="n">
        <v>45527.66153935185</v>
      </c>
      <c r="C249" s="1" t="n">
        <v>46048</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59497-2022</t>
        </is>
      </c>
      <c r="B250" s="1" t="n">
        <v>44907.48258101852</v>
      </c>
      <c r="C250" s="1" t="n">
        <v>46048</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40202-2024</t>
        </is>
      </c>
      <c r="B251" s="1" t="n">
        <v>45554</v>
      </c>
      <c r="C251" s="1" t="n">
        <v>46048</v>
      </c>
      <c r="D251" t="inlineStr">
        <is>
          <t>UPPSALA LÄN</t>
        </is>
      </c>
      <c r="E251" t="inlineStr">
        <is>
          <t>ENKÖPING</t>
        </is>
      </c>
      <c r="G251" t="n">
        <v>6.2</v>
      </c>
      <c r="H251" t="n">
        <v>0</v>
      </c>
      <c r="I251" t="n">
        <v>0</v>
      </c>
      <c r="J251" t="n">
        <v>0</v>
      </c>
      <c r="K251" t="n">
        <v>0</v>
      </c>
      <c r="L251" t="n">
        <v>0</v>
      </c>
      <c r="M251" t="n">
        <v>0</v>
      </c>
      <c r="N251" t="n">
        <v>0</v>
      </c>
      <c r="O251" t="n">
        <v>0</v>
      </c>
      <c r="P251" t="n">
        <v>0</v>
      </c>
      <c r="Q251" t="n">
        <v>0</v>
      </c>
      <c r="R251" s="2" t="inlineStr"/>
    </row>
    <row r="252" ht="15" customHeight="1">
      <c r="A252" t="inlineStr">
        <is>
          <t>A 9041-2023</t>
        </is>
      </c>
      <c r="B252" s="1" t="n">
        <v>44979</v>
      </c>
      <c r="C252" s="1" t="n">
        <v>46048</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18592-2021</t>
        </is>
      </c>
      <c r="B253" s="1" t="n">
        <v>44306</v>
      </c>
      <c r="C253" s="1" t="n">
        <v>46048</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6356-2022</t>
        </is>
      </c>
      <c r="B254" s="1" t="n">
        <v>44600</v>
      </c>
      <c r="C254" s="1" t="n">
        <v>46048</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12755-2025</t>
        </is>
      </c>
      <c r="B255" s="1" t="n">
        <v>45733.56541666666</v>
      </c>
      <c r="C255" s="1" t="n">
        <v>46048</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59027-2024</t>
        </is>
      </c>
      <c r="B256" s="1" t="n">
        <v>45636.68755787037</v>
      </c>
      <c r="C256" s="1" t="n">
        <v>46048</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53587-2024</t>
        </is>
      </c>
      <c r="B257" s="1" t="n">
        <v>45614.66953703704</v>
      </c>
      <c r="C257" s="1" t="n">
        <v>46048</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13816-2021</t>
        </is>
      </c>
      <c r="B258" s="1" t="n">
        <v>44276</v>
      </c>
      <c r="C258" s="1" t="n">
        <v>46048</v>
      </c>
      <c r="D258" t="inlineStr">
        <is>
          <t>UPPSALA LÄN</t>
        </is>
      </c>
      <c r="E258" t="inlineStr">
        <is>
          <t>ENKÖPING</t>
        </is>
      </c>
      <c r="G258" t="n">
        <v>0.4</v>
      </c>
      <c r="H258" t="n">
        <v>0</v>
      </c>
      <c r="I258" t="n">
        <v>0</v>
      </c>
      <c r="J258" t="n">
        <v>0</v>
      </c>
      <c r="K258" t="n">
        <v>0</v>
      </c>
      <c r="L258" t="n">
        <v>0</v>
      </c>
      <c r="M258" t="n">
        <v>0</v>
      </c>
      <c r="N258" t="n">
        <v>0</v>
      </c>
      <c r="O258" t="n">
        <v>0</v>
      </c>
      <c r="P258" t="n">
        <v>0</v>
      </c>
      <c r="Q258" t="n">
        <v>0</v>
      </c>
      <c r="R258" s="2" t="inlineStr"/>
    </row>
    <row r="259" ht="15" customHeight="1">
      <c r="A259" t="inlineStr">
        <is>
          <t>A 8306-2021</t>
        </is>
      </c>
      <c r="B259" s="1" t="n">
        <v>44244</v>
      </c>
      <c r="C259" s="1" t="n">
        <v>46048</v>
      </c>
      <c r="D259" t="inlineStr">
        <is>
          <t>UPPSALA LÄN</t>
        </is>
      </c>
      <c r="E259" t="inlineStr">
        <is>
          <t>ENKÖPING</t>
        </is>
      </c>
      <c r="G259" t="n">
        <v>14.9</v>
      </c>
      <c r="H259" t="n">
        <v>0</v>
      </c>
      <c r="I259" t="n">
        <v>0</v>
      </c>
      <c r="J259" t="n">
        <v>0</v>
      </c>
      <c r="K259" t="n">
        <v>0</v>
      </c>
      <c r="L259" t="n">
        <v>0</v>
      </c>
      <c r="M259" t="n">
        <v>0</v>
      </c>
      <c r="N259" t="n">
        <v>0</v>
      </c>
      <c r="O259" t="n">
        <v>0</v>
      </c>
      <c r="P259" t="n">
        <v>0</v>
      </c>
      <c r="Q259" t="n">
        <v>0</v>
      </c>
      <c r="R259" s="2" t="inlineStr"/>
    </row>
    <row r="260" ht="15" customHeight="1">
      <c r="A260" t="inlineStr">
        <is>
          <t>A 11503-2024</t>
        </is>
      </c>
      <c r="B260" s="1" t="n">
        <v>45372.68020833333</v>
      </c>
      <c r="C260" s="1" t="n">
        <v>46048</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39115-2024</t>
        </is>
      </c>
      <c r="B261" s="1" t="n">
        <v>45548</v>
      </c>
      <c r="C261" s="1" t="n">
        <v>46048</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25334-2023</t>
        </is>
      </c>
      <c r="B262" s="1" t="n">
        <v>45083</v>
      </c>
      <c r="C262" s="1" t="n">
        <v>46048</v>
      </c>
      <c r="D262" t="inlineStr">
        <is>
          <t>UPPSALA LÄN</t>
        </is>
      </c>
      <c r="E262" t="inlineStr">
        <is>
          <t>ENKÖPING</t>
        </is>
      </c>
      <c r="G262" t="n">
        <v>0.2</v>
      </c>
      <c r="H262" t="n">
        <v>0</v>
      </c>
      <c r="I262" t="n">
        <v>0</v>
      </c>
      <c r="J262" t="n">
        <v>0</v>
      </c>
      <c r="K262" t="n">
        <v>0</v>
      </c>
      <c r="L262" t="n">
        <v>0</v>
      </c>
      <c r="M262" t="n">
        <v>0</v>
      </c>
      <c r="N262" t="n">
        <v>0</v>
      </c>
      <c r="O262" t="n">
        <v>0</v>
      </c>
      <c r="P262" t="n">
        <v>0</v>
      </c>
      <c r="Q262" t="n">
        <v>0</v>
      </c>
      <c r="R262" s="2" t="inlineStr"/>
    </row>
    <row r="263" ht="15" customHeight="1">
      <c r="A263" t="inlineStr">
        <is>
          <t>A 56837-2024</t>
        </is>
      </c>
      <c r="B263" s="1" t="n">
        <v>45628</v>
      </c>
      <c r="C263" s="1" t="n">
        <v>46048</v>
      </c>
      <c r="D263" t="inlineStr">
        <is>
          <t>UPPSALA LÄN</t>
        </is>
      </c>
      <c r="E263" t="inlineStr">
        <is>
          <t>ENKÖPING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27829-2025</t>
        </is>
      </c>
      <c r="B264" s="1" t="n">
        <v>45817</v>
      </c>
      <c r="C264" s="1" t="n">
        <v>46048</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18821-2023</t>
        </is>
      </c>
      <c r="B265" s="1" t="n">
        <v>45044.3782175926</v>
      </c>
      <c r="C265" s="1" t="n">
        <v>46048</v>
      </c>
      <c r="D265" t="inlineStr">
        <is>
          <t>UPPSALA LÄN</t>
        </is>
      </c>
      <c r="E265" t="inlineStr">
        <is>
          <t>ENKÖPING</t>
        </is>
      </c>
      <c r="G265" t="n">
        <v>6</v>
      </c>
      <c r="H265" t="n">
        <v>0</v>
      </c>
      <c r="I265" t="n">
        <v>0</v>
      </c>
      <c r="J265" t="n">
        <v>0</v>
      </c>
      <c r="K265" t="n">
        <v>0</v>
      </c>
      <c r="L265" t="n">
        <v>0</v>
      </c>
      <c r="M265" t="n">
        <v>0</v>
      </c>
      <c r="N265" t="n">
        <v>0</v>
      </c>
      <c r="O265" t="n">
        <v>0</v>
      </c>
      <c r="P265" t="n">
        <v>0</v>
      </c>
      <c r="Q265" t="n">
        <v>0</v>
      </c>
      <c r="R265" s="2" t="inlineStr"/>
    </row>
    <row r="266" ht="15" customHeight="1">
      <c r="A266" t="inlineStr">
        <is>
          <t>A 12434-2021</t>
        </is>
      </c>
      <c r="B266" s="1" t="n">
        <v>44267</v>
      </c>
      <c r="C266" s="1" t="n">
        <v>46048</v>
      </c>
      <c r="D266" t="inlineStr">
        <is>
          <t>UPPSALA LÄN</t>
        </is>
      </c>
      <c r="E266" t="inlineStr">
        <is>
          <t>ENKÖPING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49614-2024</t>
        </is>
      </c>
      <c r="B267" s="1" t="n">
        <v>45596.57716435185</v>
      </c>
      <c r="C267" s="1" t="n">
        <v>46048</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49632-2024</t>
        </is>
      </c>
      <c r="B268" s="1" t="n">
        <v>45596</v>
      </c>
      <c r="C268" s="1" t="n">
        <v>46048</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29479-2022</t>
        </is>
      </c>
      <c r="B269" s="1" t="n">
        <v>44753.57265046296</v>
      </c>
      <c r="C269" s="1" t="n">
        <v>46048</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39009-2024</t>
        </is>
      </c>
      <c r="B270" s="1" t="n">
        <v>45548</v>
      </c>
      <c r="C270" s="1" t="n">
        <v>46048</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8537-2025</t>
        </is>
      </c>
      <c r="B271" s="1" t="n">
        <v>45709</v>
      </c>
      <c r="C271" s="1" t="n">
        <v>46048</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57335-2024</t>
        </is>
      </c>
      <c r="B272" s="1" t="n">
        <v>45629.63302083333</v>
      </c>
      <c r="C272" s="1" t="n">
        <v>46048</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57152-2021</t>
        </is>
      </c>
      <c r="B273" s="1" t="n">
        <v>44482</v>
      </c>
      <c r="C273" s="1" t="n">
        <v>46048</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28758-2025</t>
        </is>
      </c>
      <c r="B274" s="1" t="n">
        <v>45820.41212962963</v>
      </c>
      <c r="C274" s="1" t="n">
        <v>46048</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28862-2025</t>
        </is>
      </c>
      <c r="B275" s="1" t="n">
        <v>45820.59189814814</v>
      </c>
      <c r="C275" s="1" t="n">
        <v>46048</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28855-2025</t>
        </is>
      </c>
      <c r="B276" s="1" t="n">
        <v>45820.58274305556</v>
      </c>
      <c r="C276" s="1" t="n">
        <v>46048</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27538-2023</t>
        </is>
      </c>
      <c r="B277" s="1" t="n">
        <v>45097</v>
      </c>
      <c r="C277" s="1" t="n">
        <v>46048</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15409-2025</t>
        </is>
      </c>
      <c r="B278" s="1" t="n">
        <v>45747</v>
      </c>
      <c r="C278" s="1" t="n">
        <v>46048</v>
      </c>
      <c r="D278" t="inlineStr">
        <is>
          <t>UPPSALA LÄN</t>
        </is>
      </c>
      <c r="E278" t="inlineStr">
        <is>
          <t>ENKÖPING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60874-2023</t>
        </is>
      </c>
      <c r="B279" s="1" t="n">
        <v>45261.06280092592</v>
      </c>
      <c r="C279" s="1" t="n">
        <v>46048</v>
      </c>
      <c r="D279" t="inlineStr">
        <is>
          <t>UPPSALA LÄN</t>
        </is>
      </c>
      <c r="E279" t="inlineStr">
        <is>
          <t>ENKÖPING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57835-2024</t>
        </is>
      </c>
      <c r="B280" s="1" t="n">
        <v>45631.39947916667</v>
      </c>
      <c r="C280" s="1" t="n">
        <v>46048</v>
      </c>
      <c r="D280" t="inlineStr">
        <is>
          <t>UPPSALA LÄN</t>
        </is>
      </c>
      <c r="E280" t="inlineStr">
        <is>
          <t>ENKÖPING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53208-2023</t>
        </is>
      </c>
      <c r="B281" s="1" t="n">
        <v>45226</v>
      </c>
      <c r="C281" s="1" t="n">
        <v>46048</v>
      </c>
      <c r="D281" t="inlineStr">
        <is>
          <t>UPPSALA LÄN</t>
        </is>
      </c>
      <c r="E281" t="inlineStr">
        <is>
          <t>ENKÖPING</t>
        </is>
      </c>
      <c r="G281" t="n">
        <v>4.3</v>
      </c>
      <c r="H281" t="n">
        <v>0</v>
      </c>
      <c r="I281" t="n">
        <v>0</v>
      </c>
      <c r="J281" t="n">
        <v>0</v>
      </c>
      <c r="K281" t="n">
        <v>0</v>
      </c>
      <c r="L281" t="n">
        <v>0</v>
      </c>
      <c r="M281" t="n">
        <v>0</v>
      </c>
      <c r="N281" t="n">
        <v>0</v>
      </c>
      <c r="O281" t="n">
        <v>0</v>
      </c>
      <c r="P281" t="n">
        <v>0</v>
      </c>
      <c r="Q281" t="n">
        <v>0</v>
      </c>
      <c r="R281" s="2" t="inlineStr"/>
    </row>
    <row r="282" ht="15" customHeight="1">
      <c r="A282" t="inlineStr">
        <is>
          <t>A 29093-2025</t>
        </is>
      </c>
      <c r="B282" s="1" t="n">
        <v>45821.55743055556</v>
      </c>
      <c r="C282" s="1" t="n">
        <v>46048</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50394-2024</t>
        </is>
      </c>
      <c r="B283" s="1" t="n">
        <v>45600</v>
      </c>
      <c r="C283" s="1" t="n">
        <v>46048</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19013-2025</t>
        </is>
      </c>
      <c r="B284" s="1" t="n">
        <v>45764.59533564815</v>
      </c>
      <c r="C284" s="1" t="n">
        <v>46048</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51010-2024</t>
        </is>
      </c>
      <c r="B285" s="1" t="n">
        <v>45603.39285879629</v>
      </c>
      <c r="C285" s="1" t="n">
        <v>46048</v>
      </c>
      <c r="D285" t="inlineStr">
        <is>
          <t>UPPSALA LÄN</t>
        </is>
      </c>
      <c r="E285" t="inlineStr">
        <is>
          <t>ENKÖPING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43016-2021</t>
        </is>
      </c>
      <c r="B286" s="1" t="n">
        <v>44431</v>
      </c>
      <c r="C286" s="1" t="n">
        <v>46048</v>
      </c>
      <c r="D286" t="inlineStr">
        <is>
          <t>UPPSALA LÄN</t>
        </is>
      </c>
      <c r="E286" t="inlineStr">
        <is>
          <t>ENKÖPING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34124-2021</t>
        </is>
      </c>
      <c r="B287" s="1" t="n">
        <v>44379</v>
      </c>
      <c r="C287" s="1" t="n">
        <v>46048</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28518-2024</t>
        </is>
      </c>
      <c r="B288" s="1" t="n">
        <v>45477</v>
      </c>
      <c r="C288" s="1" t="n">
        <v>46048</v>
      </c>
      <c r="D288" t="inlineStr">
        <is>
          <t>UPPSALA LÄN</t>
        </is>
      </c>
      <c r="E288" t="inlineStr">
        <is>
          <t>ENKÖPING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52299-2023</t>
        </is>
      </c>
      <c r="B289" s="1" t="n">
        <v>45224.61636574074</v>
      </c>
      <c r="C289" s="1" t="n">
        <v>46048</v>
      </c>
      <c r="D289" t="inlineStr">
        <is>
          <t>UPPSALA LÄN</t>
        </is>
      </c>
      <c r="E289" t="inlineStr">
        <is>
          <t>ENKÖPING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2164-2023</t>
        </is>
      </c>
      <c r="B290" s="1" t="n">
        <v>44941</v>
      </c>
      <c r="C290" s="1" t="n">
        <v>46048</v>
      </c>
      <c r="D290" t="inlineStr">
        <is>
          <t>UPPSALA LÄN</t>
        </is>
      </c>
      <c r="E290" t="inlineStr">
        <is>
          <t>ENKÖPING</t>
        </is>
      </c>
      <c r="G290" t="n">
        <v>2.5</v>
      </c>
      <c r="H290" t="n">
        <v>0</v>
      </c>
      <c r="I290" t="n">
        <v>0</v>
      </c>
      <c r="J290" t="n">
        <v>0</v>
      </c>
      <c r="K290" t="n">
        <v>0</v>
      </c>
      <c r="L290" t="n">
        <v>0</v>
      </c>
      <c r="M290" t="n">
        <v>0</v>
      </c>
      <c r="N290" t="n">
        <v>0</v>
      </c>
      <c r="O290" t="n">
        <v>0</v>
      </c>
      <c r="P290" t="n">
        <v>0</v>
      </c>
      <c r="Q290" t="n">
        <v>0</v>
      </c>
      <c r="R290" s="2" t="inlineStr"/>
    </row>
    <row r="291" ht="15" customHeight="1">
      <c r="A291" t="inlineStr">
        <is>
          <t>A 19147-2024</t>
        </is>
      </c>
      <c r="B291" s="1" t="n">
        <v>45428</v>
      </c>
      <c r="C291" s="1" t="n">
        <v>46048</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57209-2024</t>
        </is>
      </c>
      <c r="B292" s="1" t="n">
        <v>45629.49311342592</v>
      </c>
      <c r="C292" s="1" t="n">
        <v>46048</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51120-2023</t>
        </is>
      </c>
      <c r="B293" s="1" t="n">
        <v>45219.3088425926</v>
      </c>
      <c r="C293" s="1" t="n">
        <v>46048</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61952-2021</t>
        </is>
      </c>
      <c r="B294" s="1" t="n">
        <v>44502</v>
      </c>
      <c r="C294" s="1" t="n">
        <v>46048</v>
      </c>
      <c r="D294" t="inlineStr">
        <is>
          <t>UPPSALA LÄN</t>
        </is>
      </c>
      <c r="E294" t="inlineStr">
        <is>
          <t>ENKÖPING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12878-2025</t>
        </is>
      </c>
      <c r="B295" s="1" t="n">
        <v>45733.68571759259</v>
      </c>
      <c r="C295" s="1" t="n">
        <v>46048</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14083-2025</t>
        </is>
      </c>
      <c r="B296" s="1" t="n">
        <v>45740</v>
      </c>
      <c r="C296" s="1" t="n">
        <v>46048</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30837-2025</t>
        </is>
      </c>
      <c r="B297" s="1" t="n">
        <v>45831.7063425926</v>
      </c>
      <c r="C297" s="1" t="n">
        <v>46048</v>
      </c>
      <c r="D297" t="inlineStr">
        <is>
          <t>UPPSALA LÄN</t>
        </is>
      </c>
      <c r="E297" t="inlineStr">
        <is>
          <t>ENKÖPING</t>
        </is>
      </c>
      <c r="G297" t="n">
        <v>3.8</v>
      </c>
      <c r="H297" t="n">
        <v>0</v>
      </c>
      <c r="I297" t="n">
        <v>0</v>
      </c>
      <c r="J297" t="n">
        <v>0</v>
      </c>
      <c r="K297" t="n">
        <v>0</v>
      </c>
      <c r="L297" t="n">
        <v>0</v>
      </c>
      <c r="M297" t="n">
        <v>0</v>
      </c>
      <c r="N297" t="n">
        <v>0</v>
      </c>
      <c r="O297" t="n">
        <v>0</v>
      </c>
      <c r="P297" t="n">
        <v>0</v>
      </c>
      <c r="Q297" t="n">
        <v>0</v>
      </c>
      <c r="R297" s="2" t="inlineStr"/>
    </row>
    <row r="298" ht="15" customHeight="1">
      <c r="A298" t="inlineStr">
        <is>
          <t>A 69879-2021</t>
        </is>
      </c>
      <c r="B298" s="1" t="n">
        <v>44532</v>
      </c>
      <c r="C298" s="1" t="n">
        <v>46048</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43896-2022</t>
        </is>
      </c>
      <c r="B299" s="1" t="n">
        <v>44838</v>
      </c>
      <c r="C299" s="1" t="n">
        <v>46048</v>
      </c>
      <c r="D299" t="inlineStr">
        <is>
          <t>UPPSALA LÄN</t>
        </is>
      </c>
      <c r="E299" t="inlineStr">
        <is>
          <t>ENKÖPING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46048</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7090-2022</t>
        </is>
      </c>
      <c r="B301" s="1" t="n">
        <v>44603.59520833333</v>
      </c>
      <c r="C301" s="1" t="n">
        <v>46048</v>
      </c>
      <c r="D301" t="inlineStr">
        <is>
          <t>UPPSALA LÄN</t>
        </is>
      </c>
      <c r="E301" t="inlineStr">
        <is>
          <t>ENKÖPING</t>
        </is>
      </c>
      <c r="G301" t="n">
        <v>2.8</v>
      </c>
      <c r="H301" t="n">
        <v>0</v>
      </c>
      <c r="I301" t="n">
        <v>0</v>
      </c>
      <c r="J301" t="n">
        <v>0</v>
      </c>
      <c r="K301" t="n">
        <v>0</v>
      </c>
      <c r="L301" t="n">
        <v>0</v>
      </c>
      <c r="M301" t="n">
        <v>0</v>
      </c>
      <c r="N301" t="n">
        <v>0</v>
      </c>
      <c r="O301" t="n">
        <v>0</v>
      </c>
      <c r="P301" t="n">
        <v>0</v>
      </c>
      <c r="Q301" t="n">
        <v>0</v>
      </c>
      <c r="R301" s="2" t="inlineStr"/>
    </row>
    <row r="302" ht="15" customHeight="1">
      <c r="A302" t="inlineStr">
        <is>
          <t>A 9487-2025</t>
        </is>
      </c>
      <c r="B302" s="1" t="n">
        <v>45715.49331018519</v>
      </c>
      <c r="C302" s="1" t="n">
        <v>46048</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6144-2024</t>
        </is>
      </c>
      <c r="B303" s="1" t="n">
        <v>45337.4684837963</v>
      </c>
      <c r="C303" s="1" t="n">
        <v>46048</v>
      </c>
      <c r="D303" t="inlineStr">
        <is>
          <t>UPPSALA LÄN</t>
        </is>
      </c>
      <c r="E303" t="inlineStr">
        <is>
          <t>ENKÖPING</t>
        </is>
      </c>
      <c r="G303" t="n">
        <v>13.8</v>
      </c>
      <c r="H303" t="n">
        <v>0</v>
      </c>
      <c r="I303" t="n">
        <v>0</v>
      </c>
      <c r="J303" t="n">
        <v>0</v>
      </c>
      <c r="K303" t="n">
        <v>0</v>
      </c>
      <c r="L303" t="n">
        <v>0</v>
      </c>
      <c r="M303" t="n">
        <v>0</v>
      </c>
      <c r="N303" t="n">
        <v>0</v>
      </c>
      <c r="O303" t="n">
        <v>0</v>
      </c>
      <c r="P303" t="n">
        <v>0</v>
      </c>
      <c r="Q303" t="n">
        <v>0</v>
      </c>
      <c r="R303" s="2" t="inlineStr"/>
    </row>
    <row r="304" ht="15" customHeight="1">
      <c r="A304" t="inlineStr">
        <is>
          <t>A 33955-2024</t>
        </is>
      </c>
      <c r="B304" s="1" t="n">
        <v>45523.46952546296</v>
      </c>
      <c r="C304" s="1" t="n">
        <v>46048</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15757-2023</t>
        </is>
      </c>
      <c r="B305" s="1" t="n">
        <v>45021</v>
      </c>
      <c r="C305" s="1" t="n">
        <v>46048</v>
      </c>
      <c r="D305" t="inlineStr">
        <is>
          <t>UPPSALA LÄN</t>
        </is>
      </c>
      <c r="E305" t="inlineStr">
        <is>
          <t>ENKÖPING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32111-2025</t>
        </is>
      </c>
      <c r="B306" s="1" t="n">
        <v>45835</v>
      </c>
      <c r="C306" s="1" t="n">
        <v>46048</v>
      </c>
      <c r="D306" t="inlineStr">
        <is>
          <t>UPPSALA LÄN</t>
        </is>
      </c>
      <c r="E306" t="inlineStr">
        <is>
          <t>ENKÖPING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32031-2025</t>
        </is>
      </c>
      <c r="B307" s="1" t="n">
        <v>45835.41712962963</v>
      </c>
      <c r="C307" s="1" t="n">
        <v>46048</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30634-2022</t>
        </is>
      </c>
      <c r="B308" s="1" t="n">
        <v>44763.45711805556</v>
      </c>
      <c r="C308" s="1" t="n">
        <v>46048</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2161-2023</t>
        </is>
      </c>
      <c r="B309" s="1" t="n">
        <v>44941</v>
      </c>
      <c r="C309" s="1" t="n">
        <v>46048</v>
      </c>
      <c r="D309" t="inlineStr">
        <is>
          <t>UPPSALA LÄN</t>
        </is>
      </c>
      <c r="E309" t="inlineStr">
        <is>
          <t>ENKÖPING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2165-2023</t>
        </is>
      </c>
      <c r="B310" s="1" t="n">
        <v>44941</v>
      </c>
      <c r="C310" s="1" t="n">
        <v>46048</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20112-2024</t>
        </is>
      </c>
      <c r="B311" s="1" t="n">
        <v>45434</v>
      </c>
      <c r="C311" s="1" t="n">
        <v>46048</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18259-2025</t>
        </is>
      </c>
      <c r="B312" s="1" t="n">
        <v>45762</v>
      </c>
      <c r="C312" s="1" t="n">
        <v>46048</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2162-2023</t>
        </is>
      </c>
      <c r="B313" s="1" t="n">
        <v>44941</v>
      </c>
      <c r="C313" s="1" t="n">
        <v>46048</v>
      </c>
      <c r="D313" t="inlineStr">
        <is>
          <t>UPPSALA LÄN</t>
        </is>
      </c>
      <c r="E313" t="inlineStr">
        <is>
          <t>ENKÖPING</t>
        </is>
      </c>
      <c r="G313" t="n">
        <v>2.4</v>
      </c>
      <c r="H313" t="n">
        <v>0</v>
      </c>
      <c r="I313" t="n">
        <v>0</v>
      </c>
      <c r="J313" t="n">
        <v>0</v>
      </c>
      <c r="K313" t="n">
        <v>0</v>
      </c>
      <c r="L313" t="n">
        <v>0</v>
      </c>
      <c r="M313" t="n">
        <v>0</v>
      </c>
      <c r="N313" t="n">
        <v>0</v>
      </c>
      <c r="O313" t="n">
        <v>0</v>
      </c>
      <c r="P313" t="n">
        <v>0</v>
      </c>
      <c r="Q313" t="n">
        <v>0</v>
      </c>
      <c r="R313" s="2" t="inlineStr"/>
    </row>
    <row r="314" ht="15" customHeight="1">
      <c r="A314" t="inlineStr">
        <is>
          <t>A 16920-2023</t>
        </is>
      </c>
      <c r="B314" s="1" t="n">
        <v>45033.59030092593</v>
      </c>
      <c r="C314" s="1" t="n">
        <v>46048</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15740-2025</t>
        </is>
      </c>
      <c r="B315" s="1" t="n">
        <v>45748</v>
      </c>
      <c r="C315" s="1" t="n">
        <v>46048</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32081-2024</t>
        </is>
      </c>
      <c r="B316" s="1" t="n">
        <v>45511.34605324074</v>
      </c>
      <c r="C316" s="1" t="n">
        <v>46048</v>
      </c>
      <c r="D316" t="inlineStr">
        <is>
          <t>UPPSALA LÄN</t>
        </is>
      </c>
      <c r="E316" t="inlineStr">
        <is>
          <t>ENKÖPING</t>
        </is>
      </c>
      <c r="G316" t="n">
        <v>5.4</v>
      </c>
      <c r="H316" t="n">
        <v>0</v>
      </c>
      <c r="I316" t="n">
        <v>0</v>
      </c>
      <c r="J316" t="n">
        <v>0</v>
      </c>
      <c r="K316" t="n">
        <v>0</v>
      </c>
      <c r="L316" t="n">
        <v>0</v>
      </c>
      <c r="M316" t="n">
        <v>0</v>
      </c>
      <c r="N316" t="n">
        <v>0</v>
      </c>
      <c r="O316" t="n">
        <v>0</v>
      </c>
      <c r="P316" t="n">
        <v>0</v>
      </c>
      <c r="Q316" t="n">
        <v>0</v>
      </c>
      <c r="R316" s="2" t="inlineStr"/>
    </row>
    <row r="317" ht="15" customHeight="1">
      <c r="A317" t="inlineStr">
        <is>
          <t>A 53586-2024</t>
        </is>
      </c>
      <c r="B317" s="1" t="n">
        <v>45614</v>
      </c>
      <c r="C317" s="1" t="n">
        <v>46048</v>
      </c>
      <c r="D317" t="inlineStr">
        <is>
          <t>UPPSALA LÄN</t>
        </is>
      </c>
      <c r="E317" t="inlineStr">
        <is>
          <t>ENKÖPING</t>
        </is>
      </c>
      <c r="G317" t="n">
        <v>6.6</v>
      </c>
      <c r="H317" t="n">
        <v>0</v>
      </c>
      <c r="I317" t="n">
        <v>0</v>
      </c>
      <c r="J317" t="n">
        <v>0</v>
      </c>
      <c r="K317" t="n">
        <v>0</v>
      </c>
      <c r="L317" t="n">
        <v>0</v>
      </c>
      <c r="M317" t="n">
        <v>0</v>
      </c>
      <c r="N317" t="n">
        <v>0</v>
      </c>
      <c r="O317" t="n">
        <v>0</v>
      </c>
      <c r="P317" t="n">
        <v>0</v>
      </c>
      <c r="Q317" t="n">
        <v>0</v>
      </c>
      <c r="R317" s="2" t="inlineStr"/>
    </row>
    <row r="318" ht="15" customHeight="1">
      <c r="A318" t="inlineStr">
        <is>
          <t>A 14004-2023</t>
        </is>
      </c>
      <c r="B318" s="1" t="n">
        <v>45008</v>
      </c>
      <c r="C318" s="1" t="n">
        <v>46048</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2968-2025</t>
        </is>
      </c>
      <c r="B319" s="1" t="n">
        <v>45678</v>
      </c>
      <c r="C319" s="1" t="n">
        <v>46048</v>
      </c>
      <c r="D319" t="inlineStr">
        <is>
          <t>UPPSALA LÄN</t>
        </is>
      </c>
      <c r="E319" t="inlineStr">
        <is>
          <t>ENKÖPING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49525-2021</t>
        </is>
      </c>
      <c r="B320" s="1" t="n">
        <v>44455</v>
      </c>
      <c r="C320" s="1" t="n">
        <v>46048</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6959-2025</t>
        </is>
      </c>
      <c r="B321" s="1" t="n">
        <v>45701.49315972222</v>
      </c>
      <c r="C321" s="1" t="n">
        <v>46048</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18994-2025</t>
        </is>
      </c>
      <c r="B322" s="1" t="n">
        <v>45764.57350694444</v>
      </c>
      <c r="C322" s="1" t="n">
        <v>46048</v>
      </c>
      <c r="D322" t="inlineStr">
        <is>
          <t>UPPSALA LÄN</t>
        </is>
      </c>
      <c r="E322" t="inlineStr">
        <is>
          <t>ENKÖPING</t>
        </is>
      </c>
      <c r="G322" t="n">
        <v>3.8</v>
      </c>
      <c r="H322" t="n">
        <v>0</v>
      </c>
      <c r="I322" t="n">
        <v>0</v>
      </c>
      <c r="J322" t="n">
        <v>0</v>
      </c>
      <c r="K322" t="n">
        <v>0</v>
      </c>
      <c r="L322" t="n">
        <v>0</v>
      </c>
      <c r="M322" t="n">
        <v>0</v>
      </c>
      <c r="N322" t="n">
        <v>0</v>
      </c>
      <c r="O322" t="n">
        <v>0</v>
      </c>
      <c r="P322" t="n">
        <v>0</v>
      </c>
      <c r="Q322" t="n">
        <v>0</v>
      </c>
      <c r="R322" s="2" t="inlineStr"/>
    </row>
    <row r="323" ht="15" customHeight="1">
      <c r="A323" t="inlineStr">
        <is>
          <t>A 57848-2024</t>
        </is>
      </c>
      <c r="B323" s="1" t="n">
        <v>45631.40947916666</v>
      </c>
      <c r="C323" s="1" t="n">
        <v>46048</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49601-2024</t>
        </is>
      </c>
      <c r="B324" s="1" t="n">
        <v>45596.56288194445</v>
      </c>
      <c r="C324" s="1" t="n">
        <v>46048</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43506-2023</t>
        </is>
      </c>
      <c r="B325" s="1" t="n">
        <v>45181</v>
      </c>
      <c r="C325" s="1" t="n">
        <v>46048</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30437-2022</t>
        </is>
      </c>
      <c r="B326" s="1" t="n">
        <v>44761</v>
      </c>
      <c r="C326" s="1" t="n">
        <v>46048</v>
      </c>
      <c r="D326" t="inlineStr">
        <is>
          <t>UPPSALA LÄN</t>
        </is>
      </c>
      <c r="E326" t="inlineStr">
        <is>
          <t>ENKÖPING</t>
        </is>
      </c>
      <c r="G326" t="n">
        <v>3.4</v>
      </c>
      <c r="H326" t="n">
        <v>0</v>
      </c>
      <c r="I326" t="n">
        <v>0</v>
      </c>
      <c r="J326" t="n">
        <v>0</v>
      </c>
      <c r="K326" t="n">
        <v>0</v>
      </c>
      <c r="L326" t="n">
        <v>0</v>
      </c>
      <c r="M326" t="n">
        <v>0</v>
      </c>
      <c r="N326" t="n">
        <v>0</v>
      </c>
      <c r="O326" t="n">
        <v>0</v>
      </c>
      <c r="P326" t="n">
        <v>0</v>
      </c>
      <c r="Q326" t="n">
        <v>0</v>
      </c>
      <c r="R326" s="2" t="inlineStr"/>
    </row>
    <row r="327" ht="15" customHeight="1">
      <c r="A327" t="inlineStr">
        <is>
          <t>A 51011-2024</t>
        </is>
      </c>
      <c r="B327" s="1" t="n">
        <v>45603.39427083333</v>
      </c>
      <c r="C327" s="1" t="n">
        <v>46048</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26319-2022</t>
        </is>
      </c>
      <c r="B328" s="1" t="n">
        <v>44735</v>
      </c>
      <c r="C328" s="1" t="n">
        <v>46048</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46186-2023</t>
        </is>
      </c>
      <c r="B329" s="1" t="n">
        <v>45196</v>
      </c>
      <c r="C329" s="1" t="n">
        <v>46048</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44473.58824074074</v>
      </c>
      <c r="C330" s="1" t="n">
        <v>46048</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54588-2024</t>
        </is>
      </c>
      <c r="B331" s="1" t="n">
        <v>45617</v>
      </c>
      <c r="C331" s="1" t="n">
        <v>46048</v>
      </c>
      <c r="D331" t="inlineStr">
        <is>
          <t>UPPSALA LÄN</t>
        </is>
      </c>
      <c r="E331" t="inlineStr">
        <is>
          <t>ENKÖPING</t>
        </is>
      </c>
      <c r="G331" t="n">
        <v>3.7</v>
      </c>
      <c r="H331" t="n">
        <v>0</v>
      </c>
      <c r="I331" t="n">
        <v>0</v>
      </c>
      <c r="J331" t="n">
        <v>0</v>
      </c>
      <c r="K331" t="n">
        <v>0</v>
      </c>
      <c r="L331" t="n">
        <v>0</v>
      </c>
      <c r="M331" t="n">
        <v>0</v>
      </c>
      <c r="N331" t="n">
        <v>0</v>
      </c>
      <c r="O331" t="n">
        <v>0</v>
      </c>
      <c r="P331" t="n">
        <v>0</v>
      </c>
      <c r="Q331" t="n">
        <v>0</v>
      </c>
      <c r="R331" s="2" t="inlineStr"/>
    </row>
    <row r="332" ht="15" customHeight="1">
      <c r="A332" t="inlineStr">
        <is>
          <t>A 47428-2023</t>
        </is>
      </c>
      <c r="B332" s="1" t="n">
        <v>45202.66664351852</v>
      </c>
      <c r="C332" s="1" t="n">
        <v>46048</v>
      </c>
      <c r="D332" t="inlineStr">
        <is>
          <t>UPPSALA LÄN</t>
        </is>
      </c>
      <c r="E332" t="inlineStr">
        <is>
          <t>ENKÖPING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52005-2024</t>
        </is>
      </c>
      <c r="B333" s="1" t="n">
        <v>45607.7627662037</v>
      </c>
      <c r="C333" s="1" t="n">
        <v>46048</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29918-2023</t>
        </is>
      </c>
      <c r="B334" s="1" t="n">
        <v>45099</v>
      </c>
      <c r="C334" s="1" t="n">
        <v>46048</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1960-2022</t>
        </is>
      </c>
      <c r="B335" s="1" t="n">
        <v>44575</v>
      </c>
      <c r="C335" s="1" t="n">
        <v>46048</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29513-2025</t>
        </is>
      </c>
      <c r="B336" s="1" t="n">
        <v>45825</v>
      </c>
      <c r="C336" s="1" t="n">
        <v>46048</v>
      </c>
      <c r="D336" t="inlineStr">
        <is>
          <t>UPPSALA LÄN</t>
        </is>
      </c>
      <c r="E336" t="inlineStr">
        <is>
          <t>ENKÖPING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6157-2021</t>
        </is>
      </c>
      <c r="B337" s="1" t="n">
        <v>44232</v>
      </c>
      <c r="C337" s="1" t="n">
        <v>46048</v>
      </c>
      <c r="D337" t="inlineStr">
        <is>
          <t>UPPSALA LÄN</t>
        </is>
      </c>
      <c r="E337" t="inlineStr">
        <is>
          <t>ENKÖPING</t>
        </is>
      </c>
      <c r="G337" t="n">
        <v>3.9</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46048</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5892-2023</t>
        </is>
      </c>
      <c r="B339" s="1" t="n">
        <v>44963.64883101852</v>
      </c>
      <c r="C339" s="1" t="n">
        <v>46048</v>
      </c>
      <c r="D339" t="inlineStr">
        <is>
          <t>UPPSALA LÄN</t>
        </is>
      </c>
      <c r="E339" t="inlineStr">
        <is>
          <t>ENKÖPING</t>
        </is>
      </c>
      <c r="G339" t="n">
        <v>5.5</v>
      </c>
      <c r="H339" t="n">
        <v>0</v>
      </c>
      <c r="I339" t="n">
        <v>0</v>
      </c>
      <c r="J339" t="n">
        <v>0</v>
      </c>
      <c r="K339" t="n">
        <v>0</v>
      </c>
      <c r="L339" t="n">
        <v>0</v>
      </c>
      <c r="M339" t="n">
        <v>0</v>
      </c>
      <c r="N339" t="n">
        <v>0</v>
      </c>
      <c r="O339" t="n">
        <v>0</v>
      </c>
      <c r="P339" t="n">
        <v>0</v>
      </c>
      <c r="Q339" t="n">
        <v>0</v>
      </c>
      <c r="R339" s="2" t="inlineStr"/>
    </row>
    <row r="340" ht="15" customHeight="1">
      <c r="A340" t="inlineStr">
        <is>
          <t>A 12572-2021</t>
        </is>
      </c>
      <c r="B340" s="1" t="n">
        <v>44270.36438657407</v>
      </c>
      <c r="C340" s="1" t="n">
        <v>46048</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27837-2025</t>
        </is>
      </c>
      <c r="B341" s="1" t="n">
        <v>45817.37207175926</v>
      </c>
      <c r="C341" s="1" t="n">
        <v>46048</v>
      </c>
      <c r="D341" t="inlineStr">
        <is>
          <t>UPPSALA LÄN</t>
        </is>
      </c>
      <c r="E341" t="inlineStr">
        <is>
          <t>ENKÖPING</t>
        </is>
      </c>
      <c r="G341" t="n">
        <v>7.3</v>
      </c>
      <c r="H341" t="n">
        <v>0</v>
      </c>
      <c r="I341" t="n">
        <v>0</v>
      </c>
      <c r="J341" t="n">
        <v>0</v>
      </c>
      <c r="K341" t="n">
        <v>0</v>
      </c>
      <c r="L341" t="n">
        <v>0</v>
      </c>
      <c r="M341" t="n">
        <v>0</v>
      </c>
      <c r="N341" t="n">
        <v>0</v>
      </c>
      <c r="O341" t="n">
        <v>0</v>
      </c>
      <c r="P341" t="n">
        <v>0</v>
      </c>
      <c r="Q341" t="n">
        <v>0</v>
      </c>
      <c r="R341" s="2" t="inlineStr"/>
    </row>
    <row r="342" ht="15" customHeight="1">
      <c r="A342" t="inlineStr">
        <is>
          <t>A 24291-2024</t>
        </is>
      </c>
      <c r="B342" s="1" t="n">
        <v>45457.4584837963</v>
      </c>
      <c r="C342" s="1" t="n">
        <v>46048</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671-2022</t>
        </is>
      </c>
      <c r="B343" s="1" t="n">
        <v>44568</v>
      </c>
      <c r="C343" s="1" t="n">
        <v>46048</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43488-2023</t>
        </is>
      </c>
      <c r="B344" s="1" t="n">
        <v>45181</v>
      </c>
      <c r="C344" s="1" t="n">
        <v>46048</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9171-2024</t>
        </is>
      </c>
      <c r="B345" s="1" t="n">
        <v>45358</v>
      </c>
      <c r="C345" s="1" t="n">
        <v>46048</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21501-2025</t>
        </is>
      </c>
      <c r="B346" s="1" t="n">
        <v>45782</v>
      </c>
      <c r="C346" s="1" t="n">
        <v>46048</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34988-2025</t>
        </is>
      </c>
      <c r="B347" s="1" t="n">
        <v>45849</v>
      </c>
      <c r="C347" s="1" t="n">
        <v>46048</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34987-2025</t>
        </is>
      </c>
      <c r="B348" s="1" t="n">
        <v>45849</v>
      </c>
      <c r="C348" s="1" t="n">
        <v>46048</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49627-2024</t>
        </is>
      </c>
      <c r="B349" s="1" t="n">
        <v>45596.59140046296</v>
      </c>
      <c r="C349" s="1" t="n">
        <v>46048</v>
      </c>
      <c r="D349" t="inlineStr">
        <is>
          <t>UPPSALA LÄN</t>
        </is>
      </c>
      <c r="E349" t="inlineStr">
        <is>
          <t>ENKÖPING</t>
        </is>
      </c>
      <c r="G349" t="n">
        <v>0.4</v>
      </c>
      <c r="H349" t="n">
        <v>0</v>
      </c>
      <c r="I349" t="n">
        <v>0</v>
      </c>
      <c r="J349" t="n">
        <v>0</v>
      </c>
      <c r="K349" t="n">
        <v>0</v>
      </c>
      <c r="L349" t="n">
        <v>0</v>
      </c>
      <c r="M349" t="n">
        <v>0</v>
      </c>
      <c r="N349" t="n">
        <v>0</v>
      </c>
      <c r="O349" t="n">
        <v>0</v>
      </c>
      <c r="P349" t="n">
        <v>0</v>
      </c>
      <c r="Q349" t="n">
        <v>0</v>
      </c>
      <c r="R349" s="2" t="inlineStr"/>
    </row>
    <row r="350" ht="15" customHeight="1">
      <c r="A350" t="inlineStr">
        <is>
          <t>A 57998-2024</t>
        </is>
      </c>
      <c r="B350" s="1" t="n">
        <v>45631</v>
      </c>
      <c r="C350" s="1" t="n">
        <v>46048</v>
      </c>
      <c r="D350" t="inlineStr">
        <is>
          <t>UPPSALA LÄN</t>
        </is>
      </c>
      <c r="E350" t="inlineStr">
        <is>
          <t>ENKÖPING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43230-2023</t>
        </is>
      </c>
      <c r="B351" s="1" t="n">
        <v>45183</v>
      </c>
      <c r="C351" s="1" t="n">
        <v>46048</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45362-2022</t>
        </is>
      </c>
      <c r="B352" s="1" t="n">
        <v>44844.62366898148</v>
      </c>
      <c r="C352" s="1" t="n">
        <v>46048</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72840-2021</t>
        </is>
      </c>
      <c r="B353" s="1" t="n">
        <v>44547</v>
      </c>
      <c r="C353" s="1" t="n">
        <v>46048</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9667-2024</t>
        </is>
      </c>
      <c r="B354" s="1" t="n">
        <v>45362.45130787037</v>
      </c>
      <c r="C354" s="1" t="n">
        <v>46048</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2833-2025</t>
        </is>
      </c>
      <c r="B355" s="1" t="n">
        <v>45677.63206018518</v>
      </c>
      <c r="C355" s="1" t="n">
        <v>46048</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36492-2025</t>
        </is>
      </c>
      <c r="B356" s="1" t="n">
        <v>45869</v>
      </c>
      <c r="C356" s="1" t="n">
        <v>46048</v>
      </c>
      <c r="D356" t="inlineStr">
        <is>
          <t>UPPSALA LÄN</t>
        </is>
      </c>
      <c r="E356" t="inlineStr">
        <is>
          <t>ENKÖPING</t>
        </is>
      </c>
      <c r="G356" t="n">
        <v>6.3</v>
      </c>
      <c r="H356" t="n">
        <v>0</v>
      </c>
      <c r="I356" t="n">
        <v>0</v>
      </c>
      <c r="J356" t="n">
        <v>0</v>
      </c>
      <c r="K356" t="n">
        <v>0</v>
      </c>
      <c r="L356" t="n">
        <v>0</v>
      </c>
      <c r="M356" t="n">
        <v>0</v>
      </c>
      <c r="N356" t="n">
        <v>0</v>
      </c>
      <c r="O356" t="n">
        <v>0</v>
      </c>
      <c r="P356" t="n">
        <v>0</v>
      </c>
      <c r="Q356" t="n">
        <v>0</v>
      </c>
      <c r="R356" s="2" t="inlineStr"/>
    </row>
    <row r="357" ht="15" customHeight="1">
      <c r="A357" t="inlineStr">
        <is>
          <t>A 36350-2025</t>
        </is>
      </c>
      <c r="B357" s="1" t="n">
        <v>45868</v>
      </c>
      <c r="C357" s="1" t="n">
        <v>46048</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35645-2021</t>
        </is>
      </c>
      <c r="B358" s="1" t="n">
        <v>44386.42</v>
      </c>
      <c r="C358" s="1" t="n">
        <v>46048</v>
      </c>
      <c r="D358" t="inlineStr">
        <is>
          <t>UPPSALA LÄN</t>
        </is>
      </c>
      <c r="E358" t="inlineStr">
        <is>
          <t>ENKÖPING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50006-2023</t>
        </is>
      </c>
      <c r="B359" s="1" t="n">
        <v>45215</v>
      </c>
      <c r="C359" s="1" t="n">
        <v>46048</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25989-2025</t>
        </is>
      </c>
      <c r="B360" s="1" t="n">
        <v>45804.65050925926</v>
      </c>
      <c r="C360" s="1" t="n">
        <v>46048</v>
      </c>
      <c r="D360" t="inlineStr">
        <is>
          <t>UPPSALA LÄN</t>
        </is>
      </c>
      <c r="E360" t="inlineStr">
        <is>
          <t>ENKÖPING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34617-2022</t>
        </is>
      </c>
      <c r="B361" s="1" t="n">
        <v>44795</v>
      </c>
      <c r="C361" s="1" t="n">
        <v>46048</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1992-2022</t>
        </is>
      </c>
      <c r="B362" s="1" t="n">
        <v>44575.56153935185</v>
      </c>
      <c r="C362" s="1" t="n">
        <v>46048</v>
      </c>
      <c r="D362" t="inlineStr">
        <is>
          <t>UPPSALA LÄN</t>
        </is>
      </c>
      <c r="E362" t="inlineStr">
        <is>
          <t>ENKÖPING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18583-2021</t>
        </is>
      </c>
      <c r="B363" s="1" t="n">
        <v>44306</v>
      </c>
      <c r="C363" s="1" t="n">
        <v>46048</v>
      </c>
      <c r="D363" t="inlineStr">
        <is>
          <t>UPPSALA LÄN</t>
        </is>
      </c>
      <c r="E363" t="inlineStr">
        <is>
          <t>ENKÖPING</t>
        </is>
      </c>
      <c r="G363" t="n">
        <v>0.4</v>
      </c>
      <c r="H363" t="n">
        <v>0</v>
      </c>
      <c r="I363" t="n">
        <v>0</v>
      </c>
      <c r="J363" t="n">
        <v>0</v>
      </c>
      <c r="K363" t="n">
        <v>0</v>
      </c>
      <c r="L363" t="n">
        <v>0</v>
      </c>
      <c r="M363" t="n">
        <v>0</v>
      </c>
      <c r="N363" t="n">
        <v>0</v>
      </c>
      <c r="O363" t="n">
        <v>0</v>
      </c>
      <c r="P363" t="n">
        <v>0</v>
      </c>
      <c r="Q363" t="n">
        <v>0</v>
      </c>
      <c r="R363" s="2" t="inlineStr"/>
    </row>
    <row r="364" ht="15" customHeight="1">
      <c r="A364" t="inlineStr">
        <is>
          <t>A 1695-2025</t>
        </is>
      </c>
      <c r="B364" s="1" t="n">
        <v>45670</v>
      </c>
      <c r="C364" s="1" t="n">
        <v>46048</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56526-2022</t>
        </is>
      </c>
      <c r="B365" s="1" t="n">
        <v>44893</v>
      </c>
      <c r="C365" s="1" t="n">
        <v>46048</v>
      </c>
      <c r="D365" t="inlineStr">
        <is>
          <t>UPPSALA LÄN</t>
        </is>
      </c>
      <c r="E365" t="inlineStr">
        <is>
          <t>ENKÖPING</t>
        </is>
      </c>
      <c r="G365" t="n">
        <v>3.8</v>
      </c>
      <c r="H365" t="n">
        <v>0</v>
      </c>
      <c r="I365" t="n">
        <v>0</v>
      </c>
      <c r="J365" t="n">
        <v>0</v>
      </c>
      <c r="K365" t="n">
        <v>0</v>
      </c>
      <c r="L365" t="n">
        <v>0</v>
      </c>
      <c r="M365" t="n">
        <v>0</v>
      </c>
      <c r="N365" t="n">
        <v>0</v>
      </c>
      <c r="O365" t="n">
        <v>0</v>
      </c>
      <c r="P365" t="n">
        <v>0</v>
      </c>
      <c r="Q365" t="n">
        <v>0</v>
      </c>
      <c r="R365" s="2" t="inlineStr"/>
    </row>
    <row r="366" ht="15" customHeight="1">
      <c r="A366" t="inlineStr">
        <is>
          <t>A 39858-2024</t>
        </is>
      </c>
      <c r="B366" s="1" t="n">
        <v>45553</v>
      </c>
      <c r="C366" s="1" t="n">
        <v>46048</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36599-2025</t>
        </is>
      </c>
      <c r="B367" s="1" t="n">
        <v>45870.51723379629</v>
      </c>
      <c r="C367" s="1" t="n">
        <v>46048</v>
      </c>
      <c r="D367" t="inlineStr">
        <is>
          <t>UPPSALA LÄN</t>
        </is>
      </c>
      <c r="E367" t="inlineStr">
        <is>
          <t>ENKÖPING</t>
        </is>
      </c>
      <c r="G367" t="n">
        <v>5.9</v>
      </c>
      <c r="H367" t="n">
        <v>0</v>
      </c>
      <c r="I367" t="n">
        <v>0</v>
      </c>
      <c r="J367" t="n">
        <v>0</v>
      </c>
      <c r="K367" t="n">
        <v>0</v>
      </c>
      <c r="L367" t="n">
        <v>0</v>
      </c>
      <c r="M367" t="n">
        <v>0</v>
      </c>
      <c r="N367" t="n">
        <v>0</v>
      </c>
      <c r="O367" t="n">
        <v>0</v>
      </c>
      <c r="P367" t="n">
        <v>0</v>
      </c>
      <c r="Q367" t="n">
        <v>0</v>
      </c>
      <c r="R367" s="2" t="inlineStr"/>
    </row>
    <row r="368" ht="15" customHeight="1">
      <c r="A368" t="inlineStr">
        <is>
          <t>A 60289-2022</t>
        </is>
      </c>
      <c r="B368" s="1" t="n">
        <v>44910.53026620371</v>
      </c>
      <c r="C368" s="1" t="n">
        <v>46048</v>
      </c>
      <c r="D368" t="inlineStr">
        <is>
          <t>UPPSALA LÄN</t>
        </is>
      </c>
      <c r="E368" t="inlineStr">
        <is>
          <t>ENKÖPING</t>
        </is>
      </c>
      <c r="G368" t="n">
        <v>3.2</v>
      </c>
      <c r="H368" t="n">
        <v>0</v>
      </c>
      <c r="I368" t="n">
        <v>0</v>
      </c>
      <c r="J368" t="n">
        <v>0</v>
      </c>
      <c r="K368" t="n">
        <v>0</v>
      </c>
      <c r="L368" t="n">
        <v>0</v>
      </c>
      <c r="M368" t="n">
        <v>0</v>
      </c>
      <c r="N368" t="n">
        <v>0</v>
      </c>
      <c r="O368" t="n">
        <v>0</v>
      </c>
      <c r="P368" t="n">
        <v>0</v>
      </c>
      <c r="Q368" t="n">
        <v>0</v>
      </c>
      <c r="R368" s="2" t="inlineStr"/>
    </row>
    <row r="369" ht="15" customHeight="1">
      <c r="A369" t="inlineStr">
        <is>
          <t>A 13110-2023</t>
        </is>
      </c>
      <c r="B369" s="1" t="n">
        <v>45001</v>
      </c>
      <c r="C369" s="1" t="n">
        <v>46048</v>
      </c>
      <c r="D369" t="inlineStr">
        <is>
          <t>UPPSALA LÄN</t>
        </is>
      </c>
      <c r="E369" t="inlineStr">
        <is>
          <t>ENKÖPING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58384-2022</t>
        </is>
      </c>
      <c r="B370" s="1" t="n">
        <v>44901</v>
      </c>
      <c r="C370" s="1" t="n">
        <v>46048</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59602-2022</t>
        </is>
      </c>
      <c r="B371" s="1" t="n">
        <v>44907.72241898148</v>
      </c>
      <c r="C371" s="1" t="n">
        <v>46048</v>
      </c>
      <c r="D371" t="inlineStr">
        <is>
          <t>UPPSALA LÄN</t>
        </is>
      </c>
      <c r="E371" t="inlineStr">
        <is>
          <t>ENKÖPING</t>
        </is>
      </c>
      <c r="G371" t="n">
        <v>14.2</v>
      </c>
      <c r="H371" t="n">
        <v>0</v>
      </c>
      <c r="I371" t="n">
        <v>0</v>
      </c>
      <c r="J371" t="n">
        <v>0</v>
      </c>
      <c r="K371" t="n">
        <v>0</v>
      </c>
      <c r="L371" t="n">
        <v>0</v>
      </c>
      <c r="M371" t="n">
        <v>0</v>
      </c>
      <c r="N371" t="n">
        <v>0</v>
      </c>
      <c r="O371" t="n">
        <v>0</v>
      </c>
      <c r="P371" t="n">
        <v>0</v>
      </c>
      <c r="Q371" t="n">
        <v>0</v>
      </c>
      <c r="R371" s="2" t="inlineStr"/>
    </row>
    <row r="372" ht="15" customHeight="1">
      <c r="A372" t="inlineStr">
        <is>
          <t>A 54357-2023</t>
        </is>
      </c>
      <c r="B372" s="1" t="n">
        <v>45225</v>
      </c>
      <c r="C372" s="1" t="n">
        <v>46048</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46048</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31965-2021</t>
        </is>
      </c>
      <c r="B374" s="1" t="n">
        <v>44370.56901620371</v>
      </c>
      <c r="C374" s="1" t="n">
        <v>46048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67984-2021</t>
        </is>
      </c>
      <c r="B375" s="1" t="n">
        <v>44525.70237268518</v>
      </c>
      <c r="C375" s="1" t="n">
        <v>46048</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37498-2025</t>
        </is>
      </c>
      <c r="B376" s="1" t="n">
        <v>45877</v>
      </c>
      <c r="C376" s="1" t="n">
        <v>46048</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33619-2022</t>
        </is>
      </c>
      <c r="B377" s="1" t="n">
        <v>44789</v>
      </c>
      <c r="C377" s="1" t="n">
        <v>46048</v>
      </c>
      <c r="D377" t="inlineStr">
        <is>
          <t>UPPSALA LÄN</t>
        </is>
      </c>
      <c r="E377" t="inlineStr">
        <is>
          <t>ENKÖPING</t>
        </is>
      </c>
      <c r="F377" t="inlineStr">
        <is>
          <t>Allmännings- och besparingsskogar</t>
        </is>
      </c>
      <c r="G377" t="n">
        <v>4.5</v>
      </c>
      <c r="H377" t="n">
        <v>0</v>
      </c>
      <c r="I377" t="n">
        <v>0</v>
      </c>
      <c r="J377" t="n">
        <v>0</v>
      </c>
      <c r="K377" t="n">
        <v>0</v>
      </c>
      <c r="L377" t="n">
        <v>0</v>
      </c>
      <c r="M377" t="n">
        <v>0</v>
      </c>
      <c r="N377" t="n">
        <v>0</v>
      </c>
      <c r="O377" t="n">
        <v>0</v>
      </c>
      <c r="P377" t="n">
        <v>0</v>
      </c>
      <c r="Q377" t="n">
        <v>0</v>
      </c>
      <c r="R377" s="2" t="inlineStr"/>
    </row>
    <row r="378" ht="15" customHeight="1">
      <c r="A378" t="inlineStr">
        <is>
          <t>A 37296-2025</t>
        </is>
      </c>
      <c r="B378" s="1" t="n">
        <v>45876</v>
      </c>
      <c r="C378" s="1" t="n">
        <v>46048</v>
      </c>
      <c r="D378" t="inlineStr">
        <is>
          <t>UPPSALA LÄN</t>
        </is>
      </c>
      <c r="E378" t="inlineStr">
        <is>
          <t>ENKÖPING</t>
        </is>
      </c>
      <c r="G378" t="n">
        <v>9.5</v>
      </c>
      <c r="H378" t="n">
        <v>0</v>
      </c>
      <c r="I378" t="n">
        <v>0</v>
      </c>
      <c r="J378" t="n">
        <v>0</v>
      </c>
      <c r="K378" t="n">
        <v>0</v>
      </c>
      <c r="L378" t="n">
        <v>0</v>
      </c>
      <c r="M378" t="n">
        <v>0</v>
      </c>
      <c r="N378" t="n">
        <v>0</v>
      </c>
      <c r="O378" t="n">
        <v>0</v>
      </c>
      <c r="P378" t="n">
        <v>0</v>
      </c>
      <c r="Q378" t="n">
        <v>0</v>
      </c>
      <c r="R378" s="2" t="inlineStr"/>
    </row>
    <row r="379" ht="15" customHeight="1">
      <c r="A379" t="inlineStr">
        <is>
          <t>A 15711-2025</t>
        </is>
      </c>
      <c r="B379" s="1" t="n">
        <v>45748</v>
      </c>
      <c r="C379" s="1" t="n">
        <v>46048</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21017-2023</t>
        </is>
      </c>
      <c r="B380" s="1" t="n">
        <v>45061</v>
      </c>
      <c r="C380" s="1" t="n">
        <v>46048</v>
      </c>
      <c r="D380" t="inlineStr">
        <is>
          <t>UPPSALA LÄN</t>
        </is>
      </c>
      <c r="E380" t="inlineStr">
        <is>
          <t>ENKÖPING</t>
        </is>
      </c>
      <c r="G380" t="n">
        <v>4.8</v>
      </c>
      <c r="H380" t="n">
        <v>0</v>
      </c>
      <c r="I380" t="n">
        <v>0</v>
      </c>
      <c r="J380" t="n">
        <v>0</v>
      </c>
      <c r="K380" t="n">
        <v>0</v>
      </c>
      <c r="L380" t="n">
        <v>0</v>
      </c>
      <c r="M380" t="n">
        <v>0</v>
      </c>
      <c r="N380" t="n">
        <v>0</v>
      </c>
      <c r="O380" t="n">
        <v>0</v>
      </c>
      <c r="P380" t="n">
        <v>0</v>
      </c>
      <c r="Q380" t="n">
        <v>0</v>
      </c>
      <c r="R380" s="2" t="inlineStr"/>
    </row>
    <row r="381" ht="15" customHeight="1">
      <c r="A381" t="inlineStr">
        <is>
          <t>A 37319-2025</t>
        </is>
      </c>
      <c r="B381" s="1" t="n">
        <v>45876</v>
      </c>
      <c r="C381" s="1" t="n">
        <v>46048</v>
      </c>
      <c r="D381" t="inlineStr">
        <is>
          <t>UPPSALA LÄN</t>
        </is>
      </c>
      <c r="E381" t="inlineStr">
        <is>
          <t>ENKÖPING</t>
        </is>
      </c>
      <c r="G381" t="n">
        <v>9.5</v>
      </c>
      <c r="H381" t="n">
        <v>0</v>
      </c>
      <c r="I381" t="n">
        <v>0</v>
      </c>
      <c r="J381" t="n">
        <v>0</v>
      </c>
      <c r="K381" t="n">
        <v>0</v>
      </c>
      <c r="L381" t="n">
        <v>0</v>
      </c>
      <c r="M381" t="n">
        <v>0</v>
      </c>
      <c r="N381" t="n">
        <v>0</v>
      </c>
      <c r="O381" t="n">
        <v>0</v>
      </c>
      <c r="P381" t="n">
        <v>0</v>
      </c>
      <c r="Q381" t="n">
        <v>0</v>
      </c>
      <c r="R381" s="2" t="inlineStr"/>
    </row>
    <row r="382" ht="15" customHeight="1">
      <c r="A382" t="inlineStr">
        <is>
          <t>A 28318-2024</t>
        </is>
      </c>
      <c r="B382" s="1" t="n">
        <v>45477</v>
      </c>
      <c r="C382" s="1" t="n">
        <v>46048</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49622-2024</t>
        </is>
      </c>
      <c r="B383" s="1" t="n">
        <v>45596.58372685185</v>
      </c>
      <c r="C383" s="1" t="n">
        <v>46048</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69344-2021</t>
        </is>
      </c>
      <c r="B384" s="1" t="n">
        <v>44531</v>
      </c>
      <c r="C384" s="1" t="n">
        <v>46048</v>
      </c>
      <c r="D384" t="inlineStr">
        <is>
          <t>UPPSALA LÄN</t>
        </is>
      </c>
      <c r="E384" t="inlineStr">
        <is>
          <t>ENKÖPING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51524-2022</t>
        </is>
      </c>
      <c r="B385" s="1" t="n">
        <v>44869</v>
      </c>
      <c r="C385" s="1" t="n">
        <v>46048</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56176-2021</t>
        </is>
      </c>
      <c r="B386" s="1" t="n">
        <v>44477</v>
      </c>
      <c r="C386" s="1" t="n">
        <v>46048</v>
      </c>
      <c r="D386" t="inlineStr">
        <is>
          <t>UPPSALA LÄN</t>
        </is>
      </c>
      <c r="E386" t="inlineStr">
        <is>
          <t>ENKÖPING</t>
        </is>
      </c>
      <c r="G386" t="n">
        <v>2.9</v>
      </c>
      <c r="H386" t="n">
        <v>0</v>
      </c>
      <c r="I386" t="n">
        <v>0</v>
      </c>
      <c r="J386" t="n">
        <v>0</v>
      </c>
      <c r="K386" t="n">
        <v>0</v>
      </c>
      <c r="L386" t="n">
        <v>0</v>
      </c>
      <c r="M386" t="n">
        <v>0</v>
      </c>
      <c r="N386" t="n">
        <v>0</v>
      </c>
      <c r="O386" t="n">
        <v>0</v>
      </c>
      <c r="P386" t="n">
        <v>0</v>
      </c>
      <c r="Q386" t="n">
        <v>0</v>
      </c>
      <c r="R386" s="2" t="inlineStr"/>
    </row>
    <row r="387" ht="15" customHeight="1">
      <c r="A387" t="inlineStr">
        <is>
          <t>A 46103-2023</t>
        </is>
      </c>
      <c r="B387" s="1" t="n">
        <v>45190</v>
      </c>
      <c r="C387" s="1" t="n">
        <v>46048</v>
      </c>
      <c r="D387" t="inlineStr">
        <is>
          <t>UPPSALA LÄN</t>
        </is>
      </c>
      <c r="E387" t="inlineStr">
        <is>
          <t>ENKÖPING</t>
        </is>
      </c>
      <c r="G387" t="n">
        <v>4.6</v>
      </c>
      <c r="H387" t="n">
        <v>0</v>
      </c>
      <c r="I387" t="n">
        <v>0</v>
      </c>
      <c r="J387" t="n">
        <v>0</v>
      </c>
      <c r="K387" t="n">
        <v>0</v>
      </c>
      <c r="L387" t="n">
        <v>0</v>
      </c>
      <c r="M387" t="n">
        <v>0</v>
      </c>
      <c r="N387" t="n">
        <v>0</v>
      </c>
      <c r="O387" t="n">
        <v>0</v>
      </c>
      <c r="P387" t="n">
        <v>0</v>
      </c>
      <c r="Q387" t="n">
        <v>0</v>
      </c>
      <c r="R387" s="2" t="inlineStr"/>
    </row>
    <row r="388" ht="15" customHeight="1">
      <c r="A388" t="inlineStr">
        <is>
          <t>A 41737-2022</t>
        </is>
      </c>
      <c r="B388" s="1" t="n">
        <v>44827.63826388889</v>
      </c>
      <c r="C388" s="1" t="n">
        <v>46048</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8137-2025</t>
        </is>
      </c>
      <c r="B389" s="1" t="n">
        <v>45707.8561574074</v>
      </c>
      <c r="C389" s="1" t="n">
        <v>46048</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69344-2021</t>
        </is>
      </c>
      <c r="B390" s="1" t="n">
        <v>44531</v>
      </c>
      <c r="C390" s="1" t="n">
        <v>46048</v>
      </c>
      <c r="D390" t="inlineStr">
        <is>
          <t>UPPSALA LÄN</t>
        </is>
      </c>
      <c r="E390" t="inlineStr">
        <is>
          <t>ENKÖPING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23301-2024</t>
        </is>
      </c>
      <c r="B391" s="1" t="n">
        <v>45453.4396412037</v>
      </c>
      <c r="C391" s="1" t="n">
        <v>46048</v>
      </c>
      <c r="D391" t="inlineStr">
        <is>
          <t>UPPSALA LÄN</t>
        </is>
      </c>
      <c r="E391" t="inlineStr">
        <is>
          <t>ENKÖPING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52380-2024</t>
        </is>
      </c>
      <c r="B392" s="1" t="n">
        <v>45609</v>
      </c>
      <c r="C392" s="1" t="n">
        <v>46048</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30098-2024</t>
        </is>
      </c>
      <c r="B393" s="1" t="n">
        <v>45489.41609953704</v>
      </c>
      <c r="C393" s="1" t="n">
        <v>46048</v>
      </c>
      <c r="D393" t="inlineStr">
        <is>
          <t>UPPSALA LÄN</t>
        </is>
      </c>
      <c r="E393" t="inlineStr">
        <is>
          <t>ENKÖPING</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34735-2023</t>
        </is>
      </c>
      <c r="B394" s="1" t="n">
        <v>45139</v>
      </c>
      <c r="C394" s="1" t="n">
        <v>46048</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57328-2024</t>
        </is>
      </c>
      <c r="B395" s="1" t="n">
        <v>45629.62798611111</v>
      </c>
      <c r="C395" s="1" t="n">
        <v>46048</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29482-2022</t>
        </is>
      </c>
      <c r="B396" s="1" t="n">
        <v>44753.57703703704</v>
      </c>
      <c r="C396" s="1" t="n">
        <v>46048</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29483-2022</t>
        </is>
      </c>
      <c r="B397" s="1" t="n">
        <v>44753.57829861111</v>
      </c>
      <c r="C397" s="1" t="n">
        <v>46048</v>
      </c>
      <c r="D397" t="inlineStr">
        <is>
          <t>UPPSALA LÄN</t>
        </is>
      </c>
      <c r="E397" t="inlineStr">
        <is>
          <t>ENKÖPING</t>
        </is>
      </c>
      <c r="G397" t="n">
        <v>3.6</v>
      </c>
      <c r="H397" t="n">
        <v>0</v>
      </c>
      <c r="I397" t="n">
        <v>0</v>
      </c>
      <c r="J397" t="n">
        <v>0</v>
      </c>
      <c r="K397" t="n">
        <v>0</v>
      </c>
      <c r="L397" t="n">
        <v>0</v>
      </c>
      <c r="M397" t="n">
        <v>0</v>
      </c>
      <c r="N397" t="n">
        <v>0</v>
      </c>
      <c r="O397" t="n">
        <v>0</v>
      </c>
      <c r="P397" t="n">
        <v>0</v>
      </c>
      <c r="Q397" t="n">
        <v>0</v>
      </c>
      <c r="R397" s="2" t="inlineStr"/>
    </row>
    <row r="398" ht="15" customHeight="1">
      <c r="A398" t="inlineStr">
        <is>
          <t>A 44232-2022</t>
        </is>
      </c>
      <c r="B398" s="1" t="n">
        <v>44839</v>
      </c>
      <c r="C398" s="1" t="n">
        <v>46048</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61106-2022</t>
        </is>
      </c>
      <c r="B399" s="1" t="n">
        <v>44915.4128587963</v>
      </c>
      <c r="C399" s="1" t="n">
        <v>46048</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39624-2023</t>
        </is>
      </c>
      <c r="B400" s="1" t="n">
        <v>45164</v>
      </c>
      <c r="C400" s="1" t="n">
        <v>46048</v>
      </c>
      <c r="D400" t="inlineStr">
        <is>
          <t>UPPSALA LÄN</t>
        </is>
      </c>
      <c r="E400" t="inlineStr">
        <is>
          <t>ENKÖPING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20184-2023</t>
        </is>
      </c>
      <c r="B401" s="1" t="n">
        <v>45055.5670949074</v>
      </c>
      <c r="C401" s="1" t="n">
        <v>46048</v>
      </c>
      <c r="D401" t="inlineStr">
        <is>
          <t>UPPSALA LÄN</t>
        </is>
      </c>
      <c r="E401" t="inlineStr">
        <is>
          <t>ENKÖPING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46048</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39746-2025</t>
        </is>
      </c>
      <c r="B403" s="1" t="n">
        <v>45891</v>
      </c>
      <c r="C403" s="1" t="n">
        <v>46048</v>
      </c>
      <c r="D403" t="inlineStr">
        <is>
          <t>UPPSALA LÄN</t>
        </is>
      </c>
      <c r="E403" t="inlineStr">
        <is>
          <t>ENKÖPING</t>
        </is>
      </c>
      <c r="G403" t="n">
        <v>7.4</v>
      </c>
      <c r="H403" t="n">
        <v>0</v>
      </c>
      <c r="I403" t="n">
        <v>0</v>
      </c>
      <c r="J403" t="n">
        <v>0</v>
      </c>
      <c r="K403" t="n">
        <v>0</v>
      </c>
      <c r="L403" t="n">
        <v>0</v>
      </c>
      <c r="M403" t="n">
        <v>0</v>
      </c>
      <c r="N403" t="n">
        <v>0</v>
      </c>
      <c r="O403" t="n">
        <v>0</v>
      </c>
      <c r="P403" t="n">
        <v>0</v>
      </c>
      <c r="Q403" t="n">
        <v>0</v>
      </c>
      <c r="R403" s="2" t="inlineStr"/>
    </row>
    <row r="404" ht="15" customHeight="1">
      <c r="A404" t="inlineStr">
        <is>
          <t>A 40223-2024</t>
        </is>
      </c>
      <c r="B404" s="1" t="n">
        <v>45554</v>
      </c>
      <c r="C404" s="1" t="n">
        <v>46048</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37035-2023</t>
        </is>
      </c>
      <c r="B405" s="1" t="n">
        <v>45155</v>
      </c>
      <c r="C405" s="1" t="n">
        <v>46048</v>
      </c>
      <c r="D405" t="inlineStr">
        <is>
          <t>UPPSALA LÄN</t>
        </is>
      </c>
      <c r="E405" t="inlineStr">
        <is>
          <t>ENKÖPING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52889-2022</t>
        </is>
      </c>
      <c r="B406" s="1" t="n">
        <v>44875</v>
      </c>
      <c r="C406" s="1" t="n">
        <v>46048</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51030-2024</t>
        </is>
      </c>
      <c r="B407" s="1" t="n">
        <v>45603</v>
      </c>
      <c r="C407" s="1" t="n">
        <v>46048</v>
      </c>
      <c r="D407" t="inlineStr">
        <is>
          <t>UPPSALA LÄN</t>
        </is>
      </c>
      <c r="E407" t="inlineStr">
        <is>
          <t>ENKÖPING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26292-2022</t>
        </is>
      </c>
      <c r="B408" s="1" t="n">
        <v>44735</v>
      </c>
      <c r="C408" s="1" t="n">
        <v>46048</v>
      </c>
      <c r="D408" t="inlineStr">
        <is>
          <t>UPPSALA LÄN</t>
        </is>
      </c>
      <c r="E408" t="inlineStr">
        <is>
          <t>ENKÖPING</t>
        </is>
      </c>
      <c r="F408" t="inlineStr">
        <is>
          <t>Kyrkan</t>
        </is>
      </c>
      <c r="G408" t="n">
        <v>4.6</v>
      </c>
      <c r="H408" t="n">
        <v>0</v>
      </c>
      <c r="I408" t="n">
        <v>0</v>
      </c>
      <c r="J408" t="n">
        <v>0</v>
      </c>
      <c r="K408" t="n">
        <v>0</v>
      </c>
      <c r="L408" t="n">
        <v>0</v>
      </c>
      <c r="M408" t="n">
        <v>0</v>
      </c>
      <c r="N408" t="n">
        <v>0</v>
      </c>
      <c r="O408" t="n">
        <v>0</v>
      </c>
      <c r="P408" t="n">
        <v>0</v>
      </c>
      <c r="Q408" t="n">
        <v>0</v>
      </c>
      <c r="R408" s="2" t="inlineStr"/>
    </row>
    <row r="409" ht="15" customHeight="1">
      <c r="A409" t="inlineStr">
        <is>
          <t>A 4044-2024</t>
        </is>
      </c>
      <c r="B409" s="1" t="n">
        <v>45323.45954861111</v>
      </c>
      <c r="C409" s="1" t="n">
        <v>46048</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33349-2024</t>
        </is>
      </c>
      <c r="B410" s="1" t="n">
        <v>45519</v>
      </c>
      <c r="C410" s="1" t="n">
        <v>46048</v>
      </c>
      <c r="D410" t="inlineStr">
        <is>
          <t>UPPSALA LÄN</t>
        </is>
      </c>
      <c r="E410" t="inlineStr">
        <is>
          <t>ENKÖPING</t>
        </is>
      </c>
      <c r="G410" t="n">
        <v>3.6</v>
      </c>
      <c r="H410" t="n">
        <v>0</v>
      </c>
      <c r="I410" t="n">
        <v>0</v>
      </c>
      <c r="J410" t="n">
        <v>0</v>
      </c>
      <c r="K410" t="n">
        <v>0</v>
      </c>
      <c r="L410" t="n">
        <v>0</v>
      </c>
      <c r="M410" t="n">
        <v>0</v>
      </c>
      <c r="N410" t="n">
        <v>0</v>
      </c>
      <c r="O410" t="n">
        <v>0</v>
      </c>
      <c r="P410" t="n">
        <v>0</v>
      </c>
      <c r="Q410" t="n">
        <v>0</v>
      </c>
      <c r="R410" s="2" t="inlineStr"/>
    </row>
    <row r="411" ht="15" customHeight="1">
      <c r="A411" t="inlineStr">
        <is>
          <t>A 22912-2024</t>
        </is>
      </c>
      <c r="B411" s="1" t="n">
        <v>45448.73118055556</v>
      </c>
      <c r="C411" s="1" t="n">
        <v>46048</v>
      </c>
      <c r="D411" t="inlineStr">
        <is>
          <t>UPPSALA LÄN</t>
        </is>
      </c>
      <c r="E411" t="inlineStr">
        <is>
          <t>ENKÖPING</t>
        </is>
      </c>
      <c r="G411" t="n">
        <v>2.8</v>
      </c>
      <c r="H411" t="n">
        <v>0</v>
      </c>
      <c r="I411" t="n">
        <v>0</v>
      </c>
      <c r="J411" t="n">
        <v>0</v>
      </c>
      <c r="K411" t="n">
        <v>0</v>
      </c>
      <c r="L411" t="n">
        <v>0</v>
      </c>
      <c r="M411" t="n">
        <v>0</v>
      </c>
      <c r="N411" t="n">
        <v>0</v>
      </c>
      <c r="O411" t="n">
        <v>0</v>
      </c>
      <c r="P411" t="n">
        <v>0</v>
      </c>
      <c r="Q411" t="n">
        <v>0</v>
      </c>
      <c r="R411" s="2" t="inlineStr"/>
    </row>
    <row r="412" ht="15" customHeight="1">
      <c r="A412" t="inlineStr">
        <is>
          <t>A 21612-2023</t>
        </is>
      </c>
      <c r="B412" s="1" t="n">
        <v>45063</v>
      </c>
      <c r="C412" s="1" t="n">
        <v>46048</v>
      </c>
      <c r="D412" t="inlineStr">
        <is>
          <t>UPPSALA LÄN</t>
        </is>
      </c>
      <c r="E412" t="inlineStr">
        <is>
          <t>ENKÖPING</t>
        </is>
      </c>
      <c r="F412" t="inlineStr">
        <is>
          <t>Allmännings- och besparingsskogar</t>
        </is>
      </c>
      <c r="G412" t="n">
        <v>1</v>
      </c>
      <c r="H412" t="n">
        <v>0</v>
      </c>
      <c r="I412" t="n">
        <v>0</v>
      </c>
      <c r="J412" t="n">
        <v>0</v>
      </c>
      <c r="K412" t="n">
        <v>0</v>
      </c>
      <c r="L412" t="n">
        <v>0</v>
      </c>
      <c r="M412" t="n">
        <v>0</v>
      </c>
      <c r="N412" t="n">
        <v>0</v>
      </c>
      <c r="O412" t="n">
        <v>0</v>
      </c>
      <c r="P412" t="n">
        <v>0</v>
      </c>
      <c r="Q412" t="n">
        <v>0</v>
      </c>
      <c r="R412" s="2" t="inlineStr"/>
    </row>
    <row r="413" ht="15" customHeight="1">
      <c r="A413" t="inlineStr">
        <is>
          <t>A 41616-2025</t>
        </is>
      </c>
      <c r="B413" s="1" t="n">
        <v>45901.69684027778</v>
      </c>
      <c r="C413" s="1" t="n">
        <v>46048</v>
      </c>
      <c r="D413" t="inlineStr">
        <is>
          <t>UPPSALA LÄN</t>
        </is>
      </c>
      <c r="E413" t="inlineStr">
        <is>
          <t>ENKÖPING</t>
        </is>
      </c>
      <c r="F413" t="inlineStr">
        <is>
          <t>Allmännings- och besparingsskogar</t>
        </is>
      </c>
      <c r="G413" t="n">
        <v>17.3</v>
      </c>
      <c r="H413" t="n">
        <v>0</v>
      </c>
      <c r="I413" t="n">
        <v>0</v>
      </c>
      <c r="J413" t="n">
        <v>0</v>
      </c>
      <c r="K413" t="n">
        <v>0</v>
      </c>
      <c r="L413" t="n">
        <v>0</v>
      </c>
      <c r="M413" t="n">
        <v>0</v>
      </c>
      <c r="N413" t="n">
        <v>0</v>
      </c>
      <c r="O413" t="n">
        <v>0</v>
      </c>
      <c r="P413" t="n">
        <v>0</v>
      </c>
      <c r="Q413" t="n">
        <v>0</v>
      </c>
      <c r="R413" s="2" t="inlineStr"/>
    </row>
    <row r="414" ht="15" customHeight="1">
      <c r="A414" t="inlineStr">
        <is>
          <t>A 14243-2025</t>
        </is>
      </c>
      <c r="B414" s="1" t="n">
        <v>45740.61288194444</v>
      </c>
      <c r="C414" s="1" t="n">
        <v>46048</v>
      </c>
      <c r="D414" t="inlineStr">
        <is>
          <t>UPPSALA LÄN</t>
        </is>
      </c>
      <c r="E414" t="inlineStr">
        <is>
          <t>ENKÖPING</t>
        </is>
      </c>
      <c r="G414" t="n">
        <v>2.2</v>
      </c>
      <c r="H414" t="n">
        <v>0</v>
      </c>
      <c r="I414" t="n">
        <v>0</v>
      </c>
      <c r="J414" t="n">
        <v>0</v>
      </c>
      <c r="K414" t="n">
        <v>0</v>
      </c>
      <c r="L414" t="n">
        <v>0</v>
      </c>
      <c r="M414" t="n">
        <v>0</v>
      </c>
      <c r="N414" t="n">
        <v>0</v>
      </c>
      <c r="O414" t="n">
        <v>0</v>
      </c>
      <c r="P414" t="n">
        <v>0</v>
      </c>
      <c r="Q414" t="n">
        <v>0</v>
      </c>
      <c r="R414" s="2" t="inlineStr"/>
    </row>
    <row r="415" ht="15" customHeight="1">
      <c r="A415" t="inlineStr">
        <is>
          <t>A 33343-2024</t>
        </is>
      </c>
      <c r="B415" s="1" t="n">
        <v>45519</v>
      </c>
      <c r="C415" s="1" t="n">
        <v>46048</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41637-2025</t>
        </is>
      </c>
      <c r="B416" s="1" t="n">
        <v>45901</v>
      </c>
      <c r="C416" s="1" t="n">
        <v>46048</v>
      </c>
      <c r="D416" t="inlineStr">
        <is>
          <t>UPPSALA LÄN</t>
        </is>
      </c>
      <c r="E416" t="inlineStr">
        <is>
          <t>ENKÖPING</t>
        </is>
      </c>
      <c r="F416" t="inlineStr">
        <is>
          <t>Allmännings- och besparingsskogar</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41618-2025</t>
        </is>
      </c>
      <c r="B417" s="1" t="n">
        <v>45901.70085648148</v>
      </c>
      <c r="C417" s="1" t="n">
        <v>46048</v>
      </c>
      <c r="D417" t="inlineStr">
        <is>
          <t>UPPSALA LÄN</t>
        </is>
      </c>
      <c r="E417" t="inlineStr">
        <is>
          <t>ENKÖPING</t>
        </is>
      </c>
      <c r="F417" t="inlineStr">
        <is>
          <t>Allmännings- och besparingsskogar</t>
        </is>
      </c>
      <c r="G417" t="n">
        <v>5.3</v>
      </c>
      <c r="H417" t="n">
        <v>0</v>
      </c>
      <c r="I417" t="n">
        <v>0</v>
      </c>
      <c r="J417" t="n">
        <v>0</v>
      </c>
      <c r="K417" t="n">
        <v>0</v>
      </c>
      <c r="L417" t="n">
        <v>0</v>
      </c>
      <c r="M417" t="n">
        <v>0</v>
      </c>
      <c r="N417" t="n">
        <v>0</v>
      </c>
      <c r="O417" t="n">
        <v>0</v>
      </c>
      <c r="P417" t="n">
        <v>0</v>
      </c>
      <c r="Q417" t="n">
        <v>0</v>
      </c>
      <c r="R417" s="2" t="inlineStr"/>
    </row>
    <row r="418" ht="15" customHeight="1">
      <c r="A418" t="inlineStr">
        <is>
          <t>A 42029-2025</t>
        </is>
      </c>
      <c r="B418" s="1" t="n">
        <v>45903</v>
      </c>
      <c r="C418" s="1" t="n">
        <v>46048</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41765-2025</t>
        </is>
      </c>
      <c r="B419" s="1" t="n">
        <v>45902</v>
      </c>
      <c r="C419" s="1" t="n">
        <v>46048</v>
      </c>
      <c r="D419" t="inlineStr">
        <is>
          <t>UPPSALA LÄN</t>
        </is>
      </c>
      <c r="E419" t="inlineStr">
        <is>
          <t>ENKÖPING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18302-2025</t>
        </is>
      </c>
      <c r="B420" s="1" t="n">
        <v>45762</v>
      </c>
      <c r="C420" s="1" t="n">
        <v>46048</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28243-2023</t>
        </is>
      </c>
      <c r="B421" s="1" t="n">
        <v>45099.58885416666</v>
      </c>
      <c r="C421" s="1" t="n">
        <v>46048</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47516-2022</t>
        </is>
      </c>
      <c r="B422" s="1" t="n">
        <v>44853.68895833333</v>
      </c>
      <c r="C422" s="1" t="n">
        <v>46048</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3235-2025</t>
        </is>
      </c>
      <c r="B423" s="1" t="n">
        <v>45679</v>
      </c>
      <c r="C423" s="1" t="n">
        <v>46048</v>
      </c>
      <c r="D423" t="inlineStr">
        <is>
          <t>UPPSALA LÄN</t>
        </is>
      </c>
      <c r="E423" t="inlineStr">
        <is>
          <t>ENKÖPING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41828-2024</t>
        </is>
      </c>
      <c r="B424" s="1" t="n">
        <v>45561</v>
      </c>
      <c r="C424" s="1" t="n">
        <v>46048</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41764-2025</t>
        </is>
      </c>
      <c r="B425" s="1" t="n">
        <v>45902</v>
      </c>
      <c r="C425" s="1" t="n">
        <v>46048</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1536-2024</t>
        </is>
      </c>
      <c r="B426" s="1" t="n">
        <v>45306</v>
      </c>
      <c r="C426" s="1" t="n">
        <v>46048</v>
      </c>
      <c r="D426" t="inlineStr">
        <is>
          <t>UPPSALA LÄN</t>
        </is>
      </c>
      <c r="E426" t="inlineStr">
        <is>
          <t>ENKÖPING</t>
        </is>
      </c>
      <c r="F426" t="inlineStr">
        <is>
          <t>Kyrkan</t>
        </is>
      </c>
      <c r="G426" t="n">
        <v>5.6</v>
      </c>
      <c r="H426" t="n">
        <v>0</v>
      </c>
      <c r="I426" t="n">
        <v>0</v>
      </c>
      <c r="J426" t="n">
        <v>0</v>
      </c>
      <c r="K426" t="n">
        <v>0</v>
      </c>
      <c r="L426" t="n">
        <v>0</v>
      </c>
      <c r="M426" t="n">
        <v>0</v>
      </c>
      <c r="N426" t="n">
        <v>0</v>
      </c>
      <c r="O426" t="n">
        <v>0</v>
      </c>
      <c r="P426" t="n">
        <v>0</v>
      </c>
      <c r="Q426" t="n">
        <v>0</v>
      </c>
      <c r="R426" s="2" t="inlineStr"/>
    </row>
    <row r="427" ht="15" customHeight="1">
      <c r="A427" t="inlineStr">
        <is>
          <t>A 51042-2024</t>
        </is>
      </c>
      <c r="B427" s="1" t="n">
        <v>45603.4342824074</v>
      </c>
      <c r="C427" s="1" t="n">
        <v>46048</v>
      </c>
      <c r="D427" t="inlineStr">
        <is>
          <t>UPPSALA LÄN</t>
        </is>
      </c>
      <c r="E427" t="inlineStr">
        <is>
          <t>ENKÖPING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51037-2024</t>
        </is>
      </c>
      <c r="B428" s="1" t="n">
        <v>45603.43005787037</v>
      </c>
      <c r="C428" s="1" t="n">
        <v>46048</v>
      </c>
      <c r="D428" t="inlineStr">
        <is>
          <t>UPPSALA LÄN</t>
        </is>
      </c>
      <c r="E428" t="inlineStr">
        <is>
          <t>ENKÖPING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42756-2025</t>
        </is>
      </c>
      <c r="B429" s="1" t="n">
        <v>45908</v>
      </c>
      <c r="C429" s="1" t="n">
        <v>46048</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42564-2024</t>
        </is>
      </c>
      <c r="B430" s="1" t="n">
        <v>45565.63358796296</v>
      </c>
      <c r="C430" s="1" t="n">
        <v>46048</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22632-2025</t>
        </is>
      </c>
      <c r="B431" s="1" t="n">
        <v>45789.44361111111</v>
      </c>
      <c r="C431" s="1" t="n">
        <v>46048</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46048</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6626-2023</t>
        </is>
      </c>
      <c r="B433" s="1" t="n">
        <v>44966.55946759259</v>
      </c>
      <c r="C433" s="1" t="n">
        <v>46048</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51027-2024</t>
        </is>
      </c>
      <c r="B434" s="1" t="n">
        <v>45603</v>
      </c>
      <c r="C434" s="1" t="n">
        <v>46048</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43999-2025</t>
        </is>
      </c>
      <c r="B435" s="1" t="n">
        <v>45915.45158564814</v>
      </c>
      <c r="C435" s="1" t="n">
        <v>46048</v>
      </c>
      <c r="D435" t="inlineStr">
        <is>
          <t>UPPSALA LÄN</t>
        </is>
      </c>
      <c r="E435" t="inlineStr">
        <is>
          <t>ENKÖPING</t>
        </is>
      </c>
      <c r="G435" t="n">
        <v>4.1</v>
      </c>
      <c r="H435" t="n">
        <v>0</v>
      </c>
      <c r="I435" t="n">
        <v>0</v>
      </c>
      <c r="J435" t="n">
        <v>0</v>
      </c>
      <c r="K435" t="n">
        <v>0</v>
      </c>
      <c r="L435" t="n">
        <v>0</v>
      </c>
      <c r="M435" t="n">
        <v>0</v>
      </c>
      <c r="N435" t="n">
        <v>0</v>
      </c>
      <c r="O435" t="n">
        <v>0</v>
      </c>
      <c r="P435" t="n">
        <v>0</v>
      </c>
      <c r="Q435" t="n">
        <v>0</v>
      </c>
      <c r="R435" s="2" t="inlineStr"/>
    </row>
    <row r="436" ht="15" customHeight="1">
      <c r="A436" t="inlineStr">
        <is>
          <t>A 17165-2025</t>
        </is>
      </c>
      <c r="B436" s="1" t="n">
        <v>45756</v>
      </c>
      <c r="C436" s="1" t="n">
        <v>46048</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5013-2025</t>
        </is>
      </c>
      <c r="B437" s="1" t="n">
        <v>45691</v>
      </c>
      <c r="C437" s="1" t="n">
        <v>46048</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44419-2025</t>
        </is>
      </c>
      <c r="B438" s="1" t="n">
        <v>45916.54671296296</v>
      </c>
      <c r="C438" s="1" t="n">
        <v>46048</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37170-2021</t>
        </is>
      </c>
      <c r="B439" s="1" t="n">
        <v>44395</v>
      </c>
      <c r="C439" s="1" t="n">
        <v>46048</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32477-2025</t>
        </is>
      </c>
      <c r="B440" s="1" t="n">
        <v>45838.43098379629</v>
      </c>
      <c r="C440" s="1" t="n">
        <v>46048</v>
      </c>
      <c r="D440" t="inlineStr">
        <is>
          <t>UPPSALA LÄN</t>
        </is>
      </c>
      <c r="E440" t="inlineStr">
        <is>
          <t>ENKÖPING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58147-2024</t>
        </is>
      </c>
      <c r="B441" s="1" t="n">
        <v>45632.4334375</v>
      </c>
      <c r="C441" s="1" t="n">
        <v>46048</v>
      </c>
      <c r="D441" t="inlineStr">
        <is>
          <t>UPPSALA LÄN</t>
        </is>
      </c>
      <c r="E441" t="inlineStr">
        <is>
          <t>ENKÖPING</t>
        </is>
      </c>
      <c r="G441" t="n">
        <v>3</v>
      </c>
      <c r="H441" t="n">
        <v>0</v>
      </c>
      <c r="I441" t="n">
        <v>0</v>
      </c>
      <c r="J441" t="n">
        <v>0</v>
      </c>
      <c r="K441" t="n">
        <v>0</v>
      </c>
      <c r="L441" t="n">
        <v>0</v>
      </c>
      <c r="M441" t="n">
        <v>0</v>
      </c>
      <c r="N441" t="n">
        <v>0</v>
      </c>
      <c r="O441" t="n">
        <v>0</v>
      </c>
      <c r="P441" t="n">
        <v>0</v>
      </c>
      <c r="Q441" t="n">
        <v>0</v>
      </c>
      <c r="R441" s="2" t="inlineStr"/>
    </row>
    <row r="442" ht="15" customHeight="1">
      <c r="A442" t="inlineStr">
        <is>
          <t>A 3550-2023</t>
        </is>
      </c>
      <c r="B442" s="1" t="n">
        <v>44950</v>
      </c>
      <c r="C442" s="1" t="n">
        <v>46048</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19014-2025</t>
        </is>
      </c>
      <c r="B443" s="1" t="n">
        <v>45764.59631944444</v>
      </c>
      <c r="C443" s="1" t="n">
        <v>46048</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45755-2025</t>
        </is>
      </c>
      <c r="B444" s="1" t="n">
        <v>45923.50240740741</v>
      </c>
      <c r="C444" s="1" t="n">
        <v>46048</v>
      </c>
      <c r="D444" t="inlineStr">
        <is>
          <t>UPPSALA LÄN</t>
        </is>
      </c>
      <c r="E444" t="inlineStr">
        <is>
          <t>ENKÖPING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34989-2025</t>
        </is>
      </c>
      <c r="B445" s="1" t="n">
        <v>45849</v>
      </c>
      <c r="C445" s="1" t="n">
        <v>46048</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12958-2024</t>
        </is>
      </c>
      <c r="B446" s="1" t="n">
        <v>45385</v>
      </c>
      <c r="C446" s="1" t="n">
        <v>46048</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34990-2025</t>
        </is>
      </c>
      <c r="B447" s="1" t="n">
        <v>45849.78916666667</v>
      </c>
      <c r="C447" s="1" t="n">
        <v>46048</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1651-2024</t>
        </is>
      </c>
      <c r="B448" s="1" t="n">
        <v>45306.73770833333</v>
      </c>
      <c r="C448" s="1" t="n">
        <v>46048</v>
      </c>
      <c r="D448" t="inlineStr">
        <is>
          <t>UPPSALA LÄN</t>
        </is>
      </c>
      <c r="E448" t="inlineStr">
        <is>
          <t>ENKÖPING</t>
        </is>
      </c>
      <c r="G448" t="n">
        <v>10.2</v>
      </c>
      <c r="H448" t="n">
        <v>0</v>
      </c>
      <c r="I448" t="n">
        <v>0</v>
      </c>
      <c r="J448" t="n">
        <v>0</v>
      </c>
      <c r="K448" t="n">
        <v>0</v>
      </c>
      <c r="L448" t="n">
        <v>0</v>
      </c>
      <c r="M448" t="n">
        <v>0</v>
      </c>
      <c r="N448" t="n">
        <v>0</v>
      </c>
      <c r="O448" t="n">
        <v>0</v>
      </c>
      <c r="P448" t="n">
        <v>0</v>
      </c>
      <c r="Q448" t="n">
        <v>0</v>
      </c>
      <c r="R448" s="2" t="inlineStr"/>
    </row>
    <row r="449" ht="15" customHeight="1">
      <c r="A449" t="inlineStr">
        <is>
          <t>A 51012-2024</t>
        </is>
      </c>
      <c r="B449" s="1" t="n">
        <v>45603.39686342593</v>
      </c>
      <c r="C449" s="1" t="n">
        <v>46048</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46940-2025</t>
        </is>
      </c>
      <c r="B450" s="1" t="n">
        <v>45929.45483796296</v>
      </c>
      <c r="C450" s="1" t="n">
        <v>46048</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57940-2022</t>
        </is>
      </c>
      <c r="B451" s="1" t="n">
        <v>44900</v>
      </c>
      <c r="C451" s="1" t="n">
        <v>46048</v>
      </c>
      <c r="D451" t="inlineStr">
        <is>
          <t>UPPSALA LÄN</t>
        </is>
      </c>
      <c r="E451" t="inlineStr">
        <is>
          <t>ENKÖPING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46590-2025</t>
        </is>
      </c>
      <c r="B452" s="1" t="n">
        <v>45926.39542824074</v>
      </c>
      <c r="C452" s="1" t="n">
        <v>46048</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63310-2021</t>
        </is>
      </c>
      <c r="B453" s="1" t="n">
        <v>44508</v>
      </c>
      <c r="C453" s="1" t="n">
        <v>46048</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47441-2025</t>
        </is>
      </c>
      <c r="B454" s="1" t="n">
        <v>45930.63986111111</v>
      </c>
      <c r="C454" s="1" t="n">
        <v>46048</v>
      </c>
      <c r="D454" t="inlineStr">
        <is>
          <t>UPPSALA LÄN</t>
        </is>
      </c>
      <c r="E454" t="inlineStr">
        <is>
          <t>ENKÖPING</t>
        </is>
      </c>
      <c r="F454" t="inlineStr">
        <is>
          <t>Allmännings- och besparingsskogar</t>
        </is>
      </c>
      <c r="G454" t="n">
        <v>11.5</v>
      </c>
      <c r="H454" t="n">
        <v>0</v>
      </c>
      <c r="I454" t="n">
        <v>0</v>
      </c>
      <c r="J454" t="n">
        <v>0</v>
      </c>
      <c r="K454" t="n">
        <v>0</v>
      </c>
      <c r="L454" t="n">
        <v>0</v>
      </c>
      <c r="M454" t="n">
        <v>0</v>
      </c>
      <c r="N454" t="n">
        <v>0</v>
      </c>
      <c r="O454" t="n">
        <v>0</v>
      </c>
      <c r="P454" t="n">
        <v>0</v>
      </c>
      <c r="Q454" t="n">
        <v>0</v>
      </c>
      <c r="R454" s="2" t="inlineStr"/>
    </row>
    <row r="455" ht="15" customHeight="1">
      <c r="A455" t="inlineStr">
        <is>
          <t>A 20440-2025</t>
        </is>
      </c>
      <c r="B455" s="1" t="n">
        <v>45775</v>
      </c>
      <c r="C455" s="1" t="n">
        <v>46048</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46048</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5188-2022</t>
        </is>
      </c>
      <c r="B457" s="1" t="n">
        <v>44594.4471412037</v>
      </c>
      <c r="C457" s="1" t="n">
        <v>46048</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46048</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12102-2024</t>
        </is>
      </c>
      <c r="B459" s="1" t="n">
        <v>45377</v>
      </c>
      <c r="C459" s="1" t="n">
        <v>46048</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59602-2024</t>
        </is>
      </c>
      <c r="B460" s="1" t="n">
        <v>45638</v>
      </c>
      <c r="C460" s="1" t="n">
        <v>46048</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39439-2025</t>
        </is>
      </c>
      <c r="B461" s="1" t="n">
        <v>45889</v>
      </c>
      <c r="C461" s="1" t="n">
        <v>46048</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48678-2025</t>
        </is>
      </c>
      <c r="B462" s="1" t="n">
        <v>45936.59168981481</v>
      </c>
      <c r="C462" s="1" t="n">
        <v>46048</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48423-2025</t>
        </is>
      </c>
      <c r="B463" s="1" t="n">
        <v>45934.68024305555</v>
      </c>
      <c r="C463" s="1" t="n">
        <v>46048</v>
      </c>
      <c r="D463" t="inlineStr">
        <is>
          <t>UPPSALA LÄN</t>
        </is>
      </c>
      <c r="E463" t="inlineStr">
        <is>
          <t>ENKÖPING</t>
        </is>
      </c>
      <c r="G463" t="n">
        <v>4.3</v>
      </c>
      <c r="H463" t="n">
        <v>0</v>
      </c>
      <c r="I463" t="n">
        <v>0</v>
      </c>
      <c r="J463" t="n">
        <v>0</v>
      </c>
      <c r="K463" t="n">
        <v>0</v>
      </c>
      <c r="L463" t="n">
        <v>0</v>
      </c>
      <c r="M463" t="n">
        <v>0</v>
      </c>
      <c r="N463" t="n">
        <v>0</v>
      </c>
      <c r="O463" t="n">
        <v>0</v>
      </c>
      <c r="P463" t="n">
        <v>0</v>
      </c>
      <c r="Q463" t="n">
        <v>0</v>
      </c>
      <c r="R463" s="2" t="inlineStr"/>
    </row>
    <row r="464" ht="15" customHeight="1">
      <c r="A464" t="inlineStr">
        <is>
          <t>A 48424-2025</t>
        </is>
      </c>
      <c r="B464" s="1" t="n">
        <v>45934.69131944444</v>
      </c>
      <c r="C464" s="1" t="n">
        <v>46048</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49073-2025</t>
        </is>
      </c>
      <c r="B465" s="1" t="n">
        <v>45937.65512731481</v>
      </c>
      <c r="C465" s="1" t="n">
        <v>46048</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43103-2025</t>
        </is>
      </c>
      <c r="B466" s="1" t="n">
        <v>45909</v>
      </c>
      <c r="C466" s="1" t="n">
        <v>46048</v>
      </c>
      <c r="D466" t="inlineStr">
        <is>
          <t>UPPSALA LÄN</t>
        </is>
      </c>
      <c r="E466" t="inlineStr">
        <is>
          <t>ENKÖPING</t>
        </is>
      </c>
      <c r="G466" t="n">
        <v>2.3</v>
      </c>
      <c r="H466" t="n">
        <v>0</v>
      </c>
      <c r="I466" t="n">
        <v>0</v>
      </c>
      <c r="J466" t="n">
        <v>0</v>
      </c>
      <c r="K466" t="n">
        <v>0</v>
      </c>
      <c r="L466" t="n">
        <v>0</v>
      </c>
      <c r="M466" t="n">
        <v>0</v>
      </c>
      <c r="N466" t="n">
        <v>0</v>
      </c>
      <c r="O466" t="n">
        <v>0</v>
      </c>
      <c r="P466" t="n">
        <v>0</v>
      </c>
      <c r="Q466" t="n">
        <v>0</v>
      </c>
      <c r="R466" s="2" t="inlineStr"/>
    </row>
    <row r="467" ht="15" customHeight="1">
      <c r="A467" t="inlineStr">
        <is>
          <t>A 49068-2025</t>
        </is>
      </c>
      <c r="B467" s="1" t="n">
        <v>45937.64766203704</v>
      </c>
      <c r="C467" s="1" t="n">
        <v>46048</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51162-2025</t>
        </is>
      </c>
      <c r="B468" s="1" t="n">
        <v>45947.58820601852</v>
      </c>
      <c r="C468" s="1" t="n">
        <v>46048</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51133-2025</t>
        </is>
      </c>
      <c r="B469" s="1" t="n">
        <v>45947.55598379629</v>
      </c>
      <c r="C469" s="1" t="n">
        <v>46048</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26017-2025</t>
        </is>
      </c>
      <c r="B470" s="1" t="n">
        <v>45804</v>
      </c>
      <c r="C470" s="1" t="n">
        <v>46048</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26011-2025</t>
        </is>
      </c>
      <c r="B471" s="1" t="n">
        <v>45804.67412037037</v>
      </c>
      <c r="C471" s="1" t="n">
        <v>46048</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2850-2025</t>
        </is>
      </c>
      <c r="B472" s="1" t="n">
        <v>45677</v>
      </c>
      <c r="C472" s="1" t="n">
        <v>46048</v>
      </c>
      <c r="D472" t="inlineStr">
        <is>
          <t>UPPSALA LÄN</t>
        </is>
      </c>
      <c r="E472" t="inlineStr">
        <is>
          <t>ENKÖPING</t>
        </is>
      </c>
      <c r="G472" t="n">
        <v>0.3</v>
      </c>
      <c r="H472" t="n">
        <v>0</v>
      </c>
      <c r="I472" t="n">
        <v>0</v>
      </c>
      <c r="J472" t="n">
        <v>0</v>
      </c>
      <c r="K472" t="n">
        <v>0</v>
      </c>
      <c r="L472" t="n">
        <v>0</v>
      </c>
      <c r="M472" t="n">
        <v>0</v>
      </c>
      <c r="N472" t="n">
        <v>0</v>
      </c>
      <c r="O472" t="n">
        <v>0</v>
      </c>
      <c r="P472" t="n">
        <v>0</v>
      </c>
      <c r="Q472" t="n">
        <v>0</v>
      </c>
      <c r="R472" s="2" t="inlineStr"/>
    </row>
    <row r="473" ht="15" customHeight="1">
      <c r="A473" t="inlineStr">
        <is>
          <t>A 54541-2025</t>
        </is>
      </c>
      <c r="B473" s="1" t="n">
        <v>45965.64733796296</v>
      </c>
      <c r="C473" s="1" t="n">
        <v>46048</v>
      </c>
      <c r="D473" t="inlineStr">
        <is>
          <t>UPPSALA LÄN</t>
        </is>
      </c>
      <c r="E473" t="inlineStr">
        <is>
          <t>ENKÖPING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54263-2025</t>
        </is>
      </c>
      <c r="B474" s="1" t="n">
        <v>45964.66271990741</v>
      </c>
      <c r="C474" s="1" t="n">
        <v>46048</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62601-2025</t>
        </is>
      </c>
      <c r="B475" s="1" t="n">
        <v>46007.92395833333</v>
      </c>
      <c r="C475" s="1" t="n">
        <v>46048</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54844-2025</t>
        </is>
      </c>
      <c r="B476" s="1" t="n">
        <v>45966.69570601852</v>
      </c>
      <c r="C476" s="1" t="n">
        <v>46048</v>
      </c>
      <c r="D476" t="inlineStr">
        <is>
          <t>UPPSALA LÄN</t>
        </is>
      </c>
      <c r="E476" t="inlineStr">
        <is>
          <t>ENKÖPING</t>
        </is>
      </c>
      <c r="G476" t="n">
        <v>5.5</v>
      </c>
      <c r="H476" t="n">
        <v>0</v>
      </c>
      <c r="I476" t="n">
        <v>0</v>
      </c>
      <c r="J476" t="n">
        <v>0</v>
      </c>
      <c r="K476" t="n">
        <v>0</v>
      </c>
      <c r="L476" t="n">
        <v>0</v>
      </c>
      <c r="M476" t="n">
        <v>0</v>
      </c>
      <c r="N476" t="n">
        <v>0</v>
      </c>
      <c r="O476" t="n">
        <v>0</v>
      </c>
      <c r="P476" t="n">
        <v>0</v>
      </c>
      <c r="Q476" t="n">
        <v>0</v>
      </c>
      <c r="R476" s="2" t="inlineStr"/>
    </row>
    <row r="477" ht="15" customHeight="1">
      <c r="A477" t="inlineStr">
        <is>
          <t>A 54758-2025</t>
        </is>
      </c>
      <c r="B477" s="1" t="n">
        <v>45966.59737268519</v>
      </c>
      <c r="C477" s="1" t="n">
        <v>46048</v>
      </c>
      <c r="D477" t="inlineStr">
        <is>
          <t>UPPSALA LÄN</t>
        </is>
      </c>
      <c r="E477" t="inlineStr">
        <is>
          <t>ENKÖPING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62772-2025</t>
        </is>
      </c>
      <c r="B478" s="1" t="n">
        <v>46008.60365740741</v>
      </c>
      <c r="C478" s="1" t="n">
        <v>46048</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62599-2025</t>
        </is>
      </c>
      <c r="B479" s="1" t="n">
        <v>46007.91961805556</v>
      </c>
      <c r="C479" s="1" t="n">
        <v>46048</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62600-2025</t>
        </is>
      </c>
      <c r="B480" s="1" t="n">
        <v>46007.92175925926</v>
      </c>
      <c r="C480" s="1" t="n">
        <v>46048</v>
      </c>
      <c r="D480" t="inlineStr">
        <is>
          <t>UPPSALA LÄN</t>
        </is>
      </c>
      <c r="E480" t="inlineStr">
        <is>
          <t>ENKÖPING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62602-2025</t>
        </is>
      </c>
      <c r="B481" s="1" t="n">
        <v>46007.92581018519</v>
      </c>
      <c r="C481" s="1" t="n">
        <v>46048</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55567-2025</t>
        </is>
      </c>
      <c r="B482" s="1" t="n">
        <v>45971.65589120371</v>
      </c>
      <c r="C482" s="1" t="n">
        <v>46048</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56625-2025</t>
        </is>
      </c>
      <c r="B483" s="1" t="n">
        <v>45975.60608796297</v>
      </c>
      <c r="C483" s="1" t="n">
        <v>46048</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57294-2025</t>
        </is>
      </c>
      <c r="B484" s="1" t="n">
        <v>45979</v>
      </c>
      <c r="C484" s="1" t="n">
        <v>46048</v>
      </c>
      <c r="D484" t="inlineStr">
        <is>
          <t>UPPSALA LÄN</t>
        </is>
      </c>
      <c r="E484" t="inlineStr">
        <is>
          <t>ENKÖPING</t>
        </is>
      </c>
      <c r="G484" t="n">
        <v>6.2</v>
      </c>
      <c r="H484" t="n">
        <v>0</v>
      </c>
      <c r="I484" t="n">
        <v>0</v>
      </c>
      <c r="J484" t="n">
        <v>0</v>
      </c>
      <c r="K484" t="n">
        <v>0</v>
      </c>
      <c r="L484" t="n">
        <v>0</v>
      </c>
      <c r="M484" t="n">
        <v>0</v>
      </c>
      <c r="N484" t="n">
        <v>0</v>
      </c>
      <c r="O484" t="n">
        <v>0</v>
      </c>
      <c r="P484" t="n">
        <v>0</v>
      </c>
      <c r="Q484" t="n">
        <v>0</v>
      </c>
      <c r="R484" s="2" t="inlineStr"/>
    </row>
    <row r="485" ht="15" customHeight="1">
      <c r="A485" t="inlineStr">
        <is>
          <t>A 58025-2025</t>
        </is>
      </c>
      <c r="B485" s="1" t="n">
        <v>45982</v>
      </c>
      <c r="C485" s="1" t="n">
        <v>46048</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57188-2025</t>
        </is>
      </c>
      <c r="B486" s="1" t="n">
        <v>45979</v>
      </c>
      <c r="C486" s="1" t="n">
        <v>46048</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63128-2025</t>
        </is>
      </c>
      <c r="B487" s="1" t="n">
        <v>46009</v>
      </c>
      <c r="C487" s="1" t="n">
        <v>46048</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60848-2025</t>
        </is>
      </c>
      <c r="B488" s="1" t="n">
        <v>45999</v>
      </c>
      <c r="C488" s="1" t="n">
        <v>46048</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861-2026</t>
        </is>
      </c>
      <c r="B489" s="1" t="n">
        <v>46030</v>
      </c>
      <c r="C489" s="1" t="n">
        <v>46048</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59668-2025</t>
        </is>
      </c>
      <c r="B490" s="1" t="n">
        <v>45992.45567129629</v>
      </c>
      <c r="C490" s="1" t="n">
        <v>46048</v>
      </c>
      <c r="D490" t="inlineStr">
        <is>
          <t>UPPSALA LÄN</t>
        </is>
      </c>
      <c r="E490" t="inlineStr">
        <is>
          <t>ENKÖPING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59964-2025</t>
        </is>
      </c>
      <c r="B491" s="1" t="n">
        <v>45993.48043981481</v>
      </c>
      <c r="C491" s="1" t="n">
        <v>46048</v>
      </c>
      <c r="D491" t="inlineStr">
        <is>
          <t>UPPSALA LÄN</t>
        </is>
      </c>
      <c r="E491" t="inlineStr">
        <is>
          <t>ENKÖPING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60340-2025</t>
        </is>
      </c>
      <c r="B492" s="1" t="n">
        <v>45994.83415509259</v>
      </c>
      <c r="C492" s="1" t="n">
        <v>46048</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60174-2025</t>
        </is>
      </c>
      <c r="B493" s="1" t="n">
        <v>45994.45039351852</v>
      </c>
      <c r="C493" s="1" t="n">
        <v>46048</v>
      </c>
      <c r="D493" t="inlineStr">
        <is>
          <t>UPPSALA LÄN</t>
        </is>
      </c>
      <c r="E493" t="inlineStr">
        <is>
          <t>ENKÖPING</t>
        </is>
      </c>
      <c r="G493" t="n">
        <v>2.8</v>
      </c>
      <c r="H493" t="n">
        <v>0</v>
      </c>
      <c r="I493" t="n">
        <v>0</v>
      </c>
      <c r="J493" t="n">
        <v>0</v>
      </c>
      <c r="K493" t="n">
        <v>0</v>
      </c>
      <c r="L493" t="n">
        <v>0</v>
      </c>
      <c r="M493" t="n">
        <v>0</v>
      </c>
      <c r="N493" t="n">
        <v>0</v>
      </c>
      <c r="O493" t="n">
        <v>0</v>
      </c>
      <c r="P493" t="n">
        <v>0</v>
      </c>
      <c r="Q493" t="n">
        <v>0</v>
      </c>
      <c r="R493" s="2" t="inlineStr"/>
    </row>
    <row r="494" ht="15" customHeight="1">
      <c r="A494" t="inlineStr">
        <is>
          <t>A 2218-2026</t>
        </is>
      </c>
      <c r="B494" s="1" t="n">
        <v>46036.50010416667</v>
      </c>
      <c r="C494" s="1" t="n">
        <v>46048</v>
      </c>
      <c r="D494" t="inlineStr">
        <is>
          <t>UPPSALA LÄN</t>
        </is>
      </c>
      <c r="E494" t="inlineStr">
        <is>
          <t>ENKÖPING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60175-2025</t>
        </is>
      </c>
      <c r="B495" s="1" t="n">
        <v>45994.45378472222</v>
      </c>
      <c r="C495" s="1" t="n">
        <v>46048</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2258-2026</t>
        </is>
      </c>
      <c r="B496" s="1" t="n">
        <v>46036.56525462963</v>
      </c>
      <c r="C496" s="1" t="n">
        <v>46048</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60947-2025</t>
        </is>
      </c>
      <c r="B497" s="1" t="n">
        <v>45999</v>
      </c>
      <c r="C497" s="1" t="n">
        <v>46048</v>
      </c>
      <c r="D497" t="inlineStr">
        <is>
          <t>UPPSALA LÄN</t>
        </is>
      </c>
      <c r="E497" t="inlineStr">
        <is>
          <t>ENKÖPING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60934-2025</t>
        </is>
      </c>
      <c r="B498" s="1" t="n">
        <v>45999</v>
      </c>
      <c r="C498" s="1" t="n">
        <v>46048</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61437-2025</t>
        </is>
      </c>
      <c r="B499" s="1" t="n">
        <v>46001.5659375</v>
      </c>
      <c r="C499" s="1" t="n">
        <v>46048</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192-2026</t>
        </is>
      </c>
      <c r="B500" s="1" t="n">
        <v>46025</v>
      </c>
      <c r="C500" s="1" t="n">
        <v>46048</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29477-2025</t>
        </is>
      </c>
      <c r="B501" s="1" t="n">
        <v>45824.71537037037</v>
      </c>
      <c r="C501" s="1" t="n">
        <v>46048</v>
      </c>
      <c r="D501" t="inlineStr">
        <is>
          <t>UPPSALA LÄN</t>
        </is>
      </c>
      <c r="E501" t="inlineStr">
        <is>
          <t>ENKÖPING</t>
        </is>
      </c>
      <c r="G501" t="n">
        <v>13.4</v>
      </c>
      <c r="H501" t="n">
        <v>0</v>
      </c>
      <c r="I501" t="n">
        <v>0</v>
      </c>
      <c r="J501" t="n">
        <v>0</v>
      </c>
      <c r="K501" t="n">
        <v>0</v>
      </c>
      <c r="L501" t="n">
        <v>0</v>
      </c>
      <c r="M501" t="n">
        <v>0</v>
      </c>
      <c r="N501" t="n">
        <v>0</v>
      </c>
      <c r="O501" t="n">
        <v>0</v>
      </c>
      <c r="P501" t="n">
        <v>0</v>
      </c>
      <c r="Q501" t="n">
        <v>0</v>
      </c>
      <c r="R501" s="2" t="inlineStr"/>
    </row>
    <row r="502" ht="15" customHeight="1">
      <c r="A502" t="inlineStr">
        <is>
          <t>A 61778-2025</t>
        </is>
      </c>
      <c r="B502" s="1" t="n">
        <v>46002.66555555556</v>
      </c>
      <c r="C502" s="1" t="n">
        <v>46048</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61811-2025</t>
        </is>
      </c>
      <c r="B503" s="1" t="n">
        <v>46002.90059027778</v>
      </c>
      <c r="C503" s="1" t="n">
        <v>46048</v>
      </c>
      <c r="D503" t="inlineStr">
        <is>
          <t>UPPSALA LÄN</t>
        </is>
      </c>
      <c r="E503" t="inlineStr">
        <is>
          <t>ENKÖPING</t>
        </is>
      </c>
      <c r="F503" t="inlineStr">
        <is>
          <t>Allmännings- och besparingsskogar</t>
        </is>
      </c>
      <c r="G503" t="n">
        <v>4.7</v>
      </c>
      <c r="H503" t="n">
        <v>0</v>
      </c>
      <c r="I503" t="n">
        <v>0</v>
      </c>
      <c r="J503" t="n">
        <v>0</v>
      </c>
      <c r="K503" t="n">
        <v>0</v>
      </c>
      <c r="L503" t="n">
        <v>0</v>
      </c>
      <c r="M503" t="n">
        <v>0</v>
      </c>
      <c r="N503" t="n">
        <v>0</v>
      </c>
      <c r="O503" t="n">
        <v>0</v>
      </c>
      <c r="P503" t="n">
        <v>0</v>
      </c>
      <c r="Q503" t="n">
        <v>0</v>
      </c>
      <c r="R503" s="2" t="inlineStr"/>
    </row>
    <row r="504" ht="15" customHeight="1">
      <c r="A504" t="inlineStr">
        <is>
          <t>A 38941-2025</t>
        </is>
      </c>
      <c r="B504" s="1" t="n">
        <v>45887</v>
      </c>
      <c r="C504" s="1" t="n">
        <v>46048</v>
      </c>
      <c r="D504" t="inlineStr">
        <is>
          <t>UPPSALA LÄN</t>
        </is>
      </c>
      <c r="E504" t="inlineStr">
        <is>
          <t>ENKÖPING</t>
        </is>
      </c>
      <c r="F504" t="inlineStr">
        <is>
          <t>Övriga statliga verk och myndigheter</t>
        </is>
      </c>
      <c r="G504" t="n">
        <v>0.6</v>
      </c>
      <c r="H504" t="n">
        <v>0</v>
      </c>
      <c r="I504" t="n">
        <v>0</v>
      </c>
      <c r="J504" t="n">
        <v>0</v>
      </c>
      <c r="K504" t="n">
        <v>0</v>
      </c>
      <c r="L504" t="n">
        <v>0</v>
      </c>
      <c r="M504" t="n">
        <v>0</v>
      </c>
      <c r="N504" t="n">
        <v>0</v>
      </c>
      <c r="O504" t="n">
        <v>0</v>
      </c>
      <c r="P504" t="n">
        <v>0</v>
      </c>
      <c r="Q504" t="n">
        <v>0</v>
      </c>
      <c r="R504" s="2" t="inlineStr"/>
    </row>
    <row r="505">
      <c r="A505" t="inlineStr">
        <is>
          <t>A 61889-2025</t>
        </is>
      </c>
      <c r="B505" s="1" t="n">
        <v>46003.44765046296</v>
      </c>
      <c r="C505" s="1" t="n">
        <v>46048</v>
      </c>
      <c r="D505" t="inlineStr">
        <is>
          <t>UPPSALA LÄN</t>
        </is>
      </c>
      <c r="E505" t="inlineStr">
        <is>
          <t>ENKÖPING</t>
        </is>
      </c>
      <c r="G505" t="n">
        <v>2.3</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2026-01-26T11:07:39Z</dcterms:created>
  <dcterms:modified xmlns:dcterms="http://purl.org/dc/terms/" xmlns:xsi="http://www.w3.org/2001/XMLSchema-instance" xsi:type="dcterms:W3CDTF">2026-01-26T11:07:39Z</dcterms:modified>
</cp:coreProperties>
</file>