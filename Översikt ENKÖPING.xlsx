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45725</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45725</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45725</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45725</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45725</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45725</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45725</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45725</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45725</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45725</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45725</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45725</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45725</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45725</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45725</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45725</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45725</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45725</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45725</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45725</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45725</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45725</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45725</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45725</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45725</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45725</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45725</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45725</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45725</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45725</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45725</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45725</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45725</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45725</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45725</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45725</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45725</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45725</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45725</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45725</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45725</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45725</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45725</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10671-2025</t>
        </is>
      </c>
      <c r="B59" s="1" t="n">
        <v>45721</v>
      </c>
      <c r="C59" s="1" t="n">
        <v>45725</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HYPERLINK("https://klasma.github.io/Logging_0381/artfynd/A 10671-2025 artfynd.xlsx", "A 10671-2025")</f>
        <v/>
      </c>
      <c r="T59">
        <f>HYPERLINK("https://klasma.github.io/Logging_0381/kartor/A 10671-2025 karta.png", "A 10671-2025")</f>
        <v/>
      </c>
      <c r="V59">
        <f>HYPERLINK("https://klasma.github.io/Logging_0381/klagomål/A 10671-2025 FSC-klagomål.docx", "A 10671-2025")</f>
        <v/>
      </c>
      <c r="W59">
        <f>HYPERLINK("https://klasma.github.io/Logging_0381/klagomålsmail/A 10671-2025 FSC-klagomål mail.docx", "A 10671-2025")</f>
        <v/>
      </c>
      <c r="X59">
        <f>HYPERLINK("https://klasma.github.io/Logging_0381/tillsyn/A 10671-2025 tillsynsbegäran.docx", "A 10671-2025")</f>
        <v/>
      </c>
      <c r="Y59">
        <f>HYPERLINK("https://klasma.github.io/Logging_0381/tillsynsmail/A 10671-2025 tillsynsbegäran mail.docx", "A 10671-2025")</f>
        <v/>
      </c>
    </row>
    <row r="60" ht="15" customHeight="1">
      <c r="A60" t="inlineStr">
        <is>
          <t>A 11018-2025</t>
        </is>
      </c>
      <c r="B60" s="1" t="n">
        <v>45723</v>
      </c>
      <c r="C60" s="1" t="n">
        <v>45725</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11015-2025</t>
        </is>
      </c>
      <c r="B61" s="1" t="n">
        <v>45723</v>
      </c>
      <c r="C61" s="1" t="n">
        <v>45725</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HYPERLINK("https://klasma.github.io/Logging_0381/artfynd/A 11015-2025 artfynd.xlsx", "A 11015-2025")</f>
        <v/>
      </c>
      <c r="T61">
        <f>HYPERLINK("https://klasma.github.io/Logging_0381/kartor/A 11015-2025 karta.png", "A 11015-2025")</f>
        <v/>
      </c>
      <c r="V61">
        <f>HYPERLINK("https://klasma.github.io/Logging_0381/klagomål/A 11015-2025 FSC-klagomål.docx", "A 11015-2025")</f>
        <v/>
      </c>
      <c r="W61">
        <f>HYPERLINK("https://klasma.github.io/Logging_0381/klagomålsmail/A 11015-2025 FSC-klagomål mail.docx", "A 11015-2025")</f>
        <v/>
      </c>
      <c r="X61">
        <f>HYPERLINK("https://klasma.github.io/Logging_0381/tillsyn/A 11015-2025 tillsynsbegäran.docx", "A 11015-2025")</f>
        <v/>
      </c>
      <c r="Y61">
        <f>HYPERLINK("https://klasma.github.io/Logging_0381/tillsynsmail/A 11015-2025 tillsynsbegäran mail.docx", "A 11015-2025")</f>
        <v/>
      </c>
    </row>
    <row r="62" ht="15" customHeight="1">
      <c r="A62" t="inlineStr">
        <is>
          <t>A 18148-2019</t>
        </is>
      </c>
      <c r="B62" s="1" t="n">
        <v>43558</v>
      </c>
      <c r="C62" s="1" t="n">
        <v>45725</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45725</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45725</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45725</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45725</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45725</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45725</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45725</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45725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45725</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45725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45725</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45725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45725</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45725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45725</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45725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45725</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45725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45725</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45725</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45725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45725</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45725</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45725</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45725</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45725</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45725</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45725</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45725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45725</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45725</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45725</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45725</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45725</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45725</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45725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45725</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45725</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45725</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45725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45725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45725</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45725</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45725</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45725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45725</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45725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45725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45725</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45725</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45725</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45725</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45725</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45725</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45725</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45725</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45725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45725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45725</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45725</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45725</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45725</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45725</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45725</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45725</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45725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45725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45725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45725</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45725</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45725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45725</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45725</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45725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45725</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45725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45725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45725</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45725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45725</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45725</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45725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45725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45725</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45725</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45725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45725</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45725</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45725</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45725</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45725</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45725</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45725</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45725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45725</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45725</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45725</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45725</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45725</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45725</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45725</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45725</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45725</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45725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45725</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45725</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45725</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45725</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45725</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45725</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45725</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45725</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45725</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45725</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45725</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45725</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45725</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45725</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45725</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45725</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45725</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45725</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45725</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45725</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45725</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45725</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45725</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45725</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45725</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45725</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45725</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45725</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45725</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45725</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45725</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45725</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45725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45725</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45725</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45725</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45725</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45725</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45725</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45725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45725</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45725</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45725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45725</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45725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45725</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45725</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45725</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45725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45725</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45725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45725</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45725</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45725</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45725</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45725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45725</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45725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45725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45725</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45725</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45725</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45725</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45725</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45725</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45725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45725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45725</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45725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45725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45725</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45725</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45725</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45725</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45725</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45725</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45725</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45725</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45725</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45725</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45725</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45725</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45725</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45725</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45725</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45725</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45725</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45725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45725</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45725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45725</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45725</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45725</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45725</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45725</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45725</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45725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45725</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45725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45725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45725</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45725</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45725</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45725</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45725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45725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45725</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45725</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45725</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45725</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45725</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45725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45725</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45725</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45725</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45725</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45725</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45725</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45725</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45725</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45725</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45725</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45725</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45725</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45725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45725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45725</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45725</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45725</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45725</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45725</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45725</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45725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45725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18037-2021</t>
        </is>
      </c>
      <c r="B301" s="1" t="n">
        <v>44301</v>
      </c>
      <c r="C301" s="1" t="n">
        <v>45725</v>
      </c>
      <c r="D301" t="inlineStr">
        <is>
          <t>UPPSALA LÄN</t>
        </is>
      </c>
      <c r="E301" t="inlineStr">
        <is>
          <t>ENKÖPING</t>
        </is>
      </c>
      <c r="G301" t="n">
        <v>17.2</v>
      </c>
      <c r="H301" t="n">
        <v>0</v>
      </c>
      <c r="I301" t="n">
        <v>0</v>
      </c>
      <c r="J301" t="n">
        <v>0</v>
      </c>
      <c r="K301" t="n">
        <v>0</v>
      </c>
      <c r="L301" t="n">
        <v>0</v>
      </c>
      <c r="M301" t="n">
        <v>0</v>
      </c>
      <c r="N301" t="n">
        <v>0</v>
      </c>
      <c r="O301" t="n">
        <v>0</v>
      </c>
      <c r="P301" t="n">
        <v>0</v>
      </c>
      <c r="Q301" t="n">
        <v>0</v>
      </c>
      <c r="R301" s="2" t="inlineStr"/>
    </row>
    <row r="302" ht="15" customHeight="1">
      <c r="A302" t="inlineStr">
        <is>
          <t>A 18328-2021</t>
        </is>
      </c>
      <c r="B302" s="1" t="n">
        <v>44305</v>
      </c>
      <c r="C302" s="1" t="n">
        <v>45725</v>
      </c>
      <c r="D302" t="inlineStr">
        <is>
          <t>UPPSALA LÄN</t>
        </is>
      </c>
      <c r="E302" t="inlineStr">
        <is>
          <t>ENKÖPING</t>
        </is>
      </c>
      <c r="G302" t="n">
        <v>9.4</v>
      </c>
      <c r="H302" t="n">
        <v>0</v>
      </c>
      <c r="I302" t="n">
        <v>0</v>
      </c>
      <c r="J302" t="n">
        <v>0</v>
      </c>
      <c r="K302" t="n">
        <v>0</v>
      </c>
      <c r="L302" t="n">
        <v>0</v>
      </c>
      <c r="M302" t="n">
        <v>0</v>
      </c>
      <c r="N302" t="n">
        <v>0</v>
      </c>
      <c r="O302" t="n">
        <v>0</v>
      </c>
      <c r="P302" t="n">
        <v>0</v>
      </c>
      <c r="Q302" t="n">
        <v>0</v>
      </c>
      <c r="R302" s="2" t="inlineStr"/>
    </row>
    <row r="303" ht="15" customHeight="1">
      <c r="A303" t="inlineStr">
        <is>
          <t>A 18584-2021</t>
        </is>
      </c>
      <c r="B303" s="1" t="n">
        <v>44306</v>
      </c>
      <c r="C303" s="1" t="n">
        <v>45725</v>
      </c>
      <c r="D303" t="inlineStr">
        <is>
          <t>UPPSALA LÄN</t>
        </is>
      </c>
      <c r="E303" t="inlineStr">
        <is>
          <t>ENKÖPING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18592-2021</t>
        </is>
      </c>
      <c r="B304" s="1" t="n">
        <v>44306</v>
      </c>
      <c r="C304" s="1" t="n">
        <v>45725</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18583-2021</t>
        </is>
      </c>
      <c r="B305" s="1" t="n">
        <v>44306</v>
      </c>
      <c r="C305" s="1" t="n">
        <v>45725</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19630-2021</t>
        </is>
      </c>
      <c r="B306" s="1" t="n">
        <v>44312</v>
      </c>
      <c r="C306" s="1" t="n">
        <v>45725</v>
      </c>
      <c r="D306" t="inlineStr">
        <is>
          <t>UPPSALA LÄN</t>
        </is>
      </c>
      <c r="E306" t="inlineStr">
        <is>
          <t>ENKÖPING</t>
        </is>
      </c>
      <c r="G306" t="n">
        <v>2.7</v>
      </c>
      <c r="H306" t="n">
        <v>0</v>
      </c>
      <c r="I306" t="n">
        <v>0</v>
      </c>
      <c r="J306" t="n">
        <v>0</v>
      </c>
      <c r="K306" t="n">
        <v>0</v>
      </c>
      <c r="L306" t="n">
        <v>0</v>
      </c>
      <c r="M306" t="n">
        <v>0</v>
      </c>
      <c r="N306" t="n">
        <v>0</v>
      </c>
      <c r="O306" t="n">
        <v>0</v>
      </c>
      <c r="P306" t="n">
        <v>0</v>
      </c>
      <c r="Q306" t="n">
        <v>0</v>
      </c>
      <c r="R306" s="2" t="inlineStr"/>
    </row>
    <row r="307" ht="15" customHeight="1">
      <c r="A307" t="inlineStr">
        <is>
          <t>A 20067-2021</t>
        </is>
      </c>
      <c r="B307" s="1" t="n">
        <v>44314</v>
      </c>
      <c r="C307" s="1" t="n">
        <v>45725</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22057-2021</t>
        </is>
      </c>
      <c r="B308" s="1" t="n">
        <v>44323</v>
      </c>
      <c r="C308" s="1" t="n">
        <v>45725</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22058-2021</t>
        </is>
      </c>
      <c r="B309" s="1" t="n">
        <v>44323</v>
      </c>
      <c r="C309" s="1" t="n">
        <v>45725</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24399-2021</t>
        </is>
      </c>
      <c r="B310" s="1" t="n">
        <v>44337</v>
      </c>
      <c r="C310" s="1" t="n">
        <v>45725</v>
      </c>
      <c r="D310" t="inlineStr">
        <is>
          <t>UPPSALA LÄN</t>
        </is>
      </c>
      <c r="E310" t="inlineStr">
        <is>
          <t>ENKÖPING</t>
        </is>
      </c>
      <c r="G310" t="n">
        <v>4</v>
      </c>
      <c r="H310" t="n">
        <v>0</v>
      </c>
      <c r="I310" t="n">
        <v>0</v>
      </c>
      <c r="J310" t="n">
        <v>0</v>
      </c>
      <c r="K310" t="n">
        <v>0</v>
      </c>
      <c r="L310" t="n">
        <v>0</v>
      </c>
      <c r="M310" t="n">
        <v>0</v>
      </c>
      <c r="N310" t="n">
        <v>0</v>
      </c>
      <c r="O310" t="n">
        <v>0</v>
      </c>
      <c r="P310" t="n">
        <v>0</v>
      </c>
      <c r="Q310" t="n">
        <v>0</v>
      </c>
      <c r="R310" s="2" t="inlineStr"/>
    </row>
    <row r="311" ht="15" customHeight="1">
      <c r="A311" t="inlineStr">
        <is>
          <t>A 25598-2021</t>
        </is>
      </c>
      <c r="B311" s="1" t="n">
        <v>44343</v>
      </c>
      <c r="C311" s="1" t="n">
        <v>45725</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27676-2021</t>
        </is>
      </c>
      <c r="B312" s="1" t="n">
        <v>44353</v>
      </c>
      <c r="C312" s="1" t="n">
        <v>45725</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28368-2021</t>
        </is>
      </c>
      <c r="B313" s="1" t="n">
        <v>44356</v>
      </c>
      <c r="C313" s="1" t="n">
        <v>45725</v>
      </c>
      <c r="D313" t="inlineStr">
        <is>
          <t>UPPSALA LÄN</t>
        </is>
      </c>
      <c r="E313" t="inlineStr">
        <is>
          <t>ENKÖPING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28795-2021</t>
        </is>
      </c>
      <c r="B314" s="1" t="n">
        <v>44357</v>
      </c>
      <c r="C314" s="1" t="n">
        <v>45725</v>
      </c>
      <c r="D314" t="inlineStr">
        <is>
          <t>UPPSALA LÄN</t>
        </is>
      </c>
      <c r="E314" t="inlineStr">
        <is>
          <t>ENKÖPING</t>
        </is>
      </c>
      <c r="F314" t="inlineStr">
        <is>
          <t>Allmännings- och besparingsskogar</t>
        </is>
      </c>
      <c r="G314" t="n">
        <v>2.8</v>
      </c>
      <c r="H314" t="n">
        <v>0</v>
      </c>
      <c r="I314" t="n">
        <v>0</v>
      </c>
      <c r="J314" t="n">
        <v>0</v>
      </c>
      <c r="K314" t="n">
        <v>0</v>
      </c>
      <c r="L314" t="n">
        <v>0</v>
      </c>
      <c r="M314" t="n">
        <v>0</v>
      </c>
      <c r="N314" t="n">
        <v>0</v>
      </c>
      <c r="O314" t="n">
        <v>0</v>
      </c>
      <c r="P314" t="n">
        <v>0</v>
      </c>
      <c r="Q314" t="n">
        <v>0</v>
      </c>
      <c r="R314" s="2" t="inlineStr"/>
    </row>
    <row r="315" ht="15" customHeight="1">
      <c r="A315" t="inlineStr">
        <is>
          <t>A 29983-2021</t>
        </is>
      </c>
      <c r="B315" s="1" t="n">
        <v>44363</v>
      </c>
      <c r="C315" s="1" t="n">
        <v>45725</v>
      </c>
      <c r="D315" t="inlineStr">
        <is>
          <t>UPPSALA LÄN</t>
        </is>
      </c>
      <c r="E315" t="inlineStr">
        <is>
          <t>ENKÖPING</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30514-2021</t>
        </is>
      </c>
      <c r="B316" s="1" t="n">
        <v>44364</v>
      </c>
      <c r="C316" s="1" t="n">
        <v>45725</v>
      </c>
      <c r="D316" t="inlineStr">
        <is>
          <t>UPPSALA LÄN</t>
        </is>
      </c>
      <c r="E316" t="inlineStr">
        <is>
          <t>ENKÖPING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31112-2021</t>
        </is>
      </c>
      <c r="B317" s="1" t="n">
        <v>44368</v>
      </c>
      <c r="C317" s="1" t="n">
        <v>45725</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31965-2021</t>
        </is>
      </c>
      <c r="B318" s="1" t="n">
        <v>44370</v>
      </c>
      <c r="C318" s="1" t="n">
        <v>45725</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34124-2021</t>
        </is>
      </c>
      <c r="B319" s="1" t="n">
        <v>44379</v>
      </c>
      <c r="C319" s="1" t="n">
        <v>45725</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35645-2021</t>
        </is>
      </c>
      <c r="B320" s="1" t="n">
        <v>44386</v>
      </c>
      <c r="C320" s="1" t="n">
        <v>45725</v>
      </c>
      <c r="D320" t="inlineStr">
        <is>
          <t>UPPSALA LÄN</t>
        </is>
      </c>
      <c r="E320" t="inlineStr">
        <is>
          <t>ENKÖPING</t>
        </is>
      </c>
      <c r="G320" t="n">
        <v>2.7</v>
      </c>
      <c r="H320" t="n">
        <v>0</v>
      </c>
      <c r="I320" t="n">
        <v>0</v>
      </c>
      <c r="J320" t="n">
        <v>0</v>
      </c>
      <c r="K320" t="n">
        <v>0</v>
      </c>
      <c r="L320" t="n">
        <v>0</v>
      </c>
      <c r="M320" t="n">
        <v>0</v>
      </c>
      <c r="N320" t="n">
        <v>0</v>
      </c>
      <c r="O320" t="n">
        <v>0</v>
      </c>
      <c r="P320" t="n">
        <v>0</v>
      </c>
      <c r="Q320" t="n">
        <v>0</v>
      </c>
      <c r="R320" s="2" t="inlineStr"/>
    </row>
    <row r="321" ht="15" customHeight="1">
      <c r="A321" t="inlineStr">
        <is>
          <t>A 35643-2021</t>
        </is>
      </c>
      <c r="B321" s="1" t="n">
        <v>44386</v>
      </c>
      <c r="C321" s="1" t="n">
        <v>45725</v>
      </c>
      <c r="D321" t="inlineStr">
        <is>
          <t>UPPSALA LÄN</t>
        </is>
      </c>
      <c r="E321" t="inlineStr">
        <is>
          <t>ENKÖPING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35638-2021</t>
        </is>
      </c>
      <c r="B322" s="1" t="n">
        <v>44386</v>
      </c>
      <c r="C322" s="1" t="n">
        <v>45725</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35647-2021</t>
        </is>
      </c>
      <c r="B323" s="1" t="n">
        <v>44386</v>
      </c>
      <c r="C323" s="1" t="n">
        <v>45725</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35641-2021</t>
        </is>
      </c>
      <c r="B324" s="1" t="n">
        <v>44386</v>
      </c>
      <c r="C324" s="1" t="n">
        <v>45725</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35632-2021</t>
        </is>
      </c>
      <c r="B325" s="1" t="n">
        <v>44386</v>
      </c>
      <c r="C325" s="1" t="n">
        <v>45725</v>
      </c>
      <c r="D325" t="inlineStr">
        <is>
          <t>UPPSALA LÄN</t>
        </is>
      </c>
      <c r="E325" t="inlineStr">
        <is>
          <t>ENKÖPING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37170-2021</t>
        </is>
      </c>
      <c r="B326" s="1" t="n">
        <v>44395</v>
      </c>
      <c r="C326" s="1" t="n">
        <v>45725</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37563-2021</t>
        </is>
      </c>
      <c r="B327" s="1" t="n">
        <v>44399</v>
      </c>
      <c r="C327" s="1" t="n">
        <v>45725</v>
      </c>
      <c r="D327" t="inlineStr">
        <is>
          <t>UPPSALA LÄN</t>
        </is>
      </c>
      <c r="E327" t="inlineStr">
        <is>
          <t>ENKÖPING</t>
        </is>
      </c>
      <c r="G327" t="n">
        <v>5.1</v>
      </c>
      <c r="H327" t="n">
        <v>0</v>
      </c>
      <c r="I327" t="n">
        <v>0</v>
      </c>
      <c r="J327" t="n">
        <v>0</v>
      </c>
      <c r="K327" t="n">
        <v>0</v>
      </c>
      <c r="L327" t="n">
        <v>0</v>
      </c>
      <c r="M327" t="n">
        <v>0</v>
      </c>
      <c r="N327" t="n">
        <v>0</v>
      </c>
      <c r="O327" t="n">
        <v>0</v>
      </c>
      <c r="P327" t="n">
        <v>0</v>
      </c>
      <c r="Q327" t="n">
        <v>0</v>
      </c>
      <c r="R327" s="2" t="inlineStr"/>
    </row>
    <row r="328" ht="15" customHeight="1">
      <c r="A328" t="inlineStr">
        <is>
          <t>A 37570-2021</t>
        </is>
      </c>
      <c r="B328" s="1" t="n">
        <v>44399</v>
      </c>
      <c r="C328" s="1" t="n">
        <v>45725</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37573-2021</t>
        </is>
      </c>
      <c r="B329" s="1" t="n">
        <v>44399</v>
      </c>
      <c r="C329" s="1" t="n">
        <v>45725</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37568-2021</t>
        </is>
      </c>
      <c r="B330" s="1" t="n">
        <v>44399</v>
      </c>
      <c r="C330" s="1" t="n">
        <v>45725</v>
      </c>
      <c r="D330" t="inlineStr">
        <is>
          <t>UPPSALA LÄN</t>
        </is>
      </c>
      <c r="E330" t="inlineStr">
        <is>
          <t>ENKÖPING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37564-2021</t>
        </is>
      </c>
      <c r="B331" s="1" t="n">
        <v>44399</v>
      </c>
      <c r="C331" s="1" t="n">
        <v>45725</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37571-2021</t>
        </is>
      </c>
      <c r="B332" s="1" t="n">
        <v>44399</v>
      </c>
      <c r="C332" s="1" t="n">
        <v>45725</v>
      </c>
      <c r="D332" t="inlineStr">
        <is>
          <t>UPPSALA LÄN</t>
        </is>
      </c>
      <c r="E332" t="inlineStr">
        <is>
          <t>ENKÖPING</t>
        </is>
      </c>
      <c r="G332" t="n">
        <v>4.6</v>
      </c>
      <c r="H332" t="n">
        <v>0</v>
      </c>
      <c r="I332" t="n">
        <v>0</v>
      </c>
      <c r="J332" t="n">
        <v>0</v>
      </c>
      <c r="K332" t="n">
        <v>0</v>
      </c>
      <c r="L332" t="n">
        <v>0</v>
      </c>
      <c r="M332" t="n">
        <v>0</v>
      </c>
      <c r="N332" t="n">
        <v>0</v>
      </c>
      <c r="O332" t="n">
        <v>0</v>
      </c>
      <c r="P332" t="n">
        <v>0</v>
      </c>
      <c r="Q332" t="n">
        <v>0</v>
      </c>
      <c r="R332" s="2" t="inlineStr"/>
    </row>
    <row r="333" ht="15" customHeight="1">
      <c r="A333" t="inlineStr">
        <is>
          <t>A 42021-2021</t>
        </is>
      </c>
      <c r="B333" s="1" t="n">
        <v>44426</v>
      </c>
      <c r="C333" s="1" t="n">
        <v>45725</v>
      </c>
      <c r="D333" t="inlineStr">
        <is>
          <t>UPPSALA LÄN</t>
        </is>
      </c>
      <c r="E333" t="inlineStr">
        <is>
          <t>ENKÖPING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42029-2021</t>
        </is>
      </c>
      <c r="B334" s="1" t="n">
        <v>44426</v>
      </c>
      <c r="C334" s="1" t="n">
        <v>45725</v>
      </c>
      <c r="D334" t="inlineStr">
        <is>
          <t>UPPSALA LÄN</t>
        </is>
      </c>
      <c r="E334" t="inlineStr">
        <is>
          <t>ENKÖPING</t>
        </is>
      </c>
      <c r="G334" t="n">
        <v>5.3</v>
      </c>
      <c r="H334" t="n">
        <v>0</v>
      </c>
      <c r="I334" t="n">
        <v>0</v>
      </c>
      <c r="J334" t="n">
        <v>0</v>
      </c>
      <c r="K334" t="n">
        <v>0</v>
      </c>
      <c r="L334" t="n">
        <v>0</v>
      </c>
      <c r="M334" t="n">
        <v>0</v>
      </c>
      <c r="N334" t="n">
        <v>0</v>
      </c>
      <c r="O334" t="n">
        <v>0</v>
      </c>
      <c r="P334" t="n">
        <v>0</v>
      </c>
      <c r="Q334" t="n">
        <v>0</v>
      </c>
      <c r="R334" s="2" t="inlineStr"/>
    </row>
    <row r="335" ht="15" customHeight="1">
      <c r="A335" t="inlineStr">
        <is>
          <t>A 43016-2021</t>
        </is>
      </c>
      <c r="B335" s="1" t="n">
        <v>44431</v>
      </c>
      <c r="C335" s="1" t="n">
        <v>45725</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44727-2021</t>
        </is>
      </c>
      <c r="B336" s="1" t="n">
        <v>44438</v>
      </c>
      <c r="C336" s="1" t="n">
        <v>45725</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47106-2021</t>
        </is>
      </c>
      <c r="B337" s="1" t="n">
        <v>44446</v>
      </c>
      <c r="C337" s="1" t="n">
        <v>45725</v>
      </c>
      <c r="D337" t="inlineStr">
        <is>
          <t>UPPSALA LÄN</t>
        </is>
      </c>
      <c r="E337" t="inlineStr">
        <is>
          <t>ENKÖPING</t>
        </is>
      </c>
      <c r="G337" t="n">
        <v>7.6</v>
      </c>
      <c r="H337" t="n">
        <v>0</v>
      </c>
      <c r="I337" t="n">
        <v>0</v>
      </c>
      <c r="J337" t="n">
        <v>0</v>
      </c>
      <c r="K337" t="n">
        <v>0</v>
      </c>
      <c r="L337" t="n">
        <v>0</v>
      </c>
      <c r="M337" t="n">
        <v>0</v>
      </c>
      <c r="N337" t="n">
        <v>0</v>
      </c>
      <c r="O337" t="n">
        <v>0</v>
      </c>
      <c r="P337" t="n">
        <v>0</v>
      </c>
      <c r="Q337" t="n">
        <v>0</v>
      </c>
      <c r="R337" s="2" t="inlineStr"/>
    </row>
    <row r="338" ht="15" customHeight="1">
      <c r="A338" t="inlineStr">
        <is>
          <t>A 48981-2021</t>
        </is>
      </c>
      <c r="B338" s="1" t="n">
        <v>44453</v>
      </c>
      <c r="C338" s="1" t="n">
        <v>45725</v>
      </c>
      <c r="D338" t="inlineStr">
        <is>
          <t>UPPSALA LÄN</t>
        </is>
      </c>
      <c r="E338" t="inlineStr">
        <is>
          <t>ENKÖPING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49375-2021</t>
        </is>
      </c>
      <c r="B339" s="1" t="n">
        <v>44454</v>
      </c>
      <c r="C339" s="1" t="n">
        <v>45725</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49525-2021</t>
        </is>
      </c>
      <c r="B340" s="1" t="n">
        <v>44455</v>
      </c>
      <c r="C340" s="1" t="n">
        <v>45725</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50893-2021</t>
        </is>
      </c>
      <c r="B341" s="1" t="n">
        <v>44460</v>
      </c>
      <c r="C341" s="1" t="n">
        <v>45725</v>
      </c>
      <c r="D341" t="inlineStr">
        <is>
          <t>UPPSALA LÄN</t>
        </is>
      </c>
      <c r="E341" t="inlineStr">
        <is>
          <t>ENKÖPING</t>
        </is>
      </c>
      <c r="G341" t="n">
        <v>7.3</v>
      </c>
      <c r="H341" t="n">
        <v>0</v>
      </c>
      <c r="I341" t="n">
        <v>0</v>
      </c>
      <c r="J341" t="n">
        <v>0</v>
      </c>
      <c r="K341" t="n">
        <v>0</v>
      </c>
      <c r="L341" t="n">
        <v>0</v>
      </c>
      <c r="M341" t="n">
        <v>0</v>
      </c>
      <c r="N341" t="n">
        <v>0</v>
      </c>
      <c r="O341" t="n">
        <v>0</v>
      </c>
      <c r="P341" t="n">
        <v>0</v>
      </c>
      <c r="Q341" t="n">
        <v>0</v>
      </c>
      <c r="R341" s="2" t="inlineStr"/>
    </row>
    <row r="342" ht="15" customHeight="1">
      <c r="A342" t="inlineStr">
        <is>
          <t>A 52014-2021</t>
        </is>
      </c>
      <c r="B342" s="1" t="n">
        <v>44463</v>
      </c>
      <c r="C342" s="1" t="n">
        <v>45725</v>
      </c>
      <c r="D342" t="inlineStr">
        <is>
          <t>UPPSALA LÄN</t>
        </is>
      </c>
      <c r="E342" t="inlineStr">
        <is>
          <t>ENKÖPING</t>
        </is>
      </c>
      <c r="G342" t="n">
        <v>5.8</v>
      </c>
      <c r="H342" t="n">
        <v>0</v>
      </c>
      <c r="I342" t="n">
        <v>0</v>
      </c>
      <c r="J342" t="n">
        <v>0</v>
      </c>
      <c r="K342" t="n">
        <v>0</v>
      </c>
      <c r="L342" t="n">
        <v>0</v>
      </c>
      <c r="M342" t="n">
        <v>0</v>
      </c>
      <c r="N342" t="n">
        <v>0</v>
      </c>
      <c r="O342" t="n">
        <v>0</v>
      </c>
      <c r="P342" t="n">
        <v>0</v>
      </c>
      <c r="Q342" t="n">
        <v>0</v>
      </c>
      <c r="R342" s="2" t="inlineStr"/>
    </row>
    <row r="343" ht="15" customHeight="1">
      <c r="A343" t="inlineStr">
        <is>
          <t>A 54433-2021</t>
        </is>
      </c>
      <c r="B343" s="1" t="n">
        <v>44473</v>
      </c>
      <c r="C343" s="1" t="n">
        <v>45725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54595-2021</t>
        </is>
      </c>
      <c r="B344" s="1" t="n">
        <v>44473</v>
      </c>
      <c r="C344" s="1" t="n">
        <v>45725</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55582-2021</t>
        </is>
      </c>
      <c r="B345" s="1" t="n">
        <v>44475</v>
      </c>
      <c r="C345" s="1" t="n">
        <v>45725</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56163-2021</t>
        </is>
      </c>
      <c r="B346" s="1" t="n">
        <v>44477</v>
      </c>
      <c r="C346" s="1" t="n">
        <v>45725</v>
      </c>
      <c r="D346" t="inlineStr">
        <is>
          <t>UPPSALA LÄN</t>
        </is>
      </c>
      <c r="E346" t="inlineStr">
        <is>
          <t>ENKÖPING</t>
        </is>
      </c>
      <c r="F346" t="inlineStr">
        <is>
          <t>Allmännings- och besparingsskogar</t>
        </is>
      </c>
      <c r="G346" t="n">
        <v>0.6</v>
      </c>
      <c r="H346" t="n">
        <v>0</v>
      </c>
      <c r="I346" t="n">
        <v>0</v>
      </c>
      <c r="J346" t="n">
        <v>0</v>
      </c>
      <c r="K346" t="n">
        <v>0</v>
      </c>
      <c r="L346" t="n">
        <v>0</v>
      </c>
      <c r="M346" t="n">
        <v>0</v>
      </c>
      <c r="N346" t="n">
        <v>0</v>
      </c>
      <c r="O346" t="n">
        <v>0</v>
      </c>
      <c r="P346" t="n">
        <v>0</v>
      </c>
      <c r="Q346" t="n">
        <v>0</v>
      </c>
      <c r="R346" s="2" t="inlineStr"/>
    </row>
    <row r="347" ht="15" customHeight="1">
      <c r="A347" t="inlineStr">
        <is>
          <t>A 56176-2021</t>
        </is>
      </c>
      <c r="B347" s="1" t="n">
        <v>44477</v>
      </c>
      <c r="C347" s="1" t="n">
        <v>45725</v>
      </c>
      <c r="D347" t="inlineStr">
        <is>
          <t>UPPSALA LÄN</t>
        </is>
      </c>
      <c r="E347" t="inlineStr">
        <is>
          <t>ENKÖPING</t>
        </is>
      </c>
      <c r="G347" t="n">
        <v>2.9</v>
      </c>
      <c r="H347" t="n">
        <v>0</v>
      </c>
      <c r="I347" t="n">
        <v>0</v>
      </c>
      <c r="J347" t="n">
        <v>0</v>
      </c>
      <c r="K347" t="n">
        <v>0</v>
      </c>
      <c r="L347" t="n">
        <v>0</v>
      </c>
      <c r="M347" t="n">
        <v>0</v>
      </c>
      <c r="N347" t="n">
        <v>0</v>
      </c>
      <c r="O347" t="n">
        <v>0</v>
      </c>
      <c r="P347" t="n">
        <v>0</v>
      </c>
      <c r="Q347" t="n">
        <v>0</v>
      </c>
      <c r="R347" s="2" t="inlineStr"/>
    </row>
    <row r="348" ht="15" customHeight="1">
      <c r="A348" t="inlineStr">
        <is>
          <t>A 57043-2021</t>
        </is>
      </c>
      <c r="B348" s="1" t="n">
        <v>44482</v>
      </c>
      <c r="C348" s="1" t="n">
        <v>45725</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57055-2021</t>
        </is>
      </c>
      <c r="B349" s="1" t="n">
        <v>44482</v>
      </c>
      <c r="C349" s="1" t="n">
        <v>45725</v>
      </c>
      <c r="D349" t="inlineStr">
        <is>
          <t>UPPSALA LÄN</t>
        </is>
      </c>
      <c r="E349" t="inlineStr">
        <is>
          <t>ENKÖPING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57066-2021</t>
        </is>
      </c>
      <c r="B350" s="1" t="n">
        <v>44482</v>
      </c>
      <c r="C350" s="1" t="n">
        <v>45725</v>
      </c>
      <c r="D350" t="inlineStr">
        <is>
          <t>UPPSALA LÄN</t>
        </is>
      </c>
      <c r="E350" t="inlineStr">
        <is>
          <t>ENKÖPING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57078-2021</t>
        </is>
      </c>
      <c r="B351" s="1" t="n">
        <v>44482</v>
      </c>
      <c r="C351" s="1" t="n">
        <v>45725</v>
      </c>
      <c r="D351" t="inlineStr">
        <is>
          <t>UPPSALA LÄN</t>
        </is>
      </c>
      <c r="E351" t="inlineStr">
        <is>
          <t>ENKÖPING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57142-2021</t>
        </is>
      </c>
      <c r="B352" s="1" t="n">
        <v>44482</v>
      </c>
      <c r="C352" s="1" t="n">
        <v>45725</v>
      </c>
      <c r="D352" t="inlineStr">
        <is>
          <t>UPPSALA LÄN</t>
        </is>
      </c>
      <c r="E352" t="inlineStr">
        <is>
          <t>ENKÖPING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57153-2021</t>
        </is>
      </c>
      <c r="B353" s="1" t="n">
        <v>44482</v>
      </c>
      <c r="C353" s="1" t="n">
        <v>45725</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57147-2021</t>
        </is>
      </c>
      <c r="B354" s="1" t="n">
        <v>44482</v>
      </c>
      <c r="C354" s="1" t="n">
        <v>45725</v>
      </c>
      <c r="D354" t="inlineStr">
        <is>
          <t>UPPSALA LÄN</t>
        </is>
      </c>
      <c r="E354" t="inlineStr">
        <is>
          <t>ENKÖPING</t>
        </is>
      </c>
      <c r="G354" t="n">
        <v>5.7</v>
      </c>
      <c r="H354" t="n">
        <v>0</v>
      </c>
      <c r="I354" t="n">
        <v>0</v>
      </c>
      <c r="J354" t="n">
        <v>0</v>
      </c>
      <c r="K354" t="n">
        <v>0</v>
      </c>
      <c r="L354" t="n">
        <v>0</v>
      </c>
      <c r="M354" t="n">
        <v>0</v>
      </c>
      <c r="N354" t="n">
        <v>0</v>
      </c>
      <c r="O354" t="n">
        <v>0</v>
      </c>
      <c r="P354" t="n">
        <v>0</v>
      </c>
      <c r="Q354" t="n">
        <v>0</v>
      </c>
      <c r="R354" s="2" t="inlineStr"/>
    </row>
    <row r="355" ht="15" customHeight="1">
      <c r="A355" t="inlineStr">
        <is>
          <t>A 57152-2021</t>
        </is>
      </c>
      <c r="B355" s="1" t="n">
        <v>44482</v>
      </c>
      <c r="C355" s="1" t="n">
        <v>45725</v>
      </c>
      <c r="D355" t="inlineStr">
        <is>
          <t>UPPSALA LÄN</t>
        </is>
      </c>
      <c r="E355" t="inlineStr">
        <is>
          <t>ENKÖPING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59121-2021</t>
        </is>
      </c>
      <c r="B356" s="1" t="n">
        <v>44490</v>
      </c>
      <c r="C356" s="1" t="n">
        <v>45725</v>
      </c>
      <c r="D356" t="inlineStr">
        <is>
          <t>UPPSALA LÄN</t>
        </is>
      </c>
      <c r="E356" t="inlineStr">
        <is>
          <t>ENKÖPING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60533-2021</t>
        </is>
      </c>
      <c r="B357" s="1" t="n">
        <v>44496</v>
      </c>
      <c r="C357" s="1" t="n">
        <v>45725</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60874-2021</t>
        </is>
      </c>
      <c r="B358" s="1" t="n">
        <v>44497</v>
      </c>
      <c r="C358" s="1" t="n">
        <v>45725</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61076-2021</t>
        </is>
      </c>
      <c r="B359" s="1" t="n">
        <v>44497</v>
      </c>
      <c r="C359" s="1" t="n">
        <v>45725</v>
      </c>
      <c r="D359" t="inlineStr">
        <is>
          <t>UPPSALA LÄN</t>
        </is>
      </c>
      <c r="E359" t="inlineStr">
        <is>
          <t>ENKÖPING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61553-2021</t>
        </is>
      </c>
      <c r="B360" s="1" t="n">
        <v>44501</v>
      </c>
      <c r="C360" s="1" t="n">
        <v>45725</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61952-2021</t>
        </is>
      </c>
      <c r="B361" s="1" t="n">
        <v>44502</v>
      </c>
      <c r="C361" s="1" t="n">
        <v>45725</v>
      </c>
      <c r="D361" t="inlineStr">
        <is>
          <t>UPPSALA LÄN</t>
        </is>
      </c>
      <c r="E361" t="inlineStr">
        <is>
          <t>ENKÖPING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62046-2021</t>
        </is>
      </c>
      <c r="B362" s="1" t="n">
        <v>44502</v>
      </c>
      <c r="C362" s="1" t="n">
        <v>45725</v>
      </c>
      <c r="D362" t="inlineStr">
        <is>
          <t>UPPSALA LÄN</t>
        </is>
      </c>
      <c r="E362" t="inlineStr">
        <is>
          <t>ENKÖPING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63310-2021</t>
        </is>
      </c>
      <c r="B363" s="1" t="n">
        <v>44508</v>
      </c>
      <c r="C363" s="1" t="n">
        <v>45725</v>
      </c>
      <c r="D363" t="inlineStr">
        <is>
          <t>UPPSALA LÄN</t>
        </is>
      </c>
      <c r="E363" t="inlineStr">
        <is>
          <t>ENKÖPING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63400-2021</t>
        </is>
      </c>
      <c r="B364" s="1" t="n">
        <v>44508</v>
      </c>
      <c r="C364" s="1" t="n">
        <v>45725</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63405-2021</t>
        </is>
      </c>
      <c r="B365" s="1" t="n">
        <v>44508</v>
      </c>
      <c r="C365" s="1" t="n">
        <v>45725</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67982-2021</t>
        </is>
      </c>
      <c r="B366" s="1" t="n">
        <v>44525</v>
      </c>
      <c r="C366" s="1" t="n">
        <v>45725</v>
      </c>
      <c r="D366" t="inlineStr">
        <is>
          <t>UPPSALA LÄN</t>
        </is>
      </c>
      <c r="E366" t="inlineStr">
        <is>
          <t>ENKÖPING</t>
        </is>
      </c>
      <c r="G366" t="n">
        <v>1.7</v>
      </c>
      <c r="H366" t="n">
        <v>0</v>
      </c>
      <c r="I366" t="n">
        <v>0</v>
      </c>
      <c r="J366" t="n">
        <v>0</v>
      </c>
      <c r="K366" t="n">
        <v>0</v>
      </c>
      <c r="L366" t="n">
        <v>0</v>
      </c>
      <c r="M366" t="n">
        <v>0</v>
      </c>
      <c r="N366" t="n">
        <v>0</v>
      </c>
      <c r="O366" t="n">
        <v>0</v>
      </c>
      <c r="P366" t="n">
        <v>0</v>
      </c>
      <c r="Q366" t="n">
        <v>0</v>
      </c>
      <c r="R366" s="2" t="inlineStr"/>
    </row>
    <row r="367" ht="15" customHeight="1">
      <c r="A367" t="inlineStr">
        <is>
          <t>A 67984-2021</t>
        </is>
      </c>
      <c r="B367" s="1" t="n">
        <v>44525</v>
      </c>
      <c r="C367" s="1" t="n">
        <v>45725</v>
      </c>
      <c r="D367" t="inlineStr">
        <is>
          <t>UPPSALA LÄN</t>
        </is>
      </c>
      <c r="E367" t="inlineStr">
        <is>
          <t>ENKÖPING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68118-2021</t>
        </is>
      </c>
      <c r="B368" s="1" t="n">
        <v>44526</v>
      </c>
      <c r="C368" s="1" t="n">
        <v>45725</v>
      </c>
      <c r="D368" t="inlineStr">
        <is>
          <t>UPPSALA LÄN</t>
        </is>
      </c>
      <c r="E368" t="inlineStr">
        <is>
          <t>ENKÖPING</t>
        </is>
      </c>
      <c r="G368" t="n">
        <v>4.7</v>
      </c>
      <c r="H368" t="n">
        <v>0</v>
      </c>
      <c r="I368" t="n">
        <v>0</v>
      </c>
      <c r="J368" t="n">
        <v>0</v>
      </c>
      <c r="K368" t="n">
        <v>0</v>
      </c>
      <c r="L368" t="n">
        <v>0</v>
      </c>
      <c r="M368" t="n">
        <v>0</v>
      </c>
      <c r="N368" t="n">
        <v>0</v>
      </c>
      <c r="O368" t="n">
        <v>0</v>
      </c>
      <c r="P368" t="n">
        <v>0</v>
      </c>
      <c r="Q368" t="n">
        <v>0</v>
      </c>
      <c r="R368" s="2" t="inlineStr"/>
    </row>
    <row r="369" ht="15" customHeight="1">
      <c r="A369" t="inlineStr">
        <is>
          <t>A 68127-2021</t>
        </is>
      </c>
      <c r="B369" s="1" t="n">
        <v>44526</v>
      </c>
      <c r="C369" s="1" t="n">
        <v>45725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68107-2021</t>
        </is>
      </c>
      <c r="B370" s="1" t="n">
        <v>44526</v>
      </c>
      <c r="C370" s="1" t="n">
        <v>45725</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68130-2021</t>
        </is>
      </c>
      <c r="B371" s="1" t="n">
        <v>44526</v>
      </c>
      <c r="C371" s="1" t="n">
        <v>45725</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68123-2021</t>
        </is>
      </c>
      <c r="B372" s="1" t="n">
        <v>44526</v>
      </c>
      <c r="C372" s="1" t="n">
        <v>45725</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69344-2021</t>
        </is>
      </c>
      <c r="B373" s="1" t="n">
        <v>44531</v>
      </c>
      <c r="C373" s="1" t="n">
        <v>45725</v>
      </c>
      <c r="D373" t="inlineStr">
        <is>
          <t>UPPSALA LÄN</t>
        </is>
      </c>
      <c r="E373" t="inlineStr">
        <is>
          <t>ENKÖPING</t>
        </is>
      </c>
      <c r="G373" t="n">
        <v>2.9</v>
      </c>
      <c r="H373" t="n">
        <v>0</v>
      </c>
      <c r="I373" t="n">
        <v>0</v>
      </c>
      <c r="J373" t="n">
        <v>0</v>
      </c>
      <c r="K373" t="n">
        <v>0</v>
      </c>
      <c r="L373" t="n">
        <v>0</v>
      </c>
      <c r="M373" t="n">
        <v>0</v>
      </c>
      <c r="N373" t="n">
        <v>0</v>
      </c>
      <c r="O373" t="n">
        <v>0</v>
      </c>
      <c r="P373" t="n">
        <v>0</v>
      </c>
      <c r="Q373" t="n">
        <v>0</v>
      </c>
      <c r="R373" s="2" t="inlineStr"/>
    </row>
    <row r="374" ht="15" customHeight="1">
      <c r="A374" t="inlineStr">
        <is>
          <t>A 69791-2021</t>
        </is>
      </c>
      <c r="B374" s="1" t="n">
        <v>44532</v>
      </c>
      <c r="C374" s="1" t="n">
        <v>45725</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69794-2021</t>
        </is>
      </c>
      <c r="B375" s="1" t="n">
        <v>44532</v>
      </c>
      <c r="C375" s="1" t="n">
        <v>45725</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69879-2021</t>
        </is>
      </c>
      <c r="B376" s="1" t="n">
        <v>44532</v>
      </c>
      <c r="C376" s="1" t="n">
        <v>45725</v>
      </c>
      <c r="D376" t="inlineStr">
        <is>
          <t>UPPSALA LÄN</t>
        </is>
      </c>
      <c r="E376" t="inlineStr">
        <is>
          <t>ENKÖPING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71641-2021</t>
        </is>
      </c>
      <c r="B377" s="1" t="n">
        <v>44543</v>
      </c>
      <c r="C377" s="1" t="n">
        <v>45725</v>
      </c>
      <c r="D377" t="inlineStr">
        <is>
          <t>UPPSALA LÄN</t>
        </is>
      </c>
      <c r="E377" t="inlineStr">
        <is>
          <t>ENKÖPING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72628-2021</t>
        </is>
      </c>
      <c r="B378" s="1" t="n">
        <v>44546</v>
      </c>
      <c r="C378" s="1" t="n">
        <v>45725</v>
      </c>
      <c r="D378" t="inlineStr">
        <is>
          <t>UPPSALA LÄN</t>
        </is>
      </c>
      <c r="E378" t="inlineStr">
        <is>
          <t>ENKÖPING</t>
        </is>
      </c>
      <c r="F378" t="inlineStr">
        <is>
          <t>Allmännings- och besparingsskogar</t>
        </is>
      </c>
      <c r="G378" t="n">
        <v>7.1</v>
      </c>
      <c r="H378" t="n">
        <v>0</v>
      </c>
      <c r="I378" t="n">
        <v>0</v>
      </c>
      <c r="J378" t="n">
        <v>0</v>
      </c>
      <c r="K378" t="n">
        <v>0</v>
      </c>
      <c r="L378" t="n">
        <v>0</v>
      </c>
      <c r="M378" t="n">
        <v>0</v>
      </c>
      <c r="N378" t="n">
        <v>0</v>
      </c>
      <c r="O378" t="n">
        <v>0</v>
      </c>
      <c r="P378" t="n">
        <v>0</v>
      </c>
      <c r="Q378" t="n">
        <v>0</v>
      </c>
      <c r="R378" s="2" t="inlineStr"/>
    </row>
    <row r="379" ht="15" customHeight="1">
      <c r="A379" t="inlineStr">
        <is>
          <t>A 72840-2021</t>
        </is>
      </c>
      <c r="B379" s="1" t="n">
        <v>44547</v>
      </c>
      <c r="C379" s="1" t="n">
        <v>45725</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74090-2021</t>
        </is>
      </c>
      <c r="B380" s="1" t="n">
        <v>44557</v>
      </c>
      <c r="C380" s="1" t="n">
        <v>45725</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498-2022</t>
        </is>
      </c>
      <c r="B381" s="1" t="n">
        <v>44566</v>
      </c>
      <c r="C381" s="1" t="n">
        <v>45725</v>
      </c>
      <c r="D381" t="inlineStr">
        <is>
          <t>UPPSALA LÄN</t>
        </is>
      </c>
      <c r="E381" t="inlineStr">
        <is>
          <t>ENKÖPING</t>
        </is>
      </c>
      <c r="F381" t="inlineStr">
        <is>
          <t>Övriga statliga verk och myndigheter</t>
        </is>
      </c>
      <c r="G381" t="n">
        <v>11.1</v>
      </c>
      <c r="H381" t="n">
        <v>0</v>
      </c>
      <c r="I381" t="n">
        <v>0</v>
      </c>
      <c r="J381" t="n">
        <v>0</v>
      </c>
      <c r="K381" t="n">
        <v>0</v>
      </c>
      <c r="L381" t="n">
        <v>0</v>
      </c>
      <c r="M381" t="n">
        <v>0</v>
      </c>
      <c r="N381" t="n">
        <v>0</v>
      </c>
      <c r="O381" t="n">
        <v>0</v>
      </c>
      <c r="P381" t="n">
        <v>0</v>
      </c>
      <c r="Q381" t="n">
        <v>0</v>
      </c>
      <c r="R381" s="2" t="inlineStr"/>
    </row>
    <row r="382" ht="15" customHeight="1">
      <c r="A382" t="inlineStr">
        <is>
          <t>A 671-2022</t>
        </is>
      </c>
      <c r="B382" s="1" t="n">
        <v>44568</v>
      </c>
      <c r="C382" s="1" t="n">
        <v>45725</v>
      </c>
      <c r="D382" t="inlineStr">
        <is>
          <t>UPPSALA LÄN</t>
        </is>
      </c>
      <c r="E382" t="inlineStr">
        <is>
          <t>ENKÖPING</t>
        </is>
      </c>
      <c r="G382" t="n">
        <v>3.5</v>
      </c>
      <c r="H382" t="n">
        <v>0</v>
      </c>
      <c r="I382" t="n">
        <v>0</v>
      </c>
      <c r="J382" t="n">
        <v>0</v>
      </c>
      <c r="K382" t="n">
        <v>0</v>
      </c>
      <c r="L382" t="n">
        <v>0</v>
      </c>
      <c r="M382" t="n">
        <v>0</v>
      </c>
      <c r="N382" t="n">
        <v>0</v>
      </c>
      <c r="O382" t="n">
        <v>0</v>
      </c>
      <c r="P382" t="n">
        <v>0</v>
      </c>
      <c r="Q382" t="n">
        <v>0</v>
      </c>
      <c r="R382" s="2" t="inlineStr"/>
    </row>
    <row r="383" ht="15" customHeight="1">
      <c r="A383" t="inlineStr">
        <is>
          <t>A 1971-2022</t>
        </is>
      </c>
      <c r="B383" s="1" t="n">
        <v>44575</v>
      </c>
      <c r="C383" s="1" t="n">
        <v>45725</v>
      </c>
      <c r="D383" t="inlineStr">
        <is>
          <t>UPPSALA LÄN</t>
        </is>
      </c>
      <c r="E383" t="inlineStr">
        <is>
          <t>ENKÖPING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1962-2022</t>
        </is>
      </c>
      <c r="B384" s="1" t="n">
        <v>44575</v>
      </c>
      <c r="C384" s="1" t="n">
        <v>45725</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1979-2022</t>
        </is>
      </c>
      <c r="B385" s="1" t="n">
        <v>44575</v>
      </c>
      <c r="C385" s="1" t="n">
        <v>45725</v>
      </c>
      <c r="D385" t="inlineStr">
        <is>
          <t>UPPSALA LÄN</t>
        </is>
      </c>
      <c r="E385" t="inlineStr">
        <is>
          <t>ENKÖPING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1992-2022</t>
        </is>
      </c>
      <c r="B386" s="1" t="n">
        <v>44575</v>
      </c>
      <c r="C386" s="1" t="n">
        <v>45725</v>
      </c>
      <c r="D386" t="inlineStr">
        <is>
          <t>UPPSALA LÄN</t>
        </is>
      </c>
      <c r="E386" t="inlineStr">
        <is>
          <t>ENKÖPING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1960-2022</t>
        </is>
      </c>
      <c r="B387" s="1" t="n">
        <v>44575</v>
      </c>
      <c r="C387" s="1" t="n">
        <v>45725</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1965-2022</t>
        </is>
      </c>
      <c r="B388" s="1" t="n">
        <v>44575</v>
      </c>
      <c r="C388" s="1" t="n">
        <v>45725</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2680-2022</t>
        </is>
      </c>
      <c r="B389" s="1" t="n">
        <v>44580</v>
      </c>
      <c r="C389" s="1" t="n">
        <v>45725</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3861-2022</t>
        </is>
      </c>
      <c r="B390" s="1" t="n">
        <v>44587</v>
      </c>
      <c r="C390" s="1" t="n">
        <v>45725</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4170-2022</t>
        </is>
      </c>
      <c r="B391" s="1" t="n">
        <v>44588</v>
      </c>
      <c r="C391" s="1" t="n">
        <v>45725</v>
      </c>
      <c r="D391" t="inlineStr">
        <is>
          <t>UPPSALA LÄN</t>
        </is>
      </c>
      <c r="E391" t="inlineStr">
        <is>
          <t>ENKÖPING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5188-2022</t>
        </is>
      </c>
      <c r="B392" s="1" t="n">
        <v>44594</v>
      </c>
      <c r="C392" s="1" t="n">
        <v>45725</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5526-2022</t>
        </is>
      </c>
      <c r="B393" s="1" t="n">
        <v>44595</v>
      </c>
      <c r="C393" s="1" t="n">
        <v>45725</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6356-2022</t>
        </is>
      </c>
      <c r="B394" s="1" t="n">
        <v>44600</v>
      </c>
      <c r="C394" s="1" t="n">
        <v>45725</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7090-2022</t>
        </is>
      </c>
      <c r="B395" s="1" t="n">
        <v>44603</v>
      </c>
      <c r="C395" s="1" t="n">
        <v>45725</v>
      </c>
      <c r="D395" t="inlineStr">
        <is>
          <t>UPPSALA LÄN</t>
        </is>
      </c>
      <c r="E395" t="inlineStr">
        <is>
          <t>ENKÖPING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7284-2022</t>
        </is>
      </c>
      <c r="B396" s="1" t="n">
        <v>44606</v>
      </c>
      <c r="C396" s="1" t="n">
        <v>45725</v>
      </c>
      <c r="D396" t="inlineStr">
        <is>
          <t>UPPSALA LÄN</t>
        </is>
      </c>
      <c r="E396" t="inlineStr">
        <is>
          <t>ENKÖPING</t>
        </is>
      </c>
      <c r="G396" t="n">
        <v>6.4</v>
      </c>
      <c r="H396" t="n">
        <v>0</v>
      </c>
      <c r="I396" t="n">
        <v>0</v>
      </c>
      <c r="J396" t="n">
        <v>0</v>
      </c>
      <c r="K396" t="n">
        <v>0</v>
      </c>
      <c r="L396" t="n">
        <v>0</v>
      </c>
      <c r="M396" t="n">
        <v>0</v>
      </c>
      <c r="N396" t="n">
        <v>0</v>
      </c>
      <c r="O396" t="n">
        <v>0</v>
      </c>
      <c r="P396" t="n">
        <v>0</v>
      </c>
      <c r="Q396" t="n">
        <v>0</v>
      </c>
      <c r="R396" s="2" t="inlineStr"/>
    </row>
    <row r="397" ht="15" customHeight="1">
      <c r="A397" t="inlineStr">
        <is>
          <t>A 7463-2022</t>
        </is>
      </c>
      <c r="B397" s="1" t="n">
        <v>44607</v>
      </c>
      <c r="C397" s="1" t="n">
        <v>45725</v>
      </c>
      <c r="D397" t="inlineStr">
        <is>
          <t>UPPSALA LÄN</t>
        </is>
      </c>
      <c r="E397" t="inlineStr">
        <is>
          <t>ENKÖPING</t>
        </is>
      </c>
      <c r="F397" t="inlineStr">
        <is>
          <t>Övriga statliga verk och myndigheter</t>
        </is>
      </c>
      <c r="G397" t="n">
        <v>2.1</v>
      </c>
      <c r="H397" t="n">
        <v>0</v>
      </c>
      <c r="I397" t="n">
        <v>0</v>
      </c>
      <c r="J397" t="n">
        <v>0</v>
      </c>
      <c r="K397" t="n">
        <v>0</v>
      </c>
      <c r="L397" t="n">
        <v>0</v>
      </c>
      <c r="M397" t="n">
        <v>0</v>
      </c>
      <c r="N397" t="n">
        <v>0</v>
      </c>
      <c r="O397" t="n">
        <v>0</v>
      </c>
      <c r="P397" t="n">
        <v>0</v>
      </c>
      <c r="Q397" t="n">
        <v>0</v>
      </c>
      <c r="R397" s="2" t="inlineStr"/>
    </row>
    <row r="398" ht="15" customHeight="1">
      <c r="A398" t="inlineStr">
        <is>
          <t>A 8020-2022</t>
        </is>
      </c>
      <c r="B398" s="1" t="n">
        <v>44609</v>
      </c>
      <c r="C398" s="1" t="n">
        <v>45725</v>
      </c>
      <c r="D398" t="inlineStr">
        <is>
          <t>UPPSALA LÄN</t>
        </is>
      </c>
      <c r="E398" t="inlineStr">
        <is>
          <t>ENKÖPING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8152-2022</t>
        </is>
      </c>
      <c r="B399" s="1" t="n">
        <v>44609</v>
      </c>
      <c r="C399" s="1" t="n">
        <v>45725</v>
      </c>
      <c r="D399" t="inlineStr">
        <is>
          <t>UPPSALA LÄN</t>
        </is>
      </c>
      <c r="E399" t="inlineStr">
        <is>
          <t>ENKÖPING</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10202-2022</t>
        </is>
      </c>
      <c r="B400" s="1" t="n">
        <v>44622</v>
      </c>
      <c r="C400" s="1" t="n">
        <v>45725</v>
      </c>
      <c r="D400" t="inlineStr">
        <is>
          <t>UPPSALA LÄN</t>
        </is>
      </c>
      <c r="E400" t="inlineStr">
        <is>
          <t>ENKÖPING</t>
        </is>
      </c>
      <c r="G400" t="n">
        <v>5.6</v>
      </c>
      <c r="H400" t="n">
        <v>0</v>
      </c>
      <c r="I400" t="n">
        <v>0</v>
      </c>
      <c r="J400" t="n">
        <v>0</v>
      </c>
      <c r="K400" t="n">
        <v>0</v>
      </c>
      <c r="L400" t="n">
        <v>0</v>
      </c>
      <c r="M400" t="n">
        <v>0</v>
      </c>
      <c r="N400" t="n">
        <v>0</v>
      </c>
      <c r="O400" t="n">
        <v>0</v>
      </c>
      <c r="P400" t="n">
        <v>0</v>
      </c>
      <c r="Q400" t="n">
        <v>0</v>
      </c>
      <c r="R400" s="2" t="inlineStr"/>
    </row>
    <row r="401" ht="15" customHeight="1">
      <c r="A401" t="inlineStr">
        <is>
          <t>A 10207-2022</t>
        </is>
      </c>
      <c r="B401" s="1" t="n">
        <v>44622</v>
      </c>
      <c r="C401" s="1" t="n">
        <v>45725</v>
      </c>
      <c r="D401" t="inlineStr">
        <is>
          <t>UPPSALA LÄN</t>
        </is>
      </c>
      <c r="E401" t="inlineStr">
        <is>
          <t>ENKÖPING</t>
        </is>
      </c>
      <c r="G401" t="n">
        <v>4.9</v>
      </c>
      <c r="H401" t="n">
        <v>0</v>
      </c>
      <c r="I401" t="n">
        <v>0</v>
      </c>
      <c r="J401" t="n">
        <v>0</v>
      </c>
      <c r="K401" t="n">
        <v>0</v>
      </c>
      <c r="L401" t="n">
        <v>0</v>
      </c>
      <c r="M401" t="n">
        <v>0</v>
      </c>
      <c r="N401" t="n">
        <v>0</v>
      </c>
      <c r="O401" t="n">
        <v>0</v>
      </c>
      <c r="P401" t="n">
        <v>0</v>
      </c>
      <c r="Q401" t="n">
        <v>0</v>
      </c>
      <c r="R401" s="2" t="inlineStr"/>
    </row>
    <row r="402" ht="15" customHeight="1">
      <c r="A402" t="inlineStr">
        <is>
          <t>A 10458-2022</t>
        </is>
      </c>
      <c r="B402" s="1" t="n">
        <v>44623</v>
      </c>
      <c r="C402" s="1" t="n">
        <v>45725</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10465-2022</t>
        </is>
      </c>
      <c r="B403" s="1" t="n">
        <v>44623</v>
      </c>
      <c r="C403" s="1" t="n">
        <v>45725</v>
      </c>
      <c r="D403" t="inlineStr">
        <is>
          <t>UPPSALA LÄN</t>
        </is>
      </c>
      <c r="E403" t="inlineStr">
        <is>
          <t>ENKÖPING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14531-2022</t>
        </is>
      </c>
      <c r="B404" s="1" t="n">
        <v>44655</v>
      </c>
      <c r="C404" s="1" t="n">
        <v>45725</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15021-2022</t>
        </is>
      </c>
      <c r="B405" s="1" t="n">
        <v>44657</v>
      </c>
      <c r="C405" s="1" t="n">
        <v>45725</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15924-2022</t>
        </is>
      </c>
      <c r="B406" s="1" t="n">
        <v>44664</v>
      </c>
      <c r="C406" s="1" t="n">
        <v>45725</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15942-2022</t>
        </is>
      </c>
      <c r="B407" s="1" t="n">
        <v>44664</v>
      </c>
      <c r="C407" s="1" t="n">
        <v>45725</v>
      </c>
      <c r="D407" t="inlineStr">
        <is>
          <t>UPPSALA LÄN</t>
        </is>
      </c>
      <c r="E407" t="inlineStr">
        <is>
          <t>ENKÖPING</t>
        </is>
      </c>
      <c r="G407" t="n">
        <v>6.6</v>
      </c>
      <c r="H407" t="n">
        <v>0</v>
      </c>
      <c r="I407" t="n">
        <v>0</v>
      </c>
      <c r="J407" t="n">
        <v>0</v>
      </c>
      <c r="K407" t="n">
        <v>0</v>
      </c>
      <c r="L407" t="n">
        <v>0</v>
      </c>
      <c r="M407" t="n">
        <v>0</v>
      </c>
      <c r="N407" t="n">
        <v>0</v>
      </c>
      <c r="O407" t="n">
        <v>0</v>
      </c>
      <c r="P407" t="n">
        <v>0</v>
      </c>
      <c r="Q407" t="n">
        <v>0</v>
      </c>
      <c r="R407" s="2" t="inlineStr"/>
    </row>
    <row r="408" ht="15" customHeight="1">
      <c r="A408" t="inlineStr">
        <is>
          <t>A 15943-2022</t>
        </is>
      </c>
      <c r="B408" s="1" t="n">
        <v>44664</v>
      </c>
      <c r="C408" s="1" t="n">
        <v>45725</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15939-2022</t>
        </is>
      </c>
      <c r="B409" s="1" t="n">
        <v>44664</v>
      </c>
      <c r="C409" s="1" t="n">
        <v>45725</v>
      </c>
      <c r="D409" t="inlineStr">
        <is>
          <t>UPPSALA LÄN</t>
        </is>
      </c>
      <c r="E409" t="inlineStr">
        <is>
          <t>ENKÖPING</t>
        </is>
      </c>
      <c r="G409" t="n">
        <v>2</v>
      </c>
      <c r="H409" t="n">
        <v>0</v>
      </c>
      <c r="I409" t="n">
        <v>0</v>
      </c>
      <c r="J409" t="n">
        <v>0</v>
      </c>
      <c r="K409" t="n">
        <v>0</v>
      </c>
      <c r="L409" t="n">
        <v>0</v>
      </c>
      <c r="M409" t="n">
        <v>0</v>
      </c>
      <c r="N409" t="n">
        <v>0</v>
      </c>
      <c r="O409" t="n">
        <v>0</v>
      </c>
      <c r="P409" t="n">
        <v>0</v>
      </c>
      <c r="Q409" t="n">
        <v>0</v>
      </c>
      <c r="R409" s="2" t="inlineStr"/>
    </row>
    <row r="410" ht="15" customHeight="1">
      <c r="A410" t="inlineStr">
        <is>
          <t>A 16916-2022</t>
        </is>
      </c>
      <c r="B410" s="1" t="n">
        <v>44676</v>
      </c>
      <c r="C410" s="1" t="n">
        <v>45725</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16967-2022</t>
        </is>
      </c>
      <c r="B411" s="1" t="n">
        <v>44676</v>
      </c>
      <c r="C411" s="1" t="n">
        <v>45725</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17298-2022</t>
        </is>
      </c>
      <c r="B412" s="1" t="n">
        <v>44678</v>
      </c>
      <c r="C412" s="1" t="n">
        <v>45725</v>
      </c>
      <c r="D412" t="inlineStr">
        <is>
          <t>UPPSALA LÄN</t>
        </is>
      </c>
      <c r="E412" t="inlineStr">
        <is>
          <t>ENKÖPING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17465-2022</t>
        </is>
      </c>
      <c r="B413" s="1" t="n">
        <v>44679</v>
      </c>
      <c r="C413" s="1" t="n">
        <v>45725</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17467-2022</t>
        </is>
      </c>
      <c r="B414" s="1" t="n">
        <v>44679</v>
      </c>
      <c r="C414" s="1" t="n">
        <v>45725</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17453-2022</t>
        </is>
      </c>
      <c r="B415" s="1" t="n">
        <v>44679</v>
      </c>
      <c r="C415" s="1" t="n">
        <v>45725</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17719-2022</t>
        </is>
      </c>
      <c r="B416" s="1" t="n">
        <v>44680</v>
      </c>
      <c r="C416" s="1" t="n">
        <v>45725</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17704-2022</t>
        </is>
      </c>
      <c r="B417" s="1" t="n">
        <v>44680</v>
      </c>
      <c r="C417" s="1" t="n">
        <v>45725</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18785-2022</t>
        </is>
      </c>
      <c r="B418" s="1" t="n">
        <v>44687</v>
      </c>
      <c r="C418" s="1" t="n">
        <v>45725</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19487-2022</t>
        </is>
      </c>
      <c r="B419" s="1" t="n">
        <v>44693</v>
      </c>
      <c r="C419" s="1" t="n">
        <v>45725</v>
      </c>
      <c r="D419" t="inlineStr">
        <is>
          <t>UPPSALA LÄN</t>
        </is>
      </c>
      <c r="E419" t="inlineStr">
        <is>
          <t>ENKÖPING</t>
        </is>
      </c>
      <c r="G419" t="n">
        <v>2.6</v>
      </c>
      <c r="H419" t="n">
        <v>0</v>
      </c>
      <c r="I419" t="n">
        <v>0</v>
      </c>
      <c r="J419" t="n">
        <v>0</v>
      </c>
      <c r="K419" t="n">
        <v>0</v>
      </c>
      <c r="L419" t="n">
        <v>0</v>
      </c>
      <c r="M419" t="n">
        <v>0</v>
      </c>
      <c r="N419" t="n">
        <v>0</v>
      </c>
      <c r="O419" t="n">
        <v>0</v>
      </c>
      <c r="P419" t="n">
        <v>0</v>
      </c>
      <c r="Q419" t="n">
        <v>0</v>
      </c>
      <c r="R419" s="2" t="inlineStr"/>
    </row>
    <row r="420" ht="15" customHeight="1">
      <c r="A420" t="inlineStr">
        <is>
          <t>A 19488-2022</t>
        </is>
      </c>
      <c r="B420" s="1" t="n">
        <v>44693</v>
      </c>
      <c r="C420" s="1" t="n">
        <v>45725</v>
      </c>
      <c r="D420" t="inlineStr">
        <is>
          <t>UPPSALA LÄN</t>
        </is>
      </c>
      <c r="E420" t="inlineStr">
        <is>
          <t>ENKÖPING</t>
        </is>
      </c>
      <c r="G420" t="n">
        <v>7.8</v>
      </c>
      <c r="H420" t="n">
        <v>0</v>
      </c>
      <c r="I420" t="n">
        <v>0</v>
      </c>
      <c r="J420" t="n">
        <v>0</v>
      </c>
      <c r="K420" t="n">
        <v>0</v>
      </c>
      <c r="L420" t="n">
        <v>0</v>
      </c>
      <c r="M420" t="n">
        <v>0</v>
      </c>
      <c r="N420" t="n">
        <v>0</v>
      </c>
      <c r="O420" t="n">
        <v>0</v>
      </c>
      <c r="P420" t="n">
        <v>0</v>
      </c>
      <c r="Q420" t="n">
        <v>0</v>
      </c>
      <c r="R420" s="2" t="inlineStr"/>
    </row>
    <row r="421" ht="15" customHeight="1">
      <c r="A421" t="inlineStr">
        <is>
          <t>A 19731-2022</t>
        </is>
      </c>
      <c r="B421" s="1" t="n">
        <v>44694</v>
      </c>
      <c r="C421" s="1" t="n">
        <v>45725</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19965-2022</t>
        </is>
      </c>
      <c r="B422" s="1" t="n">
        <v>44697</v>
      </c>
      <c r="C422" s="1" t="n">
        <v>45725</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20321-2022</t>
        </is>
      </c>
      <c r="B423" s="1" t="n">
        <v>44699</v>
      </c>
      <c r="C423" s="1" t="n">
        <v>45725</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23307-2022</t>
        </is>
      </c>
      <c r="B424" s="1" t="n">
        <v>44720</v>
      </c>
      <c r="C424" s="1" t="n">
        <v>45725</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24141-2022</t>
        </is>
      </c>
      <c r="B425" s="1" t="n">
        <v>44725</v>
      </c>
      <c r="C425" s="1" t="n">
        <v>45725</v>
      </c>
      <c r="D425" t="inlineStr">
        <is>
          <t>UPPSALA LÄN</t>
        </is>
      </c>
      <c r="E425" t="inlineStr">
        <is>
          <t>ENKÖPING</t>
        </is>
      </c>
      <c r="G425" t="n">
        <v>5.2</v>
      </c>
      <c r="H425" t="n">
        <v>0</v>
      </c>
      <c r="I425" t="n">
        <v>0</v>
      </c>
      <c r="J425" t="n">
        <v>0</v>
      </c>
      <c r="K425" t="n">
        <v>0</v>
      </c>
      <c r="L425" t="n">
        <v>0</v>
      </c>
      <c r="M425" t="n">
        <v>0</v>
      </c>
      <c r="N425" t="n">
        <v>0</v>
      </c>
      <c r="O425" t="n">
        <v>0</v>
      </c>
      <c r="P425" t="n">
        <v>0</v>
      </c>
      <c r="Q425" t="n">
        <v>0</v>
      </c>
      <c r="R425" s="2" t="inlineStr"/>
    </row>
    <row r="426" ht="15" customHeight="1">
      <c r="A426" t="inlineStr">
        <is>
          <t>A 24815-2022</t>
        </is>
      </c>
      <c r="B426" s="1" t="n">
        <v>44728</v>
      </c>
      <c r="C426" s="1" t="n">
        <v>45725</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24883-2022</t>
        </is>
      </c>
      <c r="B427" s="1" t="n">
        <v>44728</v>
      </c>
      <c r="C427" s="1" t="n">
        <v>45725</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26292-2022</t>
        </is>
      </c>
      <c r="B428" s="1" t="n">
        <v>44735</v>
      </c>
      <c r="C428" s="1" t="n">
        <v>45725</v>
      </c>
      <c r="D428" t="inlineStr">
        <is>
          <t>UPPSALA LÄN</t>
        </is>
      </c>
      <c r="E428" t="inlineStr">
        <is>
          <t>ENKÖPING</t>
        </is>
      </c>
      <c r="F428" t="inlineStr">
        <is>
          <t>Kyrkan</t>
        </is>
      </c>
      <c r="G428" t="n">
        <v>4.6</v>
      </c>
      <c r="H428" t="n">
        <v>0</v>
      </c>
      <c r="I428" t="n">
        <v>0</v>
      </c>
      <c r="J428" t="n">
        <v>0</v>
      </c>
      <c r="K428" t="n">
        <v>0</v>
      </c>
      <c r="L428" t="n">
        <v>0</v>
      </c>
      <c r="M428" t="n">
        <v>0</v>
      </c>
      <c r="N428" t="n">
        <v>0</v>
      </c>
      <c r="O428" t="n">
        <v>0</v>
      </c>
      <c r="P428" t="n">
        <v>0</v>
      </c>
      <c r="Q428" t="n">
        <v>0</v>
      </c>
      <c r="R428" s="2" t="inlineStr"/>
    </row>
    <row r="429" ht="15" customHeight="1">
      <c r="A429" t="inlineStr">
        <is>
          <t>A 26319-2022</t>
        </is>
      </c>
      <c r="B429" s="1" t="n">
        <v>44735</v>
      </c>
      <c r="C429" s="1" t="n">
        <v>45725</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29479-2022</t>
        </is>
      </c>
      <c r="B430" s="1" t="n">
        <v>44753</v>
      </c>
      <c r="C430" s="1" t="n">
        <v>45725</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29484-2022</t>
        </is>
      </c>
      <c r="B431" s="1" t="n">
        <v>44753</v>
      </c>
      <c r="C431" s="1" t="n">
        <v>45725</v>
      </c>
      <c r="D431" t="inlineStr">
        <is>
          <t>UPPSALA LÄN</t>
        </is>
      </c>
      <c r="E431" t="inlineStr">
        <is>
          <t>ENKÖPING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29435-2022</t>
        </is>
      </c>
      <c r="B432" s="1" t="n">
        <v>44753</v>
      </c>
      <c r="C432" s="1" t="n">
        <v>45725</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29483-2022</t>
        </is>
      </c>
      <c r="B433" s="1" t="n">
        <v>44753</v>
      </c>
      <c r="C433" s="1" t="n">
        <v>45725</v>
      </c>
      <c r="D433" t="inlineStr">
        <is>
          <t>UPPSALA LÄN</t>
        </is>
      </c>
      <c r="E433" t="inlineStr">
        <is>
          <t>ENKÖPING</t>
        </is>
      </c>
      <c r="G433" t="n">
        <v>3.6</v>
      </c>
      <c r="H433" t="n">
        <v>0</v>
      </c>
      <c r="I433" t="n">
        <v>0</v>
      </c>
      <c r="J433" t="n">
        <v>0</v>
      </c>
      <c r="K433" t="n">
        <v>0</v>
      </c>
      <c r="L433" t="n">
        <v>0</v>
      </c>
      <c r="M433" t="n">
        <v>0</v>
      </c>
      <c r="N433" t="n">
        <v>0</v>
      </c>
      <c r="O433" t="n">
        <v>0</v>
      </c>
      <c r="P433" t="n">
        <v>0</v>
      </c>
      <c r="Q433" t="n">
        <v>0</v>
      </c>
      <c r="R433" s="2" t="inlineStr"/>
    </row>
    <row r="434" ht="15" customHeight="1">
      <c r="A434" t="inlineStr">
        <is>
          <t>A 29475-2022</t>
        </is>
      </c>
      <c r="B434" s="1" t="n">
        <v>44753</v>
      </c>
      <c r="C434" s="1" t="n">
        <v>45725</v>
      </c>
      <c r="D434" t="inlineStr">
        <is>
          <t>UPPSALA LÄN</t>
        </is>
      </c>
      <c r="E434" t="inlineStr">
        <is>
          <t>ENKÖPING</t>
        </is>
      </c>
      <c r="G434" t="n">
        <v>6.9</v>
      </c>
      <c r="H434" t="n">
        <v>0</v>
      </c>
      <c r="I434" t="n">
        <v>0</v>
      </c>
      <c r="J434" t="n">
        <v>0</v>
      </c>
      <c r="K434" t="n">
        <v>0</v>
      </c>
      <c r="L434" t="n">
        <v>0</v>
      </c>
      <c r="M434" t="n">
        <v>0</v>
      </c>
      <c r="N434" t="n">
        <v>0</v>
      </c>
      <c r="O434" t="n">
        <v>0</v>
      </c>
      <c r="P434" t="n">
        <v>0</v>
      </c>
      <c r="Q434" t="n">
        <v>0</v>
      </c>
      <c r="R434" s="2" t="inlineStr"/>
    </row>
    <row r="435" ht="15" customHeight="1">
      <c r="A435" t="inlineStr">
        <is>
          <t>A 29425-2022</t>
        </is>
      </c>
      <c r="B435" s="1" t="n">
        <v>44753</v>
      </c>
      <c r="C435" s="1" t="n">
        <v>45725</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29433-2022</t>
        </is>
      </c>
      <c r="B436" s="1" t="n">
        <v>44753</v>
      </c>
      <c r="C436" s="1" t="n">
        <v>45725</v>
      </c>
      <c r="D436" t="inlineStr">
        <is>
          <t>UPPSALA LÄN</t>
        </is>
      </c>
      <c r="E436" t="inlineStr">
        <is>
          <t>ENKÖPING</t>
        </is>
      </c>
      <c r="G436" t="n">
        <v>4.3</v>
      </c>
      <c r="H436" t="n">
        <v>0</v>
      </c>
      <c r="I436" t="n">
        <v>0</v>
      </c>
      <c r="J436" t="n">
        <v>0</v>
      </c>
      <c r="K436" t="n">
        <v>0</v>
      </c>
      <c r="L436" t="n">
        <v>0</v>
      </c>
      <c r="M436" t="n">
        <v>0</v>
      </c>
      <c r="N436" t="n">
        <v>0</v>
      </c>
      <c r="O436" t="n">
        <v>0</v>
      </c>
      <c r="P436" t="n">
        <v>0</v>
      </c>
      <c r="Q436" t="n">
        <v>0</v>
      </c>
      <c r="R436" s="2" t="inlineStr"/>
    </row>
    <row r="437" ht="15" customHeight="1">
      <c r="A437" t="inlineStr">
        <is>
          <t>A 29482-2022</t>
        </is>
      </c>
      <c r="B437" s="1" t="n">
        <v>44753</v>
      </c>
      <c r="C437" s="1" t="n">
        <v>45725</v>
      </c>
      <c r="D437" t="inlineStr">
        <is>
          <t>UPPSALA LÄN</t>
        </is>
      </c>
      <c r="E437" t="inlineStr">
        <is>
          <t>ENKÖPING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30437-2022</t>
        </is>
      </c>
      <c r="B438" s="1" t="n">
        <v>44761</v>
      </c>
      <c r="C438" s="1" t="n">
        <v>45725</v>
      </c>
      <c r="D438" t="inlineStr">
        <is>
          <t>UPPSALA LÄN</t>
        </is>
      </c>
      <c r="E438" t="inlineStr">
        <is>
          <t>ENKÖPING</t>
        </is>
      </c>
      <c r="G438" t="n">
        <v>3.4</v>
      </c>
      <c r="H438" t="n">
        <v>0</v>
      </c>
      <c r="I438" t="n">
        <v>0</v>
      </c>
      <c r="J438" t="n">
        <v>0</v>
      </c>
      <c r="K438" t="n">
        <v>0</v>
      </c>
      <c r="L438" t="n">
        <v>0</v>
      </c>
      <c r="M438" t="n">
        <v>0</v>
      </c>
      <c r="N438" t="n">
        <v>0</v>
      </c>
      <c r="O438" t="n">
        <v>0</v>
      </c>
      <c r="P438" t="n">
        <v>0</v>
      </c>
      <c r="Q438" t="n">
        <v>0</v>
      </c>
      <c r="R438" s="2" t="inlineStr"/>
    </row>
    <row r="439" ht="15" customHeight="1">
      <c r="A439" t="inlineStr">
        <is>
          <t>A 30634-2022</t>
        </is>
      </c>
      <c r="B439" s="1" t="n">
        <v>44763</v>
      </c>
      <c r="C439" s="1" t="n">
        <v>45725</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31013-2022</t>
        </is>
      </c>
      <c r="B440" s="1" t="n">
        <v>44768</v>
      </c>
      <c r="C440" s="1" t="n">
        <v>45725</v>
      </c>
      <c r="D440" t="inlineStr">
        <is>
          <t>UPPSALA LÄN</t>
        </is>
      </c>
      <c r="E440" t="inlineStr">
        <is>
          <t>ENKÖPING</t>
        </is>
      </c>
      <c r="F440" t="inlineStr">
        <is>
          <t>Allmännings- och besparingsskogar</t>
        </is>
      </c>
      <c r="G440" t="n">
        <v>0.5</v>
      </c>
      <c r="H440" t="n">
        <v>0</v>
      </c>
      <c r="I440" t="n">
        <v>0</v>
      </c>
      <c r="J440" t="n">
        <v>0</v>
      </c>
      <c r="K440" t="n">
        <v>0</v>
      </c>
      <c r="L440" t="n">
        <v>0</v>
      </c>
      <c r="M440" t="n">
        <v>0</v>
      </c>
      <c r="N440" t="n">
        <v>0</v>
      </c>
      <c r="O440" t="n">
        <v>0</v>
      </c>
      <c r="P440" t="n">
        <v>0</v>
      </c>
      <c r="Q440" t="n">
        <v>0</v>
      </c>
      <c r="R440" s="2" t="inlineStr"/>
    </row>
    <row r="441" ht="15" customHeight="1">
      <c r="A441" t="inlineStr">
        <is>
          <t>A 31622-2022</t>
        </is>
      </c>
      <c r="B441" s="1" t="n">
        <v>44775</v>
      </c>
      <c r="C441" s="1" t="n">
        <v>45725</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33619-2022</t>
        </is>
      </c>
      <c r="B442" s="1" t="n">
        <v>44789</v>
      </c>
      <c r="C442" s="1" t="n">
        <v>45725</v>
      </c>
      <c r="D442" t="inlineStr">
        <is>
          <t>UPPSALA LÄN</t>
        </is>
      </c>
      <c r="E442" t="inlineStr">
        <is>
          <t>ENKÖPING</t>
        </is>
      </c>
      <c r="F442" t="inlineStr">
        <is>
          <t>Allmännings- och besparingsskogar</t>
        </is>
      </c>
      <c r="G442" t="n">
        <v>4.5</v>
      </c>
      <c r="H442" t="n">
        <v>0</v>
      </c>
      <c r="I442" t="n">
        <v>0</v>
      </c>
      <c r="J442" t="n">
        <v>0</v>
      </c>
      <c r="K442" t="n">
        <v>0</v>
      </c>
      <c r="L442" t="n">
        <v>0</v>
      </c>
      <c r="M442" t="n">
        <v>0</v>
      </c>
      <c r="N442" t="n">
        <v>0</v>
      </c>
      <c r="O442" t="n">
        <v>0</v>
      </c>
      <c r="P442" t="n">
        <v>0</v>
      </c>
      <c r="Q442" t="n">
        <v>0</v>
      </c>
      <c r="R442" s="2" t="inlineStr"/>
    </row>
    <row r="443" ht="15" customHeight="1">
      <c r="A443" t="inlineStr">
        <is>
          <t>A 33821-2022</t>
        </is>
      </c>
      <c r="B443" s="1" t="n">
        <v>44790</v>
      </c>
      <c r="C443" s="1" t="n">
        <v>45725</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34617-2022</t>
        </is>
      </c>
      <c r="B444" s="1" t="n">
        <v>44795</v>
      </c>
      <c r="C444" s="1" t="n">
        <v>45725</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37410-2022</t>
        </is>
      </c>
      <c r="B445" s="1" t="n">
        <v>44809</v>
      </c>
      <c r="C445" s="1" t="n">
        <v>45725</v>
      </c>
      <c r="D445" t="inlineStr">
        <is>
          <t>UPPSALA LÄN</t>
        </is>
      </c>
      <c r="E445" t="inlineStr">
        <is>
          <t>ENKÖPING</t>
        </is>
      </c>
      <c r="G445" t="n">
        <v>3.6</v>
      </c>
      <c r="H445" t="n">
        <v>0</v>
      </c>
      <c r="I445" t="n">
        <v>0</v>
      </c>
      <c r="J445" t="n">
        <v>0</v>
      </c>
      <c r="K445" t="n">
        <v>0</v>
      </c>
      <c r="L445" t="n">
        <v>0</v>
      </c>
      <c r="M445" t="n">
        <v>0</v>
      </c>
      <c r="N445" t="n">
        <v>0</v>
      </c>
      <c r="O445" t="n">
        <v>0</v>
      </c>
      <c r="P445" t="n">
        <v>0</v>
      </c>
      <c r="Q445" t="n">
        <v>0</v>
      </c>
      <c r="R445" s="2" t="inlineStr"/>
    </row>
    <row r="446" ht="15" customHeight="1">
      <c r="A446" t="inlineStr">
        <is>
          <t>A 37414-2022</t>
        </is>
      </c>
      <c r="B446" s="1" t="n">
        <v>44809</v>
      </c>
      <c r="C446" s="1" t="n">
        <v>45725</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38005-2022</t>
        </is>
      </c>
      <c r="B447" s="1" t="n">
        <v>44810</v>
      </c>
      <c r="C447" s="1" t="n">
        <v>45725</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38775-2022</t>
        </is>
      </c>
      <c r="B448" s="1" t="n">
        <v>44816</v>
      </c>
      <c r="C448" s="1" t="n">
        <v>45725</v>
      </c>
      <c r="D448" t="inlineStr">
        <is>
          <t>UPPSALA LÄN</t>
        </is>
      </c>
      <c r="E448" t="inlineStr">
        <is>
          <t>ENKÖPING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39751-2022</t>
        </is>
      </c>
      <c r="B449" s="1" t="n">
        <v>44819</v>
      </c>
      <c r="C449" s="1" t="n">
        <v>45725</v>
      </c>
      <c r="D449" t="inlineStr">
        <is>
          <t>UPPSALA LÄN</t>
        </is>
      </c>
      <c r="E449" t="inlineStr">
        <is>
          <t>ENKÖPING</t>
        </is>
      </c>
      <c r="G449" t="n">
        <v>7.6</v>
      </c>
      <c r="H449" t="n">
        <v>0</v>
      </c>
      <c r="I449" t="n">
        <v>0</v>
      </c>
      <c r="J449" t="n">
        <v>0</v>
      </c>
      <c r="K449" t="n">
        <v>0</v>
      </c>
      <c r="L449" t="n">
        <v>0</v>
      </c>
      <c r="M449" t="n">
        <v>0</v>
      </c>
      <c r="N449" t="n">
        <v>0</v>
      </c>
      <c r="O449" t="n">
        <v>0</v>
      </c>
      <c r="P449" t="n">
        <v>0</v>
      </c>
      <c r="Q449" t="n">
        <v>0</v>
      </c>
      <c r="R449" s="2" t="inlineStr"/>
    </row>
    <row r="450" ht="15" customHeight="1">
      <c r="A450" t="inlineStr">
        <is>
          <t>A 39922-2022</t>
        </is>
      </c>
      <c r="B450" s="1" t="n">
        <v>44819</v>
      </c>
      <c r="C450" s="1" t="n">
        <v>45725</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40773-2022</t>
        </is>
      </c>
      <c r="B451" s="1" t="n">
        <v>44824</v>
      </c>
      <c r="C451" s="1" t="n">
        <v>45725</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40812-2022</t>
        </is>
      </c>
      <c r="B452" s="1" t="n">
        <v>44824</v>
      </c>
      <c r="C452" s="1" t="n">
        <v>45725</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41736-2022</t>
        </is>
      </c>
      <c r="B453" s="1" t="n">
        <v>44827</v>
      </c>
      <c r="C453" s="1" t="n">
        <v>45725</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41737-2022</t>
        </is>
      </c>
      <c r="B454" s="1" t="n">
        <v>44827</v>
      </c>
      <c r="C454" s="1" t="n">
        <v>45725</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41753-2022</t>
        </is>
      </c>
      <c r="B455" s="1" t="n">
        <v>44827</v>
      </c>
      <c r="C455" s="1" t="n">
        <v>45725</v>
      </c>
      <c r="D455" t="inlineStr">
        <is>
          <t>UPPSALA LÄN</t>
        </is>
      </c>
      <c r="E455" t="inlineStr">
        <is>
          <t>ENKÖPING</t>
        </is>
      </c>
      <c r="G455" t="n">
        <v>3</v>
      </c>
      <c r="H455" t="n">
        <v>0</v>
      </c>
      <c r="I455" t="n">
        <v>0</v>
      </c>
      <c r="J455" t="n">
        <v>0</v>
      </c>
      <c r="K455" t="n">
        <v>0</v>
      </c>
      <c r="L455" t="n">
        <v>0</v>
      </c>
      <c r="M455" t="n">
        <v>0</v>
      </c>
      <c r="N455" t="n">
        <v>0</v>
      </c>
      <c r="O455" t="n">
        <v>0</v>
      </c>
      <c r="P455" t="n">
        <v>0</v>
      </c>
      <c r="Q455" t="n">
        <v>0</v>
      </c>
      <c r="R455" s="2" t="inlineStr"/>
    </row>
    <row r="456" ht="15" customHeight="1">
      <c r="A456" t="inlineStr">
        <is>
          <t>A 42589-2022</t>
        </is>
      </c>
      <c r="B456" s="1" t="n">
        <v>44831</v>
      </c>
      <c r="C456" s="1" t="n">
        <v>45725</v>
      </c>
      <c r="D456" t="inlineStr">
        <is>
          <t>UPPSALA LÄN</t>
        </is>
      </c>
      <c r="E456" t="inlineStr">
        <is>
          <t>ENKÖPING</t>
        </is>
      </c>
      <c r="G456" t="n">
        <v>20</v>
      </c>
      <c r="H456" t="n">
        <v>0</v>
      </c>
      <c r="I456" t="n">
        <v>0</v>
      </c>
      <c r="J456" t="n">
        <v>0</v>
      </c>
      <c r="K456" t="n">
        <v>0</v>
      </c>
      <c r="L456" t="n">
        <v>0</v>
      </c>
      <c r="M456" t="n">
        <v>0</v>
      </c>
      <c r="N456" t="n">
        <v>0</v>
      </c>
      <c r="O456" t="n">
        <v>0</v>
      </c>
      <c r="P456" t="n">
        <v>0</v>
      </c>
      <c r="Q456" t="n">
        <v>0</v>
      </c>
      <c r="R456" s="2" t="inlineStr"/>
    </row>
    <row r="457" ht="15" customHeight="1">
      <c r="A457" t="inlineStr">
        <is>
          <t>A 42592-2022</t>
        </is>
      </c>
      <c r="B457" s="1" t="n">
        <v>44831</v>
      </c>
      <c r="C457" s="1" t="n">
        <v>45725</v>
      </c>
      <c r="D457" t="inlineStr">
        <is>
          <t>UPPSALA LÄN</t>
        </is>
      </c>
      <c r="E457" t="inlineStr">
        <is>
          <t>ENKÖPING</t>
        </is>
      </c>
      <c r="G457" t="n">
        <v>4.5</v>
      </c>
      <c r="H457" t="n">
        <v>0</v>
      </c>
      <c r="I457" t="n">
        <v>0</v>
      </c>
      <c r="J457" t="n">
        <v>0</v>
      </c>
      <c r="K457" t="n">
        <v>0</v>
      </c>
      <c r="L457" t="n">
        <v>0</v>
      </c>
      <c r="M457" t="n">
        <v>0</v>
      </c>
      <c r="N457" t="n">
        <v>0</v>
      </c>
      <c r="O457" t="n">
        <v>0</v>
      </c>
      <c r="P457" t="n">
        <v>0</v>
      </c>
      <c r="Q457" t="n">
        <v>0</v>
      </c>
      <c r="R457" s="2" t="inlineStr"/>
    </row>
    <row r="458" ht="15" customHeight="1">
      <c r="A458" t="inlineStr">
        <is>
          <t>A 43896-2022</t>
        </is>
      </c>
      <c r="B458" s="1" t="n">
        <v>44838</v>
      </c>
      <c r="C458" s="1" t="n">
        <v>45725</v>
      </c>
      <c r="D458" t="inlineStr">
        <is>
          <t>UPPSALA LÄN</t>
        </is>
      </c>
      <c r="E458" t="inlineStr">
        <is>
          <t>ENKÖPING</t>
        </is>
      </c>
      <c r="G458" t="n">
        <v>5.3</v>
      </c>
      <c r="H458" t="n">
        <v>0</v>
      </c>
      <c r="I458" t="n">
        <v>0</v>
      </c>
      <c r="J458" t="n">
        <v>0</v>
      </c>
      <c r="K458" t="n">
        <v>0</v>
      </c>
      <c r="L458" t="n">
        <v>0</v>
      </c>
      <c r="M458" t="n">
        <v>0</v>
      </c>
      <c r="N458" t="n">
        <v>0</v>
      </c>
      <c r="O458" t="n">
        <v>0</v>
      </c>
      <c r="P458" t="n">
        <v>0</v>
      </c>
      <c r="Q458" t="n">
        <v>0</v>
      </c>
      <c r="R458" s="2" t="inlineStr"/>
    </row>
    <row r="459" ht="15" customHeight="1">
      <c r="A459" t="inlineStr">
        <is>
          <t>A 45362-2022</t>
        </is>
      </c>
      <c r="B459" s="1" t="n">
        <v>44844</v>
      </c>
      <c r="C459" s="1" t="n">
        <v>45725</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45283-2022</t>
        </is>
      </c>
      <c r="B460" s="1" t="n">
        <v>44844</v>
      </c>
      <c r="C460" s="1" t="n">
        <v>45725</v>
      </c>
      <c r="D460" t="inlineStr">
        <is>
          <t>UPPSALA LÄN</t>
        </is>
      </c>
      <c r="E460" t="inlineStr">
        <is>
          <t>ENKÖPING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45852-2022</t>
        </is>
      </c>
      <c r="B461" s="1" t="n">
        <v>44846</v>
      </c>
      <c r="C461" s="1" t="n">
        <v>45725</v>
      </c>
      <c r="D461" t="inlineStr">
        <is>
          <t>UPPSALA LÄN</t>
        </is>
      </c>
      <c r="E461" t="inlineStr">
        <is>
          <t>ENKÖPING</t>
        </is>
      </c>
      <c r="G461" t="n">
        <v>6</v>
      </c>
      <c r="H461" t="n">
        <v>0</v>
      </c>
      <c r="I461" t="n">
        <v>0</v>
      </c>
      <c r="J461" t="n">
        <v>0</v>
      </c>
      <c r="K461" t="n">
        <v>0</v>
      </c>
      <c r="L461" t="n">
        <v>0</v>
      </c>
      <c r="M461" t="n">
        <v>0</v>
      </c>
      <c r="N461" t="n">
        <v>0</v>
      </c>
      <c r="O461" t="n">
        <v>0</v>
      </c>
      <c r="P461" t="n">
        <v>0</v>
      </c>
      <c r="Q461" t="n">
        <v>0</v>
      </c>
      <c r="R461" s="2" t="inlineStr"/>
    </row>
    <row r="462" ht="15" customHeight="1">
      <c r="A462" t="inlineStr">
        <is>
          <t>A 46749-2022</t>
        </is>
      </c>
      <c r="B462" s="1" t="n">
        <v>44851</v>
      </c>
      <c r="C462" s="1" t="n">
        <v>45725</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47431-2022</t>
        </is>
      </c>
      <c r="B463" s="1" t="n">
        <v>44853</v>
      </c>
      <c r="C463" s="1" t="n">
        <v>45725</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47516-2022</t>
        </is>
      </c>
      <c r="B464" s="1" t="n">
        <v>44853</v>
      </c>
      <c r="C464" s="1" t="n">
        <v>45725</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48230-2022</t>
        </is>
      </c>
      <c r="B465" s="1" t="n">
        <v>44858</v>
      </c>
      <c r="C465" s="1" t="n">
        <v>45725</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48233-2022</t>
        </is>
      </c>
      <c r="B466" s="1" t="n">
        <v>44858</v>
      </c>
      <c r="C466" s="1" t="n">
        <v>45725</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48864-2022</t>
        </is>
      </c>
      <c r="B467" s="1" t="n">
        <v>44859</v>
      </c>
      <c r="C467" s="1" t="n">
        <v>45725</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49557-2022</t>
        </is>
      </c>
      <c r="B468" s="1" t="n">
        <v>44862</v>
      </c>
      <c r="C468" s="1" t="n">
        <v>45725</v>
      </c>
      <c r="D468" t="inlineStr">
        <is>
          <t>UPPSALA LÄN</t>
        </is>
      </c>
      <c r="E468" t="inlineStr">
        <is>
          <t>ENKÖPING</t>
        </is>
      </c>
      <c r="G468" t="n">
        <v>2.9</v>
      </c>
      <c r="H468" t="n">
        <v>0</v>
      </c>
      <c r="I468" t="n">
        <v>0</v>
      </c>
      <c r="J468" t="n">
        <v>0</v>
      </c>
      <c r="K468" t="n">
        <v>0</v>
      </c>
      <c r="L468" t="n">
        <v>0</v>
      </c>
      <c r="M468" t="n">
        <v>0</v>
      </c>
      <c r="N468" t="n">
        <v>0</v>
      </c>
      <c r="O468" t="n">
        <v>0</v>
      </c>
      <c r="P468" t="n">
        <v>0</v>
      </c>
      <c r="Q468" t="n">
        <v>0</v>
      </c>
      <c r="R468" s="2" t="inlineStr"/>
    </row>
    <row r="469" ht="15" customHeight="1">
      <c r="A469" t="inlineStr">
        <is>
          <t>A 49562-2022</t>
        </is>
      </c>
      <c r="B469" s="1" t="n">
        <v>44862</v>
      </c>
      <c r="C469" s="1" t="n">
        <v>45725</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49560-2022</t>
        </is>
      </c>
      <c r="B470" s="1" t="n">
        <v>44862</v>
      </c>
      <c r="C470" s="1" t="n">
        <v>45725</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49568-2022</t>
        </is>
      </c>
      <c r="B471" s="1" t="n">
        <v>44862</v>
      </c>
      <c r="C471" s="1" t="n">
        <v>45725</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50747-2022</t>
        </is>
      </c>
      <c r="B472" s="1" t="n">
        <v>44867</v>
      </c>
      <c r="C472" s="1" t="n">
        <v>45725</v>
      </c>
      <c r="D472" t="inlineStr">
        <is>
          <t>UPPSALA LÄN</t>
        </is>
      </c>
      <c r="E472" t="inlineStr">
        <is>
          <t>ENKÖPING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51524-2022</t>
        </is>
      </c>
      <c r="B473" s="1" t="n">
        <v>44869</v>
      </c>
      <c r="C473" s="1" t="n">
        <v>45725</v>
      </c>
      <c r="D473" t="inlineStr">
        <is>
          <t>UPPSALA LÄN</t>
        </is>
      </c>
      <c r="E473" t="inlineStr">
        <is>
          <t>ENKÖPING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51932-2022</t>
        </is>
      </c>
      <c r="B474" s="1" t="n">
        <v>44872</v>
      </c>
      <c r="C474" s="1" t="n">
        <v>45725</v>
      </c>
      <c r="D474" t="inlineStr">
        <is>
          <t>UPPSALA LÄN</t>
        </is>
      </c>
      <c r="E474" t="inlineStr">
        <is>
          <t>ENKÖPING</t>
        </is>
      </c>
      <c r="G474" t="n">
        <v>5.5</v>
      </c>
      <c r="H474" t="n">
        <v>0</v>
      </c>
      <c r="I474" t="n">
        <v>0</v>
      </c>
      <c r="J474" t="n">
        <v>0</v>
      </c>
      <c r="K474" t="n">
        <v>0</v>
      </c>
      <c r="L474" t="n">
        <v>0</v>
      </c>
      <c r="M474" t="n">
        <v>0</v>
      </c>
      <c r="N474" t="n">
        <v>0</v>
      </c>
      <c r="O474" t="n">
        <v>0</v>
      </c>
      <c r="P474" t="n">
        <v>0</v>
      </c>
      <c r="Q474" t="n">
        <v>0</v>
      </c>
      <c r="R474" s="2" t="inlineStr"/>
    </row>
    <row r="475" ht="15" customHeight="1">
      <c r="A475" t="inlineStr">
        <is>
          <t>A 52895-2022</t>
        </is>
      </c>
      <c r="B475" s="1" t="n">
        <v>44875</v>
      </c>
      <c r="C475" s="1" t="n">
        <v>45725</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52893-2022</t>
        </is>
      </c>
      <c r="B476" s="1" t="n">
        <v>44875</v>
      </c>
      <c r="C476" s="1" t="n">
        <v>45725</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52889-2022</t>
        </is>
      </c>
      <c r="B477" s="1" t="n">
        <v>44875</v>
      </c>
      <c r="C477" s="1" t="n">
        <v>45725</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52896-2022</t>
        </is>
      </c>
      <c r="B478" s="1" t="n">
        <v>44875</v>
      </c>
      <c r="C478" s="1" t="n">
        <v>45725</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53496-2022</t>
        </is>
      </c>
      <c r="B479" s="1" t="n">
        <v>44879</v>
      </c>
      <c r="C479" s="1" t="n">
        <v>45725</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56526-2022</t>
        </is>
      </c>
      <c r="B480" s="1" t="n">
        <v>44893</v>
      </c>
      <c r="C480" s="1" t="n">
        <v>45725</v>
      </c>
      <c r="D480" t="inlineStr">
        <is>
          <t>UPPSALA LÄN</t>
        </is>
      </c>
      <c r="E480" t="inlineStr">
        <is>
          <t>ENKÖPING</t>
        </is>
      </c>
      <c r="G480" t="n">
        <v>3.8</v>
      </c>
      <c r="H480" t="n">
        <v>0</v>
      </c>
      <c r="I480" t="n">
        <v>0</v>
      </c>
      <c r="J480" t="n">
        <v>0</v>
      </c>
      <c r="K480" t="n">
        <v>0</v>
      </c>
      <c r="L480" t="n">
        <v>0</v>
      </c>
      <c r="M480" t="n">
        <v>0</v>
      </c>
      <c r="N480" t="n">
        <v>0</v>
      </c>
      <c r="O480" t="n">
        <v>0</v>
      </c>
      <c r="P480" t="n">
        <v>0</v>
      </c>
      <c r="Q480" t="n">
        <v>0</v>
      </c>
      <c r="R480" s="2" t="inlineStr"/>
    </row>
    <row r="481" ht="15" customHeight="1">
      <c r="A481" t="inlineStr">
        <is>
          <t>A 57563-2022</t>
        </is>
      </c>
      <c r="B481" s="1" t="n">
        <v>44896</v>
      </c>
      <c r="C481" s="1" t="n">
        <v>45725</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57940-2022</t>
        </is>
      </c>
      <c r="B482" s="1" t="n">
        <v>44900</v>
      </c>
      <c r="C482" s="1" t="n">
        <v>45725</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58384-2022</t>
        </is>
      </c>
      <c r="B483" s="1" t="n">
        <v>44901</v>
      </c>
      <c r="C483" s="1" t="n">
        <v>45725</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59190-2022</t>
        </is>
      </c>
      <c r="B484" s="1" t="n">
        <v>44904</v>
      </c>
      <c r="C484" s="1" t="n">
        <v>45725</v>
      </c>
      <c r="D484" t="inlineStr">
        <is>
          <t>UPPSALA LÄN</t>
        </is>
      </c>
      <c r="E484" t="inlineStr">
        <is>
          <t>ENKÖPING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59200-2022</t>
        </is>
      </c>
      <c r="B485" s="1" t="n">
        <v>44904</v>
      </c>
      <c r="C485" s="1" t="n">
        <v>45725</v>
      </c>
      <c r="D485" t="inlineStr">
        <is>
          <t>UPPSALA LÄN</t>
        </is>
      </c>
      <c r="E485" t="inlineStr">
        <is>
          <t>ENKÖPING</t>
        </is>
      </c>
      <c r="G485" t="n">
        <v>3.1</v>
      </c>
      <c r="H485" t="n">
        <v>0</v>
      </c>
      <c r="I485" t="n">
        <v>0</v>
      </c>
      <c r="J485" t="n">
        <v>0</v>
      </c>
      <c r="K485" t="n">
        <v>0</v>
      </c>
      <c r="L485" t="n">
        <v>0</v>
      </c>
      <c r="M485" t="n">
        <v>0</v>
      </c>
      <c r="N485" t="n">
        <v>0</v>
      </c>
      <c r="O485" t="n">
        <v>0</v>
      </c>
      <c r="P485" t="n">
        <v>0</v>
      </c>
      <c r="Q485" t="n">
        <v>0</v>
      </c>
      <c r="R485" s="2" t="inlineStr"/>
    </row>
    <row r="486" ht="15" customHeight="1">
      <c r="A486" t="inlineStr">
        <is>
          <t>A 59337-2022</t>
        </is>
      </c>
      <c r="B486" s="1" t="n">
        <v>44904</v>
      </c>
      <c r="C486" s="1" t="n">
        <v>45725</v>
      </c>
      <c r="D486" t="inlineStr">
        <is>
          <t>UPPSALA LÄN</t>
        </is>
      </c>
      <c r="E486" t="inlineStr">
        <is>
          <t>ENKÖPING</t>
        </is>
      </c>
      <c r="G486" t="n">
        <v>8.4</v>
      </c>
      <c r="H486" t="n">
        <v>0</v>
      </c>
      <c r="I486" t="n">
        <v>0</v>
      </c>
      <c r="J486" t="n">
        <v>0</v>
      </c>
      <c r="K486" t="n">
        <v>0</v>
      </c>
      <c r="L486" t="n">
        <v>0</v>
      </c>
      <c r="M486" t="n">
        <v>0</v>
      </c>
      <c r="N486" t="n">
        <v>0</v>
      </c>
      <c r="O486" t="n">
        <v>0</v>
      </c>
      <c r="P486" t="n">
        <v>0</v>
      </c>
      <c r="Q486" t="n">
        <v>0</v>
      </c>
      <c r="R486" s="2" t="inlineStr"/>
    </row>
    <row r="487" ht="15" customHeight="1">
      <c r="A487" t="inlineStr">
        <is>
          <t>A 59203-2022</t>
        </is>
      </c>
      <c r="B487" s="1" t="n">
        <v>44904</v>
      </c>
      <c r="C487" s="1" t="n">
        <v>45725</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59344-2022</t>
        </is>
      </c>
      <c r="B488" s="1" t="n">
        <v>44904</v>
      </c>
      <c r="C488" s="1" t="n">
        <v>45725</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59345-2022</t>
        </is>
      </c>
      <c r="B489" s="1" t="n">
        <v>44904</v>
      </c>
      <c r="C489" s="1" t="n">
        <v>45725</v>
      </c>
      <c r="D489" t="inlineStr">
        <is>
          <t>UPPSALA LÄN</t>
        </is>
      </c>
      <c r="E489" t="inlineStr">
        <is>
          <t>ENKÖPING</t>
        </is>
      </c>
      <c r="G489" t="n">
        <v>4.9</v>
      </c>
      <c r="H489" t="n">
        <v>0</v>
      </c>
      <c r="I489" t="n">
        <v>0</v>
      </c>
      <c r="J489" t="n">
        <v>0</v>
      </c>
      <c r="K489" t="n">
        <v>0</v>
      </c>
      <c r="L489" t="n">
        <v>0</v>
      </c>
      <c r="M489" t="n">
        <v>0</v>
      </c>
      <c r="N489" t="n">
        <v>0</v>
      </c>
      <c r="O489" t="n">
        <v>0</v>
      </c>
      <c r="P489" t="n">
        <v>0</v>
      </c>
      <c r="Q489" t="n">
        <v>0</v>
      </c>
      <c r="R489" s="2" t="inlineStr"/>
    </row>
    <row r="490" ht="15" customHeight="1">
      <c r="A490" t="inlineStr">
        <is>
          <t>A 59609-2022</t>
        </is>
      </c>
      <c r="B490" s="1" t="n">
        <v>44907</v>
      </c>
      <c r="C490" s="1" t="n">
        <v>45725</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59608-2022</t>
        </is>
      </c>
      <c r="B491" s="1" t="n">
        <v>44907</v>
      </c>
      <c r="C491" s="1" t="n">
        <v>45725</v>
      </c>
      <c r="D491" t="inlineStr">
        <is>
          <t>UPPSALA LÄN</t>
        </is>
      </c>
      <c r="E491" t="inlineStr">
        <is>
          <t>ENKÖPING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59602-2022</t>
        </is>
      </c>
      <c r="B492" s="1" t="n">
        <v>44907</v>
      </c>
      <c r="C492" s="1" t="n">
        <v>45725</v>
      </c>
      <c r="D492" t="inlineStr">
        <is>
          <t>UPPSALA LÄN</t>
        </is>
      </c>
      <c r="E492" t="inlineStr">
        <is>
          <t>ENKÖPING</t>
        </is>
      </c>
      <c r="G492" t="n">
        <v>14.2</v>
      </c>
      <c r="H492" t="n">
        <v>0</v>
      </c>
      <c r="I492" t="n">
        <v>0</v>
      </c>
      <c r="J492" t="n">
        <v>0</v>
      </c>
      <c r="K492" t="n">
        <v>0</v>
      </c>
      <c r="L492" t="n">
        <v>0</v>
      </c>
      <c r="M492" t="n">
        <v>0</v>
      </c>
      <c r="N492" t="n">
        <v>0</v>
      </c>
      <c r="O492" t="n">
        <v>0</v>
      </c>
      <c r="P492" t="n">
        <v>0</v>
      </c>
      <c r="Q492" t="n">
        <v>0</v>
      </c>
      <c r="R492" s="2" t="inlineStr"/>
    </row>
    <row r="493" ht="15" customHeight="1">
      <c r="A493" t="inlineStr">
        <is>
          <t>A 59610-2022</t>
        </is>
      </c>
      <c r="B493" s="1" t="n">
        <v>44907</v>
      </c>
      <c r="C493" s="1" t="n">
        <v>45725</v>
      </c>
      <c r="D493" t="inlineStr">
        <is>
          <t>UPPSALA LÄN</t>
        </is>
      </c>
      <c r="E493" t="inlineStr">
        <is>
          <t>ENKÖPING</t>
        </is>
      </c>
      <c r="G493" t="n">
        <v>3.6</v>
      </c>
      <c r="H493" t="n">
        <v>0</v>
      </c>
      <c r="I493" t="n">
        <v>0</v>
      </c>
      <c r="J493" t="n">
        <v>0</v>
      </c>
      <c r="K493" t="n">
        <v>0</v>
      </c>
      <c r="L493" t="n">
        <v>0</v>
      </c>
      <c r="M493" t="n">
        <v>0</v>
      </c>
      <c r="N493" t="n">
        <v>0</v>
      </c>
      <c r="O493" t="n">
        <v>0</v>
      </c>
      <c r="P493" t="n">
        <v>0</v>
      </c>
      <c r="Q493" t="n">
        <v>0</v>
      </c>
      <c r="R493" s="2" t="inlineStr"/>
    </row>
    <row r="494" ht="15" customHeight="1">
      <c r="A494" t="inlineStr">
        <is>
          <t>A 60132-2022</t>
        </is>
      </c>
      <c r="B494" s="1" t="n">
        <v>44909</v>
      </c>
      <c r="C494" s="1" t="n">
        <v>45725</v>
      </c>
      <c r="D494" t="inlineStr">
        <is>
          <t>UPPSALA LÄN</t>
        </is>
      </c>
      <c r="E494" t="inlineStr">
        <is>
          <t>ENKÖPING</t>
        </is>
      </c>
      <c r="F494" t="inlineStr">
        <is>
          <t>Allmännings- och besparingsskogar</t>
        </is>
      </c>
      <c r="G494" t="n">
        <v>5.4</v>
      </c>
      <c r="H494" t="n">
        <v>0</v>
      </c>
      <c r="I494" t="n">
        <v>0</v>
      </c>
      <c r="J494" t="n">
        <v>0</v>
      </c>
      <c r="K494" t="n">
        <v>0</v>
      </c>
      <c r="L494" t="n">
        <v>0</v>
      </c>
      <c r="M494" t="n">
        <v>0</v>
      </c>
      <c r="N494" t="n">
        <v>0</v>
      </c>
      <c r="O494" t="n">
        <v>0</v>
      </c>
      <c r="P494" t="n">
        <v>0</v>
      </c>
      <c r="Q494" t="n">
        <v>0</v>
      </c>
      <c r="R494" s="2" t="inlineStr"/>
    </row>
    <row r="495" ht="15" customHeight="1">
      <c r="A495" t="inlineStr">
        <is>
          <t>A 60289-2022</t>
        </is>
      </c>
      <c r="B495" s="1" t="n">
        <v>44910</v>
      </c>
      <c r="C495" s="1" t="n">
        <v>45725</v>
      </c>
      <c r="D495" t="inlineStr">
        <is>
          <t>UPPSALA LÄN</t>
        </is>
      </c>
      <c r="E495" t="inlineStr">
        <is>
          <t>ENKÖPING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60350-2022</t>
        </is>
      </c>
      <c r="B496" s="1" t="n">
        <v>44910</v>
      </c>
      <c r="C496" s="1" t="n">
        <v>45725</v>
      </c>
      <c r="D496" t="inlineStr">
        <is>
          <t>UPPSALA LÄN</t>
        </is>
      </c>
      <c r="E496" t="inlineStr">
        <is>
          <t>ENKÖPING</t>
        </is>
      </c>
      <c r="F496" t="inlineStr">
        <is>
          <t>Allmännings- och besparingsskogar</t>
        </is>
      </c>
      <c r="G496" t="n">
        <v>3.5</v>
      </c>
      <c r="H496" t="n">
        <v>0</v>
      </c>
      <c r="I496" t="n">
        <v>0</v>
      </c>
      <c r="J496" t="n">
        <v>0</v>
      </c>
      <c r="K496" t="n">
        <v>0</v>
      </c>
      <c r="L496" t="n">
        <v>0</v>
      </c>
      <c r="M496" t="n">
        <v>0</v>
      </c>
      <c r="N496" t="n">
        <v>0</v>
      </c>
      <c r="O496" t="n">
        <v>0</v>
      </c>
      <c r="P496" t="n">
        <v>0</v>
      </c>
      <c r="Q496" t="n">
        <v>0</v>
      </c>
      <c r="R496" s="2" t="inlineStr"/>
    </row>
    <row r="497" ht="15" customHeight="1">
      <c r="A497" t="inlineStr">
        <is>
          <t>A 60478-2022</t>
        </is>
      </c>
      <c r="B497" s="1" t="n">
        <v>44911</v>
      </c>
      <c r="C497" s="1" t="n">
        <v>45725</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61125-2022</t>
        </is>
      </c>
      <c r="B498" s="1" t="n">
        <v>44915</v>
      </c>
      <c r="C498" s="1" t="n">
        <v>45725</v>
      </c>
      <c r="D498" t="inlineStr">
        <is>
          <t>UPPSALA LÄN</t>
        </is>
      </c>
      <c r="E498" t="inlineStr">
        <is>
          <t>ENKÖPING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61181-2022</t>
        </is>
      </c>
      <c r="B499" s="1" t="n">
        <v>44915</v>
      </c>
      <c r="C499" s="1" t="n">
        <v>45725</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61106-2022</t>
        </is>
      </c>
      <c r="B500" s="1" t="n">
        <v>44915</v>
      </c>
      <c r="C500" s="1" t="n">
        <v>45725</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61800-2022</t>
        </is>
      </c>
      <c r="B501" s="1" t="n">
        <v>44917</v>
      </c>
      <c r="C501" s="1" t="n">
        <v>45725</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62716-2022</t>
        </is>
      </c>
      <c r="B502" s="1" t="n">
        <v>44917</v>
      </c>
      <c r="C502" s="1" t="n">
        <v>45725</v>
      </c>
      <c r="D502" t="inlineStr">
        <is>
          <t>UPPSALA LÄN</t>
        </is>
      </c>
      <c r="E502" t="inlineStr">
        <is>
          <t>ENKÖPING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62423-2022</t>
        </is>
      </c>
      <c r="B503" s="1" t="n">
        <v>44924</v>
      </c>
      <c r="C503" s="1" t="n">
        <v>45725</v>
      </c>
      <c r="D503" t="inlineStr">
        <is>
          <t>UPPSALA LÄN</t>
        </is>
      </c>
      <c r="E503" t="inlineStr">
        <is>
          <t>ENKÖPING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62419-2022</t>
        </is>
      </c>
      <c r="B504" s="1" t="n">
        <v>44924</v>
      </c>
      <c r="C504" s="1" t="n">
        <v>45725</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799-2023</t>
        </is>
      </c>
      <c r="B505" s="1" t="n">
        <v>44931</v>
      </c>
      <c r="C505" s="1" t="n">
        <v>45725</v>
      </c>
      <c r="D505" t="inlineStr">
        <is>
          <t>UPPSALA LÄN</t>
        </is>
      </c>
      <c r="E505" t="inlineStr">
        <is>
          <t>ENKÖPING</t>
        </is>
      </c>
      <c r="G505" t="n">
        <v>3.1</v>
      </c>
      <c r="H505" t="n">
        <v>0</v>
      </c>
      <c r="I505" t="n">
        <v>0</v>
      </c>
      <c r="J505" t="n">
        <v>0</v>
      </c>
      <c r="K505" t="n">
        <v>0</v>
      </c>
      <c r="L505" t="n">
        <v>0</v>
      </c>
      <c r="M505" t="n">
        <v>0</v>
      </c>
      <c r="N505" t="n">
        <v>0</v>
      </c>
      <c r="O505" t="n">
        <v>0</v>
      </c>
      <c r="P505" t="n">
        <v>0</v>
      </c>
      <c r="Q505" t="n">
        <v>0</v>
      </c>
      <c r="R505" s="2" t="inlineStr"/>
    </row>
    <row r="506" ht="15" customHeight="1">
      <c r="A506" t="inlineStr">
        <is>
          <t>A 1587-2023</t>
        </is>
      </c>
      <c r="B506" s="1" t="n">
        <v>44937</v>
      </c>
      <c r="C506" s="1" t="n">
        <v>45725</v>
      </c>
      <c r="D506" t="inlineStr">
        <is>
          <t>UPPSALA LÄN</t>
        </is>
      </c>
      <c r="E506" t="inlineStr">
        <is>
          <t>ENKÖPING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1593-2023</t>
        </is>
      </c>
      <c r="B507" s="1" t="n">
        <v>44937</v>
      </c>
      <c r="C507" s="1" t="n">
        <v>45725</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2161-2023</t>
        </is>
      </c>
      <c r="B508" s="1" t="n">
        <v>44941</v>
      </c>
      <c r="C508" s="1" t="n">
        <v>45725</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2165-2023</t>
        </is>
      </c>
      <c r="B509" s="1" t="n">
        <v>44941</v>
      </c>
      <c r="C509" s="1" t="n">
        <v>45725</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2162-2023</t>
        </is>
      </c>
      <c r="B510" s="1" t="n">
        <v>44941</v>
      </c>
      <c r="C510" s="1" t="n">
        <v>45725</v>
      </c>
      <c r="D510" t="inlineStr">
        <is>
          <t>UPPSALA LÄN</t>
        </is>
      </c>
      <c r="E510" t="inlineStr">
        <is>
          <t>ENKÖPING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2164-2023</t>
        </is>
      </c>
      <c r="B511" s="1" t="n">
        <v>44941</v>
      </c>
      <c r="C511" s="1" t="n">
        <v>45725</v>
      </c>
      <c r="D511" t="inlineStr">
        <is>
          <t>UPPSALA LÄN</t>
        </is>
      </c>
      <c r="E511" t="inlineStr">
        <is>
          <t>ENKÖPING</t>
        </is>
      </c>
      <c r="G511" t="n">
        <v>2.5</v>
      </c>
      <c r="H511" t="n">
        <v>0</v>
      </c>
      <c r="I511" t="n">
        <v>0</v>
      </c>
      <c r="J511" t="n">
        <v>0</v>
      </c>
      <c r="K511" t="n">
        <v>0</v>
      </c>
      <c r="L511" t="n">
        <v>0</v>
      </c>
      <c r="M511" t="n">
        <v>0</v>
      </c>
      <c r="N511" t="n">
        <v>0</v>
      </c>
      <c r="O511" t="n">
        <v>0</v>
      </c>
      <c r="P511" t="n">
        <v>0</v>
      </c>
      <c r="Q511" t="n">
        <v>0</v>
      </c>
      <c r="R511" s="2" t="inlineStr"/>
    </row>
    <row r="512" ht="15" customHeight="1">
      <c r="A512" t="inlineStr">
        <is>
          <t>A 3550-2023</t>
        </is>
      </c>
      <c r="B512" s="1" t="n">
        <v>44950</v>
      </c>
      <c r="C512" s="1" t="n">
        <v>45725</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4901-2023</t>
        </is>
      </c>
      <c r="B513" s="1" t="n">
        <v>44958</v>
      </c>
      <c r="C513" s="1" t="n">
        <v>45725</v>
      </c>
      <c r="D513" t="inlineStr">
        <is>
          <t>UPPSALA LÄN</t>
        </is>
      </c>
      <c r="E513" t="inlineStr">
        <is>
          <t>ENKÖPING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5892-2023</t>
        </is>
      </c>
      <c r="B514" s="1" t="n">
        <v>44963</v>
      </c>
      <c r="C514" s="1" t="n">
        <v>45725</v>
      </c>
      <c r="D514" t="inlineStr">
        <is>
          <t>UPPSALA LÄN</t>
        </is>
      </c>
      <c r="E514" t="inlineStr">
        <is>
          <t>ENKÖPING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6172-2023</t>
        </is>
      </c>
      <c r="B515" s="1" t="n">
        <v>44964</v>
      </c>
      <c r="C515" s="1" t="n">
        <v>45725</v>
      </c>
      <c r="D515" t="inlineStr">
        <is>
          <t>UPPSALA LÄN</t>
        </is>
      </c>
      <c r="E515" t="inlineStr">
        <is>
          <t>ENKÖPING</t>
        </is>
      </c>
      <c r="G515" t="n">
        <v>2.6</v>
      </c>
      <c r="H515" t="n">
        <v>0</v>
      </c>
      <c r="I515" t="n">
        <v>0</v>
      </c>
      <c r="J515" t="n">
        <v>0</v>
      </c>
      <c r="K515" t="n">
        <v>0</v>
      </c>
      <c r="L515" t="n">
        <v>0</v>
      </c>
      <c r="M515" t="n">
        <v>0</v>
      </c>
      <c r="N515" t="n">
        <v>0</v>
      </c>
      <c r="O515" t="n">
        <v>0</v>
      </c>
      <c r="P515" t="n">
        <v>0</v>
      </c>
      <c r="Q515" t="n">
        <v>0</v>
      </c>
      <c r="R515" s="2" t="inlineStr"/>
    </row>
    <row r="516" ht="15" customHeight="1">
      <c r="A516" t="inlineStr">
        <is>
          <t>A 6620-2023</t>
        </is>
      </c>
      <c r="B516" s="1" t="n">
        <v>44966</v>
      </c>
      <c r="C516" s="1" t="n">
        <v>45725</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6623-2023</t>
        </is>
      </c>
      <c r="B517" s="1" t="n">
        <v>44966</v>
      </c>
      <c r="C517" s="1" t="n">
        <v>45725</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6624-2023</t>
        </is>
      </c>
      <c r="B518" s="1" t="n">
        <v>44966</v>
      </c>
      <c r="C518" s="1" t="n">
        <v>45725</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6626-2023</t>
        </is>
      </c>
      <c r="B519" s="1" t="n">
        <v>44966</v>
      </c>
      <c r="C519" s="1" t="n">
        <v>45725</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9957-2023</t>
        </is>
      </c>
      <c r="B520" s="1" t="n">
        <v>44978</v>
      </c>
      <c r="C520" s="1" t="n">
        <v>45725</v>
      </c>
      <c r="D520" t="inlineStr">
        <is>
          <t>UPPSALA LÄN</t>
        </is>
      </c>
      <c r="E520" t="inlineStr">
        <is>
          <t>ENKÖPING</t>
        </is>
      </c>
      <c r="G520" t="n">
        <v>5.9</v>
      </c>
      <c r="H520" t="n">
        <v>0</v>
      </c>
      <c r="I520" t="n">
        <v>0</v>
      </c>
      <c r="J520" t="n">
        <v>0</v>
      </c>
      <c r="K520" t="n">
        <v>0</v>
      </c>
      <c r="L520" t="n">
        <v>0</v>
      </c>
      <c r="M520" t="n">
        <v>0</v>
      </c>
      <c r="N520" t="n">
        <v>0</v>
      </c>
      <c r="O520" t="n">
        <v>0</v>
      </c>
      <c r="P520" t="n">
        <v>0</v>
      </c>
      <c r="Q520" t="n">
        <v>0</v>
      </c>
      <c r="R520" s="2" t="inlineStr"/>
    </row>
    <row r="521" ht="15" customHeight="1">
      <c r="A521" t="inlineStr">
        <is>
          <t>A 9958-2023</t>
        </is>
      </c>
      <c r="B521" s="1" t="n">
        <v>44978</v>
      </c>
      <c r="C521" s="1" t="n">
        <v>45725</v>
      </c>
      <c r="D521" t="inlineStr">
        <is>
          <t>UPPSALA LÄN</t>
        </is>
      </c>
      <c r="E521" t="inlineStr">
        <is>
          <t>ENKÖPING</t>
        </is>
      </c>
      <c r="G521" t="n">
        <v>1.7</v>
      </c>
      <c r="H521" t="n">
        <v>0</v>
      </c>
      <c r="I521" t="n">
        <v>0</v>
      </c>
      <c r="J521" t="n">
        <v>0</v>
      </c>
      <c r="K521" t="n">
        <v>0</v>
      </c>
      <c r="L521" t="n">
        <v>0</v>
      </c>
      <c r="M521" t="n">
        <v>0</v>
      </c>
      <c r="N521" t="n">
        <v>0</v>
      </c>
      <c r="O521" t="n">
        <v>0</v>
      </c>
      <c r="P521" t="n">
        <v>0</v>
      </c>
      <c r="Q521" t="n">
        <v>0</v>
      </c>
      <c r="R521" s="2" t="inlineStr"/>
    </row>
    <row r="522" ht="15" customHeight="1">
      <c r="A522" t="inlineStr">
        <is>
          <t>A 9041-2023</t>
        </is>
      </c>
      <c r="B522" s="1" t="n">
        <v>44979</v>
      </c>
      <c r="C522" s="1" t="n">
        <v>45725</v>
      </c>
      <c r="D522" t="inlineStr">
        <is>
          <t>UPPSALA LÄN</t>
        </is>
      </c>
      <c r="E522" t="inlineStr">
        <is>
          <t>ENKÖPING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9231-2023</t>
        </is>
      </c>
      <c r="B523" s="1" t="n">
        <v>44980</v>
      </c>
      <c r="C523" s="1" t="n">
        <v>45725</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11005-2023</t>
        </is>
      </c>
      <c r="B524" s="1" t="n">
        <v>44991</v>
      </c>
      <c r="C524" s="1" t="n">
        <v>45725</v>
      </c>
      <c r="D524" t="inlineStr">
        <is>
          <t>UPPSALA LÄN</t>
        </is>
      </c>
      <c r="E524" t="inlineStr">
        <is>
          <t>ENKÖPING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12360-2023</t>
        </is>
      </c>
      <c r="B525" s="1" t="n">
        <v>44999</v>
      </c>
      <c r="C525" s="1" t="n">
        <v>45725</v>
      </c>
      <c r="D525" t="inlineStr">
        <is>
          <t>UPPSALA LÄN</t>
        </is>
      </c>
      <c r="E525" t="inlineStr">
        <is>
          <t>ENKÖPING</t>
        </is>
      </c>
      <c r="G525" t="n">
        <v>6.3</v>
      </c>
      <c r="H525" t="n">
        <v>0</v>
      </c>
      <c r="I525" t="n">
        <v>0</v>
      </c>
      <c r="J525" t="n">
        <v>0</v>
      </c>
      <c r="K525" t="n">
        <v>0</v>
      </c>
      <c r="L525" t="n">
        <v>0</v>
      </c>
      <c r="M525" t="n">
        <v>0</v>
      </c>
      <c r="N525" t="n">
        <v>0</v>
      </c>
      <c r="O525" t="n">
        <v>0</v>
      </c>
      <c r="P525" t="n">
        <v>0</v>
      </c>
      <c r="Q525" t="n">
        <v>0</v>
      </c>
      <c r="R525" s="2" t="inlineStr"/>
    </row>
    <row r="526" ht="15" customHeight="1">
      <c r="A526" t="inlineStr">
        <is>
          <t>A 13140-2023</t>
        </is>
      </c>
      <c r="B526" s="1" t="n">
        <v>45001</v>
      </c>
      <c r="C526" s="1" t="n">
        <v>45725</v>
      </c>
      <c r="D526" t="inlineStr">
        <is>
          <t>UPPSALA LÄN</t>
        </is>
      </c>
      <c r="E526" t="inlineStr">
        <is>
          <t>ENKÖPING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13099-2023</t>
        </is>
      </c>
      <c r="B527" s="1" t="n">
        <v>45001</v>
      </c>
      <c r="C527" s="1" t="n">
        <v>45725</v>
      </c>
      <c r="D527" t="inlineStr">
        <is>
          <t>UPPSALA LÄN</t>
        </is>
      </c>
      <c r="E527" t="inlineStr">
        <is>
          <t>ENKÖPING</t>
        </is>
      </c>
      <c r="G527" t="n">
        <v>10.5</v>
      </c>
      <c r="H527" t="n">
        <v>0</v>
      </c>
      <c r="I527" t="n">
        <v>0</v>
      </c>
      <c r="J527" t="n">
        <v>0</v>
      </c>
      <c r="K527" t="n">
        <v>0</v>
      </c>
      <c r="L527" t="n">
        <v>0</v>
      </c>
      <c r="M527" t="n">
        <v>0</v>
      </c>
      <c r="N527" t="n">
        <v>0</v>
      </c>
      <c r="O527" t="n">
        <v>0</v>
      </c>
      <c r="P527" t="n">
        <v>0</v>
      </c>
      <c r="Q527" t="n">
        <v>0</v>
      </c>
      <c r="R527" s="2" t="inlineStr"/>
    </row>
    <row r="528" ht="15" customHeight="1">
      <c r="A528" t="inlineStr">
        <is>
          <t>A 13110-2023</t>
        </is>
      </c>
      <c r="B528" s="1" t="n">
        <v>45001</v>
      </c>
      <c r="C528" s="1" t="n">
        <v>45725</v>
      </c>
      <c r="D528" t="inlineStr">
        <is>
          <t>UPPSALA LÄN</t>
        </is>
      </c>
      <c r="E528" t="inlineStr">
        <is>
          <t>ENKÖPING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13836-2023</t>
        </is>
      </c>
      <c r="B529" s="1" t="n">
        <v>45007</v>
      </c>
      <c r="C529" s="1" t="n">
        <v>45725</v>
      </c>
      <c r="D529" t="inlineStr">
        <is>
          <t>UPPSALA LÄN</t>
        </is>
      </c>
      <c r="E529" t="inlineStr">
        <is>
          <t>ENKÖPING</t>
        </is>
      </c>
      <c r="G529" t="n">
        <v>4.2</v>
      </c>
      <c r="H529" t="n">
        <v>0</v>
      </c>
      <c r="I529" t="n">
        <v>0</v>
      </c>
      <c r="J529" t="n">
        <v>0</v>
      </c>
      <c r="K529" t="n">
        <v>0</v>
      </c>
      <c r="L529" t="n">
        <v>0</v>
      </c>
      <c r="M529" t="n">
        <v>0</v>
      </c>
      <c r="N529" t="n">
        <v>0</v>
      </c>
      <c r="O529" t="n">
        <v>0</v>
      </c>
      <c r="P529" t="n">
        <v>0</v>
      </c>
      <c r="Q529" t="n">
        <v>0</v>
      </c>
      <c r="R529" s="2" t="inlineStr"/>
    </row>
    <row r="530" ht="15" customHeight="1">
      <c r="A530" t="inlineStr">
        <is>
          <t>A 13853-2023</t>
        </is>
      </c>
      <c r="B530" s="1" t="n">
        <v>45007</v>
      </c>
      <c r="C530" s="1" t="n">
        <v>45725</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13867-2023</t>
        </is>
      </c>
      <c r="B531" s="1" t="n">
        <v>45007</v>
      </c>
      <c r="C531" s="1" t="n">
        <v>45725</v>
      </c>
      <c r="D531" t="inlineStr">
        <is>
          <t>UPPSALA LÄN</t>
        </is>
      </c>
      <c r="E531" t="inlineStr">
        <is>
          <t>ENKÖPING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14004-2023</t>
        </is>
      </c>
      <c r="B532" s="1" t="n">
        <v>45008</v>
      </c>
      <c r="C532" s="1" t="n">
        <v>45725</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14402-2023</t>
        </is>
      </c>
      <c r="B533" s="1" t="n">
        <v>45012</v>
      </c>
      <c r="C533" s="1" t="n">
        <v>45725</v>
      </c>
      <c r="D533" t="inlineStr">
        <is>
          <t>UPPSALA LÄN</t>
        </is>
      </c>
      <c r="E533" t="inlineStr">
        <is>
          <t>ENKÖPING</t>
        </is>
      </c>
      <c r="G533" t="n">
        <v>9.5</v>
      </c>
      <c r="H533" t="n">
        <v>0</v>
      </c>
      <c r="I533" t="n">
        <v>0</v>
      </c>
      <c r="J533" t="n">
        <v>0</v>
      </c>
      <c r="K533" t="n">
        <v>0</v>
      </c>
      <c r="L533" t="n">
        <v>0</v>
      </c>
      <c r="M533" t="n">
        <v>0</v>
      </c>
      <c r="N533" t="n">
        <v>0</v>
      </c>
      <c r="O533" t="n">
        <v>0</v>
      </c>
      <c r="P533" t="n">
        <v>0</v>
      </c>
      <c r="Q533" t="n">
        <v>0</v>
      </c>
      <c r="R533" s="2" t="inlineStr"/>
    </row>
    <row r="534" ht="15" customHeight="1">
      <c r="A534" t="inlineStr">
        <is>
          <t>A 15320-2023</t>
        </is>
      </c>
      <c r="B534" s="1" t="n">
        <v>45019</v>
      </c>
      <c r="C534" s="1" t="n">
        <v>45725</v>
      </c>
      <c r="D534" t="inlineStr">
        <is>
          <t>UPPSALA LÄN</t>
        </is>
      </c>
      <c r="E534" t="inlineStr">
        <is>
          <t>ENKÖPING</t>
        </is>
      </c>
      <c r="G534" t="n">
        <v>8</v>
      </c>
      <c r="H534" t="n">
        <v>0</v>
      </c>
      <c r="I534" t="n">
        <v>0</v>
      </c>
      <c r="J534" t="n">
        <v>0</v>
      </c>
      <c r="K534" t="n">
        <v>0</v>
      </c>
      <c r="L534" t="n">
        <v>0</v>
      </c>
      <c r="M534" t="n">
        <v>0</v>
      </c>
      <c r="N534" t="n">
        <v>0</v>
      </c>
      <c r="O534" t="n">
        <v>0</v>
      </c>
      <c r="P534" t="n">
        <v>0</v>
      </c>
      <c r="Q534" t="n">
        <v>0</v>
      </c>
      <c r="R534" s="2" t="inlineStr"/>
    </row>
    <row r="535" ht="15" customHeight="1">
      <c r="A535" t="inlineStr">
        <is>
          <t>A 15757-2023</t>
        </is>
      </c>
      <c r="B535" s="1" t="n">
        <v>45021</v>
      </c>
      <c r="C535" s="1" t="n">
        <v>45725</v>
      </c>
      <c r="D535" t="inlineStr">
        <is>
          <t>UPPSALA LÄN</t>
        </is>
      </c>
      <c r="E535" t="inlineStr">
        <is>
          <t>ENKÖPING</t>
        </is>
      </c>
      <c r="G535" t="n">
        <v>3</v>
      </c>
      <c r="H535" t="n">
        <v>0</v>
      </c>
      <c r="I535" t="n">
        <v>0</v>
      </c>
      <c r="J535" t="n">
        <v>0</v>
      </c>
      <c r="K535" t="n">
        <v>0</v>
      </c>
      <c r="L535" t="n">
        <v>0</v>
      </c>
      <c r="M535" t="n">
        <v>0</v>
      </c>
      <c r="N535" t="n">
        <v>0</v>
      </c>
      <c r="O535" t="n">
        <v>0</v>
      </c>
      <c r="P535" t="n">
        <v>0</v>
      </c>
      <c r="Q535" t="n">
        <v>0</v>
      </c>
      <c r="R535" s="2" t="inlineStr"/>
    </row>
    <row r="536" ht="15" customHeight="1">
      <c r="A536" t="inlineStr">
        <is>
          <t>A 16320-2023</t>
        </is>
      </c>
      <c r="B536" s="1" t="n">
        <v>45028</v>
      </c>
      <c r="C536" s="1" t="n">
        <v>45725</v>
      </c>
      <c r="D536" t="inlineStr">
        <is>
          <t>UPPSALA LÄN</t>
        </is>
      </c>
      <c r="E536" t="inlineStr">
        <is>
          <t>ENKÖPING</t>
        </is>
      </c>
      <c r="G536" t="n">
        <v>5.2</v>
      </c>
      <c r="H536" t="n">
        <v>0</v>
      </c>
      <c r="I536" t="n">
        <v>0</v>
      </c>
      <c r="J536" t="n">
        <v>0</v>
      </c>
      <c r="K536" t="n">
        <v>0</v>
      </c>
      <c r="L536" t="n">
        <v>0</v>
      </c>
      <c r="M536" t="n">
        <v>0</v>
      </c>
      <c r="N536" t="n">
        <v>0</v>
      </c>
      <c r="O536" t="n">
        <v>0</v>
      </c>
      <c r="P536" t="n">
        <v>0</v>
      </c>
      <c r="Q536" t="n">
        <v>0</v>
      </c>
      <c r="R536" s="2" t="inlineStr"/>
    </row>
    <row r="537" ht="15" customHeight="1">
      <c r="A537" t="inlineStr">
        <is>
          <t>A 16905-2023</t>
        </is>
      </c>
      <c r="B537" s="1" t="n">
        <v>45033</v>
      </c>
      <c r="C537" s="1" t="n">
        <v>45725</v>
      </c>
      <c r="D537" t="inlineStr">
        <is>
          <t>UPPSALA LÄN</t>
        </is>
      </c>
      <c r="E537" t="inlineStr">
        <is>
          <t>ENKÖPING</t>
        </is>
      </c>
      <c r="G537" t="n">
        <v>3.6</v>
      </c>
      <c r="H537" t="n">
        <v>0</v>
      </c>
      <c r="I537" t="n">
        <v>0</v>
      </c>
      <c r="J537" t="n">
        <v>0</v>
      </c>
      <c r="K537" t="n">
        <v>0</v>
      </c>
      <c r="L537" t="n">
        <v>0</v>
      </c>
      <c r="M537" t="n">
        <v>0</v>
      </c>
      <c r="N537" t="n">
        <v>0</v>
      </c>
      <c r="O537" t="n">
        <v>0</v>
      </c>
      <c r="P537" t="n">
        <v>0</v>
      </c>
      <c r="Q537" t="n">
        <v>0</v>
      </c>
      <c r="R537" s="2" t="inlineStr"/>
    </row>
    <row r="538" ht="15" customHeight="1">
      <c r="A538" t="inlineStr">
        <is>
          <t>A 16916-2023</t>
        </is>
      </c>
      <c r="B538" s="1" t="n">
        <v>45033</v>
      </c>
      <c r="C538" s="1" t="n">
        <v>45725</v>
      </c>
      <c r="D538" t="inlineStr">
        <is>
          <t>UPPSALA LÄN</t>
        </is>
      </c>
      <c r="E538" t="inlineStr">
        <is>
          <t>ENKÖPING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16920-2023</t>
        </is>
      </c>
      <c r="B539" s="1" t="n">
        <v>45033</v>
      </c>
      <c r="C539" s="1" t="n">
        <v>45725</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17254-2023</t>
        </is>
      </c>
      <c r="B540" s="1" t="n">
        <v>45034</v>
      </c>
      <c r="C540" s="1" t="n">
        <v>45725</v>
      </c>
      <c r="D540" t="inlineStr">
        <is>
          <t>UPPSALA LÄN</t>
        </is>
      </c>
      <c r="E540" t="inlineStr">
        <is>
          <t>ENKÖPING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17511-2023</t>
        </is>
      </c>
      <c r="B541" s="1" t="n">
        <v>45034</v>
      </c>
      <c r="C541" s="1" t="n">
        <v>45725</v>
      </c>
      <c r="D541" t="inlineStr">
        <is>
          <t>UPPSALA LÄN</t>
        </is>
      </c>
      <c r="E541" t="inlineStr">
        <is>
          <t>ENKÖPING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17373-2023</t>
        </is>
      </c>
      <c r="B542" s="1" t="n">
        <v>45035</v>
      </c>
      <c r="C542" s="1" t="n">
        <v>45725</v>
      </c>
      <c r="D542" t="inlineStr">
        <is>
          <t>UPPSALA LÄN</t>
        </is>
      </c>
      <c r="E542" t="inlineStr">
        <is>
          <t>ENKÖPING</t>
        </is>
      </c>
      <c r="G542" t="n">
        <v>3.1</v>
      </c>
      <c r="H542" t="n">
        <v>0</v>
      </c>
      <c r="I542" t="n">
        <v>0</v>
      </c>
      <c r="J542" t="n">
        <v>0</v>
      </c>
      <c r="K542" t="n">
        <v>0</v>
      </c>
      <c r="L542" t="n">
        <v>0</v>
      </c>
      <c r="M542" t="n">
        <v>0</v>
      </c>
      <c r="N542" t="n">
        <v>0</v>
      </c>
      <c r="O542" t="n">
        <v>0</v>
      </c>
      <c r="P542" t="n">
        <v>0</v>
      </c>
      <c r="Q542" t="n">
        <v>0</v>
      </c>
      <c r="R542" s="2" t="inlineStr"/>
    </row>
    <row r="543" ht="15" customHeight="1">
      <c r="A543" t="inlineStr">
        <is>
          <t>A 17729-2023</t>
        </is>
      </c>
      <c r="B543" s="1" t="n">
        <v>45037</v>
      </c>
      <c r="C543" s="1" t="n">
        <v>45725</v>
      </c>
      <c r="D543" t="inlineStr">
        <is>
          <t>UPPSALA LÄN</t>
        </is>
      </c>
      <c r="E543" t="inlineStr">
        <is>
          <t>ENKÖPING</t>
        </is>
      </c>
      <c r="G543" t="n">
        <v>10.2</v>
      </c>
      <c r="H543" t="n">
        <v>0</v>
      </c>
      <c r="I543" t="n">
        <v>0</v>
      </c>
      <c r="J543" t="n">
        <v>0</v>
      </c>
      <c r="K543" t="n">
        <v>0</v>
      </c>
      <c r="L543" t="n">
        <v>0</v>
      </c>
      <c r="M543" t="n">
        <v>0</v>
      </c>
      <c r="N543" t="n">
        <v>0</v>
      </c>
      <c r="O543" t="n">
        <v>0</v>
      </c>
      <c r="P543" t="n">
        <v>0</v>
      </c>
      <c r="Q543" t="n">
        <v>0</v>
      </c>
      <c r="R543" s="2" t="inlineStr"/>
    </row>
    <row r="544" ht="15" customHeight="1">
      <c r="A544" t="inlineStr">
        <is>
          <t>A 17813-2023</t>
        </is>
      </c>
      <c r="B544" s="1" t="n">
        <v>45037</v>
      </c>
      <c r="C544" s="1" t="n">
        <v>45725</v>
      </c>
      <c r="D544" t="inlineStr">
        <is>
          <t>UPPSALA LÄN</t>
        </is>
      </c>
      <c r="E544" t="inlineStr">
        <is>
          <t>ENKÖPING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18030-2023</t>
        </is>
      </c>
      <c r="B545" s="1" t="n">
        <v>45040</v>
      </c>
      <c r="C545" s="1" t="n">
        <v>45725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18696-2023</t>
        </is>
      </c>
      <c r="B546" s="1" t="n">
        <v>45043</v>
      </c>
      <c r="C546" s="1" t="n">
        <v>45725</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18821-2023</t>
        </is>
      </c>
      <c r="B547" s="1" t="n">
        <v>45044</v>
      </c>
      <c r="C547" s="1" t="n">
        <v>45725</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18831-2023</t>
        </is>
      </c>
      <c r="B548" s="1" t="n">
        <v>45044</v>
      </c>
      <c r="C548" s="1" t="n">
        <v>45725</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19298-2023</t>
        </is>
      </c>
      <c r="B549" s="1" t="n">
        <v>45048</v>
      </c>
      <c r="C549" s="1" t="n">
        <v>45725</v>
      </c>
      <c r="D549" t="inlineStr">
        <is>
          <t>UPPSALA LÄN</t>
        </is>
      </c>
      <c r="E549" t="inlineStr">
        <is>
          <t>ENKÖPING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19301-2023</t>
        </is>
      </c>
      <c r="B550" s="1" t="n">
        <v>45048</v>
      </c>
      <c r="C550" s="1" t="n">
        <v>45725</v>
      </c>
      <c r="D550" t="inlineStr">
        <is>
          <t>UPPSALA LÄN</t>
        </is>
      </c>
      <c r="E550" t="inlineStr">
        <is>
          <t>ENKÖPING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19415-2023</t>
        </is>
      </c>
      <c r="B551" s="1" t="n">
        <v>45049</v>
      </c>
      <c r="C551" s="1" t="n">
        <v>45725</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20431-2023</t>
        </is>
      </c>
      <c r="B552" s="1" t="n">
        <v>45054</v>
      </c>
      <c r="C552" s="1" t="n">
        <v>45725</v>
      </c>
      <c r="D552" t="inlineStr">
        <is>
          <t>UPPSALA LÄN</t>
        </is>
      </c>
      <c r="E552" t="inlineStr">
        <is>
          <t>ENKÖPING</t>
        </is>
      </c>
      <c r="F552" t="inlineStr">
        <is>
          <t>Övriga statliga verk och myndigheter</t>
        </is>
      </c>
      <c r="G552" t="n">
        <v>3.3</v>
      </c>
      <c r="H552" t="n">
        <v>0</v>
      </c>
      <c r="I552" t="n">
        <v>0</v>
      </c>
      <c r="J552" t="n">
        <v>0</v>
      </c>
      <c r="K552" t="n">
        <v>0</v>
      </c>
      <c r="L552" t="n">
        <v>0</v>
      </c>
      <c r="M552" t="n">
        <v>0</v>
      </c>
      <c r="N552" t="n">
        <v>0</v>
      </c>
      <c r="O552" t="n">
        <v>0</v>
      </c>
      <c r="P552" t="n">
        <v>0</v>
      </c>
      <c r="Q552" t="n">
        <v>0</v>
      </c>
      <c r="R552" s="2" t="inlineStr"/>
    </row>
    <row r="553" ht="15" customHeight="1">
      <c r="A553" t="inlineStr">
        <is>
          <t>A 20179-2023</t>
        </is>
      </c>
      <c r="B553" s="1" t="n">
        <v>45055</v>
      </c>
      <c r="C553" s="1" t="n">
        <v>45725</v>
      </c>
      <c r="D553" t="inlineStr">
        <is>
          <t>UPPSALA LÄN</t>
        </is>
      </c>
      <c r="E553" t="inlineStr">
        <is>
          <t>ENKÖPING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20184-2023</t>
        </is>
      </c>
      <c r="B554" s="1" t="n">
        <v>45055</v>
      </c>
      <c r="C554" s="1" t="n">
        <v>45725</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20188-2023</t>
        </is>
      </c>
      <c r="B555" s="1" t="n">
        <v>45055</v>
      </c>
      <c r="C555" s="1" t="n">
        <v>45725</v>
      </c>
      <c r="D555" t="inlineStr">
        <is>
          <t>UPPSALA LÄN</t>
        </is>
      </c>
      <c r="E555" t="inlineStr">
        <is>
          <t>ENKÖPING</t>
        </is>
      </c>
      <c r="G555" t="n">
        <v>4.9</v>
      </c>
      <c r="H555" t="n">
        <v>0</v>
      </c>
      <c r="I555" t="n">
        <v>0</v>
      </c>
      <c r="J555" t="n">
        <v>0</v>
      </c>
      <c r="K555" t="n">
        <v>0</v>
      </c>
      <c r="L555" t="n">
        <v>0</v>
      </c>
      <c r="M555" t="n">
        <v>0</v>
      </c>
      <c r="N555" t="n">
        <v>0</v>
      </c>
      <c r="O555" t="n">
        <v>0</v>
      </c>
      <c r="P555" t="n">
        <v>0</v>
      </c>
      <c r="Q555" t="n">
        <v>0</v>
      </c>
      <c r="R555" s="2" t="inlineStr"/>
    </row>
    <row r="556" ht="15" customHeight="1">
      <c r="A556" t="inlineStr">
        <is>
          <t>A 20201-2023</t>
        </is>
      </c>
      <c r="B556" s="1" t="n">
        <v>45055</v>
      </c>
      <c r="C556" s="1" t="n">
        <v>45725</v>
      </c>
      <c r="D556" t="inlineStr">
        <is>
          <t>UPPSALA LÄN</t>
        </is>
      </c>
      <c r="E556" t="inlineStr">
        <is>
          <t>ENKÖPING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20181-2023</t>
        </is>
      </c>
      <c r="B557" s="1" t="n">
        <v>45055</v>
      </c>
      <c r="C557" s="1" t="n">
        <v>45725</v>
      </c>
      <c r="D557" t="inlineStr">
        <is>
          <t>UPPSALA LÄN</t>
        </is>
      </c>
      <c r="E557" t="inlineStr">
        <is>
          <t>ENKÖPING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20186-2023</t>
        </is>
      </c>
      <c r="B558" s="1" t="n">
        <v>45055</v>
      </c>
      <c r="C558" s="1" t="n">
        <v>45725</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20199-2023</t>
        </is>
      </c>
      <c r="B559" s="1" t="n">
        <v>45055</v>
      </c>
      <c r="C559" s="1" t="n">
        <v>45725</v>
      </c>
      <c r="D559" t="inlineStr">
        <is>
          <t>UPPSALA LÄN</t>
        </is>
      </c>
      <c r="E559" t="inlineStr">
        <is>
          <t>ENKÖPING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20261-2023</t>
        </is>
      </c>
      <c r="B560" s="1" t="n">
        <v>45055</v>
      </c>
      <c r="C560" s="1" t="n">
        <v>45725</v>
      </c>
      <c r="D560" t="inlineStr">
        <is>
          <t>UPPSALA LÄN</t>
        </is>
      </c>
      <c r="E560" t="inlineStr">
        <is>
          <t>ENKÖPING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20396-2023</t>
        </is>
      </c>
      <c r="B561" s="1" t="n">
        <v>45056</v>
      </c>
      <c r="C561" s="1" t="n">
        <v>45725</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20845-2023</t>
        </is>
      </c>
      <c r="B562" s="1" t="n">
        <v>45056</v>
      </c>
      <c r="C562" s="1" t="n">
        <v>45725</v>
      </c>
      <c r="D562" t="inlineStr">
        <is>
          <t>UPPSALA LÄN</t>
        </is>
      </c>
      <c r="E562" t="inlineStr">
        <is>
          <t>ENKÖPING</t>
        </is>
      </c>
      <c r="G562" t="n">
        <v>3.1</v>
      </c>
      <c r="H562" t="n">
        <v>0</v>
      </c>
      <c r="I562" t="n">
        <v>0</v>
      </c>
      <c r="J562" t="n">
        <v>0</v>
      </c>
      <c r="K562" t="n">
        <v>0</v>
      </c>
      <c r="L562" t="n">
        <v>0</v>
      </c>
      <c r="M562" t="n">
        <v>0</v>
      </c>
      <c r="N562" t="n">
        <v>0</v>
      </c>
      <c r="O562" t="n">
        <v>0</v>
      </c>
      <c r="P562" t="n">
        <v>0</v>
      </c>
      <c r="Q562" t="n">
        <v>0</v>
      </c>
      <c r="R562" s="2" t="inlineStr"/>
    </row>
    <row r="563" ht="15" customHeight="1">
      <c r="A563" t="inlineStr">
        <is>
          <t>A 20897-2023</t>
        </is>
      </c>
      <c r="B563" s="1" t="n">
        <v>45059</v>
      </c>
      <c r="C563" s="1" t="n">
        <v>45725</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21020-2023</t>
        </is>
      </c>
      <c r="B564" s="1" t="n">
        <v>45061</v>
      </c>
      <c r="C564" s="1" t="n">
        <v>45725</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21017-2023</t>
        </is>
      </c>
      <c r="B565" s="1" t="n">
        <v>45061</v>
      </c>
      <c r="C565" s="1" t="n">
        <v>45725</v>
      </c>
      <c r="D565" t="inlineStr">
        <is>
          <t>UPPSALA LÄN</t>
        </is>
      </c>
      <c r="E565" t="inlineStr">
        <is>
          <t>ENKÖPING</t>
        </is>
      </c>
      <c r="G565" t="n">
        <v>4.8</v>
      </c>
      <c r="H565" t="n">
        <v>0</v>
      </c>
      <c r="I565" t="n">
        <v>0</v>
      </c>
      <c r="J565" t="n">
        <v>0</v>
      </c>
      <c r="K565" t="n">
        <v>0</v>
      </c>
      <c r="L565" t="n">
        <v>0</v>
      </c>
      <c r="M565" t="n">
        <v>0</v>
      </c>
      <c r="N565" t="n">
        <v>0</v>
      </c>
      <c r="O565" t="n">
        <v>0</v>
      </c>
      <c r="P565" t="n">
        <v>0</v>
      </c>
      <c r="Q565" t="n">
        <v>0</v>
      </c>
      <c r="R565" s="2" t="inlineStr"/>
    </row>
    <row r="566" ht="15" customHeight="1">
      <c r="A566" t="inlineStr">
        <is>
          <t>A 21620-2023</t>
        </is>
      </c>
      <c r="B566" s="1" t="n">
        <v>45063</v>
      </c>
      <c r="C566" s="1" t="n">
        <v>45725</v>
      </c>
      <c r="D566" t="inlineStr">
        <is>
          <t>UPPSALA LÄN</t>
        </is>
      </c>
      <c r="E566" t="inlineStr">
        <is>
          <t>ENKÖPING</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21612-2023</t>
        </is>
      </c>
      <c r="B567" s="1" t="n">
        <v>45063</v>
      </c>
      <c r="C567" s="1" t="n">
        <v>45725</v>
      </c>
      <c r="D567" t="inlineStr">
        <is>
          <t>UPPSALA LÄN</t>
        </is>
      </c>
      <c r="E567" t="inlineStr">
        <is>
          <t>ENKÖPING</t>
        </is>
      </c>
      <c r="F567" t="inlineStr">
        <is>
          <t>Allmännings- och besparingsskogar</t>
        </is>
      </c>
      <c r="G567" t="n">
        <v>1</v>
      </c>
      <c r="H567" t="n">
        <v>0</v>
      </c>
      <c r="I567" t="n">
        <v>0</v>
      </c>
      <c r="J567" t="n">
        <v>0</v>
      </c>
      <c r="K567" t="n">
        <v>0</v>
      </c>
      <c r="L567" t="n">
        <v>0</v>
      </c>
      <c r="M567" t="n">
        <v>0</v>
      </c>
      <c r="N567" t="n">
        <v>0</v>
      </c>
      <c r="O567" t="n">
        <v>0</v>
      </c>
      <c r="P567" t="n">
        <v>0</v>
      </c>
      <c r="Q567" t="n">
        <v>0</v>
      </c>
      <c r="R567" s="2" t="inlineStr"/>
    </row>
    <row r="568" ht="15" customHeight="1">
      <c r="A568" t="inlineStr">
        <is>
          <t>A 22094-2023</t>
        </is>
      </c>
      <c r="B568" s="1" t="n">
        <v>45069</v>
      </c>
      <c r="C568" s="1" t="n">
        <v>45725</v>
      </c>
      <c r="D568" t="inlineStr">
        <is>
          <t>UPPSALA LÄN</t>
        </is>
      </c>
      <c r="E568" t="inlineStr">
        <is>
          <t>ENKÖPING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25333-2023</t>
        </is>
      </c>
      <c r="B569" s="1" t="n">
        <v>45083</v>
      </c>
      <c r="C569" s="1" t="n">
        <v>45725</v>
      </c>
      <c r="D569" t="inlineStr">
        <is>
          <t>UPPSALA LÄN</t>
        </is>
      </c>
      <c r="E569" t="inlineStr">
        <is>
          <t>ENKÖPING</t>
        </is>
      </c>
      <c r="G569" t="n">
        <v>2.7</v>
      </c>
      <c r="H569" t="n">
        <v>0</v>
      </c>
      <c r="I569" t="n">
        <v>0</v>
      </c>
      <c r="J569" t="n">
        <v>0</v>
      </c>
      <c r="K569" t="n">
        <v>0</v>
      </c>
      <c r="L569" t="n">
        <v>0</v>
      </c>
      <c r="M569" t="n">
        <v>0</v>
      </c>
      <c r="N569" t="n">
        <v>0</v>
      </c>
      <c r="O569" t="n">
        <v>0</v>
      </c>
      <c r="P569" t="n">
        <v>0</v>
      </c>
      <c r="Q569" t="n">
        <v>0</v>
      </c>
      <c r="R569" s="2" t="inlineStr"/>
    </row>
    <row r="570" ht="15" customHeight="1">
      <c r="A570" t="inlineStr">
        <is>
          <t>A 25334-2023</t>
        </is>
      </c>
      <c r="B570" s="1" t="n">
        <v>45083</v>
      </c>
      <c r="C570" s="1" t="n">
        <v>45725</v>
      </c>
      <c r="D570" t="inlineStr">
        <is>
          <t>UPPSALA LÄN</t>
        </is>
      </c>
      <c r="E570" t="inlineStr">
        <is>
          <t>ENKÖPING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24962-2023</t>
        </is>
      </c>
      <c r="B571" s="1" t="n">
        <v>45085</v>
      </c>
      <c r="C571" s="1" t="n">
        <v>45725</v>
      </c>
      <c r="D571" t="inlineStr">
        <is>
          <t>UPPSALA LÄN</t>
        </is>
      </c>
      <c r="E571" t="inlineStr">
        <is>
          <t>ENKÖPING</t>
        </is>
      </c>
      <c r="G571" t="n">
        <v>2.8</v>
      </c>
      <c r="H571" t="n">
        <v>0</v>
      </c>
      <c r="I571" t="n">
        <v>0</v>
      </c>
      <c r="J571" t="n">
        <v>0</v>
      </c>
      <c r="K571" t="n">
        <v>0</v>
      </c>
      <c r="L571" t="n">
        <v>0</v>
      </c>
      <c r="M571" t="n">
        <v>0</v>
      </c>
      <c r="N571" t="n">
        <v>0</v>
      </c>
      <c r="O571" t="n">
        <v>0</v>
      </c>
      <c r="P571" t="n">
        <v>0</v>
      </c>
      <c r="Q571" t="n">
        <v>0</v>
      </c>
      <c r="R571" s="2" t="inlineStr"/>
    </row>
    <row r="572" ht="15" customHeight="1">
      <c r="A572" t="inlineStr">
        <is>
          <t>A 24960-2023</t>
        </is>
      </c>
      <c r="B572" s="1" t="n">
        <v>45085</v>
      </c>
      <c r="C572" s="1" t="n">
        <v>45725</v>
      </c>
      <c r="D572" t="inlineStr">
        <is>
          <t>UPPSALA LÄN</t>
        </is>
      </c>
      <c r="E572" t="inlineStr">
        <is>
          <t>ENKÖPING</t>
        </is>
      </c>
      <c r="G572" t="n">
        <v>2.1</v>
      </c>
      <c r="H572" t="n">
        <v>0</v>
      </c>
      <c r="I572" t="n">
        <v>0</v>
      </c>
      <c r="J572" t="n">
        <v>0</v>
      </c>
      <c r="K572" t="n">
        <v>0</v>
      </c>
      <c r="L572" t="n">
        <v>0</v>
      </c>
      <c r="M572" t="n">
        <v>0</v>
      </c>
      <c r="N572" t="n">
        <v>0</v>
      </c>
      <c r="O572" t="n">
        <v>0</v>
      </c>
      <c r="P572" t="n">
        <v>0</v>
      </c>
      <c r="Q572" t="n">
        <v>0</v>
      </c>
      <c r="R572" s="2" t="inlineStr"/>
    </row>
    <row r="573" ht="15" customHeight="1">
      <c r="A573" t="inlineStr">
        <is>
          <t>A 24974-2023</t>
        </is>
      </c>
      <c r="B573" s="1" t="n">
        <v>45085</v>
      </c>
      <c r="C573" s="1" t="n">
        <v>45725</v>
      </c>
      <c r="D573" t="inlineStr">
        <is>
          <t>UPPSALA LÄN</t>
        </is>
      </c>
      <c r="E573" t="inlineStr">
        <is>
          <t>ENKÖPING</t>
        </is>
      </c>
      <c r="G573" t="n">
        <v>0.9</v>
      </c>
      <c r="H573" t="n">
        <v>0</v>
      </c>
      <c r="I573" t="n">
        <v>0</v>
      </c>
      <c r="J573" t="n">
        <v>0</v>
      </c>
      <c r="K573" t="n">
        <v>0</v>
      </c>
      <c r="L573" t="n">
        <v>0</v>
      </c>
      <c r="M573" t="n">
        <v>0</v>
      </c>
      <c r="N573" t="n">
        <v>0</v>
      </c>
      <c r="O573" t="n">
        <v>0</v>
      </c>
      <c r="P573" t="n">
        <v>0</v>
      </c>
      <c r="Q573" t="n">
        <v>0</v>
      </c>
      <c r="R573" s="2" t="inlineStr"/>
    </row>
    <row r="574" ht="15" customHeight="1">
      <c r="A574" t="inlineStr">
        <is>
          <t>A 24978-2023</t>
        </is>
      </c>
      <c r="B574" s="1" t="n">
        <v>45085</v>
      </c>
      <c r="C574" s="1" t="n">
        <v>45725</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26577-2023</t>
        </is>
      </c>
      <c r="B575" s="1" t="n">
        <v>45092</v>
      </c>
      <c r="C575" s="1" t="n">
        <v>45725</v>
      </c>
      <c r="D575" t="inlineStr">
        <is>
          <t>UPPSALA LÄN</t>
        </is>
      </c>
      <c r="E575" t="inlineStr">
        <is>
          <t>ENKÖPING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27178-2023</t>
        </is>
      </c>
      <c r="B576" s="1" t="n">
        <v>45096</v>
      </c>
      <c r="C576" s="1" t="n">
        <v>45725</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27538-2023</t>
        </is>
      </c>
      <c r="B577" s="1" t="n">
        <v>45097</v>
      </c>
      <c r="C577" s="1" t="n">
        <v>45725</v>
      </c>
      <c r="D577" t="inlineStr">
        <is>
          <t>UPPSALA LÄN</t>
        </is>
      </c>
      <c r="E577" t="inlineStr">
        <is>
          <t>ENKÖPING</t>
        </is>
      </c>
      <c r="G577" t="n">
        <v>5.8</v>
      </c>
      <c r="H577" t="n">
        <v>0</v>
      </c>
      <c r="I577" t="n">
        <v>0</v>
      </c>
      <c r="J577" t="n">
        <v>0</v>
      </c>
      <c r="K577" t="n">
        <v>0</v>
      </c>
      <c r="L577" t="n">
        <v>0</v>
      </c>
      <c r="M577" t="n">
        <v>0</v>
      </c>
      <c r="N577" t="n">
        <v>0</v>
      </c>
      <c r="O577" t="n">
        <v>0</v>
      </c>
      <c r="P577" t="n">
        <v>0</v>
      </c>
      <c r="Q577" t="n">
        <v>0</v>
      </c>
      <c r="R577" s="2" t="inlineStr"/>
    </row>
    <row r="578" ht="15" customHeight="1">
      <c r="A578" t="inlineStr">
        <is>
          <t>A 27730-2023</t>
        </is>
      </c>
      <c r="B578" s="1" t="n">
        <v>45097</v>
      </c>
      <c r="C578" s="1" t="n">
        <v>45725</v>
      </c>
      <c r="D578" t="inlineStr">
        <is>
          <t>UPPSALA LÄN</t>
        </is>
      </c>
      <c r="E578" t="inlineStr">
        <is>
          <t>ENKÖPING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27805-2023</t>
        </is>
      </c>
      <c r="B579" s="1" t="n">
        <v>45098</v>
      </c>
      <c r="C579" s="1" t="n">
        <v>45725</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27839-2023</t>
        </is>
      </c>
      <c r="B580" s="1" t="n">
        <v>45098</v>
      </c>
      <c r="C580" s="1" t="n">
        <v>45725</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27786-2023</t>
        </is>
      </c>
      <c r="B581" s="1" t="n">
        <v>45098</v>
      </c>
      <c r="C581" s="1" t="n">
        <v>45725</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27855-2023</t>
        </is>
      </c>
      <c r="B582" s="1" t="n">
        <v>45098</v>
      </c>
      <c r="C582" s="1" t="n">
        <v>45725</v>
      </c>
      <c r="D582" t="inlineStr">
        <is>
          <t>UPPSALA LÄN</t>
        </is>
      </c>
      <c r="E582" t="inlineStr">
        <is>
          <t>ENKÖPING</t>
        </is>
      </c>
      <c r="G582" t="n">
        <v>2.4</v>
      </c>
      <c r="H582" t="n">
        <v>0</v>
      </c>
      <c r="I582" t="n">
        <v>0</v>
      </c>
      <c r="J582" t="n">
        <v>0</v>
      </c>
      <c r="K582" t="n">
        <v>0</v>
      </c>
      <c r="L582" t="n">
        <v>0</v>
      </c>
      <c r="M582" t="n">
        <v>0</v>
      </c>
      <c r="N582" t="n">
        <v>0</v>
      </c>
      <c r="O582" t="n">
        <v>0</v>
      </c>
      <c r="P582" t="n">
        <v>0</v>
      </c>
      <c r="Q582" t="n">
        <v>0</v>
      </c>
      <c r="R582" s="2" t="inlineStr"/>
    </row>
    <row r="583" ht="15" customHeight="1">
      <c r="A583" t="inlineStr">
        <is>
          <t>A 27928-2023</t>
        </is>
      </c>
      <c r="B583" s="1" t="n">
        <v>45098</v>
      </c>
      <c r="C583" s="1" t="n">
        <v>45725</v>
      </c>
      <c r="D583" t="inlineStr">
        <is>
          <t>UPPSALA LÄN</t>
        </is>
      </c>
      <c r="E583" t="inlineStr">
        <is>
          <t>ENKÖPING</t>
        </is>
      </c>
      <c r="G583" t="n">
        <v>11.5</v>
      </c>
      <c r="H583" t="n">
        <v>0</v>
      </c>
      <c r="I583" t="n">
        <v>0</v>
      </c>
      <c r="J583" t="n">
        <v>0</v>
      </c>
      <c r="K583" t="n">
        <v>0</v>
      </c>
      <c r="L583" t="n">
        <v>0</v>
      </c>
      <c r="M583" t="n">
        <v>0</v>
      </c>
      <c r="N583" t="n">
        <v>0</v>
      </c>
      <c r="O583" t="n">
        <v>0</v>
      </c>
      <c r="P583" t="n">
        <v>0</v>
      </c>
      <c r="Q583" t="n">
        <v>0</v>
      </c>
      <c r="R583" s="2" t="inlineStr"/>
    </row>
    <row r="584" ht="15" customHeight="1">
      <c r="A584" t="inlineStr">
        <is>
          <t>A 28243-2023</t>
        </is>
      </c>
      <c r="B584" s="1" t="n">
        <v>45099</v>
      </c>
      <c r="C584" s="1" t="n">
        <v>45725</v>
      </c>
      <c r="D584" t="inlineStr">
        <is>
          <t>UPPSALA LÄN</t>
        </is>
      </c>
      <c r="E584" t="inlineStr">
        <is>
          <t>ENKÖPING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29917-2023</t>
        </is>
      </c>
      <c r="B585" s="1" t="n">
        <v>45099</v>
      </c>
      <c r="C585" s="1" t="n">
        <v>45725</v>
      </c>
      <c r="D585" t="inlineStr">
        <is>
          <t>UPPSALA LÄN</t>
        </is>
      </c>
      <c r="E585" t="inlineStr">
        <is>
          <t>ENKÖPING</t>
        </is>
      </c>
      <c r="G585" t="n">
        <v>3.2</v>
      </c>
      <c r="H585" t="n">
        <v>0</v>
      </c>
      <c r="I585" t="n">
        <v>0</v>
      </c>
      <c r="J585" t="n">
        <v>0</v>
      </c>
      <c r="K585" t="n">
        <v>0</v>
      </c>
      <c r="L585" t="n">
        <v>0</v>
      </c>
      <c r="M585" t="n">
        <v>0</v>
      </c>
      <c r="N585" t="n">
        <v>0</v>
      </c>
      <c r="O585" t="n">
        <v>0</v>
      </c>
      <c r="P585" t="n">
        <v>0</v>
      </c>
      <c r="Q585" t="n">
        <v>0</v>
      </c>
      <c r="R585" s="2" t="inlineStr"/>
    </row>
    <row r="586" ht="15" customHeight="1">
      <c r="A586" t="inlineStr">
        <is>
          <t>A 29918-2023</t>
        </is>
      </c>
      <c r="B586" s="1" t="n">
        <v>45099</v>
      </c>
      <c r="C586" s="1" t="n">
        <v>45725</v>
      </c>
      <c r="D586" t="inlineStr">
        <is>
          <t>UPPSALA LÄN</t>
        </is>
      </c>
      <c r="E586" t="inlineStr">
        <is>
          <t>ENKÖPING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31573-2023</t>
        </is>
      </c>
      <c r="B587" s="1" t="n">
        <v>45104</v>
      </c>
      <c r="C587" s="1" t="n">
        <v>45725</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30950-2023</t>
        </is>
      </c>
      <c r="B588" s="1" t="n">
        <v>45113</v>
      </c>
      <c r="C588" s="1" t="n">
        <v>45725</v>
      </c>
      <c r="D588" t="inlineStr">
        <is>
          <t>UPPSALA LÄN</t>
        </is>
      </c>
      <c r="E588" t="inlineStr">
        <is>
          <t>ENKÖPING</t>
        </is>
      </c>
      <c r="G588" t="n">
        <v>6.8</v>
      </c>
      <c r="H588" t="n">
        <v>0</v>
      </c>
      <c r="I588" t="n">
        <v>0</v>
      </c>
      <c r="J588" t="n">
        <v>0</v>
      </c>
      <c r="K588" t="n">
        <v>0</v>
      </c>
      <c r="L588" t="n">
        <v>0</v>
      </c>
      <c r="M588" t="n">
        <v>0</v>
      </c>
      <c r="N588" t="n">
        <v>0</v>
      </c>
      <c r="O588" t="n">
        <v>0</v>
      </c>
      <c r="P588" t="n">
        <v>0</v>
      </c>
      <c r="Q588" t="n">
        <v>0</v>
      </c>
      <c r="R588" s="2" t="inlineStr"/>
    </row>
    <row r="589" ht="15" customHeight="1">
      <c r="A589" t="inlineStr">
        <is>
          <t>A 31163-2023</t>
        </is>
      </c>
      <c r="B589" s="1" t="n">
        <v>45113</v>
      </c>
      <c r="C589" s="1" t="n">
        <v>45725</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31557-2023</t>
        </is>
      </c>
      <c r="B590" s="1" t="n">
        <v>45117</v>
      </c>
      <c r="C590" s="1" t="n">
        <v>45725</v>
      </c>
      <c r="D590" t="inlineStr">
        <is>
          <t>UPPSALA LÄN</t>
        </is>
      </c>
      <c r="E590" t="inlineStr">
        <is>
          <t>ENKÖPING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31559-2023</t>
        </is>
      </c>
      <c r="B591" s="1" t="n">
        <v>45117</v>
      </c>
      <c r="C591" s="1" t="n">
        <v>45725</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31604-2023</t>
        </is>
      </c>
      <c r="B592" s="1" t="n">
        <v>45117</v>
      </c>
      <c r="C592" s="1" t="n">
        <v>45725</v>
      </c>
      <c r="D592" t="inlineStr">
        <is>
          <t>UPPSALA LÄN</t>
        </is>
      </c>
      <c r="E592" t="inlineStr">
        <is>
          <t>ENKÖPING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31636-2023</t>
        </is>
      </c>
      <c r="B593" s="1" t="n">
        <v>45117</v>
      </c>
      <c r="C593" s="1" t="n">
        <v>45725</v>
      </c>
      <c r="D593" t="inlineStr">
        <is>
          <t>UPPSALA LÄN</t>
        </is>
      </c>
      <c r="E593" t="inlineStr">
        <is>
          <t>ENKÖPING</t>
        </is>
      </c>
      <c r="G593" t="n">
        <v>22.1</v>
      </c>
      <c r="H593" t="n">
        <v>0</v>
      </c>
      <c r="I593" t="n">
        <v>0</v>
      </c>
      <c r="J593" t="n">
        <v>0</v>
      </c>
      <c r="K593" t="n">
        <v>0</v>
      </c>
      <c r="L593" t="n">
        <v>0</v>
      </c>
      <c r="M593" t="n">
        <v>0</v>
      </c>
      <c r="N593" t="n">
        <v>0</v>
      </c>
      <c r="O593" t="n">
        <v>0</v>
      </c>
      <c r="P593" t="n">
        <v>0</v>
      </c>
      <c r="Q593" t="n">
        <v>0</v>
      </c>
      <c r="R593" s="2" t="inlineStr"/>
    </row>
    <row r="594" ht="15" customHeight="1">
      <c r="A594" t="inlineStr">
        <is>
          <t>A 31642-2023</t>
        </is>
      </c>
      <c r="B594" s="1" t="n">
        <v>45117</v>
      </c>
      <c r="C594" s="1" t="n">
        <v>45725</v>
      </c>
      <c r="D594" t="inlineStr">
        <is>
          <t>UPPSALA LÄN</t>
        </is>
      </c>
      <c r="E594" t="inlineStr">
        <is>
          <t>ENKÖPING</t>
        </is>
      </c>
      <c r="G594" t="n">
        <v>3.9</v>
      </c>
      <c r="H594" t="n">
        <v>0</v>
      </c>
      <c r="I594" t="n">
        <v>0</v>
      </c>
      <c r="J594" t="n">
        <v>0</v>
      </c>
      <c r="K594" t="n">
        <v>0</v>
      </c>
      <c r="L594" t="n">
        <v>0</v>
      </c>
      <c r="M594" t="n">
        <v>0</v>
      </c>
      <c r="N594" t="n">
        <v>0</v>
      </c>
      <c r="O594" t="n">
        <v>0</v>
      </c>
      <c r="P594" t="n">
        <v>0</v>
      </c>
      <c r="Q594" t="n">
        <v>0</v>
      </c>
      <c r="R594" s="2" t="inlineStr"/>
    </row>
    <row r="595" ht="15" customHeight="1">
      <c r="A595" t="inlineStr">
        <is>
          <t>A 31648-2023</t>
        </is>
      </c>
      <c r="B595" s="1" t="n">
        <v>45117</v>
      </c>
      <c r="C595" s="1" t="n">
        <v>45725</v>
      </c>
      <c r="D595" t="inlineStr">
        <is>
          <t>UPPSALA LÄN</t>
        </is>
      </c>
      <c r="E595" t="inlineStr">
        <is>
          <t>ENKÖPING</t>
        </is>
      </c>
      <c r="G595" t="n">
        <v>12.9</v>
      </c>
      <c r="H595" t="n">
        <v>0</v>
      </c>
      <c r="I595" t="n">
        <v>0</v>
      </c>
      <c r="J595" t="n">
        <v>0</v>
      </c>
      <c r="K595" t="n">
        <v>0</v>
      </c>
      <c r="L595" t="n">
        <v>0</v>
      </c>
      <c r="M595" t="n">
        <v>0</v>
      </c>
      <c r="N595" t="n">
        <v>0</v>
      </c>
      <c r="O595" t="n">
        <v>0</v>
      </c>
      <c r="P595" t="n">
        <v>0</v>
      </c>
      <c r="Q595" t="n">
        <v>0</v>
      </c>
      <c r="R595" s="2" t="inlineStr"/>
    </row>
    <row r="596" ht="15" customHeight="1">
      <c r="A596" t="inlineStr">
        <is>
          <t>A 33581-2023</t>
        </is>
      </c>
      <c r="B596" s="1" t="n">
        <v>45131</v>
      </c>
      <c r="C596" s="1" t="n">
        <v>45725</v>
      </c>
      <c r="D596" t="inlineStr">
        <is>
          <t>UPPSALA LÄN</t>
        </is>
      </c>
      <c r="E596" t="inlineStr">
        <is>
          <t>ENKÖPING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34735-2023</t>
        </is>
      </c>
      <c r="B597" s="1" t="n">
        <v>45139</v>
      </c>
      <c r="C597" s="1" t="n">
        <v>45725</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34743-2023</t>
        </is>
      </c>
      <c r="B598" s="1" t="n">
        <v>45141</v>
      </c>
      <c r="C598" s="1" t="n">
        <v>45725</v>
      </c>
      <c r="D598" t="inlineStr">
        <is>
          <t>UPPSALA LÄN</t>
        </is>
      </c>
      <c r="E598" t="inlineStr">
        <is>
          <t>ENKÖPING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34961-2023</t>
        </is>
      </c>
      <c r="B599" s="1" t="n">
        <v>45142</v>
      </c>
      <c r="C599" s="1" t="n">
        <v>45725</v>
      </c>
      <c r="D599" t="inlineStr">
        <is>
          <t>UPPSALA LÄN</t>
        </is>
      </c>
      <c r="E599" t="inlineStr">
        <is>
          <t>ENKÖPING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34960-2023</t>
        </is>
      </c>
      <c r="B600" s="1" t="n">
        <v>45142</v>
      </c>
      <c r="C600" s="1" t="n">
        <v>45725</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35367-2023</t>
        </is>
      </c>
      <c r="B601" s="1" t="n">
        <v>45146</v>
      </c>
      <c r="C601" s="1" t="n">
        <v>45725</v>
      </c>
      <c r="D601" t="inlineStr">
        <is>
          <t>UPPSALA LÄN</t>
        </is>
      </c>
      <c r="E601" t="inlineStr">
        <is>
          <t>ENKÖPING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35684-2023</t>
        </is>
      </c>
      <c r="B602" s="1" t="n">
        <v>45147</v>
      </c>
      <c r="C602" s="1" t="n">
        <v>45725</v>
      </c>
      <c r="D602" t="inlineStr">
        <is>
          <t>UPPSALA LÄN</t>
        </is>
      </c>
      <c r="E602" t="inlineStr">
        <is>
          <t>ENKÖPING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37032-2023</t>
        </is>
      </c>
      <c r="B603" s="1" t="n">
        <v>45155</v>
      </c>
      <c r="C603" s="1" t="n">
        <v>45725</v>
      </c>
      <c r="D603" t="inlineStr">
        <is>
          <t>UPPSALA LÄN</t>
        </is>
      </c>
      <c r="E603" t="inlineStr">
        <is>
          <t>ENKÖPING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37035-2023</t>
        </is>
      </c>
      <c r="B604" s="1" t="n">
        <v>45155</v>
      </c>
      <c r="C604" s="1" t="n">
        <v>45725</v>
      </c>
      <c r="D604" t="inlineStr">
        <is>
          <t>UPPSALA LÄN</t>
        </is>
      </c>
      <c r="E604" t="inlineStr">
        <is>
          <t>ENKÖPING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37350-2023</t>
        </is>
      </c>
      <c r="B605" s="1" t="n">
        <v>45156</v>
      </c>
      <c r="C605" s="1" t="n">
        <v>45725</v>
      </c>
      <c r="D605" t="inlineStr">
        <is>
          <t>UPPSALA LÄN</t>
        </is>
      </c>
      <c r="E605" t="inlineStr">
        <is>
          <t>ENKÖPING</t>
        </is>
      </c>
      <c r="G605" t="n">
        <v>3.4</v>
      </c>
      <c r="H605" t="n">
        <v>0</v>
      </c>
      <c r="I605" t="n">
        <v>0</v>
      </c>
      <c r="J605" t="n">
        <v>0</v>
      </c>
      <c r="K605" t="n">
        <v>0</v>
      </c>
      <c r="L605" t="n">
        <v>0</v>
      </c>
      <c r="M605" t="n">
        <v>0</v>
      </c>
      <c r="N605" t="n">
        <v>0</v>
      </c>
      <c r="O605" t="n">
        <v>0</v>
      </c>
      <c r="P605" t="n">
        <v>0</v>
      </c>
      <c r="Q605" t="n">
        <v>0</v>
      </c>
      <c r="R605" s="2" t="inlineStr"/>
    </row>
    <row r="606" ht="15" customHeight="1">
      <c r="A606" t="inlineStr">
        <is>
          <t>A 37353-2023</t>
        </is>
      </c>
      <c r="B606" s="1" t="n">
        <v>45156</v>
      </c>
      <c r="C606" s="1" t="n">
        <v>45725</v>
      </c>
      <c r="D606" t="inlineStr">
        <is>
          <t>UPPSALA LÄN</t>
        </is>
      </c>
      <c r="E606" t="inlineStr">
        <is>
          <t>ENKÖPING</t>
        </is>
      </c>
      <c r="G606" t="n">
        <v>5.8</v>
      </c>
      <c r="H606" t="n">
        <v>0</v>
      </c>
      <c r="I606" t="n">
        <v>0</v>
      </c>
      <c r="J606" t="n">
        <v>0</v>
      </c>
      <c r="K606" t="n">
        <v>0</v>
      </c>
      <c r="L606" t="n">
        <v>0</v>
      </c>
      <c r="M606" t="n">
        <v>0</v>
      </c>
      <c r="N606" t="n">
        <v>0</v>
      </c>
      <c r="O606" t="n">
        <v>0</v>
      </c>
      <c r="P606" t="n">
        <v>0</v>
      </c>
      <c r="Q606" t="n">
        <v>0</v>
      </c>
      <c r="R606" s="2" t="inlineStr"/>
    </row>
    <row r="607" ht="15" customHeight="1">
      <c r="A607" t="inlineStr">
        <is>
          <t>A 37347-2023</t>
        </is>
      </c>
      <c r="B607" s="1" t="n">
        <v>45156</v>
      </c>
      <c r="C607" s="1" t="n">
        <v>45725</v>
      </c>
      <c r="D607" t="inlineStr">
        <is>
          <t>UPPSALA LÄN</t>
        </is>
      </c>
      <c r="E607" t="inlineStr">
        <is>
          <t>ENKÖPING</t>
        </is>
      </c>
      <c r="G607" t="n">
        <v>3.7</v>
      </c>
      <c r="H607" t="n">
        <v>0</v>
      </c>
      <c r="I607" t="n">
        <v>0</v>
      </c>
      <c r="J607" t="n">
        <v>0</v>
      </c>
      <c r="K607" t="n">
        <v>0</v>
      </c>
      <c r="L607" t="n">
        <v>0</v>
      </c>
      <c r="M607" t="n">
        <v>0</v>
      </c>
      <c r="N607" t="n">
        <v>0</v>
      </c>
      <c r="O607" t="n">
        <v>0</v>
      </c>
      <c r="P607" t="n">
        <v>0</v>
      </c>
      <c r="Q607" t="n">
        <v>0</v>
      </c>
      <c r="R607" s="2" t="inlineStr"/>
    </row>
    <row r="608" ht="15" customHeight="1">
      <c r="A608" t="inlineStr">
        <is>
          <t>A 37866-2023</t>
        </is>
      </c>
      <c r="B608" s="1" t="n">
        <v>45160</v>
      </c>
      <c r="C608" s="1" t="n">
        <v>45725</v>
      </c>
      <c r="D608" t="inlineStr">
        <is>
          <t>UPPSALA LÄN</t>
        </is>
      </c>
      <c r="E608" t="inlineStr">
        <is>
          <t>ENKÖPING</t>
        </is>
      </c>
      <c r="G608" t="n">
        <v>7.2</v>
      </c>
      <c r="H608" t="n">
        <v>0</v>
      </c>
      <c r="I608" t="n">
        <v>0</v>
      </c>
      <c r="J608" t="n">
        <v>0</v>
      </c>
      <c r="K608" t="n">
        <v>0</v>
      </c>
      <c r="L608" t="n">
        <v>0</v>
      </c>
      <c r="M608" t="n">
        <v>0</v>
      </c>
      <c r="N608" t="n">
        <v>0</v>
      </c>
      <c r="O608" t="n">
        <v>0</v>
      </c>
      <c r="P608" t="n">
        <v>0</v>
      </c>
      <c r="Q608" t="n">
        <v>0</v>
      </c>
      <c r="R608" s="2" t="inlineStr"/>
    </row>
    <row r="609" ht="15" customHeight="1">
      <c r="A609" t="inlineStr">
        <is>
          <t>A 37870-2023</t>
        </is>
      </c>
      <c r="B609" s="1" t="n">
        <v>45160</v>
      </c>
      <c r="C609" s="1" t="n">
        <v>45725</v>
      </c>
      <c r="D609" t="inlineStr">
        <is>
          <t>UPPSALA LÄN</t>
        </is>
      </c>
      <c r="E609" t="inlineStr">
        <is>
          <t>ENKÖPING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39624-2023</t>
        </is>
      </c>
      <c r="B610" s="1" t="n">
        <v>45164</v>
      </c>
      <c r="C610" s="1" t="n">
        <v>45725</v>
      </c>
      <c r="D610" t="inlineStr">
        <is>
          <t>UPPSALA LÄN</t>
        </is>
      </c>
      <c r="E610" t="inlineStr">
        <is>
          <t>ENKÖPING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40306-2023</t>
        </is>
      </c>
      <c r="B611" s="1" t="n">
        <v>45169</v>
      </c>
      <c r="C611" s="1" t="n">
        <v>45725</v>
      </c>
      <c r="D611" t="inlineStr">
        <is>
          <t>UPPSALA LÄN</t>
        </is>
      </c>
      <c r="E611" t="inlineStr">
        <is>
          <t>ENKÖPING</t>
        </is>
      </c>
      <c r="G611" t="n">
        <v>3.1</v>
      </c>
      <c r="H611" t="n">
        <v>0</v>
      </c>
      <c r="I611" t="n">
        <v>0</v>
      </c>
      <c r="J611" t="n">
        <v>0</v>
      </c>
      <c r="K611" t="n">
        <v>0</v>
      </c>
      <c r="L611" t="n">
        <v>0</v>
      </c>
      <c r="M611" t="n">
        <v>0</v>
      </c>
      <c r="N611" t="n">
        <v>0</v>
      </c>
      <c r="O611" t="n">
        <v>0</v>
      </c>
      <c r="P611" t="n">
        <v>0</v>
      </c>
      <c r="Q611" t="n">
        <v>0</v>
      </c>
      <c r="R611" s="2" t="inlineStr"/>
    </row>
    <row r="612" ht="15" customHeight="1">
      <c r="A612" t="inlineStr">
        <is>
          <t>A 41478-2023</t>
        </is>
      </c>
      <c r="B612" s="1" t="n">
        <v>45173</v>
      </c>
      <c r="C612" s="1" t="n">
        <v>45725</v>
      </c>
      <c r="D612" t="inlineStr">
        <is>
          <t>UPPSALA LÄN</t>
        </is>
      </c>
      <c r="E612" t="inlineStr">
        <is>
          <t>ENKÖPING</t>
        </is>
      </c>
      <c r="G612" t="n">
        <v>3.3</v>
      </c>
      <c r="H612" t="n">
        <v>0</v>
      </c>
      <c r="I612" t="n">
        <v>0</v>
      </c>
      <c r="J612" t="n">
        <v>0</v>
      </c>
      <c r="K612" t="n">
        <v>0</v>
      </c>
      <c r="L612" t="n">
        <v>0</v>
      </c>
      <c r="M612" t="n">
        <v>0</v>
      </c>
      <c r="N612" t="n">
        <v>0</v>
      </c>
      <c r="O612" t="n">
        <v>0</v>
      </c>
      <c r="P612" t="n">
        <v>0</v>
      </c>
      <c r="Q612" t="n">
        <v>0</v>
      </c>
      <c r="R612" s="2" t="inlineStr"/>
    </row>
    <row r="613" ht="15" customHeight="1">
      <c r="A613" t="inlineStr">
        <is>
          <t>A 41549-2023</t>
        </is>
      </c>
      <c r="B613" s="1" t="n">
        <v>45173</v>
      </c>
      <c r="C613" s="1" t="n">
        <v>45725</v>
      </c>
      <c r="D613" t="inlineStr">
        <is>
          <t>UPPSALA LÄN</t>
        </is>
      </c>
      <c r="E613" t="inlineStr">
        <is>
          <t>ENKÖPING</t>
        </is>
      </c>
      <c r="G613" t="n">
        <v>4.5</v>
      </c>
      <c r="H613" t="n">
        <v>0</v>
      </c>
      <c r="I613" t="n">
        <v>0</v>
      </c>
      <c r="J613" t="n">
        <v>0</v>
      </c>
      <c r="K613" t="n">
        <v>0</v>
      </c>
      <c r="L613" t="n">
        <v>0</v>
      </c>
      <c r="M613" t="n">
        <v>0</v>
      </c>
      <c r="N613" t="n">
        <v>0</v>
      </c>
      <c r="O613" t="n">
        <v>0</v>
      </c>
      <c r="P613" t="n">
        <v>0</v>
      </c>
      <c r="Q613" t="n">
        <v>0</v>
      </c>
      <c r="R613" s="2" t="inlineStr"/>
    </row>
    <row r="614" ht="15" customHeight="1">
      <c r="A614" t="inlineStr">
        <is>
          <t>A 41945-2023</t>
        </is>
      </c>
      <c r="B614" s="1" t="n">
        <v>45177</v>
      </c>
      <c r="C614" s="1" t="n">
        <v>45725</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43494-2023</t>
        </is>
      </c>
      <c r="B615" s="1" t="n">
        <v>45181</v>
      </c>
      <c r="C615" s="1" t="n">
        <v>45725</v>
      </c>
      <c r="D615" t="inlineStr">
        <is>
          <t>UPPSALA LÄN</t>
        </is>
      </c>
      <c r="E615" t="inlineStr">
        <is>
          <t>ENKÖPING</t>
        </is>
      </c>
      <c r="G615" t="n">
        <v>2.5</v>
      </c>
      <c r="H615" t="n">
        <v>0</v>
      </c>
      <c r="I615" t="n">
        <v>0</v>
      </c>
      <c r="J615" t="n">
        <v>0</v>
      </c>
      <c r="K615" t="n">
        <v>0</v>
      </c>
      <c r="L615" t="n">
        <v>0</v>
      </c>
      <c r="M615" t="n">
        <v>0</v>
      </c>
      <c r="N615" t="n">
        <v>0</v>
      </c>
      <c r="O615" t="n">
        <v>0</v>
      </c>
      <c r="P615" t="n">
        <v>0</v>
      </c>
      <c r="Q615" t="n">
        <v>0</v>
      </c>
      <c r="R615" s="2" t="inlineStr"/>
    </row>
    <row r="616" ht="15" customHeight="1">
      <c r="A616" t="inlineStr">
        <is>
          <t>A 43510-2023</t>
        </is>
      </c>
      <c r="B616" s="1" t="n">
        <v>45181</v>
      </c>
      <c r="C616" s="1" t="n">
        <v>45725</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43506-2023</t>
        </is>
      </c>
      <c r="B617" s="1" t="n">
        <v>45181</v>
      </c>
      <c r="C617" s="1" t="n">
        <v>45725</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43488-2023</t>
        </is>
      </c>
      <c r="B618" s="1" t="n">
        <v>45181</v>
      </c>
      <c r="C618" s="1" t="n">
        <v>45725</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43492-2023</t>
        </is>
      </c>
      <c r="B619" s="1" t="n">
        <v>45181</v>
      </c>
      <c r="C619" s="1" t="n">
        <v>45725</v>
      </c>
      <c r="D619" t="inlineStr">
        <is>
          <t>UPPSALA LÄN</t>
        </is>
      </c>
      <c r="E619" t="inlineStr">
        <is>
          <t>ENKÖPING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43499-2023</t>
        </is>
      </c>
      <c r="B620" s="1" t="n">
        <v>45181</v>
      </c>
      <c r="C620" s="1" t="n">
        <v>45725</v>
      </c>
      <c r="D620" t="inlineStr">
        <is>
          <t>UPPSALA LÄN</t>
        </is>
      </c>
      <c r="E620" t="inlineStr">
        <is>
          <t>ENKÖPING</t>
        </is>
      </c>
      <c r="G620" t="n">
        <v>7.3</v>
      </c>
      <c r="H620" t="n">
        <v>0</v>
      </c>
      <c r="I620" t="n">
        <v>0</v>
      </c>
      <c r="J620" t="n">
        <v>0</v>
      </c>
      <c r="K620" t="n">
        <v>0</v>
      </c>
      <c r="L620" t="n">
        <v>0</v>
      </c>
      <c r="M620" t="n">
        <v>0</v>
      </c>
      <c r="N620" t="n">
        <v>0</v>
      </c>
      <c r="O620" t="n">
        <v>0</v>
      </c>
      <c r="P620" t="n">
        <v>0</v>
      </c>
      <c r="Q620" t="n">
        <v>0</v>
      </c>
      <c r="R620" s="2" t="inlineStr"/>
    </row>
    <row r="621" ht="15" customHeight="1">
      <c r="A621" t="inlineStr">
        <is>
          <t>A 43230-2023</t>
        </is>
      </c>
      <c r="B621" s="1" t="n">
        <v>45183</v>
      </c>
      <c r="C621" s="1" t="n">
        <v>45725</v>
      </c>
      <c r="D621" t="inlineStr">
        <is>
          <t>UPPSALA LÄN</t>
        </is>
      </c>
      <c r="E621" t="inlineStr">
        <is>
          <t>ENKÖPING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44131-2023</t>
        </is>
      </c>
      <c r="B622" s="1" t="n">
        <v>45188</v>
      </c>
      <c r="C622" s="1" t="n">
        <v>45725</v>
      </c>
      <c r="D622" t="inlineStr">
        <is>
          <t>UPPSALA LÄN</t>
        </is>
      </c>
      <c r="E622" t="inlineStr">
        <is>
          <t>ENKÖPING</t>
        </is>
      </c>
      <c r="G622" t="n">
        <v>0.3</v>
      </c>
      <c r="H622" t="n">
        <v>0</v>
      </c>
      <c r="I622" t="n">
        <v>0</v>
      </c>
      <c r="J622" t="n">
        <v>0</v>
      </c>
      <c r="K622" t="n">
        <v>0</v>
      </c>
      <c r="L622" t="n">
        <v>0</v>
      </c>
      <c r="M622" t="n">
        <v>0</v>
      </c>
      <c r="N622" t="n">
        <v>0</v>
      </c>
      <c r="O622" t="n">
        <v>0</v>
      </c>
      <c r="P622" t="n">
        <v>0</v>
      </c>
      <c r="Q622" t="n">
        <v>0</v>
      </c>
      <c r="R622" s="2" t="inlineStr"/>
    </row>
    <row r="623" ht="15" customHeight="1">
      <c r="A623" t="inlineStr">
        <is>
          <t>A 44326-2023</t>
        </is>
      </c>
      <c r="B623" s="1" t="n">
        <v>45188</v>
      </c>
      <c r="C623" s="1" t="n">
        <v>45725</v>
      </c>
      <c r="D623" t="inlineStr">
        <is>
          <t>UPPSALA LÄN</t>
        </is>
      </c>
      <c r="E623" t="inlineStr">
        <is>
          <t>ENKÖPING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46103-2023</t>
        </is>
      </c>
      <c r="B624" s="1" t="n">
        <v>45190</v>
      </c>
      <c r="C624" s="1" t="n">
        <v>45725</v>
      </c>
      <c r="D624" t="inlineStr">
        <is>
          <t>UPPSALA LÄN</t>
        </is>
      </c>
      <c r="E624" t="inlineStr">
        <is>
          <t>ENKÖPING</t>
        </is>
      </c>
      <c r="G624" t="n">
        <v>4.6</v>
      </c>
      <c r="H624" t="n">
        <v>0</v>
      </c>
      <c r="I624" t="n">
        <v>0</v>
      </c>
      <c r="J624" t="n">
        <v>0</v>
      </c>
      <c r="K624" t="n">
        <v>0</v>
      </c>
      <c r="L624" t="n">
        <v>0</v>
      </c>
      <c r="M624" t="n">
        <v>0</v>
      </c>
      <c r="N624" t="n">
        <v>0</v>
      </c>
      <c r="O624" t="n">
        <v>0</v>
      </c>
      <c r="P624" t="n">
        <v>0</v>
      </c>
      <c r="Q624" t="n">
        <v>0</v>
      </c>
      <c r="R624" s="2" t="inlineStr"/>
    </row>
    <row r="625" ht="15" customHeight="1">
      <c r="A625" t="inlineStr">
        <is>
          <t>A 45058-2023</t>
        </is>
      </c>
      <c r="B625" s="1" t="n">
        <v>45191</v>
      </c>
      <c r="C625" s="1" t="n">
        <v>45725</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45142-2023</t>
        </is>
      </c>
      <c r="B626" s="1" t="n">
        <v>45191</v>
      </c>
      <c r="C626" s="1" t="n">
        <v>45725</v>
      </c>
      <c r="D626" t="inlineStr">
        <is>
          <t>UPPSALA LÄN</t>
        </is>
      </c>
      <c r="E626" t="inlineStr">
        <is>
          <t>ENKÖPING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45095-2023</t>
        </is>
      </c>
      <c r="B627" s="1" t="n">
        <v>45191</v>
      </c>
      <c r="C627" s="1" t="n">
        <v>45725</v>
      </c>
      <c r="D627" t="inlineStr">
        <is>
          <t>UPPSALA LÄN</t>
        </is>
      </c>
      <c r="E627" t="inlineStr">
        <is>
          <t>ENKÖPING</t>
        </is>
      </c>
      <c r="G627" t="n">
        <v>4.1</v>
      </c>
      <c r="H627" t="n">
        <v>0</v>
      </c>
      <c r="I627" t="n">
        <v>0</v>
      </c>
      <c r="J627" t="n">
        <v>0</v>
      </c>
      <c r="K627" t="n">
        <v>0</v>
      </c>
      <c r="L627" t="n">
        <v>0</v>
      </c>
      <c r="M627" t="n">
        <v>0</v>
      </c>
      <c r="N627" t="n">
        <v>0</v>
      </c>
      <c r="O627" t="n">
        <v>0</v>
      </c>
      <c r="P627" t="n">
        <v>0</v>
      </c>
      <c r="Q627" t="n">
        <v>0</v>
      </c>
      <c r="R627" s="2" t="inlineStr"/>
    </row>
    <row r="628" ht="15" customHeight="1">
      <c r="A628" t="inlineStr">
        <is>
          <t>A 45208-2023</t>
        </is>
      </c>
      <c r="B628" s="1" t="n">
        <v>45191</v>
      </c>
      <c r="C628" s="1" t="n">
        <v>45725</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46186-2023</t>
        </is>
      </c>
      <c r="B629" s="1" t="n">
        <v>45196</v>
      </c>
      <c r="C629" s="1" t="n">
        <v>45725</v>
      </c>
      <c r="D629" t="inlineStr">
        <is>
          <t>UPPSALA LÄN</t>
        </is>
      </c>
      <c r="E629" t="inlineStr">
        <is>
          <t>ENKÖPING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47428-2023</t>
        </is>
      </c>
      <c r="B630" s="1" t="n">
        <v>45202</v>
      </c>
      <c r="C630" s="1" t="n">
        <v>45725</v>
      </c>
      <c r="D630" t="inlineStr">
        <is>
          <t>UPPSALA LÄN</t>
        </is>
      </c>
      <c r="E630" t="inlineStr">
        <is>
          <t>ENKÖPING</t>
        </is>
      </c>
      <c r="G630" t="n">
        <v>3</v>
      </c>
      <c r="H630" t="n">
        <v>0</v>
      </c>
      <c r="I630" t="n">
        <v>0</v>
      </c>
      <c r="J630" t="n">
        <v>0</v>
      </c>
      <c r="K630" t="n">
        <v>0</v>
      </c>
      <c r="L630" t="n">
        <v>0</v>
      </c>
      <c r="M630" t="n">
        <v>0</v>
      </c>
      <c r="N630" t="n">
        <v>0</v>
      </c>
      <c r="O630" t="n">
        <v>0</v>
      </c>
      <c r="P630" t="n">
        <v>0</v>
      </c>
      <c r="Q630" t="n">
        <v>0</v>
      </c>
      <c r="R630" s="2" t="inlineStr"/>
    </row>
    <row r="631" ht="15" customHeight="1">
      <c r="A631" t="inlineStr">
        <is>
          <t>A 47553-2023</t>
        </is>
      </c>
      <c r="B631" s="1" t="n">
        <v>45203</v>
      </c>
      <c r="C631" s="1" t="n">
        <v>45725</v>
      </c>
      <c r="D631" t="inlineStr">
        <is>
          <t>UPPSALA LÄN</t>
        </is>
      </c>
      <c r="E631" t="inlineStr">
        <is>
          <t>ENKÖPING</t>
        </is>
      </c>
      <c r="G631" t="n">
        <v>13.3</v>
      </c>
      <c r="H631" t="n">
        <v>0</v>
      </c>
      <c r="I631" t="n">
        <v>0</v>
      </c>
      <c r="J631" t="n">
        <v>0</v>
      </c>
      <c r="K631" t="n">
        <v>0</v>
      </c>
      <c r="L631" t="n">
        <v>0</v>
      </c>
      <c r="M631" t="n">
        <v>0</v>
      </c>
      <c r="N631" t="n">
        <v>0</v>
      </c>
      <c r="O631" t="n">
        <v>0</v>
      </c>
      <c r="P631" t="n">
        <v>0</v>
      </c>
      <c r="Q631" t="n">
        <v>0</v>
      </c>
      <c r="R631" s="2" t="inlineStr"/>
    </row>
    <row r="632" ht="15" customHeight="1">
      <c r="A632" t="inlineStr">
        <is>
          <t>A 48843-2023</t>
        </is>
      </c>
      <c r="B632" s="1" t="n">
        <v>45209</v>
      </c>
      <c r="C632" s="1" t="n">
        <v>45725</v>
      </c>
      <c r="D632" t="inlineStr">
        <is>
          <t>UPPSALA LÄN</t>
        </is>
      </c>
      <c r="E632" t="inlineStr">
        <is>
          <t>ENKÖPING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50006-2023</t>
        </is>
      </c>
      <c r="B633" s="1" t="n">
        <v>45215</v>
      </c>
      <c r="C633" s="1" t="n">
        <v>45725</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50419-2023</t>
        </is>
      </c>
      <c r="B634" s="1" t="n">
        <v>45216</v>
      </c>
      <c r="C634" s="1" t="n">
        <v>45725</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51120-2023</t>
        </is>
      </c>
      <c r="B635" s="1" t="n">
        <v>45219</v>
      </c>
      <c r="C635" s="1" t="n">
        <v>45725</v>
      </c>
      <c r="D635" t="inlineStr">
        <is>
          <t>UPPSALA LÄN</t>
        </is>
      </c>
      <c r="E635" t="inlineStr">
        <is>
          <t>ENKÖPING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51313-2023</t>
        </is>
      </c>
      <c r="B636" s="1" t="n">
        <v>45219</v>
      </c>
      <c r="C636" s="1" t="n">
        <v>45725</v>
      </c>
      <c r="D636" t="inlineStr">
        <is>
          <t>UPPSALA LÄN</t>
        </is>
      </c>
      <c r="E636" t="inlineStr">
        <is>
          <t>ENKÖPING</t>
        </is>
      </c>
      <c r="F636" t="inlineStr">
        <is>
          <t>Allmännings- och besparingsskogar</t>
        </is>
      </c>
      <c r="G636" t="n">
        <v>7.7</v>
      </c>
      <c r="H636" t="n">
        <v>0</v>
      </c>
      <c r="I636" t="n">
        <v>0</v>
      </c>
      <c r="J636" t="n">
        <v>0</v>
      </c>
      <c r="K636" t="n">
        <v>0</v>
      </c>
      <c r="L636" t="n">
        <v>0</v>
      </c>
      <c r="M636" t="n">
        <v>0</v>
      </c>
      <c r="N636" t="n">
        <v>0</v>
      </c>
      <c r="O636" t="n">
        <v>0</v>
      </c>
      <c r="P636" t="n">
        <v>0</v>
      </c>
      <c r="Q636" t="n">
        <v>0</v>
      </c>
      <c r="R636" s="2" t="inlineStr"/>
    </row>
    <row r="637" ht="15" customHeight="1">
      <c r="A637" t="inlineStr">
        <is>
          <t>A 51688-2023</t>
        </is>
      </c>
      <c r="B637" s="1" t="n">
        <v>45222</v>
      </c>
      <c r="C637" s="1" t="n">
        <v>45725</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51835-2023</t>
        </is>
      </c>
      <c r="B638" s="1" t="n">
        <v>45223</v>
      </c>
      <c r="C638" s="1" t="n">
        <v>45725</v>
      </c>
      <c r="D638" t="inlineStr">
        <is>
          <t>UPPSALA LÄN</t>
        </is>
      </c>
      <c r="E638" t="inlineStr">
        <is>
          <t>ENKÖPING</t>
        </is>
      </c>
      <c r="G638" t="n">
        <v>4.7</v>
      </c>
      <c r="H638" t="n">
        <v>0</v>
      </c>
      <c r="I638" t="n">
        <v>0</v>
      </c>
      <c r="J638" t="n">
        <v>0</v>
      </c>
      <c r="K638" t="n">
        <v>0</v>
      </c>
      <c r="L638" t="n">
        <v>0</v>
      </c>
      <c r="M638" t="n">
        <v>0</v>
      </c>
      <c r="N638" t="n">
        <v>0</v>
      </c>
      <c r="O638" t="n">
        <v>0</v>
      </c>
      <c r="P638" t="n">
        <v>0</v>
      </c>
      <c r="Q638" t="n">
        <v>0</v>
      </c>
      <c r="R638" s="2" t="inlineStr"/>
    </row>
    <row r="639" ht="15" customHeight="1">
      <c r="A639" t="inlineStr">
        <is>
          <t>A 53595-2023</t>
        </is>
      </c>
      <c r="B639" s="1" t="n">
        <v>45223</v>
      </c>
      <c r="C639" s="1" t="n">
        <v>45725</v>
      </c>
      <c r="D639" t="inlineStr">
        <is>
          <t>UPPSALA LÄN</t>
        </is>
      </c>
      <c r="E639" t="inlineStr">
        <is>
          <t>ENKÖPING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52299-2023</t>
        </is>
      </c>
      <c r="B640" s="1" t="n">
        <v>45224</v>
      </c>
      <c r="C640" s="1" t="n">
        <v>45725</v>
      </c>
      <c r="D640" t="inlineStr">
        <is>
          <t>UPPSALA LÄN</t>
        </is>
      </c>
      <c r="E640" t="inlineStr">
        <is>
          <t>ENKÖPING</t>
        </is>
      </c>
      <c r="G640" t="n">
        <v>2.2</v>
      </c>
      <c r="H640" t="n">
        <v>0</v>
      </c>
      <c r="I640" t="n">
        <v>0</v>
      </c>
      <c r="J640" t="n">
        <v>0</v>
      </c>
      <c r="K640" t="n">
        <v>0</v>
      </c>
      <c r="L640" t="n">
        <v>0</v>
      </c>
      <c r="M640" t="n">
        <v>0</v>
      </c>
      <c r="N640" t="n">
        <v>0</v>
      </c>
      <c r="O640" t="n">
        <v>0</v>
      </c>
      <c r="P640" t="n">
        <v>0</v>
      </c>
      <c r="Q640" t="n">
        <v>0</v>
      </c>
      <c r="R640" s="2" t="inlineStr"/>
    </row>
    <row r="641" ht="15" customHeight="1">
      <c r="A641" t="inlineStr">
        <is>
          <t>A 52366-2023</t>
        </is>
      </c>
      <c r="B641" s="1" t="n">
        <v>45224</v>
      </c>
      <c r="C641" s="1" t="n">
        <v>45725</v>
      </c>
      <c r="D641" t="inlineStr">
        <is>
          <t>UPPSALA LÄN</t>
        </is>
      </c>
      <c r="E641" t="inlineStr">
        <is>
          <t>ENKÖPING</t>
        </is>
      </c>
      <c r="G641" t="n">
        <v>2.3</v>
      </c>
      <c r="H641" t="n">
        <v>0</v>
      </c>
      <c r="I641" t="n">
        <v>0</v>
      </c>
      <c r="J641" t="n">
        <v>0</v>
      </c>
      <c r="K641" t="n">
        <v>0</v>
      </c>
      <c r="L641" t="n">
        <v>0</v>
      </c>
      <c r="M641" t="n">
        <v>0</v>
      </c>
      <c r="N641" t="n">
        <v>0</v>
      </c>
      <c r="O641" t="n">
        <v>0</v>
      </c>
      <c r="P641" t="n">
        <v>0</v>
      </c>
      <c r="Q641" t="n">
        <v>0</v>
      </c>
      <c r="R641" s="2" t="inlineStr"/>
    </row>
    <row r="642" ht="15" customHeight="1">
      <c r="A642" t="inlineStr">
        <is>
          <t>A 54356-2023</t>
        </is>
      </c>
      <c r="B642" s="1" t="n">
        <v>45225</v>
      </c>
      <c r="C642" s="1" t="n">
        <v>45725</v>
      </c>
      <c r="D642" t="inlineStr">
        <is>
          <t>UPPSALA LÄN</t>
        </is>
      </c>
      <c r="E642" t="inlineStr">
        <is>
          <t>ENKÖPING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54357-2023</t>
        </is>
      </c>
      <c r="B643" s="1" t="n">
        <v>45225</v>
      </c>
      <c r="C643" s="1" t="n">
        <v>45725</v>
      </c>
      <c r="D643" t="inlineStr">
        <is>
          <t>UPPSALA LÄN</t>
        </is>
      </c>
      <c r="E643" t="inlineStr">
        <is>
          <t>ENKÖPING</t>
        </is>
      </c>
      <c r="G643" t="n">
        <v>1.8</v>
      </c>
      <c r="H643" t="n">
        <v>0</v>
      </c>
      <c r="I643" t="n">
        <v>0</v>
      </c>
      <c r="J643" t="n">
        <v>0</v>
      </c>
      <c r="K643" t="n">
        <v>0</v>
      </c>
      <c r="L643" t="n">
        <v>0</v>
      </c>
      <c r="M643" t="n">
        <v>0</v>
      </c>
      <c r="N643" t="n">
        <v>0</v>
      </c>
      <c r="O643" t="n">
        <v>0</v>
      </c>
      <c r="P643" t="n">
        <v>0</v>
      </c>
      <c r="Q643" t="n">
        <v>0</v>
      </c>
      <c r="R643" s="2" t="inlineStr"/>
    </row>
    <row r="644" ht="15" customHeight="1">
      <c r="A644" t="inlineStr">
        <is>
          <t>A 53208-2023</t>
        </is>
      </c>
      <c r="B644" s="1" t="n">
        <v>45226</v>
      </c>
      <c r="C644" s="1" t="n">
        <v>45725</v>
      </c>
      <c r="D644" t="inlineStr">
        <is>
          <t>UPPSALA LÄN</t>
        </is>
      </c>
      <c r="E644" t="inlineStr">
        <is>
          <t>ENKÖPING</t>
        </is>
      </c>
      <c r="G644" t="n">
        <v>4.3</v>
      </c>
      <c r="H644" t="n">
        <v>0</v>
      </c>
      <c r="I644" t="n">
        <v>0</v>
      </c>
      <c r="J644" t="n">
        <v>0</v>
      </c>
      <c r="K644" t="n">
        <v>0</v>
      </c>
      <c r="L644" t="n">
        <v>0</v>
      </c>
      <c r="M644" t="n">
        <v>0</v>
      </c>
      <c r="N644" t="n">
        <v>0</v>
      </c>
      <c r="O644" t="n">
        <v>0</v>
      </c>
      <c r="P644" t="n">
        <v>0</v>
      </c>
      <c r="Q644" t="n">
        <v>0</v>
      </c>
      <c r="R644" s="2" t="inlineStr"/>
    </row>
    <row r="645" ht="15" customHeight="1">
      <c r="A645" t="inlineStr">
        <is>
          <t>A 53333-2023</t>
        </is>
      </c>
      <c r="B645" s="1" t="n">
        <v>45229</v>
      </c>
      <c r="C645" s="1" t="n">
        <v>45725</v>
      </c>
      <c r="D645" t="inlineStr">
        <is>
          <t>UPPSALA LÄN</t>
        </is>
      </c>
      <c r="E645" t="inlineStr">
        <is>
          <t>ENKÖPING</t>
        </is>
      </c>
      <c r="G645" t="n">
        <v>3.6</v>
      </c>
      <c r="H645" t="n">
        <v>0</v>
      </c>
      <c r="I645" t="n">
        <v>0</v>
      </c>
      <c r="J645" t="n">
        <v>0</v>
      </c>
      <c r="K645" t="n">
        <v>0</v>
      </c>
      <c r="L645" t="n">
        <v>0</v>
      </c>
      <c r="M645" t="n">
        <v>0</v>
      </c>
      <c r="N645" t="n">
        <v>0</v>
      </c>
      <c r="O645" t="n">
        <v>0</v>
      </c>
      <c r="P645" t="n">
        <v>0</v>
      </c>
      <c r="Q645" t="n">
        <v>0</v>
      </c>
      <c r="R645" s="2" t="inlineStr"/>
    </row>
    <row r="646" ht="15" customHeight="1">
      <c r="A646" t="inlineStr">
        <is>
          <t>A 53338-2023</t>
        </is>
      </c>
      <c r="B646" s="1" t="n">
        <v>45229</v>
      </c>
      <c r="C646" s="1" t="n">
        <v>45725</v>
      </c>
      <c r="D646" t="inlineStr">
        <is>
          <t>UPPSALA LÄN</t>
        </is>
      </c>
      <c r="E646" t="inlineStr">
        <is>
          <t>ENKÖPING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53607-2023</t>
        </is>
      </c>
      <c r="B647" s="1" t="n">
        <v>45230</v>
      </c>
      <c r="C647" s="1" t="n">
        <v>45725</v>
      </c>
      <c r="D647" t="inlineStr">
        <is>
          <t>UPPSALA LÄN</t>
        </is>
      </c>
      <c r="E647" t="inlineStr">
        <is>
          <t>ENKÖPING</t>
        </is>
      </c>
      <c r="F647" t="inlineStr">
        <is>
          <t>Allmännings- och besparingsskogar</t>
        </is>
      </c>
      <c r="G647" t="n">
        <v>6.3</v>
      </c>
      <c r="H647" t="n">
        <v>0</v>
      </c>
      <c r="I647" t="n">
        <v>0</v>
      </c>
      <c r="J647" t="n">
        <v>0</v>
      </c>
      <c r="K647" t="n">
        <v>0</v>
      </c>
      <c r="L647" t="n">
        <v>0</v>
      </c>
      <c r="M647" t="n">
        <v>0</v>
      </c>
      <c r="N647" t="n">
        <v>0</v>
      </c>
      <c r="O647" t="n">
        <v>0</v>
      </c>
      <c r="P647" t="n">
        <v>0</v>
      </c>
      <c r="Q647" t="n">
        <v>0</v>
      </c>
      <c r="R647" s="2" t="inlineStr"/>
    </row>
    <row r="648" ht="15" customHeight="1">
      <c r="A648" t="inlineStr">
        <is>
          <t>A 54208-2023</t>
        </is>
      </c>
      <c r="B648" s="1" t="n">
        <v>45232</v>
      </c>
      <c r="C648" s="1" t="n">
        <v>45725</v>
      </c>
      <c r="D648" t="inlineStr">
        <is>
          <t>UPPSALA LÄN</t>
        </is>
      </c>
      <c r="E648" t="inlineStr">
        <is>
          <t>ENKÖPING</t>
        </is>
      </c>
      <c r="G648" t="n">
        <v>4.3</v>
      </c>
      <c r="H648" t="n">
        <v>0</v>
      </c>
      <c r="I648" t="n">
        <v>0</v>
      </c>
      <c r="J648" t="n">
        <v>0</v>
      </c>
      <c r="K648" t="n">
        <v>0</v>
      </c>
      <c r="L648" t="n">
        <v>0</v>
      </c>
      <c r="M648" t="n">
        <v>0</v>
      </c>
      <c r="N648" t="n">
        <v>0</v>
      </c>
      <c r="O648" t="n">
        <v>0</v>
      </c>
      <c r="P648" t="n">
        <v>0</v>
      </c>
      <c r="Q648" t="n">
        <v>0</v>
      </c>
      <c r="R648" s="2" t="inlineStr"/>
    </row>
    <row r="649" ht="15" customHeight="1">
      <c r="A649" t="inlineStr">
        <is>
          <t>A 54224-2023</t>
        </is>
      </c>
      <c r="B649" s="1" t="n">
        <v>45232</v>
      </c>
      <c r="C649" s="1" t="n">
        <v>45725</v>
      </c>
      <c r="D649" t="inlineStr">
        <is>
          <t>UPPSALA LÄN</t>
        </is>
      </c>
      <c r="E649" t="inlineStr">
        <is>
          <t>ENKÖPING</t>
        </is>
      </c>
      <c r="G649" t="n">
        <v>5.4</v>
      </c>
      <c r="H649" t="n">
        <v>0</v>
      </c>
      <c r="I649" t="n">
        <v>0</v>
      </c>
      <c r="J649" t="n">
        <v>0</v>
      </c>
      <c r="K649" t="n">
        <v>0</v>
      </c>
      <c r="L649" t="n">
        <v>0</v>
      </c>
      <c r="M649" t="n">
        <v>0</v>
      </c>
      <c r="N649" t="n">
        <v>0</v>
      </c>
      <c r="O649" t="n">
        <v>0</v>
      </c>
      <c r="P649" t="n">
        <v>0</v>
      </c>
      <c r="Q649" t="n">
        <v>0</v>
      </c>
      <c r="R649" s="2" t="inlineStr"/>
    </row>
    <row r="650" ht="15" customHeight="1">
      <c r="A650" t="inlineStr">
        <is>
          <t>A 55609-2023</t>
        </is>
      </c>
      <c r="B650" s="1" t="n">
        <v>45238</v>
      </c>
      <c r="C650" s="1" t="n">
        <v>45725</v>
      </c>
      <c r="D650" t="inlineStr">
        <is>
          <t>UPPSALA LÄN</t>
        </is>
      </c>
      <c r="E650" t="inlineStr">
        <is>
          <t>ENKÖPING</t>
        </is>
      </c>
      <c r="F650" t="inlineStr">
        <is>
          <t>Allmännings- och besparingsskogar</t>
        </is>
      </c>
      <c r="G650" t="n">
        <v>13.3</v>
      </c>
      <c r="H650" t="n">
        <v>0</v>
      </c>
      <c r="I650" t="n">
        <v>0</v>
      </c>
      <c r="J650" t="n">
        <v>0</v>
      </c>
      <c r="K650" t="n">
        <v>0</v>
      </c>
      <c r="L650" t="n">
        <v>0</v>
      </c>
      <c r="M650" t="n">
        <v>0</v>
      </c>
      <c r="N650" t="n">
        <v>0</v>
      </c>
      <c r="O650" t="n">
        <v>0</v>
      </c>
      <c r="P650" t="n">
        <v>0</v>
      </c>
      <c r="Q650" t="n">
        <v>0</v>
      </c>
      <c r="R650" s="2" t="inlineStr"/>
    </row>
    <row r="651" ht="15" customHeight="1">
      <c r="A651" t="inlineStr">
        <is>
          <t>A 56886-2023</t>
        </is>
      </c>
      <c r="B651" s="1" t="n">
        <v>45239</v>
      </c>
      <c r="C651" s="1" t="n">
        <v>45725</v>
      </c>
      <c r="D651" t="inlineStr">
        <is>
          <t>UPPSALA LÄN</t>
        </is>
      </c>
      <c r="E651" t="inlineStr">
        <is>
          <t>ENKÖPING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57018-2023</t>
        </is>
      </c>
      <c r="B652" s="1" t="n">
        <v>45244</v>
      </c>
      <c r="C652" s="1" t="n">
        <v>45725</v>
      </c>
      <c r="D652" t="inlineStr">
        <is>
          <t>UPPSALA LÄN</t>
        </is>
      </c>
      <c r="E652" t="inlineStr">
        <is>
          <t>ENKÖPING</t>
        </is>
      </c>
      <c r="G652" t="n">
        <v>3.9</v>
      </c>
      <c r="H652" t="n">
        <v>0</v>
      </c>
      <c r="I652" t="n">
        <v>0</v>
      </c>
      <c r="J652" t="n">
        <v>0</v>
      </c>
      <c r="K652" t="n">
        <v>0</v>
      </c>
      <c r="L652" t="n">
        <v>0</v>
      </c>
      <c r="M652" t="n">
        <v>0</v>
      </c>
      <c r="N652" t="n">
        <v>0</v>
      </c>
      <c r="O652" t="n">
        <v>0</v>
      </c>
      <c r="P652" t="n">
        <v>0</v>
      </c>
      <c r="Q652" t="n">
        <v>0</v>
      </c>
      <c r="R652" s="2" t="inlineStr"/>
    </row>
    <row r="653" ht="15" customHeight="1">
      <c r="A653" t="inlineStr">
        <is>
          <t>A 57662-2023</t>
        </is>
      </c>
      <c r="B653" s="1" t="n">
        <v>45246</v>
      </c>
      <c r="C653" s="1" t="n">
        <v>45725</v>
      </c>
      <c r="D653" t="inlineStr">
        <is>
          <t>UPPSALA LÄN</t>
        </is>
      </c>
      <c r="E653" t="inlineStr">
        <is>
          <t>ENKÖPING</t>
        </is>
      </c>
      <c r="G653" t="n">
        <v>10.9</v>
      </c>
      <c r="H653" t="n">
        <v>0</v>
      </c>
      <c r="I653" t="n">
        <v>0</v>
      </c>
      <c r="J653" t="n">
        <v>0</v>
      </c>
      <c r="K653" t="n">
        <v>0</v>
      </c>
      <c r="L653" t="n">
        <v>0</v>
      </c>
      <c r="M653" t="n">
        <v>0</v>
      </c>
      <c r="N653" t="n">
        <v>0</v>
      </c>
      <c r="O653" t="n">
        <v>0</v>
      </c>
      <c r="P653" t="n">
        <v>0</v>
      </c>
      <c r="Q653" t="n">
        <v>0</v>
      </c>
      <c r="R653" s="2" t="inlineStr"/>
    </row>
    <row r="654" ht="15" customHeight="1">
      <c r="A654" t="inlineStr">
        <is>
          <t>A 58114-2023</t>
        </is>
      </c>
      <c r="B654" s="1" t="n">
        <v>45249</v>
      </c>
      <c r="C654" s="1" t="n">
        <v>45725</v>
      </c>
      <c r="D654" t="inlineStr">
        <is>
          <t>UPPSALA LÄN</t>
        </is>
      </c>
      <c r="E654" t="inlineStr">
        <is>
          <t>ENKÖPING</t>
        </is>
      </c>
      <c r="G654" t="n">
        <v>15.4</v>
      </c>
      <c r="H654" t="n">
        <v>0</v>
      </c>
      <c r="I654" t="n">
        <v>0</v>
      </c>
      <c r="J654" t="n">
        <v>0</v>
      </c>
      <c r="K654" t="n">
        <v>0</v>
      </c>
      <c r="L654" t="n">
        <v>0</v>
      </c>
      <c r="M654" t="n">
        <v>0</v>
      </c>
      <c r="N654" t="n">
        <v>0</v>
      </c>
      <c r="O654" t="n">
        <v>0</v>
      </c>
      <c r="P654" t="n">
        <v>0</v>
      </c>
      <c r="Q654" t="n">
        <v>0</v>
      </c>
      <c r="R654" s="2" t="inlineStr"/>
    </row>
    <row r="655" ht="15" customHeight="1">
      <c r="A655" t="inlineStr">
        <is>
          <t>A 59866-2023</t>
        </is>
      </c>
      <c r="B655" s="1" t="n">
        <v>45257</v>
      </c>
      <c r="C655" s="1" t="n">
        <v>45725</v>
      </c>
      <c r="D655" t="inlineStr">
        <is>
          <t>UPPSALA LÄN</t>
        </is>
      </c>
      <c r="E655" t="inlineStr">
        <is>
          <t>ENKÖPING</t>
        </is>
      </c>
      <c r="G655" t="n">
        <v>3.5</v>
      </c>
      <c r="H655" t="n">
        <v>0</v>
      </c>
      <c r="I655" t="n">
        <v>0</v>
      </c>
      <c r="J655" t="n">
        <v>0</v>
      </c>
      <c r="K655" t="n">
        <v>0</v>
      </c>
      <c r="L655" t="n">
        <v>0</v>
      </c>
      <c r="M655" t="n">
        <v>0</v>
      </c>
      <c r="N655" t="n">
        <v>0</v>
      </c>
      <c r="O655" t="n">
        <v>0</v>
      </c>
      <c r="P655" t="n">
        <v>0</v>
      </c>
      <c r="Q655" t="n">
        <v>0</v>
      </c>
      <c r="R655" s="2" t="inlineStr"/>
    </row>
    <row r="656" ht="15" customHeight="1">
      <c r="A656" t="inlineStr">
        <is>
          <t>A 60200-2023</t>
        </is>
      </c>
      <c r="B656" s="1" t="n">
        <v>45258</v>
      </c>
      <c r="C656" s="1" t="n">
        <v>45725</v>
      </c>
      <c r="D656" t="inlineStr">
        <is>
          <t>UPPSALA LÄN</t>
        </is>
      </c>
      <c r="E656" t="inlineStr">
        <is>
          <t>ENKÖPING</t>
        </is>
      </c>
      <c r="F656" t="inlineStr">
        <is>
          <t>Allmännings- och besparingsskogar</t>
        </is>
      </c>
      <c r="G656" t="n">
        <v>9.4</v>
      </c>
      <c r="H656" t="n">
        <v>0</v>
      </c>
      <c r="I656" t="n">
        <v>0</v>
      </c>
      <c r="J656" t="n">
        <v>0</v>
      </c>
      <c r="K656" t="n">
        <v>0</v>
      </c>
      <c r="L656" t="n">
        <v>0</v>
      </c>
      <c r="M656" t="n">
        <v>0</v>
      </c>
      <c r="N656" t="n">
        <v>0</v>
      </c>
      <c r="O656" t="n">
        <v>0</v>
      </c>
      <c r="P656" t="n">
        <v>0</v>
      </c>
      <c r="Q656" t="n">
        <v>0</v>
      </c>
      <c r="R656" s="2" t="inlineStr"/>
    </row>
    <row r="657" ht="15" customHeight="1">
      <c r="A657" t="inlineStr">
        <is>
          <t>A 60641-2023</t>
        </is>
      </c>
      <c r="B657" s="1" t="n">
        <v>45260</v>
      </c>
      <c r="C657" s="1" t="n">
        <v>45725</v>
      </c>
      <c r="D657" t="inlineStr">
        <is>
          <t>UPPSALA LÄN</t>
        </is>
      </c>
      <c r="E657" t="inlineStr">
        <is>
          <t>ENKÖPING</t>
        </is>
      </c>
      <c r="G657" t="n">
        <v>13.1</v>
      </c>
      <c r="H657" t="n">
        <v>0</v>
      </c>
      <c r="I657" t="n">
        <v>0</v>
      </c>
      <c r="J657" t="n">
        <v>0</v>
      </c>
      <c r="K657" t="n">
        <v>0</v>
      </c>
      <c r="L657" t="n">
        <v>0</v>
      </c>
      <c r="M657" t="n">
        <v>0</v>
      </c>
      <c r="N657" t="n">
        <v>0</v>
      </c>
      <c r="O657" t="n">
        <v>0</v>
      </c>
      <c r="P657" t="n">
        <v>0</v>
      </c>
      <c r="Q657" t="n">
        <v>0</v>
      </c>
      <c r="R657" s="2" t="inlineStr"/>
    </row>
    <row r="658" ht="15" customHeight="1">
      <c r="A658" t="inlineStr">
        <is>
          <t>A 61040-2023</t>
        </is>
      </c>
      <c r="B658" s="1" t="n">
        <v>45260</v>
      </c>
      <c r="C658" s="1" t="n">
        <v>45725</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60874-2023</t>
        </is>
      </c>
      <c r="B659" s="1" t="n">
        <v>45261</v>
      </c>
      <c r="C659" s="1" t="n">
        <v>45725</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61207-2023</t>
        </is>
      </c>
      <c r="B660" s="1" t="n">
        <v>45264</v>
      </c>
      <c r="C660" s="1" t="n">
        <v>45725</v>
      </c>
      <c r="D660" t="inlineStr">
        <is>
          <t>UPPSALA LÄN</t>
        </is>
      </c>
      <c r="E660" t="inlineStr">
        <is>
          <t>ENKÖPING</t>
        </is>
      </c>
      <c r="G660" t="n">
        <v>10.8</v>
      </c>
      <c r="H660" t="n">
        <v>0</v>
      </c>
      <c r="I660" t="n">
        <v>0</v>
      </c>
      <c r="J660" t="n">
        <v>0</v>
      </c>
      <c r="K660" t="n">
        <v>0</v>
      </c>
      <c r="L660" t="n">
        <v>0</v>
      </c>
      <c r="M660" t="n">
        <v>0</v>
      </c>
      <c r="N660" t="n">
        <v>0</v>
      </c>
      <c r="O660" t="n">
        <v>0</v>
      </c>
      <c r="P660" t="n">
        <v>0</v>
      </c>
      <c r="Q660" t="n">
        <v>0</v>
      </c>
      <c r="R660" s="2" t="inlineStr"/>
    </row>
    <row r="661" ht="15" customHeight="1">
      <c r="A661" t="inlineStr">
        <is>
          <t>A 61710-2023</t>
        </is>
      </c>
      <c r="B661" s="1" t="n">
        <v>45265</v>
      </c>
      <c r="C661" s="1" t="n">
        <v>45725</v>
      </c>
      <c r="D661" t="inlineStr">
        <is>
          <t>UPPSALA LÄN</t>
        </is>
      </c>
      <c r="E661" t="inlineStr">
        <is>
          <t>ENKÖPING</t>
        </is>
      </c>
      <c r="G661" t="n">
        <v>2.4</v>
      </c>
      <c r="H661" t="n">
        <v>0</v>
      </c>
      <c r="I661" t="n">
        <v>0</v>
      </c>
      <c r="J661" t="n">
        <v>0</v>
      </c>
      <c r="K661" t="n">
        <v>0</v>
      </c>
      <c r="L661" t="n">
        <v>0</v>
      </c>
      <c r="M661" t="n">
        <v>0</v>
      </c>
      <c r="N661" t="n">
        <v>0</v>
      </c>
      <c r="O661" t="n">
        <v>0</v>
      </c>
      <c r="P661" t="n">
        <v>0</v>
      </c>
      <c r="Q661" t="n">
        <v>0</v>
      </c>
      <c r="R661" s="2" t="inlineStr"/>
    </row>
    <row r="662" ht="15" customHeight="1">
      <c r="A662" t="inlineStr">
        <is>
          <t>A 62158-2023</t>
        </is>
      </c>
      <c r="B662" s="1" t="n">
        <v>45267</v>
      </c>
      <c r="C662" s="1" t="n">
        <v>45725</v>
      </c>
      <c r="D662" t="inlineStr">
        <is>
          <t>UPPSALA LÄN</t>
        </is>
      </c>
      <c r="E662" t="inlineStr">
        <is>
          <t>ENKÖPING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62265-2023</t>
        </is>
      </c>
      <c r="B663" s="1" t="n">
        <v>45267</v>
      </c>
      <c r="C663" s="1" t="n">
        <v>45725</v>
      </c>
      <c r="D663" t="inlineStr">
        <is>
          <t>UPPSALA LÄN</t>
        </is>
      </c>
      <c r="E663" t="inlineStr">
        <is>
          <t>ENKÖPING</t>
        </is>
      </c>
      <c r="G663" t="n">
        <v>4.5</v>
      </c>
      <c r="H663" t="n">
        <v>0</v>
      </c>
      <c r="I663" t="n">
        <v>0</v>
      </c>
      <c r="J663" t="n">
        <v>0</v>
      </c>
      <c r="K663" t="n">
        <v>0</v>
      </c>
      <c r="L663" t="n">
        <v>0</v>
      </c>
      <c r="M663" t="n">
        <v>0</v>
      </c>
      <c r="N663" t="n">
        <v>0</v>
      </c>
      <c r="O663" t="n">
        <v>0</v>
      </c>
      <c r="P663" t="n">
        <v>0</v>
      </c>
      <c r="Q663" t="n">
        <v>0</v>
      </c>
      <c r="R663" s="2" t="inlineStr"/>
    </row>
    <row r="664" ht="15" customHeight="1">
      <c r="A664" t="inlineStr">
        <is>
          <t>A 63431-2023</t>
        </is>
      </c>
      <c r="B664" s="1" t="n">
        <v>45274</v>
      </c>
      <c r="C664" s="1" t="n">
        <v>45725</v>
      </c>
      <c r="D664" t="inlineStr">
        <is>
          <t>UPPSALA LÄN</t>
        </is>
      </c>
      <c r="E664" t="inlineStr">
        <is>
          <t>ENKÖPING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63404-2023</t>
        </is>
      </c>
      <c r="B665" s="1" t="n">
        <v>45274</v>
      </c>
      <c r="C665" s="1" t="n">
        <v>45725</v>
      </c>
      <c r="D665" t="inlineStr">
        <is>
          <t>UPPSALA LÄN</t>
        </is>
      </c>
      <c r="E665" t="inlineStr">
        <is>
          <t>ENKÖPING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63402-2023</t>
        </is>
      </c>
      <c r="B666" s="1" t="n">
        <v>45274</v>
      </c>
      <c r="C666" s="1" t="n">
        <v>45725</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63406-2023</t>
        </is>
      </c>
      <c r="B667" s="1" t="n">
        <v>45274</v>
      </c>
      <c r="C667" s="1" t="n">
        <v>45725</v>
      </c>
      <c r="D667" t="inlineStr">
        <is>
          <t>UPPSALA LÄN</t>
        </is>
      </c>
      <c r="E667" t="inlineStr">
        <is>
          <t>ENKÖPING</t>
        </is>
      </c>
      <c r="G667" t="n">
        <v>0.3</v>
      </c>
      <c r="H667" t="n">
        <v>0</v>
      </c>
      <c r="I667" t="n">
        <v>0</v>
      </c>
      <c r="J667" t="n">
        <v>0</v>
      </c>
      <c r="K667" t="n">
        <v>0</v>
      </c>
      <c r="L667" t="n">
        <v>0</v>
      </c>
      <c r="M667" t="n">
        <v>0</v>
      </c>
      <c r="N667" t="n">
        <v>0</v>
      </c>
      <c r="O667" t="n">
        <v>0</v>
      </c>
      <c r="P667" t="n">
        <v>0</v>
      </c>
      <c r="Q667" t="n">
        <v>0</v>
      </c>
      <c r="R667" s="2" t="inlineStr"/>
    </row>
    <row r="668" ht="15" customHeight="1">
      <c r="A668" t="inlineStr">
        <is>
          <t>A 64800-2023</t>
        </is>
      </c>
      <c r="B668" s="1" t="n">
        <v>45282</v>
      </c>
      <c r="C668" s="1" t="n">
        <v>45725</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351-2024</t>
        </is>
      </c>
      <c r="B669" s="1" t="n">
        <v>45295</v>
      </c>
      <c r="C669" s="1" t="n">
        <v>45725</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352-2024</t>
        </is>
      </c>
      <c r="B670" s="1" t="n">
        <v>45295</v>
      </c>
      <c r="C670" s="1" t="n">
        <v>45725</v>
      </c>
      <c r="D670" t="inlineStr">
        <is>
          <t>UPPSALA LÄN</t>
        </is>
      </c>
      <c r="E670" t="inlineStr">
        <is>
          <t>ENKÖPING</t>
        </is>
      </c>
      <c r="G670" t="n">
        <v>3.9</v>
      </c>
      <c r="H670" t="n">
        <v>0</v>
      </c>
      <c r="I670" t="n">
        <v>0</v>
      </c>
      <c r="J670" t="n">
        <v>0</v>
      </c>
      <c r="K670" t="n">
        <v>0</v>
      </c>
      <c r="L670" t="n">
        <v>0</v>
      </c>
      <c r="M670" t="n">
        <v>0</v>
      </c>
      <c r="N670" t="n">
        <v>0</v>
      </c>
      <c r="O670" t="n">
        <v>0</v>
      </c>
      <c r="P670" t="n">
        <v>0</v>
      </c>
      <c r="Q670" t="n">
        <v>0</v>
      </c>
      <c r="R670" s="2" t="inlineStr"/>
    </row>
    <row r="671" ht="15" customHeight="1">
      <c r="A671" t="inlineStr">
        <is>
          <t>A 353-2024</t>
        </is>
      </c>
      <c r="B671" s="1" t="n">
        <v>45295</v>
      </c>
      <c r="C671" s="1" t="n">
        <v>45725</v>
      </c>
      <c r="D671" t="inlineStr">
        <is>
          <t>UPPSALA LÄN</t>
        </is>
      </c>
      <c r="E671" t="inlineStr">
        <is>
          <t>ENKÖPING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422-2024</t>
        </is>
      </c>
      <c r="B672" s="1" t="n">
        <v>45296</v>
      </c>
      <c r="C672" s="1" t="n">
        <v>45725</v>
      </c>
      <c r="D672" t="inlineStr">
        <is>
          <t>UPPSALA LÄN</t>
        </is>
      </c>
      <c r="E672" t="inlineStr">
        <is>
          <t>ENKÖPING</t>
        </is>
      </c>
      <c r="G672" t="n">
        <v>4.6</v>
      </c>
      <c r="H672" t="n">
        <v>0</v>
      </c>
      <c r="I672" t="n">
        <v>0</v>
      </c>
      <c r="J672" t="n">
        <v>0</v>
      </c>
      <c r="K672" t="n">
        <v>0</v>
      </c>
      <c r="L672" t="n">
        <v>0</v>
      </c>
      <c r="M672" t="n">
        <v>0</v>
      </c>
      <c r="N672" t="n">
        <v>0</v>
      </c>
      <c r="O672" t="n">
        <v>0</v>
      </c>
      <c r="P672" t="n">
        <v>0</v>
      </c>
      <c r="Q672" t="n">
        <v>0</v>
      </c>
      <c r="R672" s="2" t="inlineStr"/>
    </row>
    <row r="673" ht="15" customHeight="1">
      <c r="A673" t="inlineStr">
        <is>
          <t>A 420-2024</t>
        </is>
      </c>
      <c r="B673" s="1" t="n">
        <v>45296</v>
      </c>
      <c r="C673" s="1" t="n">
        <v>45725</v>
      </c>
      <c r="D673" t="inlineStr">
        <is>
          <t>UPPSALA LÄN</t>
        </is>
      </c>
      <c r="E673" t="inlineStr">
        <is>
          <t>ENKÖPING</t>
        </is>
      </c>
      <c r="G673" t="n">
        <v>2.8</v>
      </c>
      <c r="H673" t="n">
        <v>0</v>
      </c>
      <c r="I673" t="n">
        <v>0</v>
      </c>
      <c r="J673" t="n">
        <v>0</v>
      </c>
      <c r="K673" t="n">
        <v>0</v>
      </c>
      <c r="L673" t="n">
        <v>0</v>
      </c>
      <c r="M673" t="n">
        <v>0</v>
      </c>
      <c r="N673" t="n">
        <v>0</v>
      </c>
      <c r="O673" t="n">
        <v>0</v>
      </c>
      <c r="P673" t="n">
        <v>0</v>
      </c>
      <c r="Q673" t="n">
        <v>0</v>
      </c>
      <c r="R673" s="2" t="inlineStr"/>
    </row>
    <row r="674" ht="15" customHeight="1">
      <c r="A674" t="inlineStr">
        <is>
          <t>A 582-2024</t>
        </is>
      </c>
      <c r="B674" s="1" t="n">
        <v>45299</v>
      </c>
      <c r="C674" s="1" t="n">
        <v>45725</v>
      </c>
      <c r="D674" t="inlineStr">
        <is>
          <t>UPPSALA LÄN</t>
        </is>
      </c>
      <c r="E674" t="inlineStr">
        <is>
          <t>ENKÖPING</t>
        </is>
      </c>
      <c r="G674" t="n">
        <v>3.7</v>
      </c>
      <c r="H674" t="n">
        <v>0</v>
      </c>
      <c r="I674" t="n">
        <v>0</v>
      </c>
      <c r="J674" t="n">
        <v>0</v>
      </c>
      <c r="K674" t="n">
        <v>0</v>
      </c>
      <c r="L674" t="n">
        <v>0</v>
      </c>
      <c r="M674" t="n">
        <v>0</v>
      </c>
      <c r="N674" t="n">
        <v>0</v>
      </c>
      <c r="O674" t="n">
        <v>0</v>
      </c>
      <c r="P674" t="n">
        <v>0</v>
      </c>
      <c r="Q674" t="n">
        <v>0</v>
      </c>
      <c r="R674" s="2" t="inlineStr"/>
    </row>
    <row r="675" ht="15" customHeight="1">
      <c r="A675" t="inlineStr">
        <is>
          <t>A 580-2024</t>
        </is>
      </c>
      <c r="B675" s="1" t="n">
        <v>45299</v>
      </c>
      <c r="C675" s="1" t="n">
        <v>45725</v>
      </c>
      <c r="D675" t="inlineStr">
        <is>
          <t>UPPSALA LÄN</t>
        </is>
      </c>
      <c r="E675" t="inlineStr">
        <is>
          <t>ENKÖPING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1536-2024</t>
        </is>
      </c>
      <c r="B676" s="1" t="n">
        <v>45306</v>
      </c>
      <c r="C676" s="1" t="n">
        <v>45725</v>
      </c>
      <c r="D676" t="inlineStr">
        <is>
          <t>UPPSALA LÄN</t>
        </is>
      </c>
      <c r="E676" t="inlineStr">
        <is>
          <t>ENKÖPING</t>
        </is>
      </c>
      <c r="F676" t="inlineStr">
        <is>
          <t>Kyrkan</t>
        </is>
      </c>
      <c r="G676" t="n">
        <v>5.6</v>
      </c>
      <c r="H676" t="n">
        <v>0</v>
      </c>
      <c r="I676" t="n">
        <v>0</v>
      </c>
      <c r="J676" t="n">
        <v>0</v>
      </c>
      <c r="K676" t="n">
        <v>0</v>
      </c>
      <c r="L676" t="n">
        <v>0</v>
      </c>
      <c r="M676" t="n">
        <v>0</v>
      </c>
      <c r="N676" t="n">
        <v>0</v>
      </c>
      <c r="O676" t="n">
        <v>0</v>
      </c>
      <c r="P676" t="n">
        <v>0</v>
      </c>
      <c r="Q676" t="n">
        <v>0</v>
      </c>
      <c r="R676" s="2" t="inlineStr"/>
    </row>
    <row r="677" ht="15" customHeight="1">
      <c r="A677" t="inlineStr">
        <is>
          <t>A 1651-2024</t>
        </is>
      </c>
      <c r="B677" s="1" t="n">
        <v>45306</v>
      </c>
      <c r="C677" s="1" t="n">
        <v>45725</v>
      </c>
      <c r="D677" t="inlineStr">
        <is>
          <t>UPPSALA LÄN</t>
        </is>
      </c>
      <c r="E677" t="inlineStr">
        <is>
          <t>ENKÖPING</t>
        </is>
      </c>
      <c r="G677" t="n">
        <v>10.2</v>
      </c>
      <c r="H677" t="n">
        <v>0</v>
      </c>
      <c r="I677" t="n">
        <v>0</v>
      </c>
      <c r="J677" t="n">
        <v>0</v>
      </c>
      <c r="K677" t="n">
        <v>0</v>
      </c>
      <c r="L677" t="n">
        <v>0</v>
      </c>
      <c r="M677" t="n">
        <v>0</v>
      </c>
      <c r="N677" t="n">
        <v>0</v>
      </c>
      <c r="O677" t="n">
        <v>0</v>
      </c>
      <c r="P677" t="n">
        <v>0</v>
      </c>
      <c r="Q677" t="n">
        <v>0</v>
      </c>
      <c r="R677" s="2" t="inlineStr"/>
    </row>
    <row r="678" ht="15" customHeight="1">
      <c r="A678" t="inlineStr">
        <is>
          <t>A 2221-2024</t>
        </is>
      </c>
      <c r="B678" s="1" t="n">
        <v>45309</v>
      </c>
      <c r="C678" s="1" t="n">
        <v>45725</v>
      </c>
      <c r="D678" t="inlineStr">
        <is>
          <t>UPPSALA LÄN</t>
        </is>
      </c>
      <c r="E678" t="inlineStr">
        <is>
          <t>ENKÖPING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2322-2024</t>
        </is>
      </c>
      <c r="B679" s="1" t="n">
        <v>45309</v>
      </c>
      <c r="C679" s="1" t="n">
        <v>45725</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2456-2024</t>
        </is>
      </c>
      <c r="B680" s="1" t="n">
        <v>45312</v>
      </c>
      <c r="C680" s="1" t="n">
        <v>45725</v>
      </c>
      <c r="D680" t="inlineStr">
        <is>
          <t>UPPSALA LÄN</t>
        </is>
      </c>
      <c r="E680" t="inlineStr">
        <is>
          <t>ENKÖPING</t>
        </is>
      </c>
      <c r="G680" t="n">
        <v>2.6</v>
      </c>
      <c r="H680" t="n">
        <v>0</v>
      </c>
      <c r="I680" t="n">
        <v>0</v>
      </c>
      <c r="J680" t="n">
        <v>0</v>
      </c>
      <c r="K680" t="n">
        <v>0</v>
      </c>
      <c r="L680" t="n">
        <v>0</v>
      </c>
      <c r="M680" t="n">
        <v>0</v>
      </c>
      <c r="N680" t="n">
        <v>0</v>
      </c>
      <c r="O680" t="n">
        <v>0</v>
      </c>
      <c r="P680" t="n">
        <v>0</v>
      </c>
      <c r="Q680" t="n">
        <v>0</v>
      </c>
      <c r="R680" s="2" t="inlineStr"/>
    </row>
    <row r="681" ht="15" customHeight="1">
      <c r="A681" t="inlineStr">
        <is>
          <t>A 2983-2024</t>
        </is>
      </c>
      <c r="B681" s="1" t="n">
        <v>45315</v>
      </c>
      <c r="C681" s="1" t="n">
        <v>45725</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3051-2024</t>
        </is>
      </c>
      <c r="B682" s="1" t="n">
        <v>45316</v>
      </c>
      <c r="C682" s="1" t="n">
        <v>45725</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3130-2024</t>
        </is>
      </c>
      <c r="B683" s="1" t="n">
        <v>45316</v>
      </c>
      <c r="C683" s="1" t="n">
        <v>45725</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3977-2024</t>
        </is>
      </c>
      <c r="B684" s="1" t="n">
        <v>45322</v>
      </c>
      <c r="C684" s="1" t="n">
        <v>45725</v>
      </c>
      <c r="D684" t="inlineStr">
        <is>
          <t>UPPSALA LÄN</t>
        </is>
      </c>
      <c r="E684" t="inlineStr">
        <is>
          <t>ENKÖPING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4044-2024</t>
        </is>
      </c>
      <c r="B685" s="1" t="n">
        <v>45323</v>
      </c>
      <c r="C685" s="1" t="n">
        <v>45725</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5211-2024</t>
        </is>
      </c>
      <c r="B686" s="1" t="n">
        <v>45330</v>
      </c>
      <c r="C686" s="1" t="n">
        <v>45725</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5521-2024</t>
        </is>
      </c>
      <c r="B687" s="1" t="n">
        <v>45334</v>
      </c>
      <c r="C687" s="1" t="n">
        <v>45725</v>
      </c>
      <c r="D687" t="inlineStr">
        <is>
          <t>UPPSALA LÄN</t>
        </is>
      </c>
      <c r="E687" t="inlineStr">
        <is>
          <t>ENKÖPING</t>
        </is>
      </c>
      <c r="G687" t="n">
        <v>8.4</v>
      </c>
      <c r="H687" t="n">
        <v>0</v>
      </c>
      <c r="I687" t="n">
        <v>0</v>
      </c>
      <c r="J687" t="n">
        <v>0</v>
      </c>
      <c r="K687" t="n">
        <v>0</v>
      </c>
      <c r="L687" t="n">
        <v>0</v>
      </c>
      <c r="M687" t="n">
        <v>0</v>
      </c>
      <c r="N687" t="n">
        <v>0</v>
      </c>
      <c r="O687" t="n">
        <v>0</v>
      </c>
      <c r="P687" t="n">
        <v>0</v>
      </c>
      <c r="Q687" t="n">
        <v>0</v>
      </c>
      <c r="R687" s="2" t="inlineStr"/>
    </row>
    <row r="688" ht="15" customHeight="1">
      <c r="A688" t="inlineStr">
        <is>
          <t>A 6247-2024</t>
        </is>
      </c>
      <c r="B688" s="1" t="n">
        <v>45337</v>
      </c>
      <c r="C688" s="1" t="n">
        <v>45725</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6144-2024</t>
        </is>
      </c>
      <c r="B689" s="1" t="n">
        <v>45337</v>
      </c>
      <c r="C689" s="1" t="n">
        <v>45725</v>
      </c>
      <c r="D689" t="inlineStr">
        <is>
          <t>UPPSALA LÄN</t>
        </is>
      </c>
      <c r="E689" t="inlineStr">
        <is>
          <t>ENKÖPING</t>
        </is>
      </c>
      <c r="G689" t="n">
        <v>13.8</v>
      </c>
      <c r="H689" t="n">
        <v>0</v>
      </c>
      <c r="I689" t="n">
        <v>0</v>
      </c>
      <c r="J689" t="n">
        <v>0</v>
      </c>
      <c r="K689" t="n">
        <v>0</v>
      </c>
      <c r="L689" t="n">
        <v>0</v>
      </c>
      <c r="M689" t="n">
        <v>0</v>
      </c>
      <c r="N689" t="n">
        <v>0</v>
      </c>
      <c r="O689" t="n">
        <v>0</v>
      </c>
      <c r="P689" t="n">
        <v>0</v>
      </c>
      <c r="Q689" t="n">
        <v>0</v>
      </c>
      <c r="R689" s="2" t="inlineStr"/>
    </row>
    <row r="690" ht="15" customHeight="1">
      <c r="A690" t="inlineStr">
        <is>
          <t>A 7868-2024</t>
        </is>
      </c>
      <c r="B690" s="1" t="n">
        <v>45350</v>
      </c>
      <c r="C690" s="1" t="n">
        <v>45725</v>
      </c>
      <c r="D690" t="inlineStr">
        <is>
          <t>UPPSALA LÄN</t>
        </is>
      </c>
      <c r="E690" t="inlineStr">
        <is>
          <t>ENKÖPING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7866-2024</t>
        </is>
      </c>
      <c r="B691" s="1" t="n">
        <v>45350</v>
      </c>
      <c r="C691" s="1" t="n">
        <v>45725</v>
      </c>
      <c r="D691" t="inlineStr">
        <is>
          <t>UPPSALA LÄN</t>
        </is>
      </c>
      <c r="E691" t="inlineStr">
        <is>
          <t>ENKÖPING</t>
        </is>
      </c>
      <c r="G691" t="n">
        <v>3.5</v>
      </c>
      <c r="H691" t="n">
        <v>0</v>
      </c>
      <c r="I691" t="n">
        <v>0</v>
      </c>
      <c r="J691" t="n">
        <v>0</v>
      </c>
      <c r="K691" t="n">
        <v>0</v>
      </c>
      <c r="L691" t="n">
        <v>0</v>
      </c>
      <c r="M691" t="n">
        <v>0</v>
      </c>
      <c r="N691" t="n">
        <v>0</v>
      </c>
      <c r="O691" t="n">
        <v>0</v>
      </c>
      <c r="P691" t="n">
        <v>0</v>
      </c>
      <c r="Q691" t="n">
        <v>0</v>
      </c>
      <c r="R691" s="2" t="inlineStr"/>
    </row>
    <row r="692" ht="15" customHeight="1">
      <c r="A692" t="inlineStr">
        <is>
          <t>A 7870-2024</t>
        </is>
      </c>
      <c r="B692" s="1" t="n">
        <v>45350</v>
      </c>
      <c r="C692" s="1" t="n">
        <v>45725</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8103-2024</t>
        </is>
      </c>
      <c r="B693" s="1" t="n">
        <v>45351</v>
      </c>
      <c r="C693" s="1" t="n">
        <v>45725</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8217-2024</t>
        </is>
      </c>
      <c r="B694" s="1" t="n">
        <v>45351</v>
      </c>
      <c r="C694" s="1" t="n">
        <v>45725</v>
      </c>
      <c r="D694" t="inlineStr">
        <is>
          <t>UPPSALA LÄN</t>
        </is>
      </c>
      <c r="E694" t="inlineStr">
        <is>
          <t>ENKÖPING</t>
        </is>
      </c>
      <c r="G694" t="n">
        <v>3.1</v>
      </c>
      <c r="H694" t="n">
        <v>0</v>
      </c>
      <c r="I694" t="n">
        <v>0</v>
      </c>
      <c r="J694" t="n">
        <v>0</v>
      </c>
      <c r="K694" t="n">
        <v>0</v>
      </c>
      <c r="L694" t="n">
        <v>0</v>
      </c>
      <c r="M694" t="n">
        <v>0</v>
      </c>
      <c r="N694" t="n">
        <v>0</v>
      </c>
      <c r="O694" t="n">
        <v>0</v>
      </c>
      <c r="P694" t="n">
        <v>0</v>
      </c>
      <c r="Q694" t="n">
        <v>0</v>
      </c>
      <c r="R694" s="2" t="inlineStr"/>
    </row>
    <row r="695" ht="15" customHeight="1">
      <c r="A695" t="inlineStr">
        <is>
          <t>A 9185-2024</t>
        </is>
      </c>
      <c r="B695" s="1" t="n">
        <v>45358</v>
      </c>
      <c r="C695" s="1" t="n">
        <v>45725</v>
      </c>
      <c r="D695" t="inlineStr">
        <is>
          <t>UPPSALA LÄN</t>
        </is>
      </c>
      <c r="E695" t="inlineStr">
        <is>
          <t>ENKÖPING</t>
        </is>
      </c>
      <c r="G695" t="n">
        <v>4.4</v>
      </c>
      <c r="H695" t="n">
        <v>0</v>
      </c>
      <c r="I695" t="n">
        <v>0</v>
      </c>
      <c r="J695" t="n">
        <v>0</v>
      </c>
      <c r="K695" t="n">
        <v>0</v>
      </c>
      <c r="L695" t="n">
        <v>0</v>
      </c>
      <c r="M695" t="n">
        <v>0</v>
      </c>
      <c r="N695" t="n">
        <v>0</v>
      </c>
      <c r="O695" t="n">
        <v>0</v>
      </c>
      <c r="P695" t="n">
        <v>0</v>
      </c>
      <c r="Q695" t="n">
        <v>0</v>
      </c>
      <c r="R695" s="2" t="inlineStr"/>
    </row>
    <row r="696" ht="15" customHeight="1">
      <c r="A696" t="inlineStr">
        <is>
          <t>A 9174-2024</t>
        </is>
      </c>
      <c r="B696" s="1" t="n">
        <v>45358</v>
      </c>
      <c r="C696" s="1" t="n">
        <v>45725</v>
      </c>
      <c r="D696" t="inlineStr">
        <is>
          <t>UPPSALA LÄN</t>
        </is>
      </c>
      <c r="E696" t="inlineStr">
        <is>
          <t>ENKÖPING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9171-2024</t>
        </is>
      </c>
      <c r="B697" s="1" t="n">
        <v>45358</v>
      </c>
      <c r="C697" s="1" t="n">
        <v>45725</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9175-2024</t>
        </is>
      </c>
      <c r="B698" s="1" t="n">
        <v>45358</v>
      </c>
      <c r="C698" s="1" t="n">
        <v>45725</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9192-2024</t>
        </is>
      </c>
      <c r="B699" s="1" t="n">
        <v>45358</v>
      </c>
      <c r="C699" s="1" t="n">
        <v>45725</v>
      </c>
      <c r="D699" t="inlineStr">
        <is>
          <t>UPPSALA LÄN</t>
        </is>
      </c>
      <c r="E699" t="inlineStr">
        <is>
          <t>ENKÖPING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9667-2024</t>
        </is>
      </c>
      <c r="B700" s="1" t="n">
        <v>45362</v>
      </c>
      <c r="C700" s="1" t="n">
        <v>45725</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10829-2024</t>
        </is>
      </c>
      <c r="B701" s="1" t="n">
        <v>45369</v>
      </c>
      <c r="C701" s="1" t="n">
        <v>45725</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10756-2024</t>
        </is>
      </c>
      <c r="B702" s="1" t="n">
        <v>45369</v>
      </c>
      <c r="C702" s="1" t="n">
        <v>45725</v>
      </c>
      <c r="D702" t="inlineStr">
        <is>
          <t>UPPSALA LÄN</t>
        </is>
      </c>
      <c r="E702" t="inlineStr">
        <is>
          <t>ENKÖPING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10752-2024</t>
        </is>
      </c>
      <c r="B703" s="1" t="n">
        <v>45369</v>
      </c>
      <c r="C703" s="1" t="n">
        <v>45725</v>
      </c>
      <c r="D703" t="inlineStr">
        <is>
          <t>UPPSALA LÄN</t>
        </is>
      </c>
      <c r="E703" t="inlineStr">
        <is>
          <t>ENKÖPING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10832-2024</t>
        </is>
      </c>
      <c r="B704" s="1" t="n">
        <v>45369</v>
      </c>
      <c r="C704" s="1" t="n">
        <v>45725</v>
      </c>
      <c r="D704" t="inlineStr">
        <is>
          <t>UPPSALA LÄN</t>
        </is>
      </c>
      <c r="E704" t="inlineStr">
        <is>
          <t>ENKÖPING</t>
        </is>
      </c>
      <c r="G704" t="n">
        <v>7.3</v>
      </c>
      <c r="H704" t="n">
        <v>0</v>
      </c>
      <c r="I704" t="n">
        <v>0</v>
      </c>
      <c r="J704" t="n">
        <v>0</v>
      </c>
      <c r="K704" t="n">
        <v>0</v>
      </c>
      <c r="L704" t="n">
        <v>0</v>
      </c>
      <c r="M704" t="n">
        <v>0</v>
      </c>
      <c r="N704" t="n">
        <v>0</v>
      </c>
      <c r="O704" t="n">
        <v>0</v>
      </c>
      <c r="P704" t="n">
        <v>0</v>
      </c>
      <c r="Q704" t="n">
        <v>0</v>
      </c>
      <c r="R704" s="2" t="inlineStr"/>
    </row>
    <row r="705" ht="15" customHeight="1">
      <c r="A705" t="inlineStr">
        <is>
          <t>A 10831-2024</t>
        </is>
      </c>
      <c r="B705" s="1" t="n">
        <v>45369</v>
      </c>
      <c r="C705" s="1" t="n">
        <v>45725</v>
      </c>
      <c r="D705" t="inlineStr">
        <is>
          <t>UPPSALA LÄN</t>
        </is>
      </c>
      <c r="E705" t="inlineStr">
        <is>
          <t>ENKÖPING</t>
        </is>
      </c>
      <c r="G705" t="n">
        <v>2.9</v>
      </c>
      <c r="H705" t="n">
        <v>0</v>
      </c>
      <c r="I705" t="n">
        <v>0</v>
      </c>
      <c r="J705" t="n">
        <v>0</v>
      </c>
      <c r="K705" t="n">
        <v>0</v>
      </c>
      <c r="L705" t="n">
        <v>0</v>
      </c>
      <c r="M705" t="n">
        <v>0</v>
      </c>
      <c r="N705" t="n">
        <v>0</v>
      </c>
      <c r="O705" t="n">
        <v>0</v>
      </c>
      <c r="P705" t="n">
        <v>0</v>
      </c>
      <c r="Q705" t="n">
        <v>0</v>
      </c>
      <c r="R705" s="2" t="inlineStr"/>
    </row>
    <row r="706" ht="15" customHeight="1">
      <c r="A706" t="inlineStr">
        <is>
          <t>A 11503-2024</t>
        </is>
      </c>
      <c r="B706" s="1" t="n">
        <v>45372</v>
      </c>
      <c r="C706" s="1" t="n">
        <v>45725</v>
      </c>
      <c r="D706" t="inlineStr">
        <is>
          <t>UPPSALA LÄN</t>
        </is>
      </c>
      <c r="E706" t="inlineStr">
        <is>
          <t>ENKÖPING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11908-2024</t>
        </is>
      </c>
      <c r="B707" s="1" t="n">
        <v>45376</v>
      </c>
      <c r="C707" s="1" t="n">
        <v>45725</v>
      </c>
      <c r="D707" t="inlineStr">
        <is>
          <t>UPPSALA LÄN</t>
        </is>
      </c>
      <c r="E707" t="inlineStr">
        <is>
          <t>ENKÖPING</t>
        </is>
      </c>
      <c r="G707" t="n">
        <v>7.9</v>
      </c>
      <c r="H707" t="n">
        <v>0</v>
      </c>
      <c r="I707" t="n">
        <v>0</v>
      </c>
      <c r="J707" t="n">
        <v>0</v>
      </c>
      <c r="K707" t="n">
        <v>0</v>
      </c>
      <c r="L707" t="n">
        <v>0</v>
      </c>
      <c r="M707" t="n">
        <v>0</v>
      </c>
      <c r="N707" t="n">
        <v>0</v>
      </c>
      <c r="O707" t="n">
        <v>0</v>
      </c>
      <c r="P707" t="n">
        <v>0</v>
      </c>
      <c r="Q707" t="n">
        <v>0</v>
      </c>
      <c r="R707" s="2" t="inlineStr"/>
    </row>
    <row r="708" ht="15" customHeight="1">
      <c r="A708" t="inlineStr">
        <is>
          <t>A 12020-2024</t>
        </is>
      </c>
      <c r="B708" s="1" t="n">
        <v>45377</v>
      </c>
      <c r="C708" s="1" t="n">
        <v>45725</v>
      </c>
      <c r="D708" t="inlineStr">
        <is>
          <t>UPPSALA LÄN</t>
        </is>
      </c>
      <c r="E708" t="inlineStr">
        <is>
          <t>ENKÖPING</t>
        </is>
      </c>
      <c r="G708" t="n">
        <v>2</v>
      </c>
      <c r="H708" t="n">
        <v>0</v>
      </c>
      <c r="I708" t="n">
        <v>0</v>
      </c>
      <c r="J708" t="n">
        <v>0</v>
      </c>
      <c r="K708" t="n">
        <v>0</v>
      </c>
      <c r="L708" t="n">
        <v>0</v>
      </c>
      <c r="M708" t="n">
        <v>0</v>
      </c>
      <c r="N708" t="n">
        <v>0</v>
      </c>
      <c r="O708" t="n">
        <v>0</v>
      </c>
      <c r="P708" t="n">
        <v>0</v>
      </c>
      <c r="Q708" t="n">
        <v>0</v>
      </c>
      <c r="R708" s="2" t="inlineStr"/>
    </row>
    <row r="709" ht="15" customHeight="1">
      <c r="A709" t="inlineStr">
        <is>
          <t>A 12102-2024</t>
        </is>
      </c>
      <c r="B709" s="1" t="n">
        <v>45377</v>
      </c>
      <c r="C709" s="1" t="n">
        <v>45725</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12751-2024</t>
        </is>
      </c>
      <c r="B710" s="1" t="n">
        <v>45384</v>
      </c>
      <c r="C710" s="1" t="n">
        <v>45725</v>
      </c>
      <c r="D710" t="inlineStr">
        <is>
          <t>UPPSALA LÄN</t>
        </is>
      </c>
      <c r="E710" t="inlineStr">
        <is>
          <t>ENKÖPING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12958-2024</t>
        </is>
      </c>
      <c r="B711" s="1" t="n">
        <v>45385</v>
      </c>
      <c r="C711" s="1" t="n">
        <v>45725</v>
      </c>
      <c r="D711" t="inlineStr">
        <is>
          <t>UPPSALA LÄN</t>
        </is>
      </c>
      <c r="E711" t="inlineStr">
        <is>
          <t>ENKÖPING</t>
        </is>
      </c>
      <c r="G711" t="n">
        <v>2.1</v>
      </c>
      <c r="H711" t="n">
        <v>0</v>
      </c>
      <c r="I711" t="n">
        <v>0</v>
      </c>
      <c r="J711" t="n">
        <v>0</v>
      </c>
      <c r="K711" t="n">
        <v>0</v>
      </c>
      <c r="L711" t="n">
        <v>0</v>
      </c>
      <c r="M711" t="n">
        <v>0</v>
      </c>
      <c r="N711" t="n">
        <v>0</v>
      </c>
      <c r="O711" t="n">
        <v>0</v>
      </c>
      <c r="P711" t="n">
        <v>0</v>
      </c>
      <c r="Q711" t="n">
        <v>0</v>
      </c>
      <c r="R711" s="2" t="inlineStr"/>
    </row>
    <row r="712" ht="15" customHeight="1">
      <c r="A712" t="inlineStr">
        <is>
          <t>A 13247-2024</t>
        </is>
      </c>
      <c r="B712" s="1" t="n">
        <v>45386</v>
      </c>
      <c r="C712" s="1" t="n">
        <v>45725</v>
      </c>
      <c r="D712" t="inlineStr">
        <is>
          <t>UPPSALA LÄN</t>
        </is>
      </c>
      <c r="E712" t="inlineStr">
        <is>
          <t>ENKÖPING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13168-2024</t>
        </is>
      </c>
      <c r="B713" s="1" t="n">
        <v>45386</v>
      </c>
      <c r="C713" s="1" t="n">
        <v>45725</v>
      </c>
      <c r="D713" t="inlineStr">
        <is>
          <t>UPPSALA LÄN</t>
        </is>
      </c>
      <c r="E713" t="inlineStr">
        <is>
          <t>ENKÖPING</t>
        </is>
      </c>
      <c r="G713" t="n">
        <v>3.5</v>
      </c>
      <c r="H713" t="n">
        <v>0</v>
      </c>
      <c r="I713" t="n">
        <v>0</v>
      </c>
      <c r="J713" t="n">
        <v>0</v>
      </c>
      <c r="K713" t="n">
        <v>0</v>
      </c>
      <c r="L713" t="n">
        <v>0</v>
      </c>
      <c r="M713" t="n">
        <v>0</v>
      </c>
      <c r="N713" t="n">
        <v>0</v>
      </c>
      <c r="O713" t="n">
        <v>0</v>
      </c>
      <c r="P713" t="n">
        <v>0</v>
      </c>
      <c r="Q713" t="n">
        <v>0</v>
      </c>
      <c r="R713" s="2" t="inlineStr"/>
    </row>
    <row r="714" ht="15" customHeight="1">
      <c r="A714" t="inlineStr">
        <is>
          <t>A 13530-2024</t>
        </is>
      </c>
      <c r="B714" s="1" t="n">
        <v>45387</v>
      </c>
      <c r="C714" s="1" t="n">
        <v>45725</v>
      </c>
      <c r="D714" t="inlineStr">
        <is>
          <t>UPPSALA LÄN</t>
        </is>
      </c>
      <c r="E714" t="inlineStr">
        <is>
          <t>ENKÖPING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13528-2024</t>
        </is>
      </c>
      <c r="B715" s="1" t="n">
        <v>45387</v>
      </c>
      <c r="C715" s="1" t="n">
        <v>45725</v>
      </c>
      <c r="D715" t="inlineStr">
        <is>
          <t>UPPSALA LÄN</t>
        </is>
      </c>
      <c r="E715" t="inlineStr">
        <is>
          <t>ENKÖPING</t>
        </is>
      </c>
      <c r="G715" t="n">
        <v>5.7</v>
      </c>
      <c r="H715" t="n">
        <v>0</v>
      </c>
      <c r="I715" t="n">
        <v>0</v>
      </c>
      <c r="J715" t="n">
        <v>0</v>
      </c>
      <c r="K715" t="n">
        <v>0</v>
      </c>
      <c r="L715" t="n">
        <v>0</v>
      </c>
      <c r="M715" t="n">
        <v>0</v>
      </c>
      <c r="N715" t="n">
        <v>0</v>
      </c>
      <c r="O715" t="n">
        <v>0</v>
      </c>
      <c r="P715" t="n">
        <v>0</v>
      </c>
      <c r="Q715" t="n">
        <v>0</v>
      </c>
      <c r="R715" s="2" t="inlineStr"/>
    </row>
    <row r="716" ht="15" customHeight="1">
      <c r="A716" t="inlineStr">
        <is>
          <t>A 14334-2024</t>
        </is>
      </c>
      <c r="B716" s="1" t="n">
        <v>45393</v>
      </c>
      <c r="C716" s="1" t="n">
        <v>45725</v>
      </c>
      <c r="D716" t="inlineStr">
        <is>
          <t>UPPSALA LÄN</t>
        </is>
      </c>
      <c r="E716" t="inlineStr">
        <is>
          <t>ENKÖPING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14332-2024</t>
        </is>
      </c>
      <c r="B717" s="1" t="n">
        <v>45393</v>
      </c>
      <c r="C717" s="1" t="n">
        <v>45725</v>
      </c>
      <c r="D717" t="inlineStr">
        <is>
          <t>UPPSALA LÄN</t>
        </is>
      </c>
      <c r="E717" t="inlineStr">
        <is>
          <t>ENKÖPING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15823-2024</t>
        </is>
      </c>
      <c r="B718" s="1" t="n">
        <v>45404</v>
      </c>
      <c r="C718" s="1" t="n">
        <v>45725</v>
      </c>
      <c r="D718" t="inlineStr">
        <is>
          <t>UPPSALA LÄN</t>
        </is>
      </c>
      <c r="E718" t="inlineStr">
        <is>
          <t>ENKÖPING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15816-2024</t>
        </is>
      </c>
      <c r="B719" s="1" t="n">
        <v>45404</v>
      </c>
      <c r="C719" s="1" t="n">
        <v>45725</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15824-2024</t>
        </is>
      </c>
      <c r="B720" s="1" t="n">
        <v>45404</v>
      </c>
      <c r="C720" s="1" t="n">
        <v>45725</v>
      </c>
      <c r="D720" t="inlineStr">
        <is>
          <t>UPPSALA LÄN</t>
        </is>
      </c>
      <c r="E720" t="inlineStr">
        <is>
          <t>ENKÖPING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15814-2024</t>
        </is>
      </c>
      <c r="B721" s="1" t="n">
        <v>45404</v>
      </c>
      <c r="C721" s="1" t="n">
        <v>45725</v>
      </c>
      <c r="D721" t="inlineStr">
        <is>
          <t>UPPSALA LÄN</t>
        </is>
      </c>
      <c r="E721" t="inlineStr">
        <is>
          <t>ENKÖPING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15826-2024</t>
        </is>
      </c>
      <c r="B722" s="1" t="n">
        <v>45404</v>
      </c>
      <c r="C722" s="1" t="n">
        <v>45725</v>
      </c>
      <c r="D722" t="inlineStr">
        <is>
          <t>UPPSALA LÄN</t>
        </is>
      </c>
      <c r="E722" t="inlineStr">
        <is>
          <t>ENKÖPING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15813-2024</t>
        </is>
      </c>
      <c r="B723" s="1" t="n">
        <v>45404</v>
      </c>
      <c r="C723" s="1" t="n">
        <v>45725</v>
      </c>
      <c r="D723" t="inlineStr">
        <is>
          <t>UPPSALA LÄN</t>
        </is>
      </c>
      <c r="E723" t="inlineStr">
        <is>
          <t>ENKÖPING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15878-2024</t>
        </is>
      </c>
      <c r="B724" s="1" t="n">
        <v>45405</v>
      </c>
      <c r="C724" s="1" t="n">
        <v>45725</v>
      </c>
      <c r="D724" t="inlineStr">
        <is>
          <t>UPPSALA LÄN</t>
        </is>
      </c>
      <c r="E724" t="inlineStr">
        <is>
          <t>ENKÖPING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15893-2024</t>
        </is>
      </c>
      <c r="B725" s="1" t="n">
        <v>45405</v>
      </c>
      <c r="C725" s="1" t="n">
        <v>45725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19147-2024</t>
        </is>
      </c>
      <c r="B726" s="1" t="n">
        <v>45428</v>
      </c>
      <c r="C726" s="1" t="n">
        <v>45725</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19378-2024</t>
        </is>
      </c>
      <c r="B727" s="1" t="n">
        <v>45429</v>
      </c>
      <c r="C727" s="1" t="n">
        <v>45725</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19376-2024</t>
        </is>
      </c>
      <c r="B728" s="1" t="n">
        <v>45429</v>
      </c>
      <c r="C728" s="1" t="n">
        <v>45725</v>
      </c>
      <c r="D728" t="inlineStr">
        <is>
          <t>UPPSALA LÄN</t>
        </is>
      </c>
      <c r="E728" t="inlineStr">
        <is>
          <t>ENKÖPING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20112-2024</t>
        </is>
      </c>
      <c r="B729" s="1" t="n">
        <v>45434</v>
      </c>
      <c r="C729" s="1" t="n">
        <v>45725</v>
      </c>
      <c r="D729" t="inlineStr">
        <is>
          <t>UPPSALA LÄN</t>
        </is>
      </c>
      <c r="E729" t="inlineStr">
        <is>
          <t>ENKÖPING</t>
        </is>
      </c>
      <c r="G729" t="n">
        <v>1.8</v>
      </c>
      <c r="H729" t="n">
        <v>0</v>
      </c>
      <c r="I729" t="n">
        <v>0</v>
      </c>
      <c r="J729" t="n">
        <v>0</v>
      </c>
      <c r="K729" t="n">
        <v>0</v>
      </c>
      <c r="L729" t="n">
        <v>0</v>
      </c>
      <c r="M729" t="n">
        <v>0</v>
      </c>
      <c r="N729" t="n">
        <v>0</v>
      </c>
      <c r="O729" t="n">
        <v>0</v>
      </c>
      <c r="P729" t="n">
        <v>0</v>
      </c>
      <c r="Q729" t="n">
        <v>0</v>
      </c>
      <c r="R729" s="2" t="inlineStr"/>
    </row>
    <row r="730" ht="15" customHeight="1">
      <c r="A730" t="inlineStr">
        <is>
          <t>A 20105-2024</t>
        </is>
      </c>
      <c r="B730" s="1" t="n">
        <v>45434</v>
      </c>
      <c r="C730" s="1" t="n">
        <v>45725</v>
      </c>
      <c r="D730" t="inlineStr">
        <is>
          <t>UPPSALA LÄN</t>
        </is>
      </c>
      <c r="E730" t="inlineStr">
        <is>
          <t>ENKÖPING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21435-2024</t>
        </is>
      </c>
      <c r="B731" s="1" t="n">
        <v>45441</v>
      </c>
      <c r="C731" s="1" t="n">
        <v>45725</v>
      </c>
      <c r="D731" t="inlineStr">
        <is>
          <t>UPPSALA LÄN</t>
        </is>
      </c>
      <c r="E731" t="inlineStr">
        <is>
          <t>ENKÖPING</t>
        </is>
      </c>
      <c r="G731" t="n">
        <v>2.6</v>
      </c>
      <c r="H731" t="n">
        <v>0</v>
      </c>
      <c r="I731" t="n">
        <v>0</v>
      </c>
      <c r="J731" t="n">
        <v>0</v>
      </c>
      <c r="K731" t="n">
        <v>0</v>
      </c>
      <c r="L731" t="n">
        <v>0</v>
      </c>
      <c r="M731" t="n">
        <v>0</v>
      </c>
      <c r="N731" t="n">
        <v>0</v>
      </c>
      <c r="O731" t="n">
        <v>0</v>
      </c>
      <c r="P731" t="n">
        <v>0</v>
      </c>
      <c r="Q731" t="n">
        <v>0</v>
      </c>
      <c r="R731" s="2" t="inlineStr"/>
    </row>
    <row r="732" ht="15" customHeight="1">
      <c r="A732" t="inlineStr">
        <is>
          <t>A 22912-2024</t>
        </is>
      </c>
      <c r="B732" s="1" t="n">
        <v>45448</v>
      </c>
      <c r="C732" s="1" t="n">
        <v>45725</v>
      </c>
      <c r="D732" t="inlineStr">
        <is>
          <t>UPPSALA LÄN</t>
        </is>
      </c>
      <c r="E732" t="inlineStr">
        <is>
          <t>ENKÖPING</t>
        </is>
      </c>
      <c r="G732" t="n">
        <v>2.8</v>
      </c>
      <c r="H732" t="n">
        <v>0</v>
      </c>
      <c r="I732" t="n">
        <v>0</v>
      </c>
      <c r="J732" t="n">
        <v>0</v>
      </c>
      <c r="K732" t="n">
        <v>0</v>
      </c>
      <c r="L732" t="n">
        <v>0</v>
      </c>
      <c r="M732" t="n">
        <v>0</v>
      </c>
      <c r="N732" t="n">
        <v>0</v>
      </c>
      <c r="O732" t="n">
        <v>0</v>
      </c>
      <c r="P732" t="n">
        <v>0</v>
      </c>
      <c r="Q732" t="n">
        <v>0</v>
      </c>
      <c r="R732" s="2" t="inlineStr"/>
    </row>
    <row r="733" ht="15" customHeight="1">
      <c r="A733" t="inlineStr">
        <is>
          <t>A 23301-2024</t>
        </is>
      </c>
      <c r="B733" s="1" t="n">
        <v>45453</v>
      </c>
      <c r="C733" s="1" t="n">
        <v>45725</v>
      </c>
      <c r="D733" t="inlineStr">
        <is>
          <t>UPPSALA LÄN</t>
        </is>
      </c>
      <c r="E733" t="inlineStr">
        <is>
          <t>ENKÖPING</t>
        </is>
      </c>
      <c r="G733" t="n">
        <v>4.3</v>
      </c>
      <c r="H733" t="n">
        <v>0</v>
      </c>
      <c r="I733" t="n">
        <v>0</v>
      </c>
      <c r="J733" t="n">
        <v>0</v>
      </c>
      <c r="K733" t="n">
        <v>0</v>
      </c>
      <c r="L733" t="n">
        <v>0</v>
      </c>
      <c r="M733" t="n">
        <v>0</v>
      </c>
      <c r="N733" t="n">
        <v>0</v>
      </c>
      <c r="O733" t="n">
        <v>0</v>
      </c>
      <c r="P733" t="n">
        <v>0</v>
      </c>
      <c r="Q733" t="n">
        <v>0</v>
      </c>
      <c r="R733" s="2" t="inlineStr"/>
    </row>
    <row r="734" ht="15" customHeight="1">
      <c r="A734" t="inlineStr">
        <is>
          <t>A 23264-2024</t>
        </is>
      </c>
      <c r="B734" s="1" t="n">
        <v>45453</v>
      </c>
      <c r="C734" s="1" t="n">
        <v>45725</v>
      </c>
      <c r="D734" t="inlineStr">
        <is>
          <t>UPPSALA LÄN</t>
        </is>
      </c>
      <c r="E734" t="inlineStr">
        <is>
          <t>ENKÖPING</t>
        </is>
      </c>
      <c r="G734" t="n">
        <v>9.4</v>
      </c>
      <c r="H734" t="n">
        <v>0</v>
      </c>
      <c r="I734" t="n">
        <v>0</v>
      </c>
      <c r="J734" t="n">
        <v>0</v>
      </c>
      <c r="K734" t="n">
        <v>0</v>
      </c>
      <c r="L734" t="n">
        <v>0</v>
      </c>
      <c r="M734" t="n">
        <v>0</v>
      </c>
      <c r="N734" t="n">
        <v>0</v>
      </c>
      <c r="O734" t="n">
        <v>0</v>
      </c>
      <c r="P734" t="n">
        <v>0</v>
      </c>
      <c r="Q734" t="n">
        <v>0</v>
      </c>
      <c r="R734" s="2" t="inlineStr"/>
    </row>
    <row r="735" ht="15" customHeight="1">
      <c r="A735" t="inlineStr">
        <is>
          <t>A 24306-2024</t>
        </is>
      </c>
      <c r="B735" s="1" t="n">
        <v>45457</v>
      </c>
      <c r="C735" s="1" t="n">
        <v>45725</v>
      </c>
      <c r="D735" t="inlineStr">
        <is>
          <t>UPPSALA LÄN</t>
        </is>
      </c>
      <c r="E735" t="inlineStr">
        <is>
          <t>ENKÖPING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24259-2024</t>
        </is>
      </c>
      <c r="B736" s="1" t="n">
        <v>45457</v>
      </c>
      <c r="C736" s="1" t="n">
        <v>45725</v>
      </c>
      <c r="D736" t="inlineStr">
        <is>
          <t>UPPSALA LÄN</t>
        </is>
      </c>
      <c r="E736" t="inlineStr">
        <is>
          <t>ENKÖPING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24291-2024</t>
        </is>
      </c>
      <c r="B737" s="1" t="n">
        <v>45457</v>
      </c>
      <c r="C737" s="1" t="n">
        <v>45725</v>
      </c>
      <c r="D737" t="inlineStr">
        <is>
          <t>UPPSALA LÄN</t>
        </is>
      </c>
      <c r="E737" t="inlineStr">
        <is>
          <t>ENKÖPING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24411-2024</t>
        </is>
      </c>
      <c r="B738" s="1" t="n">
        <v>45457</v>
      </c>
      <c r="C738" s="1" t="n">
        <v>45725</v>
      </c>
      <c r="D738" t="inlineStr">
        <is>
          <t>UPPSALA LÄN</t>
        </is>
      </c>
      <c r="E738" t="inlineStr">
        <is>
          <t>ENKÖPING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25607-2024</t>
        </is>
      </c>
      <c r="B739" s="1" t="n">
        <v>45463</v>
      </c>
      <c r="C739" s="1" t="n">
        <v>45725</v>
      </c>
      <c r="D739" t="inlineStr">
        <is>
          <t>UPPSALA LÄN</t>
        </is>
      </c>
      <c r="E739" t="inlineStr">
        <is>
          <t>ENKÖPING</t>
        </is>
      </c>
      <c r="G739" t="n">
        <v>6.3</v>
      </c>
      <c r="H739" t="n">
        <v>0</v>
      </c>
      <c r="I739" t="n">
        <v>0</v>
      </c>
      <c r="J739" t="n">
        <v>0</v>
      </c>
      <c r="K739" t="n">
        <v>0</v>
      </c>
      <c r="L739" t="n">
        <v>0</v>
      </c>
      <c r="M739" t="n">
        <v>0</v>
      </c>
      <c r="N739" t="n">
        <v>0</v>
      </c>
      <c r="O739" t="n">
        <v>0</v>
      </c>
      <c r="P739" t="n">
        <v>0</v>
      </c>
      <c r="Q739" t="n">
        <v>0</v>
      </c>
      <c r="R739" s="2" t="inlineStr"/>
    </row>
    <row r="740" ht="15" customHeight="1">
      <c r="A740" t="inlineStr">
        <is>
          <t>A 25595-2024</t>
        </is>
      </c>
      <c r="B740" s="1" t="n">
        <v>45463</v>
      </c>
      <c r="C740" s="1" t="n">
        <v>45725</v>
      </c>
      <c r="D740" t="inlineStr">
        <is>
          <t>UPPSALA LÄN</t>
        </is>
      </c>
      <c r="E740" t="inlineStr">
        <is>
          <t>ENKÖPING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25601-2024</t>
        </is>
      </c>
      <c r="B741" s="1" t="n">
        <v>45463</v>
      </c>
      <c r="C741" s="1" t="n">
        <v>45725</v>
      </c>
      <c r="D741" t="inlineStr">
        <is>
          <t>UPPSALA LÄN</t>
        </is>
      </c>
      <c r="E741" t="inlineStr">
        <is>
          <t>ENKÖPING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25930-2024</t>
        </is>
      </c>
      <c r="B742" s="1" t="n">
        <v>45467</v>
      </c>
      <c r="C742" s="1" t="n">
        <v>45725</v>
      </c>
      <c r="D742" t="inlineStr">
        <is>
          <t>UPPSALA LÄN</t>
        </is>
      </c>
      <c r="E742" t="inlineStr">
        <is>
          <t>ENKÖPING</t>
        </is>
      </c>
      <c r="G742" t="n">
        <v>5.7</v>
      </c>
      <c r="H742" t="n">
        <v>0</v>
      </c>
      <c r="I742" t="n">
        <v>0</v>
      </c>
      <c r="J742" t="n">
        <v>0</v>
      </c>
      <c r="K742" t="n">
        <v>0</v>
      </c>
      <c r="L742" t="n">
        <v>0</v>
      </c>
      <c r="M742" t="n">
        <v>0</v>
      </c>
      <c r="N742" t="n">
        <v>0</v>
      </c>
      <c r="O742" t="n">
        <v>0</v>
      </c>
      <c r="P742" t="n">
        <v>0</v>
      </c>
      <c r="Q742" t="n">
        <v>0</v>
      </c>
      <c r="R742" s="2" t="inlineStr"/>
    </row>
    <row r="743" ht="15" customHeight="1">
      <c r="A743" t="inlineStr">
        <is>
          <t>A 27172-2024</t>
        </is>
      </c>
      <c r="B743" s="1" t="n">
        <v>45471</v>
      </c>
      <c r="C743" s="1" t="n">
        <v>45725</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27998-2024</t>
        </is>
      </c>
      <c r="B744" s="1" t="n">
        <v>45476</v>
      </c>
      <c r="C744" s="1" t="n">
        <v>45725</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27983-2024</t>
        </is>
      </c>
      <c r="B745" s="1" t="n">
        <v>45476</v>
      </c>
      <c r="C745" s="1" t="n">
        <v>45725</v>
      </c>
      <c r="D745" t="inlineStr">
        <is>
          <t>UPPSALA LÄN</t>
        </is>
      </c>
      <c r="E745" t="inlineStr">
        <is>
          <t>ENKÖPING</t>
        </is>
      </c>
      <c r="G745" t="n">
        <v>3.2</v>
      </c>
      <c r="H745" t="n">
        <v>0</v>
      </c>
      <c r="I745" t="n">
        <v>0</v>
      </c>
      <c r="J745" t="n">
        <v>0</v>
      </c>
      <c r="K745" t="n">
        <v>0</v>
      </c>
      <c r="L745" t="n">
        <v>0</v>
      </c>
      <c r="M745" t="n">
        <v>0</v>
      </c>
      <c r="N745" t="n">
        <v>0</v>
      </c>
      <c r="O745" t="n">
        <v>0</v>
      </c>
      <c r="P745" t="n">
        <v>0</v>
      </c>
      <c r="Q745" t="n">
        <v>0</v>
      </c>
      <c r="R745" s="2" t="inlineStr"/>
    </row>
    <row r="746" ht="15" customHeight="1">
      <c r="A746" t="inlineStr">
        <is>
          <t>A 27993-2024</t>
        </is>
      </c>
      <c r="B746" s="1" t="n">
        <v>45476</v>
      </c>
      <c r="C746" s="1" t="n">
        <v>45725</v>
      </c>
      <c r="D746" t="inlineStr">
        <is>
          <t>UPPSALA LÄN</t>
        </is>
      </c>
      <c r="E746" t="inlineStr">
        <is>
          <t>ENKÖPING</t>
        </is>
      </c>
      <c r="G746" t="n">
        <v>3.3</v>
      </c>
      <c r="H746" t="n">
        <v>0</v>
      </c>
      <c r="I746" t="n">
        <v>0</v>
      </c>
      <c r="J746" t="n">
        <v>0</v>
      </c>
      <c r="K746" t="n">
        <v>0</v>
      </c>
      <c r="L746" t="n">
        <v>0</v>
      </c>
      <c r="M746" t="n">
        <v>0</v>
      </c>
      <c r="N746" t="n">
        <v>0</v>
      </c>
      <c r="O746" t="n">
        <v>0</v>
      </c>
      <c r="P746" t="n">
        <v>0</v>
      </c>
      <c r="Q746" t="n">
        <v>0</v>
      </c>
      <c r="R746" s="2" t="inlineStr"/>
    </row>
    <row r="747" ht="15" customHeight="1">
      <c r="A747" t="inlineStr">
        <is>
          <t>A 28325-2024</t>
        </is>
      </c>
      <c r="B747" s="1" t="n">
        <v>45477</v>
      </c>
      <c r="C747" s="1" t="n">
        <v>45725</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28518-2024</t>
        </is>
      </c>
      <c r="B748" s="1" t="n">
        <v>45477</v>
      </c>
      <c r="C748" s="1" t="n">
        <v>45725</v>
      </c>
      <c r="D748" t="inlineStr">
        <is>
          <t>UPPSALA LÄN</t>
        </is>
      </c>
      <c r="E748" t="inlineStr">
        <is>
          <t>ENKÖPING</t>
        </is>
      </c>
      <c r="G748" t="n">
        <v>3.4</v>
      </c>
      <c r="H748" t="n">
        <v>0</v>
      </c>
      <c r="I748" t="n">
        <v>0</v>
      </c>
      <c r="J748" t="n">
        <v>0</v>
      </c>
      <c r="K748" t="n">
        <v>0</v>
      </c>
      <c r="L748" t="n">
        <v>0</v>
      </c>
      <c r="M748" t="n">
        <v>0</v>
      </c>
      <c r="N748" t="n">
        <v>0</v>
      </c>
      <c r="O748" t="n">
        <v>0</v>
      </c>
      <c r="P748" t="n">
        <v>0</v>
      </c>
      <c r="Q748" t="n">
        <v>0</v>
      </c>
      <c r="R748" s="2" t="inlineStr"/>
    </row>
    <row r="749" ht="15" customHeight="1">
      <c r="A749" t="inlineStr">
        <is>
          <t>A 28318-2024</t>
        </is>
      </c>
      <c r="B749" s="1" t="n">
        <v>45477</v>
      </c>
      <c r="C749" s="1" t="n">
        <v>45725</v>
      </c>
      <c r="D749" t="inlineStr">
        <is>
          <t>UPPSALA LÄN</t>
        </is>
      </c>
      <c r="E749" t="inlineStr">
        <is>
          <t>ENKÖPING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28515-2024</t>
        </is>
      </c>
      <c r="B750" s="1" t="n">
        <v>45477</v>
      </c>
      <c r="C750" s="1" t="n">
        <v>45725</v>
      </c>
      <c r="D750" t="inlineStr">
        <is>
          <t>UPPSALA LÄN</t>
        </is>
      </c>
      <c r="E750" t="inlineStr">
        <is>
          <t>ENKÖPING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28848-2024</t>
        </is>
      </c>
      <c r="B751" s="1" t="n">
        <v>45478</v>
      </c>
      <c r="C751" s="1" t="n">
        <v>45725</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30092-2024</t>
        </is>
      </c>
      <c r="B752" s="1" t="n">
        <v>45489</v>
      </c>
      <c r="C752" s="1" t="n">
        <v>45725</v>
      </c>
      <c r="D752" t="inlineStr">
        <is>
          <t>UPPSALA LÄN</t>
        </is>
      </c>
      <c r="E752" t="inlineStr">
        <is>
          <t>ENKÖPING</t>
        </is>
      </c>
      <c r="G752" t="n">
        <v>2.3</v>
      </c>
      <c r="H752" t="n">
        <v>0</v>
      </c>
      <c r="I752" t="n">
        <v>0</v>
      </c>
      <c r="J752" t="n">
        <v>0</v>
      </c>
      <c r="K752" t="n">
        <v>0</v>
      </c>
      <c r="L752" t="n">
        <v>0</v>
      </c>
      <c r="M752" t="n">
        <v>0</v>
      </c>
      <c r="N752" t="n">
        <v>0</v>
      </c>
      <c r="O752" t="n">
        <v>0</v>
      </c>
      <c r="P752" t="n">
        <v>0</v>
      </c>
      <c r="Q752" t="n">
        <v>0</v>
      </c>
      <c r="R752" s="2" t="inlineStr"/>
    </row>
    <row r="753" ht="15" customHeight="1">
      <c r="A753" t="inlineStr">
        <is>
          <t>A 30109-2024</t>
        </is>
      </c>
      <c r="B753" s="1" t="n">
        <v>45489</v>
      </c>
      <c r="C753" s="1" t="n">
        <v>45725</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30098-2024</t>
        </is>
      </c>
      <c r="B754" s="1" t="n">
        <v>45489</v>
      </c>
      <c r="C754" s="1" t="n">
        <v>45725</v>
      </c>
      <c r="D754" t="inlineStr">
        <is>
          <t>UPPSALA LÄN</t>
        </is>
      </c>
      <c r="E754" t="inlineStr">
        <is>
          <t>ENKÖPING</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30087-2024</t>
        </is>
      </c>
      <c r="B755" s="1" t="n">
        <v>45489</v>
      </c>
      <c r="C755" s="1" t="n">
        <v>45725</v>
      </c>
      <c r="D755" t="inlineStr">
        <is>
          <t>UPPSALA LÄN</t>
        </is>
      </c>
      <c r="E755" t="inlineStr">
        <is>
          <t>ENKÖPING</t>
        </is>
      </c>
      <c r="G755" t="n">
        <v>1.4</v>
      </c>
      <c r="H755" t="n">
        <v>0</v>
      </c>
      <c r="I755" t="n">
        <v>0</v>
      </c>
      <c r="J755" t="n">
        <v>0</v>
      </c>
      <c r="K755" t="n">
        <v>0</v>
      </c>
      <c r="L755" t="n">
        <v>0</v>
      </c>
      <c r="M755" t="n">
        <v>0</v>
      </c>
      <c r="N755" t="n">
        <v>0</v>
      </c>
      <c r="O755" t="n">
        <v>0</v>
      </c>
      <c r="P755" t="n">
        <v>0</v>
      </c>
      <c r="Q755" t="n">
        <v>0</v>
      </c>
      <c r="R755" s="2" t="inlineStr"/>
    </row>
    <row r="756" ht="15" customHeight="1">
      <c r="A756" t="inlineStr">
        <is>
          <t>A 30394-2024</t>
        </is>
      </c>
      <c r="B756" s="1" t="n">
        <v>45491</v>
      </c>
      <c r="C756" s="1" t="n">
        <v>45725</v>
      </c>
      <c r="D756" t="inlineStr">
        <is>
          <t>UPPSALA LÄN</t>
        </is>
      </c>
      <c r="E756" t="inlineStr">
        <is>
          <t>ENKÖPING</t>
        </is>
      </c>
      <c r="G756" t="n">
        <v>4.8</v>
      </c>
      <c r="H756" t="n">
        <v>0</v>
      </c>
      <c r="I756" t="n">
        <v>0</v>
      </c>
      <c r="J756" t="n">
        <v>0</v>
      </c>
      <c r="K756" t="n">
        <v>0</v>
      </c>
      <c r="L756" t="n">
        <v>0</v>
      </c>
      <c r="M756" t="n">
        <v>0</v>
      </c>
      <c r="N756" t="n">
        <v>0</v>
      </c>
      <c r="O756" t="n">
        <v>0</v>
      </c>
      <c r="P756" t="n">
        <v>0</v>
      </c>
      <c r="Q756" t="n">
        <v>0</v>
      </c>
      <c r="R756" s="2" t="inlineStr"/>
    </row>
    <row r="757" ht="15" customHeight="1">
      <c r="A757" t="inlineStr">
        <is>
          <t>A 31241-2024</t>
        </is>
      </c>
      <c r="B757" s="1" t="n">
        <v>45503</v>
      </c>
      <c r="C757" s="1" t="n">
        <v>45725</v>
      </c>
      <c r="D757" t="inlineStr">
        <is>
          <t>UPPSALA LÄN</t>
        </is>
      </c>
      <c r="E757" t="inlineStr">
        <is>
          <t>ENKÖPING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31252-2024</t>
        </is>
      </c>
      <c r="B758" s="1" t="n">
        <v>45503</v>
      </c>
      <c r="C758" s="1" t="n">
        <v>45725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31240-2024</t>
        </is>
      </c>
      <c r="B759" s="1" t="n">
        <v>45503</v>
      </c>
      <c r="C759" s="1" t="n">
        <v>45725</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31253-2024</t>
        </is>
      </c>
      <c r="B760" s="1" t="n">
        <v>45503</v>
      </c>
      <c r="C760" s="1" t="n">
        <v>45725</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32028-2024</t>
        </is>
      </c>
      <c r="B761" s="1" t="n">
        <v>45510</v>
      </c>
      <c r="C761" s="1" t="n">
        <v>45725</v>
      </c>
      <c r="D761" t="inlineStr">
        <is>
          <t>UPPSALA LÄN</t>
        </is>
      </c>
      <c r="E761" t="inlineStr">
        <is>
          <t>ENKÖPING</t>
        </is>
      </c>
      <c r="G761" t="n">
        <v>2.7</v>
      </c>
      <c r="H761" t="n">
        <v>0</v>
      </c>
      <c r="I761" t="n">
        <v>0</v>
      </c>
      <c r="J761" t="n">
        <v>0</v>
      </c>
      <c r="K761" t="n">
        <v>0</v>
      </c>
      <c r="L761" t="n">
        <v>0</v>
      </c>
      <c r="M761" t="n">
        <v>0</v>
      </c>
      <c r="N761" t="n">
        <v>0</v>
      </c>
      <c r="O761" t="n">
        <v>0</v>
      </c>
      <c r="P761" t="n">
        <v>0</v>
      </c>
      <c r="Q761" t="n">
        <v>0</v>
      </c>
      <c r="R761" s="2" t="inlineStr"/>
    </row>
    <row r="762" ht="15" customHeight="1">
      <c r="A762" t="inlineStr">
        <is>
          <t>A 32083-2024</t>
        </is>
      </c>
      <c r="B762" s="1" t="n">
        <v>45511</v>
      </c>
      <c r="C762" s="1" t="n">
        <v>45725</v>
      </c>
      <c r="D762" t="inlineStr">
        <is>
          <t>UPPSALA LÄN</t>
        </is>
      </c>
      <c r="E762" t="inlineStr">
        <is>
          <t>ENKÖPING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32086-2024</t>
        </is>
      </c>
      <c r="B763" s="1" t="n">
        <v>45511</v>
      </c>
      <c r="C763" s="1" t="n">
        <v>45725</v>
      </c>
      <c r="D763" t="inlineStr">
        <is>
          <t>UPPSALA LÄN</t>
        </is>
      </c>
      <c r="E763" t="inlineStr">
        <is>
          <t>ENKÖPING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32080-2024</t>
        </is>
      </c>
      <c r="B764" s="1" t="n">
        <v>45511</v>
      </c>
      <c r="C764" s="1" t="n">
        <v>45725</v>
      </c>
      <c r="D764" t="inlineStr">
        <is>
          <t>UPPSALA LÄN</t>
        </is>
      </c>
      <c r="E764" t="inlineStr">
        <is>
          <t>ENKÖPING</t>
        </is>
      </c>
      <c r="G764" t="n">
        <v>2.9</v>
      </c>
      <c r="H764" t="n">
        <v>0</v>
      </c>
      <c r="I764" t="n">
        <v>0</v>
      </c>
      <c r="J764" t="n">
        <v>0</v>
      </c>
      <c r="K764" t="n">
        <v>0</v>
      </c>
      <c r="L764" t="n">
        <v>0</v>
      </c>
      <c r="M764" t="n">
        <v>0</v>
      </c>
      <c r="N764" t="n">
        <v>0</v>
      </c>
      <c r="O764" t="n">
        <v>0</v>
      </c>
      <c r="P764" t="n">
        <v>0</v>
      </c>
      <c r="Q764" t="n">
        <v>0</v>
      </c>
      <c r="R764" s="2" t="inlineStr"/>
    </row>
    <row r="765" ht="15" customHeight="1">
      <c r="A765" t="inlineStr">
        <is>
          <t>A 32085-2024</t>
        </is>
      </c>
      <c r="B765" s="1" t="n">
        <v>45511</v>
      </c>
      <c r="C765" s="1" t="n">
        <v>45725</v>
      </c>
      <c r="D765" t="inlineStr">
        <is>
          <t>UPPSALA LÄN</t>
        </is>
      </c>
      <c r="E765" t="inlineStr">
        <is>
          <t>ENKÖPING</t>
        </is>
      </c>
      <c r="G765" t="n">
        <v>7.1</v>
      </c>
      <c r="H765" t="n">
        <v>0</v>
      </c>
      <c r="I765" t="n">
        <v>0</v>
      </c>
      <c r="J765" t="n">
        <v>0</v>
      </c>
      <c r="K765" t="n">
        <v>0</v>
      </c>
      <c r="L765" t="n">
        <v>0</v>
      </c>
      <c r="M765" t="n">
        <v>0</v>
      </c>
      <c r="N765" t="n">
        <v>0</v>
      </c>
      <c r="O765" t="n">
        <v>0</v>
      </c>
      <c r="P765" t="n">
        <v>0</v>
      </c>
      <c r="Q765" t="n">
        <v>0</v>
      </c>
      <c r="R765" s="2" t="inlineStr"/>
    </row>
    <row r="766" ht="15" customHeight="1">
      <c r="A766" t="inlineStr">
        <is>
          <t>A 32081-2024</t>
        </is>
      </c>
      <c r="B766" s="1" t="n">
        <v>45511</v>
      </c>
      <c r="C766" s="1" t="n">
        <v>45725</v>
      </c>
      <c r="D766" t="inlineStr">
        <is>
          <t>UPPSALA LÄN</t>
        </is>
      </c>
      <c r="E766" t="inlineStr">
        <is>
          <t>ENKÖPING</t>
        </is>
      </c>
      <c r="G766" t="n">
        <v>5.4</v>
      </c>
      <c r="H766" t="n">
        <v>0</v>
      </c>
      <c r="I766" t="n">
        <v>0</v>
      </c>
      <c r="J766" t="n">
        <v>0</v>
      </c>
      <c r="K766" t="n">
        <v>0</v>
      </c>
      <c r="L766" t="n">
        <v>0</v>
      </c>
      <c r="M766" t="n">
        <v>0</v>
      </c>
      <c r="N766" t="n">
        <v>0</v>
      </c>
      <c r="O766" t="n">
        <v>0</v>
      </c>
      <c r="P766" t="n">
        <v>0</v>
      </c>
      <c r="Q766" t="n">
        <v>0</v>
      </c>
      <c r="R766" s="2" t="inlineStr"/>
    </row>
    <row r="767" ht="15" customHeight="1">
      <c r="A767" t="inlineStr">
        <is>
          <t>A 33349-2024</t>
        </is>
      </c>
      <c r="B767" s="1" t="n">
        <v>45519</v>
      </c>
      <c r="C767" s="1" t="n">
        <v>45725</v>
      </c>
      <c r="D767" t="inlineStr">
        <is>
          <t>UPPSALA LÄN</t>
        </is>
      </c>
      <c r="E767" t="inlineStr">
        <is>
          <t>ENKÖPING</t>
        </is>
      </c>
      <c r="G767" t="n">
        <v>3.6</v>
      </c>
      <c r="H767" t="n">
        <v>0</v>
      </c>
      <c r="I767" t="n">
        <v>0</v>
      </c>
      <c r="J767" t="n">
        <v>0</v>
      </c>
      <c r="K767" t="n">
        <v>0</v>
      </c>
      <c r="L767" t="n">
        <v>0</v>
      </c>
      <c r="M767" t="n">
        <v>0</v>
      </c>
      <c r="N767" t="n">
        <v>0</v>
      </c>
      <c r="O767" t="n">
        <v>0</v>
      </c>
      <c r="P767" t="n">
        <v>0</v>
      </c>
      <c r="Q767" t="n">
        <v>0</v>
      </c>
      <c r="R767" s="2" t="inlineStr"/>
    </row>
    <row r="768" ht="15" customHeight="1">
      <c r="A768" t="inlineStr">
        <is>
          <t>A 33343-2024</t>
        </is>
      </c>
      <c r="B768" s="1" t="n">
        <v>45519</v>
      </c>
      <c r="C768" s="1" t="n">
        <v>45725</v>
      </c>
      <c r="D768" t="inlineStr">
        <is>
          <t>UPPSALA LÄN</t>
        </is>
      </c>
      <c r="E768" t="inlineStr">
        <is>
          <t>ENKÖPING</t>
        </is>
      </c>
      <c r="G768" t="n">
        <v>2</v>
      </c>
      <c r="H768" t="n">
        <v>0</v>
      </c>
      <c r="I768" t="n">
        <v>0</v>
      </c>
      <c r="J768" t="n">
        <v>0</v>
      </c>
      <c r="K768" t="n">
        <v>0</v>
      </c>
      <c r="L768" t="n">
        <v>0</v>
      </c>
      <c r="M768" t="n">
        <v>0</v>
      </c>
      <c r="N768" t="n">
        <v>0</v>
      </c>
      <c r="O768" t="n">
        <v>0</v>
      </c>
      <c r="P768" t="n">
        <v>0</v>
      </c>
      <c r="Q768" t="n">
        <v>0</v>
      </c>
      <c r="R768" s="2" t="inlineStr"/>
    </row>
    <row r="769" ht="15" customHeight="1">
      <c r="A769" t="inlineStr">
        <is>
          <t>A 33448-2024</t>
        </is>
      </c>
      <c r="B769" s="1" t="n">
        <v>45519</v>
      </c>
      <c r="C769" s="1" t="n">
        <v>45725</v>
      </c>
      <c r="D769" t="inlineStr">
        <is>
          <t>UPPSALA LÄN</t>
        </is>
      </c>
      <c r="E769" t="inlineStr">
        <is>
          <t>ENKÖPING</t>
        </is>
      </c>
      <c r="G769" t="n">
        <v>6.1</v>
      </c>
      <c r="H769" t="n">
        <v>0</v>
      </c>
      <c r="I769" t="n">
        <v>0</v>
      </c>
      <c r="J769" t="n">
        <v>0</v>
      </c>
      <c r="K769" t="n">
        <v>0</v>
      </c>
      <c r="L769" t="n">
        <v>0</v>
      </c>
      <c r="M769" t="n">
        <v>0</v>
      </c>
      <c r="N769" t="n">
        <v>0</v>
      </c>
      <c r="O769" t="n">
        <v>0</v>
      </c>
      <c r="P769" t="n">
        <v>0</v>
      </c>
      <c r="Q769" t="n">
        <v>0</v>
      </c>
      <c r="R769" s="2" t="inlineStr"/>
    </row>
    <row r="770" ht="15" customHeight="1">
      <c r="A770" t="inlineStr">
        <is>
          <t>A 33665-2024</t>
        </is>
      </c>
      <c r="B770" s="1" t="n">
        <v>45520</v>
      </c>
      <c r="C770" s="1" t="n">
        <v>45725</v>
      </c>
      <c r="D770" t="inlineStr">
        <is>
          <t>UPPSALA LÄN</t>
        </is>
      </c>
      <c r="E770" t="inlineStr">
        <is>
          <t>ENKÖPING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33669-2024</t>
        </is>
      </c>
      <c r="B771" s="1" t="n">
        <v>45520</v>
      </c>
      <c r="C771" s="1" t="n">
        <v>45725</v>
      </c>
      <c r="D771" t="inlineStr">
        <is>
          <t>UPPSALA LÄN</t>
        </is>
      </c>
      <c r="E771" t="inlineStr">
        <is>
          <t>ENKÖPING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33663-2024</t>
        </is>
      </c>
      <c r="B772" s="1" t="n">
        <v>45520</v>
      </c>
      <c r="C772" s="1" t="n">
        <v>45725</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33670-2024</t>
        </is>
      </c>
      <c r="B773" s="1" t="n">
        <v>45520</v>
      </c>
      <c r="C773" s="1" t="n">
        <v>45725</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33956-2024</t>
        </is>
      </c>
      <c r="B774" s="1" t="n">
        <v>45523</v>
      </c>
      <c r="C774" s="1" t="n">
        <v>45725</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33951-2024</t>
        </is>
      </c>
      <c r="B775" s="1" t="n">
        <v>45523</v>
      </c>
      <c r="C775" s="1" t="n">
        <v>45725</v>
      </c>
      <c r="D775" t="inlineStr">
        <is>
          <t>UPPSALA LÄN</t>
        </is>
      </c>
      <c r="E775" t="inlineStr">
        <is>
          <t>ENKÖPING</t>
        </is>
      </c>
      <c r="G775" t="n">
        <v>3.5</v>
      </c>
      <c r="H775" t="n">
        <v>0</v>
      </c>
      <c r="I775" t="n">
        <v>0</v>
      </c>
      <c r="J775" t="n">
        <v>0</v>
      </c>
      <c r="K775" t="n">
        <v>0</v>
      </c>
      <c r="L775" t="n">
        <v>0</v>
      </c>
      <c r="M775" t="n">
        <v>0</v>
      </c>
      <c r="N775" t="n">
        <v>0</v>
      </c>
      <c r="O775" t="n">
        <v>0</v>
      </c>
      <c r="P775" t="n">
        <v>0</v>
      </c>
      <c r="Q775" t="n">
        <v>0</v>
      </c>
      <c r="R775" s="2" t="inlineStr"/>
    </row>
    <row r="776" ht="15" customHeight="1">
      <c r="A776" t="inlineStr">
        <is>
          <t>A 33955-2024</t>
        </is>
      </c>
      <c r="B776" s="1" t="n">
        <v>45523</v>
      </c>
      <c r="C776" s="1" t="n">
        <v>45725</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34060-2024</t>
        </is>
      </c>
      <c r="B777" s="1" t="n">
        <v>45523</v>
      </c>
      <c r="C777" s="1" t="n">
        <v>45725</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34805-2024</t>
        </is>
      </c>
      <c r="B778" s="1" t="n">
        <v>45526</v>
      </c>
      <c r="C778" s="1" t="n">
        <v>45725</v>
      </c>
      <c r="D778" t="inlineStr">
        <is>
          <t>UPPSALA LÄN</t>
        </is>
      </c>
      <c r="E778" t="inlineStr">
        <is>
          <t>ENKÖPING</t>
        </is>
      </c>
      <c r="G778" t="n">
        <v>3.6</v>
      </c>
      <c r="H778" t="n">
        <v>0</v>
      </c>
      <c r="I778" t="n">
        <v>0</v>
      </c>
      <c r="J778" t="n">
        <v>0</v>
      </c>
      <c r="K778" t="n">
        <v>0</v>
      </c>
      <c r="L778" t="n">
        <v>0</v>
      </c>
      <c r="M778" t="n">
        <v>0</v>
      </c>
      <c r="N778" t="n">
        <v>0</v>
      </c>
      <c r="O778" t="n">
        <v>0</v>
      </c>
      <c r="P778" t="n">
        <v>0</v>
      </c>
      <c r="Q778" t="n">
        <v>0</v>
      </c>
      <c r="R778" s="2" t="inlineStr"/>
    </row>
    <row r="779" ht="15" customHeight="1">
      <c r="A779" t="inlineStr">
        <is>
          <t>A 35052-2024</t>
        </is>
      </c>
      <c r="B779" s="1" t="n">
        <v>45527</v>
      </c>
      <c r="C779" s="1" t="n">
        <v>45725</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35056-2024</t>
        </is>
      </c>
      <c r="B780" s="1" t="n">
        <v>45527</v>
      </c>
      <c r="C780" s="1" t="n">
        <v>45725</v>
      </c>
      <c r="D780" t="inlineStr">
        <is>
          <t>UPPSALA LÄN</t>
        </is>
      </c>
      <c r="E780" t="inlineStr">
        <is>
          <t>ENKÖPING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35064-2024</t>
        </is>
      </c>
      <c r="B781" s="1" t="n">
        <v>45527</v>
      </c>
      <c r="C781" s="1" t="n">
        <v>45725</v>
      </c>
      <c r="D781" t="inlineStr">
        <is>
          <t>UPPSALA LÄN</t>
        </is>
      </c>
      <c r="E781" t="inlineStr">
        <is>
          <t>ENKÖPING</t>
        </is>
      </c>
      <c r="G781" t="n">
        <v>2.4</v>
      </c>
      <c r="H781" t="n">
        <v>0</v>
      </c>
      <c r="I781" t="n">
        <v>0</v>
      </c>
      <c r="J781" t="n">
        <v>0</v>
      </c>
      <c r="K781" t="n">
        <v>0</v>
      </c>
      <c r="L781" t="n">
        <v>0</v>
      </c>
      <c r="M781" t="n">
        <v>0</v>
      </c>
      <c r="N781" t="n">
        <v>0</v>
      </c>
      <c r="O781" t="n">
        <v>0</v>
      </c>
      <c r="P781" t="n">
        <v>0</v>
      </c>
      <c r="Q781" t="n">
        <v>0</v>
      </c>
      <c r="R781" s="2" t="inlineStr"/>
    </row>
    <row r="782" ht="15" customHeight="1">
      <c r="A782" t="inlineStr">
        <is>
          <t>A 35072-2024</t>
        </is>
      </c>
      <c r="B782" s="1" t="n">
        <v>45527</v>
      </c>
      <c r="C782" s="1" t="n">
        <v>45725</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35067-2024</t>
        </is>
      </c>
      <c r="B783" s="1" t="n">
        <v>45527</v>
      </c>
      <c r="C783" s="1" t="n">
        <v>45725</v>
      </c>
      <c r="D783" t="inlineStr">
        <is>
          <t>UPPSALA LÄN</t>
        </is>
      </c>
      <c r="E783" t="inlineStr">
        <is>
          <t>ENKÖPING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35079-2024</t>
        </is>
      </c>
      <c r="B784" s="1" t="n">
        <v>45527</v>
      </c>
      <c r="C784" s="1" t="n">
        <v>45725</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35680-2024</t>
        </is>
      </c>
      <c r="B785" s="1" t="n">
        <v>45532</v>
      </c>
      <c r="C785" s="1" t="n">
        <v>45725</v>
      </c>
      <c r="D785" t="inlineStr">
        <is>
          <t>UPPSALA LÄN</t>
        </is>
      </c>
      <c r="E785" t="inlineStr">
        <is>
          <t>ENKÖPING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36007-2024</t>
        </is>
      </c>
      <c r="B786" s="1" t="n">
        <v>45533</v>
      </c>
      <c r="C786" s="1" t="n">
        <v>45725</v>
      </c>
      <c r="D786" t="inlineStr">
        <is>
          <t>UPPSALA LÄN</t>
        </is>
      </c>
      <c r="E786" t="inlineStr">
        <is>
          <t>ENKÖPING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37115-2024</t>
        </is>
      </c>
      <c r="B787" s="1" t="n">
        <v>45539</v>
      </c>
      <c r="C787" s="1" t="n">
        <v>45725</v>
      </c>
      <c r="D787" t="inlineStr">
        <is>
          <t>UPPSALA LÄN</t>
        </is>
      </c>
      <c r="E787" t="inlineStr">
        <is>
          <t>ENKÖPING</t>
        </is>
      </c>
      <c r="G787" t="n">
        <v>1.8</v>
      </c>
      <c r="H787" t="n">
        <v>0</v>
      </c>
      <c r="I787" t="n">
        <v>0</v>
      </c>
      <c r="J787" t="n">
        <v>0</v>
      </c>
      <c r="K787" t="n">
        <v>0</v>
      </c>
      <c r="L787" t="n">
        <v>0</v>
      </c>
      <c r="M787" t="n">
        <v>0</v>
      </c>
      <c r="N787" t="n">
        <v>0</v>
      </c>
      <c r="O787" t="n">
        <v>0</v>
      </c>
      <c r="P787" t="n">
        <v>0</v>
      </c>
      <c r="Q787" t="n">
        <v>0</v>
      </c>
      <c r="R787" s="2" t="inlineStr"/>
    </row>
    <row r="788" ht="15" customHeight="1">
      <c r="A788" t="inlineStr">
        <is>
          <t>A 37465-2024</t>
        </is>
      </c>
      <c r="B788" s="1" t="n">
        <v>45540</v>
      </c>
      <c r="C788" s="1" t="n">
        <v>45725</v>
      </c>
      <c r="D788" t="inlineStr">
        <is>
          <t>UPPSALA LÄN</t>
        </is>
      </c>
      <c r="E788" t="inlineStr">
        <is>
          <t>ENKÖPING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37466-2024</t>
        </is>
      </c>
      <c r="B789" s="1" t="n">
        <v>45540</v>
      </c>
      <c r="C789" s="1" t="n">
        <v>45725</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37704-2024</t>
        </is>
      </c>
      <c r="B790" s="1" t="n">
        <v>45541</v>
      </c>
      <c r="C790" s="1" t="n">
        <v>45725</v>
      </c>
      <c r="D790" t="inlineStr">
        <is>
          <t>UPPSALA LÄN</t>
        </is>
      </c>
      <c r="E790" t="inlineStr">
        <is>
          <t>ENKÖPING</t>
        </is>
      </c>
      <c r="G790" t="n">
        <v>4.7</v>
      </c>
      <c r="H790" t="n">
        <v>0</v>
      </c>
      <c r="I790" t="n">
        <v>0</v>
      </c>
      <c r="J790" t="n">
        <v>0</v>
      </c>
      <c r="K790" t="n">
        <v>0</v>
      </c>
      <c r="L790" t="n">
        <v>0</v>
      </c>
      <c r="M790" t="n">
        <v>0</v>
      </c>
      <c r="N790" t="n">
        <v>0</v>
      </c>
      <c r="O790" t="n">
        <v>0</v>
      </c>
      <c r="P790" t="n">
        <v>0</v>
      </c>
      <c r="Q790" t="n">
        <v>0</v>
      </c>
      <c r="R790" s="2" t="inlineStr"/>
    </row>
    <row r="791" ht="15" customHeight="1">
      <c r="A791" t="inlineStr">
        <is>
          <t>A 39009-2024</t>
        </is>
      </c>
      <c r="B791" s="1" t="n">
        <v>45548</v>
      </c>
      <c r="C791" s="1" t="n">
        <v>45725</v>
      </c>
      <c r="D791" t="inlineStr">
        <is>
          <t>UPPSALA LÄN</t>
        </is>
      </c>
      <c r="E791" t="inlineStr">
        <is>
          <t>ENKÖPING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39115-2024</t>
        </is>
      </c>
      <c r="B792" s="1" t="n">
        <v>45548</v>
      </c>
      <c r="C792" s="1" t="n">
        <v>45725</v>
      </c>
      <c r="D792" t="inlineStr">
        <is>
          <t>UPPSALA LÄN</t>
        </is>
      </c>
      <c r="E792" t="inlineStr">
        <is>
          <t>ENKÖPING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39858-2024</t>
        </is>
      </c>
      <c r="B793" s="1" t="n">
        <v>45553</v>
      </c>
      <c r="C793" s="1" t="n">
        <v>45725</v>
      </c>
      <c r="D793" t="inlineStr">
        <is>
          <t>UPPSALA LÄN</t>
        </is>
      </c>
      <c r="E793" t="inlineStr">
        <is>
          <t>ENKÖPING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40217-2024</t>
        </is>
      </c>
      <c r="B794" s="1" t="n">
        <v>45554</v>
      </c>
      <c r="C794" s="1" t="n">
        <v>45725</v>
      </c>
      <c r="D794" t="inlineStr">
        <is>
          <t>UPPSALA LÄN</t>
        </is>
      </c>
      <c r="E794" t="inlineStr">
        <is>
          <t>ENKÖPING</t>
        </is>
      </c>
      <c r="G794" t="n">
        <v>4</v>
      </c>
      <c r="H794" t="n">
        <v>0</v>
      </c>
      <c r="I794" t="n">
        <v>0</v>
      </c>
      <c r="J794" t="n">
        <v>0</v>
      </c>
      <c r="K794" t="n">
        <v>0</v>
      </c>
      <c r="L794" t="n">
        <v>0</v>
      </c>
      <c r="M794" t="n">
        <v>0</v>
      </c>
      <c r="N794" t="n">
        <v>0</v>
      </c>
      <c r="O794" t="n">
        <v>0</v>
      </c>
      <c r="P794" t="n">
        <v>0</v>
      </c>
      <c r="Q794" t="n">
        <v>0</v>
      </c>
      <c r="R794" s="2" t="inlineStr"/>
    </row>
    <row r="795" ht="15" customHeight="1">
      <c r="A795" t="inlineStr">
        <is>
          <t>A 40223-2024</t>
        </is>
      </c>
      <c r="B795" s="1" t="n">
        <v>45554</v>
      </c>
      <c r="C795" s="1" t="n">
        <v>45725</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40202-2024</t>
        </is>
      </c>
      <c r="B796" s="1" t="n">
        <v>45554</v>
      </c>
      <c r="C796" s="1" t="n">
        <v>45725</v>
      </c>
      <c r="D796" t="inlineStr">
        <is>
          <t>UPPSALA LÄN</t>
        </is>
      </c>
      <c r="E796" t="inlineStr">
        <is>
          <t>ENKÖPING</t>
        </is>
      </c>
      <c r="G796" t="n">
        <v>6.2</v>
      </c>
      <c r="H796" t="n">
        <v>0</v>
      </c>
      <c r="I796" t="n">
        <v>0</v>
      </c>
      <c r="J796" t="n">
        <v>0</v>
      </c>
      <c r="K796" t="n">
        <v>0</v>
      </c>
      <c r="L796" t="n">
        <v>0</v>
      </c>
      <c r="M796" t="n">
        <v>0</v>
      </c>
      <c r="N796" t="n">
        <v>0</v>
      </c>
      <c r="O796" t="n">
        <v>0</v>
      </c>
      <c r="P796" t="n">
        <v>0</v>
      </c>
      <c r="Q796" t="n">
        <v>0</v>
      </c>
      <c r="R796" s="2" t="inlineStr"/>
    </row>
    <row r="797" ht="15" customHeight="1">
      <c r="A797" t="inlineStr">
        <is>
          <t>A 41828-2024</t>
        </is>
      </c>
      <c r="B797" s="1" t="n">
        <v>45561</v>
      </c>
      <c r="C797" s="1" t="n">
        <v>45725</v>
      </c>
      <c r="D797" t="inlineStr">
        <is>
          <t>UPPSALA LÄN</t>
        </is>
      </c>
      <c r="E797" t="inlineStr">
        <is>
          <t>ENKÖPING</t>
        </is>
      </c>
      <c r="G797" t="n">
        <v>2.5</v>
      </c>
      <c r="H797" t="n">
        <v>0</v>
      </c>
      <c r="I797" t="n">
        <v>0</v>
      </c>
      <c r="J797" t="n">
        <v>0</v>
      </c>
      <c r="K797" t="n">
        <v>0</v>
      </c>
      <c r="L797" t="n">
        <v>0</v>
      </c>
      <c r="M797" t="n">
        <v>0</v>
      </c>
      <c r="N797" t="n">
        <v>0</v>
      </c>
      <c r="O797" t="n">
        <v>0</v>
      </c>
      <c r="P797" t="n">
        <v>0</v>
      </c>
      <c r="Q797" t="n">
        <v>0</v>
      </c>
      <c r="R797" s="2" t="inlineStr"/>
    </row>
    <row r="798" ht="15" customHeight="1">
      <c r="A798" t="inlineStr">
        <is>
          <t>A 41856-2024</t>
        </is>
      </c>
      <c r="B798" s="1" t="n">
        <v>45561</v>
      </c>
      <c r="C798" s="1" t="n">
        <v>45725</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41826-2024</t>
        </is>
      </c>
      <c r="B799" s="1" t="n">
        <v>45561</v>
      </c>
      <c r="C799" s="1" t="n">
        <v>45725</v>
      </c>
      <c r="D799" t="inlineStr">
        <is>
          <t>UPPSALA LÄN</t>
        </is>
      </c>
      <c r="E799" t="inlineStr">
        <is>
          <t>ENKÖPING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41850-2024</t>
        </is>
      </c>
      <c r="B800" s="1" t="n">
        <v>45561</v>
      </c>
      <c r="C800" s="1" t="n">
        <v>45725</v>
      </c>
      <c r="D800" t="inlineStr">
        <is>
          <t>UPPSALA LÄN</t>
        </is>
      </c>
      <c r="E800" t="inlineStr">
        <is>
          <t>ENKÖPING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42564-2024</t>
        </is>
      </c>
      <c r="B801" s="1" t="n">
        <v>45565</v>
      </c>
      <c r="C801" s="1" t="n">
        <v>45725</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42459-2024</t>
        </is>
      </c>
      <c r="B802" s="1" t="n">
        <v>45565</v>
      </c>
      <c r="C802" s="1" t="n">
        <v>45725</v>
      </c>
      <c r="D802" t="inlineStr">
        <is>
          <t>UPPSALA LÄN</t>
        </is>
      </c>
      <c r="E802" t="inlineStr">
        <is>
          <t>ENKÖPING</t>
        </is>
      </c>
      <c r="G802" t="n">
        <v>3.6</v>
      </c>
      <c r="H802" t="n">
        <v>0</v>
      </c>
      <c r="I802" t="n">
        <v>0</v>
      </c>
      <c r="J802" t="n">
        <v>0</v>
      </c>
      <c r="K802" t="n">
        <v>0</v>
      </c>
      <c r="L802" t="n">
        <v>0</v>
      </c>
      <c r="M802" t="n">
        <v>0</v>
      </c>
      <c r="N802" t="n">
        <v>0</v>
      </c>
      <c r="O802" t="n">
        <v>0</v>
      </c>
      <c r="P802" t="n">
        <v>0</v>
      </c>
      <c r="Q802" t="n">
        <v>0</v>
      </c>
      <c r="R802" s="2" t="inlineStr"/>
    </row>
    <row r="803" ht="15" customHeight="1">
      <c r="A803" t="inlineStr">
        <is>
          <t>A 43205-2024</t>
        </is>
      </c>
      <c r="B803" s="1" t="n">
        <v>45567</v>
      </c>
      <c r="C803" s="1" t="n">
        <v>45725</v>
      </c>
      <c r="D803" t="inlineStr">
        <is>
          <t>UPPSALA LÄN</t>
        </is>
      </c>
      <c r="E803" t="inlineStr">
        <is>
          <t>ENKÖPING</t>
        </is>
      </c>
      <c r="G803" t="n">
        <v>4.8</v>
      </c>
      <c r="H803" t="n">
        <v>0</v>
      </c>
      <c r="I803" t="n">
        <v>0</v>
      </c>
      <c r="J803" t="n">
        <v>0</v>
      </c>
      <c r="K803" t="n">
        <v>0</v>
      </c>
      <c r="L803" t="n">
        <v>0</v>
      </c>
      <c r="M803" t="n">
        <v>0</v>
      </c>
      <c r="N803" t="n">
        <v>0</v>
      </c>
      <c r="O803" t="n">
        <v>0</v>
      </c>
      <c r="P803" t="n">
        <v>0</v>
      </c>
      <c r="Q803" t="n">
        <v>0</v>
      </c>
      <c r="R803" s="2" t="inlineStr"/>
    </row>
    <row r="804" ht="15" customHeight="1">
      <c r="A804" t="inlineStr">
        <is>
          <t>A 43697-2024</t>
        </is>
      </c>
      <c r="B804" s="1" t="n">
        <v>45569</v>
      </c>
      <c r="C804" s="1" t="n">
        <v>45725</v>
      </c>
      <c r="D804" t="inlineStr">
        <is>
          <t>UPPSALA LÄN</t>
        </is>
      </c>
      <c r="E804" t="inlineStr">
        <is>
          <t>ENKÖPING</t>
        </is>
      </c>
      <c r="G804" t="n">
        <v>2.1</v>
      </c>
      <c r="H804" t="n">
        <v>0</v>
      </c>
      <c r="I804" t="n">
        <v>0</v>
      </c>
      <c r="J804" t="n">
        <v>0</v>
      </c>
      <c r="K804" t="n">
        <v>0</v>
      </c>
      <c r="L804" t="n">
        <v>0</v>
      </c>
      <c r="M804" t="n">
        <v>0</v>
      </c>
      <c r="N804" t="n">
        <v>0</v>
      </c>
      <c r="O804" t="n">
        <v>0</v>
      </c>
      <c r="P804" t="n">
        <v>0</v>
      </c>
      <c r="Q804" t="n">
        <v>0</v>
      </c>
      <c r="R804" s="2" t="inlineStr"/>
    </row>
    <row r="805" ht="15" customHeight="1">
      <c r="A805" t="inlineStr">
        <is>
          <t>A 43691-2024</t>
        </is>
      </c>
      <c r="B805" s="1" t="n">
        <v>45569</v>
      </c>
      <c r="C805" s="1" t="n">
        <v>45725</v>
      </c>
      <c r="D805" t="inlineStr">
        <is>
          <t>UPPSALA LÄN</t>
        </is>
      </c>
      <c r="E805" t="inlineStr">
        <is>
          <t>ENKÖPING</t>
        </is>
      </c>
      <c r="G805" t="n">
        <v>1.8</v>
      </c>
      <c r="H805" t="n">
        <v>0</v>
      </c>
      <c r="I805" t="n">
        <v>0</v>
      </c>
      <c r="J805" t="n">
        <v>0</v>
      </c>
      <c r="K805" t="n">
        <v>0</v>
      </c>
      <c r="L805" t="n">
        <v>0</v>
      </c>
      <c r="M805" t="n">
        <v>0</v>
      </c>
      <c r="N805" t="n">
        <v>0</v>
      </c>
      <c r="O805" t="n">
        <v>0</v>
      </c>
      <c r="P805" t="n">
        <v>0</v>
      </c>
      <c r="Q805" t="n">
        <v>0</v>
      </c>
      <c r="R805" s="2" t="inlineStr"/>
    </row>
    <row r="806" ht="15" customHeight="1">
      <c r="A806" t="inlineStr">
        <is>
          <t>A 44024-2024</t>
        </is>
      </c>
      <c r="B806" s="1" t="n">
        <v>45572</v>
      </c>
      <c r="C806" s="1" t="n">
        <v>45725</v>
      </c>
      <c r="D806" t="inlineStr">
        <is>
          <t>UPPSALA LÄN</t>
        </is>
      </c>
      <c r="E806" t="inlineStr">
        <is>
          <t>ENKÖPING</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44074-2024</t>
        </is>
      </c>
      <c r="B807" s="1" t="n">
        <v>45572</v>
      </c>
      <c r="C807" s="1" t="n">
        <v>45725</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44115-2024</t>
        </is>
      </c>
      <c r="B808" s="1" t="n">
        <v>45572</v>
      </c>
      <c r="C808" s="1" t="n">
        <v>45725</v>
      </c>
      <c r="D808" t="inlineStr">
        <is>
          <t>UPPSALA LÄN</t>
        </is>
      </c>
      <c r="E808" t="inlineStr">
        <is>
          <t>ENKÖPING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44055-2024</t>
        </is>
      </c>
      <c r="B809" s="1" t="n">
        <v>45572</v>
      </c>
      <c r="C809" s="1" t="n">
        <v>45725</v>
      </c>
      <c r="D809" t="inlineStr">
        <is>
          <t>UPPSALA LÄN</t>
        </is>
      </c>
      <c r="E809" t="inlineStr">
        <is>
          <t>ENKÖPING</t>
        </is>
      </c>
      <c r="G809" t="n">
        <v>2.6</v>
      </c>
      <c r="H809" t="n">
        <v>0</v>
      </c>
      <c r="I809" t="n">
        <v>0</v>
      </c>
      <c r="J809" t="n">
        <v>0</v>
      </c>
      <c r="K809" t="n">
        <v>0</v>
      </c>
      <c r="L809" t="n">
        <v>0</v>
      </c>
      <c r="M809" t="n">
        <v>0</v>
      </c>
      <c r="N809" t="n">
        <v>0</v>
      </c>
      <c r="O809" t="n">
        <v>0</v>
      </c>
      <c r="P809" t="n">
        <v>0</v>
      </c>
      <c r="Q809" t="n">
        <v>0</v>
      </c>
      <c r="R809" s="2" t="inlineStr"/>
    </row>
    <row r="810" ht="15" customHeight="1">
      <c r="A810" t="inlineStr">
        <is>
          <t>A 44067-2024</t>
        </is>
      </c>
      <c r="B810" s="1" t="n">
        <v>45572</v>
      </c>
      <c r="C810" s="1" t="n">
        <v>45725</v>
      </c>
      <c r="D810" t="inlineStr">
        <is>
          <t>UPPSALA LÄN</t>
        </is>
      </c>
      <c r="E810" t="inlineStr">
        <is>
          <t>ENKÖPING</t>
        </is>
      </c>
      <c r="G810" t="n">
        <v>2.9</v>
      </c>
      <c r="H810" t="n">
        <v>0</v>
      </c>
      <c r="I810" t="n">
        <v>0</v>
      </c>
      <c r="J810" t="n">
        <v>0</v>
      </c>
      <c r="K810" t="n">
        <v>0</v>
      </c>
      <c r="L810" t="n">
        <v>0</v>
      </c>
      <c r="M810" t="n">
        <v>0</v>
      </c>
      <c r="N810" t="n">
        <v>0</v>
      </c>
      <c r="O810" t="n">
        <v>0</v>
      </c>
      <c r="P810" t="n">
        <v>0</v>
      </c>
      <c r="Q810" t="n">
        <v>0</v>
      </c>
      <c r="R810" s="2" t="inlineStr"/>
    </row>
    <row r="811" ht="15" customHeight="1">
      <c r="A811" t="inlineStr">
        <is>
          <t>A 44084-2024</t>
        </is>
      </c>
      <c r="B811" s="1" t="n">
        <v>45572</v>
      </c>
      <c r="C811" s="1" t="n">
        <v>45725</v>
      </c>
      <c r="D811" t="inlineStr">
        <is>
          <t>UPPSALA LÄN</t>
        </is>
      </c>
      <c r="E811" t="inlineStr">
        <is>
          <t>ENKÖPING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45155-2024</t>
        </is>
      </c>
      <c r="B812" s="1" t="n">
        <v>45575</v>
      </c>
      <c r="C812" s="1" t="n">
        <v>45725</v>
      </c>
      <c r="D812" t="inlineStr">
        <is>
          <t>UPPSALA LÄN</t>
        </is>
      </c>
      <c r="E812" t="inlineStr">
        <is>
          <t>ENKÖPING</t>
        </is>
      </c>
      <c r="G812" t="n">
        <v>3.9</v>
      </c>
      <c r="H812" t="n">
        <v>0</v>
      </c>
      <c r="I812" t="n">
        <v>0</v>
      </c>
      <c r="J812" t="n">
        <v>0</v>
      </c>
      <c r="K812" t="n">
        <v>0</v>
      </c>
      <c r="L812" t="n">
        <v>0</v>
      </c>
      <c r="M812" t="n">
        <v>0</v>
      </c>
      <c r="N812" t="n">
        <v>0</v>
      </c>
      <c r="O812" t="n">
        <v>0</v>
      </c>
      <c r="P812" t="n">
        <v>0</v>
      </c>
      <c r="Q812" t="n">
        <v>0</v>
      </c>
      <c r="R812" s="2" t="inlineStr"/>
    </row>
    <row r="813" ht="15" customHeight="1">
      <c r="A813" t="inlineStr">
        <is>
          <t>A 45064-2024</t>
        </is>
      </c>
      <c r="B813" s="1" t="n">
        <v>45575</v>
      </c>
      <c r="C813" s="1" t="n">
        <v>45725</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45615-2024</t>
        </is>
      </c>
      <c r="B814" s="1" t="n">
        <v>45579</v>
      </c>
      <c r="C814" s="1" t="n">
        <v>45725</v>
      </c>
      <c r="D814" t="inlineStr">
        <is>
          <t>UPPSALA LÄN</t>
        </is>
      </c>
      <c r="E814" t="inlineStr">
        <is>
          <t>ENKÖPING</t>
        </is>
      </c>
      <c r="G814" t="n">
        <v>3.2</v>
      </c>
      <c r="H814" t="n">
        <v>0</v>
      </c>
      <c r="I814" t="n">
        <v>0</v>
      </c>
      <c r="J814" t="n">
        <v>0</v>
      </c>
      <c r="K814" t="n">
        <v>0</v>
      </c>
      <c r="L814" t="n">
        <v>0</v>
      </c>
      <c r="M814" t="n">
        <v>0</v>
      </c>
      <c r="N814" t="n">
        <v>0</v>
      </c>
      <c r="O814" t="n">
        <v>0</v>
      </c>
      <c r="P814" t="n">
        <v>0</v>
      </c>
      <c r="Q814" t="n">
        <v>0</v>
      </c>
      <c r="R814" s="2" t="inlineStr"/>
    </row>
    <row r="815" ht="15" customHeight="1">
      <c r="A815" t="inlineStr">
        <is>
          <t>A 45996-2024</t>
        </is>
      </c>
      <c r="B815" s="1" t="n">
        <v>45580</v>
      </c>
      <c r="C815" s="1" t="n">
        <v>45725</v>
      </c>
      <c r="D815" t="inlineStr">
        <is>
          <t>UPPSALA LÄN</t>
        </is>
      </c>
      <c r="E815" t="inlineStr">
        <is>
          <t>ENKÖPING</t>
        </is>
      </c>
      <c r="G815" t="n">
        <v>1.6</v>
      </c>
      <c r="H815" t="n">
        <v>0</v>
      </c>
      <c r="I815" t="n">
        <v>0</v>
      </c>
      <c r="J815" t="n">
        <v>0</v>
      </c>
      <c r="K815" t="n">
        <v>0</v>
      </c>
      <c r="L815" t="n">
        <v>0</v>
      </c>
      <c r="M815" t="n">
        <v>0</v>
      </c>
      <c r="N815" t="n">
        <v>0</v>
      </c>
      <c r="O815" t="n">
        <v>0</v>
      </c>
      <c r="P815" t="n">
        <v>0</v>
      </c>
      <c r="Q815" t="n">
        <v>0</v>
      </c>
      <c r="R815" s="2" t="inlineStr"/>
    </row>
    <row r="816" ht="15" customHeight="1">
      <c r="A816" t="inlineStr">
        <is>
          <t>A 45956-2024</t>
        </is>
      </c>
      <c r="B816" s="1" t="n">
        <v>45580</v>
      </c>
      <c r="C816" s="1" t="n">
        <v>45725</v>
      </c>
      <c r="D816" t="inlineStr">
        <is>
          <t>UPPSALA LÄN</t>
        </is>
      </c>
      <c r="E816" t="inlineStr">
        <is>
          <t>ENKÖPING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47101-2024</t>
        </is>
      </c>
      <c r="B817" s="1" t="n">
        <v>45586</v>
      </c>
      <c r="C817" s="1" t="n">
        <v>45725</v>
      </c>
      <c r="D817" t="inlineStr">
        <is>
          <t>UPPSALA LÄN</t>
        </is>
      </c>
      <c r="E817" t="inlineStr">
        <is>
          <t>ENKÖPING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47681-2024</t>
        </is>
      </c>
      <c r="B818" s="1" t="n">
        <v>45588</v>
      </c>
      <c r="C818" s="1" t="n">
        <v>45725</v>
      </c>
      <c r="D818" t="inlineStr">
        <is>
          <t>UPPSALA LÄN</t>
        </is>
      </c>
      <c r="E818" t="inlineStr">
        <is>
          <t>ENKÖPING</t>
        </is>
      </c>
      <c r="G818" t="n">
        <v>4.2</v>
      </c>
      <c r="H818" t="n">
        <v>0</v>
      </c>
      <c r="I818" t="n">
        <v>0</v>
      </c>
      <c r="J818" t="n">
        <v>0</v>
      </c>
      <c r="K818" t="n">
        <v>0</v>
      </c>
      <c r="L818" t="n">
        <v>0</v>
      </c>
      <c r="M818" t="n">
        <v>0</v>
      </c>
      <c r="N818" t="n">
        <v>0</v>
      </c>
      <c r="O818" t="n">
        <v>0</v>
      </c>
      <c r="P818" t="n">
        <v>0</v>
      </c>
      <c r="Q818" t="n">
        <v>0</v>
      </c>
      <c r="R818" s="2" t="inlineStr"/>
    </row>
    <row r="819" ht="15" customHeight="1">
      <c r="A819" t="inlineStr">
        <is>
          <t>A 48060-2024</t>
        </is>
      </c>
      <c r="B819" s="1" t="n">
        <v>45589</v>
      </c>
      <c r="C819" s="1" t="n">
        <v>45725</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47909-2024</t>
        </is>
      </c>
      <c r="B820" s="1" t="n">
        <v>45589</v>
      </c>
      <c r="C820" s="1" t="n">
        <v>45725</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48450-2024</t>
        </is>
      </c>
      <c r="B821" s="1" t="n">
        <v>45590</v>
      </c>
      <c r="C821" s="1" t="n">
        <v>45725</v>
      </c>
      <c r="D821" t="inlineStr">
        <is>
          <t>UPPSALA LÄN</t>
        </is>
      </c>
      <c r="E821" t="inlineStr">
        <is>
          <t>ENKÖPING</t>
        </is>
      </c>
      <c r="F821" t="inlineStr">
        <is>
          <t>Allmännings- och besparingsskogar</t>
        </is>
      </c>
      <c r="G821" t="n">
        <v>7.8</v>
      </c>
      <c r="H821" t="n">
        <v>0</v>
      </c>
      <c r="I821" t="n">
        <v>0</v>
      </c>
      <c r="J821" t="n">
        <v>0</v>
      </c>
      <c r="K821" t="n">
        <v>0</v>
      </c>
      <c r="L821" t="n">
        <v>0</v>
      </c>
      <c r="M821" t="n">
        <v>0</v>
      </c>
      <c r="N821" t="n">
        <v>0</v>
      </c>
      <c r="O821" t="n">
        <v>0</v>
      </c>
      <c r="P821" t="n">
        <v>0</v>
      </c>
      <c r="Q821" t="n">
        <v>0</v>
      </c>
      <c r="R821" s="2" t="inlineStr"/>
    </row>
    <row r="822" ht="15" customHeight="1">
      <c r="A822" t="inlineStr">
        <is>
          <t>A 48447-2024</t>
        </is>
      </c>
      <c r="B822" s="1" t="n">
        <v>45590</v>
      </c>
      <c r="C822" s="1" t="n">
        <v>45725</v>
      </c>
      <c r="D822" t="inlineStr">
        <is>
          <t>UPPSALA LÄN</t>
        </is>
      </c>
      <c r="E822" t="inlineStr">
        <is>
          <t>ENKÖPING</t>
        </is>
      </c>
      <c r="F822" t="inlineStr">
        <is>
          <t>Allmännings- och besparingsskogar</t>
        </is>
      </c>
      <c r="G822" t="n">
        <v>3.7</v>
      </c>
      <c r="H822" t="n">
        <v>0</v>
      </c>
      <c r="I822" t="n">
        <v>0</v>
      </c>
      <c r="J822" t="n">
        <v>0</v>
      </c>
      <c r="K822" t="n">
        <v>0</v>
      </c>
      <c r="L822" t="n">
        <v>0</v>
      </c>
      <c r="M822" t="n">
        <v>0</v>
      </c>
      <c r="N822" t="n">
        <v>0</v>
      </c>
      <c r="O822" t="n">
        <v>0</v>
      </c>
      <c r="P822" t="n">
        <v>0</v>
      </c>
      <c r="Q822" t="n">
        <v>0</v>
      </c>
      <c r="R822" s="2" t="inlineStr"/>
    </row>
    <row r="823" ht="15" customHeight="1">
      <c r="A823" t="inlineStr">
        <is>
          <t>A 49063-2024</t>
        </is>
      </c>
      <c r="B823" s="1" t="n">
        <v>45594</v>
      </c>
      <c r="C823" s="1" t="n">
        <v>45725</v>
      </c>
      <c r="D823" t="inlineStr">
        <is>
          <t>UPPSALA LÄN</t>
        </is>
      </c>
      <c r="E823" t="inlineStr">
        <is>
          <t>ENKÖPING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49340-2024</t>
        </is>
      </c>
      <c r="B824" s="1" t="n">
        <v>45595</v>
      </c>
      <c r="C824" s="1" t="n">
        <v>45725</v>
      </c>
      <c r="D824" t="inlineStr">
        <is>
          <t>UPPSALA LÄN</t>
        </is>
      </c>
      <c r="E824" t="inlineStr">
        <is>
          <t>ENKÖPING</t>
        </is>
      </c>
      <c r="G824" t="n">
        <v>2.8</v>
      </c>
      <c r="H824" t="n">
        <v>0</v>
      </c>
      <c r="I824" t="n">
        <v>0</v>
      </c>
      <c r="J824" t="n">
        <v>0</v>
      </c>
      <c r="K824" t="n">
        <v>0</v>
      </c>
      <c r="L824" t="n">
        <v>0</v>
      </c>
      <c r="M824" t="n">
        <v>0</v>
      </c>
      <c r="N824" t="n">
        <v>0</v>
      </c>
      <c r="O824" t="n">
        <v>0</v>
      </c>
      <c r="P824" t="n">
        <v>0</v>
      </c>
      <c r="Q824" t="n">
        <v>0</v>
      </c>
      <c r="R824" s="2" t="inlineStr"/>
    </row>
    <row r="825" ht="15" customHeight="1">
      <c r="A825" t="inlineStr">
        <is>
          <t>A 49601-2024</t>
        </is>
      </c>
      <c r="B825" s="1" t="n">
        <v>45596</v>
      </c>
      <c r="C825" s="1" t="n">
        <v>45725</v>
      </c>
      <c r="D825" t="inlineStr">
        <is>
          <t>UPPSALA LÄN</t>
        </is>
      </c>
      <c r="E825" t="inlineStr">
        <is>
          <t>ENKÖPING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49614-2024</t>
        </is>
      </c>
      <c r="B826" s="1" t="n">
        <v>45596</v>
      </c>
      <c r="C826" s="1" t="n">
        <v>45725</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49623-2024</t>
        </is>
      </c>
      <c r="B827" s="1" t="n">
        <v>45596</v>
      </c>
      <c r="C827" s="1" t="n">
        <v>45725</v>
      </c>
      <c r="D827" t="inlineStr">
        <is>
          <t>UPPSALA LÄN</t>
        </is>
      </c>
      <c r="E827" t="inlineStr">
        <is>
          <t>ENKÖPING</t>
        </is>
      </c>
      <c r="G827" t="n">
        <v>1.8</v>
      </c>
      <c r="H827" t="n">
        <v>0</v>
      </c>
      <c r="I827" t="n">
        <v>0</v>
      </c>
      <c r="J827" t="n">
        <v>0</v>
      </c>
      <c r="K827" t="n">
        <v>0</v>
      </c>
      <c r="L827" t="n">
        <v>0</v>
      </c>
      <c r="M827" t="n">
        <v>0</v>
      </c>
      <c r="N827" t="n">
        <v>0</v>
      </c>
      <c r="O827" t="n">
        <v>0</v>
      </c>
      <c r="P827" t="n">
        <v>0</v>
      </c>
      <c r="Q827" t="n">
        <v>0</v>
      </c>
      <c r="R827" s="2" t="inlineStr"/>
    </row>
    <row r="828" ht="15" customHeight="1">
      <c r="A828" t="inlineStr">
        <is>
          <t>A 49627-2024</t>
        </is>
      </c>
      <c r="B828" s="1" t="n">
        <v>45596</v>
      </c>
      <c r="C828" s="1" t="n">
        <v>45725</v>
      </c>
      <c r="D828" t="inlineStr">
        <is>
          <t>UPPSALA LÄN</t>
        </is>
      </c>
      <c r="E828" t="inlineStr">
        <is>
          <t>ENKÖPING</t>
        </is>
      </c>
      <c r="G828" t="n">
        <v>0.4</v>
      </c>
      <c r="H828" t="n">
        <v>0</v>
      </c>
      <c r="I828" t="n">
        <v>0</v>
      </c>
      <c r="J828" t="n">
        <v>0</v>
      </c>
      <c r="K828" t="n">
        <v>0</v>
      </c>
      <c r="L828" t="n">
        <v>0</v>
      </c>
      <c r="M828" t="n">
        <v>0</v>
      </c>
      <c r="N828" t="n">
        <v>0</v>
      </c>
      <c r="O828" t="n">
        <v>0</v>
      </c>
      <c r="P828" t="n">
        <v>0</v>
      </c>
      <c r="Q828" t="n">
        <v>0</v>
      </c>
      <c r="R828" s="2" t="inlineStr"/>
    </row>
    <row r="829" ht="15" customHeight="1">
      <c r="A829" t="inlineStr">
        <is>
          <t>A 49632-2024</t>
        </is>
      </c>
      <c r="B829" s="1" t="n">
        <v>45596</v>
      </c>
      <c r="C829" s="1" t="n">
        <v>45725</v>
      </c>
      <c r="D829" t="inlineStr">
        <is>
          <t>UPPSALA LÄN</t>
        </is>
      </c>
      <c r="E829" t="inlineStr">
        <is>
          <t>ENKÖPING</t>
        </is>
      </c>
      <c r="G829" t="n">
        <v>1.8</v>
      </c>
      <c r="H829" t="n">
        <v>0</v>
      </c>
      <c r="I829" t="n">
        <v>0</v>
      </c>
      <c r="J829" t="n">
        <v>0</v>
      </c>
      <c r="K829" t="n">
        <v>0</v>
      </c>
      <c r="L829" t="n">
        <v>0</v>
      </c>
      <c r="M829" t="n">
        <v>0</v>
      </c>
      <c r="N829" t="n">
        <v>0</v>
      </c>
      <c r="O829" t="n">
        <v>0</v>
      </c>
      <c r="P829" t="n">
        <v>0</v>
      </c>
      <c r="Q829" t="n">
        <v>0</v>
      </c>
      <c r="R829" s="2" t="inlineStr"/>
    </row>
    <row r="830" ht="15" customHeight="1">
      <c r="A830" t="inlineStr">
        <is>
          <t>A 49597-2024</t>
        </is>
      </c>
      <c r="B830" s="1" t="n">
        <v>45596</v>
      </c>
      <c r="C830" s="1" t="n">
        <v>45725</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49613-2024</t>
        </is>
      </c>
      <c r="B831" s="1" t="n">
        <v>45596</v>
      </c>
      <c r="C831" s="1" t="n">
        <v>45725</v>
      </c>
      <c r="D831" t="inlineStr">
        <is>
          <t>UPPSALA LÄN</t>
        </is>
      </c>
      <c r="E831" t="inlineStr">
        <is>
          <t>ENKÖPING</t>
        </is>
      </c>
      <c r="G831" t="n">
        <v>2.5</v>
      </c>
      <c r="H831" t="n">
        <v>0</v>
      </c>
      <c r="I831" t="n">
        <v>0</v>
      </c>
      <c r="J831" t="n">
        <v>0</v>
      </c>
      <c r="K831" t="n">
        <v>0</v>
      </c>
      <c r="L831" t="n">
        <v>0</v>
      </c>
      <c r="M831" t="n">
        <v>0</v>
      </c>
      <c r="N831" t="n">
        <v>0</v>
      </c>
      <c r="O831" t="n">
        <v>0</v>
      </c>
      <c r="P831" t="n">
        <v>0</v>
      </c>
      <c r="Q831" t="n">
        <v>0</v>
      </c>
      <c r="R831" s="2" t="inlineStr"/>
    </row>
    <row r="832" ht="15" customHeight="1">
      <c r="A832" t="inlineStr">
        <is>
          <t>A 49622-2024</t>
        </is>
      </c>
      <c r="B832" s="1" t="n">
        <v>45596</v>
      </c>
      <c r="C832" s="1" t="n">
        <v>45725</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49617-2024</t>
        </is>
      </c>
      <c r="B833" s="1" t="n">
        <v>45596</v>
      </c>
      <c r="C833" s="1" t="n">
        <v>45725</v>
      </c>
      <c r="D833" t="inlineStr">
        <is>
          <t>UPPSALA LÄN</t>
        </is>
      </c>
      <c r="E833" t="inlineStr">
        <is>
          <t>ENKÖPING</t>
        </is>
      </c>
      <c r="G833" t="n">
        <v>3.5</v>
      </c>
      <c r="H833" t="n">
        <v>0</v>
      </c>
      <c r="I833" t="n">
        <v>0</v>
      </c>
      <c r="J833" t="n">
        <v>0</v>
      </c>
      <c r="K833" t="n">
        <v>0</v>
      </c>
      <c r="L833" t="n">
        <v>0</v>
      </c>
      <c r="M833" t="n">
        <v>0</v>
      </c>
      <c r="N833" t="n">
        <v>0</v>
      </c>
      <c r="O833" t="n">
        <v>0</v>
      </c>
      <c r="P833" t="n">
        <v>0</v>
      </c>
      <c r="Q833" t="n">
        <v>0</v>
      </c>
      <c r="R833" s="2" t="inlineStr"/>
    </row>
    <row r="834" ht="15" customHeight="1">
      <c r="A834" t="inlineStr">
        <is>
          <t>A 49625-2024</t>
        </is>
      </c>
      <c r="B834" s="1" t="n">
        <v>45596</v>
      </c>
      <c r="C834" s="1" t="n">
        <v>45725</v>
      </c>
      <c r="D834" t="inlineStr">
        <is>
          <t>UPPSALA LÄN</t>
        </is>
      </c>
      <c r="E834" t="inlineStr">
        <is>
          <t>ENKÖPING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49637-2024</t>
        </is>
      </c>
      <c r="B835" s="1" t="n">
        <v>45596</v>
      </c>
      <c r="C835" s="1" t="n">
        <v>45725</v>
      </c>
      <c r="D835" t="inlineStr">
        <is>
          <t>UPPSALA LÄN</t>
        </is>
      </c>
      <c r="E835" t="inlineStr">
        <is>
          <t>ENKÖPING</t>
        </is>
      </c>
      <c r="G835" t="n">
        <v>4.9</v>
      </c>
      <c r="H835" t="n">
        <v>0</v>
      </c>
      <c r="I835" t="n">
        <v>0</v>
      </c>
      <c r="J835" t="n">
        <v>0</v>
      </c>
      <c r="K835" t="n">
        <v>0</v>
      </c>
      <c r="L835" t="n">
        <v>0</v>
      </c>
      <c r="M835" t="n">
        <v>0</v>
      </c>
      <c r="N835" t="n">
        <v>0</v>
      </c>
      <c r="O835" t="n">
        <v>0</v>
      </c>
      <c r="P835" t="n">
        <v>0</v>
      </c>
      <c r="Q835" t="n">
        <v>0</v>
      </c>
      <c r="R835" s="2" t="inlineStr"/>
    </row>
    <row r="836" ht="15" customHeight="1">
      <c r="A836" t="inlineStr">
        <is>
          <t>A 50394-2024</t>
        </is>
      </c>
      <c r="B836" s="1" t="n">
        <v>45600</v>
      </c>
      <c r="C836" s="1" t="n">
        <v>45725</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50248-2024</t>
        </is>
      </c>
      <c r="B837" s="1" t="n">
        <v>45600</v>
      </c>
      <c r="C837" s="1" t="n">
        <v>45725</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50247-2024</t>
        </is>
      </c>
      <c r="B838" s="1" t="n">
        <v>45600</v>
      </c>
      <c r="C838" s="1" t="n">
        <v>45725</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51010-2024</t>
        </is>
      </c>
      <c r="B839" s="1" t="n">
        <v>45603</v>
      </c>
      <c r="C839" s="1" t="n">
        <v>45725</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51030-2024</t>
        </is>
      </c>
      <c r="B840" s="1" t="n">
        <v>45603</v>
      </c>
      <c r="C840" s="1" t="n">
        <v>45725</v>
      </c>
      <c r="D840" t="inlineStr">
        <is>
          <t>UPPSALA LÄN</t>
        </is>
      </c>
      <c r="E840" t="inlineStr">
        <is>
          <t>ENKÖPING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51034-2024</t>
        </is>
      </c>
      <c r="B841" s="1" t="n">
        <v>45603</v>
      </c>
      <c r="C841" s="1" t="n">
        <v>45725</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51042-2024</t>
        </is>
      </c>
      <c r="B842" s="1" t="n">
        <v>45603</v>
      </c>
      <c r="C842" s="1" t="n">
        <v>45725</v>
      </c>
      <c r="D842" t="inlineStr">
        <is>
          <t>UPPSALA LÄN</t>
        </is>
      </c>
      <c r="E842" t="inlineStr">
        <is>
          <t>ENKÖPING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51011-2024</t>
        </is>
      </c>
      <c r="B843" s="1" t="n">
        <v>45603</v>
      </c>
      <c r="C843" s="1" t="n">
        <v>45725</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51027-2024</t>
        </is>
      </c>
      <c r="B844" s="1" t="n">
        <v>45603</v>
      </c>
      <c r="C844" s="1" t="n">
        <v>45725</v>
      </c>
      <c r="D844" t="inlineStr">
        <is>
          <t>UPPSALA LÄN</t>
        </is>
      </c>
      <c r="E844" t="inlineStr">
        <is>
          <t>ENKÖPING</t>
        </is>
      </c>
      <c r="G844" t="n">
        <v>3.5</v>
      </c>
      <c r="H844" t="n">
        <v>0</v>
      </c>
      <c r="I844" t="n">
        <v>0</v>
      </c>
      <c r="J844" t="n">
        <v>0</v>
      </c>
      <c r="K844" t="n">
        <v>0</v>
      </c>
      <c r="L844" t="n">
        <v>0</v>
      </c>
      <c r="M844" t="n">
        <v>0</v>
      </c>
      <c r="N844" t="n">
        <v>0</v>
      </c>
      <c r="O844" t="n">
        <v>0</v>
      </c>
      <c r="P844" t="n">
        <v>0</v>
      </c>
      <c r="Q844" t="n">
        <v>0</v>
      </c>
      <c r="R844" s="2" t="inlineStr"/>
    </row>
    <row r="845" ht="15" customHeight="1">
      <c r="A845" t="inlineStr">
        <is>
          <t>A 51008-2024</t>
        </is>
      </c>
      <c r="B845" s="1" t="n">
        <v>45603</v>
      </c>
      <c r="C845" s="1" t="n">
        <v>45725</v>
      </c>
      <c r="D845" t="inlineStr">
        <is>
          <t>UPPSALA LÄN</t>
        </is>
      </c>
      <c r="E845" t="inlineStr">
        <is>
          <t>ENKÖPING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51012-2024</t>
        </is>
      </c>
      <c r="B846" s="1" t="n">
        <v>45603</v>
      </c>
      <c r="C846" s="1" t="n">
        <v>45725</v>
      </c>
      <c r="D846" t="inlineStr">
        <is>
          <t>UPPSALA LÄN</t>
        </is>
      </c>
      <c r="E846" t="inlineStr">
        <is>
          <t>ENKÖPING</t>
        </is>
      </c>
      <c r="G846" t="n">
        <v>2.7</v>
      </c>
      <c r="H846" t="n">
        <v>0</v>
      </c>
      <c r="I846" t="n">
        <v>0</v>
      </c>
      <c r="J846" t="n">
        <v>0</v>
      </c>
      <c r="K846" t="n">
        <v>0</v>
      </c>
      <c r="L846" t="n">
        <v>0</v>
      </c>
      <c r="M846" t="n">
        <v>0</v>
      </c>
      <c r="N846" t="n">
        <v>0</v>
      </c>
      <c r="O846" t="n">
        <v>0</v>
      </c>
      <c r="P846" t="n">
        <v>0</v>
      </c>
      <c r="Q846" t="n">
        <v>0</v>
      </c>
      <c r="R846" s="2" t="inlineStr"/>
    </row>
    <row r="847" ht="15" customHeight="1">
      <c r="A847" t="inlineStr">
        <is>
          <t>A 51036-2024</t>
        </is>
      </c>
      <c r="B847" s="1" t="n">
        <v>45603</v>
      </c>
      <c r="C847" s="1" t="n">
        <v>45725</v>
      </c>
      <c r="D847" t="inlineStr">
        <is>
          <t>UPPSALA LÄN</t>
        </is>
      </c>
      <c r="E847" t="inlineStr">
        <is>
          <t>ENKÖPING</t>
        </is>
      </c>
      <c r="G847" t="n">
        <v>2.6</v>
      </c>
      <c r="H847" t="n">
        <v>0</v>
      </c>
      <c r="I847" t="n">
        <v>0</v>
      </c>
      <c r="J847" t="n">
        <v>0</v>
      </c>
      <c r="K847" t="n">
        <v>0</v>
      </c>
      <c r="L847" t="n">
        <v>0</v>
      </c>
      <c r="M847" t="n">
        <v>0</v>
      </c>
      <c r="N847" t="n">
        <v>0</v>
      </c>
      <c r="O847" t="n">
        <v>0</v>
      </c>
      <c r="P847" t="n">
        <v>0</v>
      </c>
      <c r="Q847" t="n">
        <v>0</v>
      </c>
      <c r="R847" s="2" t="inlineStr"/>
    </row>
    <row r="848" ht="15" customHeight="1">
      <c r="A848" t="inlineStr">
        <is>
          <t>A 51037-2024</t>
        </is>
      </c>
      <c r="B848" s="1" t="n">
        <v>45603</v>
      </c>
      <c r="C848" s="1" t="n">
        <v>45725</v>
      </c>
      <c r="D848" t="inlineStr">
        <is>
          <t>UPPSALA LÄN</t>
        </is>
      </c>
      <c r="E848" t="inlineStr">
        <is>
          <t>ENKÖPING</t>
        </is>
      </c>
      <c r="G848" t="n">
        <v>5.7</v>
      </c>
      <c r="H848" t="n">
        <v>0</v>
      </c>
      <c r="I848" t="n">
        <v>0</v>
      </c>
      <c r="J848" t="n">
        <v>0</v>
      </c>
      <c r="K848" t="n">
        <v>0</v>
      </c>
      <c r="L848" t="n">
        <v>0</v>
      </c>
      <c r="M848" t="n">
        <v>0</v>
      </c>
      <c r="N848" t="n">
        <v>0</v>
      </c>
      <c r="O848" t="n">
        <v>0</v>
      </c>
      <c r="P848" t="n">
        <v>0</v>
      </c>
      <c r="Q848" t="n">
        <v>0</v>
      </c>
      <c r="R848" s="2" t="inlineStr"/>
    </row>
    <row r="849" ht="15" customHeight="1">
      <c r="A849" t="inlineStr">
        <is>
          <t>A 52005-2024</t>
        </is>
      </c>
      <c r="B849" s="1" t="n">
        <v>45607</v>
      </c>
      <c r="C849" s="1" t="n">
        <v>45725</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52219-2024</t>
        </is>
      </c>
      <c r="B850" s="1" t="n">
        <v>45608</v>
      </c>
      <c r="C850" s="1" t="n">
        <v>45725</v>
      </c>
      <c r="D850" t="inlineStr">
        <is>
          <t>UPPSALA LÄN</t>
        </is>
      </c>
      <c r="E850" t="inlineStr">
        <is>
          <t>ENKÖPING</t>
        </is>
      </c>
      <c r="G850" t="n">
        <v>2.1</v>
      </c>
      <c r="H850" t="n">
        <v>0</v>
      </c>
      <c r="I850" t="n">
        <v>0</v>
      </c>
      <c r="J850" t="n">
        <v>0</v>
      </c>
      <c r="K850" t="n">
        <v>0</v>
      </c>
      <c r="L850" t="n">
        <v>0</v>
      </c>
      <c r="M850" t="n">
        <v>0</v>
      </c>
      <c r="N850" t="n">
        <v>0</v>
      </c>
      <c r="O850" t="n">
        <v>0</v>
      </c>
      <c r="P850" t="n">
        <v>0</v>
      </c>
      <c r="Q850" t="n">
        <v>0</v>
      </c>
      <c r="R850" s="2" t="inlineStr"/>
    </row>
    <row r="851" ht="15" customHeight="1">
      <c r="A851" t="inlineStr">
        <is>
          <t>A 52388-2024</t>
        </is>
      </c>
      <c r="B851" s="1" t="n">
        <v>45609</v>
      </c>
      <c r="C851" s="1" t="n">
        <v>45725</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52380-2024</t>
        </is>
      </c>
      <c r="B852" s="1" t="n">
        <v>45609</v>
      </c>
      <c r="C852" s="1" t="n">
        <v>45725</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53587-2024</t>
        </is>
      </c>
      <c r="B853" s="1" t="n">
        <v>45614</v>
      </c>
      <c r="C853" s="1" t="n">
        <v>45725</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53586-2024</t>
        </is>
      </c>
      <c r="B854" s="1" t="n">
        <v>45614</v>
      </c>
      <c r="C854" s="1" t="n">
        <v>45725</v>
      </c>
      <c r="D854" t="inlineStr">
        <is>
          <t>UPPSALA LÄN</t>
        </is>
      </c>
      <c r="E854" t="inlineStr">
        <is>
          <t>ENKÖPING</t>
        </is>
      </c>
      <c r="G854" t="n">
        <v>6.6</v>
      </c>
      <c r="H854" t="n">
        <v>0</v>
      </c>
      <c r="I854" t="n">
        <v>0</v>
      </c>
      <c r="J854" t="n">
        <v>0</v>
      </c>
      <c r="K854" t="n">
        <v>0</v>
      </c>
      <c r="L854" t="n">
        <v>0</v>
      </c>
      <c r="M854" t="n">
        <v>0</v>
      </c>
      <c r="N854" t="n">
        <v>0</v>
      </c>
      <c r="O854" t="n">
        <v>0</v>
      </c>
      <c r="P854" t="n">
        <v>0</v>
      </c>
      <c r="Q854" t="n">
        <v>0</v>
      </c>
      <c r="R854" s="2" t="inlineStr"/>
    </row>
    <row r="855" ht="15" customHeight="1">
      <c r="A855" t="inlineStr">
        <is>
          <t>A 53590-2024</t>
        </is>
      </c>
      <c r="B855" s="1" t="n">
        <v>45614</v>
      </c>
      <c r="C855" s="1" t="n">
        <v>45725</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53557-2024</t>
        </is>
      </c>
      <c r="B856" s="1" t="n">
        <v>45614</v>
      </c>
      <c r="C856" s="1" t="n">
        <v>45725</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53348-2024</t>
        </is>
      </c>
      <c r="B857" s="1" t="n">
        <v>45614</v>
      </c>
      <c r="C857" s="1" t="n">
        <v>45725</v>
      </c>
      <c r="D857" t="inlineStr">
        <is>
          <t>UPPSALA LÄN</t>
        </is>
      </c>
      <c r="E857" t="inlineStr">
        <is>
          <t>ENKÖPING</t>
        </is>
      </c>
      <c r="G857" t="n">
        <v>6.2</v>
      </c>
      <c r="H857" t="n">
        <v>0</v>
      </c>
      <c r="I857" t="n">
        <v>0</v>
      </c>
      <c r="J857" t="n">
        <v>0</v>
      </c>
      <c r="K857" t="n">
        <v>0</v>
      </c>
      <c r="L857" t="n">
        <v>0</v>
      </c>
      <c r="M857" t="n">
        <v>0</v>
      </c>
      <c r="N857" t="n">
        <v>0</v>
      </c>
      <c r="O857" t="n">
        <v>0</v>
      </c>
      <c r="P857" t="n">
        <v>0</v>
      </c>
      <c r="Q857" t="n">
        <v>0</v>
      </c>
      <c r="R857" s="2" t="inlineStr"/>
    </row>
    <row r="858" ht="15" customHeight="1">
      <c r="A858" t="inlineStr">
        <is>
          <t>A 54010-2024</t>
        </is>
      </c>
      <c r="B858" s="1" t="n">
        <v>45616</v>
      </c>
      <c r="C858" s="1" t="n">
        <v>45725</v>
      </c>
      <c r="D858" t="inlineStr">
        <is>
          <t>UPPSALA LÄN</t>
        </is>
      </c>
      <c r="E858" t="inlineStr">
        <is>
          <t>ENKÖPING</t>
        </is>
      </c>
      <c r="G858" t="n">
        <v>2</v>
      </c>
      <c r="H858" t="n">
        <v>0</v>
      </c>
      <c r="I858" t="n">
        <v>0</v>
      </c>
      <c r="J858" t="n">
        <v>0</v>
      </c>
      <c r="K858" t="n">
        <v>0</v>
      </c>
      <c r="L858" t="n">
        <v>0</v>
      </c>
      <c r="M858" t="n">
        <v>0</v>
      </c>
      <c r="N858" t="n">
        <v>0</v>
      </c>
      <c r="O858" t="n">
        <v>0</v>
      </c>
      <c r="P858" t="n">
        <v>0</v>
      </c>
      <c r="Q858" t="n">
        <v>0</v>
      </c>
      <c r="R858" s="2" t="inlineStr"/>
    </row>
    <row r="859" ht="15" customHeight="1">
      <c r="A859" t="inlineStr">
        <is>
          <t>A 54588-2024</t>
        </is>
      </c>
      <c r="B859" s="1" t="n">
        <v>45617</v>
      </c>
      <c r="C859" s="1" t="n">
        <v>45725</v>
      </c>
      <c r="D859" t="inlineStr">
        <is>
          <t>UPPSALA LÄN</t>
        </is>
      </c>
      <c r="E859" t="inlineStr">
        <is>
          <t>ENKÖPING</t>
        </is>
      </c>
      <c r="G859" t="n">
        <v>3.7</v>
      </c>
      <c r="H859" t="n">
        <v>0</v>
      </c>
      <c r="I859" t="n">
        <v>0</v>
      </c>
      <c r="J859" t="n">
        <v>0</v>
      </c>
      <c r="K859" t="n">
        <v>0</v>
      </c>
      <c r="L859" t="n">
        <v>0</v>
      </c>
      <c r="M859" t="n">
        <v>0</v>
      </c>
      <c r="N859" t="n">
        <v>0</v>
      </c>
      <c r="O859" t="n">
        <v>0</v>
      </c>
      <c r="P859" t="n">
        <v>0</v>
      </c>
      <c r="Q859" t="n">
        <v>0</v>
      </c>
      <c r="R859" s="2" t="inlineStr"/>
    </row>
    <row r="860" ht="15" customHeight="1">
      <c r="A860" t="inlineStr">
        <is>
          <t>A 54776-2024</t>
        </is>
      </c>
      <c r="B860" s="1" t="n">
        <v>45618</v>
      </c>
      <c r="C860" s="1" t="n">
        <v>45725</v>
      </c>
      <c r="D860" t="inlineStr">
        <is>
          <t>UPPSALA LÄN</t>
        </is>
      </c>
      <c r="E860" t="inlineStr">
        <is>
          <t>ENKÖPING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55863-2024</t>
        </is>
      </c>
      <c r="B861" s="1" t="n">
        <v>45623</v>
      </c>
      <c r="C861" s="1" t="n">
        <v>45725</v>
      </c>
      <c r="D861" t="inlineStr">
        <is>
          <t>UPPSALA LÄN</t>
        </is>
      </c>
      <c r="E861" t="inlineStr">
        <is>
          <t>ENKÖPING</t>
        </is>
      </c>
      <c r="G861" t="n">
        <v>2.9</v>
      </c>
      <c r="H861" t="n">
        <v>0</v>
      </c>
      <c r="I861" t="n">
        <v>0</v>
      </c>
      <c r="J861" t="n">
        <v>0</v>
      </c>
      <c r="K861" t="n">
        <v>0</v>
      </c>
      <c r="L861" t="n">
        <v>0</v>
      </c>
      <c r="M861" t="n">
        <v>0</v>
      </c>
      <c r="N861" t="n">
        <v>0</v>
      </c>
      <c r="O861" t="n">
        <v>0</v>
      </c>
      <c r="P861" t="n">
        <v>0</v>
      </c>
      <c r="Q861" t="n">
        <v>0</v>
      </c>
      <c r="R861" s="2" t="inlineStr"/>
    </row>
    <row r="862" ht="15" customHeight="1">
      <c r="A862" t="inlineStr">
        <is>
          <t>A 55876-2024</t>
        </is>
      </c>
      <c r="B862" s="1" t="n">
        <v>45623</v>
      </c>
      <c r="C862" s="1" t="n">
        <v>45725</v>
      </c>
      <c r="D862" t="inlineStr">
        <is>
          <t>UPPSALA LÄN</t>
        </is>
      </c>
      <c r="E862" t="inlineStr">
        <is>
          <t>ENKÖPING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55862-2024</t>
        </is>
      </c>
      <c r="B863" s="1" t="n">
        <v>45623</v>
      </c>
      <c r="C863" s="1" t="n">
        <v>45725</v>
      </c>
      <c r="D863" t="inlineStr">
        <is>
          <t>UPPSALA LÄN</t>
        </is>
      </c>
      <c r="E863" t="inlineStr">
        <is>
          <t>ENKÖPING</t>
        </is>
      </c>
      <c r="G863" t="n">
        <v>0.5</v>
      </c>
      <c r="H863" t="n">
        <v>0</v>
      </c>
      <c r="I863" t="n">
        <v>0</v>
      </c>
      <c r="J863" t="n">
        <v>0</v>
      </c>
      <c r="K863" t="n">
        <v>0</v>
      </c>
      <c r="L863" t="n">
        <v>0</v>
      </c>
      <c r="M863" t="n">
        <v>0</v>
      </c>
      <c r="N863" t="n">
        <v>0</v>
      </c>
      <c r="O863" t="n">
        <v>0</v>
      </c>
      <c r="P863" t="n">
        <v>0</v>
      </c>
      <c r="Q863" t="n">
        <v>0</v>
      </c>
      <c r="R863" s="2" t="inlineStr"/>
    </row>
    <row r="864" ht="15" customHeight="1">
      <c r="A864" t="inlineStr">
        <is>
          <t>A 56225-2024</t>
        </is>
      </c>
      <c r="B864" s="1" t="n">
        <v>45624</v>
      </c>
      <c r="C864" s="1" t="n">
        <v>45725</v>
      </c>
      <c r="D864" t="inlineStr">
        <is>
          <t>UPPSALA LÄN</t>
        </is>
      </c>
      <c r="E864" t="inlineStr">
        <is>
          <t>ENKÖPING</t>
        </is>
      </c>
      <c r="G864" t="n">
        <v>11.7</v>
      </c>
      <c r="H864" t="n">
        <v>0</v>
      </c>
      <c r="I864" t="n">
        <v>0</v>
      </c>
      <c r="J864" t="n">
        <v>0</v>
      </c>
      <c r="K864" t="n">
        <v>0</v>
      </c>
      <c r="L864" t="n">
        <v>0</v>
      </c>
      <c r="M864" t="n">
        <v>0</v>
      </c>
      <c r="N864" t="n">
        <v>0</v>
      </c>
      <c r="O864" t="n">
        <v>0</v>
      </c>
      <c r="P864" t="n">
        <v>0</v>
      </c>
      <c r="Q864" t="n">
        <v>0</v>
      </c>
      <c r="R864" s="2" t="inlineStr"/>
    </row>
    <row r="865" ht="15" customHeight="1">
      <c r="A865" t="inlineStr">
        <is>
          <t>A 56837-2024</t>
        </is>
      </c>
      <c r="B865" s="1" t="n">
        <v>45628</v>
      </c>
      <c r="C865" s="1" t="n">
        <v>45725</v>
      </c>
      <c r="D865" t="inlineStr">
        <is>
          <t>UPPSALA LÄN</t>
        </is>
      </c>
      <c r="E865" t="inlineStr">
        <is>
          <t>ENKÖPING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56713-2024</t>
        </is>
      </c>
      <c r="B866" s="1" t="n">
        <v>45628</v>
      </c>
      <c r="C866" s="1" t="n">
        <v>45725</v>
      </c>
      <c r="D866" t="inlineStr">
        <is>
          <t>UPPSALA LÄN</t>
        </is>
      </c>
      <c r="E866" t="inlineStr">
        <is>
          <t>ENKÖPING</t>
        </is>
      </c>
      <c r="G866" t="n">
        <v>1.7</v>
      </c>
      <c r="H866" t="n">
        <v>0</v>
      </c>
      <c r="I866" t="n">
        <v>0</v>
      </c>
      <c r="J866" t="n">
        <v>0</v>
      </c>
      <c r="K866" t="n">
        <v>0</v>
      </c>
      <c r="L866" t="n">
        <v>0</v>
      </c>
      <c r="M866" t="n">
        <v>0</v>
      </c>
      <c r="N866" t="n">
        <v>0</v>
      </c>
      <c r="O866" t="n">
        <v>0</v>
      </c>
      <c r="P866" t="n">
        <v>0</v>
      </c>
      <c r="Q866" t="n">
        <v>0</v>
      </c>
      <c r="R866" s="2" t="inlineStr"/>
    </row>
    <row r="867" ht="15" customHeight="1">
      <c r="A867" t="inlineStr">
        <is>
          <t>A 57209-2024</t>
        </is>
      </c>
      <c r="B867" s="1" t="n">
        <v>45629</v>
      </c>
      <c r="C867" s="1" t="n">
        <v>45725</v>
      </c>
      <c r="D867" t="inlineStr">
        <is>
          <t>UPPSALA LÄN</t>
        </is>
      </c>
      <c r="E867" t="inlineStr">
        <is>
          <t>ENKÖPING</t>
        </is>
      </c>
      <c r="G867" t="n">
        <v>3.2</v>
      </c>
      <c r="H867" t="n">
        <v>0</v>
      </c>
      <c r="I867" t="n">
        <v>0</v>
      </c>
      <c r="J867" t="n">
        <v>0</v>
      </c>
      <c r="K867" t="n">
        <v>0</v>
      </c>
      <c r="L867" t="n">
        <v>0</v>
      </c>
      <c r="M867" t="n">
        <v>0</v>
      </c>
      <c r="N867" t="n">
        <v>0</v>
      </c>
      <c r="O867" t="n">
        <v>0</v>
      </c>
      <c r="P867" t="n">
        <v>0</v>
      </c>
      <c r="Q867" t="n">
        <v>0</v>
      </c>
      <c r="R867" s="2" t="inlineStr"/>
    </row>
    <row r="868" ht="15" customHeight="1">
      <c r="A868" t="inlineStr">
        <is>
          <t>A 57215-2024</t>
        </is>
      </c>
      <c r="B868" s="1" t="n">
        <v>45629</v>
      </c>
      <c r="C868" s="1" t="n">
        <v>45725</v>
      </c>
      <c r="D868" t="inlineStr">
        <is>
          <t>UPPSALA LÄN</t>
        </is>
      </c>
      <c r="E868" t="inlineStr">
        <is>
          <t>ENKÖPING</t>
        </is>
      </c>
      <c r="G868" t="n">
        <v>2.4</v>
      </c>
      <c r="H868" t="n">
        <v>0</v>
      </c>
      <c r="I868" t="n">
        <v>0</v>
      </c>
      <c r="J868" t="n">
        <v>0</v>
      </c>
      <c r="K868" t="n">
        <v>0</v>
      </c>
      <c r="L868" t="n">
        <v>0</v>
      </c>
      <c r="M868" t="n">
        <v>0</v>
      </c>
      <c r="N868" t="n">
        <v>0</v>
      </c>
      <c r="O868" t="n">
        <v>0</v>
      </c>
      <c r="P868" t="n">
        <v>0</v>
      </c>
      <c r="Q868" t="n">
        <v>0</v>
      </c>
      <c r="R868" s="2" t="inlineStr"/>
    </row>
    <row r="869" ht="15" customHeight="1">
      <c r="A869" t="inlineStr">
        <is>
          <t>A 57335-2024</t>
        </is>
      </c>
      <c r="B869" s="1" t="n">
        <v>45629</v>
      </c>
      <c r="C869" s="1" t="n">
        <v>45725</v>
      </c>
      <c r="D869" t="inlineStr">
        <is>
          <t>UPPSALA LÄN</t>
        </is>
      </c>
      <c r="E869" t="inlineStr">
        <is>
          <t>ENKÖPING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57214-2024</t>
        </is>
      </c>
      <c r="B870" s="1" t="n">
        <v>45629</v>
      </c>
      <c r="C870" s="1" t="n">
        <v>45725</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57218-2024</t>
        </is>
      </c>
      <c r="B871" s="1" t="n">
        <v>45629</v>
      </c>
      <c r="C871" s="1" t="n">
        <v>45725</v>
      </c>
      <c r="D871" t="inlineStr">
        <is>
          <t>UPPSALA LÄN</t>
        </is>
      </c>
      <c r="E871" t="inlineStr">
        <is>
          <t>ENKÖPING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57415-2024</t>
        </is>
      </c>
      <c r="B872" s="1" t="n">
        <v>45629</v>
      </c>
      <c r="C872" s="1" t="n">
        <v>45725</v>
      </c>
      <c r="D872" t="inlineStr">
        <is>
          <t>UPPSALA LÄN</t>
        </is>
      </c>
      <c r="E872" t="inlineStr">
        <is>
          <t>ENKÖPING</t>
        </is>
      </c>
      <c r="F872" t="inlineStr">
        <is>
          <t>Allmännings- och besparingsskogar</t>
        </is>
      </c>
      <c r="G872" t="n">
        <v>11.8</v>
      </c>
      <c r="H872" t="n">
        <v>0</v>
      </c>
      <c r="I872" t="n">
        <v>0</v>
      </c>
      <c r="J872" t="n">
        <v>0</v>
      </c>
      <c r="K872" t="n">
        <v>0</v>
      </c>
      <c r="L872" t="n">
        <v>0</v>
      </c>
      <c r="M872" t="n">
        <v>0</v>
      </c>
      <c r="N872" t="n">
        <v>0</v>
      </c>
      <c r="O872" t="n">
        <v>0</v>
      </c>
      <c r="P872" t="n">
        <v>0</v>
      </c>
      <c r="Q872" t="n">
        <v>0</v>
      </c>
      <c r="R872" s="2" t="inlineStr"/>
    </row>
    <row r="873" ht="15" customHeight="1">
      <c r="A873" t="inlineStr">
        <is>
          <t>A 57328-2024</t>
        </is>
      </c>
      <c r="B873" s="1" t="n">
        <v>45629</v>
      </c>
      <c r="C873" s="1" t="n">
        <v>45725</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57833-2024</t>
        </is>
      </c>
      <c r="B874" s="1" t="n">
        <v>45631</v>
      </c>
      <c r="C874" s="1" t="n">
        <v>45725</v>
      </c>
      <c r="D874" t="inlineStr">
        <is>
          <t>UPPSALA LÄN</t>
        </is>
      </c>
      <c r="E874" t="inlineStr">
        <is>
          <t>ENKÖPING</t>
        </is>
      </c>
      <c r="G874" t="n">
        <v>2.8</v>
      </c>
      <c r="H874" t="n">
        <v>0</v>
      </c>
      <c r="I874" t="n">
        <v>0</v>
      </c>
      <c r="J874" t="n">
        <v>0</v>
      </c>
      <c r="K874" t="n">
        <v>0</v>
      </c>
      <c r="L874" t="n">
        <v>0</v>
      </c>
      <c r="M874" t="n">
        <v>0</v>
      </c>
      <c r="N874" t="n">
        <v>0</v>
      </c>
      <c r="O874" t="n">
        <v>0</v>
      </c>
      <c r="P874" t="n">
        <v>0</v>
      </c>
      <c r="Q874" t="n">
        <v>0</v>
      </c>
      <c r="R874" s="2" t="inlineStr"/>
    </row>
    <row r="875" ht="15" customHeight="1">
      <c r="A875" t="inlineStr">
        <is>
          <t>A 57831-2024</t>
        </is>
      </c>
      <c r="B875" s="1" t="n">
        <v>45631</v>
      </c>
      <c r="C875" s="1" t="n">
        <v>45725</v>
      </c>
      <c r="D875" t="inlineStr">
        <is>
          <t>UPPSALA LÄN</t>
        </is>
      </c>
      <c r="E875" t="inlineStr">
        <is>
          <t>ENKÖPING</t>
        </is>
      </c>
      <c r="G875" t="n">
        <v>7.2</v>
      </c>
      <c r="H875" t="n">
        <v>0</v>
      </c>
      <c r="I875" t="n">
        <v>0</v>
      </c>
      <c r="J875" t="n">
        <v>0</v>
      </c>
      <c r="K875" t="n">
        <v>0</v>
      </c>
      <c r="L875" t="n">
        <v>0</v>
      </c>
      <c r="M875" t="n">
        <v>0</v>
      </c>
      <c r="N875" t="n">
        <v>0</v>
      </c>
      <c r="O875" t="n">
        <v>0</v>
      </c>
      <c r="P875" t="n">
        <v>0</v>
      </c>
      <c r="Q875" t="n">
        <v>0</v>
      </c>
      <c r="R875" s="2" t="inlineStr"/>
    </row>
    <row r="876" ht="15" customHeight="1">
      <c r="A876" t="inlineStr">
        <is>
          <t>A 57835-2024</t>
        </is>
      </c>
      <c r="B876" s="1" t="n">
        <v>45631</v>
      </c>
      <c r="C876" s="1" t="n">
        <v>45725</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57848-2024</t>
        </is>
      </c>
      <c r="B877" s="1" t="n">
        <v>45631</v>
      </c>
      <c r="C877" s="1" t="n">
        <v>45725</v>
      </c>
      <c r="D877" t="inlineStr">
        <is>
          <t>UPPSALA LÄN</t>
        </is>
      </c>
      <c r="E877" t="inlineStr">
        <is>
          <t>ENKÖPING</t>
        </is>
      </c>
      <c r="G877" t="n">
        <v>1.2</v>
      </c>
      <c r="H877" t="n">
        <v>0</v>
      </c>
      <c r="I877" t="n">
        <v>0</v>
      </c>
      <c r="J877" t="n">
        <v>0</v>
      </c>
      <c r="K877" t="n">
        <v>0</v>
      </c>
      <c r="L877" t="n">
        <v>0</v>
      </c>
      <c r="M877" t="n">
        <v>0</v>
      </c>
      <c r="N877" t="n">
        <v>0</v>
      </c>
      <c r="O877" t="n">
        <v>0</v>
      </c>
      <c r="P877" t="n">
        <v>0</v>
      </c>
      <c r="Q877" t="n">
        <v>0</v>
      </c>
      <c r="R877" s="2" t="inlineStr"/>
    </row>
    <row r="878" ht="15" customHeight="1">
      <c r="A878" t="inlineStr">
        <is>
          <t>A 57937-2024</t>
        </is>
      </c>
      <c r="B878" s="1" t="n">
        <v>45631</v>
      </c>
      <c r="C878" s="1" t="n">
        <v>45725</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57841-2024</t>
        </is>
      </c>
      <c r="B879" s="1" t="n">
        <v>45631</v>
      </c>
      <c r="C879" s="1" t="n">
        <v>45725</v>
      </c>
      <c r="D879" t="inlineStr">
        <is>
          <t>UPPSALA LÄN</t>
        </is>
      </c>
      <c r="E879" t="inlineStr">
        <is>
          <t>ENKÖPING</t>
        </is>
      </c>
      <c r="G879" t="n">
        <v>3.4</v>
      </c>
      <c r="H879" t="n">
        <v>0</v>
      </c>
      <c r="I879" t="n">
        <v>0</v>
      </c>
      <c r="J879" t="n">
        <v>0</v>
      </c>
      <c r="K879" t="n">
        <v>0</v>
      </c>
      <c r="L879" t="n">
        <v>0</v>
      </c>
      <c r="M879" t="n">
        <v>0</v>
      </c>
      <c r="N879" t="n">
        <v>0</v>
      </c>
      <c r="O879" t="n">
        <v>0</v>
      </c>
      <c r="P879" t="n">
        <v>0</v>
      </c>
      <c r="Q879" t="n">
        <v>0</v>
      </c>
      <c r="R879" s="2" t="inlineStr"/>
    </row>
    <row r="880" ht="15" customHeight="1">
      <c r="A880" t="inlineStr">
        <is>
          <t>A 57998-2024</t>
        </is>
      </c>
      <c r="B880" s="1" t="n">
        <v>45631</v>
      </c>
      <c r="C880" s="1" t="n">
        <v>45725</v>
      </c>
      <c r="D880" t="inlineStr">
        <is>
          <t>UPPSALA LÄN</t>
        </is>
      </c>
      <c r="E880" t="inlineStr">
        <is>
          <t>ENKÖPING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58092-2024</t>
        </is>
      </c>
      <c r="B881" s="1" t="n">
        <v>45632</v>
      </c>
      <c r="C881" s="1" t="n">
        <v>45725</v>
      </c>
      <c r="D881" t="inlineStr">
        <is>
          <t>UPPSALA LÄN</t>
        </is>
      </c>
      <c r="E881" t="inlineStr">
        <is>
          <t>ENKÖPING</t>
        </is>
      </c>
      <c r="G881" t="n">
        <v>4.8</v>
      </c>
      <c r="H881" t="n">
        <v>0</v>
      </c>
      <c r="I881" t="n">
        <v>0</v>
      </c>
      <c r="J881" t="n">
        <v>0</v>
      </c>
      <c r="K881" t="n">
        <v>0</v>
      </c>
      <c r="L881" t="n">
        <v>0</v>
      </c>
      <c r="M881" t="n">
        <v>0</v>
      </c>
      <c r="N881" t="n">
        <v>0</v>
      </c>
      <c r="O881" t="n">
        <v>0</v>
      </c>
      <c r="P881" t="n">
        <v>0</v>
      </c>
      <c r="Q881" t="n">
        <v>0</v>
      </c>
      <c r="R881" s="2" t="inlineStr"/>
    </row>
    <row r="882" ht="15" customHeight="1">
      <c r="A882" t="inlineStr">
        <is>
          <t>A 58147-2024</t>
        </is>
      </c>
      <c r="B882" s="1" t="n">
        <v>45632</v>
      </c>
      <c r="C882" s="1" t="n">
        <v>45725</v>
      </c>
      <c r="D882" t="inlineStr">
        <is>
          <t>UPPSALA LÄN</t>
        </is>
      </c>
      <c r="E882" t="inlineStr">
        <is>
          <t>ENKÖPING</t>
        </is>
      </c>
      <c r="G882" t="n">
        <v>3</v>
      </c>
      <c r="H882" t="n">
        <v>0</v>
      </c>
      <c r="I882" t="n">
        <v>0</v>
      </c>
      <c r="J882" t="n">
        <v>0</v>
      </c>
      <c r="K882" t="n">
        <v>0</v>
      </c>
      <c r="L882" t="n">
        <v>0</v>
      </c>
      <c r="M882" t="n">
        <v>0</v>
      </c>
      <c r="N882" t="n">
        <v>0</v>
      </c>
      <c r="O882" t="n">
        <v>0</v>
      </c>
      <c r="P882" t="n">
        <v>0</v>
      </c>
      <c r="Q882" t="n">
        <v>0</v>
      </c>
      <c r="R882" s="2" t="inlineStr"/>
    </row>
    <row r="883" ht="15" customHeight="1">
      <c r="A883" t="inlineStr">
        <is>
          <t>A 58961-2024</t>
        </is>
      </c>
      <c r="B883" s="1" t="n">
        <v>45636</v>
      </c>
      <c r="C883" s="1" t="n">
        <v>45725</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59027-2024</t>
        </is>
      </c>
      <c r="B884" s="1" t="n">
        <v>45636</v>
      </c>
      <c r="C884" s="1" t="n">
        <v>45725</v>
      </c>
      <c r="D884" t="inlineStr">
        <is>
          <t>UPPSALA LÄN</t>
        </is>
      </c>
      <c r="E884" t="inlineStr">
        <is>
          <t>ENKÖPING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59570-2024</t>
        </is>
      </c>
      <c r="B885" s="1" t="n">
        <v>45638</v>
      </c>
      <c r="C885" s="1" t="n">
        <v>45725</v>
      </c>
      <c r="D885" t="inlineStr">
        <is>
          <t>UPPSALA LÄN</t>
        </is>
      </c>
      <c r="E885" t="inlineStr">
        <is>
          <t>ENKÖPING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59602-2024</t>
        </is>
      </c>
      <c r="B886" s="1" t="n">
        <v>45638</v>
      </c>
      <c r="C886" s="1" t="n">
        <v>45725</v>
      </c>
      <c r="D886" t="inlineStr">
        <is>
          <t>UPPSALA LÄN</t>
        </is>
      </c>
      <c r="E886" t="inlineStr">
        <is>
          <t>ENKÖPING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60125-2024</t>
        </is>
      </c>
      <c r="B887" s="1" t="n">
        <v>45642</v>
      </c>
      <c r="C887" s="1" t="n">
        <v>45725</v>
      </c>
      <c r="D887" t="inlineStr">
        <is>
          <t>UPPSALA LÄN</t>
        </is>
      </c>
      <c r="E887" t="inlineStr">
        <is>
          <t>ENKÖPING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60538-2024</t>
        </is>
      </c>
      <c r="B888" s="1" t="n">
        <v>45643</v>
      </c>
      <c r="C888" s="1" t="n">
        <v>45725</v>
      </c>
      <c r="D888" t="inlineStr">
        <is>
          <t>UPPSALA LÄN</t>
        </is>
      </c>
      <c r="E888" t="inlineStr">
        <is>
          <t>ENKÖPING</t>
        </is>
      </c>
      <c r="G888" t="n">
        <v>1.6</v>
      </c>
      <c r="H888" t="n">
        <v>0</v>
      </c>
      <c r="I888" t="n">
        <v>0</v>
      </c>
      <c r="J888" t="n">
        <v>0</v>
      </c>
      <c r="K888" t="n">
        <v>0</v>
      </c>
      <c r="L888" t="n">
        <v>0</v>
      </c>
      <c r="M888" t="n">
        <v>0</v>
      </c>
      <c r="N888" t="n">
        <v>0</v>
      </c>
      <c r="O888" t="n">
        <v>0</v>
      </c>
      <c r="P888" t="n">
        <v>0</v>
      </c>
      <c r="Q888" t="n">
        <v>0</v>
      </c>
      <c r="R888" s="2" t="inlineStr"/>
    </row>
    <row r="889" ht="15" customHeight="1">
      <c r="A889" t="inlineStr">
        <is>
          <t>A 60519-2024</t>
        </is>
      </c>
      <c r="B889" s="1" t="n">
        <v>45643</v>
      </c>
      <c r="C889" s="1" t="n">
        <v>45725</v>
      </c>
      <c r="D889" t="inlineStr">
        <is>
          <t>UPPSALA LÄN</t>
        </is>
      </c>
      <c r="E889" t="inlineStr">
        <is>
          <t>ENKÖPING</t>
        </is>
      </c>
      <c r="G889" t="n">
        <v>3.7</v>
      </c>
      <c r="H889" t="n">
        <v>0</v>
      </c>
      <c r="I889" t="n">
        <v>0</v>
      </c>
      <c r="J889" t="n">
        <v>0</v>
      </c>
      <c r="K889" t="n">
        <v>0</v>
      </c>
      <c r="L889" t="n">
        <v>0</v>
      </c>
      <c r="M889" t="n">
        <v>0</v>
      </c>
      <c r="N889" t="n">
        <v>0</v>
      </c>
      <c r="O889" t="n">
        <v>0</v>
      </c>
      <c r="P889" t="n">
        <v>0</v>
      </c>
      <c r="Q889" t="n">
        <v>0</v>
      </c>
      <c r="R889" s="2" t="inlineStr"/>
    </row>
    <row r="890" ht="15" customHeight="1">
      <c r="A890" t="inlineStr">
        <is>
          <t>A 60539-2024</t>
        </is>
      </c>
      <c r="B890" s="1" t="n">
        <v>45643</v>
      </c>
      <c r="C890" s="1" t="n">
        <v>45725</v>
      </c>
      <c r="D890" t="inlineStr">
        <is>
          <t>UPPSALA LÄN</t>
        </is>
      </c>
      <c r="E890" t="inlineStr">
        <is>
          <t>ENKÖPING</t>
        </is>
      </c>
      <c r="G890" t="n">
        <v>1.4</v>
      </c>
      <c r="H890" t="n">
        <v>0</v>
      </c>
      <c r="I890" t="n">
        <v>0</v>
      </c>
      <c r="J890" t="n">
        <v>0</v>
      </c>
      <c r="K890" t="n">
        <v>0</v>
      </c>
      <c r="L890" t="n">
        <v>0</v>
      </c>
      <c r="M890" t="n">
        <v>0</v>
      </c>
      <c r="N890" t="n">
        <v>0</v>
      </c>
      <c r="O890" t="n">
        <v>0</v>
      </c>
      <c r="P890" t="n">
        <v>0</v>
      </c>
      <c r="Q890" t="n">
        <v>0</v>
      </c>
      <c r="R890" s="2" t="inlineStr"/>
    </row>
    <row r="891" ht="15" customHeight="1">
      <c r="A891" t="inlineStr">
        <is>
          <t>A 192-2025</t>
        </is>
      </c>
      <c r="B891" s="1" t="n">
        <v>45649</v>
      </c>
      <c r="C891" s="1" t="n">
        <v>45725</v>
      </c>
      <c r="D891" t="inlineStr">
        <is>
          <t>UPPSALA LÄN</t>
        </is>
      </c>
      <c r="E891" t="inlineStr">
        <is>
          <t>ENKÖPING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314-2025</t>
        </is>
      </c>
      <c r="B892" s="1" t="n">
        <v>45656</v>
      </c>
      <c r="C892" s="1" t="n">
        <v>45725</v>
      </c>
      <c r="D892" t="inlineStr">
        <is>
          <t>UPPSALA LÄN</t>
        </is>
      </c>
      <c r="E892" t="inlineStr">
        <is>
          <t>ENKÖPING</t>
        </is>
      </c>
      <c r="G892" t="n">
        <v>9</v>
      </c>
      <c r="H892" t="n">
        <v>0</v>
      </c>
      <c r="I892" t="n">
        <v>0</v>
      </c>
      <c r="J892" t="n">
        <v>0</v>
      </c>
      <c r="K892" t="n">
        <v>0</v>
      </c>
      <c r="L892" t="n">
        <v>0</v>
      </c>
      <c r="M892" t="n">
        <v>0</v>
      </c>
      <c r="N892" t="n">
        <v>0</v>
      </c>
      <c r="O892" t="n">
        <v>0</v>
      </c>
      <c r="P892" t="n">
        <v>0</v>
      </c>
      <c r="Q892" t="n">
        <v>0</v>
      </c>
      <c r="R892" s="2" t="inlineStr"/>
    </row>
    <row r="893" ht="15" customHeight="1">
      <c r="A893" t="inlineStr">
        <is>
          <t>A 819-2025</t>
        </is>
      </c>
      <c r="B893" s="1" t="n">
        <v>45665</v>
      </c>
      <c r="C893" s="1" t="n">
        <v>45725</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845-2025</t>
        </is>
      </c>
      <c r="B894" s="1" t="n">
        <v>45665</v>
      </c>
      <c r="C894" s="1" t="n">
        <v>45725</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849-2025</t>
        </is>
      </c>
      <c r="B895" s="1" t="n">
        <v>45665</v>
      </c>
      <c r="C895" s="1" t="n">
        <v>45725</v>
      </c>
      <c r="D895" t="inlineStr">
        <is>
          <t>UPPSALA LÄN</t>
        </is>
      </c>
      <c r="E895" t="inlineStr">
        <is>
          <t>ENKÖPING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840-2025</t>
        </is>
      </c>
      <c r="B896" s="1" t="n">
        <v>45665</v>
      </c>
      <c r="C896" s="1" t="n">
        <v>45725</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1695-2025</t>
        </is>
      </c>
      <c r="B897" s="1" t="n">
        <v>45670</v>
      </c>
      <c r="C897" s="1" t="n">
        <v>45725</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1656-2025</t>
        </is>
      </c>
      <c r="B898" s="1" t="n">
        <v>45670</v>
      </c>
      <c r="C898" s="1" t="n">
        <v>45725</v>
      </c>
      <c r="D898" t="inlineStr">
        <is>
          <t>UPPSALA LÄN</t>
        </is>
      </c>
      <c r="E898" t="inlineStr">
        <is>
          <t>ENKÖPING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2850-2025</t>
        </is>
      </c>
      <c r="B899" s="1" t="n">
        <v>45677</v>
      </c>
      <c r="C899" s="1" t="n">
        <v>45725</v>
      </c>
      <c r="D899" t="inlineStr">
        <is>
          <t>UPPSALA LÄN</t>
        </is>
      </c>
      <c r="E899" t="inlineStr">
        <is>
          <t>ENKÖPING</t>
        </is>
      </c>
      <c r="G899" t="n">
        <v>0.3</v>
      </c>
      <c r="H899" t="n">
        <v>0</v>
      </c>
      <c r="I899" t="n">
        <v>0</v>
      </c>
      <c r="J899" t="n">
        <v>0</v>
      </c>
      <c r="K899" t="n">
        <v>0</v>
      </c>
      <c r="L899" t="n">
        <v>0</v>
      </c>
      <c r="M899" t="n">
        <v>0</v>
      </c>
      <c r="N899" t="n">
        <v>0</v>
      </c>
      <c r="O899" t="n">
        <v>0</v>
      </c>
      <c r="P899" t="n">
        <v>0</v>
      </c>
      <c r="Q899" t="n">
        <v>0</v>
      </c>
      <c r="R899" s="2" t="inlineStr"/>
    </row>
    <row r="900" ht="15" customHeight="1">
      <c r="A900" t="inlineStr">
        <is>
          <t>A 2833-2025</t>
        </is>
      </c>
      <c r="B900" s="1" t="n">
        <v>45677</v>
      </c>
      <c r="C900" s="1" t="n">
        <v>45725</v>
      </c>
      <c r="D900" t="inlineStr">
        <is>
          <t>UPPSALA LÄN</t>
        </is>
      </c>
      <c r="E900" t="inlineStr">
        <is>
          <t>ENKÖPING</t>
        </is>
      </c>
      <c r="G900" t="n">
        <v>0.8</v>
      </c>
      <c r="H900" t="n">
        <v>0</v>
      </c>
      <c r="I900" t="n">
        <v>0</v>
      </c>
      <c r="J900" t="n">
        <v>0</v>
      </c>
      <c r="K900" t="n">
        <v>0</v>
      </c>
      <c r="L900" t="n">
        <v>0</v>
      </c>
      <c r="M900" t="n">
        <v>0</v>
      </c>
      <c r="N900" t="n">
        <v>0</v>
      </c>
      <c r="O900" t="n">
        <v>0</v>
      </c>
      <c r="P900" t="n">
        <v>0</v>
      </c>
      <c r="Q900" t="n">
        <v>0</v>
      </c>
      <c r="R900" s="2" t="inlineStr"/>
    </row>
    <row r="901" ht="15" customHeight="1">
      <c r="A901" t="inlineStr">
        <is>
          <t>A 2974-2025</t>
        </is>
      </c>
      <c r="B901" s="1" t="n">
        <v>45678</v>
      </c>
      <c r="C901" s="1" t="n">
        <v>45725</v>
      </c>
      <c r="D901" t="inlineStr">
        <is>
          <t>UPPSALA LÄN</t>
        </is>
      </c>
      <c r="E901" t="inlineStr">
        <is>
          <t>ENKÖPING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2968-2025</t>
        </is>
      </c>
      <c r="B902" s="1" t="n">
        <v>45678</v>
      </c>
      <c r="C902" s="1" t="n">
        <v>45725</v>
      </c>
      <c r="D902" t="inlineStr">
        <is>
          <t>UPPSALA LÄN</t>
        </is>
      </c>
      <c r="E902" t="inlineStr">
        <is>
          <t>ENKÖPING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3301-2025</t>
        </is>
      </c>
      <c r="B903" s="1" t="n">
        <v>45679</v>
      </c>
      <c r="C903" s="1" t="n">
        <v>45725</v>
      </c>
      <c r="D903" t="inlineStr">
        <is>
          <t>UPPSALA LÄN</t>
        </is>
      </c>
      <c r="E903" t="inlineStr">
        <is>
          <t>ENKÖPING</t>
        </is>
      </c>
      <c r="G903" t="n">
        <v>20.9</v>
      </c>
      <c r="H903" t="n">
        <v>0</v>
      </c>
      <c r="I903" t="n">
        <v>0</v>
      </c>
      <c r="J903" t="n">
        <v>0</v>
      </c>
      <c r="K903" t="n">
        <v>0</v>
      </c>
      <c r="L903" t="n">
        <v>0</v>
      </c>
      <c r="M903" t="n">
        <v>0</v>
      </c>
      <c r="N903" t="n">
        <v>0</v>
      </c>
      <c r="O903" t="n">
        <v>0</v>
      </c>
      <c r="P903" t="n">
        <v>0</v>
      </c>
      <c r="Q903" t="n">
        <v>0</v>
      </c>
      <c r="R903" s="2" t="inlineStr"/>
    </row>
    <row r="904" ht="15" customHeight="1">
      <c r="A904" t="inlineStr">
        <is>
          <t>A 3235-2025</t>
        </is>
      </c>
      <c r="B904" s="1" t="n">
        <v>45679</v>
      </c>
      <c r="C904" s="1" t="n">
        <v>45725</v>
      </c>
      <c r="D904" t="inlineStr">
        <is>
          <t>UPPSALA LÄN</t>
        </is>
      </c>
      <c r="E904" t="inlineStr">
        <is>
          <t>ENKÖPING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3197-2025</t>
        </is>
      </c>
      <c r="B905" s="1" t="n">
        <v>45679</v>
      </c>
      <c r="C905" s="1" t="n">
        <v>45725</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3300-2025</t>
        </is>
      </c>
      <c r="B906" s="1" t="n">
        <v>45679</v>
      </c>
      <c r="C906" s="1" t="n">
        <v>45725</v>
      </c>
      <c r="D906" t="inlineStr">
        <is>
          <t>UPPSALA LÄN</t>
        </is>
      </c>
      <c r="E906" t="inlineStr">
        <is>
          <t>ENKÖPING</t>
        </is>
      </c>
      <c r="G906" t="n">
        <v>8.9</v>
      </c>
      <c r="H906" t="n">
        <v>0</v>
      </c>
      <c r="I906" t="n">
        <v>0</v>
      </c>
      <c r="J906" t="n">
        <v>0</v>
      </c>
      <c r="K906" t="n">
        <v>0</v>
      </c>
      <c r="L906" t="n">
        <v>0</v>
      </c>
      <c r="M906" t="n">
        <v>0</v>
      </c>
      <c r="N906" t="n">
        <v>0</v>
      </c>
      <c r="O906" t="n">
        <v>0</v>
      </c>
      <c r="P906" t="n">
        <v>0</v>
      </c>
      <c r="Q906" t="n">
        <v>0</v>
      </c>
      <c r="R906" s="2" t="inlineStr"/>
    </row>
    <row r="907" ht="15" customHeight="1">
      <c r="A907" t="inlineStr">
        <is>
          <t>A 3499-2025</t>
        </is>
      </c>
      <c r="B907" s="1" t="n">
        <v>45680</v>
      </c>
      <c r="C907" s="1" t="n">
        <v>45725</v>
      </c>
      <c r="D907" t="inlineStr">
        <is>
          <t>UPPSALA LÄN</t>
        </is>
      </c>
      <c r="E907" t="inlineStr">
        <is>
          <t>ENKÖPING</t>
        </is>
      </c>
      <c r="G907" t="n">
        <v>1.2</v>
      </c>
      <c r="H907" t="n">
        <v>0</v>
      </c>
      <c r="I907" t="n">
        <v>0</v>
      </c>
      <c r="J907" t="n">
        <v>0</v>
      </c>
      <c r="K907" t="n">
        <v>0</v>
      </c>
      <c r="L907" t="n">
        <v>0</v>
      </c>
      <c r="M907" t="n">
        <v>0</v>
      </c>
      <c r="N907" t="n">
        <v>0</v>
      </c>
      <c r="O907" t="n">
        <v>0</v>
      </c>
      <c r="P907" t="n">
        <v>0</v>
      </c>
      <c r="Q907" t="n">
        <v>0</v>
      </c>
      <c r="R907" s="2" t="inlineStr"/>
    </row>
    <row r="908" ht="15" customHeight="1">
      <c r="A908" t="inlineStr">
        <is>
          <t>A 3400-2025</t>
        </is>
      </c>
      <c r="B908" s="1" t="n">
        <v>45680</v>
      </c>
      <c r="C908" s="1" t="n">
        <v>45725</v>
      </c>
      <c r="D908" t="inlineStr">
        <is>
          <t>UPPSALA LÄN</t>
        </is>
      </c>
      <c r="E908" t="inlineStr">
        <is>
          <t>ENKÖPING</t>
        </is>
      </c>
      <c r="G908" t="n">
        <v>5.3</v>
      </c>
      <c r="H908" t="n">
        <v>0</v>
      </c>
      <c r="I908" t="n">
        <v>0</v>
      </c>
      <c r="J908" t="n">
        <v>0</v>
      </c>
      <c r="K908" t="n">
        <v>0</v>
      </c>
      <c r="L908" t="n">
        <v>0</v>
      </c>
      <c r="M908" t="n">
        <v>0</v>
      </c>
      <c r="N908" t="n">
        <v>0</v>
      </c>
      <c r="O908" t="n">
        <v>0</v>
      </c>
      <c r="P908" t="n">
        <v>0</v>
      </c>
      <c r="Q908" t="n">
        <v>0</v>
      </c>
      <c r="R908" s="2" t="inlineStr"/>
    </row>
    <row r="909" ht="15" customHeight="1">
      <c r="A909" t="inlineStr">
        <is>
          <t>A 4562-2025</t>
        </is>
      </c>
      <c r="B909" s="1" t="n">
        <v>45687</v>
      </c>
      <c r="C909" s="1" t="n">
        <v>45725</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5013-2025</t>
        </is>
      </c>
      <c r="B910" s="1" t="n">
        <v>45691</v>
      </c>
      <c r="C910" s="1" t="n">
        <v>45725</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5712-2025</t>
        </is>
      </c>
      <c r="B911" s="1" t="n">
        <v>45694</v>
      </c>
      <c r="C911" s="1" t="n">
        <v>45725</v>
      </c>
      <c r="D911" t="inlineStr">
        <is>
          <t>UPPSALA LÄN</t>
        </is>
      </c>
      <c r="E911" t="inlineStr">
        <is>
          <t>ENKÖPING</t>
        </is>
      </c>
      <c r="G911" t="n">
        <v>5.1</v>
      </c>
      <c r="H911" t="n">
        <v>0</v>
      </c>
      <c r="I911" t="n">
        <v>0</v>
      </c>
      <c r="J911" t="n">
        <v>0</v>
      </c>
      <c r="K911" t="n">
        <v>0</v>
      </c>
      <c r="L911" t="n">
        <v>0</v>
      </c>
      <c r="M911" t="n">
        <v>0</v>
      </c>
      <c r="N911" t="n">
        <v>0</v>
      </c>
      <c r="O911" t="n">
        <v>0</v>
      </c>
      <c r="P911" t="n">
        <v>0</v>
      </c>
      <c r="Q911" t="n">
        <v>0</v>
      </c>
      <c r="R911" s="2" t="inlineStr"/>
    </row>
    <row r="912" ht="15" customHeight="1">
      <c r="A912" t="inlineStr">
        <is>
          <t>A 5749-2025</t>
        </is>
      </c>
      <c r="B912" s="1" t="n">
        <v>45694</v>
      </c>
      <c r="C912" s="1" t="n">
        <v>45725</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5699-2025</t>
        </is>
      </c>
      <c r="B913" s="1" t="n">
        <v>45694</v>
      </c>
      <c r="C913" s="1" t="n">
        <v>45725</v>
      </c>
      <c r="D913" t="inlineStr">
        <is>
          <t>UPPSALA LÄN</t>
        </is>
      </c>
      <c r="E913" t="inlineStr">
        <is>
          <t>ENKÖPING</t>
        </is>
      </c>
      <c r="G913" t="n">
        <v>1.9</v>
      </c>
      <c r="H913" t="n">
        <v>0</v>
      </c>
      <c r="I913" t="n">
        <v>0</v>
      </c>
      <c r="J913" t="n">
        <v>0</v>
      </c>
      <c r="K913" t="n">
        <v>0</v>
      </c>
      <c r="L913" t="n">
        <v>0</v>
      </c>
      <c r="M913" t="n">
        <v>0</v>
      </c>
      <c r="N913" t="n">
        <v>0</v>
      </c>
      <c r="O913" t="n">
        <v>0</v>
      </c>
      <c r="P913" t="n">
        <v>0</v>
      </c>
      <c r="Q913" t="n">
        <v>0</v>
      </c>
      <c r="R913" s="2" t="inlineStr"/>
    </row>
    <row r="914" ht="15" customHeight="1">
      <c r="A914" t="inlineStr">
        <is>
          <t>A 6242-2025</t>
        </is>
      </c>
      <c r="B914" s="1" t="n">
        <v>45697</v>
      </c>
      <c r="C914" s="1" t="n">
        <v>45725</v>
      </c>
      <c r="D914" t="inlineStr">
        <is>
          <t>UPPSALA LÄN</t>
        </is>
      </c>
      <c r="E914" t="inlineStr">
        <is>
          <t>ENKÖPING</t>
        </is>
      </c>
      <c r="G914" t="n">
        <v>17.9</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45725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6959-2025</t>
        </is>
      </c>
      <c r="B916" s="1" t="n">
        <v>45701</v>
      </c>
      <c r="C916" s="1" t="n">
        <v>45725</v>
      </c>
      <c r="D916" t="inlineStr">
        <is>
          <t>UPPSALA LÄN</t>
        </is>
      </c>
      <c r="E916" t="inlineStr">
        <is>
          <t>ENKÖPING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45725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8137-2025</t>
        </is>
      </c>
      <c r="B918" s="1" t="n">
        <v>45707</v>
      </c>
      <c r="C918" s="1" t="n">
        <v>45725</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8537-2025</t>
        </is>
      </c>
      <c r="B919" s="1" t="n">
        <v>45709</v>
      </c>
      <c r="C919" s="1" t="n">
        <v>45725</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45725</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45725</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9493-2025</t>
        </is>
      </c>
      <c r="B922" s="1" t="n">
        <v>45715</v>
      </c>
      <c r="C922" s="1" t="n">
        <v>45725</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9658-2025</t>
        </is>
      </c>
      <c r="B923" s="1" t="n">
        <v>45716</v>
      </c>
      <c r="C923" s="1" t="n">
        <v>45725</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45725</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45725</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45725</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10212-2025</t>
        </is>
      </c>
      <c r="B927" s="1" t="n">
        <v>45719</v>
      </c>
      <c r="C927" s="1" t="n">
        <v>45725</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45725</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10468-2025</t>
        </is>
      </c>
      <c r="B929" s="1" t="n">
        <v>45720</v>
      </c>
      <c r="C929" s="1" t="n">
        <v>45725</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c r="A930" t="inlineStr">
        <is>
          <t>A 10670-2025</t>
        </is>
      </c>
      <c r="B930" s="1" t="n">
        <v>45721</v>
      </c>
      <c r="C930" s="1" t="n">
        <v>45725</v>
      </c>
      <c r="D930" t="inlineStr">
        <is>
          <t>UPPSALA LÄN</t>
        </is>
      </c>
      <c r="E930" t="inlineStr">
        <is>
          <t>ENKÖPING</t>
        </is>
      </c>
      <c r="G930" t="n">
        <v>1.2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2025-03-09T17:32:39Z</dcterms:created>
  <dcterms:modified xmlns:dcterms="http://purl.org/dc/terms/" xmlns:xsi="http://www.w3.org/2001/XMLSchema-instance" xsi:type="dcterms:W3CDTF">2025-03-09T17:32:40Z</dcterms:modified>
</cp:coreProperties>
</file>