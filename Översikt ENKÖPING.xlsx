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46143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46143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46143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46143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46143</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46143</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46143</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46143</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46143</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46143</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46143</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46143</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50105-2023</t>
        </is>
      </c>
      <c r="B14" s="1" t="n">
        <v>45215</v>
      </c>
      <c r="C14" s="1" t="n">
        <v>46143</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9147-2026</t>
        </is>
      </c>
      <c r="B15" s="1" t="n">
        <v>46070.30649305556</v>
      </c>
      <c r="C15" s="1" t="n">
        <v>46143</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425-2024</t>
        </is>
      </c>
      <c r="B16" s="1" t="n">
        <v>45296</v>
      </c>
      <c r="C16" s="1" t="n">
        <v>46143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46143</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46143</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46143</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46143</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17942-2024</t>
        </is>
      </c>
      <c r="B21" s="1" t="n">
        <v>45419</v>
      </c>
      <c r="C21" s="1" t="n">
        <v>46143</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26347-2025</t>
        </is>
      </c>
      <c r="B22" s="1" t="n">
        <v>45805.7403125</v>
      </c>
      <c r="C22" s="1" t="n">
        <v>46143</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46143</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1524-2023</t>
        </is>
      </c>
      <c r="B24" s="1" t="n">
        <v>44935</v>
      </c>
      <c r="C24" s="1" t="n">
        <v>46143</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Skogsduva</t>
        </is>
      </c>
      <c r="S24">
        <f>HYPERLINK("https://klasma.github.io/Logging_0381/artfynd/A 1524-2023 artfynd.xlsx", "A 1524-2023")</f>
        <v/>
      </c>
      <c r="T24">
        <f>HYPERLINK("https://klasma.github.io/Logging_0381/kartor/A 1524-2023 karta.png", "A 1524-2023")</f>
        <v/>
      </c>
      <c r="V24">
        <f>HYPERLINK("https://klasma.github.io/Logging_0381/klagomål/A 1524-2023 FSC-klagomål.docx", "A 1524-2023")</f>
        <v/>
      </c>
      <c r="W24">
        <f>HYPERLINK("https://klasma.github.io/Logging_0381/klagomålsmail/A 1524-2023 FSC-klagomål mail.docx", "A 1524-2023")</f>
        <v/>
      </c>
      <c r="X24">
        <f>HYPERLINK("https://klasma.github.io/Logging_0381/tillsyn/A 1524-2023 tillsynsbegäran.docx", "A 1524-2023")</f>
        <v/>
      </c>
      <c r="Y24">
        <f>HYPERLINK("https://klasma.github.io/Logging_0381/tillsynsmail/A 1524-2023 tillsynsbegäran mail.docx", "A 1524-2023")</f>
        <v/>
      </c>
      <c r="Z24">
        <f>HYPERLINK("https://klasma.github.io/Logging_0381/fåglar/A 1524-2023 prioriterade fågelarter.docx", "A 1524-2023")</f>
        <v/>
      </c>
    </row>
    <row r="25" ht="15" customHeight="1">
      <c r="A25" t="inlineStr">
        <is>
          <t>A 29510-2025</t>
        </is>
      </c>
      <c r="B25" s="1" t="n">
        <v>45825</v>
      </c>
      <c r="C25" s="1" t="n">
        <v>46143</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4166-2026</t>
        </is>
      </c>
      <c r="B26" s="1" t="n">
        <v>46044.66402777778</v>
      </c>
      <c r="C26" s="1" t="n">
        <v>46143</v>
      </c>
      <c r="D26" t="inlineStr">
        <is>
          <t>UPPSALA LÄN</t>
        </is>
      </c>
      <c r="E26" t="inlineStr">
        <is>
          <t>ENKÖPING</t>
        </is>
      </c>
      <c r="G26" t="n">
        <v>1.7</v>
      </c>
      <c r="H26" t="n">
        <v>1</v>
      </c>
      <c r="I26" t="n">
        <v>0</v>
      </c>
      <c r="J26" t="n">
        <v>1</v>
      </c>
      <c r="K26" t="n">
        <v>0</v>
      </c>
      <c r="L26" t="n">
        <v>0</v>
      </c>
      <c r="M26" t="n">
        <v>0</v>
      </c>
      <c r="N26" t="n">
        <v>0</v>
      </c>
      <c r="O26" t="n">
        <v>1</v>
      </c>
      <c r="P26" t="n">
        <v>0</v>
      </c>
      <c r="Q26" t="n">
        <v>1</v>
      </c>
      <c r="R26" s="2" t="inlineStr">
        <is>
          <t>Gulsparv</t>
        </is>
      </c>
      <c r="S26">
        <f>HYPERLINK("https://klasma.github.io/Logging_0381/artfynd/A 4166-2026 artfynd.xlsx", "A 4166-2026")</f>
        <v/>
      </c>
      <c r="T26">
        <f>HYPERLINK("https://klasma.github.io/Logging_0381/kartor/A 4166-2026 karta.png", "A 4166-2026")</f>
        <v/>
      </c>
      <c r="V26">
        <f>HYPERLINK("https://klasma.github.io/Logging_0381/klagomål/A 4166-2026 FSC-klagomål.docx", "A 4166-2026")</f>
        <v/>
      </c>
      <c r="W26">
        <f>HYPERLINK("https://klasma.github.io/Logging_0381/klagomålsmail/A 4166-2026 FSC-klagomål mail.docx", "A 4166-2026")</f>
        <v/>
      </c>
      <c r="X26">
        <f>HYPERLINK("https://klasma.github.io/Logging_0381/tillsyn/A 4166-2026 tillsynsbegäran.docx", "A 4166-2026")</f>
        <v/>
      </c>
      <c r="Y26">
        <f>HYPERLINK("https://klasma.github.io/Logging_0381/tillsynsmail/A 4166-2026 tillsynsbegäran mail.docx", "A 4166-2026")</f>
        <v/>
      </c>
      <c r="Z26">
        <f>HYPERLINK("https://klasma.github.io/Logging_0381/fåglar/A 4166-2026 prioriterade fågelarter.docx", "A 4166-2026")</f>
        <v/>
      </c>
    </row>
    <row r="27" ht="15" customHeight="1">
      <c r="A27" t="inlineStr">
        <is>
          <t>A 52439-2025</t>
        </is>
      </c>
      <c r="B27" s="1" t="n">
        <v>45954.40697916667</v>
      </c>
      <c r="C27" s="1" t="n">
        <v>46143</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46143</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46143</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Tallkötticka</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46143</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46143</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46143</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55582-2021</t>
        </is>
      </c>
      <c r="B33" s="1" t="n">
        <v>44475</v>
      </c>
      <c r="C33" s="1" t="n">
        <v>46143</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46143</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46143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46143</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46143</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46143</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22058-2021</t>
        </is>
      </c>
      <c r="B39" s="1" t="n">
        <v>44323</v>
      </c>
      <c r="C39" s="1" t="n">
        <v>46143</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46143</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46143</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46143</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46143</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46143</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46143</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46143</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46143</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46143</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46143</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46143</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46143</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46143</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46143</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46143</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46143</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46143</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46143</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46143</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46143</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46143</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46143</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46143</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46143</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46143</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46143</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46143</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46143</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46143</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46143</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46143</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46143</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46143</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46143</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46143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46143</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46143</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46143</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15924-2022</t>
        </is>
      </c>
      <c r="B78" s="1" t="n">
        <v>44664</v>
      </c>
      <c r="C78" s="1" t="n">
        <v>46143</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15943-2022</t>
        </is>
      </c>
      <c r="B79" s="1" t="n">
        <v>44664.66428240741</v>
      </c>
      <c r="C79" s="1" t="n">
        <v>46143</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47106-2021</t>
        </is>
      </c>
      <c r="B80" s="1" t="n">
        <v>44446</v>
      </c>
      <c r="C80" s="1" t="n">
        <v>46143</v>
      </c>
      <c r="D80" t="inlineStr">
        <is>
          <t>UPPSALA LÄN</t>
        </is>
      </c>
      <c r="E80" t="inlineStr">
        <is>
          <t>ENKÖPING</t>
        </is>
      </c>
      <c r="G80" t="n">
        <v>7.6</v>
      </c>
      <c r="H80" t="n">
        <v>0</v>
      </c>
      <c r="I80" t="n">
        <v>0</v>
      </c>
      <c r="J80" t="n">
        <v>0</v>
      </c>
      <c r="K80" t="n">
        <v>0</v>
      </c>
      <c r="L80" t="n">
        <v>0</v>
      </c>
      <c r="M80" t="n">
        <v>0</v>
      </c>
      <c r="N80" t="n">
        <v>0</v>
      </c>
      <c r="O80" t="n">
        <v>0</v>
      </c>
      <c r="P80" t="n">
        <v>0</v>
      </c>
      <c r="Q80" t="n">
        <v>0</v>
      </c>
      <c r="R80" s="2" t="inlineStr"/>
    </row>
    <row r="81" ht="15" customHeight="1">
      <c r="A81" t="inlineStr">
        <is>
          <t>A 19731-2022</t>
        </is>
      </c>
      <c r="B81" s="1" t="n">
        <v>44694</v>
      </c>
      <c r="C81" s="1" t="n">
        <v>46143</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46143</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24883-2022</t>
        </is>
      </c>
      <c r="B83" s="1" t="n">
        <v>44728</v>
      </c>
      <c r="C83" s="1" t="n">
        <v>46143</v>
      </c>
      <c r="D83" t="inlineStr">
        <is>
          <t>UPPSALA LÄN</t>
        </is>
      </c>
      <c r="E83" t="inlineStr">
        <is>
          <t>ENKÖPING</t>
        </is>
      </c>
      <c r="G83" t="n">
        <v>2.5</v>
      </c>
      <c r="H83" t="n">
        <v>0</v>
      </c>
      <c r="I83" t="n">
        <v>0</v>
      </c>
      <c r="J83" t="n">
        <v>0</v>
      </c>
      <c r="K83" t="n">
        <v>0</v>
      </c>
      <c r="L83" t="n">
        <v>0</v>
      </c>
      <c r="M83" t="n">
        <v>0</v>
      </c>
      <c r="N83" t="n">
        <v>0</v>
      </c>
      <c r="O83" t="n">
        <v>0</v>
      </c>
      <c r="P83" t="n">
        <v>0</v>
      </c>
      <c r="Q83" t="n">
        <v>0</v>
      </c>
      <c r="R83" s="2" t="inlineStr"/>
    </row>
    <row r="84" ht="15" customHeight="1">
      <c r="A84" t="inlineStr">
        <is>
          <t>A 68127-2021</t>
        </is>
      </c>
      <c r="B84" s="1" t="n">
        <v>44526.39513888889</v>
      </c>
      <c r="C84" s="1" t="n">
        <v>46143</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46143</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17467-2022</t>
        </is>
      </c>
      <c r="B86" s="1" t="n">
        <v>44679</v>
      </c>
      <c r="C86" s="1" t="n">
        <v>46143</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46143</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24815-2022</t>
        </is>
      </c>
      <c r="B88" s="1" t="n">
        <v>44728</v>
      </c>
      <c r="C88" s="1" t="n">
        <v>46143</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57078-2021</t>
        </is>
      </c>
      <c r="B89" s="1" t="n">
        <v>44482.57855324074</v>
      </c>
      <c r="C89" s="1" t="n">
        <v>46143</v>
      </c>
      <c r="D89" t="inlineStr">
        <is>
          <t>UPPSALA LÄN</t>
        </is>
      </c>
      <c r="E89" t="inlineStr">
        <is>
          <t>ENKÖPING</t>
        </is>
      </c>
      <c r="G89" t="n">
        <v>3</v>
      </c>
      <c r="H89" t="n">
        <v>0</v>
      </c>
      <c r="I89" t="n">
        <v>0</v>
      </c>
      <c r="J89" t="n">
        <v>0</v>
      </c>
      <c r="K89" t="n">
        <v>0</v>
      </c>
      <c r="L89" t="n">
        <v>0</v>
      </c>
      <c r="M89" t="n">
        <v>0</v>
      </c>
      <c r="N89" t="n">
        <v>0</v>
      </c>
      <c r="O89" t="n">
        <v>0</v>
      </c>
      <c r="P89" t="n">
        <v>0</v>
      </c>
      <c r="Q89" t="n">
        <v>0</v>
      </c>
      <c r="R89" s="2" t="inlineStr"/>
    </row>
    <row r="90" ht="15" customHeight="1">
      <c r="A90" t="inlineStr">
        <is>
          <t>A 29983-2021</t>
        </is>
      </c>
      <c r="B90" s="1" t="n">
        <v>44363</v>
      </c>
      <c r="C90" s="1" t="n">
        <v>46143</v>
      </c>
      <c r="D90" t="inlineStr">
        <is>
          <t>UPPSALA LÄN</t>
        </is>
      </c>
      <c r="E90" t="inlineStr">
        <is>
          <t>ENKÖPING</t>
        </is>
      </c>
      <c r="F90" t="inlineStr">
        <is>
          <t>Kommuner</t>
        </is>
      </c>
      <c r="G90" t="n">
        <v>3.1</v>
      </c>
      <c r="H90" t="n">
        <v>0</v>
      </c>
      <c r="I90" t="n">
        <v>0</v>
      </c>
      <c r="J90" t="n">
        <v>0</v>
      </c>
      <c r="K90" t="n">
        <v>0</v>
      </c>
      <c r="L90" t="n">
        <v>0</v>
      </c>
      <c r="M90" t="n">
        <v>0</v>
      </c>
      <c r="N90" t="n">
        <v>0</v>
      </c>
      <c r="O90" t="n">
        <v>0</v>
      </c>
      <c r="P90" t="n">
        <v>0</v>
      </c>
      <c r="Q90" t="n">
        <v>0</v>
      </c>
      <c r="R90" s="2" t="inlineStr"/>
    </row>
    <row r="91" ht="15" customHeight="1">
      <c r="A91" t="inlineStr">
        <is>
          <t>A 49063-2024</t>
        </is>
      </c>
      <c r="B91" s="1" t="n">
        <v>45594.59869212963</v>
      </c>
      <c r="C91" s="1" t="n">
        <v>46143</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13853-2023</t>
        </is>
      </c>
      <c r="B92" s="1" t="n">
        <v>45007</v>
      </c>
      <c r="C92" s="1" t="n">
        <v>46143</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17657-2025</t>
        </is>
      </c>
      <c r="B93" s="1" t="n">
        <v>45758.35006944444</v>
      </c>
      <c r="C93" s="1" t="n">
        <v>46143</v>
      </c>
      <c r="D93" t="inlineStr">
        <is>
          <t>UPPSALA LÄN</t>
        </is>
      </c>
      <c r="E93" t="inlineStr">
        <is>
          <t>ENKÖPING</t>
        </is>
      </c>
      <c r="G93" t="n">
        <v>3</v>
      </c>
      <c r="H93" t="n">
        <v>0</v>
      </c>
      <c r="I93" t="n">
        <v>0</v>
      </c>
      <c r="J93" t="n">
        <v>0</v>
      </c>
      <c r="K93" t="n">
        <v>0</v>
      </c>
      <c r="L93" t="n">
        <v>0</v>
      </c>
      <c r="M93" t="n">
        <v>0</v>
      </c>
      <c r="N93" t="n">
        <v>0</v>
      </c>
      <c r="O93" t="n">
        <v>0</v>
      </c>
      <c r="P93" t="n">
        <v>0</v>
      </c>
      <c r="Q93" t="n">
        <v>0</v>
      </c>
      <c r="R93" s="2" t="inlineStr"/>
    </row>
    <row r="94" ht="15" customHeight="1">
      <c r="A94" t="inlineStr">
        <is>
          <t>A 47681-2024</t>
        </is>
      </c>
      <c r="B94" s="1" t="n">
        <v>45588</v>
      </c>
      <c r="C94" s="1" t="n">
        <v>46143</v>
      </c>
      <c r="D94" t="inlineStr">
        <is>
          <t>UPPSALA LÄN</t>
        </is>
      </c>
      <c r="E94" t="inlineStr">
        <is>
          <t>ENKÖPING</t>
        </is>
      </c>
      <c r="G94" t="n">
        <v>4.2</v>
      </c>
      <c r="H94" t="n">
        <v>0</v>
      </c>
      <c r="I94" t="n">
        <v>0</v>
      </c>
      <c r="J94" t="n">
        <v>0</v>
      </c>
      <c r="K94" t="n">
        <v>0</v>
      </c>
      <c r="L94" t="n">
        <v>0</v>
      </c>
      <c r="M94" t="n">
        <v>0</v>
      </c>
      <c r="N94" t="n">
        <v>0</v>
      </c>
      <c r="O94" t="n">
        <v>0</v>
      </c>
      <c r="P94" t="n">
        <v>0</v>
      </c>
      <c r="Q94" t="n">
        <v>0</v>
      </c>
      <c r="R94" s="2" t="inlineStr"/>
    </row>
    <row r="95" ht="15" customHeight="1">
      <c r="A95" t="inlineStr">
        <is>
          <t>A 49568-2022</t>
        </is>
      </c>
      <c r="B95" s="1" t="n">
        <v>44862.32791666667</v>
      </c>
      <c r="C95" s="1" t="n">
        <v>46143</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15942-2022</t>
        </is>
      </c>
      <c r="B96" s="1" t="n">
        <v>44664</v>
      </c>
      <c r="C96" s="1" t="n">
        <v>46143</v>
      </c>
      <c r="D96" t="inlineStr">
        <is>
          <t>UPPSALA LÄN</t>
        </is>
      </c>
      <c r="E96" t="inlineStr">
        <is>
          <t>ENKÖPING</t>
        </is>
      </c>
      <c r="G96" t="n">
        <v>6.6</v>
      </c>
      <c r="H96" t="n">
        <v>0</v>
      </c>
      <c r="I96" t="n">
        <v>0</v>
      </c>
      <c r="J96" t="n">
        <v>0</v>
      </c>
      <c r="K96" t="n">
        <v>0</v>
      </c>
      <c r="L96" t="n">
        <v>0</v>
      </c>
      <c r="M96" t="n">
        <v>0</v>
      </c>
      <c r="N96" t="n">
        <v>0</v>
      </c>
      <c r="O96" t="n">
        <v>0</v>
      </c>
      <c r="P96" t="n">
        <v>0</v>
      </c>
      <c r="Q96" t="n">
        <v>0</v>
      </c>
      <c r="R96" s="2" t="inlineStr"/>
    </row>
    <row r="97" ht="15" customHeight="1">
      <c r="A97" t="inlineStr">
        <is>
          <t>A 2974-2025</t>
        </is>
      </c>
      <c r="B97" s="1" t="n">
        <v>45678.47168981482</v>
      </c>
      <c r="C97" s="1" t="n">
        <v>46143</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53496-2022</t>
        </is>
      </c>
      <c r="B98" s="1" t="n">
        <v>44879.57217592592</v>
      </c>
      <c r="C98" s="1" t="n">
        <v>46143</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27786-2023</t>
        </is>
      </c>
      <c r="B99" s="1" t="n">
        <v>45098</v>
      </c>
      <c r="C99" s="1" t="n">
        <v>46143</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48864-2022</t>
        </is>
      </c>
      <c r="B100" s="1" t="n">
        <v>44859</v>
      </c>
      <c r="C100" s="1" t="n">
        <v>46143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6242-2025</t>
        </is>
      </c>
      <c r="B101" s="1" t="n">
        <v>45697</v>
      </c>
      <c r="C101" s="1" t="n">
        <v>46143</v>
      </c>
      <c r="D101" t="inlineStr">
        <is>
          <t>UPPSALA LÄN</t>
        </is>
      </c>
      <c r="E101" t="inlineStr">
        <is>
          <t>ENKÖPING</t>
        </is>
      </c>
      <c r="G101" t="n">
        <v>17.9</v>
      </c>
      <c r="H101" t="n">
        <v>0</v>
      </c>
      <c r="I101" t="n">
        <v>0</v>
      </c>
      <c r="J101" t="n">
        <v>0</v>
      </c>
      <c r="K101" t="n">
        <v>0</v>
      </c>
      <c r="L101" t="n">
        <v>0</v>
      </c>
      <c r="M101" t="n">
        <v>0</v>
      </c>
      <c r="N101" t="n">
        <v>0</v>
      </c>
      <c r="O101" t="n">
        <v>0</v>
      </c>
      <c r="P101" t="n">
        <v>0</v>
      </c>
      <c r="Q101" t="n">
        <v>0</v>
      </c>
      <c r="R101" s="2" t="inlineStr"/>
    </row>
    <row r="102" ht="15" customHeight="1">
      <c r="A102" t="inlineStr">
        <is>
          <t>A 5211-2024</t>
        </is>
      </c>
      <c r="B102" s="1" t="n">
        <v>45330</v>
      </c>
      <c r="C102" s="1" t="n">
        <v>46143</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10468-2025</t>
        </is>
      </c>
      <c r="B103" s="1" t="n">
        <v>45720</v>
      </c>
      <c r="C103" s="1" t="n">
        <v>46143</v>
      </c>
      <c r="D103" t="inlineStr">
        <is>
          <t>UPPSALA LÄN</t>
        </is>
      </c>
      <c r="E103" t="inlineStr">
        <is>
          <t>ENKÖPING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42459-2024</t>
        </is>
      </c>
      <c r="B104" s="1" t="n">
        <v>45565</v>
      </c>
      <c r="C104" s="1" t="n">
        <v>46143</v>
      </c>
      <c r="D104" t="inlineStr">
        <is>
          <t>UPPSALA LÄN</t>
        </is>
      </c>
      <c r="E104" t="inlineStr">
        <is>
          <t>ENKÖPING</t>
        </is>
      </c>
      <c r="G104" t="n">
        <v>3.6</v>
      </c>
      <c r="H104" t="n">
        <v>0</v>
      </c>
      <c r="I104" t="n">
        <v>0</v>
      </c>
      <c r="J104" t="n">
        <v>0</v>
      </c>
      <c r="K104" t="n">
        <v>0</v>
      </c>
      <c r="L104" t="n">
        <v>0</v>
      </c>
      <c r="M104" t="n">
        <v>0</v>
      </c>
      <c r="N104" t="n">
        <v>0</v>
      </c>
      <c r="O104" t="n">
        <v>0</v>
      </c>
      <c r="P104" t="n">
        <v>0</v>
      </c>
      <c r="Q104" t="n">
        <v>0</v>
      </c>
      <c r="R104" s="2" t="inlineStr"/>
    </row>
    <row r="105" ht="15" customHeight="1">
      <c r="A105" t="inlineStr">
        <is>
          <t>A 10409-2025</t>
        </is>
      </c>
      <c r="B105" s="1" t="n">
        <v>45720.631875</v>
      </c>
      <c r="C105" s="1" t="n">
        <v>46143</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18299-2025</t>
        </is>
      </c>
      <c r="B106" s="1" t="n">
        <v>45762</v>
      </c>
      <c r="C106" s="1" t="n">
        <v>46143</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21686-2022</t>
        </is>
      </c>
      <c r="B107" s="1" t="n">
        <v>44707</v>
      </c>
      <c r="C107" s="1" t="n">
        <v>46143</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18831-2023</t>
        </is>
      </c>
      <c r="B108" s="1" t="n">
        <v>45044.40798611111</v>
      </c>
      <c r="C108" s="1" t="n">
        <v>46143</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6172-2023</t>
        </is>
      </c>
      <c r="B109" s="1" t="n">
        <v>44964.68663194445</v>
      </c>
      <c r="C109" s="1" t="n">
        <v>46143</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14402-2023</t>
        </is>
      </c>
      <c r="B110" s="1" t="n">
        <v>45012</v>
      </c>
      <c r="C110" s="1" t="n">
        <v>46143</v>
      </c>
      <c r="D110" t="inlineStr">
        <is>
          <t>UPPSALA LÄN</t>
        </is>
      </c>
      <c r="E110" t="inlineStr">
        <is>
          <t>ENKÖPING</t>
        </is>
      </c>
      <c r="G110" t="n">
        <v>9.5</v>
      </c>
      <c r="H110" t="n">
        <v>0</v>
      </c>
      <c r="I110" t="n">
        <v>0</v>
      </c>
      <c r="J110" t="n">
        <v>0</v>
      </c>
      <c r="K110" t="n">
        <v>0</v>
      </c>
      <c r="L110" t="n">
        <v>0</v>
      </c>
      <c r="M110" t="n">
        <v>0</v>
      </c>
      <c r="N110" t="n">
        <v>0</v>
      </c>
      <c r="O110" t="n">
        <v>0</v>
      </c>
      <c r="P110" t="n">
        <v>0</v>
      </c>
      <c r="Q110" t="n">
        <v>0</v>
      </c>
      <c r="R110" s="2" t="inlineStr"/>
    </row>
    <row r="111" ht="15" customHeight="1">
      <c r="A111" t="inlineStr">
        <is>
          <t>A 27983-2024</t>
        </is>
      </c>
      <c r="B111" s="1" t="n">
        <v>45476</v>
      </c>
      <c r="C111" s="1" t="n">
        <v>46143</v>
      </c>
      <c r="D111" t="inlineStr">
        <is>
          <t>UPPSALA LÄN</t>
        </is>
      </c>
      <c r="E111" t="inlineStr">
        <is>
          <t>ENKÖPING</t>
        </is>
      </c>
      <c r="G111" t="n">
        <v>3.2</v>
      </c>
      <c r="H111" t="n">
        <v>0</v>
      </c>
      <c r="I111" t="n">
        <v>0</v>
      </c>
      <c r="J111" t="n">
        <v>0</v>
      </c>
      <c r="K111" t="n">
        <v>0</v>
      </c>
      <c r="L111" t="n">
        <v>0</v>
      </c>
      <c r="M111" t="n">
        <v>0</v>
      </c>
      <c r="N111" t="n">
        <v>0</v>
      </c>
      <c r="O111" t="n">
        <v>0</v>
      </c>
      <c r="P111" t="n">
        <v>0</v>
      </c>
      <c r="Q111" t="n">
        <v>0</v>
      </c>
      <c r="R111" s="2" t="inlineStr"/>
    </row>
    <row r="112" ht="15" customHeight="1">
      <c r="A112" t="inlineStr">
        <is>
          <t>A 19298-2023</t>
        </is>
      </c>
      <c r="B112" s="1" t="n">
        <v>45048</v>
      </c>
      <c r="C112" s="1" t="n">
        <v>46143</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43697-2024</t>
        </is>
      </c>
      <c r="B113" s="1" t="n">
        <v>45569</v>
      </c>
      <c r="C113" s="1" t="n">
        <v>46143</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15939-2022</t>
        </is>
      </c>
      <c r="B114" s="1" t="n">
        <v>44664</v>
      </c>
      <c r="C114" s="1" t="n">
        <v>46143</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57153-2021</t>
        </is>
      </c>
      <c r="B115" s="1" t="n">
        <v>44482</v>
      </c>
      <c r="C115" s="1" t="n">
        <v>46143</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41826-2024</t>
        </is>
      </c>
      <c r="B116" s="1" t="n">
        <v>45561</v>
      </c>
      <c r="C116" s="1" t="n">
        <v>46143</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42589-2022</t>
        </is>
      </c>
      <c r="B117" s="1" t="n">
        <v>44831</v>
      </c>
      <c r="C117" s="1" t="n">
        <v>46143</v>
      </c>
      <c r="D117" t="inlineStr">
        <is>
          <t>UPPSALA LÄN</t>
        </is>
      </c>
      <c r="E117" t="inlineStr">
        <is>
          <t>ENKÖPING</t>
        </is>
      </c>
      <c r="G117" t="n">
        <v>20</v>
      </c>
      <c r="H117" t="n">
        <v>0</v>
      </c>
      <c r="I117" t="n">
        <v>0</v>
      </c>
      <c r="J117" t="n">
        <v>0</v>
      </c>
      <c r="K117" t="n">
        <v>0</v>
      </c>
      <c r="L117" t="n">
        <v>0</v>
      </c>
      <c r="M117" t="n">
        <v>0</v>
      </c>
      <c r="N117" t="n">
        <v>0</v>
      </c>
      <c r="O117" t="n">
        <v>0</v>
      </c>
      <c r="P117" t="n">
        <v>0</v>
      </c>
      <c r="Q117" t="n">
        <v>0</v>
      </c>
      <c r="R117" s="2" t="inlineStr"/>
    </row>
    <row r="118" ht="15" customHeight="1">
      <c r="A118" t="inlineStr">
        <is>
          <t>A 45283-2022</t>
        </is>
      </c>
      <c r="B118" s="1" t="n">
        <v>44844</v>
      </c>
      <c r="C118" s="1" t="n">
        <v>46143</v>
      </c>
      <c r="D118" t="inlineStr">
        <is>
          <t>UPPSALA LÄN</t>
        </is>
      </c>
      <c r="E118" t="inlineStr">
        <is>
          <t>ENKÖPING</t>
        </is>
      </c>
      <c r="G118" t="n">
        <v>5.9</v>
      </c>
      <c r="H118" t="n">
        <v>0</v>
      </c>
      <c r="I118" t="n">
        <v>0</v>
      </c>
      <c r="J118" t="n">
        <v>0</v>
      </c>
      <c r="K118" t="n">
        <v>0</v>
      </c>
      <c r="L118" t="n">
        <v>0</v>
      </c>
      <c r="M118" t="n">
        <v>0</v>
      </c>
      <c r="N118" t="n">
        <v>0</v>
      </c>
      <c r="O118" t="n">
        <v>0</v>
      </c>
      <c r="P118" t="n">
        <v>0</v>
      </c>
      <c r="Q118" t="n">
        <v>0</v>
      </c>
      <c r="R118" s="2" t="inlineStr"/>
    </row>
    <row r="119" ht="15" customHeight="1">
      <c r="A119" t="inlineStr">
        <is>
          <t>A 840-2025</t>
        </is>
      </c>
      <c r="B119" s="1" t="n">
        <v>45665</v>
      </c>
      <c r="C119" s="1" t="n">
        <v>46143</v>
      </c>
      <c r="D119" t="inlineStr">
        <is>
          <t>UPPSALA LÄN</t>
        </is>
      </c>
      <c r="E119" t="inlineStr">
        <is>
          <t>ENKÖPING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37115-2024</t>
        </is>
      </c>
      <c r="B120" s="1" t="n">
        <v>45539</v>
      </c>
      <c r="C120" s="1" t="n">
        <v>46143</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46143</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45142-2023</t>
        </is>
      </c>
      <c r="B122" s="1" t="n">
        <v>45191.4702662037</v>
      </c>
      <c r="C122" s="1" t="n">
        <v>46143</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11918-2025</t>
        </is>
      </c>
      <c r="B123" s="1" t="n">
        <v>45728.49331018519</v>
      </c>
      <c r="C123" s="1" t="n">
        <v>46143</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45956-2024</t>
        </is>
      </c>
      <c r="B124" s="1" t="n">
        <v>45580</v>
      </c>
      <c r="C124" s="1" t="n">
        <v>46143</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10831-2024</t>
        </is>
      </c>
      <c r="B125" s="1" t="n">
        <v>45369</v>
      </c>
      <c r="C125" s="1" t="n">
        <v>46143</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31242-2024</t>
        </is>
      </c>
      <c r="B126" s="1" t="n">
        <v>45503</v>
      </c>
      <c r="C126" s="1" t="n">
        <v>46143</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8020-2022</t>
        </is>
      </c>
      <c r="B127" s="1" t="n">
        <v>44609</v>
      </c>
      <c r="C127" s="1" t="n">
        <v>46143</v>
      </c>
      <c r="D127" t="inlineStr">
        <is>
          <t>UPPSALA LÄN</t>
        </is>
      </c>
      <c r="E127" t="inlineStr">
        <is>
          <t>ENKÖPING</t>
        </is>
      </c>
      <c r="G127" t="n">
        <v>6</v>
      </c>
      <c r="H127" t="n">
        <v>0</v>
      </c>
      <c r="I127" t="n">
        <v>0</v>
      </c>
      <c r="J127" t="n">
        <v>0</v>
      </c>
      <c r="K127" t="n">
        <v>0</v>
      </c>
      <c r="L127" t="n">
        <v>0</v>
      </c>
      <c r="M127" t="n">
        <v>0</v>
      </c>
      <c r="N127" t="n">
        <v>0</v>
      </c>
      <c r="O127" t="n">
        <v>0</v>
      </c>
      <c r="P127" t="n">
        <v>0</v>
      </c>
      <c r="Q127" t="n">
        <v>0</v>
      </c>
      <c r="R127" s="2" t="inlineStr"/>
    </row>
    <row r="128" ht="15" customHeight="1">
      <c r="A128" t="inlineStr">
        <is>
          <t>A 74090-2021</t>
        </is>
      </c>
      <c r="B128" s="1" t="n">
        <v>44557</v>
      </c>
      <c r="C128" s="1" t="n">
        <v>46143</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34805-2024</t>
        </is>
      </c>
      <c r="B129" s="1" t="n">
        <v>45526</v>
      </c>
      <c r="C129" s="1" t="n">
        <v>46143</v>
      </c>
      <c r="D129" t="inlineStr">
        <is>
          <t>UPPSALA LÄN</t>
        </is>
      </c>
      <c r="E129" t="inlineStr">
        <is>
          <t>ENKÖPING</t>
        </is>
      </c>
      <c r="G129" t="n">
        <v>3.6</v>
      </c>
      <c r="H129" t="n">
        <v>0</v>
      </c>
      <c r="I129" t="n">
        <v>0</v>
      </c>
      <c r="J129" t="n">
        <v>0</v>
      </c>
      <c r="K129" t="n">
        <v>0</v>
      </c>
      <c r="L129" t="n">
        <v>0</v>
      </c>
      <c r="M129" t="n">
        <v>0</v>
      </c>
      <c r="N129" t="n">
        <v>0</v>
      </c>
      <c r="O129" t="n">
        <v>0</v>
      </c>
      <c r="P129" t="n">
        <v>0</v>
      </c>
      <c r="Q129" t="n">
        <v>0</v>
      </c>
      <c r="R129" s="2" t="inlineStr"/>
    </row>
    <row r="130" ht="15" customHeight="1">
      <c r="A130" t="inlineStr">
        <is>
          <t>A 17729-2023</t>
        </is>
      </c>
      <c r="B130" s="1" t="n">
        <v>45037</v>
      </c>
      <c r="C130" s="1" t="n">
        <v>46143</v>
      </c>
      <c r="D130" t="inlineStr">
        <is>
          <t>UPPSALA LÄN</t>
        </is>
      </c>
      <c r="E130" t="inlineStr">
        <is>
          <t>ENKÖPING</t>
        </is>
      </c>
      <c r="G130" t="n">
        <v>10.2</v>
      </c>
      <c r="H130" t="n">
        <v>0</v>
      </c>
      <c r="I130" t="n">
        <v>0</v>
      </c>
      <c r="J130" t="n">
        <v>0</v>
      </c>
      <c r="K130" t="n">
        <v>0</v>
      </c>
      <c r="L130" t="n">
        <v>0</v>
      </c>
      <c r="M130" t="n">
        <v>0</v>
      </c>
      <c r="N130" t="n">
        <v>0</v>
      </c>
      <c r="O130" t="n">
        <v>0</v>
      </c>
      <c r="P130" t="n">
        <v>0</v>
      </c>
      <c r="Q130" t="n">
        <v>0</v>
      </c>
      <c r="R130" s="2" t="inlineStr"/>
    </row>
    <row r="131" ht="15" customHeight="1">
      <c r="A131" t="inlineStr">
        <is>
          <t>A 845-2025</t>
        </is>
      </c>
      <c r="B131" s="1" t="n">
        <v>45665</v>
      </c>
      <c r="C131" s="1" t="n">
        <v>46143</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849-2025</t>
        </is>
      </c>
      <c r="B132" s="1" t="n">
        <v>45665</v>
      </c>
      <c r="C132" s="1" t="n">
        <v>46143</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5712-2025</t>
        </is>
      </c>
      <c r="B133" s="1" t="n">
        <v>45694</v>
      </c>
      <c r="C133" s="1" t="n">
        <v>46143</v>
      </c>
      <c r="D133" t="inlineStr">
        <is>
          <t>UPPSALA LÄN</t>
        </is>
      </c>
      <c r="E133" t="inlineStr">
        <is>
          <t>ENKÖPING</t>
        </is>
      </c>
      <c r="G133" t="n">
        <v>5.1</v>
      </c>
      <c r="H133" t="n">
        <v>0</v>
      </c>
      <c r="I133" t="n">
        <v>0</v>
      </c>
      <c r="J133" t="n">
        <v>0</v>
      </c>
      <c r="K133" t="n">
        <v>0</v>
      </c>
      <c r="L133" t="n">
        <v>0</v>
      </c>
      <c r="M133" t="n">
        <v>0</v>
      </c>
      <c r="N133" t="n">
        <v>0</v>
      </c>
      <c r="O133" t="n">
        <v>0</v>
      </c>
      <c r="P133" t="n">
        <v>0</v>
      </c>
      <c r="Q133" t="n">
        <v>0</v>
      </c>
      <c r="R133" s="2" t="inlineStr"/>
    </row>
    <row r="134" ht="15" customHeight="1">
      <c r="A134" t="inlineStr">
        <is>
          <t>A 5749-2025</t>
        </is>
      </c>
      <c r="B134" s="1" t="n">
        <v>45694</v>
      </c>
      <c r="C134" s="1" t="n">
        <v>46143</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314-2025</t>
        </is>
      </c>
      <c r="B135" s="1" t="n">
        <v>45656</v>
      </c>
      <c r="C135" s="1" t="n">
        <v>46143</v>
      </c>
      <c r="D135" t="inlineStr">
        <is>
          <t>UPPSALA LÄN</t>
        </is>
      </c>
      <c r="E135" t="inlineStr">
        <is>
          <t>ENKÖPING</t>
        </is>
      </c>
      <c r="G135" t="n">
        <v>9</v>
      </c>
      <c r="H135" t="n">
        <v>0</v>
      </c>
      <c r="I135" t="n">
        <v>0</v>
      </c>
      <c r="J135" t="n">
        <v>0</v>
      </c>
      <c r="K135" t="n">
        <v>0</v>
      </c>
      <c r="L135" t="n">
        <v>0</v>
      </c>
      <c r="M135" t="n">
        <v>0</v>
      </c>
      <c r="N135" t="n">
        <v>0</v>
      </c>
      <c r="O135" t="n">
        <v>0</v>
      </c>
      <c r="P135" t="n">
        <v>0</v>
      </c>
      <c r="Q135" t="n">
        <v>0</v>
      </c>
      <c r="R135" s="2" t="inlineStr"/>
    </row>
    <row r="136" ht="15" customHeight="1">
      <c r="A136" t="inlineStr">
        <is>
          <t>A 56176-2021</t>
        </is>
      </c>
      <c r="B136" s="1" t="n">
        <v>44477</v>
      </c>
      <c r="C136" s="1" t="n">
        <v>46143</v>
      </c>
      <c r="D136" t="inlineStr">
        <is>
          <t>UPPSALA LÄN</t>
        </is>
      </c>
      <c r="E136" t="inlineStr">
        <is>
          <t>ENKÖPING</t>
        </is>
      </c>
      <c r="G136" t="n">
        <v>2.9</v>
      </c>
      <c r="H136" t="n">
        <v>0</v>
      </c>
      <c r="I136" t="n">
        <v>0</v>
      </c>
      <c r="J136" t="n">
        <v>0</v>
      </c>
      <c r="K136" t="n">
        <v>0</v>
      </c>
      <c r="L136" t="n">
        <v>0</v>
      </c>
      <c r="M136" t="n">
        <v>0</v>
      </c>
      <c r="N136" t="n">
        <v>0</v>
      </c>
      <c r="O136" t="n">
        <v>0</v>
      </c>
      <c r="P136" t="n">
        <v>0</v>
      </c>
      <c r="Q136" t="n">
        <v>0</v>
      </c>
      <c r="R136" s="2" t="inlineStr"/>
    </row>
    <row r="137" ht="15" customHeight="1">
      <c r="A137" t="inlineStr">
        <is>
          <t>A 11627-2025</t>
        </is>
      </c>
      <c r="B137" s="1" t="n">
        <v>45727</v>
      </c>
      <c r="C137" s="1" t="n">
        <v>46143</v>
      </c>
      <c r="D137" t="inlineStr">
        <is>
          <t>UPPSALA LÄN</t>
        </is>
      </c>
      <c r="E137" t="inlineStr">
        <is>
          <t>ENKÖPING</t>
        </is>
      </c>
      <c r="G137" t="n">
        <v>5.5</v>
      </c>
      <c r="H137" t="n">
        <v>0</v>
      </c>
      <c r="I137" t="n">
        <v>0</v>
      </c>
      <c r="J137" t="n">
        <v>0</v>
      </c>
      <c r="K137" t="n">
        <v>0</v>
      </c>
      <c r="L137" t="n">
        <v>0</v>
      </c>
      <c r="M137" t="n">
        <v>0</v>
      </c>
      <c r="N137" t="n">
        <v>0</v>
      </c>
      <c r="O137" t="n">
        <v>0</v>
      </c>
      <c r="P137" t="n">
        <v>0</v>
      </c>
      <c r="Q137" t="n">
        <v>0</v>
      </c>
      <c r="R137" s="2" t="inlineStr"/>
    </row>
    <row r="138" ht="15" customHeight="1">
      <c r="A138" t="inlineStr">
        <is>
          <t>A 60848-2025</t>
        </is>
      </c>
      <c r="B138" s="1" t="n">
        <v>45999</v>
      </c>
      <c r="C138" s="1" t="n">
        <v>46143</v>
      </c>
      <c r="D138" t="inlineStr">
        <is>
          <t>UPPSALA LÄN</t>
        </is>
      </c>
      <c r="E138" t="inlineStr">
        <is>
          <t>ENKÖPING</t>
        </is>
      </c>
      <c r="G138" t="n">
        <v>2.5</v>
      </c>
      <c r="H138" t="n">
        <v>0</v>
      </c>
      <c r="I138" t="n">
        <v>0</v>
      </c>
      <c r="J138" t="n">
        <v>0</v>
      </c>
      <c r="K138" t="n">
        <v>0</v>
      </c>
      <c r="L138" t="n">
        <v>0</v>
      </c>
      <c r="M138" t="n">
        <v>0</v>
      </c>
      <c r="N138" t="n">
        <v>0</v>
      </c>
      <c r="O138" t="n">
        <v>0</v>
      </c>
      <c r="P138" t="n">
        <v>0</v>
      </c>
      <c r="Q138" t="n">
        <v>0</v>
      </c>
      <c r="R138" s="2" t="inlineStr"/>
    </row>
    <row r="139" ht="15" customHeight="1">
      <c r="A139" t="inlineStr">
        <is>
          <t>A 24411-2024</t>
        </is>
      </c>
      <c r="B139" s="1" t="n">
        <v>45457</v>
      </c>
      <c r="C139" s="1" t="n">
        <v>46143</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62158-2023</t>
        </is>
      </c>
      <c r="B140" s="1" t="n">
        <v>45267</v>
      </c>
      <c r="C140" s="1" t="n">
        <v>46143</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60350-2022</t>
        </is>
      </c>
      <c r="B141" s="1" t="n">
        <v>44910</v>
      </c>
      <c r="C141" s="1" t="n">
        <v>46143</v>
      </c>
      <c r="D141" t="inlineStr">
        <is>
          <t>UPPSALA LÄN</t>
        </is>
      </c>
      <c r="E141" t="inlineStr">
        <is>
          <t>ENKÖPING</t>
        </is>
      </c>
      <c r="F141" t="inlineStr">
        <is>
          <t>Allmännings- och besparingsskogar</t>
        </is>
      </c>
      <c r="G141" t="n">
        <v>3.5</v>
      </c>
      <c r="H141" t="n">
        <v>0</v>
      </c>
      <c r="I141" t="n">
        <v>0</v>
      </c>
      <c r="J141" t="n">
        <v>0</v>
      </c>
      <c r="K141" t="n">
        <v>0</v>
      </c>
      <c r="L141" t="n">
        <v>0</v>
      </c>
      <c r="M141" t="n">
        <v>0</v>
      </c>
      <c r="N141" t="n">
        <v>0</v>
      </c>
      <c r="O141" t="n">
        <v>0</v>
      </c>
      <c r="P141" t="n">
        <v>0</v>
      </c>
      <c r="Q141" t="n">
        <v>0</v>
      </c>
      <c r="R141" s="2" t="inlineStr"/>
    </row>
    <row r="142" ht="15" customHeight="1">
      <c r="A142" t="inlineStr">
        <is>
          <t>A 69344-2021</t>
        </is>
      </c>
      <c r="B142" s="1" t="n">
        <v>44531</v>
      </c>
      <c r="C142" s="1" t="n">
        <v>46143</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35647-2021</t>
        </is>
      </c>
      <c r="B143" s="1" t="n">
        <v>44386</v>
      </c>
      <c r="C143" s="1" t="n">
        <v>46143</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58092-2024</t>
        </is>
      </c>
      <c r="B144" s="1" t="n">
        <v>45632</v>
      </c>
      <c r="C144" s="1" t="n">
        <v>46143</v>
      </c>
      <c r="D144" t="inlineStr">
        <is>
          <t>UPPSALA LÄN</t>
        </is>
      </c>
      <c r="E144" t="inlineStr">
        <is>
          <t>ENKÖPING</t>
        </is>
      </c>
      <c r="G144" t="n">
        <v>4.8</v>
      </c>
      <c r="H144" t="n">
        <v>0</v>
      </c>
      <c r="I144" t="n">
        <v>0</v>
      </c>
      <c r="J144" t="n">
        <v>0</v>
      </c>
      <c r="K144" t="n">
        <v>0</v>
      </c>
      <c r="L144" t="n">
        <v>0</v>
      </c>
      <c r="M144" t="n">
        <v>0</v>
      </c>
      <c r="N144" t="n">
        <v>0</v>
      </c>
      <c r="O144" t="n">
        <v>0</v>
      </c>
      <c r="P144" t="n">
        <v>0</v>
      </c>
      <c r="Q144" t="n">
        <v>0</v>
      </c>
      <c r="R144" s="2" t="inlineStr"/>
    </row>
    <row r="145" ht="15" customHeight="1">
      <c r="A145" t="inlineStr">
        <is>
          <t>A 26024-2025</t>
        </is>
      </c>
      <c r="B145" s="1" t="n">
        <v>45804.6831712963</v>
      </c>
      <c r="C145" s="1" t="n">
        <v>46143</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26042-2025</t>
        </is>
      </c>
      <c r="B146" s="1" t="n">
        <v>45804.70018518518</v>
      </c>
      <c r="C146" s="1" t="n">
        <v>46143</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26005-2025</t>
        </is>
      </c>
      <c r="B147" s="1" t="n">
        <v>45804.67055555555</v>
      </c>
      <c r="C147" s="1" t="n">
        <v>46143</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26026-2025</t>
        </is>
      </c>
      <c r="B148" s="1" t="n">
        <v>45804.68510416667</v>
      </c>
      <c r="C148" s="1" t="n">
        <v>46143</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26030-2025</t>
        </is>
      </c>
      <c r="B149" s="1" t="n">
        <v>45804.68815972222</v>
      </c>
      <c r="C149" s="1" t="n">
        <v>46143</v>
      </c>
      <c r="D149" t="inlineStr">
        <is>
          <t>UPPSALA LÄN</t>
        </is>
      </c>
      <c r="E149" t="inlineStr">
        <is>
          <t>ENKÖPING</t>
        </is>
      </c>
      <c r="G149" t="n">
        <v>0.3</v>
      </c>
      <c r="H149" t="n">
        <v>0</v>
      </c>
      <c r="I149" t="n">
        <v>0</v>
      </c>
      <c r="J149" t="n">
        <v>0</v>
      </c>
      <c r="K149" t="n">
        <v>0</v>
      </c>
      <c r="L149" t="n">
        <v>0</v>
      </c>
      <c r="M149" t="n">
        <v>0</v>
      </c>
      <c r="N149" t="n">
        <v>0</v>
      </c>
      <c r="O149" t="n">
        <v>0</v>
      </c>
      <c r="P149" t="n">
        <v>0</v>
      </c>
      <c r="Q149" t="n">
        <v>0</v>
      </c>
      <c r="R149" s="2" t="inlineStr"/>
    </row>
    <row r="150" ht="15" customHeight="1">
      <c r="A150" t="inlineStr">
        <is>
          <t>A 26022-2025</t>
        </is>
      </c>
      <c r="B150" s="1" t="n">
        <v>45804.68006944445</v>
      </c>
      <c r="C150" s="1" t="n">
        <v>46143</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25988-2025</t>
        </is>
      </c>
      <c r="B151" s="1" t="n">
        <v>45804.64814814815</v>
      </c>
      <c r="C151" s="1" t="n">
        <v>46143</v>
      </c>
      <c r="D151" t="inlineStr">
        <is>
          <t>UPPSALA LÄN</t>
        </is>
      </c>
      <c r="E151" t="inlineStr">
        <is>
          <t>ENKÖPING</t>
        </is>
      </c>
      <c r="G151" t="n">
        <v>4.7</v>
      </c>
      <c r="H151" t="n">
        <v>0</v>
      </c>
      <c r="I151" t="n">
        <v>0</v>
      </c>
      <c r="J151" t="n">
        <v>0</v>
      </c>
      <c r="K151" t="n">
        <v>0</v>
      </c>
      <c r="L151" t="n">
        <v>0</v>
      </c>
      <c r="M151" t="n">
        <v>0</v>
      </c>
      <c r="N151" t="n">
        <v>0</v>
      </c>
      <c r="O151" t="n">
        <v>0</v>
      </c>
      <c r="P151" t="n">
        <v>0</v>
      </c>
      <c r="Q151" t="n">
        <v>0</v>
      </c>
      <c r="R151" s="2" t="inlineStr"/>
    </row>
    <row r="152" ht="15" customHeight="1">
      <c r="A152" t="inlineStr">
        <is>
          <t>A 26031-2025</t>
        </is>
      </c>
      <c r="B152" s="1" t="n">
        <v>45804.69050925926</v>
      </c>
      <c r="C152" s="1" t="n">
        <v>46143</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192-2026</t>
        </is>
      </c>
      <c r="B153" s="1" t="n">
        <v>46025</v>
      </c>
      <c r="C153" s="1" t="n">
        <v>46143</v>
      </c>
      <c r="D153" t="inlineStr">
        <is>
          <t>UPPSALA LÄN</t>
        </is>
      </c>
      <c r="E153" t="inlineStr">
        <is>
          <t>ENKÖPING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26041-2025</t>
        </is>
      </c>
      <c r="B154" s="1" t="n">
        <v>45804.69883101852</v>
      </c>
      <c r="C154" s="1" t="n">
        <v>46143</v>
      </c>
      <c r="D154" t="inlineStr">
        <is>
          <t>UPPSALA LÄN</t>
        </is>
      </c>
      <c r="E154" t="inlineStr">
        <is>
          <t>ENKÖPING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25847-2025</t>
        </is>
      </c>
      <c r="B155" s="1" t="n">
        <v>45804</v>
      </c>
      <c r="C155" s="1" t="n">
        <v>46143</v>
      </c>
      <c r="D155" t="inlineStr">
        <is>
          <t>UPPSALA LÄN</t>
        </is>
      </c>
      <c r="E155" t="inlineStr">
        <is>
          <t>ENKÖPING</t>
        </is>
      </c>
      <c r="G155" t="n">
        <v>3.6</v>
      </c>
      <c r="H155" t="n">
        <v>0</v>
      </c>
      <c r="I155" t="n">
        <v>0</v>
      </c>
      <c r="J155" t="n">
        <v>0</v>
      </c>
      <c r="K155" t="n">
        <v>0</v>
      </c>
      <c r="L155" t="n">
        <v>0</v>
      </c>
      <c r="M155" t="n">
        <v>0</v>
      </c>
      <c r="N155" t="n">
        <v>0</v>
      </c>
      <c r="O155" t="n">
        <v>0</v>
      </c>
      <c r="P155" t="n">
        <v>0</v>
      </c>
      <c r="Q155" t="n">
        <v>0</v>
      </c>
      <c r="R155" s="2" t="inlineStr"/>
    </row>
    <row r="156" ht="15" customHeight="1">
      <c r="A156" t="inlineStr">
        <is>
          <t>A 26047-2025</t>
        </is>
      </c>
      <c r="B156" s="1" t="n">
        <v>45804.70835648148</v>
      </c>
      <c r="C156" s="1" t="n">
        <v>46143</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10458-2022</t>
        </is>
      </c>
      <c r="B157" s="1" t="n">
        <v>44623.56711805556</v>
      </c>
      <c r="C157" s="1" t="n">
        <v>46143</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44115-2024</t>
        </is>
      </c>
      <c r="B158" s="1" t="n">
        <v>45572</v>
      </c>
      <c r="C158" s="1" t="n">
        <v>46143</v>
      </c>
      <c r="D158" t="inlineStr">
        <is>
          <t>UPPSALA LÄN</t>
        </is>
      </c>
      <c r="E158" t="inlineStr">
        <is>
          <t>ENKÖPING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35067-2024</t>
        </is>
      </c>
      <c r="B159" s="1" t="n">
        <v>45527.66153935185</v>
      </c>
      <c r="C159" s="1" t="n">
        <v>46143</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39746-2025</t>
        </is>
      </c>
      <c r="B160" s="1" t="n">
        <v>45891</v>
      </c>
      <c r="C160" s="1" t="n">
        <v>46143</v>
      </c>
      <c r="D160" t="inlineStr">
        <is>
          <t>UPPSALA LÄN</t>
        </is>
      </c>
      <c r="E160" t="inlineStr">
        <is>
          <t>ENKÖPING</t>
        </is>
      </c>
      <c r="G160" t="n">
        <v>7.4</v>
      </c>
      <c r="H160" t="n">
        <v>0</v>
      </c>
      <c r="I160" t="n">
        <v>0</v>
      </c>
      <c r="J160" t="n">
        <v>0</v>
      </c>
      <c r="K160" t="n">
        <v>0</v>
      </c>
      <c r="L160" t="n">
        <v>0</v>
      </c>
      <c r="M160" t="n">
        <v>0</v>
      </c>
      <c r="N160" t="n">
        <v>0</v>
      </c>
      <c r="O160" t="n">
        <v>0</v>
      </c>
      <c r="P160" t="n">
        <v>0</v>
      </c>
      <c r="Q160" t="n">
        <v>0</v>
      </c>
      <c r="R160" s="2" t="inlineStr"/>
    </row>
    <row r="161" ht="15" customHeight="1">
      <c r="A161" t="inlineStr">
        <is>
          <t>A 9957-2023</t>
        </is>
      </c>
      <c r="B161" s="1" t="n">
        <v>44978</v>
      </c>
      <c r="C161" s="1" t="n">
        <v>46143</v>
      </c>
      <c r="D161" t="inlineStr">
        <is>
          <t>UPPSALA LÄN</t>
        </is>
      </c>
      <c r="E161" t="inlineStr">
        <is>
          <t>ENKÖPING</t>
        </is>
      </c>
      <c r="G161" t="n">
        <v>5.9</v>
      </c>
      <c r="H161" t="n">
        <v>0</v>
      </c>
      <c r="I161" t="n">
        <v>0</v>
      </c>
      <c r="J161" t="n">
        <v>0</v>
      </c>
      <c r="K161" t="n">
        <v>0</v>
      </c>
      <c r="L161" t="n">
        <v>0</v>
      </c>
      <c r="M161" t="n">
        <v>0</v>
      </c>
      <c r="N161" t="n">
        <v>0</v>
      </c>
      <c r="O161" t="n">
        <v>0</v>
      </c>
      <c r="P161" t="n">
        <v>0</v>
      </c>
      <c r="Q161" t="n">
        <v>0</v>
      </c>
      <c r="R161" s="2" t="inlineStr"/>
    </row>
    <row r="162" ht="15" customHeight="1">
      <c r="A162" t="inlineStr">
        <is>
          <t>A 63402-2023</t>
        </is>
      </c>
      <c r="B162" s="1" t="n">
        <v>45274.50646990741</v>
      </c>
      <c r="C162" s="1" t="n">
        <v>46143</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861-2026</t>
        </is>
      </c>
      <c r="B163" s="1" t="n">
        <v>46030</v>
      </c>
      <c r="C163" s="1" t="n">
        <v>46143</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16916-2023</t>
        </is>
      </c>
      <c r="B164" s="1" t="n">
        <v>45033.58347222222</v>
      </c>
      <c r="C164" s="1" t="n">
        <v>46143</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56886-2023</t>
        </is>
      </c>
      <c r="B165" s="1" t="n">
        <v>45239</v>
      </c>
      <c r="C165" s="1" t="n">
        <v>46143</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46143</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41637-2025</t>
        </is>
      </c>
      <c r="B167" s="1" t="n">
        <v>45901</v>
      </c>
      <c r="C167" s="1" t="n">
        <v>46143</v>
      </c>
      <c r="D167" t="inlineStr">
        <is>
          <t>UPPSALA LÄN</t>
        </is>
      </c>
      <c r="E167" t="inlineStr">
        <is>
          <t>ENKÖPING</t>
        </is>
      </c>
      <c r="F167" t="inlineStr">
        <is>
          <t>Allmännings- och besparingsskogar</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27829-2025</t>
        </is>
      </c>
      <c r="B168" s="1" t="n">
        <v>45817</v>
      </c>
      <c r="C168" s="1" t="n">
        <v>46143</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41618-2025</t>
        </is>
      </c>
      <c r="B169" s="1" t="n">
        <v>45901.70085648148</v>
      </c>
      <c r="C169" s="1" t="n">
        <v>46143</v>
      </c>
      <c r="D169" t="inlineStr">
        <is>
          <t>UPPSALA LÄN</t>
        </is>
      </c>
      <c r="E169" t="inlineStr">
        <is>
          <t>ENKÖPING</t>
        </is>
      </c>
      <c r="F169" t="inlineStr">
        <is>
          <t>Allmännings- och besparingsskogar</t>
        </is>
      </c>
      <c r="G169" t="n">
        <v>5.3</v>
      </c>
      <c r="H169" t="n">
        <v>0</v>
      </c>
      <c r="I169" t="n">
        <v>0</v>
      </c>
      <c r="J169" t="n">
        <v>0</v>
      </c>
      <c r="K169" t="n">
        <v>0</v>
      </c>
      <c r="L169" t="n">
        <v>0</v>
      </c>
      <c r="M169" t="n">
        <v>0</v>
      </c>
      <c r="N169" t="n">
        <v>0</v>
      </c>
      <c r="O169" t="n">
        <v>0</v>
      </c>
      <c r="P169" t="n">
        <v>0</v>
      </c>
      <c r="Q169" t="n">
        <v>0</v>
      </c>
      <c r="R169" s="2" t="inlineStr"/>
    </row>
    <row r="170" ht="15" customHeight="1">
      <c r="A170" t="inlineStr">
        <is>
          <t>A 39009-2024</t>
        </is>
      </c>
      <c r="B170" s="1" t="n">
        <v>45548</v>
      </c>
      <c r="C170" s="1" t="n">
        <v>46143</v>
      </c>
      <c r="D170" t="inlineStr">
        <is>
          <t>UPPSALA LÄN</t>
        </is>
      </c>
      <c r="E170" t="inlineStr">
        <is>
          <t>ENKÖPING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8537-2025</t>
        </is>
      </c>
      <c r="B171" s="1" t="n">
        <v>45709</v>
      </c>
      <c r="C171" s="1" t="n">
        <v>46143</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42029-2025</t>
        </is>
      </c>
      <c r="B172" s="1" t="n">
        <v>45903</v>
      </c>
      <c r="C172" s="1" t="n">
        <v>46143</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41765-2025</t>
        </is>
      </c>
      <c r="B173" s="1" t="n">
        <v>45902</v>
      </c>
      <c r="C173" s="1" t="n">
        <v>46143</v>
      </c>
      <c r="D173" t="inlineStr">
        <is>
          <t>UPPSALA LÄN</t>
        </is>
      </c>
      <c r="E173" t="inlineStr">
        <is>
          <t>ENKÖPING</t>
        </is>
      </c>
      <c r="G173" t="n">
        <v>2.7</v>
      </c>
      <c r="H173" t="n">
        <v>0</v>
      </c>
      <c r="I173" t="n">
        <v>0</v>
      </c>
      <c r="J173" t="n">
        <v>0</v>
      </c>
      <c r="K173" t="n">
        <v>0</v>
      </c>
      <c r="L173" t="n">
        <v>0</v>
      </c>
      <c r="M173" t="n">
        <v>0</v>
      </c>
      <c r="N173" t="n">
        <v>0</v>
      </c>
      <c r="O173" t="n">
        <v>0</v>
      </c>
      <c r="P173" t="n">
        <v>0</v>
      </c>
      <c r="Q173" t="n">
        <v>0</v>
      </c>
      <c r="R173" s="2" t="inlineStr"/>
    </row>
    <row r="174" ht="15" customHeight="1">
      <c r="A174" t="inlineStr">
        <is>
          <t>A 6356-2022</t>
        </is>
      </c>
      <c r="B174" s="1" t="n">
        <v>44600</v>
      </c>
      <c r="C174" s="1" t="n">
        <v>46143</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47516-2022</t>
        </is>
      </c>
      <c r="B175" s="1" t="n">
        <v>44853.68895833333</v>
      </c>
      <c r="C175" s="1" t="n">
        <v>46143</v>
      </c>
      <c r="D175" t="inlineStr">
        <is>
          <t>UPPSALA LÄN</t>
        </is>
      </c>
      <c r="E175" t="inlineStr">
        <is>
          <t>ENKÖPING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28758-2025</t>
        </is>
      </c>
      <c r="B176" s="1" t="n">
        <v>45820.41212962963</v>
      </c>
      <c r="C176" s="1" t="n">
        <v>46143</v>
      </c>
      <c r="D176" t="inlineStr">
        <is>
          <t>UPPSALA LÄN</t>
        </is>
      </c>
      <c r="E176" t="inlineStr">
        <is>
          <t>ENKÖPING</t>
        </is>
      </c>
      <c r="G176" t="n">
        <v>2.4</v>
      </c>
      <c r="H176" t="n">
        <v>0</v>
      </c>
      <c r="I176" t="n">
        <v>0</v>
      </c>
      <c r="J176" t="n">
        <v>0</v>
      </c>
      <c r="K176" t="n">
        <v>0</v>
      </c>
      <c r="L176" t="n">
        <v>0</v>
      </c>
      <c r="M176" t="n">
        <v>0</v>
      </c>
      <c r="N176" t="n">
        <v>0</v>
      </c>
      <c r="O176" t="n">
        <v>0</v>
      </c>
      <c r="P176" t="n">
        <v>0</v>
      </c>
      <c r="Q176" t="n">
        <v>0</v>
      </c>
      <c r="R176" s="2" t="inlineStr"/>
    </row>
    <row r="177" ht="15" customHeight="1">
      <c r="A177" t="inlineStr">
        <is>
          <t>A 28862-2025</t>
        </is>
      </c>
      <c r="B177" s="1" t="n">
        <v>45820.59189814814</v>
      </c>
      <c r="C177" s="1" t="n">
        <v>46143</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28855-2025</t>
        </is>
      </c>
      <c r="B178" s="1" t="n">
        <v>45820.58274305556</v>
      </c>
      <c r="C178" s="1" t="n">
        <v>46143</v>
      </c>
      <c r="D178" t="inlineStr">
        <is>
          <t>UPPSALA LÄN</t>
        </is>
      </c>
      <c r="E178" t="inlineStr">
        <is>
          <t>ENKÖPING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29093-2025</t>
        </is>
      </c>
      <c r="B179" s="1" t="n">
        <v>45821.55743055556</v>
      </c>
      <c r="C179" s="1" t="n">
        <v>46143</v>
      </c>
      <c r="D179" t="inlineStr">
        <is>
          <t>UPPSALA LÄN</t>
        </is>
      </c>
      <c r="E179" t="inlineStr">
        <is>
          <t>ENKÖPING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41764-2025</t>
        </is>
      </c>
      <c r="B180" s="1" t="n">
        <v>45902</v>
      </c>
      <c r="C180" s="1" t="n">
        <v>46143</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51042-2024</t>
        </is>
      </c>
      <c r="B181" s="1" t="n">
        <v>45603.4342824074</v>
      </c>
      <c r="C181" s="1" t="n">
        <v>46143</v>
      </c>
      <c r="D181" t="inlineStr">
        <is>
          <t>UPPSALA LÄN</t>
        </is>
      </c>
      <c r="E181" t="inlineStr">
        <is>
          <t>ENKÖPING</t>
        </is>
      </c>
      <c r="G181" t="n">
        <v>4.6</v>
      </c>
      <c r="H181" t="n">
        <v>0</v>
      </c>
      <c r="I181" t="n">
        <v>0</v>
      </c>
      <c r="J181" t="n">
        <v>0</v>
      </c>
      <c r="K181" t="n">
        <v>0</v>
      </c>
      <c r="L181" t="n">
        <v>0</v>
      </c>
      <c r="M181" t="n">
        <v>0</v>
      </c>
      <c r="N181" t="n">
        <v>0</v>
      </c>
      <c r="O181" t="n">
        <v>0</v>
      </c>
      <c r="P181" t="n">
        <v>0</v>
      </c>
      <c r="Q181" t="n">
        <v>0</v>
      </c>
      <c r="R181" s="2" t="inlineStr"/>
    </row>
    <row r="182" ht="15" customHeight="1">
      <c r="A182" t="inlineStr">
        <is>
          <t>A 51037-2024</t>
        </is>
      </c>
      <c r="B182" s="1" t="n">
        <v>45603.43005787037</v>
      </c>
      <c r="C182" s="1" t="n">
        <v>46143</v>
      </c>
      <c r="D182" t="inlineStr">
        <is>
          <t>UPPSALA LÄN</t>
        </is>
      </c>
      <c r="E182" t="inlineStr">
        <is>
          <t>ENKÖPING</t>
        </is>
      </c>
      <c r="G182" t="n">
        <v>5.7</v>
      </c>
      <c r="H182" t="n">
        <v>0</v>
      </c>
      <c r="I182" t="n">
        <v>0</v>
      </c>
      <c r="J182" t="n">
        <v>0</v>
      </c>
      <c r="K182" t="n">
        <v>0</v>
      </c>
      <c r="L182" t="n">
        <v>0</v>
      </c>
      <c r="M182" t="n">
        <v>0</v>
      </c>
      <c r="N182" t="n">
        <v>0</v>
      </c>
      <c r="O182" t="n">
        <v>0</v>
      </c>
      <c r="P182" t="n">
        <v>0</v>
      </c>
      <c r="Q182" t="n">
        <v>0</v>
      </c>
      <c r="R182" s="2" t="inlineStr"/>
    </row>
    <row r="183" ht="15" customHeight="1">
      <c r="A183" t="inlineStr">
        <is>
          <t>A 42756-2025</t>
        </is>
      </c>
      <c r="B183" s="1" t="n">
        <v>45908</v>
      </c>
      <c r="C183" s="1" t="n">
        <v>46143</v>
      </c>
      <c r="D183" t="inlineStr">
        <is>
          <t>UPPSALA LÄN</t>
        </is>
      </c>
      <c r="E183" t="inlineStr">
        <is>
          <t>ENKÖPING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22632-2025</t>
        </is>
      </c>
      <c r="B184" s="1" t="n">
        <v>45789.44361111111</v>
      </c>
      <c r="C184" s="1" t="n">
        <v>46143</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51027-2024</t>
        </is>
      </c>
      <c r="B185" s="1" t="n">
        <v>45603</v>
      </c>
      <c r="C185" s="1" t="n">
        <v>46143</v>
      </c>
      <c r="D185" t="inlineStr">
        <is>
          <t>UPPSALA LÄN</t>
        </is>
      </c>
      <c r="E185" t="inlineStr">
        <is>
          <t>ENKÖPING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49614-2024</t>
        </is>
      </c>
      <c r="B186" s="1" t="n">
        <v>45596.57716435185</v>
      </c>
      <c r="C186" s="1" t="n">
        <v>46143</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49632-2024</t>
        </is>
      </c>
      <c r="B187" s="1" t="n">
        <v>45596</v>
      </c>
      <c r="C187" s="1" t="n">
        <v>46143</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30837-2025</t>
        </is>
      </c>
      <c r="B188" s="1" t="n">
        <v>45831.7063425926</v>
      </c>
      <c r="C188" s="1" t="n">
        <v>46143</v>
      </c>
      <c r="D188" t="inlineStr">
        <is>
          <t>UPPSALA LÄN</t>
        </is>
      </c>
      <c r="E188" t="inlineStr">
        <is>
          <t>ENKÖPING</t>
        </is>
      </c>
      <c r="G188" t="n">
        <v>3.8</v>
      </c>
      <c r="H188" t="n">
        <v>0</v>
      </c>
      <c r="I188" t="n">
        <v>0</v>
      </c>
      <c r="J188" t="n">
        <v>0</v>
      </c>
      <c r="K188" t="n">
        <v>0</v>
      </c>
      <c r="L188" t="n">
        <v>0</v>
      </c>
      <c r="M188" t="n">
        <v>0</v>
      </c>
      <c r="N188" t="n">
        <v>0</v>
      </c>
      <c r="O188" t="n">
        <v>0</v>
      </c>
      <c r="P188" t="n">
        <v>0</v>
      </c>
      <c r="Q188" t="n">
        <v>0</v>
      </c>
      <c r="R188" s="2" t="inlineStr"/>
    </row>
    <row r="189" ht="15" customHeight="1">
      <c r="A189" t="inlineStr">
        <is>
          <t>A 43999-2025</t>
        </is>
      </c>
      <c r="B189" s="1" t="n">
        <v>45915.45158564814</v>
      </c>
      <c r="C189" s="1" t="n">
        <v>46143</v>
      </c>
      <c r="D189" t="inlineStr">
        <is>
          <t>UPPSALA LÄN</t>
        </is>
      </c>
      <c r="E189" t="inlineStr">
        <is>
          <t>ENKÖPING</t>
        </is>
      </c>
      <c r="G189" t="n">
        <v>4.1</v>
      </c>
      <c r="H189" t="n">
        <v>0</v>
      </c>
      <c r="I189" t="n">
        <v>0</v>
      </c>
      <c r="J189" t="n">
        <v>0</v>
      </c>
      <c r="K189" t="n">
        <v>0</v>
      </c>
      <c r="L189" t="n">
        <v>0</v>
      </c>
      <c r="M189" t="n">
        <v>0</v>
      </c>
      <c r="N189" t="n">
        <v>0</v>
      </c>
      <c r="O189" t="n">
        <v>0</v>
      </c>
      <c r="P189" t="n">
        <v>0</v>
      </c>
      <c r="Q189" t="n">
        <v>0</v>
      </c>
      <c r="R189" s="2" t="inlineStr"/>
    </row>
    <row r="190" ht="15" customHeight="1">
      <c r="A190" t="inlineStr">
        <is>
          <t>A 29479-2022</t>
        </is>
      </c>
      <c r="B190" s="1" t="n">
        <v>44753.57265046296</v>
      </c>
      <c r="C190" s="1" t="n">
        <v>46143</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44419-2025</t>
        </is>
      </c>
      <c r="B191" s="1" t="n">
        <v>45916.54671296296</v>
      </c>
      <c r="C191" s="1" t="n">
        <v>46143</v>
      </c>
      <c r="D191" t="inlineStr">
        <is>
          <t>UPPSALA LÄN</t>
        </is>
      </c>
      <c r="E191" t="inlineStr">
        <is>
          <t>ENKÖPING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32477-2025</t>
        </is>
      </c>
      <c r="B192" s="1" t="n">
        <v>45838.43098379629</v>
      </c>
      <c r="C192" s="1" t="n">
        <v>46143</v>
      </c>
      <c r="D192" t="inlineStr">
        <is>
          <t>UPPSALA LÄN</t>
        </is>
      </c>
      <c r="E192" t="inlineStr">
        <is>
          <t>ENKÖPING</t>
        </is>
      </c>
      <c r="G192" t="n">
        <v>2.7</v>
      </c>
      <c r="H192" t="n">
        <v>0</v>
      </c>
      <c r="I192" t="n">
        <v>0</v>
      </c>
      <c r="J192" t="n">
        <v>0</v>
      </c>
      <c r="K192" t="n">
        <v>0</v>
      </c>
      <c r="L192" t="n">
        <v>0</v>
      </c>
      <c r="M192" t="n">
        <v>0</v>
      </c>
      <c r="N192" t="n">
        <v>0</v>
      </c>
      <c r="O192" t="n">
        <v>0</v>
      </c>
      <c r="P192" t="n">
        <v>0</v>
      </c>
      <c r="Q192" t="n">
        <v>0</v>
      </c>
      <c r="R192" s="2" t="inlineStr"/>
    </row>
    <row r="193" ht="15" customHeight="1">
      <c r="A193" t="inlineStr">
        <is>
          <t>A 27538-2023</t>
        </is>
      </c>
      <c r="B193" s="1" t="n">
        <v>45097</v>
      </c>
      <c r="C193" s="1" t="n">
        <v>46143</v>
      </c>
      <c r="D193" t="inlineStr">
        <is>
          <t>UPPSALA LÄN</t>
        </is>
      </c>
      <c r="E193" t="inlineStr">
        <is>
          <t>ENKÖPING</t>
        </is>
      </c>
      <c r="G193" t="n">
        <v>5.8</v>
      </c>
      <c r="H193" t="n">
        <v>0</v>
      </c>
      <c r="I193" t="n">
        <v>0</v>
      </c>
      <c r="J193" t="n">
        <v>0</v>
      </c>
      <c r="K193" t="n">
        <v>0</v>
      </c>
      <c r="L193" t="n">
        <v>0</v>
      </c>
      <c r="M193" t="n">
        <v>0</v>
      </c>
      <c r="N193" t="n">
        <v>0</v>
      </c>
      <c r="O193" t="n">
        <v>0</v>
      </c>
      <c r="P193" t="n">
        <v>0</v>
      </c>
      <c r="Q193" t="n">
        <v>0</v>
      </c>
      <c r="R193" s="2" t="inlineStr"/>
    </row>
    <row r="194" ht="15" customHeight="1">
      <c r="A194" t="inlineStr">
        <is>
          <t>A 32111-2025</t>
        </is>
      </c>
      <c r="B194" s="1" t="n">
        <v>45835</v>
      </c>
      <c r="C194" s="1" t="n">
        <v>46143</v>
      </c>
      <c r="D194" t="inlineStr">
        <is>
          <t>UPPSALA LÄN</t>
        </is>
      </c>
      <c r="E194" t="inlineStr">
        <is>
          <t>ENKÖPING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15409-2025</t>
        </is>
      </c>
      <c r="B195" s="1" t="n">
        <v>45747</v>
      </c>
      <c r="C195" s="1" t="n">
        <v>46143</v>
      </c>
      <c r="D195" t="inlineStr">
        <is>
          <t>UPPSALA LÄN</t>
        </is>
      </c>
      <c r="E195" t="inlineStr">
        <is>
          <t>ENKÖPING</t>
        </is>
      </c>
      <c r="G195" t="n">
        <v>2.5</v>
      </c>
      <c r="H195" t="n">
        <v>0</v>
      </c>
      <c r="I195" t="n">
        <v>0</v>
      </c>
      <c r="J195" t="n">
        <v>0</v>
      </c>
      <c r="K195" t="n">
        <v>0</v>
      </c>
      <c r="L195" t="n">
        <v>0</v>
      </c>
      <c r="M195" t="n">
        <v>0</v>
      </c>
      <c r="N195" t="n">
        <v>0</v>
      </c>
      <c r="O195" t="n">
        <v>0</v>
      </c>
      <c r="P195" t="n">
        <v>0</v>
      </c>
      <c r="Q195" t="n">
        <v>0</v>
      </c>
      <c r="R195" s="2" t="inlineStr"/>
    </row>
    <row r="196" ht="15" customHeight="1">
      <c r="A196" t="inlineStr">
        <is>
          <t>A 32031-2025</t>
        </is>
      </c>
      <c r="B196" s="1" t="n">
        <v>45835.41712962963</v>
      </c>
      <c r="C196" s="1" t="n">
        <v>46143</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60874-2023</t>
        </is>
      </c>
      <c r="B197" s="1" t="n">
        <v>45261.06280092592</v>
      </c>
      <c r="C197" s="1" t="n">
        <v>46143</v>
      </c>
      <c r="D197" t="inlineStr">
        <is>
          <t>UPPSALA LÄN</t>
        </is>
      </c>
      <c r="E197" t="inlineStr">
        <is>
          <t>ENKÖPING</t>
        </is>
      </c>
      <c r="G197" t="n">
        <v>1.5</v>
      </c>
      <c r="H197" t="n">
        <v>0</v>
      </c>
      <c r="I197" t="n">
        <v>0</v>
      </c>
      <c r="J197" t="n">
        <v>0</v>
      </c>
      <c r="K197" t="n">
        <v>0</v>
      </c>
      <c r="L197" t="n">
        <v>0</v>
      </c>
      <c r="M197" t="n">
        <v>0</v>
      </c>
      <c r="N197" t="n">
        <v>0</v>
      </c>
      <c r="O197" t="n">
        <v>0</v>
      </c>
      <c r="P197" t="n">
        <v>0</v>
      </c>
      <c r="Q197" t="n">
        <v>0</v>
      </c>
      <c r="R197" s="2" t="inlineStr"/>
    </row>
    <row r="198" ht="15" customHeight="1">
      <c r="A198" t="inlineStr">
        <is>
          <t>A 2258-2026</t>
        </is>
      </c>
      <c r="B198" s="1" t="n">
        <v>46036</v>
      </c>
      <c r="C198" s="1" t="n">
        <v>46143</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50394-2024</t>
        </is>
      </c>
      <c r="B199" s="1" t="n">
        <v>45600</v>
      </c>
      <c r="C199" s="1" t="n">
        <v>46143</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51010-2024</t>
        </is>
      </c>
      <c r="B200" s="1" t="n">
        <v>45603.39285879629</v>
      </c>
      <c r="C200" s="1" t="n">
        <v>46143</v>
      </c>
      <c r="D200" t="inlineStr">
        <is>
          <t>UPPSALA LÄN</t>
        </is>
      </c>
      <c r="E200" t="inlineStr">
        <is>
          <t>ENKÖPING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43016-2021</t>
        </is>
      </c>
      <c r="B201" s="1" t="n">
        <v>44431</v>
      </c>
      <c r="C201" s="1" t="n">
        <v>46143</v>
      </c>
      <c r="D201" t="inlineStr">
        <is>
          <t>UPPSALA LÄN</t>
        </is>
      </c>
      <c r="E201" t="inlineStr">
        <is>
          <t>ENKÖPING</t>
        </is>
      </c>
      <c r="G201" t="n">
        <v>1.5</v>
      </c>
      <c r="H201" t="n">
        <v>0</v>
      </c>
      <c r="I201" t="n">
        <v>0</v>
      </c>
      <c r="J201" t="n">
        <v>0</v>
      </c>
      <c r="K201" t="n">
        <v>0</v>
      </c>
      <c r="L201" t="n">
        <v>0</v>
      </c>
      <c r="M201" t="n">
        <v>0</v>
      </c>
      <c r="N201" t="n">
        <v>0</v>
      </c>
      <c r="O201" t="n">
        <v>0</v>
      </c>
      <c r="P201" t="n">
        <v>0</v>
      </c>
      <c r="Q201" t="n">
        <v>0</v>
      </c>
      <c r="R201" s="2" t="inlineStr"/>
    </row>
    <row r="202" ht="15" customHeight="1">
      <c r="A202" t="inlineStr">
        <is>
          <t>A 2218-2026</t>
        </is>
      </c>
      <c r="B202" s="1" t="n">
        <v>46036.50010416667</v>
      </c>
      <c r="C202" s="1" t="n">
        <v>46143</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19147-2024</t>
        </is>
      </c>
      <c r="B203" s="1" t="n">
        <v>45428</v>
      </c>
      <c r="C203" s="1" t="n">
        <v>46143</v>
      </c>
      <c r="D203" t="inlineStr">
        <is>
          <t>UPPSALA LÄN</t>
        </is>
      </c>
      <c r="E203" t="inlineStr">
        <is>
          <t>ENKÖPING</t>
        </is>
      </c>
      <c r="G203" t="n">
        <v>1.9</v>
      </c>
      <c r="H203" t="n">
        <v>0</v>
      </c>
      <c r="I203" t="n">
        <v>0</v>
      </c>
      <c r="J203" t="n">
        <v>0</v>
      </c>
      <c r="K203" t="n">
        <v>0</v>
      </c>
      <c r="L203" t="n">
        <v>0</v>
      </c>
      <c r="M203" t="n">
        <v>0</v>
      </c>
      <c r="N203" t="n">
        <v>0</v>
      </c>
      <c r="O203" t="n">
        <v>0</v>
      </c>
      <c r="P203" t="n">
        <v>0</v>
      </c>
      <c r="Q203" t="n">
        <v>0</v>
      </c>
      <c r="R203" s="2" t="inlineStr"/>
    </row>
    <row r="204" ht="15" customHeight="1">
      <c r="A204" t="inlineStr">
        <is>
          <t>A 45755-2025</t>
        </is>
      </c>
      <c r="B204" s="1" t="n">
        <v>45923.50240740741</v>
      </c>
      <c r="C204" s="1" t="n">
        <v>46143</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57209-2024</t>
        </is>
      </c>
      <c r="B205" s="1" t="n">
        <v>45629.49311342592</v>
      </c>
      <c r="C205" s="1" t="n">
        <v>46143</v>
      </c>
      <c r="D205" t="inlineStr">
        <is>
          <t>UPPSALA LÄN</t>
        </is>
      </c>
      <c r="E205" t="inlineStr">
        <is>
          <t>ENKÖPING</t>
        </is>
      </c>
      <c r="G205" t="n">
        <v>3.2</v>
      </c>
      <c r="H205" t="n">
        <v>0</v>
      </c>
      <c r="I205" t="n">
        <v>0</v>
      </c>
      <c r="J205" t="n">
        <v>0</v>
      </c>
      <c r="K205" t="n">
        <v>0</v>
      </c>
      <c r="L205" t="n">
        <v>0</v>
      </c>
      <c r="M205" t="n">
        <v>0</v>
      </c>
      <c r="N205" t="n">
        <v>0</v>
      </c>
      <c r="O205" t="n">
        <v>0</v>
      </c>
      <c r="P205" t="n">
        <v>0</v>
      </c>
      <c r="Q205" t="n">
        <v>0</v>
      </c>
      <c r="R205" s="2" t="inlineStr"/>
    </row>
    <row r="206" ht="15" customHeight="1">
      <c r="A206" t="inlineStr">
        <is>
          <t>A 51120-2023</t>
        </is>
      </c>
      <c r="B206" s="1" t="n">
        <v>45219.3088425926</v>
      </c>
      <c r="C206" s="1" t="n">
        <v>46143</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12878-2025</t>
        </is>
      </c>
      <c r="B207" s="1" t="n">
        <v>45733.68571759259</v>
      </c>
      <c r="C207" s="1" t="n">
        <v>46143</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15740-2025</t>
        </is>
      </c>
      <c r="B208" s="1" t="n">
        <v>45748</v>
      </c>
      <c r="C208" s="1" t="n">
        <v>46143</v>
      </c>
      <c r="D208" t="inlineStr">
        <is>
          <t>UPPSALA LÄN</t>
        </is>
      </c>
      <c r="E208" t="inlineStr">
        <is>
          <t>ENKÖPING</t>
        </is>
      </c>
      <c r="G208" t="n">
        <v>0.9</v>
      </c>
      <c r="H208" t="n">
        <v>0</v>
      </c>
      <c r="I208" t="n">
        <v>0</v>
      </c>
      <c r="J208" t="n">
        <v>0</v>
      </c>
      <c r="K208" t="n">
        <v>0</v>
      </c>
      <c r="L208" t="n">
        <v>0</v>
      </c>
      <c r="M208" t="n">
        <v>0</v>
      </c>
      <c r="N208" t="n">
        <v>0</v>
      </c>
      <c r="O208" t="n">
        <v>0</v>
      </c>
      <c r="P208" t="n">
        <v>0</v>
      </c>
      <c r="Q208" t="n">
        <v>0</v>
      </c>
      <c r="R208" s="2" t="inlineStr"/>
    </row>
    <row r="209" ht="15" customHeight="1">
      <c r="A209" t="inlineStr">
        <is>
          <t>A 34989-2025</t>
        </is>
      </c>
      <c r="B209" s="1" t="n">
        <v>45849</v>
      </c>
      <c r="C209" s="1" t="n">
        <v>46143</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34990-2025</t>
        </is>
      </c>
      <c r="B210" s="1" t="n">
        <v>45849.78916666667</v>
      </c>
      <c r="C210" s="1" t="n">
        <v>46143</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46940-2025</t>
        </is>
      </c>
      <c r="B211" s="1" t="n">
        <v>45929.45483796296</v>
      </c>
      <c r="C211" s="1" t="n">
        <v>46143</v>
      </c>
      <c r="D211" t="inlineStr">
        <is>
          <t>UPPSALA LÄN</t>
        </is>
      </c>
      <c r="E211" t="inlineStr">
        <is>
          <t>ENKÖPING</t>
        </is>
      </c>
      <c r="G211" t="n">
        <v>5.3</v>
      </c>
      <c r="H211" t="n">
        <v>0</v>
      </c>
      <c r="I211" t="n">
        <v>0</v>
      </c>
      <c r="J211" t="n">
        <v>0</v>
      </c>
      <c r="K211" t="n">
        <v>0</v>
      </c>
      <c r="L211" t="n">
        <v>0</v>
      </c>
      <c r="M211" t="n">
        <v>0</v>
      </c>
      <c r="N211" t="n">
        <v>0</v>
      </c>
      <c r="O211" t="n">
        <v>0</v>
      </c>
      <c r="P211" t="n">
        <v>0</v>
      </c>
      <c r="Q211" t="n">
        <v>0</v>
      </c>
      <c r="R211" s="2" t="inlineStr"/>
    </row>
    <row r="212" ht="15" customHeight="1">
      <c r="A212" t="inlineStr">
        <is>
          <t>A 46590-2025</t>
        </is>
      </c>
      <c r="B212" s="1" t="n">
        <v>45926.39542824074</v>
      </c>
      <c r="C212" s="1" t="n">
        <v>46143</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18994-2025</t>
        </is>
      </c>
      <c r="B213" s="1" t="n">
        <v>45764.57350694444</v>
      </c>
      <c r="C213" s="1" t="n">
        <v>46143</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43896-2022</t>
        </is>
      </c>
      <c r="B214" s="1" t="n">
        <v>44838</v>
      </c>
      <c r="C214" s="1" t="n">
        <v>46143</v>
      </c>
      <c r="D214" t="inlineStr">
        <is>
          <t>UPPSALA LÄN</t>
        </is>
      </c>
      <c r="E214" t="inlineStr">
        <is>
          <t>ENKÖPING</t>
        </is>
      </c>
      <c r="G214" t="n">
        <v>5.3</v>
      </c>
      <c r="H214" t="n">
        <v>0</v>
      </c>
      <c r="I214" t="n">
        <v>0</v>
      </c>
      <c r="J214" t="n">
        <v>0</v>
      </c>
      <c r="K214" t="n">
        <v>0</v>
      </c>
      <c r="L214" t="n">
        <v>0</v>
      </c>
      <c r="M214" t="n">
        <v>0</v>
      </c>
      <c r="N214" t="n">
        <v>0</v>
      </c>
      <c r="O214" t="n">
        <v>0</v>
      </c>
      <c r="P214" t="n">
        <v>0</v>
      </c>
      <c r="Q214" t="n">
        <v>0</v>
      </c>
      <c r="R214" s="2" t="inlineStr"/>
    </row>
    <row r="215" ht="15" customHeight="1">
      <c r="A215" t="inlineStr">
        <is>
          <t>A 57848-2024</t>
        </is>
      </c>
      <c r="B215" s="1" t="n">
        <v>45631.40947916666</v>
      </c>
      <c r="C215" s="1" t="n">
        <v>46143</v>
      </c>
      <c r="D215" t="inlineStr">
        <is>
          <t>UPPSALA LÄN</t>
        </is>
      </c>
      <c r="E215" t="inlineStr">
        <is>
          <t>ENKÖPING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49601-2024</t>
        </is>
      </c>
      <c r="B216" s="1" t="n">
        <v>45596.56288194445</v>
      </c>
      <c r="C216" s="1" t="n">
        <v>46143</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7090-2022</t>
        </is>
      </c>
      <c r="B217" s="1" t="n">
        <v>44603.59520833333</v>
      </c>
      <c r="C217" s="1" t="n">
        <v>46143</v>
      </c>
      <c r="D217" t="inlineStr">
        <is>
          <t>UPPSALA LÄN</t>
        </is>
      </c>
      <c r="E217" t="inlineStr">
        <is>
          <t>ENKÖPING</t>
        </is>
      </c>
      <c r="G217" t="n">
        <v>2.8</v>
      </c>
      <c r="H217" t="n">
        <v>0</v>
      </c>
      <c r="I217" t="n">
        <v>0</v>
      </c>
      <c r="J217" t="n">
        <v>0</v>
      </c>
      <c r="K217" t="n">
        <v>0</v>
      </c>
      <c r="L217" t="n">
        <v>0</v>
      </c>
      <c r="M217" t="n">
        <v>0</v>
      </c>
      <c r="N217" t="n">
        <v>0</v>
      </c>
      <c r="O217" t="n">
        <v>0</v>
      </c>
      <c r="P217" t="n">
        <v>0</v>
      </c>
      <c r="Q217" t="n">
        <v>0</v>
      </c>
      <c r="R217" s="2" t="inlineStr"/>
    </row>
    <row r="218" ht="15" customHeight="1">
      <c r="A218" t="inlineStr">
        <is>
          <t>A 9487-2025</t>
        </is>
      </c>
      <c r="B218" s="1" t="n">
        <v>45715.49331018519</v>
      </c>
      <c r="C218" s="1" t="n">
        <v>46143</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6144-2024</t>
        </is>
      </c>
      <c r="B219" s="1" t="n">
        <v>45337.4684837963</v>
      </c>
      <c r="C219" s="1" t="n">
        <v>46143</v>
      </c>
      <c r="D219" t="inlineStr">
        <is>
          <t>UPPSALA LÄN</t>
        </is>
      </c>
      <c r="E219" t="inlineStr">
        <is>
          <t>ENKÖPING</t>
        </is>
      </c>
      <c r="G219" t="n">
        <v>13.8</v>
      </c>
      <c r="H219" t="n">
        <v>0</v>
      </c>
      <c r="I219" t="n">
        <v>0</v>
      </c>
      <c r="J219" t="n">
        <v>0</v>
      </c>
      <c r="K219" t="n">
        <v>0</v>
      </c>
      <c r="L219" t="n">
        <v>0</v>
      </c>
      <c r="M219" t="n">
        <v>0</v>
      </c>
      <c r="N219" t="n">
        <v>0</v>
      </c>
      <c r="O219" t="n">
        <v>0</v>
      </c>
      <c r="P219" t="n">
        <v>0</v>
      </c>
      <c r="Q219" t="n">
        <v>0</v>
      </c>
      <c r="R219" s="2" t="inlineStr"/>
    </row>
    <row r="220" ht="15" customHeight="1">
      <c r="A220" t="inlineStr">
        <is>
          <t>A 47441-2025</t>
        </is>
      </c>
      <c r="B220" s="1" t="n">
        <v>45930.63986111111</v>
      </c>
      <c r="C220" s="1" t="n">
        <v>46143</v>
      </c>
      <c r="D220" t="inlineStr">
        <is>
          <t>UPPSALA LÄN</t>
        </is>
      </c>
      <c r="E220" t="inlineStr">
        <is>
          <t>ENKÖPING</t>
        </is>
      </c>
      <c r="F220" t="inlineStr">
        <is>
          <t>Allmännings- och besparingsskogar</t>
        </is>
      </c>
      <c r="G220" t="n">
        <v>11.5</v>
      </c>
      <c r="H220" t="n">
        <v>0</v>
      </c>
      <c r="I220" t="n">
        <v>0</v>
      </c>
      <c r="J220" t="n">
        <v>0</v>
      </c>
      <c r="K220" t="n">
        <v>0</v>
      </c>
      <c r="L220" t="n">
        <v>0</v>
      </c>
      <c r="M220" t="n">
        <v>0</v>
      </c>
      <c r="N220" t="n">
        <v>0</v>
      </c>
      <c r="O220" t="n">
        <v>0</v>
      </c>
      <c r="P220" t="n">
        <v>0</v>
      </c>
      <c r="Q220" t="n">
        <v>0</v>
      </c>
      <c r="R220" s="2" t="inlineStr"/>
    </row>
    <row r="221" ht="15" customHeight="1">
      <c r="A221" t="inlineStr">
        <is>
          <t>A 33955-2024</t>
        </is>
      </c>
      <c r="B221" s="1" t="n">
        <v>45523.46952546296</v>
      </c>
      <c r="C221" s="1" t="n">
        <v>46143</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29513-2025</t>
        </is>
      </c>
      <c r="B222" s="1" t="n">
        <v>45825</v>
      </c>
      <c r="C222" s="1" t="n">
        <v>46143</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17844-2025</t>
        </is>
      </c>
      <c r="B223" s="1" t="n">
        <v>45758.59920138889</v>
      </c>
      <c r="C223" s="1" t="n">
        <v>46143</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39439-2025</t>
        </is>
      </c>
      <c r="B224" s="1" t="n">
        <v>45889</v>
      </c>
      <c r="C224" s="1" t="n">
        <v>46143</v>
      </c>
      <c r="D224" t="inlineStr">
        <is>
          <t>UPPSALA LÄN</t>
        </is>
      </c>
      <c r="E224" t="inlineStr">
        <is>
          <t>ENKÖPING</t>
        </is>
      </c>
      <c r="G224" t="n">
        <v>0.4</v>
      </c>
      <c r="H224" t="n">
        <v>0</v>
      </c>
      <c r="I224" t="n">
        <v>0</v>
      </c>
      <c r="J224" t="n">
        <v>0</v>
      </c>
      <c r="K224" t="n">
        <v>0</v>
      </c>
      <c r="L224" t="n">
        <v>0</v>
      </c>
      <c r="M224" t="n">
        <v>0</v>
      </c>
      <c r="N224" t="n">
        <v>0</v>
      </c>
      <c r="O224" t="n">
        <v>0</v>
      </c>
      <c r="P224" t="n">
        <v>0</v>
      </c>
      <c r="Q224" t="n">
        <v>0</v>
      </c>
      <c r="R224" s="2" t="inlineStr"/>
    </row>
    <row r="225" ht="15" customHeight="1">
      <c r="A225" t="inlineStr">
        <is>
          <t>A 48678-2025</t>
        </is>
      </c>
      <c r="B225" s="1" t="n">
        <v>45936.59168981481</v>
      </c>
      <c r="C225" s="1" t="n">
        <v>46143</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48423-2025</t>
        </is>
      </c>
      <c r="B226" s="1" t="n">
        <v>45934.68024305555</v>
      </c>
      <c r="C226" s="1" t="n">
        <v>46143</v>
      </c>
      <c r="D226" t="inlineStr">
        <is>
          <t>UPPSALA LÄN</t>
        </is>
      </c>
      <c r="E226" t="inlineStr">
        <is>
          <t>ENKÖPING</t>
        </is>
      </c>
      <c r="G226" t="n">
        <v>4.3</v>
      </c>
      <c r="H226" t="n">
        <v>0</v>
      </c>
      <c r="I226" t="n">
        <v>0</v>
      </c>
      <c r="J226" t="n">
        <v>0</v>
      </c>
      <c r="K226" t="n">
        <v>0</v>
      </c>
      <c r="L226" t="n">
        <v>0</v>
      </c>
      <c r="M226" t="n">
        <v>0</v>
      </c>
      <c r="N226" t="n">
        <v>0</v>
      </c>
      <c r="O226" t="n">
        <v>0</v>
      </c>
      <c r="P226" t="n">
        <v>0</v>
      </c>
      <c r="Q226" t="n">
        <v>0</v>
      </c>
      <c r="R226" s="2" t="inlineStr"/>
    </row>
    <row r="227" ht="15" customHeight="1">
      <c r="A227" t="inlineStr">
        <is>
          <t>A 16920-2023</t>
        </is>
      </c>
      <c r="B227" s="1" t="n">
        <v>45033.59030092593</v>
      </c>
      <c r="C227" s="1" t="n">
        <v>46143</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48424-2025</t>
        </is>
      </c>
      <c r="B228" s="1" t="n">
        <v>45934.69131944444</v>
      </c>
      <c r="C228" s="1" t="n">
        <v>46143</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49073-2025</t>
        </is>
      </c>
      <c r="B229" s="1" t="n">
        <v>45937.65512731481</v>
      </c>
      <c r="C229" s="1" t="n">
        <v>46143</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53586-2024</t>
        </is>
      </c>
      <c r="B230" s="1" t="n">
        <v>45614</v>
      </c>
      <c r="C230" s="1" t="n">
        <v>46143</v>
      </c>
      <c r="D230" t="inlineStr">
        <is>
          <t>UPPSALA LÄN</t>
        </is>
      </c>
      <c r="E230" t="inlineStr">
        <is>
          <t>ENKÖPING</t>
        </is>
      </c>
      <c r="G230" t="n">
        <v>6.6</v>
      </c>
      <c r="H230" t="n">
        <v>0</v>
      </c>
      <c r="I230" t="n">
        <v>0</v>
      </c>
      <c r="J230" t="n">
        <v>0</v>
      </c>
      <c r="K230" t="n">
        <v>0</v>
      </c>
      <c r="L230" t="n">
        <v>0</v>
      </c>
      <c r="M230" t="n">
        <v>0</v>
      </c>
      <c r="N230" t="n">
        <v>0</v>
      </c>
      <c r="O230" t="n">
        <v>0</v>
      </c>
      <c r="P230" t="n">
        <v>0</v>
      </c>
      <c r="Q230" t="n">
        <v>0</v>
      </c>
      <c r="R230" s="2" t="inlineStr"/>
    </row>
    <row r="231" ht="15" customHeight="1">
      <c r="A231" t="inlineStr">
        <is>
          <t>A 21501-2025</t>
        </is>
      </c>
      <c r="B231" s="1" t="n">
        <v>45782</v>
      </c>
      <c r="C231" s="1" t="n">
        <v>46143</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34988-2025</t>
        </is>
      </c>
      <c r="B232" s="1" t="n">
        <v>45849</v>
      </c>
      <c r="C232" s="1" t="n">
        <v>46143</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43103-2025</t>
        </is>
      </c>
      <c r="B233" s="1" t="n">
        <v>45909</v>
      </c>
      <c r="C233" s="1" t="n">
        <v>46143</v>
      </c>
      <c r="D233" t="inlineStr">
        <is>
          <t>UPPSALA LÄN</t>
        </is>
      </c>
      <c r="E233" t="inlineStr">
        <is>
          <t>ENKÖPING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34987-2025</t>
        </is>
      </c>
      <c r="B234" s="1" t="n">
        <v>45849</v>
      </c>
      <c r="C234" s="1" t="n">
        <v>46143</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5104-2026</t>
        </is>
      </c>
      <c r="B235" s="1" t="n">
        <v>46049.56914351852</v>
      </c>
      <c r="C235" s="1" t="n">
        <v>46143</v>
      </c>
      <c r="D235" t="inlineStr">
        <is>
          <t>UPPSALA LÄN</t>
        </is>
      </c>
      <c r="E235" t="inlineStr">
        <is>
          <t>ENKÖPING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49068-2025</t>
        </is>
      </c>
      <c r="B236" s="1" t="n">
        <v>45937.64766203704</v>
      </c>
      <c r="C236" s="1" t="n">
        <v>46143</v>
      </c>
      <c r="D236" t="inlineStr">
        <is>
          <t>UPPSALA LÄN</t>
        </is>
      </c>
      <c r="E236" t="inlineStr">
        <is>
          <t>ENKÖPING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43506-2023</t>
        </is>
      </c>
      <c r="B237" s="1" t="n">
        <v>45181</v>
      </c>
      <c r="C237" s="1" t="n">
        <v>46143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46186-2023</t>
        </is>
      </c>
      <c r="B238" s="1" t="n">
        <v>45196</v>
      </c>
      <c r="C238" s="1" t="n">
        <v>46143</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36492-2025</t>
        </is>
      </c>
      <c r="B239" s="1" t="n">
        <v>45869</v>
      </c>
      <c r="C239" s="1" t="n">
        <v>46143</v>
      </c>
      <c r="D239" t="inlineStr">
        <is>
          <t>UPPSALA LÄN</t>
        </is>
      </c>
      <c r="E239" t="inlineStr">
        <is>
          <t>ENKÖPING</t>
        </is>
      </c>
      <c r="G239" t="n">
        <v>6.3</v>
      </c>
      <c r="H239" t="n">
        <v>0</v>
      </c>
      <c r="I239" t="n">
        <v>0</v>
      </c>
      <c r="J239" t="n">
        <v>0</v>
      </c>
      <c r="K239" t="n">
        <v>0</v>
      </c>
      <c r="L239" t="n">
        <v>0</v>
      </c>
      <c r="M239" t="n">
        <v>0</v>
      </c>
      <c r="N239" t="n">
        <v>0</v>
      </c>
      <c r="O239" t="n">
        <v>0</v>
      </c>
      <c r="P239" t="n">
        <v>0</v>
      </c>
      <c r="Q239" t="n">
        <v>0</v>
      </c>
      <c r="R239" s="2" t="inlineStr"/>
    </row>
    <row r="240" ht="15" customHeight="1">
      <c r="A240" t="inlineStr">
        <is>
          <t>A 54595-2021</t>
        </is>
      </c>
      <c r="B240" s="1" t="n">
        <v>44473.58824074074</v>
      </c>
      <c r="C240" s="1" t="n">
        <v>46143</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54588-2024</t>
        </is>
      </c>
      <c r="B241" s="1" t="n">
        <v>45617</v>
      </c>
      <c r="C241" s="1" t="n">
        <v>46143</v>
      </c>
      <c r="D241" t="inlineStr">
        <is>
          <t>UPPSALA LÄN</t>
        </is>
      </c>
      <c r="E241" t="inlineStr">
        <is>
          <t>ENKÖPING</t>
        </is>
      </c>
      <c r="G241" t="n">
        <v>3.7</v>
      </c>
      <c r="H241" t="n">
        <v>0</v>
      </c>
      <c r="I241" t="n">
        <v>0</v>
      </c>
      <c r="J241" t="n">
        <v>0</v>
      </c>
      <c r="K241" t="n">
        <v>0</v>
      </c>
      <c r="L241" t="n">
        <v>0</v>
      </c>
      <c r="M241" t="n">
        <v>0</v>
      </c>
      <c r="N241" t="n">
        <v>0</v>
      </c>
      <c r="O241" t="n">
        <v>0</v>
      </c>
      <c r="P241" t="n">
        <v>0</v>
      </c>
      <c r="Q241" t="n">
        <v>0</v>
      </c>
      <c r="R241" s="2" t="inlineStr"/>
    </row>
    <row r="242" ht="15" customHeight="1">
      <c r="A242" t="inlineStr">
        <is>
          <t>A 47428-2023</t>
        </is>
      </c>
      <c r="B242" s="1" t="n">
        <v>45202.66664351852</v>
      </c>
      <c r="C242" s="1" t="n">
        <v>46143</v>
      </c>
      <c r="D242" t="inlineStr">
        <is>
          <t>UPPSALA LÄN</t>
        </is>
      </c>
      <c r="E242" t="inlineStr">
        <is>
          <t>ENKÖPING</t>
        </is>
      </c>
      <c r="G242" t="n">
        <v>3</v>
      </c>
      <c r="H242" t="n">
        <v>0</v>
      </c>
      <c r="I242" t="n">
        <v>0</v>
      </c>
      <c r="J242" t="n">
        <v>0</v>
      </c>
      <c r="K242" t="n">
        <v>0</v>
      </c>
      <c r="L242" t="n">
        <v>0</v>
      </c>
      <c r="M242" t="n">
        <v>0</v>
      </c>
      <c r="N242" t="n">
        <v>0</v>
      </c>
      <c r="O242" t="n">
        <v>0</v>
      </c>
      <c r="P242" t="n">
        <v>0</v>
      </c>
      <c r="Q242" t="n">
        <v>0</v>
      </c>
      <c r="R242" s="2" t="inlineStr"/>
    </row>
    <row r="243" ht="15" customHeight="1">
      <c r="A243" t="inlineStr">
        <is>
          <t>A 36350-2025</t>
        </is>
      </c>
      <c r="B243" s="1" t="n">
        <v>45868</v>
      </c>
      <c r="C243" s="1" t="n">
        <v>46143</v>
      </c>
      <c r="D243" t="inlineStr">
        <is>
          <t>UPPSALA LÄN</t>
        </is>
      </c>
      <c r="E243" t="inlineStr">
        <is>
          <t>ENKÖPING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5892-2023</t>
        </is>
      </c>
      <c r="B244" s="1" t="n">
        <v>44963.64883101852</v>
      </c>
      <c r="C244" s="1" t="n">
        <v>46143</v>
      </c>
      <c r="D244" t="inlineStr">
        <is>
          <t>UPPSALA LÄN</t>
        </is>
      </c>
      <c r="E244" t="inlineStr">
        <is>
          <t>ENKÖPING</t>
        </is>
      </c>
      <c r="G244" t="n">
        <v>5.5</v>
      </c>
      <c r="H244" t="n">
        <v>0</v>
      </c>
      <c r="I244" t="n">
        <v>0</v>
      </c>
      <c r="J244" t="n">
        <v>0</v>
      </c>
      <c r="K244" t="n">
        <v>0</v>
      </c>
      <c r="L244" t="n">
        <v>0</v>
      </c>
      <c r="M244" t="n">
        <v>0</v>
      </c>
      <c r="N244" t="n">
        <v>0</v>
      </c>
      <c r="O244" t="n">
        <v>0</v>
      </c>
      <c r="P244" t="n">
        <v>0</v>
      </c>
      <c r="Q244" t="n">
        <v>0</v>
      </c>
      <c r="R244" s="2" t="inlineStr"/>
    </row>
    <row r="245" ht="15" customHeight="1">
      <c r="A245" t="inlineStr">
        <is>
          <t>A 671-2022</t>
        </is>
      </c>
      <c r="B245" s="1" t="n">
        <v>44568</v>
      </c>
      <c r="C245" s="1" t="n">
        <v>46143</v>
      </c>
      <c r="D245" t="inlineStr">
        <is>
          <t>UPPSALA LÄN</t>
        </is>
      </c>
      <c r="E245" t="inlineStr">
        <is>
          <t>ENKÖPING</t>
        </is>
      </c>
      <c r="G245" t="n">
        <v>3.5</v>
      </c>
      <c r="H245" t="n">
        <v>0</v>
      </c>
      <c r="I245" t="n">
        <v>0</v>
      </c>
      <c r="J245" t="n">
        <v>0</v>
      </c>
      <c r="K245" t="n">
        <v>0</v>
      </c>
      <c r="L245" t="n">
        <v>0</v>
      </c>
      <c r="M245" t="n">
        <v>0</v>
      </c>
      <c r="N245" t="n">
        <v>0</v>
      </c>
      <c r="O245" t="n">
        <v>0</v>
      </c>
      <c r="P245" t="n">
        <v>0</v>
      </c>
      <c r="Q245" t="n">
        <v>0</v>
      </c>
      <c r="R245" s="2" t="inlineStr"/>
    </row>
    <row r="246" ht="15" customHeight="1">
      <c r="A246" t="inlineStr">
        <is>
          <t>A 43488-2023</t>
        </is>
      </c>
      <c r="B246" s="1" t="n">
        <v>45181</v>
      </c>
      <c r="C246" s="1" t="n">
        <v>46143</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51162-2025</t>
        </is>
      </c>
      <c r="B247" s="1" t="n">
        <v>45947.58820601852</v>
      </c>
      <c r="C247" s="1" t="n">
        <v>46143</v>
      </c>
      <c r="D247" t="inlineStr">
        <is>
          <t>UPPSALA LÄN</t>
        </is>
      </c>
      <c r="E247" t="inlineStr">
        <is>
          <t>ENKÖPING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36599-2025</t>
        </is>
      </c>
      <c r="B248" s="1" t="n">
        <v>45870.51723379629</v>
      </c>
      <c r="C248" s="1" t="n">
        <v>46143</v>
      </c>
      <c r="D248" t="inlineStr">
        <is>
          <t>UPPSALA LÄN</t>
        </is>
      </c>
      <c r="E248" t="inlineStr">
        <is>
          <t>ENKÖPING</t>
        </is>
      </c>
      <c r="G248" t="n">
        <v>5.9</v>
      </c>
      <c r="H248" t="n">
        <v>0</v>
      </c>
      <c r="I248" t="n">
        <v>0</v>
      </c>
      <c r="J248" t="n">
        <v>0</v>
      </c>
      <c r="K248" t="n">
        <v>0</v>
      </c>
      <c r="L248" t="n">
        <v>0</v>
      </c>
      <c r="M248" t="n">
        <v>0</v>
      </c>
      <c r="N248" t="n">
        <v>0</v>
      </c>
      <c r="O248" t="n">
        <v>0</v>
      </c>
      <c r="P248" t="n">
        <v>0</v>
      </c>
      <c r="Q248" t="n">
        <v>0</v>
      </c>
      <c r="R248" s="2" t="inlineStr"/>
    </row>
    <row r="249" ht="15" customHeight="1">
      <c r="A249" t="inlineStr">
        <is>
          <t>A 51133-2025</t>
        </is>
      </c>
      <c r="B249" s="1" t="n">
        <v>45947.55598379629</v>
      </c>
      <c r="C249" s="1" t="n">
        <v>46143</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9171-2024</t>
        </is>
      </c>
      <c r="B250" s="1" t="n">
        <v>45358</v>
      </c>
      <c r="C250" s="1" t="n">
        <v>46143</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43230-2023</t>
        </is>
      </c>
      <c r="B251" s="1" t="n">
        <v>45183</v>
      </c>
      <c r="C251" s="1" t="n">
        <v>46143</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45362-2022</t>
        </is>
      </c>
      <c r="B252" s="1" t="n">
        <v>44844.62366898148</v>
      </c>
      <c r="C252" s="1" t="n">
        <v>46143</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72840-2021</t>
        </is>
      </c>
      <c r="B253" s="1" t="n">
        <v>44547</v>
      </c>
      <c r="C253" s="1" t="n">
        <v>46143</v>
      </c>
      <c r="D253" t="inlineStr">
        <is>
          <t>UPPSALA LÄN</t>
        </is>
      </c>
      <c r="E253" t="inlineStr">
        <is>
          <t>ENKÖPING</t>
        </is>
      </c>
      <c r="G253" t="n">
        <v>1.9</v>
      </c>
      <c r="H253" t="n">
        <v>0</v>
      </c>
      <c r="I253" t="n">
        <v>0</v>
      </c>
      <c r="J253" t="n">
        <v>0</v>
      </c>
      <c r="K253" t="n">
        <v>0</v>
      </c>
      <c r="L253" t="n">
        <v>0</v>
      </c>
      <c r="M253" t="n">
        <v>0</v>
      </c>
      <c r="N253" t="n">
        <v>0</v>
      </c>
      <c r="O253" t="n">
        <v>0</v>
      </c>
      <c r="P253" t="n">
        <v>0</v>
      </c>
      <c r="Q253" t="n">
        <v>0</v>
      </c>
      <c r="R253" s="2" t="inlineStr"/>
    </row>
    <row r="254" ht="15" customHeight="1">
      <c r="A254" t="inlineStr">
        <is>
          <t>A 37498-2025</t>
        </is>
      </c>
      <c r="B254" s="1" t="n">
        <v>45877</v>
      </c>
      <c r="C254" s="1" t="n">
        <v>46143</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25990-2025</t>
        </is>
      </c>
      <c r="B255" s="1" t="n">
        <v>45804.65229166667</v>
      </c>
      <c r="C255" s="1" t="n">
        <v>46143</v>
      </c>
      <c r="D255" t="inlineStr">
        <is>
          <t>UPPSALA LÄN</t>
        </is>
      </c>
      <c r="E255" t="inlineStr">
        <is>
          <t>ENKÖPING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37296-2025</t>
        </is>
      </c>
      <c r="B256" s="1" t="n">
        <v>45876</v>
      </c>
      <c r="C256" s="1" t="n">
        <v>46143</v>
      </c>
      <c r="D256" t="inlineStr">
        <is>
          <t>UPPSALA LÄN</t>
        </is>
      </c>
      <c r="E256" t="inlineStr">
        <is>
          <t>ENKÖPING</t>
        </is>
      </c>
      <c r="G256" t="n">
        <v>9.5</v>
      </c>
      <c r="H256" t="n">
        <v>0</v>
      </c>
      <c r="I256" t="n">
        <v>0</v>
      </c>
      <c r="J256" t="n">
        <v>0</v>
      </c>
      <c r="K256" t="n">
        <v>0</v>
      </c>
      <c r="L256" t="n">
        <v>0</v>
      </c>
      <c r="M256" t="n">
        <v>0</v>
      </c>
      <c r="N256" t="n">
        <v>0</v>
      </c>
      <c r="O256" t="n">
        <v>0</v>
      </c>
      <c r="P256" t="n">
        <v>0</v>
      </c>
      <c r="Q256" t="n">
        <v>0</v>
      </c>
      <c r="R256" s="2" t="inlineStr"/>
    </row>
    <row r="257" ht="15" customHeight="1">
      <c r="A257" t="inlineStr">
        <is>
          <t>A 26017-2025</t>
        </is>
      </c>
      <c r="B257" s="1" t="n">
        <v>45804</v>
      </c>
      <c r="C257" s="1" t="n">
        <v>46143</v>
      </c>
      <c r="D257" t="inlineStr">
        <is>
          <t>UPPSALA LÄN</t>
        </is>
      </c>
      <c r="E257" t="inlineStr">
        <is>
          <t>ENKÖPING</t>
        </is>
      </c>
      <c r="G257" t="n">
        <v>0.4</v>
      </c>
      <c r="H257" t="n">
        <v>0</v>
      </c>
      <c r="I257" t="n">
        <v>0</v>
      </c>
      <c r="J257" t="n">
        <v>0</v>
      </c>
      <c r="K257" t="n">
        <v>0</v>
      </c>
      <c r="L257" t="n">
        <v>0</v>
      </c>
      <c r="M257" t="n">
        <v>0</v>
      </c>
      <c r="N257" t="n">
        <v>0</v>
      </c>
      <c r="O257" t="n">
        <v>0</v>
      </c>
      <c r="P257" t="n">
        <v>0</v>
      </c>
      <c r="Q257" t="n">
        <v>0</v>
      </c>
      <c r="R257" s="2" t="inlineStr"/>
    </row>
    <row r="258" ht="15" customHeight="1">
      <c r="A258" t="inlineStr">
        <is>
          <t>A 37319-2025</t>
        </is>
      </c>
      <c r="B258" s="1" t="n">
        <v>45876</v>
      </c>
      <c r="C258" s="1" t="n">
        <v>46143</v>
      </c>
      <c r="D258" t="inlineStr">
        <is>
          <t>UPPSALA LÄN</t>
        </is>
      </c>
      <c r="E258" t="inlineStr">
        <is>
          <t>ENKÖPING</t>
        </is>
      </c>
      <c r="G258" t="n">
        <v>9.5</v>
      </c>
      <c r="H258" t="n">
        <v>0</v>
      </c>
      <c r="I258" t="n">
        <v>0</v>
      </c>
      <c r="J258" t="n">
        <v>0</v>
      </c>
      <c r="K258" t="n">
        <v>0</v>
      </c>
      <c r="L258" t="n">
        <v>0</v>
      </c>
      <c r="M258" t="n">
        <v>0</v>
      </c>
      <c r="N258" t="n">
        <v>0</v>
      </c>
      <c r="O258" t="n">
        <v>0</v>
      </c>
      <c r="P258" t="n">
        <v>0</v>
      </c>
      <c r="Q258" t="n">
        <v>0</v>
      </c>
      <c r="R258" s="2" t="inlineStr"/>
    </row>
    <row r="259" ht="15" customHeight="1">
      <c r="A259" t="inlineStr">
        <is>
          <t>A 49622-2024</t>
        </is>
      </c>
      <c r="B259" s="1" t="n">
        <v>45596.58372685185</v>
      </c>
      <c r="C259" s="1" t="n">
        <v>46143</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34617-2022</t>
        </is>
      </c>
      <c r="B260" s="1" t="n">
        <v>44795</v>
      </c>
      <c r="C260" s="1" t="n">
        <v>46143</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1992-2022</t>
        </is>
      </c>
      <c r="B261" s="1" t="n">
        <v>44575.56153935185</v>
      </c>
      <c r="C261" s="1" t="n">
        <v>46143</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1695-2025</t>
        </is>
      </c>
      <c r="B262" s="1" t="n">
        <v>45670</v>
      </c>
      <c r="C262" s="1" t="n">
        <v>46143</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54357-2023</t>
        </is>
      </c>
      <c r="B263" s="1" t="n">
        <v>45225</v>
      </c>
      <c r="C263" s="1" t="n">
        <v>46143</v>
      </c>
      <c r="D263" t="inlineStr">
        <is>
          <t>UPPSALA LÄN</t>
        </is>
      </c>
      <c r="E263" t="inlineStr">
        <is>
          <t>ENKÖPING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24962-2023</t>
        </is>
      </c>
      <c r="B264" s="1" t="n">
        <v>45085.60123842592</v>
      </c>
      <c r="C264" s="1" t="n">
        <v>46143</v>
      </c>
      <c r="D264" t="inlineStr">
        <is>
          <t>UPPSALA LÄN</t>
        </is>
      </c>
      <c r="E264" t="inlineStr">
        <is>
          <t>ENKÖPING</t>
        </is>
      </c>
      <c r="G264" t="n">
        <v>2.8</v>
      </c>
      <c r="H264" t="n">
        <v>0</v>
      </c>
      <c r="I264" t="n">
        <v>0</v>
      </c>
      <c r="J264" t="n">
        <v>0</v>
      </c>
      <c r="K264" t="n">
        <v>0</v>
      </c>
      <c r="L264" t="n">
        <v>0</v>
      </c>
      <c r="M264" t="n">
        <v>0</v>
      </c>
      <c r="N264" t="n">
        <v>0</v>
      </c>
      <c r="O264" t="n">
        <v>0</v>
      </c>
      <c r="P264" t="n">
        <v>0</v>
      </c>
      <c r="Q264" t="n">
        <v>0</v>
      </c>
      <c r="R264" s="2" t="inlineStr"/>
    </row>
    <row r="265" ht="15" customHeight="1">
      <c r="A265" t="inlineStr">
        <is>
          <t>A 5569-2026</t>
        </is>
      </c>
      <c r="B265" s="1" t="n">
        <v>46050.89431712963</v>
      </c>
      <c r="C265" s="1" t="n">
        <v>46143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58961-2024</t>
        </is>
      </c>
      <c r="B266" s="1" t="n">
        <v>45636.585</v>
      </c>
      <c r="C266" s="1" t="n">
        <v>46143</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26011-2025</t>
        </is>
      </c>
      <c r="B267" s="1" t="n">
        <v>45804.67412037037</v>
      </c>
      <c r="C267" s="1" t="n">
        <v>46143</v>
      </c>
      <c r="D267" t="inlineStr">
        <is>
          <t>UPPSALA LÄN</t>
        </is>
      </c>
      <c r="E267" t="inlineStr">
        <is>
          <t>ENKÖPING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25989-2025</t>
        </is>
      </c>
      <c r="B268" s="1" t="n">
        <v>45804.65050925926</v>
      </c>
      <c r="C268" s="1" t="n">
        <v>46143</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53595-2023</t>
        </is>
      </c>
      <c r="B269" s="1" t="n">
        <v>45223</v>
      </c>
      <c r="C269" s="1" t="n">
        <v>46143</v>
      </c>
      <c r="D269" t="inlineStr">
        <is>
          <t>UPPSALA LÄN</t>
        </is>
      </c>
      <c r="E269" t="inlineStr">
        <is>
          <t>ENKÖPING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5948-2026</t>
        </is>
      </c>
      <c r="B270" s="1" t="n">
        <v>46052</v>
      </c>
      <c r="C270" s="1" t="n">
        <v>46143</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6049-2026</t>
        </is>
      </c>
      <c r="B271" s="1" t="n">
        <v>46052.63005787037</v>
      </c>
      <c r="C271" s="1" t="n">
        <v>46143</v>
      </c>
      <c r="D271" t="inlineStr">
        <is>
          <t>UPPSALA LÄN</t>
        </is>
      </c>
      <c r="E271" t="inlineStr">
        <is>
          <t>ENKÖPING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6031-2026</t>
        </is>
      </c>
      <c r="B272" s="1" t="n">
        <v>46052.61201388889</v>
      </c>
      <c r="C272" s="1" t="n">
        <v>46143</v>
      </c>
      <c r="D272" t="inlineStr">
        <is>
          <t>UPPSALA LÄN</t>
        </is>
      </c>
      <c r="E272" t="inlineStr">
        <is>
          <t>ENKÖPING</t>
        </is>
      </c>
      <c r="G272" t="n">
        <v>4.1</v>
      </c>
      <c r="H272" t="n">
        <v>0</v>
      </c>
      <c r="I272" t="n">
        <v>0</v>
      </c>
      <c r="J272" t="n">
        <v>0</v>
      </c>
      <c r="K272" t="n">
        <v>0</v>
      </c>
      <c r="L272" t="n">
        <v>0</v>
      </c>
      <c r="M272" t="n">
        <v>0</v>
      </c>
      <c r="N272" t="n">
        <v>0</v>
      </c>
      <c r="O272" t="n">
        <v>0</v>
      </c>
      <c r="P272" t="n">
        <v>0</v>
      </c>
      <c r="Q272" t="n">
        <v>0</v>
      </c>
      <c r="R272" s="2" t="inlineStr"/>
    </row>
    <row r="273" ht="15" customHeight="1">
      <c r="A273" t="inlineStr">
        <is>
          <t>A 6044-2026</t>
        </is>
      </c>
      <c r="B273" s="1" t="n">
        <v>46052.62506944445</v>
      </c>
      <c r="C273" s="1" t="n">
        <v>46143</v>
      </c>
      <c r="D273" t="inlineStr">
        <is>
          <t>UPPSALA LÄN</t>
        </is>
      </c>
      <c r="E273" t="inlineStr">
        <is>
          <t>ENKÖPING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6047-2026</t>
        </is>
      </c>
      <c r="B274" s="1" t="n">
        <v>46052.62738425926</v>
      </c>
      <c r="C274" s="1" t="n">
        <v>46143</v>
      </c>
      <c r="D274" t="inlineStr">
        <is>
          <t>UPPSALA LÄN</t>
        </is>
      </c>
      <c r="E274" t="inlineStr">
        <is>
          <t>ENKÖPING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6041-2026</t>
        </is>
      </c>
      <c r="B275" s="1" t="n">
        <v>46052.62184027778</v>
      </c>
      <c r="C275" s="1" t="n">
        <v>46143</v>
      </c>
      <c r="D275" t="inlineStr">
        <is>
          <t>UPPSALA LÄN</t>
        </is>
      </c>
      <c r="E275" t="inlineStr">
        <is>
          <t>ENKÖPING</t>
        </is>
      </c>
      <c r="G275" t="n">
        <v>4</v>
      </c>
      <c r="H275" t="n">
        <v>0</v>
      </c>
      <c r="I275" t="n">
        <v>0</v>
      </c>
      <c r="J275" t="n">
        <v>0</v>
      </c>
      <c r="K275" t="n">
        <v>0</v>
      </c>
      <c r="L275" t="n">
        <v>0</v>
      </c>
      <c r="M275" t="n">
        <v>0</v>
      </c>
      <c r="N275" t="n">
        <v>0</v>
      </c>
      <c r="O275" t="n">
        <v>0</v>
      </c>
      <c r="P275" t="n">
        <v>0</v>
      </c>
      <c r="Q275" t="n">
        <v>0</v>
      </c>
      <c r="R275" s="2" t="inlineStr"/>
    </row>
    <row r="276" ht="15" customHeight="1">
      <c r="A276" t="inlineStr">
        <is>
          <t>A 7008-2026</t>
        </is>
      </c>
      <c r="B276" s="1" t="n">
        <v>46057.63806712963</v>
      </c>
      <c r="C276" s="1" t="n">
        <v>46143</v>
      </c>
      <c r="D276" t="inlineStr">
        <is>
          <t>UPPSALA LÄN</t>
        </is>
      </c>
      <c r="E276" t="inlineStr">
        <is>
          <t>ENKÖPING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7003-2026</t>
        </is>
      </c>
      <c r="B277" s="1" t="n">
        <v>46057.63243055555</v>
      </c>
      <c r="C277" s="1" t="n">
        <v>46143</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15893-2024</t>
        </is>
      </c>
      <c r="B278" s="1" t="n">
        <v>45405</v>
      </c>
      <c r="C278" s="1" t="n">
        <v>46143</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18028-2023</t>
        </is>
      </c>
      <c r="B279" s="1" t="n">
        <v>45040</v>
      </c>
      <c r="C279" s="1" t="n">
        <v>46143</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7175-2026</t>
        </is>
      </c>
      <c r="B280" s="1" t="n">
        <v>46058.46399305556</v>
      </c>
      <c r="C280" s="1" t="n">
        <v>46143</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21017-2023</t>
        </is>
      </c>
      <c r="B281" s="1" t="n">
        <v>45061</v>
      </c>
      <c r="C281" s="1" t="n">
        <v>46143</v>
      </c>
      <c r="D281" t="inlineStr">
        <is>
          <t>UPPSALA LÄN</t>
        </is>
      </c>
      <c r="E281" t="inlineStr">
        <is>
          <t>ENKÖPING</t>
        </is>
      </c>
      <c r="G281" t="n">
        <v>4.8</v>
      </c>
      <c r="H281" t="n">
        <v>0</v>
      </c>
      <c r="I281" t="n">
        <v>0</v>
      </c>
      <c r="J281" t="n">
        <v>0</v>
      </c>
      <c r="K281" t="n">
        <v>0</v>
      </c>
      <c r="L281" t="n">
        <v>0</v>
      </c>
      <c r="M281" t="n">
        <v>0</v>
      </c>
      <c r="N281" t="n">
        <v>0</v>
      </c>
      <c r="O281" t="n">
        <v>0</v>
      </c>
      <c r="P281" t="n">
        <v>0</v>
      </c>
      <c r="Q281" t="n">
        <v>0</v>
      </c>
      <c r="R281" s="2" t="inlineStr"/>
    </row>
    <row r="282" ht="15" customHeight="1">
      <c r="A282" t="inlineStr">
        <is>
          <t>A 2850-2025</t>
        </is>
      </c>
      <c r="B282" s="1" t="n">
        <v>45677</v>
      </c>
      <c r="C282" s="1" t="n">
        <v>46143</v>
      </c>
      <c r="D282" t="inlineStr">
        <is>
          <t>UPPSALA LÄN</t>
        </is>
      </c>
      <c r="E282" t="inlineStr">
        <is>
          <t>ENKÖPING</t>
        </is>
      </c>
      <c r="G282" t="n">
        <v>0.3</v>
      </c>
      <c r="H282" t="n">
        <v>0</v>
      </c>
      <c r="I282" t="n">
        <v>0</v>
      </c>
      <c r="J282" t="n">
        <v>0</v>
      </c>
      <c r="K282" t="n">
        <v>0</v>
      </c>
      <c r="L282" t="n">
        <v>0</v>
      </c>
      <c r="M282" t="n">
        <v>0</v>
      </c>
      <c r="N282" t="n">
        <v>0</v>
      </c>
      <c r="O282" t="n">
        <v>0</v>
      </c>
      <c r="P282" t="n">
        <v>0</v>
      </c>
      <c r="Q282" t="n">
        <v>0</v>
      </c>
      <c r="R282" s="2" t="inlineStr"/>
    </row>
    <row r="283" ht="15" customHeight="1">
      <c r="A283" t="inlineStr">
        <is>
          <t>A 54541-2025</t>
        </is>
      </c>
      <c r="B283" s="1" t="n">
        <v>45965.64733796296</v>
      </c>
      <c r="C283" s="1" t="n">
        <v>46143</v>
      </c>
      <c r="D283" t="inlineStr">
        <is>
          <t>UPPSALA LÄN</t>
        </is>
      </c>
      <c r="E283" t="inlineStr">
        <is>
          <t>ENKÖPING</t>
        </is>
      </c>
      <c r="G283" t="n">
        <v>3.1</v>
      </c>
      <c r="H283" t="n">
        <v>0</v>
      </c>
      <c r="I283" t="n">
        <v>0</v>
      </c>
      <c r="J283" t="n">
        <v>0</v>
      </c>
      <c r="K283" t="n">
        <v>0</v>
      </c>
      <c r="L283" t="n">
        <v>0</v>
      </c>
      <c r="M283" t="n">
        <v>0</v>
      </c>
      <c r="N283" t="n">
        <v>0</v>
      </c>
      <c r="O283" t="n">
        <v>0</v>
      </c>
      <c r="P283" t="n">
        <v>0</v>
      </c>
      <c r="Q283" t="n">
        <v>0</v>
      </c>
      <c r="R283" s="2" t="inlineStr"/>
    </row>
    <row r="284" ht="15" customHeight="1">
      <c r="A284" t="inlineStr">
        <is>
          <t>A 54263-2025</t>
        </is>
      </c>
      <c r="B284" s="1" t="n">
        <v>45964.66271990741</v>
      </c>
      <c r="C284" s="1" t="n">
        <v>46143</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48843-2023</t>
        </is>
      </c>
      <c r="B285" s="1" t="n">
        <v>45209</v>
      </c>
      <c r="C285" s="1" t="n">
        <v>46143</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33670-2024</t>
        </is>
      </c>
      <c r="B286" s="1" t="n">
        <v>45520</v>
      </c>
      <c r="C286" s="1" t="n">
        <v>46143</v>
      </c>
      <c r="D286" t="inlineStr">
        <is>
          <t>UPPSALA LÄN</t>
        </is>
      </c>
      <c r="E286" t="inlineStr">
        <is>
          <t>ENKÖPING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54844-2025</t>
        </is>
      </c>
      <c r="B287" s="1" t="n">
        <v>45966.69570601852</v>
      </c>
      <c r="C287" s="1" t="n">
        <v>46143</v>
      </c>
      <c r="D287" t="inlineStr">
        <is>
          <t>UPPSALA LÄN</t>
        </is>
      </c>
      <c r="E287" t="inlineStr">
        <is>
          <t>ENKÖPING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54758-2025</t>
        </is>
      </c>
      <c r="B288" s="1" t="n">
        <v>45966.59737268519</v>
      </c>
      <c r="C288" s="1" t="n">
        <v>46143</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55567-2025</t>
        </is>
      </c>
      <c r="B289" s="1" t="n">
        <v>45971.65589120371</v>
      </c>
      <c r="C289" s="1" t="n">
        <v>46143</v>
      </c>
      <c r="D289" t="inlineStr">
        <is>
          <t>UPPSALA LÄN</t>
        </is>
      </c>
      <c r="E289" t="inlineStr">
        <is>
          <t>ENKÖPING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19376-2024</t>
        </is>
      </c>
      <c r="B290" s="1" t="n">
        <v>45429</v>
      </c>
      <c r="C290" s="1" t="n">
        <v>46143</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15003-2026</t>
        </is>
      </c>
      <c r="B291" s="1" t="n">
        <v>46104.60931712963</v>
      </c>
      <c r="C291" s="1" t="n">
        <v>46143</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12020-2024</t>
        </is>
      </c>
      <c r="B292" s="1" t="n">
        <v>45377</v>
      </c>
      <c r="C292" s="1" t="n">
        <v>46143</v>
      </c>
      <c r="D292" t="inlineStr">
        <is>
          <t>UPPSALA LÄN</t>
        </is>
      </c>
      <c r="E292" t="inlineStr">
        <is>
          <t>ENKÖPING</t>
        </is>
      </c>
      <c r="G292" t="n">
        <v>2</v>
      </c>
      <c r="H292" t="n">
        <v>0</v>
      </c>
      <c r="I292" t="n">
        <v>0</v>
      </c>
      <c r="J292" t="n">
        <v>0</v>
      </c>
      <c r="K292" t="n">
        <v>0</v>
      </c>
      <c r="L292" t="n">
        <v>0</v>
      </c>
      <c r="M292" t="n">
        <v>0</v>
      </c>
      <c r="N292" t="n">
        <v>0</v>
      </c>
      <c r="O292" t="n">
        <v>0</v>
      </c>
      <c r="P292" t="n">
        <v>0</v>
      </c>
      <c r="Q292" t="n">
        <v>0</v>
      </c>
      <c r="R292" s="2" t="inlineStr"/>
    </row>
    <row r="293" ht="15" customHeight="1">
      <c r="A293" t="inlineStr">
        <is>
          <t>A 10465-2022</t>
        </is>
      </c>
      <c r="B293" s="1" t="n">
        <v>44623</v>
      </c>
      <c r="C293" s="1" t="n">
        <v>46143</v>
      </c>
      <c r="D293" t="inlineStr">
        <is>
          <t>UPPSALA LÄN</t>
        </is>
      </c>
      <c r="E293" t="inlineStr">
        <is>
          <t>ENKÖPING</t>
        </is>
      </c>
      <c r="G293" t="n">
        <v>1.7</v>
      </c>
      <c r="H293" t="n">
        <v>0</v>
      </c>
      <c r="I293" t="n">
        <v>0</v>
      </c>
      <c r="J293" t="n">
        <v>0</v>
      </c>
      <c r="K293" t="n">
        <v>0</v>
      </c>
      <c r="L293" t="n">
        <v>0</v>
      </c>
      <c r="M293" t="n">
        <v>0</v>
      </c>
      <c r="N293" t="n">
        <v>0</v>
      </c>
      <c r="O293" t="n">
        <v>0</v>
      </c>
      <c r="P293" t="n">
        <v>0</v>
      </c>
      <c r="Q293" t="n">
        <v>0</v>
      </c>
      <c r="R293" s="2" t="inlineStr"/>
    </row>
    <row r="294" ht="15" customHeight="1">
      <c r="A294" t="inlineStr">
        <is>
          <t>A 14332-2024</t>
        </is>
      </c>
      <c r="B294" s="1" t="n">
        <v>45393</v>
      </c>
      <c r="C294" s="1" t="n">
        <v>46143</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61207-2023</t>
        </is>
      </c>
      <c r="B295" s="1" t="n">
        <v>45264.39444444444</v>
      </c>
      <c r="C295" s="1" t="n">
        <v>46143</v>
      </c>
      <c r="D295" t="inlineStr">
        <is>
          <t>UPPSALA LÄN</t>
        </is>
      </c>
      <c r="E295" t="inlineStr">
        <is>
          <t>ENKÖPING</t>
        </is>
      </c>
      <c r="G295" t="n">
        <v>10.8</v>
      </c>
      <c r="H295" t="n">
        <v>0</v>
      </c>
      <c r="I295" t="n">
        <v>0</v>
      </c>
      <c r="J295" t="n">
        <v>0</v>
      </c>
      <c r="K295" t="n">
        <v>0</v>
      </c>
      <c r="L295" t="n">
        <v>0</v>
      </c>
      <c r="M295" t="n">
        <v>0</v>
      </c>
      <c r="N295" t="n">
        <v>0</v>
      </c>
      <c r="O295" t="n">
        <v>0</v>
      </c>
      <c r="P295" t="n">
        <v>0</v>
      </c>
      <c r="Q295" t="n">
        <v>0</v>
      </c>
      <c r="R295" s="2" t="inlineStr"/>
    </row>
    <row r="296" ht="15" customHeight="1">
      <c r="A296" t="inlineStr">
        <is>
          <t>A 56625-2025</t>
        </is>
      </c>
      <c r="B296" s="1" t="n">
        <v>45975.60608796297</v>
      </c>
      <c r="C296" s="1" t="n">
        <v>46143</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40812-2022</t>
        </is>
      </c>
      <c r="B297" s="1" t="n">
        <v>44824.68791666667</v>
      </c>
      <c r="C297" s="1" t="n">
        <v>46143</v>
      </c>
      <c r="D297" t="inlineStr">
        <is>
          <t>UPPSALA LÄN</t>
        </is>
      </c>
      <c r="E297" t="inlineStr">
        <is>
          <t>ENKÖPING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43691-2024</t>
        </is>
      </c>
      <c r="B298" s="1" t="n">
        <v>45569</v>
      </c>
      <c r="C298" s="1" t="n">
        <v>46143</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8309-2026</t>
        </is>
      </c>
      <c r="B299" s="1" t="n">
        <v>46064.59081018518</v>
      </c>
      <c r="C299" s="1" t="n">
        <v>46143</v>
      </c>
      <c r="D299" t="inlineStr">
        <is>
          <t>UPPSALA LÄN</t>
        </is>
      </c>
      <c r="E299" t="inlineStr">
        <is>
          <t>ENKÖPING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57294-2025</t>
        </is>
      </c>
      <c r="B300" s="1" t="n">
        <v>45979</v>
      </c>
      <c r="C300" s="1" t="n">
        <v>46143</v>
      </c>
      <c r="D300" t="inlineStr">
        <is>
          <t>UPPSALA LÄN</t>
        </is>
      </c>
      <c r="E300" t="inlineStr">
        <is>
          <t>ENKÖPING</t>
        </is>
      </c>
      <c r="G300" t="n">
        <v>6.2</v>
      </c>
      <c r="H300" t="n">
        <v>0</v>
      </c>
      <c r="I300" t="n">
        <v>0</v>
      </c>
      <c r="J300" t="n">
        <v>0</v>
      </c>
      <c r="K300" t="n">
        <v>0</v>
      </c>
      <c r="L300" t="n">
        <v>0</v>
      </c>
      <c r="M300" t="n">
        <v>0</v>
      </c>
      <c r="N300" t="n">
        <v>0</v>
      </c>
      <c r="O300" t="n">
        <v>0</v>
      </c>
      <c r="P300" t="n">
        <v>0</v>
      </c>
      <c r="Q300" t="n">
        <v>0</v>
      </c>
      <c r="R300" s="2" t="inlineStr"/>
    </row>
    <row r="301" ht="15" customHeight="1">
      <c r="A301" t="inlineStr">
        <is>
          <t>A 25333-2023</t>
        </is>
      </c>
      <c r="B301" s="1" t="n">
        <v>45083</v>
      </c>
      <c r="C301" s="1" t="n">
        <v>46143</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3300-2025</t>
        </is>
      </c>
      <c r="B302" s="1" t="n">
        <v>45679</v>
      </c>
      <c r="C302" s="1" t="n">
        <v>46143</v>
      </c>
      <c r="D302" t="inlineStr">
        <is>
          <t>UPPSALA LÄN</t>
        </is>
      </c>
      <c r="E302" t="inlineStr">
        <is>
          <t>ENKÖPING</t>
        </is>
      </c>
      <c r="G302" t="n">
        <v>8.9</v>
      </c>
      <c r="H302" t="n">
        <v>0</v>
      </c>
      <c r="I302" t="n">
        <v>0</v>
      </c>
      <c r="J302" t="n">
        <v>0</v>
      </c>
      <c r="K302" t="n">
        <v>0</v>
      </c>
      <c r="L302" t="n">
        <v>0</v>
      </c>
      <c r="M302" t="n">
        <v>0</v>
      </c>
      <c r="N302" t="n">
        <v>0</v>
      </c>
      <c r="O302" t="n">
        <v>0</v>
      </c>
      <c r="P302" t="n">
        <v>0</v>
      </c>
      <c r="Q302" t="n">
        <v>0</v>
      </c>
      <c r="R302" s="2" t="inlineStr"/>
    </row>
    <row r="303" ht="15" customHeight="1">
      <c r="A303" t="inlineStr">
        <is>
          <t>A 12754-2025</t>
        </is>
      </c>
      <c r="B303" s="1" t="n">
        <v>45733.56331018519</v>
      </c>
      <c r="C303" s="1" t="n">
        <v>46143</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58025-2025</t>
        </is>
      </c>
      <c r="B304" s="1" t="n">
        <v>45982</v>
      </c>
      <c r="C304" s="1" t="n">
        <v>46143</v>
      </c>
      <c r="D304" t="inlineStr">
        <is>
          <t>UPPSALA LÄN</t>
        </is>
      </c>
      <c r="E304" t="inlineStr">
        <is>
          <t>ENKÖPING</t>
        </is>
      </c>
      <c r="G304" t="n">
        <v>3.2</v>
      </c>
      <c r="H304" t="n">
        <v>0</v>
      </c>
      <c r="I304" t="n">
        <v>0</v>
      </c>
      <c r="J304" t="n">
        <v>0</v>
      </c>
      <c r="K304" t="n">
        <v>0</v>
      </c>
      <c r="L304" t="n">
        <v>0</v>
      </c>
      <c r="M304" t="n">
        <v>0</v>
      </c>
      <c r="N304" t="n">
        <v>0</v>
      </c>
      <c r="O304" t="n">
        <v>0</v>
      </c>
      <c r="P304" t="n">
        <v>0</v>
      </c>
      <c r="Q304" t="n">
        <v>0</v>
      </c>
      <c r="R304" s="2" t="inlineStr"/>
    </row>
    <row r="305" ht="15" customHeight="1">
      <c r="A305" t="inlineStr">
        <is>
          <t>A 57188-2025</t>
        </is>
      </c>
      <c r="B305" s="1" t="n">
        <v>45979</v>
      </c>
      <c r="C305" s="1" t="n">
        <v>46143</v>
      </c>
      <c r="D305" t="inlineStr">
        <is>
          <t>UPPSALA LÄN</t>
        </is>
      </c>
      <c r="E305" t="inlineStr">
        <is>
          <t>ENKÖPING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16176-2025</t>
        </is>
      </c>
      <c r="B306" s="1" t="n">
        <v>45750</v>
      </c>
      <c r="C306" s="1" t="n">
        <v>46143</v>
      </c>
      <c r="D306" t="inlineStr">
        <is>
          <t>UPPSALA LÄN</t>
        </is>
      </c>
      <c r="E306" t="inlineStr">
        <is>
          <t>ENKÖPING</t>
        </is>
      </c>
      <c r="G306" t="n">
        <v>3.9</v>
      </c>
      <c r="H306" t="n">
        <v>0</v>
      </c>
      <c r="I306" t="n">
        <v>0</v>
      </c>
      <c r="J306" t="n">
        <v>0</v>
      </c>
      <c r="K306" t="n">
        <v>0</v>
      </c>
      <c r="L306" t="n">
        <v>0</v>
      </c>
      <c r="M306" t="n">
        <v>0</v>
      </c>
      <c r="N306" t="n">
        <v>0</v>
      </c>
      <c r="O306" t="n">
        <v>0</v>
      </c>
      <c r="P306" t="n">
        <v>0</v>
      </c>
      <c r="Q306" t="n">
        <v>0</v>
      </c>
      <c r="R306" s="2" t="inlineStr"/>
    </row>
    <row r="307" ht="15" customHeight="1">
      <c r="A307" t="inlineStr">
        <is>
          <t>A 56713-2024</t>
        </is>
      </c>
      <c r="B307" s="1" t="n">
        <v>45628</v>
      </c>
      <c r="C307" s="1" t="n">
        <v>46143</v>
      </c>
      <c r="D307" t="inlineStr">
        <is>
          <t>UPPSALA LÄN</t>
        </is>
      </c>
      <c r="E307" t="inlineStr">
        <is>
          <t>ENKÖPING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15547-2026</t>
        </is>
      </c>
      <c r="B308" s="1" t="n">
        <v>46106.52613425926</v>
      </c>
      <c r="C308" s="1" t="n">
        <v>46143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37870-2023</t>
        </is>
      </c>
      <c r="B309" s="1" t="n">
        <v>45160.41996527778</v>
      </c>
      <c r="C309" s="1" t="n">
        <v>46143</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22094-2023</t>
        </is>
      </c>
      <c r="B310" s="1" t="n">
        <v>45069</v>
      </c>
      <c r="C310" s="1" t="n">
        <v>46143</v>
      </c>
      <c r="D310" t="inlineStr">
        <is>
          <t>UPPSALA LÄN</t>
        </is>
      </c>
      <c r="E310" t="inlineStr">
        <is>
          <t>ENKÖPING</t>
        </is>
      </c>
      <c r="G310" t="n">
        <v>2.1</v>
      </c>
      <c r="H310" t="n">
        <v>0</v>
      </c>
      <c r="I310" t="n">
        <v>0</v>
      </c>
      <c r="J310" t="n">
        <v>0</v>
      </c>
      <c r="K310" t="n">
        <v>0</v>
      </c>
      <c r="L310" t="n">
        <v>0</v>
      </c>
      <c r="M310" t="n">
        <v>0</v>
      </c>
      <c r="N310" t="n">
        <v>0</v>
      </c>
      <c r="O310" t="n">
        <v>0</v>
      </c>
      <c r="P310" t="n">
        <v>0</v>
      </c>
      <c r="Q310" t="n">
        <v>0</v>
      </c>
      <c r="R310" s="2" t="inlineStr"/>
    </row>
    <row r="311" ht="15" customHeight="1">
      <c r="A311" t="inlineStr">
        <is>
          <t>A 15405-2025</t>
        </is>
      </c>
      <c r="B311" s="1" t="n">
        <v>45747.44670138889</v>
      </c>
      <c r="C311" s="1" t="n">
        <v>46143</v>
      </c>
      <c r="D311" t="inlineStr">
        <is>
          <t>UPPSALA LÄN</t>
        </is>
      </c>
      <c r="E311" t="inlineStr">
        <is>
          <t>ENKÖPING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35079-2024</t>
        </is>
      </c>
      <c r="B312" s="1" t="n">
        <v>45527.66770833333</v>
      </c>
      <c r="C312" s="1" t="n">
        <v>46143</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59668-2025</t>
        </is>
      </c>
      <c r="B313" s="1" t="n">
        <v>45992.45567129629</v>
      </c>
      <c r="C313" s="1" t="n">
        <v>46143</v>
      </c>
      <c r="D313" t="inlineStr">
        <is>
          <t>UPPSALA LÄN</t>
        </is>
      </c>
      <c r="E313" t="inlineStr">
        <is>
          <t>ENKÖPING</t>
        </is>
      </c>
      <c r="G313" t="n">
        <v>3.3</v>
      </c>
      <c r="H313" t="n">
        <v>0</v>
      </c>
      <c r="I313" t="n">
        <v>0</v>
      </c>
      <c r="J313" t="n">
        <v>0</v>
      </c>
      <c r="K313" t="n">
        <v>0</v>
      </c>
      <c r="L313" t="n">
        <v>0</v>
      </c>
      <c r="M313" t="n">
        <v>0</v>
      </c>
      <c r="N313" t="n">
        <v>0</v>
      </c>
      <c r="O313" t="n">
        <v>0</v>
      </c>
      <c r="P313" t="n">
        <v>0</v>
      </c>
      <c r="Q313" t="n">
        <v>0</v>
      </c>
      <c r="R313" s="2" t="inlineStr"/>
    </row>
    <row r="314" ht="15" customHeight="1">
      <c r="A314" t="inlineStr">
        <is>
          <t>A 33581-2023</t>
        </is>
      </c>
      <c r="B314" s="1" t="n">
        <v>45131</v>
      </c>
      <c r="C314" s="1" t="n">
        <v>46143</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59964-2025</t>
        </is>
      </c>
      <c r="B315" s="1" t="n">
        <v>45993.48043981481</v>
      </c>
      <c r="C315" s="1" t="n">
        <v>46143</v>
      </c>
      <c r="D315" t="inlineStr">
        <is>
          <t>UPPSALA LÄN</t>
        </is>
      </c>
      <c r="E315" t="inlineStr">
        <is>
          <t>ENKÖPING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56163-2021</t>
        </is>
      </c>
      <c r="B316" s="1" t="n">
        <v>44477</v>
      </c>
      <c r="C316" s="1" t="n">
        <v>46143</v>
      </c>
      <c r="D316" t="inlineStr">
        <is>
          <t>UPPSALA LÄN</t>
        </is>
      </c>
      <c r="E316" t="inlineStr">
        <is>
          <t>ENKÖPING</t>
        </is>
      </c>
      <c r="F316" t="inlineStr">
        <is>
          <t>Allmännings- och besparingsskogar</t>
        </is>
      </c>
      <c r="G316" t="n">
        <v>0.6</v>
      </c>
      <c r="H316" t="n">
        <v>0</v>
      </c>
      <c r="I316" t="n">
        <v>0</v>
      </c>
      <c r="J316" t="n">
        <v>0</v>
      </c>
      <c r="K316" t="n">
        <v>0</v>
      </c>
      <c r="L316" t="n">
        <v>0</v>
      </c>
      <c r="M316" t="n">
        <v>0</v>
      </c>
      <c r="N316" t="n">
        <v>0</v>
      </c>
      <c r="O316" t="n">
        <v>0</v>
      </c>
      <c r="P316" t="n">
        <v>0</v>
      </c>
      <c r="Q316" t="n">
        <v>0</v>
      </c>
      <c r="R316" s="2" t="inlineStr"/>
    </row>
    <row r="317" ht="15" customHeight="1">
      <c r="A317" t="inlineStr">
        <is>
          <t>A 47909-2024</t>
        </is>
      </c>
      <c r="B317" s="1" t="n">
        <v>45589.31866898148</v>
      </c>
      <c r="C317" s="1" t="n">
        <v>46143</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51932-2022</t>
        </is>
      </c>
      <c r="B318" s="1" t="n">
        <v>44872</v>
      </c>
      <c r="C318" s="1" t="n">
        <v>46143</v>
      </c>
      <c r="D318" t="inlineStr">
        <is>
          <t>UPPSALA LÄN</t>
        </is>
      </c>
      <c r="E318" t="inlineStr">
        <is>
          <t>ENKÖPING</t>
        </is>
      </c>
      <c r="G318" t="n">
        <v>5.5</v>
      </c>
      <c r="H318" t="n">
        <v>0</v>
      </c>
      <c r="I318" t="n">
        <v>0</v>
      </c>
      <c r="J318" t="n">
        <v>0</v>
      </c>
      <c r="K318" t="n">
        <v>0</v>
      </c>
      <c r="L318" t="n">
        <v>0</v>
      </c>
      <c r="M318" t="n">
        <v>0</v>
      </c>
      <c r="N318" t="n">
        <v>0</v>
      </c>
      <c r="O318" t="n">
        <v>0</v>
      </c>
      <c r="P318" t="n">
        <v>0</v>
      </c>
      <c r="Q318" t="n">
        <v>0</v>
      </c>
      <c r="R318" s="2" t="inlineStr"/>
    </row>
    <row r="319" ht="15" customHeight="1">
      <c r="A319" t="inlineStr">
        <is>
          <t>A 60340-2025</t>
        </is>
      </c>
      <c r="B319" s="1" t="n">
        <v>45994.83415509259</v>
      </c>
      <c r="C319" s="1" t="n">
        <v>46143</v>
      </c>
      <c r="D319" t="inlineStr">
        <is>
          <t>UPPSALA LÄN</t>
        </is>
      </c>
      <c r="E319" t="inlineStr">
        <is>
          <t>ENKÖPING</t>
        </is>
      </c>
      <c r="G319" t="n">
        <v>5.6</v>
      </c>
      <c r="H319" t="n">
        <v>0</v>
      </c>
      <c r="I319" t="n">
        <v>0</v>
      </c>
      <c r="J319" t="n">
        <v>0</v>
      </c>
      <c r="K319" t="n">
        <v>0</v>
      </c>
      <c r="L319" t="n">
        <v>0</v>
      </c>
      <c r="M319" t="n">
        <v>0</v>
      </c>
      <c r="N319" t="n">
        <v>0</v>
      </c>
      <c r="O319" t="n">
        <v>0</v>
      </c>
      <c r="P319" t="n">
        <v>0</v>
      </c>
      <c r="Q319" t="n">
        <v>0</v>
      </c>
      <c r="R319" s="2" t="inlineStr"/>
    </row>
    <row r="320" ht="15" customHeight="1">
      <c r="A320" t="inlineStr">
        <is>
          <t>A 60174-2025</t>
        </is>
      </c>
      <c r="B320" s="1" t="n">
        <v>45994.45039351852</v>
      </c>
      <c r="C320" s="1" t="n">
        <v>46143</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60175-2025</t>
        </is>
      </c>
      <c r="B321" s="1" t="n">
        <v>45994.45378472222</v>
      </c>
      <c r="C321" s="1" t="n">
        <v>46143</v>
      </c>
      <c r="D321" t="inlineStr">
        <is>
          <t>UPPSALA LÄN</t>
        </is>
      </c>
      <c r="E321" t="inlineStr">
        <is>
          <t>ENKÖPING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60947-2025</t>
        </is>
      </c>
      <c r="B322" s="1" t="n">
        <v>45999</v>
      </c>
      <c r="C322" s="1" t="n">
        <v>46143</v>
      </c>
      <c r="D322" t="inlineStr">
        <is>
          <t>UPPSALA LÄN</t>
        </is>
      </c>
      <c r="E322" t="inlineStr">
        <is>
          <t>ENKÖPING</t>
        </is>
      </c>
      <c r="G322" t="n">
        <v>4</v>
      </c>
      <c r="H322" t="n">
        <v>0</v>
      </c>
      <c r="I322" t="n">
        <v>0</v>
      </c>
      <c r="J322" t="n">
        <v>0</v>
      </c>
      <c r="K322" t="n">
        <v>0</v>
      </c>
      <c r="L322" t="n">
        <v>0</v>
      </c>
      <c r="M322" t="n">
        <v>0</v>
      </c>
      <c r="N322" t="n">
        <v>0</v>
      </c>
      <c r="O322" t="n">
        <v>0</v>
      </c>
      <c r="P322" t="n">
        <v>0</v>
      </c>
      <c r="Q322" t="n">
        <v>0</v>
      </c>
      <c r="R322" s="2" t="inlineStr"/>
    </row>
    <row r="323" ht="15" customHeight="1">
      <c r="A323" t="inlineStr">
        <is>
          <t>A 60934-2025</t>
        </is>
      </c>
      <c r="B323" s="1" t="n">
        <v>45999</v>
      </c>
      <c r="C323" s="1" t="n">
        <v>46143</v>
      </c>
      <c r="D323" t="inlineStr">
        <is>
          <t>UPPSALA LÄN</t>
        </is>
      </c>
      <c r="E323" t="inlineStr">
        <is>
          <t>ENKÖPING</t>
        </is>
      </c>
      <c r="G323" t="n">
        <v>2.5</v>
      </c>
      <c r="H323" t="n">
        <v>0</v>
      </c>
      <c r="I323" t="n">
        <v>0</v>
      </c>
      <c r="J323" t="n">
        <v>0</v>
      </c>
      <c r="K323" t="n">
        <v>0</v>
      </c>
      <c r="L323" t="n">
        <v>0</v>
      </c>
      <c r="M323" t="n">
        <v>0</v>
      </c>
      <c r="N323" t="n">
        <v>0</v>
      </c>
      <c r="O323" t="n">
        <v>0</v>
      </c>
      <c r="P323" t="n">
        <v>0</v>
      </c>
      <c r="Q323" t="n">
        <v>0</v>
      </c>
      <c r="R323" s="2" t="inlineStr"/>
    </row>
    <row r="324" ht="15" customHeight="1">
      <c r="A324" t="inlineStr">
        <is>
          <t>A 61437-2025</t>
        </is>
      </c>
      <c r="B324" s="1" t="n">
        <v>46001.5659375</v>
      </c>
      <c r="C324" s="1" t="n">
        <v>46143</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59497-2022</t>
        </is>
      </c>
      <c r="B325" s="1" t="n">
        <v>44907.48258101852</v>
      </c>
      <c r="C325" s="1" t="n">
        <v>46143</v>
      </c>
      <c r="D325" t="inlineStr">
        <is>
          <t>UPPSALA LÄN</t>
        </is>
      </c>
      <c r="E325" t="inlineStr">
        <is>
          <t>ENKÖPING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9257-2026</t>
        </is>
      </c>
      <c r="B326" s="1" t="n">
        <v>46070.51166666667</v>
      </c>
      <c r="C326" s="1" t="n">
        <v>46143</v>
      </c>
      <c r="D326" t="inlineStr">
        <is>
          <t>UPPSALA LÄN</t>
        </is>
      </c>
      <c r="E326" t="inlineStr">
        <is>
          <t>ENKÖPING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9041-2023</t>
        </is>
      </c>
      <c r="B327" s="1" t="n">
        <v>44979</v>
      </c>
      <c r="C327" s="1" t="n">
        <v>46143</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9474-2026</t>
        </is>
      </c>
      <c r="B328" s="1" t="n">
        <v>46071.52324074074</v>
      </c>
      <c r="C328" s="1" t="n">
        <v>46143</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29477-2025</t>
        </is>
      </c>
      <c r="B329" s="1" t="n">
        <v>45824.71537037037</v>
      </c>
      <c r="C329" s="1" t="n">
        <v>46143</v>
      </c>
      <c r="D329" t="inlineStr">
        <is>
          <t>UPPSALA LÄN</t>
        </is>
      </c>
      <c r="E329" t="inlineStr">
        <is>
          <t>ENKÖPING</t>
        </is>
      </c>
      <c r="G329" t="n">
        <v>13.4</v>
      </c>
      <c r="H329" t="n">
        <v>0</v>
      </c>
      <c r="I329" t="n">
        <v>0</v>
      </c>
      <c r="J329" t="n">
        <v>0</v>
      </c>
      <c r="K329" t="n">
        <v>0</v>
      </c>
      <c r="L329" t="n">
        <v>0</v>
      </c>
      <c r="M329" t="n">
        <v>0</v>
      </c>
      <c r="N329" t="n">
        <v>0</v>
      </c>
      <c r="O329" t="n">
        <v>0</v>
      </c>
      <c r="P329" t="n">
        <v>0</v>
      </c>
      <c r="Q329" t="n">
        <v>0</v>
      </c>
      <c r="R329" s="2" t="inlineStr"/>
    </row>
    <row r="330" ht="15" customHeight="1">
      <c r="A330" t="inlineStr">
        <is>
          <t>A 61778-2025</t>
        </is>
      </c>
      <c r="B330" s="1" t="n">
        <v>46002.66555555556</v>
      </c>
      <c r="C330" s="1" t="n">
        <v>46143</v>
      </c>
      <c r="D330" t="inlineStr">
        <is>
          <t>UPPSALA LÄN</t>
        </is>
      </c>
      <c r="E330" t="inlineStr">
        <is>
          <t>ENKÖPING</t>
        </is>
      </c>
      <c r="G330" t="n">
        <v>3.2</v>
      </c>
      <c r="H330" t="n">
        <v>0</v>
      </c>
      <c r="I330" t="n">
        <v>0</v>
      </c>
      <c r="J330" t="n">
        <v>0</v>
      </c>
      <c r="K330" t="n">
        <v>0</v>
      </c>
      <c r="L330" t="n">
        <v>0</v>
      </c>
      <c r="M330" t="n">
        <v>0</v>
      </c>
      <c r="N330" t="n">
        <v>0</v>
      </c>
      <c r="O330" t="n">
        <v>0</v>
      </c>
      <c r="P330" t="n">
        <v>0</v>
      </c>
      <c r="Q330" t="n">
        <v>0</v>
      </c>
      <c r="R330" s="2" t="inlineStr"/>
    </row>
    <row r="331" ht="15" customHeight="1">
      <c r="A331" t="inlineStr">
        <is>
          <t>A 61811-2025</t>
        </is>
      </c>
      <c r="B331" s="1" t="n">
        <v>46002.90059027778</v>
      </c>
      <c r="C331" s="1" t="n">
        <v>46143</v>
      </c>
      <c r="D331" t="inlineStr">
        <is>
          <t>UPPSALA LÄN</t>
        </is>
      </c>
      <c r="E331" t="inlineStr">
        <is>
          <t>ENKÖPING</t>
        </is>
      </c>
      <c r="F331" t="inlineStr">
        <is>
          <t>Allmännings- och besparingsskogar</t>
        </is>
      </c>
      <c r="G331" t="n">
        <v>4.7</v>
      </c>
      <c r="H331" t="n">
        <v>0</v>
      </c>
      <c r="I331" t="n">
        <v>0</v>
      </c>
      <c r="J331" t="n">
        <v>0</v>
      </c>
      <c r="K331" t="n">
        <v>0</v>
      </c>
      <c r="L331" t="n">
        <v>0</v>
      </c>
      <c r="M331" t="n">
        <v>0</v>
      </c>
      <c r="N331" t="n">
        <v>0</v>
      </c>
      <c r="O331" t="n">
        <v>0</v>
      </c>
      <c r="P331" t="n">
        <v>0</v>
      </c>
      <c r="Q331" t="n">
        <v>0</v>
      </c>
      <c r="R331" s="2" t="inlineStr"/>
    </row>
    <row r="332" ht="15" customHeight="1">
      <c r="A332" t="inlineStr">
        <is>
          <t>A 38941-2025</t>
        </is>
      </c>
      <c r="B332" s="1" t="n">
        <v>45887</v>
      </c>
      <c r="C332" s="1" t="n">
        <v>46143</v>
      </c>
      <c r="D332" t="inlineStr">
        <is>
          <t>UPPSALA LÄN</t>
        </is>
      </c>
      <c r="E332" t="inlineStr">
        <is>
          <t>ENKÖPING</t>
        </is>
      </c>
      <c r="F332" t="inlineStr">
        <is>
          <t>Övriga statliga verk och myndigheter</t>
        </is>
      </c>
      <c r="G332" t="n">
        <v>0.6</v>
      </c>
      <c r="H332" t="n">
        <v>0</v>
      </c>
      <c r="I332" t="n">
        <v>0</v>
      </c>
      <c r="J332" t="n">
        <v>0</v>
      </c>
      <c r="K332" t="n">
        <v>0</v>
      </c>
      <c r="L332" t="n">
        <v>0</v>
      </c>
      <c r="M332" t="n">
        <v>0</v>
      </c>
      <c r="N332" t="n">
        <v>0</v>
      </c>
      <c r="O332" t="n">
        <v>0</v>
      </c>
      <c r="P332" t="n">
        <v>0</v>
      </c>
      <c r="Q332" t="n">
        <v>0</v>
      </c>
      <c r="R332" s="2" t="inlineStr"/>
    </row>
    <row r="333" ht="15" customHeight="1">
      <c r="A333" t="inlineStr">
        <is>
          <t>A 12755-2025</t>
        </is>
      </c>
      <c r="B333" s="1" t="n">
        <v>45733.56541666666</v>
      </c>
      <c r="C333" s="1" t="n">
        <v>46143</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59027-2024</t>
        </is>
      </c>
      <c r="B334" s="1" t="n">
        <v>45636.68755787037</v>
      </c>
      <c r="C334" s="1" t="n">
        <v>46143</v>
      </c>
      <c r="D334" t="inlineStr">
        <is>
          <t>UPPSALA LÄN</t>
        </is>
      </c>
      <c r="E334" t="inlineStr">
        <is>
          <t>ENKÖPING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61889-2025</t>
        </is>
      </c>
      <c r="B335" s="1" t="n">
        <v>46003.44765046296</v>
      </c>
      <c r="C335" s="1" t="n">
        <v>46143</v>
      </c>
      <c r="D335" t="inlineStr">
        <is>
          <t>UPPSALA LÄN</t>
        </is>
      </c>
      <c r="E335" t="inlineStr">
        <is>
          <t>ENKÖPING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53587-2024</t>
        </is>
      </c>
      <c r="B336" s="1" t="n">
        <v>45614.66953703704</v>
      </c>
      <c r="C336" s="1" t="n">
        <v>46143</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9467-2026</t>
        </is>
      </c>
      <c r="B337" s="1" t="n">
        <v>46071.50694444445</v>
      </c>
      <c r="C337" s="1" t="n">
        <v>46143</v>
      </c>
      <c r="D337" t="inlineStr">
        <is>
          <t>UPPSALA LÄN</t>
        </is>
      </c>
      <c r="E337" t="inlineStr">
        <is>
          <t>ENKÖPING</t>
        </is>
      </c>
      <c r="G337" t="n">
        <v>5.9</v>
      </c>
      <c r="H337" t="n">
        <v>0</v>
      </c>
      <c r="I337" t="n">
        <v>0</v>
      </c>
      <c r="J337" t="n">
        <v>0</v>
      </c>
      <c r="K337" t="n">
        <v>0</v>
      </c>
      <c r="L337" t="n">
        <v>0</v>
      </c>
      <c r="M337" t="n">
        <v>0</v>
      </c>
      <c r="N337" t="n">
        <v>0</v>
      </c>
      <c r="O337" t="n">
        <v>0</v>
      </c>
      <c r="P337" t="n">
        <v>0</v>
      </c>
      <c r="Q337" t="n">
        <v>0</v>
      </c>
      <c r="R337" s="2" t="inlineStr"/>
    </row>
    <row r="338" ht="15" customHeight="1">
      <c r="A338" t="inlineStr">
        <is>
          <t>A 11503-2024</t>
        </is>
      </c>
      <c r="B338" s="1" t="n">
        <v>45372.68020833333</v>
      </c>
      <c r="C338" s="1" t="n">
        <v>46143</v>
      </c>
      <c r="D338" t="inlineStr">
        <is>
          <t>UPPSALA LÄN</t>
        </is>
      </c>
      <c r="E338" t="inlineStr">
        <is>
          <t>ENKÖPING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39115-2024</t>
        </is>
      </c>
      <c r="B339" s="1" t="n">
        <v>45548</v>
      </c>
      <c r="C339" s="1" t="n">
        <v>46143</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25334-2023</t>
        </is>
      </c>
      <c r="B340" s="1" t="n">
        <v>45083</v>
      </c>
      <c r="C340" s="1" t="n">
        <v>46143</v>
      </c>
      <c r="D340" t="inlineStr">
        <is>
          <t>UPPSALA LÄN</t>
        </is>
      </c>
      <c r="E340" t="inlineStr">
        <is>
          <t>ENKÖPING</t>
        </is>
      </c>
      <c r="G340" t="n">
        <v>0.2</v>
      </c>
      <c r="H340" t="n">
        <v>0</v>
      </c>
      <c r="I340" t="n">
        <v>0</v>
      </c>
      <c r="J340" t="n">
        <v>0</v>
      </c>
      <c r="K340" t="n">
        <v>0</v>
      </c>
      <c r="L340" t="n">
        <v>0</v>
      </c>
      <c r="M340" t="n">
        <v>0</v>
      </c>
      <c r="N340" t="n">
        <v>0</v>
      </c>
      <c r="O340" t="n">
        <v>0</v>
      </c>
      <c r="P340" t="n">
        <v>0</v>
      </c>
      <c r="Q340" t="n">
        <v>0</v>
      </c>
      <c r="R340" s="2" t="inlineStr"/>
    </row>
    <row r="341" ht="15" customHeight="1">
      <c r="A341" t="inlineStr">
        <is>
          <t>A 9469-2026</t>
        </is>
      </c>
      <c r="B341" s="1" t="n">
        <v>46071.51248842593</v>
      </c>
      <c r="C341" s="1" t="n">
        <v>46143</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9148-2026</t>
        </is>
      </c>
      <c r="B342" s="1" t="n">
        <v>46070.30946759259</v>
      </c>
      <c r="C342" s="1" t="n">
        <v>46143</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62599-2025</t>
        </is>
      </c>
      <c r="B343" s="1" t="n">
        <v>46007.91961805556</v>
      </c>
      <c r="C343" s="1" t="n">
        <v>46143</v>
      </c>
      <c r="D343" t="inlineStr">
        <is>
          <t>UPPSALA LÄN</t>
        </is>
      </c>
      <c r="E343" t="inlineStr">
        <is>
          <t>ENKÖPING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56837-2024</t>
        </is>
      </c>
      <c r="B344" s="1" t="n">
        <v>45628</v>
      </c>
      <c r="C344" s="1" t="n">
        <v>46143</v>
      </c>
      <c r="D344" t="inlineStr">
        <is>
          <t>UPPSALA LÄN</t>
        </is>
      </c>
      <c r="E344" t="inlineStr">
        <is>
          <t>ENKÖPING</t>
        </is>
      </c>
      <c r="G344" t="n">
        <v>2.2</v>
      </c>
      <c r="H344" t="n">
        <v>0</v>
      </c>
      <c r="I344" t="n">
        <v>0</v>
      </c>
      <c r="J344" t="n">
        <v>0</v>
      </c>
      <c r="K344" t="n">
        <v>0</v>
      </c>
      <c r="L344" t="n">
        <v>0</v>
      </c>
      <c r="M344" t="n">
        <v>0</v>
      </c>
      <c r="N344" t="n">
        <v>0</v>
      </c>
      <c r="O344" t="n">
        <v>0</v>
      </c>
      <c r="P344" t="n">
        <v>0</v>
      </c>
      <c r="Q344" t="n">
        <v>0</v>
      </c>
      <c r="R344" s="2" t="inlineStr"/>
    </row>
    <row r="345" ht="15" customHeight="1">
      <c r="A345" t="inlineStr">
        <is>
          <t>A 62772-2025</t>
        </is>
      </c>
      <c r="B345" s="1" t="n">
        <v>46008.60365740741</v>
      </c>
      <c r="C345" s="1" t="n">
        <v>46143</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v>
      </c>
      <c r="C346" s="1" t="n">
        <v>46143</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62600-2025</t>
        </is>
      </c>
      <c r="B347" s="1" t="n">
        <v>46007.92175925926</v>
      </c>
      <c r="C347" s="1" t="n">
        <v>46143</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62602-2025</t>
        </is>
      </c>
      <c r="B348" s="1" t="n">
        <v>46007.92581018519</v>
      </c>
      <c r="C348" s="1" t="n">
        <v>46143</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62601-2025</t>
        </is>
      </c>
      <c r="B349" s="1" t="n">
        <v>46007.92395833333</v>
      </c>
      <c r="C349" s="1" t="n">
        <v>46143</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18821-2023</t>
        </is>
      </c>
      <c r="B350" s="1" t="n">
        <v>45044.3782175926</v>
      </c>
      <c r="C350" s="1" t="n">
        <v>46143</v>
      </c>
      <c r="D350" t="inlineStr">
        <is>
          <t>UPPSALA LÄN</t>
        </is>
      </c>
      <c r="E350" t="inlineStr">
        <is>
          <t>ENKÖPING</t>
        </is>
      </c>
      <c r="G350" t="n">
        <v>6</v>
      </c>
      <c r="H350" t="n">
        <v>0</v>
      </c>
      <c r="I350" t="n">
        <v>0</v>
      </c>
      <c r="J350" t="n">
        <v>0</v>
      </c>
      <c r="K350" t="n">
        <v>0</v>
      </c>
      <c r="L350" t="n">
        <v>0</v>
      </c>
      <c r="M350" t="n">
        <v>0</v>
      </c>
      <c r="N350" t="n">
        <v>0</v>
      </c>
      <c r="O350" t="n">
        <v>0</v>
      </c>
      <c r="P350" t="n">
        <v>0</v>
      </c>
      <c r="Q350" t="n">
        <v>0</v>
      </c>
      <c r="R350" s="2" t="inlineStr"/>
    </row>
    <row r="351" ht="15" customHeight="1">
      <c r="A351" t="inlineStr">
        <is>
          <t>A 57335-2024</t>
        </is>
      </c>
      <c r="B351" s="1" t="n">
        <v>45629.63302083333</v>
      </c>
      <c r="C351" s="1" t="n">
        <v>46143</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60125-2024</t>
        </is>
      </c>
      <c r="B352" s="1" t="n">
        <v>45642</v>
      </c>
      <c r="C352" s="1" t="n">
        <v>46143</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17418-2026</t>
        </is>
      </c>
      <c r="B353" s="1" t="n">
        <v>46120.3591087963</v>
      </c>
      <c r="C353" s="1" t="n">
        <v>46143</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17419-2026</t>
        </is>
      </c>
      <c r="B354" s="1" t="n">
        <v>46120.36064814815</v>
      </c>
      <c r="C354" s="1" t="n">
        <v>46143</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57835-2024</t>
        </is>
      </c>
      <c r="B355" s="1" t="n">
        <v>45631.39947916667</v>
      </c>
      <c r="C355" s="1" t="n">
        <v>46143</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53208-2023</t>
        </is>
      </c>
      <c r="B356" s="1" t="n">
        <v>45226</v>
      </c>
      <c r="C356" s="1" t="n">
        <v>46143</v>
      </c>
      <c r="D356" t="inlineStr">
        <is>
          <t>UPPSALA LÄN</t>
        </is>
      </c>
      <c r="E356" t="inlineStr">
        <is>
          <t>ENKÖPING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19013-2025</t>
        </is>
      </c>
      <c r="B357" s="1" t="n">
        <v>45764.59533564815</v>
      </c>
      <c r="C357" s="1" t="n">
        <v>46143</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2164-2023</t>
        </is>
      </c>
      <c r="B358" s="1" t="n">
        <v>44941</v>
      </c>
      <c r="C358" s="1" t="n">
        <v>46143</v>
      </c>
      <c r="D358" t="inlineStr">
        <is>
          <t>UPPSALA LÄN</t>
        </is>
      </c>
      <c r="E358" t="inlineStr">
        <is>
          <t>ENKÖPING</t>
        </is>
      </c>
      <c r="G358" t="n">
        <v>2.5</v>
      </c>
      <c r="H358" t="n">
        <v>0</v>
      </c>
      <c r="I358" t="n">
        <v>0</v>
      </c>
      <c r="J358" t="n">
        <v>0</v>
      </c>
      <c r="K358" t="n">
        <v>0</v>
      </c>
      <c r="L358" t="n">
        <v>0</v>
      </c>
      <c r="M358" t="n">
        <v>0</v>
      </c>
      <c r="N358" t="n">
        <v>0</v>
      </c>
      <c r="O358" t="n">
        <v>0</v>
      </c>
      <c r="P358" t="n">
        <v>0</v>
      </c>
      <c r="Q358" t="n">
        <v>0</v>
      </c>
      <c r="R358" s="2" t="inlineStr"/>
    </row>
    <row r="359" ht="15" customHeight="1">
      <c r="A359" t="inlineStr">
        <is>
          <t>A 61952-2021</t>
        </is>
      </c>
      <c r="B359" s="1" t="n">
        <v>44502</v>
      </c>
      <c r="C359" s="1" t="n">
        <v>46143</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18643-2026</t>
        </is>
      </c>
      <c r="B360" s="1" t="n">
        <v>46128.33024305556</v>
      </c>
      <c r="C360" s="1" t="n">
        <v>46143</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14083-2025</t>
        </is>
      </c>
      <c r="B361" s="1" t="n">
        <v>45740</v>
      </c>
      <c r="C361" s="1" t="n">
        <v>46143</v>
      </c>
      <c r="D361" t="inlineStr">
        <is>
          <t>UPPSALA LÄN</t>
        </is>
      </c>
      <c r="E361" t="inlineStr">
        <is>
          <t>ENKÖPING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46143</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18806-2026</t>
        </is>
      </c>
      <c r="B363" s="1" t="n">
        <v>46128.63238425926</v>
      </c>
      <c r="C363" s="1" t="n">
        <v>46143</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18565-2026</t>
        </is>
      </c>
      <c r="B364" s="1" t="n">
        <v>46127.5871412037</v>
      </c>
      <c r="C364" s="1" t="n">
        <v>46143</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18644-2026</t>
        </is>
      </c>
      <c r="B365" s="1" t="n">
        <v>46128.33157407407</v>
      </c>
      <c r="C365" s="1" t="n">
        <v>46143</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15757-2023</t>
        </is>
      </c>
      <c r="B366" s="1" t="n">
        <v>45021</v>
      </c>
      <c r="C366" s="1" t="n">
        <v>46143</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2161-2023</t>
        </is>
      </c>
      <c r="B367" s="1" t="n">
        <v>44941</v>
      </c>
      <c r="C367" s="1" t="n">
        <v>46143</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2165-2023</t>
        </is>
      </c>
      <c r="B368" s="1" t="n">
        <v>44941</v>
      </c>
      <c r="C368" s="1" t="n">
        <v>46143</v>
      </c>
      <c r="D368" t="inlineStr">
        <is>
          <t>UPPSALA LÄN</t>
        </is>
      </c>
      <c r="E368" t="inlineStr">
        <is>
          <t>ENKÖPING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12411-2026</t>
        </is>
      </c>
      <c r="B369" s="1" t="n">
        <v>46090.42670138889</v>
      </c>
      <c r="C369" s="1" t="n">
        <v>46143</v>
      </c>
      <c r="D369" t="inlineStr">
        <is>
          <t>UPPSALA LÄN</t>
        </is>
      </c>
      <c r="E369" t="inlineStr">
        <is>
          <t>ENKÖPING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20112-2024</t>
        </is>
      </c>
      <c r="B370" s="1" t="n">
        <v>45434</v>
      </c>
      <c r="C370" s="1" t="n">
        <v>46143</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18562-2026</t>
        </is>
      </c>
      <c r="B371" s="1" t="n">
        <v>46127</v>
      </c>
      <c r="C371" s="1" t="n">
        <v>46143</v>
      </c>
      <c r="D371" t="inlineStr">
        <is>
          <t>UPPSALA LÄN</t>
        </is>
      </c>
      <c r="E371" t="inlineStr">
        <is>
          <t>ENKÖPING</t>
        </is>
      </c>
      <c r="G371" t="n">
        <v>4</v>
      </c>
      <c r="H371" t="n">
        <v>0</v>
      </c>
      <c r="I371" t="n">
        <v>0</v>
      </c>
      <c r="J371" t="n">
        <v>0</v>
      </c>
      <c r="K371" t="n">
        <v>0</v>
      </c>
      <c r="L371" t="n">
        <v>0</v>
      </c>
      <c r="M371" t="n">
        <v>0</v>
      </c>
      <c r="N371" t="n">
        <v>0</v>
      </c>
      <c r="O371" t="n">
        <v>0</v>
      </c>
      <c r="P371" t="n">
        <v>0</v>
      </c>
      <c r="Q371" t="n">
        <v>0</v>
      </c>
      <c r="R371" s="2" t="inlineStr"/>
    </row>
    <row r="372" ht="15" customHeight="1">
      <c r="A372" t="inlineStr">
        <is>
          <t>A 5953-2026</t>
        </is>
      </c>
      <c r="B372" s="1" t="n">
        <v>46052.49119212963</v>
      </c>
      <c r="C372" s="1" t="n">
        <v>46143</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2162-2023</t>
        </is>
      </c>
      <c r="B373" s="1" t="n">
        <v>44941</v>
      </c>
      <c r="C373" s="1" t="n">
        <v>46143</v>
      </c>
      <c r="D373" t="inlineStr">
        <is>
          <t>UPPSALA LÄN</t>
        </is>
      </c>
      <c r="E373" t="inlineStr">
        <is>
          <t>ENKÖPING</t>
        </is>
      </c>
      <c r="G373" t="n">
        <v>2.4</v>
      </c>
      <c r="H373" t="n">
        <v>0</v>
      </c>
      <c r="I373" t="n">
        <v>0</v>
      </c>
      <c r="J373" t="n">
        <v>0</v>
      </c>
      <c r="K373" t="n">
        <v>0</v>
      </c>
      <c r="L373" t="n">
        <v>0</v>
      </c>
      <c r="M373" t="n">
        <v>0</v>
      </c>
      <c r="N373" t="n">
        <v>0</v>
      </c>
      <c r="O373" t="n">
        <v>0</v>
      </c>
      <c r="P373" t="n">
        <v>0</v>
      </c>
      <c r="Q373" t="n">
        <v>0</v>
      </c>
      <c r="R373" s="2" t="inlineStr"/>
    </row>
    <row r="374" ht="15" customHeight="1">
      <c r="A374" t="inlineStr">
        <is>
          <t>A 7168-2026</t>
        </is>
      </c>
      <c r="B374" s="1" t="n">
        <v>46058.45831018518</v>
      </c>
      <c r="C374" s="1" t="n">
        <v>46143</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7172-2026</t>
        </is>
      </c>
      <c r="B375" s="1" t="n">
        <v>46058.46113425926</v>
      </c>
      <c r="C375" s="1" t="n">
        <v>46143</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32081-2024</t>
        </is>
      </c>
      <c r="B376" s="1" t="n">
        <v>45511.34605324074</v>
      </c>
      <c r="C376" s="1" t="n">
        <v>46143</v>
      </c>
      <c r="D376" t="inlineStr">
        <is>
          <t>UPPSALA LÄN</t>
        </is>
      </c>
      <c r="E376" t="inlineStr">
        <is>
          <t>ENKÖPING</t>
        </is>
      </c>
      <c r="G376" t="n">
        <v>5.4</v>
      </c>
      <c r="H376" t="n">
        <v>0</v>
      </c>
      <c r="I376" t="n">
        <v>0</v>
      </c>
      <c r="J376" t="n">
        <v>0</v>
      </c>
      <c r="K376" t="n">
        <v>0</v>
      </c>
      <c r="L376" t="n">
        <v>0</v>
      </c>
      <c r="M376" t="n">
        <v>0</v>
      </c>
      <c r="N376" t="n">
        <v>0</v>
      </c>
      <c r="O376" t="n">
        <v>0</v>
      </c>
      <c r="P376" t="n">
        <v>0</v>
      </c>
      <c r="Q376" t="n">
        <v>0</v>
      </c>
      <c r="R376" s="2" t="inlineStr"/>
    </row>
    <row r="377" ht="15" customHeight="1">
      <c r="A377" t="inlineStr">
        <is>
          <t>A 7167-2026</t>
        </is>
      </c>
      <c r="B377" s="1" t="n">
        <v>46058.45677083333</v>
      </c>
      <c r="C377" s="1" t="n">
        <v>46143</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12996-2026</t>
        </is>
      </c>
      <c r="B378" s="1" t="n">
        <v>46092.68149305556</v>
      </c>
      <c r="C378" s="1" t="n">
        <v>46143</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12997-2026</t>
        </is>
      </c>
      <c r="B379" s="1" t="n">
        <v>46092.6834375</v>
      </c>
      <c r="C379" s="1" t="n">
        <v>46143</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2968-2025</t>
        </is>
      </c>
      <c r="B380" s="1" t="n">
        <v>45678</v>
      </c>
      <c r="C380" s="1" t="n">
        <v>46143</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49525-2021</t>
        </is>
      </c>
      <c r="B381" s="1" t="n">
        <v>44455</v>
      </c>
      <c r="C381" s="1" t="n">
        <v>46143</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6959-2025</t>
        </is>
      </c>
      <c r="B382" s="1" t="n">
        <v>45701.49315972222</v>
      </c>
      <c r="C382" s="1" t="n">
        <v>46143</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30437-2022</t>
        </is>
      </c>
      <c r="B383" s="1" t="n">
        <v>44761</v>
      </c>
      <c r="C383" s="1" t="n">
        <v>46143</v>
      </c>
      <c r="D383" t="inlineStr">
        <is>
          <t>UPPSALA LÄN</t>
        </is>
      </c>
      <c r="E383" t="inlineStr">
        <is>
          <t>ENKÖPING</t>
        </is>
      </c>
      <c r="G383" t="n">
        <v>3.4</v>
      </c>
      <c r="H383" t="n">
        <v>0</v>
      </c>
      <c r="I383" t="n">
        <v>0</v>
      </c>
      <c r="J383" t="n">
        <v>0</v>
      </c>
      <c r="K383" t="n">
        <v>0</v>
      </c>
      <c r="L383" t="n">
        <v>0</v>
      </c>
      <c r="M383" t="n">
        <v>0</v>
      </c>
      <c r="N383" t="n">
        <v>0</v>
      </c>
      <c r="O383" t="n">
        <v>0</v>
      </c>
      <c r="P383" t="n">
        <v>0</v>
      </c>
      <c r="Q383" t="n">
        <v>0</v>
      </c>
      <c r="R383" s="2" t="inlineStr"/>
    </row>
    <row r="384" ht="15" customHeight="1">
      <c r="A384" t="inlineStr">
        <is>
          <t>A 51011-2024</t>
        </is>
      </c>
      <c r="B384" s="1" t="n">
        <v>45603.39427083333</v>
      </c>
      <c r="C384" s="1" t="n">
        <v>46143</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26319-2022</t>
        </is>
      </c>
      <c r="B385" s="1" t="n">
        <v>44735</v>
      </c>
      <c r="C385" s="1" t="n">
        <v>46143</v>
      </c>
      <c r="D385" t="inlineStr">
        <is>
          <t>UPPSALA LÄN</t>
        </is>
      </c>
      <c r="E385" t="inlineStr">
        <is>
          <t>ENKÖPING</t>
        </is>
      </c>
      <c r="G385" t="n">
        <v>1.8</v>
      </c>
      <c r="H385" t="n">
        <v>0</v>
      </c>
      <c r="I385" t="n">
        <v>0</v>
      </c>
      <c r="J385" t="n">
        <v>0</v>
      </c>
      <c r="K385" t="n">
        <v>0</v>
      </c>
      <c r="L385" t="n">
        <v>0</v>
      </c>
      <c r="M385" t="n">
        <v>0</v>
      </c>
      <c r="N385" t="n">
        <v>0</v>
      </c>
      <c r="O385" t="n">
        <v>0</v>
      </c>
      <c r="P385" t="n">
        <v>0</v>
      </c>
      <c r="Q385" t="n">
        <v>0</v>
      </c>
      <c r="R385" s="2" t="inlineStr"/>
    </row>
    <row r="386" ht="15" customHeight="1">
      <c r="A386" t="inlineStr">
        <is>
          <t>A 29918-2023</t>
        </is>
      </c>
      <c r="B386" s="1" t="n">
        <v>45099</v>
      </c>
      <c r="C386" s="1" t="n">
        <v>46143</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24291-2024</t>
        </is>
      </c>
      <c r="B387" s="1" t="n">
        <v>45457.4584837963</v>
      </c>
      <c r="C387" s="1" t="n">
        <v>46143</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13590-2026</t>
        </is>
      </c>
      <c r="B388" s="1" t="n">
        <v>46096</v>
      </c>
      <c r="C388" s="1" t="n">
        <v>46143</v>
      </c>
      <c r="D388" t="inlineStr">
        <is>
          <t>UPPSALA LÄN</t>
        </is>
      </c>
      <c r="E388" t="inlineStr">
        <is>
          <t>ENKÖPING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27837-2025</t>
        </is>
      </c>
      <c r="B389" s="1" t="n">
        <v>45817.37207175926</v>
      </c>
      <c r="C389" s="1" t="n">
        <v>46143</v>
      </c>
      <c r="D389" t="inlineStr">
        <is>
          <t>UPPSALA LÄN</t>
        </is>
      </c>
      <c r="E389" t="inlineStr">
        <is>
          <t>ENKÖPING</t>
        </is>
      </c>
      <c r="G389" t="n">
        <v>7.3</v>
      </c>
      <c r="H389" t="n">
        <v>0</v>
      </c>
      <c r="I389" t="n">
        <v>0</v>
      </c>
      <c r="J389" t="n">
        <v>0</v>
      </c>
      <c r="K389" t="n">
        <v>0</v>
      </c>
      <c r="L389" t="n">
        <v>0</v>
      </c>
      <c r="M389" t="n">
        <v>0</v>
      </c>
      <c r="N389" t="n">
        <v>0</v>
      </c>
      <c r="O389" t="n">
        <v>0</v>
      </c>
      <c r="P389" t="n">
        <v>0</v>
      </c>
      <c r="Q389" t="n">
        <v>0</v>
      </c>
      <c r="R389" s="2" t="inlineStr"/>
    </row>
    <row r="390" ht="15" customHeight="1">
      <c r="A390" t="inlineStr">
        <is>
          <t>A 2833-2025</t>
        </is>
      </c>
      <c r="B390" s="1" t="n">
        <v>45677.63206018518</v>
      </c>
      <c r="C390" s="1" t="n">
        <v>46143</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14229-2026</t>
        </is>
      </c>
      <c r="B391" s="1" t="n">
        <v>46099</v>
      </c>
      <c r="C391" s="1" t="n">
        <v>46143</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14296-2026</t>
        </is>
      </c>
      <c r="B392" s="1" t="n">
        <v>46099.7181712963</v>
      </c>
      <c r="C392" s="1" t="n">
        <v>46143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50006-2023</t>
        </is>
      </c>
      <c r="B393" s="1" t="n">
        <v>45215</v>
      </c>
      <c r="C393" s="1" t="n">
        <v>46143</v>
      </c>
      <c r="D393" t="inlineStr">
        <is>
          <t>UPPSALA LÄN</t>
        </is>
      </c>
      <c r="E393" t="inlineStr">
        <is>
          <t>ENKÖPING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14260-2026</t>
        </is>
      </c>
      <c r="B394" s="1" t="n">
        <v>46099.63395833333</v>
      </c>
      <c r="C394" s="1" t="n">
        <v>46143</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56526-2022</t>
        </is>
      </c>
      <c r="B395" s="1" t="n">
        <v>44893</v>
      </c>
      <c r="C395" s="1" t="n">
        <v>46143</v>
      </c>
      <c r="D395" t="inlineStr">
        <is>
          <t>UPPSALA LÄN</t>
        </is>
      </c>
      <c r="E395" t="inlineStr">
        <is>
          <t>ENKÖPING</t>
        </is>
      </c>
      <c r="G395" t="n">
        <v>3.8</v>
      </c>
      <c r="H395" t="n">
        <v>0</v>
      </c>
      <c r="I395" t="n">
        <v>0</v>
      </c>
      <c r="J395" t="n">
        <v>0</v>
      </c>
      <c r="K395" t="n">
        <v>0</v>
      </c>
      <c r="L395" t="n">
        <v>0</v>
      </c>
      <c r="M395" t="n">
        <v>0</v>
      </c>
      <c r="N395" t="n">
        <v>0</v>
      </c>
      <c r="O395" t="n">
        <v>0</v>
      </c>
      <c r="P395" t="n">
        <v>0</v>
      </c>
      <c r="Q395" t="n">
        <v>0</v>
      </c>
      <c r="R395" s="2" t="inlineStr"/>
    </row>
    <row r="396" ht="15" customHeight="1">
      <c r="A396" t="inlineStr">
        <is>
          <t>A 14182-2026</t>
        </is>
      </c>
      <c r="B396" s="1" t="n">
        <v>46099.49839120371</v>
      </c>
      <c r="C396" s="1" t="n">
        <v>46143</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39858-2024</t>
        </is>
      </c>
      <c r="B397" s="1" t="n">
        <v>45553</v>
      </c>
      <c r="C397" s="1" t="n">
        <v>46143</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60289-2022</t>
        </is>
      </c>
      <c r="B398" s="1" t="n">
        <v>44910.53026620371</v>
      </c>
      <c r="C398" s="1" t="n">
        <v>46143</v>
      </c>
      <c r="D398" t="inlineStr">
        <is>
          <t>UPPSALA LÄN</t>
        </is>
      </c>
      <c r="E398" t="inlineStr">
        <is>
          <t>ENKÖPING</t>
        </is>
      </c>
      <c r="G398" t="n">
        <v>3.2</v>
      </c>
      <c r="H398" t="n">
        <v>0</v>
      </c>
      <c r="I398" t="n">
        <v>0</v>
      </c>
      <c r="J398" t="n">
        <v>0</v>
      </c>
      <c r="K398" t="n">
        <v>0</v>
      </c>
      <c r="L398" t="n">
        <v>0</v>
      </c>
      <c r="M398" t="n">
        <v>0</v>
      </c>
      <c r="N398" t="n">
        <v>0</v>
      </c>
      <c r="O398" t="n">
        <v>0</v>
      </c>
      <c r="P398" t="n">
        <v>0</v>
      </c>
      <c r="Q398" t="n">
        <v>0</v>
      </c>
      <c r="R398" s="2" t="inlineStr"/>
    </row>
    <row r="399" ht="15" customHeight="1">
      <c r="A399" t="inlineStr">
        <is>
          <t>A 13110-2023</t>
        </is>
      </c>
      <c r="B399" s="1" t="n">
        <v>45001</v>
      </c>
      <c r="C399" s="1" t="n">
        <v>46143</v>
      </c>
      <c r="D399" t="inlineStr">
        <is>
          <t>UPPSALA LÄN</t>
        </is>
      </c>
      <c r="E399" t="inlineStr">
        <is>
          <t>ENKÖPING</t>
        </is>
      </c>
      <c r="G399" t="n">
        <v>2.5</v>
      </c>
      <c r="H399" t="n">
        <v>0</v>
      </c>
      <c r="I399" t="n">
        <v>0</v>
      </c>
      <c r="J399" t="n">
        <v>0</v>
      </c>
      <c r="K399" t="n">
        <v>0</v>
      </c>
      <c r="L399" t="n">
        <v>0</v>
      </c>
      <c r="M399" t="n">
        <v>0</v>
      </c>
      <c r="N399" t="n">
        <v>0</v>
      </c>
      <c r="O399" t="n">
        <v>0</v>
      </c>
      <c r="P399" t="n">
        <v>0</v>
      </c>
      <c r="Q399" t="n">
        <v>0</v>
      </c>
      <c r="R399" s="2" t="inlineStr"/>
    </row>
    <row r="400" ht="15" customHeight="1">
      <c r="A400" t="inlineStr">
        <is>
          <t>A 58384-2022</t>
        </is>
      </c>
      <c r="B400" s="1" t="n">
        <v>44901</v>
      </c>
      <c r="C400" s="1" t="n">
        <v>46143</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59602-2022</t>
        </is>
      </c>
      <c r="B401" s="1" t="n">
        <v>44907.72241898148</v>
      </c>
      <c r="C401" s="1" t="n">
        <v>46143</v>
      </c>
      <c r="D401" t="inlineStr">
        <is>
          <t>UPPSALA LÄN</t>
        </is>
      </c>
      <c r="E401" t="inlineStr">
        <is>
          <t>ENKÖPING</t>
        </is>
      </c>
      <c r="G401" t="n">
        <v>14.2</v>
      </c>
      <c r="H401" t="n">
        <v>0</v>
      </c>
      <c r="I401" t="n">
        <v>0</v>
      </c>
      <c r="J401" t="n">
        <v>0</v>
      </c>
      <c r="K401" t="n">
        <v>0</v>
      </c>
      <c r="L401" t="n">
        <v>0</v>
      </c>
      <c r="M401" t="n">
        <v>0</v>
      </c>
      <c r="N401" t="n">
        <v>0</v>
      </c>
      <c r="O401" t="n">
        <v>0</v>
      </c>
      <c r="P401" t="n">
        <v>0</v>
      </c>
      <c r="Q401" t="n">
        <v>0</v>
      </c>
      <c r="R401" s="2" t="inlineStr"/>
    </row>
    <row r="402" ht="15" customHeight="1">
      <c r="A402" t="inlineStr">
        <is>
          <t>A 14298-2026</t>
        </is>
      </c>
      <c r="B402" s="1" t="n">
        <v>46099</v>
      </c>
      <c r="C402" s="1" t="n">
        <v>46143</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31965-2021</t>
        </is>
      </c>
      <c r="B403" s="1" t="n">
        <v>44370.56901620371</v>
      </c>
      <c r="C403" s="1" t="n">
        <v>46143</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67984-2021</t>
        </is>
      </c>
      <c r="B404" s="1" t="n">
        <v>44525.70237268518</v>
      </c>
      <c r="C404" s="1" t="n">
        <v>46143</v>
      </c>
      <c r="D404" t="inlineStr">
        <is>
          <t>UPPSALA LÄN</t>
        </is>
      </c>
      <c r="E404" t="inlineStr">
        <is>
          <t>ENKÖPING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14178-2026</t>
        </is>
      </c>
      <c r="B405" s="1" t="n">
        <v>46099.49608796297</v>
      </c>
      <c r="C405" s="1" t="n">
        <v>46143</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33619-2022</t>
        </is>
      </c>
      <c r="B406" s="1" t="n">
        <v>44789</v>
      </c>
      <c r="C406" s="1" t="n">
        <v>46143</v>
      </c>
      <c r="D406" t="inlineStr">
        <is>
          <t>UPPSALA LÄN</t>
        </is>
      </c>
      <c r="E406" t="inlineStr">
        <is>
          <t>ENKÖPING</t>
        </is>
      </c>
      <c r="F406" t="inlineStr">
        <is>
          <t>Allmännings- och besparingsskogar</t>
        </is>
      </c>
      <c r="G406" t="n">
        <v>4.5</v>
      </c>
      <c r="H406" t="n">
        <v>0</v>
      </c>
      <c r="I406" t="n">
        <v>0</v>
      </c>
      <c r="J406" t="n">
        <v>0</v>
      </c>
      <c r="K406" t="n">
        <v>0</v>
      </c>
      <c r="L406" t="n">
        <v>0</v>
      </c>
      <c r="M406" t="n">
        <v>0</v>
      </c>
      <c r="N406" t="n">
        <v>0</v>
      </c>
      <c r="O406" t="n">
        <v>0</v>
      </c>
      <c r="P406" t="n">
        <v>0</v>
      </c>
      <c r="Q406" t="n">
        <v>0</v>
      </c>
      <c r="R406" s="2" t="inlineStr"/>
    </row>
    <row r="407" ht="15" customHeight="1">
      <c r="A407" t="inlineStr">
        <is>
          <t>A 10829-2024</t>
        </is>
      </c>
      <c r="B407" s="1" t="n">
        <v>45369</v>
      </c>
      <c r="C407" s="1" t="n">
        <v>46143</v>
      </c>
      <c r="D407" t="inlineStr">
        <is>
          <t>UPPSALA LÄN</t>
        </is>
      </c>
      <c r="E407" t="inlineStr">
        <is>
          <t>ENKÖPING</t>
        </is>
      </c>
      <c r="G407" t="n">
        <v>2.1</v>
      </c>
      <c r="H407" t="n">
        <v>0</v>
      </c>
      <c r="I407" t="n">
        <v>0</v>
      </c>
      <c r="J407" t="n">
        <v>0</v>
      </c>
      <c r="K407" t="n">
        <v>0</v>
      </c>
      <c r="L407" t="n">
        <v>0</v>
      </c>
      <c r="M407" t="n">
        <v>0</v>
      </c>
      <c r="N407" t="n">
        <v>0</v>
      </c>
      <c r="O407" t="n">
        <v>0</v>
      </c>
      <c r="P407" t="n">
        <v>0</v>
      </c>
      <c r="Q407" t="n">
        <v>0</v>
      </c>
      <c r="R407" s="2" t="inlineStr"/>
    </row>
    <row r="408" ht="15" customHeight="1">
      <c r="A408" t="inlineStr">
        <is>
          <t>A 67982-2021</t>
        </is>
      </c>
      <c r="B408" s="1" t="n">
        <v>44525</v>
      </c>
      <c r="C408" s="1" t="n">
        <v>46143</v>
      </c>
      <c r="D408" t="inlineStr">
        <is>
          <t>UPPSALA LÄN</t>
        </is>
      </c>
      <c r="E408" t="inlineStr">
        <is>
          <t>ENKÖPING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51034-2024</t>
        </is>
      </c>
      <c r="B409" s="1" t="n">
        <v>45603.4262037037</v>
      </c>
      <c r="C409" s="1" t="n">
        <v>46143</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51036-2024</t>
        </is>
      </c>
      <c r="B410" s="1" t="n">
        <v>45603.42839120371</v>
      </c>
      <c r="C410" s="1" t="n">
        <v>46143</v>
      </c>
      <c r="D410" t="inlineStr">
        <is>
          <t>UPPSALA LÄN</t>
        </is>
      </c>
      <c r="E410" t="inlineStr">
        <is>
          <t>ENKÖPING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55876-2024</t>
        </is>
      </c>
      <c r="B411" s="1" t="n">
        <v>45623.5546412037</v>
      </c>
      <c r="C411" s="1" t="n">
        <v>46143</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11005-2023</t>
        </is>
      </c>
      <c r="B412" s="1" t="n">
        <v>44991</v>
      </c>
      <c r="C412" s="1" t="n">
        <v>46143</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57142-2021</t>
        </is>
      </c>
      <c r="B413" s="1" t="n">
        <v>44482</v>
      </c>
      <c r="C413" s="1" t="n">
        <v>46143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57147-2021</t>
        </is>
      </c>
      <c r="B414" s="1" t="n">
        <v>44482</v>
      </c>
      <c r="C414" s="1" t="n">
        <v>46143</v>
      </c>
      <c r="D414" t="inlineStr">
        <is>
          <t>UPPSALA LÄN</t>
        </is>
      </c>
      <c r="E414" t="inlineStr">
        <is>
          <t>ENKÖPING</t>
        </is>
      </c>
      <c r="G414" t="n">
        <v>5.7</v>
      </c>
      <c r="H414" t="n">
        <v>0</v>
      </c>
      <c r="I414" t="n">
        <v>0</v>
      </c>
      <c r="J414" t="n">
        <v>0</v>
      </c>
      <c r="K414" t="n">
        <v>0</v>
      </c>
      <c r="L414" t="n">
        <v>0</v>
      </c>
      <c r="M414" t="n">
        <v>0</v>
      </c>
      <c r="N414" t="n">
        <v>0</v>
      </c>
      <c r="O414" t="n">
        <v>0</v>
      </c>
      <c r="P414" t="n">
        <v>0</v>
      </c>
      <c r="Q414" t="n">
        <v>0</v>
      </c>
      <c r="R414" s="2" t="inlineStr"/>
    </row>
    <row r="415" ht="15" customHeight="1">
      <c r="A415" t="inlineStr">
        <is>
          <t>A 7868-2024</t>
        </is>
      </c>
      <c r="B415" s="1" t="n">
        <v>45350.33020833333</v>
      </c>
      <c r="C415" s="1" t="n">
        <v>46143</v>
      </c>
      <c r="D415" t="inlineStr">
        <is>
          <t>UPPSALA LÄN</t>
        </is>
      </c>
      <c r="E415" t="inlineStr">
        <is>
          <t>ENKÖPING</t>
        </is>
      </c>
      <c r="G415" t="n">
        <v>0.3</v>
      </c>
      <c r="H415" t="n">
        <v>0</v>
      </c>
      <c r="I415" t="n">
        <v>0</v>
      </c>
      <c r="J415" t="n">
        <v>0</v>
      </c>
      <c r="K415" t="n">
        <v>0</v>
      </c>
      <c r="L415" t="n">
        <v>0</v>
      </c>
      <c r="M415" t="n">
        <v>0</v>
      </c>
      <c r="N415" t="n">
        <v>0</v>
      </c>
      <c r="O415" t="n">
        <v>0</v>
      </c>
      <c r="P415" t="n">
        <v>0</v>
      </c>
      <c r="Q415" t="n">
        <v>0</v>
      </c>
      <c r="R415" s="2" t="inlineStr"/>
    </row>
    <row r="416" ht="15" customHeight="1">
      <c r="A416" t="inlineStr">
        <is>
          <t>A 7870-2024</t>
        </is>
      </c>
      <c r="B416" s="1" t="n">
        <v>45350.33349537037</v>
      </c>
      <c r="C416" s="1" t="n">
        <v>46143</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9231-2023</t>
        </is>
      </c>
      <c r="B417" s="1" t="n">
        <v>44980</v>
      </c>
      <c r="C417" s="1" t="n">
        <v>46143</v>
      </c>
      <c r="D417" t="inlineStr">
        <is>
          <t>UPPSALA LÄN</t>
        </is>
      </c>
      <c r="E417" t="inlineStr">
        <is>
          <t>ENKÖPING</t>
        </is>
      </c>
      <c r="G417" t="n">
        <v>1.5</v>
      </c>
      <c r="H417" t="n">
        <v>0</v>
      </c>
      <c r="I417" t="n">
        <v>0</v>
      </c>
      <c r="J417" t="n">
        <v>0</v>
      </c>
      <c r="K417" t="n">
        <v>0</v>
      </c>
      <c r="L417" t="n">
        <v>0</v>
      </c>
      <c r="M417" t="n">
        <v>0</v>
      </c>
      <c r="N417" t="n">
        <v>0</v>
      </c>
      <c r="O417" t="n">
        <v>0</v>
      </c>
      <c r="P417" t="n">
        <v>0</v>
      </c>
      <c r="Q417" t="n">
        <v>0</v>
      </c>
      <c r="R417" s="2" t="inlineStr"/>
    </row>
    <row r="418" ht="15" customHeight="1">
      <c r="A418" t="inlineStr">
        <is>
          <t>A 16916-2022</t>
        </is>
      </c>
      <c r="B418" s="1" t="n">
        <v>44676</v>
      </c>
      <c r="C418" s="1" t="n">
        <v>46143</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30514-2021</t>
        </is>
      </c>
      <c r="B419" s="1" t="n">
        <v>44364</v>
      </c>
      <c r="C419" s="1" t="n">
        <v>46143</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31604-2023</t>
        </is>
      </c>
      <c r="B420" s="1" t="n">
        <v>45117.50368055556</v>
      </c>
      <c r="C420" s="1" t="n">
        <v>46143</v>
      </c>
      <c r="D420" t="inlineStr">
        <is>
          <t>UPPSALA LÄN</t>
        </is>
      </c>
      <c r="E420" t="inlineStr">
        <is>
          <t>ENKÖPING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25598-2021</t>
        </is>
      </c>
      <c r="B421" s="1" t="n">
        <v>44343.4558912037</v>
      </c>
      <c r="C421" s="1" t="n">
        <v>46143</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15162-2025</t>
        </is>
      </c>
      <c r="B422" s="1" t="n">
        <v>45744</v>
      </c>
      <c r="C422" s="1" t="n">
        <v>46143</v>
      </c>
      <c r="D422" t="inlineStr">
        <is>
          <t>UPPSALA LÄN</t>
        </is>
      </c>
      <c r="E422" t="inlineStr">
        <is>
          <t>ENKÖPING</t>
        </is>
      </c>
      <c r="G422" t="n">
        <v>4.2</v>
      </c>
      <c r="H422" t="n">
        <v>0</v>
      </c>
      <c r="I422" t="n">
        <v>0</v>
      </c>
      <c r="J422" t="n">
        <v>0</v>
      </c>
      <c r="K422" t="n">
        <v>0</v>
      </c>
      <c r="L422" t="n">
        <v>0</v>
      </c>
      <c r="M422" t="n">
        <v>0</v>
      </c>
      <c r="N422" t="n">
        <v>0</v>
      </c>
      <c r="O422" t="n">
        <v>0</v>
      </c>
      <c r="P422" t="n">
        <v>0</v>
      </c>
      <c r="Q422" t="n">
        <v>0</v>
      </c>
      <c r="R422" s="2" t="inlineStr"/>
    </row>
    <row r="423" ht="15" customHeight="1">
      <c r="A423" t="inlineStr">
        <is>
          <t>A 52388-2024</t>
        </is>
      </c>
      <c r="B423" s="1" t="n">
        <v>45609.42939814815</v>
      </c>
      <c r="C423" s="1" t="n">
        <v>46143</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53607-2023</t>
        </is>
      </c>
      <c r="B424" s="1" t="n">
        <v>45230</v>
      </c>
      <c r="C424" s="1" t="n">
        <v>46143</v>
      </c>
      <c r="D424" t="inlineStr">
        <is>
          <t>UPPSALA LÄN</t>
        </is>
      </c>
      <c r="E424" t="inlineStr">
        <is>
          <t>ENKÖPING</t>
        </is>
      </c>
      <c r="F424" t="inlineStr">
        <is>
          <t>Allmännings- och besparingsskogar</t>
        </is>
      </c>
      <c r="G424" t="n">
        <v>6.3</v>
      </c>
      <c r="H424" t="n">
        <v>0</v>
      </c>
      <c r="I424" t="n">
        <v>0</v>
      </c>
      <c r="J424" t="n">
        <v>0</v>
      </c>
      <c r="K424" t="n">
        <v>0</v>
      </c>
      <c r="L424" t="n">
        <v>0</v>
      </c>
      <c r="M424" t="n">
        <v>0</v>
      </c>
      <c r="N424" t="n">
        <v>0</v>
      </c>
      <c r="O424" t="n">
        <v>0</v>
      </c>
      <c r="P424" t="n">
        <v>0</v>
      </c>
      <c r="Q424" t="n">
        <v>0</v>
      </c>
      <c r="R424" s="2" t="inlineStr"/>
    </row>
    <row r="425" ht="15" customHeight="1">
      <c r="A425" t="inlineStr">
        <is>
          <t>A 40202-2024</t>
        </is>
      </c>
      <c r="B425" s="1" t="n">
        <v>45554</v>
      </c>
      <c r="C425" s="1" t="n">
        <v>46143</v>
      </c>
      <c r="D425" t="inlineStr">
        <is>
          <t>UPPSALA LÄN</t>
        </is>
      </c>
      <c r="E425" t="inlineStr">
        <is>
          <t>ENKÖPING</t>
        </is>
      </c>
      <c r="G425" t="n">
        <v>6.2</v>
      </c>
      <c r="H425" t="n">
        <v>0</v>
      </c>
      <c r="I425" t="n">
        <v>0</v>
      </c>
      <c r="J425" t="n">
        <v>0</v>
      </c>
      <c r="K425" t="n">
        <v>0</v>
      </c>
      <c r="L425" t="n">
        <v>0</v>
      </c>
      <c r="M425" t="n">
        <v>0</v>
      </c>
      <c r="N425" t="n">
        <v>0</v>
      </c>
      <c r="O425" t="n">
        <v>0</v>
      </c>
      <c r="P425" t="n">
        <v>0</v>
      </c>
      <c r="Q425" t="n">
        <v>0</v>
      </c>
      <c r="R425" s="2" t="inlineStr"/>
    </row>
    <row r="426" ht="15" customHeight="1">
      <c r="A426" t="inlineStr">
        <is>
          <t>A 57152-2021</t>
        </is>
      </c>
      <c r="B426" s="1" t="n">
        <v>44482</v>
      </c>
      <c r="C426" s="1" t="n">
        <v>46143</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34124-2021</t>
        </is>
      </c>
      <c r="B427" s="1" t="n">
        <v>44379</v>
      </c>
      <c r="C427" s="1" t="n">
        <v>46143</v>
      </c>
      <c r="D427" t="inlineStr">
        <is>
          <t>UPPSALA LÄN</t>
        </is>
      </c>
      <c r="E427" t="inlineStr">
        <is>
          <t>ENKÖPING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28518-2024</t>
        </is>
      </c>
      <c r="B428" s="1" t="n">
        <v>45477</v>
      </c>
      <c r="C428" s="1" t="n">
        <v>46143</v>
      </c>
      <c r="D428" t="inlineStr">
        <is>
          <t>UPPSALA LÄN</t>
        </is>
      </c>
      <c r="E428" t="inlineStr">
        <is>
          <t>ENKÖPING</t>
        </is>
      </c>
      <c r="G428" t="n">
        <v>3.4</v>
      </c>
      <c r="H428" t="n">
        <v>0</v>
      </c>
      <c r="I428" t="n">
        <v>0</v>
      </c>
      <c r="J428" t="n">
        <v>0</v>
      </c>
      <c r="K428" t="n">
        <v>0</v>
      </c>
      <c r="L428" t="n">
        <v>0</v>
      </c>
      <c r="M428" t="n">
        <v>0</v>
      </c>
      <c r="N428" t="n">
        <v>0</v>
      </c>
      <c r="O428" t="n">
        <v>0</v>
      </c>
      <c r="P428" t="n">
        <v>0</v>
      </c>
      <c r="Q428" t="n">
        <v>0</v>
      </c>
      <c r="R428" s="2" t="inlineStr"/>
    </row>
    <row r="429" ht="15" customHeight="1">
      <c r="A429" t="inlineStr">
        <is>
          <t>A 52299-2023</t>
        </is>
      </c>
      <c r="B429" s="1" t="n">
        <v>45224.61636574074</v>
      </c>
      <c r="C429" s="1" t="n">
        <v>46143</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30634-2022</t>
        </is>
      </c>
      <c r="B430" s="1" t="n">
        <v>44763.45711805556</v>
      </c>
      <c r="C430" s="1" t="n">
        <v>46143</v>
      </c>
      <c r="D430" t="inlineStr">
        <is>
          <t>UPPSALA LÄN</t>
        </is>
      </c>
      <c r="E430" t="inlineStr">
        <is>
          <t>ENKÖPING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18259-2025</t>
        </is>
      </c>
      <c r="B431" s="1" t="n">
        <v>45762</v>
      </c>
      <c r="C431" s="1" t="n">
        <v>46143</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14004-2023</t>
        </is>
      </c>
      <c r="B432" s="1" t="n">
        <v>45008</v>
      </c>
      <c r="C432" s="1" t="n">
        <v>46143</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52005-2024</t>
        </is>
      </c>
      <c r="B433" s="1" t="n">
        <v>45607.7627662037</v>
      </c>
      <c r="C433" s="1" t="n">
        <v>46143</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1960-2022</t>
        </is>
      </c>
      <c r="B434" s="1" t="n">
        <v>44575</v>
      </c>
      <c r="C434" s="1" t="n">
        <v>46143</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49627-2024</t>
        </is>
      </c>
      <c r="B435" s="1" t="n">
        <v>45596.59140046296</v>
      </c>
      <c r="C435" s="1" t="n">
        <v>46143</v>
      </c>
      <c r="D435" t="inlineStr">
        <is>
          <t>UPPSALA LÄN</t>
        </is>
      </c>
      <c r="E435" t="inlineStr">
        <is>
          <t>ENKÖPING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57998-2024</t>
        </is>
      </c>
      <c r="B436" s="1" t="n">
        <v>45631</v>
      </c>
      <c r="C436" s="1" t="n">
        <v>46143</v>
      </c>
      <c r="D436" t="inlineStr">
        <is>
          <t>UPPSALA LÄN</t>
        </is>
      </c>
      <c r="E436" t="inlineStr">
        <is>
          <t>ENKÖPING</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9667-2024</t>
        </is>
      </c>
      <c r="B437" s="1" t="n">
        <v>45362.45130787037</v>
      </c>
      <c r="C437" s="1" t="n">
        <v>46143</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35645-2021</t>
        </is>
      </c>
      <c r="B438" s="1" t="n">
        <v>44386.42</v>
      </c>
      <c r="C438" s="1" t="n">
        <v>46143</v>
      </c>
      <c r="D438" t="inlineStr">
        <is>
          <t>UPPSALA LÄN</t>
        </is>
      </c>
      <c r="E438" t="inlineStr">
        <is>
          <t>ENKÖPING</t>
        </is>
      </c>
      <c r="G438" t="n">
        <v>2.7</v>
      </c>
      <c r="H438" t="n">
        <v>0</v>
      </c>
      <c r="I438" t="n">
        <v>0</v>
      </c>
      <c r="J438" t="n">
        <v>0</v>
      </c>
      <c r="K438" t="n">
        <v>0</v>
      </c>
      <c r="L438" t="n">
        <v>0</v>
      </c>
      <c r="M438" t="n">
        <v>0</v>
      </c>
      <c r="N438" t="n">
        <v>0</v>
      </c>
      <c r="O438" t="n">
        <v>0</v>
      </c>
      <c r="P438" t="n">
        <v>0</v>
      </c>
      <c r="Q438" t="n">
        <v>0</v>
      </c>
      <c r="R438" s="2" t="inlineStr"/>
    </row>
    <row r="439" ht="15" customHeight="1">
      <c r="A439" t="inlineStr">
        <is>
          <t>A 15711-2025</t>
        </is>
      </c>
      <c r="B439" s="1" t="n">
        <v>45748</v>
      </c>
      <c r="C439" s="1" t="n">
        <v>46143</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28318-2024</t>
        </is>
      </c>
      <c r="B440" s="1" t="n">
        <v>45477</v>
      </c>
      <c r="C440" s="1" t="n">
        <v>46143</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69344-2021</t>
        </is>
      </c>
      <c r="B441" s="1" t="n">
        <v>44531</v>
      </c>
      <c r="C441" s="1" t="n">
        <v>46143</v>
      </c>
      <c r="D441" t="inlineStr">
        <is>
          <t>UPPSALA LÄN</t>
        </is>
      </c>
      <c r="E441" t="inlineStr">
        <is>
          <t>ENKÖPING</t>
        </is>
      </c>
      <c r="G441" t="n">
        <v>2.9</v>
      </c>
      <c r="H441" t="n">
        <v>0</v>
      </c>
      <c r="I441" t="n">
        <v>0</v>
      </c>
      <c r="J441" t="n">
        <v>0</v>
      </c>
      <c r="K441" t="n">
        <v>0</v>
      </c>
      <c r="L441" t="n">
        <v>0</v>
      </c>
      <c r="M441" t="n">
        <v>0</v>
      </c>
      <c r="N441" t="n">
        <v>0</v>
      </c>
      <c r="O441" t="n">
        <v>0</v>
      </c>
      <c r="P441" t="n">
        <v>0</v>
      </c>
      <c r="Q441" t="n">
        <v>0</v>
      </c>
      <c r="R441" s="2" t="inlineStr"/>
    </row>
    <row r="442" ht="15" customHeight="1">
      <c r="A442" t="inlineStr">
        <is>
          <t>A 51524-2022</t>
        </is>
      </c>
      <c r="B442" s="1" t="n">
        <v>44869</v>
      </c>
      <c r="C442" s="1" t="n">
        <v>46143</v>
      </c>
      <c r="D442" t="inlineStr">
        <is>
          <t>UPPSALA LÄN</t>
        </is>
      </c>
      <c r="E442" t="inlineStr">
        <is>
          <t>ENKÖPING</t>
        </is>
      </c>
      <c r="G442" t="n">
        <v>6.6</v>
      </c>
      <c r="H442" t="n">
        <v>0</v>
      </c>
      <c r="I442" t="n">
        <v>0</v>
      </c>
      <c r="J442" t="n">
        <v>0</v>
      </c>
      <c r="K442" t="n">
        <v>0</v>
      </c>
      <c r="L442" t="n">
        <v>0</v>
      </c>
      <c r="M442" t="n">
        <v>0</v>
      </c>
      <c r="N442" t="n">
        <v>0</v>
      </c>
      <c r="O442" t="n">
        <v>0</v>
      </c>
      <c r="P442" t="n">
        <v>0</v>
      </c>
      <c r="Q442" t="n">
        <v>0</v>
      </c>
      <c r="R442" s="2" t="inlineStr"/>
    </row>
    <row r="443" ht="15" customHeight="1">
      <c r="A443" t="inlineStr">
        <is>
          <t>A 46103-2023</t>
        </is>
      </c>
      <c r="B443" s="1" t="n">
        <v>45190</v>
      </c>
      <c r="C443" s="1" t="n">
        <v>46143</v>
      </c>
      <c r="D443" t="inlineStr">
        <is>
          <t>UPPSALA LÄN</t>
        </is>
      </c>
      <c r="E443" t="inlineStr">
        <is>
          <t>ENKÖPING</t>
        </is>
      </c>
      <c r="G443" t="n">
        <v>4.6</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44827.63826388889</v>
      </c>
      <c r="C444" s="1" t="n">
        <v>46143</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8137-2025</t>
        </is>
      </c>
      <c r="B445" s="1" t="n">
        <v>45707.8561574074</v>
      </c>
      <c r="C445" s="1" t="n">
        <v>46143</v>
      </c>
      <c r="D445" t="inlineStr">
        <is>
          <t>UPPSALA LÄN</t>
        </is>
      </c>
      <c r="E445" t="inlineStr">
        <is>
          <t>ENKÖPING</t>
        </is>
      </c>
      <c r="G445" t="n">
        <v>0.4</v>
      </c>
      <c r="H445" t="n">
        <v>0</v>
      </c>
      <c r="I445" t="n">
        <v>0</v>
      </c>
      <c r="J445" t="n">
        <v>0</v>
      </c>
      <c r="K445" t="n">
        <v>0</v>
      </c>
      <c r="L445" t="n">
        <v>0</v>
      </c>
      <c r="M445" t="n">
        <v>0</v>
      </c>
      <c r="N445" t="n">
        <v>0</v>
      </c>
      <c r="O445" t="n">
        <v>0</v>
      </c>
      <c r="P445" t="n">
        <v>0</v>
      </c>
      <c r="Q445" t="n">
        <v>0</v>
      </c>
      <c r="R445" s="2" t="inlineStr"/>
    </row>
    <row r="446" ht="15" customHeight="1">
      <c r="A446" t="inlineStr">
        <is>
          <t>A 23301-2024</t>
        </is>
      </c>
      <c r="B446" s="1" t="n">
        <v>45453.4396412037</v>
      </c>
      <c r="C446" s="1" t="n">
        <v>46143</v>
      </c>
      <c r="D446" t="inlineStr">
        <is>
          <t>UPPSALA LÄN</t>
        </is>
      </c>
      <c r="E446" t="inlineStr">
        <is>
          <t>ENKÖPING</t>
        </is>
      </c>
      <c r="G446" t="n">
        <v>4.3</v>
      </c>
      <c r="H446" t="n">
        <v>0</v>
      </c>
      <c r="I446" t="n">
        <v>0</v>
      </c>
      <c r="J446" t="n">
        <v>0</v>
      </c>
      <c r="K446" t="n">
        <v>0</v>
      </c>
      <c r="L446" t="n">
        <v>0</v>
      </c>
      <c r="M446" t="n">
        <v>0</v>
      </c>
      <c r="N446" t="n">
        <v>0</v>
      </c>
      <c r="O446" t="n">
        <v>0</v>
      </c>
      <c r="P446" t="n">
        <v>0</v>
      </c>
      <c r="Q446" t="n">
        <v>0</v>
      </c>
      <c r="R446" s="2" t="inlineStr"/>
    </row>
    <row r="447" ht="15" customHeight="1">
      <c r="A447" t="inlineStr">
        <is>
          <t>A 52380-2024</t>
        </is>
      </c>
      <c r="B447" s="1" t="n">
        <v>45609</v>
      </c>
      <c r="C447" s="1" t="n">
        <v>46143</v>
      </c>
      <c r="D447" t="inlineStr">
        <is>
          <t>UPPSALA LÄN</t>
        </is>
      </c>
      <c r="E447" t="inlineStr">
        <is>
          <t>ENKÖPING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30098-2024</t>
        </is>
      </c>
      <c r="B448" s="1" t="n">
        <v>45489.41609953704</v>
      </c>
      <c r="C448" s="1" t="n">
        <v>46143</v>
      </c>
      <c r="D448" t="inlineStr">
        <is>
          <t>UPPSALA LÄN</t>
        </is>
      </c>
      <c r="E448" t="inlineStr">
        <is>
          <t>ENKÖPING</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34735-2023</t>
        </is>
      </c>
      <c r="B449" s="1" t="n">
        <v>45139</v>
      </c>
      <c r="C449" s="1" t="n">
        <v>46143</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57328-2024</t>
        </is>
      </c>
      <c r="B450" s="1" t="n">
        <v>45629.62798611111</v>
      </c>
      <c r="C450" s="1" t="n">
        <v>46143</v>
      </c>
      <c r="D450" t="inlineStr">
        <is>
          <t>UPPSALA LÄN</t>
        </is>
      </c>
      <c r="E450" t="inlineStr">
        <is>
          <t>ENKÖPING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29482-2022</t>
        </is>
      </c>
      <c r="B451" s="1" t="n">
        <v>44753.57703703704</v>
      </c>
      <c r="C451" s="1" t="n">
        <v>46143</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29483-2022</t>
        </is>
      </c>
      <c r="B452" s="1" t="n">
        <v>44753.57829861111</v>
      </c>
      <c r="C452" s="1" t="n">
        <v>46143</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44232-2022</t>
        </is>
      </c>
      <c r="B453" s="1" t="n">
        <v>44839</v>
      </c>
      <c r="C453" s="1" t="n">
        <v>46143</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61106-2022</t>
        </is>
      </c>
      <c r="B454" s="1" t="n">
        <v>44915.4128587963</v>
      </c>
      <c r="C454" s="1" t="n">
        <v>46143</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39624-2023</t>
        </is>
      </c>
      <c r="B455" s="1" t="n">
        <v>45164</v>
      </c>
      <c r="C455" s="1" t="n">
        <v>46143</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20184-2023</t>
        </is>
      </c>
      <c r="B456" s="1" t="n">
        <v>45055.5670949074</v>
      </c>
      <c r="C456" s="1" t="n">
        <v>46143</v>
      </c>
      <c r="D456" t="inlineStr">
        <is>
          <t>UPPSALA LÄN</t>
        </is>
      </c>
      <c r="E456" t="inlineStr">
        <is>
          <t>ENKÖPING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8152-2022</t>
        </is>
      </c>
      <c r="B457" s="1" t="n">
        <v>44609</v>
      </c>
      <c r="C457" s="1" t="n">
        <v>46143</v>
      </c>
      <c r="D457" t="inlineStr">
        <is>
          <t>UPPSALA LÄN</t>
        </is>
      </c>
      <c r="E457" t="inlineStr">
        <is>
          <t>ENKÖPING</t>
        </is>
      </c>
      <c r="F457" t="inlineStr">
        <is>
          <t>Kyrkan</t>
        </is>
      </c>
      <c r="G457" t="n">
        <v>1.3</v>
      </c>
      <c r="H457" t="n">
        <v>0</v>
      </c>
      <c r="I457" t="n">
        <v>0</v>
      </c>
      <c r="J457" t="n">
        <v>0</v>
      </c>
      <c r="K457" t="n">
        <v>0</v>
      </c>
      <c r="L457" t="n">
        <v>0</v>
      </c>
      <c r="M457" t="n">
        <v>0</v>
      </c>
      <c r="N457" t="n">
        <v>0</v>
      </c>
      <c r="O457" t="n">
        <v>0</v>
      </c>
      <c r="P457" t="n">
        <v>0</v>
      </c>
      <c r="Q457" t="n">
        <v>0</v>
      </c>
      <c r="R457" s="2" t="inlineStr"/>
    </row>
    <row r="458" ht="15" customHeight="1">
      <c r="A458" t="inlineStr">
        <is>
          <t>A 40223-2024</t>
        </is>
      </c>
      <c r="B458" s="1" t="n">
        <v>45554</v>
      </c>
      <c r="C458" s="1" t="n">
        <v>46143</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37035-2023</t>
        </is>
      </c>
      <c r="B459" s="1" t="n">
        <v>45155</v>
      </c>
      <c r="C459" s="1" t="n">
        <v>46143</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52889-2022</t>
        </is>
      </c>
      <c r="B460" s="1" t="n">
        <v>44875</v>
      </c>
      <c r="C460" s="1" t="n">
        <v>46143</v>
      </c>
      <c r="D460" t="inlineStr">
        <is>
          <t>UPPSALA LÄN</t>
        </is>
      </c>
      <c r="E460" t="inlineStr">
        <is>
          <t>ENKÖPING</t>
        </is>
      </c>
      <c r="G460" t="n">
        <v>1.7</v>
      </c>
      <c r="H460" t="n">
        <v>0</v>
      </c>
      <c r="I460" t="n">
        <v>0</v>
      </c>
      <c r="J460" t="n">
        <v>0</v>
      </c>
      <c r="K460" t="n">
        <v>0</v>
      </c>
      <c r="L460" t="n">
        <v>0</v>
      </c>
      <c r="M460" t="n">
        <v>0</v>
      </c>
      <c r="N460" t="n">
        <v>0</v>
      </c>
      <c r="O460" t="n">
        <v>0</v>
      </c>
      <c r="P460" t="n">
        <v>0</v>
      </c>
      <c r="Q460" t="n">
        <v>0</v>
      </c>
      <c r="R460" s="2" t="inlineStr"/>
    </row>
    <row r="461" ht="15" customHeight="1">
      <c r="A461" t="inlineStr">
        <is>
          <t>A 51030-2024</t>
        </is>
      </c>
      <c r="B461" s="1" t="n">
        <v>45603</v>
      </c>
      <c r="C461" s="1" t="n">
        <v>46143</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26292-2022</t>
        </is>
      </c>
      <c r="B462" s="1" t="n">
        <v>44735</v>
      </c>
      <c r="C462" s="1" t="n">
        <v>46143</v>
      </c>
      <c r="D462" t="inlineStr">
        <is>
          <t>UPPSALA LÄN</t>
        </is>
      </c>
      <c r="E462" t="inlineStr">
        <is>
          <t>ENKÖPING</t>
        </is>
      </c>
      <c r="F462" t="inlineStr">
        <is>
          <t>Kyrkan</t>
        </is>
      </c>
      <c r="G462" t="n">
        <v>4.6</v>
      </c>
      <c r="H462" t="n">
        <v>0</v>
      </c>
      <c r="I462" t="n">
        <v>0</v>
      </c>
      <c r="J462" t="n">
        <v>0</v>
      </c>
      <c r="K462" t="n">
        <v>0</v>
      </c>
      <c r="L462" t="n">
        <v>0</v>
      </c>
      <c r="M462" t="n">
        <v>0</v>
      </c>
      <c r="N462" t="n">
        <v>0</v>
      </c>
      <c r="O462" t="n">
        <v>0</v>
      </c>
      <c r="P462" t="n">
        <v>0</v>
      </c>
      <c r="Q462" t="n">
        <v>0</v>
      </c>
      <c r="R462" s="2" t="inlineStr"/>
    </row>
    <row r="463" ht="15" customHeight="1">
      <c r="A463" t="inlineStr">
        <is>
          <t>A 4044-2024</t>
        </is>
      </c>
      <c r="B463" s="1" t="n">
        <v>45323.45954861111</v>
      </c>
      <c r="C463" s="1" t="n">
        <v>46143</v>
      </c>
      <c r="D463" t="inlineStr">
        <is>
          <t>UPPSALA LÄN</t>
        </is>
      </c>
      <c r="E463" t="inlineStr">
        <is>
          <t>ENKÖPING</t>
        </is>
      </c>
      <c r="G463" t="n">
        <v>2.1</v>
      </c>
      <c r="H463" t="n">
        <v>0</v>
      </c>
      <c r="I463" t="n">
        <v>0</v>
      </c>
      <c r="J463" t="n">
        <v>0</v>
      </c>
      <c r="K463" t="n">
        <v>0</v>
      </c>
      <c r="L463" t="n">
        <v>0</v>
      </c>
      <c r="M463" t="n">
        <v>0</v>
      </c>
      <c r="N463" t="n">
        <v>0</v>
      </c>
      <c r="O463" t="n">
        <v>0</v>
      </c>
      <c r="P463" t="n">
        <v>0</v>
      </c>
      <c r="Q463" t="n">
        <v>0</v>
      </c>
      <c r="R463" s="2" t="inlineStr"/>
    </row>
    <row r="464" ht="15" customHeight="1">
      <c r="A464" t="inlineStr">
        <is>
          <t>A 33349-2024</t>
        </is>
      </c>
      <c r="B464" s="1" t="n">
        <v>45519</v>
      </c>
      <c r="C464" s="1" t="n">
        <v>46143</v>
      </c>
      <c r="D464" t="inlineStr">
        <is>
          <t>UPPSALA LÄN</t>
        </is>
      </c>
      <c r="E464" t="inlineStr">
        <is>
          <t>ENKÖPING</t>
        </is>
      </c>
      <c r="G464" t="n">
        <v>3.6</v>
      </c>
      <c r="H464" t="n">
        <v>0</v>
      </c>
      <c r="I464" t="n">
        <v>0</v>
      </c>
      <c r="J464" t="n">
        <v>0</v>
      </c>
      <c r="K464" t="n">
        <v>0</v>
      </c>
      <c r="L464" t="n">
        <v>0</v>
      </c>
      <c r="M464" t="n">
        <v>0</v>
      </c>
      <c r="N464" t="n">
        <v>0</v>
      </c>
      <c r="O464" t="n">
        <v>0</v>
      </c>
      <c r="P464" t="n">
        <v>0</v>
      </c>
      <c r="Q464" t="n">
        <v>0</v>
      </c>
      <c r="R464" s="2" t="inlineStr"/>
    </row>
    <row r="465" ht="15" customHeight="1">
      <c r="A465" t="inlineStr">
        <is>
          <t>A 22912-2024</t>
        </is>
      </c>
      <c r="B465" s="1" t="n">
        <v>45448.73118055556</v>
      </c>
      <c r="C465" s="1" t="n">
        <v>46143</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21612-2023</t>
        </is>
      </c>
      <c r="B466" s="1" t="n">
        <v>45063</v>
      </c>
      <c r="C466" s="1" t="n">
        <v>46143</v>
      </c>
      <c r="D466" t="inlineStr">
        <is>
          <t>UPPSALA LÄN</t>
        </is>
      </c>
      <c r="E466" t="inlineStr">
        <is>
          <t>ENKÖPING</t>
        </is>
      </c>
      <c r="F466" t="inlineStr">
        <is>
          <t>Allmännings- och besparingsskogar</t>
        </is>
      </c>
      <c r="G466" t="n">
        <v>1</v>
      </c>
      <c r="H466" t="n">
        <v>0</v>
      </c>
      <c r="I466" t="n">
        <v>0</v>
      </c>
      <c r="J466" t="n">
        <v>0</v>
      </c>
      <c r="K466" t="n">
        <v>0</v>
      </c>
      <c r="L466" t="n">
        <v>0</v>
      </c>
      <c r="M466" t="n">
        <v>0</v>
      </c>
      <c r="N466" t="n">
        <v>0</v>
      </c>
      <c r="O466" t="n">
        <v>0</v>
      </c>
      <c r="P466" t="n">
        <v>0</v>
      </c>
      <c r="Q466" t="n">
        <v>0</v>
      </c>
      <c r="R466" s="2" t="inlineStr"/>
    </row>
    <row r="467" ht="15" customHeight="1">
      <c r="A467" t="inlineStr">
        <is>
          <t>A 14243-2025</t>
        </is>
      </c>
      <c r="B467" s="1" t="n">
        <v>45740.61288194444</v>
      </c>
      <c r="C467" s="1" t="n">
        <v>46143</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33343-2024</t>
        </is>
      </c>
      <c r="B468" s="1" t="n">
        <v>45519</v>
      </c>
      <c r="C468" s="1" t="n">
        <v>46143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18302-2025</t>
        </is>
      </c>
      <c r="B469" s="1" t="n">
        <v>45762</v>
      </c>
      <c r="C469" s="1" t="n">
        <v>46143</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28243-2023</t>
        </is>
      </c>
      <c r="B470" s="1" t="n">
        <v>45099.58885416666</v>
      </c>
      <c r="C470" s="1" t="n">
        <v>46143</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3235-2025</t>
        </is>
      </c>
      <c r="B471" s="1" t="n">
        <v>45679</v>
      </c>
      <c r="C471" s="1" t="n">
        <v>46143</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41828-2024</t>
        </is>
      </c>
      <c r="B472" s="1" t="n">
        <v>45561</v>
      </c>
      <c r="C472" s="1" t="n">
        <v>46143</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1536-2024</t>
        </is>
      </c>
      <c r="B473" s="1" t="n">
        <v>45306</v>
      </c>
      <c r="C473" s="1" t="n">
        <v>46143</v>
      </c>
      <c r="D473" t="inlineStr">
        <is>
          <t>UPPSALA LÄN</t>
        </is>
      </c>
      <c r="E473" t="inlineStr">
        <is>
          <t>ENKÖPING</t>
        </is>
      </c>
      <c r="F473" t="inlineStr">
        <is>
          <t>Kyrkan</t>
        </is>
      </c>
      <c r="G473" t="n">
        <v>5.6</v>
      </c>
      <c r="H473" t="n">
        <v>0</v>
      </c>
      <c r="I473" t="n">
        <v>0</v>
      </c>
      <c r="J473" t="n">
        <v>0</v>
      </c>
      <c r="K473" t="n">
        <v>0</v>
      </c>
      <c r="L473" t="n">
        <v>0</v>
      </c>
      <c r="M473" t="n">
        <v>0</v>
      </c>
      <c r="N473" t="n">
        <v>0</v>
      </c>
      <c r="O473" t="n">
        <v>0</v>
      </c>
      <c r="P473" t="n">
        <v>0</v>
      </c>
      <c r="Q473" t="n">
        <v>0</v>
      </c>
      <c r="R473" s="2" t="inlineStr"/>
    </row>
    <row r="474" ht="15" customHeight="1">
      <c r="A474" t="inlineStr">
        <is>
          <t>A 42564-2024</t>
        </is>
      </c>
      <c r="B474" s="1" t="n">
        <v>45565.63358796296</v>
      </c>
      <c r="C474" s="1" t="n">
        <v>46143</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43492-2023</t>
        </is>
      </c>
      <c r="B475" s="1" t="n">
        <v>45181</v>
      </c>
      <c r="C475" s="1" t="n">
        <v>46143</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6626-2023</t>
        </is>
      </c>
      <c r="B476" s="1" t="n">
        <v>44966.55946759259</v>
      </c>
      <c r="C476" s="1" t="n">
        <v>46143</v>
      </c>
      <c r="D476" t="inlineStr">
        <is>
          <t>UPPSALA LÄN</t>
        </is>
      </c>
      <c r="E476" t="inlineStr">
        <is>
          <t>ENKÖPING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17165-2025</t>
        </is>
      </c>
      <c r="B477" s="1" t="n">
        <v>45756</v>
      </c>
      <c r="C477" s="1" t="n">
        <v>46143</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5013-2025</t>
        </is>
      </c>
      <c r="B478" s="1" t="n">
        <v>45691</v>
      </c>
      <c r="C478" s="1" t="n">
        <v>46143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37170-2021</t>
        </is>
      </c>
      <c r="B479" s="1" t="n">
        <v>44395</v>
      </c>
      <c r="C479" s="1" t="n">
        <v>46143</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58147-2024</t>
        </is>
      </c>
      <c r="B480" s="1" t="n">
        <v>45632.4334375</v>
      </c>
      <c r="C480" s="1" t="n">
        <v>46143</v>
      </c>
      <c r="D480" t="inlineStr">
        <is>
          <t>UPPSALA LÄN</t>
        </is>
      </c>
      <c r="E480" t="inlineStr">
        <is>
          <t>ENKÖPING</t>
        </is>
      </c>
      <c r="G480" t="n">
        <v>3</v>
      </c>
      <c r="H480" t="n">
        <v>0</v>
      </c>
      <c r="I480" t="n">
        <v>0</v>
      </c>
      <c r="J480" t="n">
        <v>0</v>
      </c>
      <c r="K480" t="n">
        <v>0</v>
      </c>
      <c r="L480" t="n">
        <v>0</v>
      </c>
      <c r="M480" t="n">
        <v>0</v>
      </c>
      <c r="N480" t="n">
        <v>0</v>
      </c>
      <c r="O480" t="n">
        <v>0</v>
      </c>
      <c r="P480" t="n">
        <v>0</v>
      </c>
      <c r="Q480" t="n">
        <v>0</v>
      </c>
      <c r="R480" s="2" t="inlineStr"/>
    </row>
    <row r="481" ht="15" customHeight="1">
      <c r="A481" t="inlineStr">
        <is>
          <t>A 3550-2023</t>
        </is>
      </c>
      <c r="B481" s="1" t="n">
        <v>44950</v>
      </c>
      <c r="C481" s="1" t="n">
        <v>46143</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19014-2025</t>
        </is>
      </c>
      <c r="B482" s="1" t="n">
        <v>45764.59631944444</v>
      </c>
      <c r="C482" s="1" t="n">
        <v>46143</v>
      </c>
      <c r="D482" t="inlineStr">
        <is>
          <t>UPPSALA LÄN</t>
        </is>
      </c>
      <c r="E482" t="inlineStr">
        <is>
          <t>ENKÖPING</t>
        </is>
      </c>
      <c r="G482" t="n">
        <v>0.2</v>
      </c>
      <c r="H482" t="n">
        <v>0</v>
      </c>
      <c r="I482" t="n">
        <v>0</v>
      </c>
      <c r="J482" t="n">
        <v>0</v>
      </c>
      <c r="K482" t="n">
        <v>0</v>
      </c>
      <c r="L482" t="n">
        <v>0</v>
      </c>
      <c r="M482" t="n">
        <v>0</v>
      </c>
      <c r="N482" t="n">
        <v>0</v>
      </c>
      <c r="O482" t="n">
        <v>0</v>
      </c>
      <c r="P482" t="n">
        <v>0</v>
      </c>
      <c r="Q482" t="n">
        <v>0</v>
      </c>
      <c r="R482" s="2" t="inlineStr"/>
    </row>
    <row r="483" ht="15" customHeight="1">
      <c r="A483" t="inlineStr">
        <is>
          <t>A 12958-2024</t>
        </is>
      </c>
      <c r="B483" s="1" t="n">
        <v>45385</v>
      </c>
      <c r="C483" s="1" t="n">
        <v>46143</v>
      </c>
      <c r="D483" t="inlineStr">
        <is>
          <t>UPPSALA LÄN</t>
        </is>
      </c>
      <c r="E483" t="inlineStr">
        <is>
          <t>ENKÖPING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1651-2024</t>
        </is>
      </c>
      <c r="B484" s="1" t="n">
        <v>45306.73770833333</v>
      </c>
      <c r="C484" s="1" t="n">
        <v>46143</v>
      </c>
      <c r="D484" t="inlineStr">
        <is>
          <t>UPPSALA LÄN</t>
        </is>
      </c>
      <c r="E484" t="inlineStr">
        <is>
          <t>ENKÖPING</t>
        </is>
      </c>
      <c r="G484" t="n">
        <v>10.2</v>
      </c>
      <c r="H484" t="n">
        <v>0</v>
      </c>
      <c r="I484" t="n">
        <v>0</v>
      </c>
      <c r="J484" t="n">
        <v>0</v>
      </c>
      <c r="K484" t="n">
        <v>0</v>
      </c>
      <c r="L484" t="n">
        <v>0</v>
      </c>
      <c r="M484" t="n">
        <v>0</v>
      </c>
      <c r="N484" t="n">
        <v>0</v>
      </c>
      <c r="O484" t="n">
        <v>0</v>
      </c>
      <c r="P484" t="n">
        <v>0</v>
      </c>
      <c r="Q484" t="n">
        <v>0</v>
      </c>
      <c r="R484" s="2" t="inlineStr"/>
    </row>
    <row r="485" ht="15" customHeight="1">
      <c r="A485" t="inlineStr">
        <is>
          <t>A 51012-2024</t>
        </is>
      </c>
      <c r="B485" s="1" t="n">
        <v>45603.39686342593</v>
      </c>
      <c r="C485" s="1" t="n">
        <v>46143</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57940-2022</t>
        </is>
      </c>
      <c r="B486" s="1" t="n">
        <v>44900</v>
      </c>
      <c r="C486" s="1" t="n">
        <v>46143</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63310-2021</t>
        </is>
      </c>
      <c r="B487" s="1" t="n">
        <v>44508</v>
      </c>
      <c r="C487" s="1" t="n">
        <v>46143</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20440-2025</t>
        </is>
      </c>
      <c r="B488" s="1" t="n">
        <v>45775</v>
      </c>
      <c r="C488" s="1" t="n">
        <v>46143</v>
      </c>
      <c r="D488" t="inlineStr">
        <is>
          <t>UPPSALA LÄN</t>
        </is>
      </c>
      <c r="E488" t="inlineStr">
        <is>
          <t>ENKÖPING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19488-2022</t>
        </is>
      </c>
      <c r="B489" s="1" t="n">
        <v>44693</v>
      </c>
      <c r="C489" s="1" t="n">
        <v>46143</v>
      </c>
      <c r="D489" t="inlineStr">
        <is>
          <t>UPPSALA LÄN</t>
        </is>
      </c>
      <c r="E489" t="inlineStr">
        <is>
          <t>ENKÖPING</t>
        </is>
      </c>
      <c r="G489" t="n">
        <v>7.8</v>
      </c>
      <c r="H489" t="n">
        <v>0</v>
      </c>
      <c r="I489" t="n">
        <v>0</v>
      </c>
      <c r="J489" t="n">
        <v>0</v>
      </c>
      <c r="K489" t="n">
        <v>0</v>
      </c>
      <c r="L489" t="n">
        <v>0</v>
      </c>
      <c r="M489" t="n">
        <v>0</v>
      </c>
      <c r="N489" t="n">
        <v>0</v>
      </c>
      <c r="O489" t="n">
        <v>0</v>
      </c>
      <c r="P489" t="n">
        <v>0</v>
      </c>
      <c r="Q489" t="n">
        <v>0</v>
      </c>
      <c r="R489" s="2" t="inlineStr"/>
    </row>
    <row r="490" ht="15" customHeight="1">
      <c r="A490" t="inlineStr">
        <is>
          <t>A 5188-2022</t>
        </is>
      </c>
      <c r="B490" s="1" t="n">
        <v>44594.4471412037</v>
      </c>
      <c r="C490" s="1" t="n">
        <v>46143</v>
      </c>
      <c r="D490" t="inlineStr">
        <is>
          <t>UPPSALA LÄN</t>
        </is>
      </c>
      <c r="E490" t="inlineStr">
        <is>
          <t>ENKÖPING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31622-2022</t>
        </is>
      </c>
      <c r="B491" s="1" t="n">
        <v>44775</v>
      </c>
      <c r="C491" s="1" t="n">
        <v>46143</v>
      </c>
      <c r="D491" t="inlineStr">
        <is>
          <t>UPPSALA LÄN</t>
        </is>
      </c>
      <c r="E491" t="inlineStr">
        <is>
          <t>ENKÖPING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12102-2024</t>
        </is>
      </c>
      <c r="B492" s="1" t="n">
        <v>45377</v>
      </c>
      <c r="C492" s="1" t="n">
        <v>46143</v>
      </c>
      <c r="D492" t="inlineStr">
        <is>
          <t>UPPSALA LÄN</t>
        </is>
      </c>
      <c r="E492" t="inlineStr">
        <is>
          <t>ENKÖPING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59602-2024</t>
        </is>
      </c>
      <c r="B493" s="1" t="n">
        <v>45638</v>
      </c>
      <c r="C493" s="1" t="n">
        <v>46143</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44131-2023</t>
        </is>
      </c>
      <c r="B494" s="1" t="n">
        <v>45188</v>
      </c>
      <c r="C494" s="1" t="n">
        <v>46143</v>
      </c>
      <c r="D494" t="inlineStr">
        <is>
          <t>UPPSALA LÄN</t>
        </is>
      </c>
      <c r="E494" t="inlineStr">
        <is>
          <t>ENKÖPING</t>
        </is>
      </c>
      <c r="G494" t="n">
        <v>0.3</v>
      </c>
      <c r="H494" t="n">
        <v>0</v>
      </c>
      <c r="I494" t="n">
        <v>0</v>
      </c>
      <c r="J494" t="n">
        <v>0</v>
      </c>
      <c r="K494" t="n">
        <v>0</v>
      </c>
      <c r="L494" t="n">
        <v>0</v>
      </c>
      <c r="M494" t="n">
        <v>0</v>
      </c>
      <c r="N494" t="n">
        <v>0</v>
      </c>
      <c r="O494" t="n">
        <v>0</v>
      </c>
      <c r="P494" t="n">
        <v>0</v>
      </c>
      <c r="Q494" t="n">
        <v>0</v>
      </c>
      <c r="R494" s="2" t="inlineStr"/>
    </row>
    <row r="495" ht="15" customHeight="1">
      <c r="A495" t="inlineStr">
        <is>
          <t>A 60533-2021</t>
        </is>
      </c>
      <c r="B495" s="1" t="n">
        <v>44496</v>
      </c>
      <c r="C495" s="1" t="n">
        <v>46143</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35052-2024</t>
        </is>
      </c>
      <c r="B496" s="1" t="n">
        <v>45527.6516087963</v>
      </c>
      <c r="C496" s="1" t="n">
        <v>46143</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51008-2024</t>
        </is>
      </c>
      <c r="B497" s="1" t="n">
        <v>45603.39041666667</v>
      </c>
      <c r="C497" s="1" t="n">
        <v>46143</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22156-2025</t>
        </is>
      </c>
      <c r="B498" s="1" t="n">
        <v>45785.57512731481</v>
      </c>
      <c r="C498" s="1" t="n">
        <v>46143</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22150-2025</t>
        </is>
      </c>
      <c r="B499" s="1" t="n">
        <v>45785.56398148148</v>
      </c>
      <c r="C499" s="1" t="n">
        <v>46143</v>
      </c>
      <c r="D499" t="inlineStr">
        <is>
          <t>UPPSALA LÄN</t>
        </is>
      </c>
      <c r="E499" t="inlineStr">
        <is>
          <t>ENKÖPING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30087-2024</t>
        </is>
      </c>
      <c r="B500" s="1" t="n">
        <v>45489.39447916667</v>
      </c>
      <c r="C500" s="1" t="n">
        <v>46143</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54776-2024</t>
        </is>
      </c>
      <c r="B501" s="1" t="n">
        <v>45618</v>
      </c>
      <c r="C501" s="1" t="n">
        <v>46143</v>
      </c>
      <c r="D501" t="inlineStr">
        <is>
          <t>UPPSALA LÄN</t>
        </is>
      </c>
      <c r="E501" t="inlineStr">
        <is>
          <t>ENKÖPING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22729-2025</t>
        </is>
      </c>
      <c r="B502" s="1" t="n">
        <v>45789.57790509259</v>
      </c>
      <c r="C502" s="1" t="n">
        <v>46143</v>
      </c>
      <c r="D502" t="inlineStr">
        <is>
          <t>UPPSALA LÄN</t>
        </is>
      </c>
      <c r="E502" t="inlineStr">
        <is>
          <t>ENKÖPING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14518-2025</t>
        </is>
      </c>
      <c r="B503" s="1" t="n">
        <v>45741</v>
      </c>
      <c r="C503" s="1" t="n">
        <v>46143</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22677-2025</t>
        </is>
      </c>
      <c r="B504" s="1" t="n">
        <v>45789.49515046296</v>
      </c>
      <c r="C504" s="1" t="n">
        <v>46143</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22679-2025</t>
        </is>
      </c>
      <c r="B505" s="1" t="n">
        <v>45789.49747685185</v>
      </c>
      <c r="C505" s="1" t="n">
        <v>46143</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22770-2025</t>
        </is>
      </c>
      <c r="B506" s="1" t="n">
        <v>45789.63454861111</v>
      </c>
      <c r="C506" s="1" t="n">
        <v>46143</v>
      </c>
      <c r="D506" t="inlineStr">
        <is>
          <t>UPPSALA LÄN</t>
        </is>
      </c>
      <c r="E506" t="inlineStr">
        <is>
          <t>ENKÖPING</t>
        </is>
      </c>
      <c r="G506" t="n">
        <v>4.5</v>
      </c>
      <c r="H506" t="n">
        <v>0</v>
      </c>
      <c r="I506" t="n">
        <v>0</v>
      </c>
      <c r="J506" t="n">
        <v>0</v>
      </c>
      <c r="K506" t="n">
        <v>0</v>
      </c>
      <c r="L506" t="n">
        <v>0</v>
      </c>
      <c r="M506" t="n">
        <v>0</v>
      </c>
      <c r="N506" t="n">
        <v>0</v>
      </c>
      <c r="O506" t="n">
        <v>0</v>
      </c>
      <c r="P506" t="n">
        <v>0</v>
      </c>
      <c r="Q506" t="n">
        <v>0</v>
      </c>
      <c r="R506" s="2" t="inlineStr"/>
    </row>
    <row r="507" ht="15" customHeight="1">
      <c r="A507" t="inlineStr">
        <is>
          <t>A 22800-2025</t>
        </is>
      </c>
      <c r="B507" s="1" t="n">
        <v>45789.6669212963</v>
      </c>
      <c r="C507" s="1" t="n">
        <v>46143</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6981-2025</t>
        </is>
      </c>
      <c r="B508" s="1" t="n">
        <v>45701</v>
      </c>
      <c r="C508" s="1" t="n">
        <v>46143</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22786-2025</t>
        </is>
      </c>
      <c r="B509" s="1" t="n">
        <v>45789.64643518518</v>
      </c>
      <c r="C509" s="1" t="n">
        <v>46143</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68123-2021</t>
        </is>
      </c>
      <c r="B510" s="1" t="n">
        <v>44526.39126157408</v>
      </c>
      <c r="C510" s="1" t="n">
        <v>46143</v>
      </c>
      <c r="D510" t="inlineStr">
        <is>
          <t>UPPSALA LÄN</t>
        </is>
      </c>
      <c r="E510" t="inlineStr">
        <is>
          <t>ENKÖPING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22680-2025</t>
        </is>
      </c>
      <c r="B511" s="1" t="n">
        <v>45789.5005787037</v>
      </c>
      <c r="C511" s="1" t="n">
        <v>46143</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22802-2025</t>
        </is>
      </c>
      <c r="B512" s="1" t="n">
        <v>45789.6686574074</v>
      </c>
      <c r="C512" s="1" t="n">
        <v>46143</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22793-2025</t>
        </is>
      </c>
      <c r="B513" s="1" t="n">
        <v>45789.65693287037</v>
      </c>
      <c r="C513" s="1" t="n">
        <v>46143</v>
      </c>
      <c r="D513" t="inlineStr">
        <is>
          <t>UPPSALA LÄN</t>
        </is>
      </c>
      <c r="E513" t="inlineStr">
        <is>
          <t>ENKÖPING</t>
        </is>
      </c>
      <c r="G513" t="n">
        <v>3.2</v>
      </c>
      <c r="H513" t="n">
        <v>0</v>
      </c>
      <c r="I513" t="n">
        <v>0</v>
      </c>
      <c r="J513" t="n">
        <v>0</v>
      </c>
      <c r="K513" t="n">
        <v>0</v>
      </c>
      <c r="L513" t="n">
        <v>0</v>
      </c>
      <c r="M513" t="n">
        <v>0</v>
      </c>
      <c r="N513" t="n">
        <v>0</v>
      </c>
      <c r="O513" t="n">
        <v>0</v>
      </c>
      <c r="P513" t="n">
        <v>0</v>
      </c>
      <c r="Q513" t="n">
        <v>0</v>
      </c>
      <c r="R513" s="2" t="inlineStr"/>
    </row>
    <row r="514" ht="15" customHeight="1">
      <c r="A514" t="inlineStr">
        <is>
          <t>A 22795-2025</t>
        </is>
      </c>
      <c r="B514" s="1" t="n">
        <v>45789.65944444444</v>
      </c>
      <c r="C514" s="1" t="n">
        <v>46143</v>
      </c>
      <c r="D514" t="inlineStr">
        <is>
          <t>UPPSALA LÄN</t>
        </is>
      </c>
      <c r="E514" t="inlineStr">
        <is>
          <t>ENKÖPING</t>
        </is>
      </c>
      <c r="G514" t="n">
        <v>10.4</v>
      </c>
      <c r="H514" t="n">
        <v>0</v>
      </c>
      <c r="I514" t="n">
        <v>0</v>
      </c>
      <c r="J514" t="n">
        <v>0</v>
      </c>
      <c r="K514" t="n">
        <v>0</v>
      </c>
      <c r="L514" t="n">
        <v>0</v>
      </c>
      <c r="M514" t="n">
        <v>0</v>
      </c>
      <c r="N514" t="n">
        <v>0</v>
      </c>
      <c r="O514" t="n">
        <v>0</v>
      </c>
      <c r="P514" t="n">
        <v>0</v>
      </c>
      <c r="Q514" t="n">
        <v>0</v>
      </c>
      <c r="R514" s="2" t="inlineStr"/>
    </row>
    <row r="515" ht="15" customHeight="1">
      <c r="A515" t="inlineStr">
        <is>
          <t>A 22725-2025</t>
        </is>
      </c>
      <c r="B515" s="1" t="n">
        <v>45789.57371527778</v>
      </c>
      <c r="C515" s="1" t="n">
        <v>46143</v>
      </c>
      <c r="D515" t="inlineStr">
        <is>
          <t>UPPSALA LÄN</t>
        </is>
      </c>
      <c r="E515" t="inlineStr">
        <is>
          <t>ENKÖPING</t>
        </is>
      </c>
      <c r="G515" t="n">
        <v>4.8</v>
      </c>
      <c r="H515" t="n">
        <v>0</v>
      </c>
      <c r="I515" t="n">
        <v>0</v>
      </c>
      <c r="J515" t="n">
        <v>0</v>
      </c>
      <c r="K515" t="n">
        <v>0</v>
      </c>
      <c r="L515" t="n">
        <v>0</v>
      </c>
      <c r="M515" t="n">
        <v>0</v>
      </c>
      <c r="N515" t="n">
        <v>0</v>
      </c>
      <c r="O515" t="n">
        <v>0</v>
      </c>
      <c r="P515" t="n">
        <v>0</v>
      </c>
      <c r="Q515" t="n">
        <v>0</v>
      </c>
      <c r="R515" s="2" t="inlineStr"/>
    </row>
    <row r="516">
      <c r="A516" t="inlineStr">
        <is>
          <t>A 22981-2025</t>
        </is>
      </c>
      <c r="B516" s="1" t="n">
        <v>45790.56964120371</v>
      </c>
      <c r="C516" s="1" t="n">
        <v>46143</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2026-05-01T10:55:50Z</dcterms:created>
  <dcterms:modified xmlns:dcterms="http://purl.org/dc/terms/" xmlns:xsi="http://www.w3.org/2001/XMLSchema-instance" xsi:type="dcterms:W3CDTF">2026-05-01T10:55:51Z</dcterms:modified>
</cp:coreProperties>
</file>