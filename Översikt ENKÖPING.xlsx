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45999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45999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45999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45999</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45999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45999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45999</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50105-2023</t>
        </is>
      </c>
      <c r="B16" s="1" t="n">
        <v>45215</v>
      </c>
      <c r="C16" s="1" t="n">
        <v>45999</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45999</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27073-2025</t>
        </is>
      </c>
      <c r="B18" s="1" t="n">
        <v>45811.64190972222</v>
      </c>
      <c r="C18" s="1" t="n">
        <v>45999</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45999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45999</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45116-2023</t>
        </is>
      </c>
      <c r="B23" s="1" t="n">
        <v>45191</v>
      </c>
      <c r="C23" s="1" t="n">
        <v>45999</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46749-2024</t>
        </is>
      </c>
      <c r="B24" s="1" t="n">
        <v>45583.48347222222</v>
      </c>
      <c r="C24" s="1" t="n">
        <v>45999</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52439-2025</t>
        </is>
      </c>
      <c r="B25" s="1" t="n">
        <v>45954.40697916667</v>
      </c>
      <c r="C25" s="1" t="n">
        <v>45999</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29510-2025</t>
        </is>
      </c>
      <c r="B26" s="1" t="n">
        <v>45825</v>
      </c>
      <c r="C26" s="1" t="n">
        <v>45999</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26347-2025</t>
        </is>
      </c>
      <c r="B27" s="1" t="n">
        <v>45805.7403125</v>
      </c>
      <c r="C27" s="1" t="n">
        <v>45999</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45999</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23961-2022</t>
        </is>
      </c>
      <c r="B29" s="1" t="n">
        <v>44722</v>
      </c>
      <c r="C29" s="1" t="n">
        <v>45999</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28900-2024</t>
        </is>
      </c>
      <c r="B30" s="1" t="n">
        <v>45480</v>
      </c>
      <c r="C30" s="1" t="n">
        <v>45999</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17942-2024</t>
        </is>
      </c>
      <c r="B31" s="1" t="n">
        <v>45419</v>
      </c>
      <c r="C31" s="1" t="n">
        <v>45999</v>
      </c>
      <c r="D31" t="inlineStr">
        <is>
          <t>UPPSALA LÄN</t>
        </is>
      </c>
      <c r="E31" t="inlineStr">
        <is>
          <t>ENKÖPING</t>
        </is>
      </c>
      <c r="G31" t="n">
        <v>0.8</v>
      </c>
      <c r="H31" t="n">
        <v>0</v>
      </c>
      <c r="I31" t="n">
        <v>0</v>
      </c>
      <c r="J31" t="n">
        <v>1</v>
      </c>
      <c r="K31" t="n">
        <v>0</v>
      </c>
      <c r="L31" t="n">
        <v>0</v>
      </c>
      <c r="M31" t="n">
        <v>0</v>
      </c>
      <c r="N31" t="n">
        <v>0</v>
      </c>
      <c r="O31" t="n">
        <v>1</v>
      </c>
      <c r="P31" t="n">
        <v>0</v>
      </c>
      <c r="Q31" t="n">
        <v>1</v>
      </c>
      <c r="R31" s="2" t="inlineStr">
        <is>
          <t>Ängsskära</t>
        </is>
      </c>
      <c r="S31">
        <f>HYPERLINK("https://klasma.github.io/Logging_0381/artfynd/A 17942-2024 artfynd.xlsx", "A 17942-2024")</f>
        <v/>
      </c>
      <c r="T31">
        <f>HYPERLINK("https://klasma.github.io/Logging_0381/kartor/A 17942-2024 karta.png", "A 17942-2024")</f>
        <v/>
      </c>
      <c r="V31">
        <f>HYPERLINK("https://klasma.github.io/Logging_0381/klagomål/A 17942-2024 FSC-klagomål.docx", "A 17942-2024")</f>
        <v/>
      </c>
      <c r="W31">
        <f>HYPERLINK("https://klasma.github.io/Logging_0381/klagomålsmail/A 17942-2024 FSC-klagomål mail.docx", "A 17942-2024")</f>
        <v/>
      </c>
      <c r="X31">
        <f>HYPERLINK("https://klasma.github.io/Logging_0381/tillsyn/A 17942-2024 tillsynsbegäran.docx", "A 17942-2024")</f>
        <v/>
      </c>
      <c r="Y31">
        <f>HYPERLINK("https://klasma.github.io/Logging_0381/tillsynsmail/A 17942-2024 tillsynsbegäran mail.docx", "A 17942-2024")</f>
        <v/>
      </c>
    </row>
    <row r="32" ht="15" customHeight="1">
      <c r="A32" t="inlineStr">
        <is>
          <t>A 1524-2023</t>
        </is>
      </c>
      <c r="B32" s="1" t="n">
        <v>44935</v>
      </c>
      <c r="C32" s="1" t="n">
        <v>45999</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16683-2021</t>
        </is>
      </c>
      <c r="B33" s="1" t="n">
        <v>44294.58495370371</v>
      </c>
      <c r="C33" s="1" t="n">
        <v>45999</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45999</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45999</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45999</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45999</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45999</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45999</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45999</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45999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45999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45999</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45999</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45999</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45999</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45999</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45999</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45999</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45999</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45999</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45999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45999</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45999</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45999</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45999</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45999</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45999</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45999</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45999</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45999</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45999</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60874-2021</t>
        </is>
      </c>
      <c r="B65" s="1" t="n">
        <v>44497</v>
      </c>
      <c r="C65" s="1" t="n">
        <v>45999</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52014-2021</t>
        </is>
      </c>
      <c r="B66" s="1" t="n">
        <v>44463.3425462963</v>
      </c>
      <c r="C66" s="1" t="n">
        <v>45999</v>
      </c>
      <c r="D66" t="inlineStr">
        <is>
          <t>UPPSALA LÄN</t>
        </is>
      </c>
      <c r="E66" t="inlineStr">
        <is>
          <t>ENKÖPING</t>
        </is>
      </c>
      <c r="G66" t="n">
        <v>5.8</v>
      </c>
      <c r="H66" t="n">
        <v>0</v>
      </c>
      <c r="I66" t="n">
        <v>0</v>
      </c>
      <c r="J66" t="n">
        <v>0</v>
      </c>
      <c r="K66" t="n">
        <v>0</v>
      </c>
      <c r="L66" t="n">
        <v>0</v>
      </c>
      <c r="M66" t="n">
        <v>0</v>
      </c>
      <c r="N66" t="n">
        <v>0</v>
      </c>
      <c r="O66" t="n">
        <v>0</v>
      </c>
      <c r="P66" t="n">
        <v>0</v>
      </c>
      <c r="Q66" t="n">
        <v>0</v>
      </c>
      <c r="R66" s="2" t="inlineStr"/>
    </row>
    <row r="67" ht="15" customHeight="1">
      <c r="A67" t="inlineStr">
        <is>
          <t>A 17264-2021</t>
        </is>
      </c>
      <c r="B67" s="1" t="n">
        <v>44298.56068287037</v>
      </c>
      <c r="C67" s="1" t="n">
        <v>45999</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17268-2021</t>
        </is>
      </c>
      <c r="B68" s="1" t="n">
        <v>44298.56302083333</v>
      </c>
      <c r="C68" s="1" t="n">
        <v>45999</v>
      </c>
      <c r="D68" t="inlineStr">
        <is>
          <t>UPPSALA LÄN</t>
        </is>
      </c>
      <c r="E68" t="inlineStr">
        <is>
          <t>ENKÖPING</t>
        </is>
      </c>
      <c r="G68" t="n">
        <v>0.4</v>
      </c>
      <c r="H68" t="n">
        <v>0</v>
      </c>
      <c r="I68" t="n">
        <v>0</v>
      </c>
      <c r="J68" t="n">
        <v>0</v>
      </c>
      <c r="K68" t="n">
        <v>0</v>
      </c>
      <c r="L68" t="n">
        <v>0</v>
      </c>
      <c r="M68" t="n">
        <v>0</v>
      </c>
      <c r="N68" t="n">
        <v>0</v>
      </c>
      <c r="O68" t="n">
        <v>0</v>
      </c>
      <c r="P68" t="n">
        <v>0</v>
      </c>
      <c r="Q68" t="n">
        <v>0</v>
      </c>
      <c r="R68" s="2" t="inlineStr"/>
    </row>
    <row r="69" ht="15" customHeight="1">
      <c r="A69" t="inlineStr">
        <is>
          <t>A 37410-2022</t>
        </is>
      </c>
      <c r="B69" s="1" t="n">
        <v>44809</v>
      </c>
      <c r="C69" s="1" t="n">
        <v>45999</v>
      </c>
      <c r="D69" t="inlineStr">
        <is>
          <t>UPPSALA LÄN</t>
        </is>
      </c>
      <c r="E69" t="inlineStr">
        <is>
          <t>ENKÖPING</t>
        </is>
      </c>
      <c r="G69" t="n">
        <v>3.6</v>
      </c>
      <c r="H69" t="n">
        <v>0</v>
      </c>
      <c r="I69" t="n">
        <v>0</v>
      </c>
      <c r="J69" t="n">
        <v>0</v>
      </c>
      <c r="K69" t="n">
        <v>0</v>
      </c>
      <c r="L69" t="n">
        <v>0</v>
      </c>
      <c r="M69" t="n">
        <v>0</v>
      </c>
      <c r="N69" t="n">
        <v>0</v>
      </c>
      <c r="O69" t="n">
        <v>0</v>
      </c>
      <c r="P69" t="n">
        <v>0</v>
      </c>
      <c r="Q69" t="n">
        <v>0</v>
      </c>
      <c r="R69" s="2" t="inlineStr"/>
    </row>
    <row r="70" ht="15" customHeight="1">
      <c r="A70" t="inlineStr">
        <is>
          <t>A 67713-2020</t>
        </is>
      </c>
      <c r="B70" s="1" t="n">
        <v>44182</v>
      </c>
      <c r="C70" s="1" t="n">
        <v>45999</v>
      </c>
      <c r="D70" t="inlineStr">
        <is>
          <t>UPPSALA LÄN</t>
        </is>
      </c>
      <c r="E70" t="inlineStr">
        <is>
          <t>ENKÖPING</t>
        </is>
      </c>
      <c r="G70" t="n">
        <v>0.6</v>
      </c>
      <c r="H70" t="n">
        <v>0</v>
      </c>
      <c r="I70" t="n">
        <v>0</v>
      </c>
      <c r="J70" t="n">
        <v>0</v>
      </c>
      <c r="K70" t="n">
        <v>0</v>
      </c>
      <c r="L70" t="n">
        <v>0</v>
      </c>
      <c r="M70" t="n">
        <v>0</v>
      </c>
      <c r="N70" t="n">
        <v>0</v>
      </c>
      <c r="O70" t="n">
        <v>0</v>
      </c>
      <c r="P70" t="n">
        <v>0</v>
      </c>
      <c r="Q70" t="n">
        <v>0</v>
      </c>
      <c r="R70" s="2" t="inlineStr"/>
    </row>
    <row r="71" ht="15" customHeight="1">
      <c r="A71" t="inlineStr">
        <is>
          <t>A 29435-2022</t>
        </is>
      </c>
      <c r="B71" s="1" t="n">
        <v>44753.49215277778</v>
      </c>
      <c r="C71" s="1" t="n">
        <v>45999</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4775-2021</t>
        </is>
      </c>
      <c r="B72" s="1" t="n">
        <v>44225</v>
      </c>
      <c r="C72" s="1" t="n">
        <v>45999</v>
      </c>
      <c r="D72" t="inlineStr">
        <is>
          <t>UPPSALA LÄN</t>
        </is>
      </c>
      <c r="E72" t="inlineStr">
        <is>
          <t>ENKÖPING</t>
        </is>
      </c>
      <c r="F72" t="inlineStr">
        <is>
          <t>Allmännings- och besparingsskogar</t>
        </is>
      </c>
      <c r="G72" t="n">
        <v>3.5</v>
      </c>
      <c r="H72" t="n">
        <v>0</v>
      </c>
      <c r="I72" t="n">
        <v>0</v>
      </c>
      <c r="J72" t="n">
        <v>0</v>
      </c>
      <c r="K72" t="n">
        <v>0</v>
      </c>
      <c r="L72" t="n">
        <v>0</v>
      </c>
      <c r="M72" t="n">
        <v>0</v>
      </c>
      <c r="N72" t="n">
        <v>0</v>
      </c>
      <c r="O72" t="n">
        <v>0</v>
      </c>
      <c r="P72" t="n">
        <v>0</v>
      </c>
      <c r="Q72" t="n">
        <v>0</v>
      </c>
      <c r="R72" s="2" t="inlineStr"/>
    </row>
    <row r="73" ht="15" customHeight="1">
      <c r="A73" t="inlineStr">
        <is>
          <t>A 16498-2021</t>
        </is>
      </c>
      <c r="B73" s="1" t="n">
        <v>44293</v>
      </c>
      <c r="C73" s="1" t="n">
        <v>45999</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1979-2022</t>
        </is>
      </c>
      <c r="B74" s="1" t="n">
        <v>44575</v>
      </c>
      <c r="C74" s="1" t="n">
        <v>45999</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39473-2021</t>
        </is>
      </c>
      <c r="B75" s="1" t="n">
        <v>44414</v>
      </c>
      <c r="C75" s="1" t="n">
        <v>45999</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40773-2022</t>
        </is>
      </c>
      <c r="B76" s="1" t="n">
        <v>44824.61237268519</v>
      </c>
      <c r="C76" s="1" t="n">
        <v>45999</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11688-2021</t>
        </is>
      </c>
      <c r="B77" s="1" t="n">
        <v>44264</v>
      </c>
      <c r="C77" s="1" t="n">
        <v>45999</v>
      </c>
      <c r="D77" t="inlineStr">
        <is>
          <t>UPPSALA LÄN</t>
        </is>
      </c>
      <c r="E77" t="inlineStr">
        <is>
          <t>ENKÖPING</t>
        </is>
      </c>
      <c r="G77" t="n">
        <v>4.7</v>
      </c>
      <c r="H77" t="n">
        <v>0</v>
      </c>
      <c r="I77" t="n">
        <v>0</v>
      </c>
      <c r="J77" t="n">
        <v>0</v>
      </c>
      <c r="K77" t="n">
        <v>0</v>
      </c>
      <c r="L77" t="n">
        <v>0</v>
      </c>
      <c r="M77" t="n">
        <v>0</v>
      </c>
      <c r="N77" t="n">
        <v>0</v>
      </c>
      <c r="O77" t="n">
        <v>0</v>
      </c>
      <c r="P77" t="n">
        <v>0</v>
      </c>
      <c r="Q77" t="n">
        <v>0</v>
      </c>
      <c r="R77" s="2" t="inlineStr"/>
    </row>
    <row r="78" ht="15" customHeight="1">
      <c r="A78" t="inlineStr">
        <is>
          <t>A 12538-2021</t>
        </is>
      </c>
      <c r="B78" s="1" t="n">
        <v>44269</v>
      </c>
      <c r="C78" s="1" t="n">
        <v>45999</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14839-2021</t>
        </is>
      </c>
      <c r="B79" s="1" t="n">
        <v>44280</v>
      </c>
      <c r="C79" s="1" t="n">
        <v>45999</v>
      </c>
      <c r="D79" t="inlineStr">
        <is>
          <t>UPPSALA LÄN</t>
        </is>
      </c>
      <c r="E79" t="inlineStr">
        <is>
          <t>ENKÖPING</t>
        </is>
      </c>
      <c r="G79" t="n">
        <v>11.4</v>
      </c>
      <c r="H79" t="n">
        <v>0</v>
      </c>
      <c r="I79" t="n">
        <v>0</v>
      </c>
      <c r="J79" t="n">
        <v>0</v>
      </c>
      <c r="K79" t="n">
        <v>0</v>
      </c>
      <c r="L79" t="n">
        <v>0</v>
      </c>
      <c r="M79" t="n">
        <v>0</v>
      </c>
      <c r="N79" t="n">
        <v>0</v>
      </c>
      <c r="O79" t="n">
        <v>0</v>
      </c>
      <c r="P79" t="n">
        <v>0</v>
      </c>
      <c r="Q79" t="n">
        <v>0</v>
      </c>
      <c r="R79" s="2" t="inlineStr"/>
    </row>
    <row r="80" ht="15" customHeight="1">
      <c r="A80" t="inlineStr">
        <is>
          <t>A 15997-2021</t>
        </is>
      </c>
      <c r="B80" s="1" t="n">
        <v>44287</v>
      </c>
      <c r="C80" s="1" t="n">
        <v>45999</v>
      </c>
      <c r="D80" t="inlineStr">
        <is>
          <t>UPPSALA LÄN</t>
        </is>
      </c>
      <c r="E80" t="inlineStr">
        <is>
          <t>ENKÖPING</t>
        </is>
      </c>
      <c r="G80" t="n">
        <v>1.2</v>
      </c>
      <c r="H80" t="n">
        <v>0</v>
      </c>
      <c r="I80" t="n">
        <v>0</v>
      </c>
      <c r="J80" t="n">
        <v>0</v>
      </c>
      <c r="K80" t="n">
        <v>0</v>
      </c>
      <c r="L80" t="n">
        <v>0</v>
      </c>
      <c r="M80" t="n">
        <v>0</v>
      </c>
      <c r="N80" t="n">
        <v>0</v>
      </c>
      <c r="O80" t="n">
        <v>0</v>
      </c>
      <c r="P80" t="n">
        <v>0</v>
      </c>
      <c r="Q80" t="n">
        <v>0</v>
      </c>
      <c r="R80" s="2" t="inlineStr"/>
    </row>
    <row r="81" ht="15" customHeight="1">
      <c r="A81" t="inlineStr">
        <is>
          <t>A 28795-2021</t>
        </is>
      </c>
      <c r="B81" s="1" t="n">
        <v>44357</v>
      </c>
      <c r="C81" s="1" t="n">
        <v>45999</v>
      </c>
      <c r="D81" t="inlineStr">
        <is>
          <t>UPPSALA LÄN</t>
        </is>
      </c>
      <c r="E81" t="inlineStr">
        <is>
          <t>ENKÖPING</t>
        </is>
      </c>
      <c r="F81" t="inlineStr">
        <is>
          <t>Allmännings- och besparingsskogar</t>
        </is>
      </c>
      <c r="G81" t="n">
        <v>2.8</v>
      </c>
      <c r="H81" t="n">
        <v>0</v>
      </c>
      <c r="I81" t="n">
        <v>0</v>
      </c>
      <c r="J81" t="n">
        <v>0</v>
      </c>
      <c r="K81" t="n">
        <v>0</v>
      </c>
      <c r="L81" t="n">
        <v>0</v>
      </c>
      <c r="M81" t="n">
        <v>0</v>
      </c>
      <c r="N81" t="n">
        <v>0</v>
      </c>
      <c r="O81" t="n">
        <v>0</v>
      </c>
      <c r="P81" t="n">
        <v>0</v>
      </c>
      <c r="Q81" t="n">
        <v>0</v>
      </c>
      <c r="R81" s="2" t="inlineStr"/>
    </row>
    <row r="82" ht="15" customHeight="1">
      <c r="A82" t="inlineStr">
        <is>
          <t>A 31013-2022</t>
        </is>
      </c>
      <c r="B82" s="1" t="n">
        <v>44768</v>
      </c>
      <c r="C82" s="1" t="n">
        <v>45999</v>
      </c>
      <c r="D82" t="inlineStr">
        <is>
          <t>UPPSALA LÄN</t>
        </is>
      </c>
      <c r="E82" t="inlineStr">
        <is>
          <t>ENKÖPING</t>
        </is>
      </c>
      <c r="F82" t="inlineStr">
        <is>
          <t>Allmännings- och besparingsskogar</t>
        </is>
      </c>
      <c r="G82" t="n">
        <v>0.5</v>
      </c>
      <c r="H82" t="n">
        <v>0</v>
      </c>
      <c r="I82" t="n">
        <v>0</v>
      </c>
      <c r="J82" t="n">
        <v>0</v>
      </c>
      <c r="K82" t="n">
        <v>0</v>
      </c>
      <c r="L82" t="n">
        <v>0</v>
      </c>
      <c r="M82" t="n">
        <v>0</v>
      </c>
      <c r="N82" t="n">
        <v>0</v>
      </c>
      <c r="O82" t="n">
        <v>0</v>
      </c>
      <c r="P82" t="n">
        <v>0</v>
      </c>
      <c r="Q82" t="n">
        <v>0</v>
      </c>
      <c r="R82" s="2" t="inlineStr"/>
    </row>
    <row r="83" ht="15" customHeight="1">
      <c r="A83" t="inlineStr">
        <is>
          <t>A 42029-2021</t>
        </is>
      </c>
      <c r="B83" s="1" t="n">
        <v>44426</v>
      </c>
      <c r="C83" s="1" t="n">
        <v>45999</v>
      </c>
      <c r="D83" t="inlineStr">
        <is>
          <t>UPPSALA LÄN</t>
        </is>
      </c>
      <c r="E83" t="inlineStr">
        <is>
          <t>ENKÖPING</t>
        </is>
      </c>
      <c r="G83" t="n">
        <v>5.3</v>
      </c>
      <c r="H83" t="n">
        <v>0</v>
      </c>
      <c r="I83" t="n">
        <v>0</v>
      </c>
      <c r="J83" t="n">
        <v>0</v>
      </c>
      <c r="K83" t="n">
        <v>0</v>
      </c>
      <c r="L83" t="n">
        <v>0</v>
      </c>
      <c r="M83" t="n">
        <v>0</v>
      </c>
      <c r="N83" t="n">
        <v>0</v>
      </c>
      <c r="O83" t="n">
        <v>0</v>
      </c>
      <c r="P83" t="n">
        <v>0</v>
      </c>
      <c r="Q83" t="n">
        <v>0</v>
      </c>
      <c r="R83" s="2" t="inlineStr"/>
    </row>
    <row r="84" ht="15" customHeight="1">
      <c r="A84" t="inlineStr">
        <is>
          <t>A 38005-2022</t>
        </is>
      </c>
      <c r="B84" s="1" t="n">
        <v>44810</v>
      </c>
      <c r="C84" s="1" t="n">
        <v>45999</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15021-2022</t>
        </is>
      </c>
      <c r="B85" s="1" t="n">
        <v>44657</v>
      </c>
      <c r="C85" s="1" t="n">
        <v>45999</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1971-2022</t>
        </is>
      </c>
      <c r="B86" s="1" t="n">
        <v>44575</v>
      </c>
      <c r="C86" s="1" t="n">
        <v>45999</v>
      </c>
      <c r="D86" t="inlineStr">
        <is>
          <t>UPPSALA LÄN</t>
        </is>
      </c>
      <c r="E86" t="inlineStr">
        <is>
          <t>ENKÖPING</t>
        </is>
      </c>
      <c r="G86" t="n">
        <v>1.4</v>
      </c>
      <c r="H86" t="n">
        <v>0</v>
      </c>
      <c r="I86" t="n">
        <v>0</v>
      </c>
      <c r="J86" t="n">
        <v>0</v>
      </c>
      <c r="K86" t="n">
        <v>0</v>
      </c>
      <c r="L86" t="n">
        <v>0</v>
      </c>
      <c r="M86" t="n">
        <v>0</v>
      </c>
      <c r="N86" t="n">
        <v>0</v>
      </c>
      <c r="O86" t="n">
        <v>0</v>
      </c>
      <c r="P86" t="n">
        <v>0</v>
      </c>
      <c r="Q86" t="n">
        <v>0</v>
      </c>
      <c r="R86" s="2" t="inlineStr"/>
    </row>
    <row r="87" ht="15" customHeight="1">
      <c r="A87" t="inlineStr">
        <is>
          <t>A 29425-2022</t>
        </is>
      </c>
      <c r="B87" s="1" t="n">
        <v>44753.47837962963</v>
      </c>
      <c r="C87" s="1" t="n">
        <v>45999</v>
      </c>
      <c r="D87" t="inlineStr">
        <is>
          <t>UPPSALA LÄN</t>
        </is>
      </c>
      <c r="E87" t="inlineStr">
        <is>
          <t>ENKÖPING</t>
        </is>
      </c>
      <c r="G87" t="n">
        <v>2.5</v>
      </c>
      <c r="H87" t="n">
        <v>0</v>
      </c>
      <c r="I87" t="n">
        <v>0</v>
      </c>
      <c r="J87" t="n">
        <v>0</v>
      </c>
      <c r="K87" t="n">
        <v>0</v>
      </c>
      <c r="L87" t="n">
        <v>0</v>
      </c>
      <c r="M87" t="n">
        <v>0</v>
      </c>
      <c r="N87" t="n">
        <v>0</v>
      </c>
      <c r="O87" t="n">
        <v>0</v>
      </c>
      <c r="P87" t="n">
        <v>0</v>
      </c>
      <c r="Q87" t="n">
        <v>0</v>
      </c>
      <c r="R87" s="2" t="inlineStr"/>
    </row>
    <row r="88" ht="15" customHeight="1">
      <c r="A88" t="inlineStr">
        <is>
          <t>A 20067-2021</t>
        </is>
      </c>
      <c r="B88" s="1" t="n">
        <v>44314</v>
      </c>
      <c r="C88" s="1" t="n">
        <v>45999</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15924-2022</t>
        </is>
      </c>
      <c r="B89" s="1" t="n">
        <v>44664</v>
      </c>
      <c r="C89" s="1" t="n">
        <v>45999</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15943-2022</t>
        </is>
      </c>
      <c r="B90" s="1" t="n">
        <v>44664.66428240741</v>
      </c>
      <c r="C90" s="1" t="n">
        <v>45999</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47106-2021</t>
        </is>
      </c>
      <c r="B91" s="1" t="n">
        <v>44446</v>
      </c>
      <c r="C91" s="1" t="n">
        <v>45999</v>
      </c>
      <c r="D91" t="inlineStr">
        <is>
          <t>UPPSALA LÄN</t>
        </is>
      </c>
      <c r="E91" t="inlineStr">
        <is>
          <t>ENKÖPING</t>
        </is>
      </c>
      <c r="G91" t="n">
        <v>7.6</v>
      </c>
      <c r="H91" t="n">
        <v>0</v>
      </c>
      <c r="I91" t="n">
        <v>0</v>
      </c>
      <c r="J91" t="n">
        <v>0</v>
      </c>
      <c r="K91" t="n">
        <v>0</v>
      </c>
      <c r="L91" t="n">
        <v>0</v>
      </c>
      <c r="M91" t="n">
        <v>0</v>
      </c>
      <c r="N91" t="n">
        <v>0</v>
      </c>
      <c r="O91" t="n">
        <v>0</v>
      </c>
      <c r="P91" t="n">
        <v>0</v>
      </c>
      <c r="Q91" t="n">
        <v>0</v>
      </c>
      <c r="R91" s="2" t="inlineStr"/>
    </row>
    <row r="92" ht="15" customHeight="1">
      <c r="A92" t="inlineStr">
        <is>
          <t>A 19731-2022</t>
        </is>
      </c>
      <c r="B92" s="1" t="n">
        <v>44694</v>
      </c>
      <c r="C92" s="1" t="n">
        <v>45999</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52896-2022</t>
        </is>
      </c>
      <c r="B93" s="1" t="n">
        <v>44875.5665625</v>
      </c>
      <c r="C93" s="1" t="n">
        <v>45999</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2680-2022</t>
        </is>
      </c>
      <c r="B94" s="1" t="n">
        <v>44580</v>
      </c>
      <c r="C94" s="1" t="n">
        <v>45999</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57043-2021</t>
        </is>
      </c>
      <c r="B95" s="1" t="n">
        <v>44482.53399305556</v>
      </c>
      <c r="C95" s="1" t="n">
        <v>45999</v>
      </c>
      <c r="D95" t="inlineStr">
        <is>
          <t>UPPSALA LÄN</t>
        </is>
      </c>
      <c r="E95" t="inlineStr">
        <is>
          <t>ENKÖPING</t>
        </is>
      </c>
      <c r="G95" t="n">
        <v>0.5</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45999</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12732-2021</t>
        </is>
      </c>
      <c r="B97" s="1" t="n">
        <v>44270.62864583333</v>
      </c>
      <c r="C97" s="1" t="n">
        <v>45999</v>
      </c>
      <c r="D97" t="inlineStr">
        <is>
          <t>UPPSALA LÄN</t>
        </is>
      </c>
      <c r="E97" t="inlineStr">
        <is>
          <t>ENKÖPING</t>
        </is>
      </c>
      <c r="G97" t="n">
        <v>1.1</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45999</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68107-2021</t>
        </is>
      </c>
      <c r="B99" s="1" t="n">
        <v>44526</v>
      </c>
      <c r="C99" s="1" t="n">
        <v>45999</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3903-2021</t>
        </is>
      </c>
      <c r="B100" s="1" t="n">
        <v>44217</v>
      </c>
      <c r="C100" s="1" t="n">
        <v>45999</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69791-2021</t>
        </is>
      </c>
      <c r="B101" s="1" t="n">
        <v>44532</v>
      </c>
      <c r="C101" s="1" t="n">
        <v>45999</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49375-2021</t>
        </is>
      </c>
      <c r="B102" s="1" t="n">
        <v>44454</v>
      </c>
      <c r="C102" s="1" t="n">
        <v>45999</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45999</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45999</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57055-2021</t>
        </is>
      </c>
      <c r="B105" s="1" t="n">
        <v>44482.55201388889</v>
      </c>
      <c r="C105" s="1" t="n">
        <v>45999</v>
      </c>
      <c r="D105" t="inlineStr">
        <is>
          <t>UPPSALA LÄN</t>
        </is>
      </c>
      <c r="E105" t="inlineStr">
        <is>
          <t>ENKÖPING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17467-2022</t>
        </is>
      </c>
      <c r="B106" s="1" t="n">
        <v>44679</v>
      </c>
      <c r="C106" s="1" t="n">
        <v>45999</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29983-2021</t>
        </is>
      </c>
      <c r="B107" s="1" t="n">
        <v>44363</v>
      </c>
      <c r="C107" s="1" t="n">
        <v>45999</v>
      </c>
      <c r="D107" t="inlineStr">
        <is>
          <t>UPPSALA LÄN</t>
        </is>
      </c>
      <c r="E107" t="inlineStr">
        <is>
          <t>ENKÖPING</t>
        </is>
      </c>
      <c r="F107" t="inlineStr">
        <is>
          <t>Kommuner</t>
        </is>
      </c>
      <c r="G107" t="n">
        <v>3.1</v>
      </c>
      <c r="H107" t="n">
        <v>0</v>
      </c>
      <c r="I107" t="n">
        <v>0</v>
      </c>
      <c r="J107" t="n">
        <v>0</v>
      </c>
      <c r="K107" t="n">
        <v>0</v>
      </c>
      <c r="L107" t="n">
        <v>0</v>
      </c>
      <c r="M107" t="n">
        <v>0</v>
      </c>
      <c r="N107" t="n">
        <v>0</v>
      </c>
      <c r="O107" t="n">
        <v>0</v>
      </c>
      <c r="P107" t="n">
        <v>0</v>
      </c>
      <c r="Q107" t="n">
        <v>0</v>
      </c>
      <c r="R107" s="2" t="inlineStr"/>
    </row>
    <row r="108" ht="15" customHeight="1">
      <c r="A108" t="inlineStr">
        <is>
          <t>A 46186-2023</t>
        </is>
      </c>
      <c r="B108" s="1" t="n">
        <v>45196</v>
      </c>
      <c r="C108" s="1" t="n">
        <v>45999</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15162-2025</t>
        </is>
      </c>
      <c r="B109" s="1" t="n">
        <v>45744</v>
      </c>
      <c r="C109" s="1" t="n">
        <v>45999</v>
      </c>
      <c r="D109" t="inlineStr">
        <is>
          <t>UPPSALA LÄN</t>
        </is>
      </c>
      <c r="E109" t="inlineStr">
        <is>
          <t>ENKÖPING</t>
        </is>
      </c>
      <c r="G109" t="n">
        <v>4.2</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45999</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18299-2025</t>
        </is>
      </c>
      <c r="B111" s="1" t="n">
        <v>45762</v>
      </c>
      <c r="C111" s="1" t="n">
        <v>45999</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6242-2025</t>
        </is>
      </c>
      <c r="B112" s="1" t="n">
        <v>45697</v>
      </c>
      <c r="C112" s="1" t="n">
        <v>45999</v>
      </c>
      <c r="D112" t="inlineStr">
        <is>
          <t>UPPSALA LÄN</t>
        </is>
      </c>
      <c r="E112" t="inlineStr">
        <is>
          <t>ENKÖPING</t>
        </is>
      </c>
      <c r="G112" t="n">
        <v>17.9</v>
      </c>
      <c r="H112" t="n">
        <v>0</v>
      </c>
      <c r="I112" t="n">
        <v>0</v>
      </c>
      <c r="J112" t="n">
        <v>0</v>
      </c>
      <c r="K112" t="n">
        <v>0</v>
      </c>
      <c r="L112" t="n">
        <v>0</v>
      </c>
      <c r="M112" t="n">
        <v>0</v>
      </c>
      <c r="N112" t="n">
        <v>0</v>
      </c>
      <c r="O112" t="n">
        <v>0</v>
      </c>
      <c r="P112" t="n">
        <v>0</v>
      </c>
      <c r="Q112" t="n">
        <v>0</v>
      </c>
      <c r="R112" s="2" t="inlineStr"/>
    </row>
    <row r="113" ht="15" customHeight="1">
      <c r="A113" t="inlineStr">
        <is>
          <t>A 10468-2025</t>
        </is>
      </c>
      <c r="B113" s="1" t="n">
        <v>45720</v>
      </c>
      <c r="C113" s="1" t="n">
        <v>45999</v>
      </c>
      <c r="D113" t="inlineStr">
        <is>
          <t>UPPSALA LÄN</t>
        </is>
      </c>
      <c r="E113" t="inlineStr">
        <is>
          <t>ENKÖPING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43488-2023</t>
        </is>
      </c>
      <c r="B114" s="1" t="n">
        <v>45181</v>
      </c>
      <c r="C114" s="1" t="n">
        <v>45999</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12755-2025</t>
        </is>
      </c>
      <c r="B115" s="1" t="n">
        <v>45733.56541666666</v>
      </c>
      <c r="C115" s="1" t="n">
        <v>45999</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6144-2024</t>
        </is>
      </c>
      <c r="B116" s="1" t="n">
        <v>45337.4684837963</v>
      </c>
      <c r="C116" s="1" t="n">
        <v>45999</v>
      </c>
      <c r="D116" t="inlineStr">
        <is>
          <t>UPPSALA LÄN</t>
        </is>
      </c>
      <c r="E116" t="inlineStr">
        <is>
          <t>ENKÖPING</t>
        </is>
      </c>
      <c r="G116" t="n">
        <v>13.8</v>
      </c>
      <c r="H116" t="n">
        <v>0</v>
      </c>
      <c r="I116" t="n">
        <v>0</v>
      </c>
      <c r="J116" t="n">
        <v>0</v>
      </c>
      <c r="K116" t="n">
        <v>0</v>
      </c>
      <c r="L116" t="n">
        <v>0</v>
      </c>
      <c r="M116" t="n">
        <v>0</v>
      </c>
      <c r="N116" t="n">
        <v>0</v>
      </c>
      <c r="O116" t="n">
        <v>0</v>
      </c>
      <c r="P116" t="n">
        <v>0</v>
      </c>
      <c r="Q116" t="n">
        <v>0</v>
      </c>
      <c r="R116" s="2" t="inlineStr"/>
    </row>
    <row r="117" ht="15" customHeight="1">
      <c r="A117" t="inlineStr">
        <is>
          <t>A 67984-2021</t>
        </is>
      </c>
      <c r="B117" s="1" t="n">
        <v>44525.70237268518</v>
      </c>
      <c r="C117" s="1" t="n">
        <v>45999</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4044-2024</t>
        </is>
      </c>
      <c r="B118" s="1" t="n">
        <v>45323.45954861111</v>
      </c>
      <c r="C118" s="1" t="n">
        <v>45999</v>
      </c>
      <c r="D118" t="inlineStr">
        <is>
          <t>UPPSALA LÄN</t>
        </is>
      </c>
      <c r="E118" t="inlineStr">
        <is>
          <t>ENKÖPING</t>
        </is>
      </c>
      <c r="G118" t="n">
        <v>2.1</v>
      </c>
      <c r="H118" t="n">
        <v>0</v>
      </c>
      <c r="I118" t="n">
        <v>0</v>
      </c>
      <c r="J118" t="n">
        <v>0</v>
      </c>
      <c r="K118" t="n">
        <v>0</v>
      </c>
      <c r="L118" t="n">
        <v>0</v>
      </c>
      <c r="M118" t="n">
        <v>0</v>
      </c>
      <c r="N118" t="n">
        <v>0</v>
      </c>
      <c r="O118" t="n">
        <v>0</v>
      </c>
      <c r="P118" t="n">
        <v>0</v>
      </c>
      <c r="Q118" t="n">
        <v>0</v>
      </c>
      <c r="R118" s="2" t="inlineStr"/>
    </row>
    <row r="119" ht="15" customHeight="1">
      <c r="A119" t="inlineStr">
        <is>
          <t>A 5211-2024</t>
        </is>
      </c>
      <c r="B119" s="1" t="n">
        <v>45330</v>
      </c>
      <c r="C119" s="1" t="n">
        <v>45999</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46103-2023</t>
        </is>
      </c>
      <c r="B120" s="1" t="n">
        <v>45190</v>
      </c>
      <c r="C120" s="1" t="n">
        <v>45999</v>
      </c>
      <c r="D120" t="inlineStr">
        <is>
          <t>UPPSALA LÄN</t>
        </is>
      </c>
      <c r="E120" t="inlineStr">
        <is>
          <t>ENKÖPING</t>
        </is>
      </c>
      <c r="G120" t="n">
        <v>4.6</v>
      </c>
      <c r="H120" t="n">
        <v>0</v>
      </c>
      <c r="I120" t="n">
        <v>0</v>
      </c>
      <c r="J120" t="n">
        <v>0</v>
      </c>
      <c r="K120" t="n">
        <v>0</v>
      </c>
      <c r="L120" t="n">
        <v>0</v>
      </c>
      <c r="M120" t="n">
        <v>0</v>
      </c>
      <c r="N120" t="n">
        <v>0</v>
      </c>
      <c r="O120" t="n">
        <v>0</v>
      </c>
      <c r="P120" t="n">
        <v>0</v>
      </c>
      <c r="Q120" t="n">
        <v>0</v>
      </c>
      <c r="R120" s="2" t="inlineStr"/>
    </row>
    <row r="121" ht="15" customHeight="1">
      <c r="A121" t="inlineStr">
        <is>
          <t>A 18592-2021</t>
        </is>
      </c>
      <c r="B121" s="1" t="n">
        <v>44306</v>
      </c>
      <c r="C121" s="1" t="n">
        <v>45999</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11918-2025</t>
        </is>
      </c>
      <c r="B122" s="1" t="n">
        <v>45728.49331018519</v>
      </c>
      <c r="C122" s="1" t="n">
        <v>45999</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25333-2023</t>
        </is>
      </c>
      <c r="B123" s="1" t="n">
        <v>45083</v>
      </c>
      <c r="C123" s="1" t="n">
        <v>45999</v>
      </c>
      <c r="D123" t="inlineStr">
        <is>
          <t>UPPSALA LÄN</t>
        </is>
      </c>
      <c r="E123" t="inlineStr">
        <is>
          <t>ENKÖPING</t>
        </is>
      </c>
      <c r="G123" t="n">
        <v>2.7</v>
      </c>
      <c r="H123" t="n">
        <v>0</v>
      </c>
      <c r="I123" t="n">
        <v>0</v>
      </c>
      <c r="J123" t="n">
        <v>0</v>
      </c>
      <c r="K123" t="n">
        <v>0</v>
      </c>
      <c r="L123" t="n">
        <v>0</v>
      </c>
      <c r="M123" t="n">
        <v>0</v>
      </c>
      <c r="N123" t="n">
        <v>0</v>
      </c>
      <c r="O123" t="n">
        <v>0</v>
      </c>
      <c r="P123" t="n">
        <v>0</v>
      </c>
      <c r="Q123" t="n">
        <v>0</v>
      </c>
      <c r="R123" s="2" t="inlineStr"/>
    </row>
    <row r="124" ht="15" customHeight="1">
      <c r="A124" t="inlineStr">
        <is>
          <t>A 50747-2022</t>
        </is>
      </c>
      <c r="B124" s="1" t="n">
        <v>44867.40162037037</v>
      </c>
      <c r="C124" s="1" t="n">
        <v>45999</v>
      </c>
      <c r="D124" t="inlineStr">
        <is>
          <t>UPPSALA LÄN</t>
        </is>
      </c>
      <c r="E124" t="inlineStr">
        <is>
          <t>ENKÖPING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57152-2021</t>
        </is>
      </c>
      <c r="B125" s="1" t="n">
        <v>44482</v>
      </c>
      <c r="C125" s="1" t="n">
        <v>45999</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30437-2022</t>
        </is>
      </c>
      <c r="B126" s="1" t="n">
        <v>44761</v>
      </c>
      <c r="C126" s="1" t="n">
        <v>45999</v>
      </c>
      <c r="D126" t="inlineStr">
        <is>
          <t>UPPSALA LÄN</t>
        </is>
      </c>
      <c r="E126" t="inlineStr">
        <is>
          <t>ENKÖPING</t>
        </is>
      </c>
      <c r="G126" t="n">
        <v>3.4</v>
      </c>
      <c r="H126" t="n">
        <v>0</v>
      </c>
      <c r="I126" t="n">
        <v>0</v>
      </c>
      <c r="J126" t="n">
        <v>0</v>
      </c>
      <c r="K126" t="n">
        <v>0</v>
      </c>
      <c r="L126" t="n">
        <v>0</v>
      </c>
      <c r="M126" t="n">
        <v>0</v>
      </c>
      <c r="N126" t="n">
        <v>0</v>
      </c>
      <c r="O126" t="n">
        <v>0</v>
      </c>
      <c r="P126" t="n">
        <v>0</v>
      </c>
      <c r="Q126" t="n">
        <v>0</v>
      </c>
      <c r="R126" s="2" t="inlineStr"/>
    </row>
    <row r="127" ht="15" customHeight="1">
      <c r="A127" t="inlineStr">
        <is>
          <t>A 43896-2022</t>
        </is>
      </c>
      <c r="B127" s="1" t="n">
        <v>44838</v>
      </c>
      <c r="C127" s="1" t="n">
        <v>45999</v>
      </c>
      <c r="D127" t="inlineStr">
        <is>
          <t>UPPSALA LÄN</t>
        </is>
      </c>
      <c r="E127" t="inlineStr">
        <is>
          <t>ENKÖPING</t>
        </is>
      </c>
      <c r="G127" t="n">
        <v>5.3</v>
      </c>
      <c r="H127" t="n">
        <v>0</v>
      </c>
      <c r="I127" t="n">
        <v>0</v>
      </c>
      <c r="J127" t="n">
        <v>0</v>
      </c>
      <c r="K127" t="n">
        <v>0</v>
      </c>
      <c r="L127" t="n">
        <v>0</v>
      </c>
      <c r="M127" t="n">
        <v>0</v>
      </c>
      <c r="N127" t="n">
        <v>0</v>
      </c>
      <c r="O127" t="n">
        <v>0</v>
      </c>
      <c r="P127" t="n">
        <v>0</v>
      </c>
      <c r="Q127" t="n">
        <v>0</v>
      </c>
      <c r="R127" s="2" t="inlineStr"/>
    </row>
    <row r="128" ht="15" customHeight="1">
      <c r="A128" t="inlineStr">
        <is>
          <t>A 12572-2021</t>
        </is>
      </c>
      <c r="B128" s="1" t="n">
        <v>44270.36438657407</v>
      </c>
      <c r="C128" s="1" t="n">
        <v>45999</v>
      </c>
      <c r="D128" t="inlineStr">
        <is>
          <t>UPPSALA LÄN</t>
        </is>
      </c>
      <c r="E128" t="inlineStr">
        <is>
          <t>ENKÖPING</t>
        </is>
      </c>
      <c r="G128" t="n">
        <v>3.3</v>
      </c>
      <c r="H128" t="n">
        <v>0</v>
      </c>
      <c r="I128" t="n">
        <v>0</v>
      </c>
      <c r="J128" t="n">
        <v>0</v>
      </c>
      <c r="K128" t="n">
        <v>0</v>
      </c>
      <c r="L128" t="n">
        <v>0</v>
      </c>
      <c r="M128" t="n">
        <v>0</v>
      </c>
      <c r="N128" t="n">
        <v>0</v>
      </c>
      <c r="O128" t="n">
        <v>0</v>
      </c>
      <c r="P128" t="n">
        <v>0</v>
      </c>
      <c r="Q128" t="n">
        <v>0</v>
      </c>
      <c r="R128" s="2" t="inlineStr"/>
    </row>
    <row r="129" ht="15" customHeight="1">
      <c r="A129" t="inlineStr">
        <is>
          <t>A 20440-2025</t>
        </is>
      </c>
      <c r="B129" s="1" t="n">
        <v>45775</v>
      </c>
      <c r="C129" s="1" t="n">
        <v>45999</v>
      </c>
      <c r="D129" t="inlineStr">
        <is>
          <t>UPPSALA LÄN</t>
        </is>
      </c>
      <c r="E129" t="inlineStr">
        <is>
          <t>ENKÖPING</t>
        </is>
      </c>
      <c r="G129" t="n">
        <v>1.6</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45999</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51932-2022</t>
        </is>
      </c>
      <c r="B131" s="1" t="n">
        <v>44872</v>
      </c>
      <c r="C131" s="1" t="n">
        <v>45999</v>
      </c>
      <c r="D131" t="inlineStr">
        <is>
          <t>UPPSALA LÄN</t>
        </is>
      </c>
      <c r="E131" t="inlineStr">
        <is>
          <t>ENKÖPING</t>
        </is>
      </c>
      <c r="G131" t="n">
        <v>5.5</v>
      </c>
      <c r="H131" t="n">
        <v>0</v>
      </c>
      <c r="I131" t="n">
        <v>0</v>
      </c>
      <c r="J131" t="n">
        <v>0</v>
      </c>
      <c r="K131" t="n">
        <v>0</v>
      </c>
      <c r="L131" t="n">
        <v>0</v>
      </c>
      <c r="M131" t="n">
        <v>0</v>
      </c>
      <c r="N131" t="n">
        <v>0</v>
      </c>
      <c r="O131" t="n">
        <v>0</v>
      </c>
      <c r="P131" t="n">
        <v>0</v>
      </c>
      <c r="Q131" t="n">
        <v>0</v>
      </c>
      <c r="R131" s="2" t="inlineStr"/>
    </row>
    <row r="132" ht="15" customHeight="1">
      <c r="A132" t="inlineStr">
        <is>
          <t>A 12958-2024</t>
        </is>
      </c>
      <c r="B132" s="1" t="n">
        <v>45385</v>
      </c>
      <c r="C132" s="1" t="n">
        <v>45999</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41737-2022</t>
        </is>
      </c>
      <c r="B133" s="1" t="n">
        <v>44827.63826388889</v>
      </c>
      <c r="C133" s="1" t="n">
        <v>45999</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39115-2024</t>
        </is>
      </c>
      <c r="B134" s="1" t="n">
        <v>45548</v>
      </c>
      <c r="C134" s="1" t="n">
        <v>45999</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54595-2021</t>
        </is>
      </c>
      <c r="B135" s="1" t="n">
        <v>44473.58824074074</v>
      </c>
      <c r="C135" s="1" t="n">
        <v>45999</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22094-2023</t>
        </is>
      </c>
      <c r="B136" s="1" t="n">
        <v>45069</v>
      </c>
      <c r="C136" s="1" t="n">
        <v>45999</v>
      </c>
      <c r="D136" t="inlineStr">
        <is>
          <t>UPPSALA LÄN</t>
        </is>
      </c>
      <c r="E136" t="inlineStr">
        <is>
          <t>ENKÖPING</t>
        </is>
      </c>
      <c r="G136" t="n">
        <v>2.1</v>
      </c>
      <c r="H136" t="n">
        <v>0</v>
      </c>
      <c r="I136" t="n">
        <v>0</v>
      </c>
      <c r="J136" t="n">
        <v>0</v>
      </c>
      <c r="K136" t="n">
        <v>0</v>
      </c>
      <c r="L136" t="n">
        <v>0</v>
      </c>
      <c r="M136" t="n">
        <v>0</v>
      </c>
      <c r="N136" t="n">
        <v>0</v>
      </c>
      <c r="O136" t="n">
        <v>0</v>
      </c>
      <c r="P136" t="n">
        <v>0</v>
      </c>
      <c r="Q136" t="n">
        <v>0</v>
      </c>
      <c r="R136" s="2" t="inlineStr"/>
    </row>
    <row r="137" ht="15" customHeight="1">
      <c r="A137" t="inlineStr">
        <is>
          <t>A 40812-2022</t>
        </is>
      </c>
      <c r="B137" s="1" t="n">
        <v>44824.68791666667</v>
      </c>
      <c r="C137" s="1" t="n">
        <v>45999</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24291-2024</t>
        </is>
      </c>
      <c r="B138" s="1" t="n">
        <v>45457.4584837963</v>
      </c>
      <c r="C138" s="1" t="n">
        <v>45999</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12020-2024</t>
        </is>
      </c>
      <c r="B139" s="1" t="n">
        <v>45377</v>
      </c>
      <c r="C139" s="1" t="n">
        <v>45999</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44232-2022</t>
        </is>
      </c>
      <c r="B140" s="1" t="n">
        <v>44839</v>
      </c>
      <c r="C140" s="1" t="n">
        <v>45999</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47428-2023</t>
        </is>
      </c>
      <c r="B141" s="1" t="n">
        <v>45202.66664351852</v>
      </c>
      <c r="C141" s="1" t="n">
        <v>45999</v>
      </c>
      <c r="D141" t="inlineStr">
        <is>
          <t>UPPSALA LÄN</t>
        </is>
      </c>
      <c r="E141" t="inlineStr">
        <is>
          <t>ENKÖPING</t>
        </is>
      </c>
      <c r="G141" t="n">
        <v>3</v>
      </c>
      <c r="H141" t="n">
        <v>0</v>
      </c>
      <c r="I141" t="n">
        <v>0</v>
      </c>
      <c r="J141" t="n">
        <v>0</v>
      </c>
      <c r="K141" t="n">
        <v>0</v>
      </c>
      <c r="L141" t="n">
        <v>0</v>
      </c>
      <c r="M141" t="n">
        <v>0</v>
      </c>
      <c r="N141" t="n">
        <v>0</v>
      </c>
      <c r="O141" t="n">
        <v>0</v>
      </c>
      <c r="P141" t="n">
        <v>0</v>
      </c>
      <c r="Q141" t="n">
        <v>0</v>
      </c>
      <c r="R141" s="2" t="inlineStr"/>
    </row>
    <row r="142" ht="15" customHeight="1">
      <c r="A142" t="inlineStr">
        <is>
          <t>A 35647-2021</t>
        </is>
      </c>
      <c r="B142" s="1" t="n">
        <v>44386</v>
      </c>
      <c r="C142" s="1" t="n">
        <v>45999</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45362-2022</t>
        </is>
      </c>
      <c r="B143" s="1" t="n">
        <v>44844.62366898148</v>
      </c>
      <c r="C143" s="1" t="n">
        <v>45999</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56526-2022</t>
        </is>
      </c>
      <c r="B144" s="1" t="n">
        <v>44893</v>
      </c>
      <c r="C144" s="1" t="n">
        <v>45999</v>
      </c>
      <c r="D144" t="inlineStr">
        <is>
          <t>UPPSALA LÄN</t>
        </is>
      </c>
      <c r="E144" t="inlineStr">
        <is>
          <t>ENKÖPING</t>
        </is>
      </c>
      <c r="G144" t="n">
        <v>3.8</v>
      </c>
      <c r="H144" t="n">
        <v>0</v>
      </c>
      <c r="I144" t="n">
        <v>0</v>
      </c>
      <c r="J144" t="n">
        <v>0</v>
      </c>
      <c r="K144" t="n">
        <v>0</v>
      </c>
      <c r="L144" t="n">
        <v>0</v>
      </c>
      <c r="M144" t="n">
        <v>0</v>
      </c>
      <c r="N144" t="n">
        <v>0</v>
      </c>
      <c r="O144" t="n">
        <v>0</v>
      </c>
      <c r="P144" t="n">
        <v>0</v>
      </c>
      <c r="Q144" t="n">
        <v>0</v>
      </c>
      <c r="R144" s="2" t="inlineStr"/>
    </row>
    <row r="145" ht="15" customHeight="1">
      <c r="A145" t="inlineStr">
        <is>
          <t>A 60350-2022</t>
        </is>
      </c>
      <c r="B145" s="1" t="n">
        <v>44910</v>
      </c>
      <c r="C145" s="1" t="n">
        <v>45999</v>
      </c>
      <c r="D145" t="inlineStr">
        <is>
          <t>UPPSALA LÄN</t>
        </is>
      </c>
      <c r="E145" t="inlineStr">
        <is>
          <t>ENKÖPING</t>
        </is>
      </c>
      <c r="F145" t="inlineStr">
        <is>
          <t>Allmännings- och besparingsskogar</t>
        </is>
      </c>
      <c r="G145" t="n">
        <v>3.5</v>
      </c>
      <c r="H145" t="n">
        <v>0</v>
      </c>
      <c r="I145" t="n">
        <v>0</v>
      </c>
      <c r="J145" t="n">
        <v>0</v>
      </c>
      <c r="K145" t="n">
        <v>0</v>
      </c>
      <c r="L145" t="n">
        <v>0</v>
      </c>
      <c r="M145" t="n">
        <v>0</v>
      </c>
      <c r="N145" t="n">
        <v>0</v>
      </c>
      <c r="O145" t="n">
        <v>0</v>
      </c>
      <c r="P145" t="n">
        <v>0</v>
      </c>
      <c r="Q145" t="n">
        <v>0</v>
      </c>
      <c r="R145" s="2" t="inlineStr"/>
    </row>
    <row r="146" ht="15" customHeight="1">
      <c r="A146" t="inlineStr">
        <is>
          <t>A 24962-2023</t>
        </is>
      </c>
      <c r="B146" s="1" t="n">
        <v>45085.60123842592</v>
      </c>
      <c r="C146" s="1" t="n">
        <v>45999</v>
      </c>
      <c r="D146" t="inlineStr">
        <is>
          <t>UPPSALA LÄN</t>
        </is>
      </c>
      <c r="E146" t="inlineStr">
        <is>
          <t>ENKÖPING</t>
        </is>
      </c>
      <c r="G146" t="n">
        <v>2.8</v>
      </c>
      <c r="H146" t="n">
        <v>0</v>
      </c>
      <c r="I146" t="n">
        <v>0</v>
      </c>
      <c r="J146" t="n">
        <v>0</v>
      </c>
      <c r="K146" t="n">
        <v>0</v>
      </c>
      <c r="L146" t="n">
        <v>0</v>
      </c>
      <c r="M146" t="n">
        <v>0</v>
      </c>
      <c r="N146" t="n">
        <v>0</v>
      </c>
      <c r="O146" t="n">
        <v>0</v>
      </c>
      <c r="P146" t="n">
        <v>0</v>
      </c>
      <c r="Q146" t="n">
        <v>0</v>
      </c>
      <c r="R146" s="2" t="inlineStr"/>
    </row>
    <row r="147" ht="15" customHeight="1">
      <c r="A147" t="inlineStr">
        <is>
          <t>A 28518-2024</t>
        </is>
      </c>
      <c r="B147" s="1" t="n">
        <v>45477</v>
      </c>
      <c r="C147" s="1" t="n">
        <v>45999</v>
      </c>
      <c r="D147" t="inlineStr">
        <is>
          <t>UPPSALA LÄN</t>
        </is>
      </c>
      <c r="E147" t="inlineStr">
        <is>
          <t>ENKÖPING</t>
        </is>
      </c>
      <c r="G147" t="n">
        <v>3.4</v>
      </c>
      <c r="H147" t="n">
        <v>0</v>
      </c>
      <c r="I147" t="n">
        <v>0</v>
      </c>
      <c r="J147" t="n">
        <v>0</v>
      </c>
      <c r="K147" t="n">
        <v>0</v>
      </c>
      <c r="L147" t="n">
        <v>0</v>
      </c>
      <c r="M147" t="n">
        <v>0</v>
      </c>
      <c r="N147" t="n">
        <v>0</v>
      </c>
      <c r="O147" t="n">
        <v>0</v>
      </c>
      <c r="P147" t="n">
        <v>0</v>
      </c>
      <c r="Q147" t="n">
        <v>0</v>
      </c>
      <c r="R147" s="2" t="inlineStr"/>
    </row>
    <row r="148" ht="15" customHeight="1">
      <c r="A148" t="inlineStr">
        <is>
          <t>A 44131-2023</t>
        </is>
      </c>
      <c r="B148" s="1" t="n">
        <v>45188</v>
      </c>
      <c r="C148" s="1" t="n">
        <v>45999</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29482-2022</t>
        </is>
      </c>
      <c r="B149" s="1" t="n">
        <v>44753.57703703704</v>
      </c>
      <c r="C149" s="1" t="n">
        <v>45999</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29483-2022</t>
        </is>
      </c>
      <c r="B150" s="1" t="n">
        <v>44753.57829861111</v>
      </c>
      <c r="C150" s="1" t="n">
        <v>45999</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37170-2021</t>
        </is>
      </c>
      <c r="B151" s="1" t="n">
        <v>44395</v>
      </c>
      <c r="C151" s="1" t="n">
        <v>45999</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30098-2024</t>
        </is>
      </c>
      <c r="B152" s="1" t="n">
        <v>45489.41609953704</v>
      </c>
      <c r="C152" s="1" t="n">
        <v>45999</v>
      </c>
      <c r="D152" t="inlineStr">
        <is>
          <t>UPPSALA LÄN</t>
        </is>
      </c>
      <c r="E152" t="inlineStr">
        <is>
          <t>ENKÖPING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1651-2024</t>
        </is>
      </c>
      <c r="B153" s="1" t="n">
        <v>45306.73770833333</v>
      </c>
      <c r="C153" s="1" t="n">
        <v>45999</v>
      </c>
      <c r="D153" t="inlineStr">
        <is>
          <t>UPPSALA LÄN</t>
        </is>
      </c>
      <c r="E153" t="inlineStr">
        <is>
          <t>ENKÖPING</t>
        </is>
      </c>
      <c r="G153" t="n">
        <v>10.2</v>
      </c>
      <c r="H153" t="n">
        <v>0</v>
      </c>
      <c r="I153" t="n">
        <v>0</v>
      </c>
      <c r="J153" t="n">
        <v>0</v>
      </c>
      <c r="K153" t="n">
        <v>0</v>
      </c>
      <c r="L153" t="n">
        <v>0</v>
      </c>
      <c r="M153" t="n">
        <v>0</v>
      </c>
      <c r="N153" t="n">
        <v>0</v>
      </c>
      <c r="O153" t="n">
        <v>0</v>
      </c>
      <c r="P153" t="n">
        <v>0</v>
      </c>
      <c r="Q153" t="n">
        <v>0</v>
      </c>
      <c r="R153" s="2" t="inlineStr"/>
    </row>
    <row r="154" ht="15" customHeight="1">
      <c r="A154" t="inlineStr">
        <is>
          <t>A 60289-2022</t>
        </is>
      </c>
      <c r="B154" s="1" t="n">
        <v>44910.53026620371</v>
      </c>
      <c r="C154" s="1" t="n">
        <v>45999</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53496-2022</t>
        </is>
      </c>
      <c r="B155" s="1" t="n">
        <v>44879.57217592592</v>
      </c>
      <c r="C155" s="1" t="n">
        <v>45999</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7870-2024</t>
        </is>
      </c>
      <c r="B156" s="1" t="n">
        <v>45350.33349537037</v>
      </c>
      <c r="C156" s="1" t="n">
        <v>45999</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28243-2023</t>
        </is>
      </c>
      <c r="B157" s="1" t="n">
        <v>45099.58885416666</v>
      </c>
      <c r="C157" s="1" t="n">
        <v>45999</v>
      </c>
      <c r="D157" t="inlineStr">
        <is>
          <t>UPPSALA LÄN</t>
        </is>
      </c>
      <c r="E157" t="inlineStr">
        <is>
          <t>ENKÖPING</t>
        </is>
      </c>
      <c r="G157" t="n">
        <v>1.9</v>
      </c>
      <c r="H157" t="n">
        <v>0</v>
      </c>
      <c r="I157" t="n">
        <v>0</v>
      </c>
      <c r="J157" t="n">
        <v>0</v>
      </c>
      <c r="K157" t="n">
        <v>0</v>
      </c>
      <c r="L157" t="n">
        <v>0</v>
      </c>
      <c r="M157" t="n">
        <v>0</v>
      </c>
      <c r="N157" t="n">
        <v>0</v>
      </c>
      <c r="O157" t="n">
        <v>0</v>
      </c>
      <c r="P157" t="n">
        <v>0</v>
      </c>
      <c r="Q157" t="n">
        <v>0</v>
      </c>
      <c r="R157" s="2" t="inlineStr"/>
    </row>
    <row r="158" ht="15" customHeight="1">
      <c r="A158" t="inlineStr">
        <is>
          <t>A 10829-2024</t>
        </is>
      </c>
      <c r="B158" s="1" t="n">
        <v>45369</v>
      </c>
      <c r="C158" s="1" t="n">
        <v>45999</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2161-2023</t>
        </is>
      </c>
      <c r="B159" s="1" t="n">
        <v>44941</v>
      </c>
      <c r="C159" s="1" t="n">
        <v>45999</v>
      </c>
      <c r="D159" t="inlineStr">
        <is>
          <t>UPPSALA LÄN</t>
        </is>
      </c>
      <c r="E159" t="inlineStr">
        <is>
          <t>ENKÖPING</t>
        </is>
      </c>
      <c r="G159" t="n">
        <v>0.9</v>
      </c>
      <c r="H159" t="n">
        <v>0</v>
      </c>
      <c r="I159" t="n">
        <v>0</v>
      </c>
      <c r="J159" t="n">
        <v>0</v>
      </c>
      <c r="K159" t="n">
        <v>0</v>
      </c>
      <c r="L159" t="n">
        <v>0</v>
      </c>
      <c r="M159" t="n">
        <v>0</v>
      </c>
      <c r="N159" t="n">
        <v>0</v>
      </c>
      <c r="O159" t="n">
        <v>0</v>
      </c>
      <c r="P159" t="n">
        <v>0</v>
      </c>
      <c r="Q159" t="n">
        <v>0</v>
      </c>
      <c r="R159" s="2" t="inlineStr"/>
    </row>
    <row r="160" ht="15" customHeight="1">
      <c r="A160" t="inlineStr">
        <is>
          <t>A 2165-2023</t>
        </is>
      </c>
      <c r="B160" s="1" t="n">
        <v>44941</v>
      </c>
      <c r="C160" s="1" t="n">
        <v>45999</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8306-2021</t>
        </is>
      </c>
      <c r="B161" s="1" t="n">
        <v>44244</v>
      </c>
      <c r="C161" s="1" t="n">
        <v>45999</v>
      </c>
      <c r="D161" t="inlineStr">
        <is>
          <t>UPPSALA LÄN</t>
        </is>
      </c>
      <c r="E161" t="inlineStr">
        <is>
          <t>ENKÖPING</t>
        </is>
      </c>
      <c r="G161" t="n">
        <v>14.9</v>
      </c>
      <c r="H161" t="n">
        <v>0</v>
      </c>
      <c r="I161" t="n">
        <v>0</v>
      </c>
      <c r="J161" t="n">
        <v>0</v>
      </c>
      <c r="K161" t="n">
        <v>0</v>
      </c>
      <c r="L161" t="n">
        <v>0</v>
      </c>
      <c r="M161" t="n">
        <v>0</v>
      </c>
      <c r="N161" t="n">
        <v>0</v>
      </c>
      <c r="O161" t="n">
        <v>0</v>
      </c>
      <c r="P161" t="n">
        <v>0</v>
      </c>
      <c r="Q161" t="n">
        <v>0</v>
      </c>
      <c r="R161" s="2" t="inlineStr"/>
    </row>
    <row r="162" ht="15" customHeight="1">
      <c r="A162" t="inlineStr">
        <is>
          <t>A 31242-2024</t>
        </is>
      </c>
      <c r="B162" s="1" t="n">
        <v>45503</v>
      </c>
      <c r="C162" s="1" t="n">
        <v>45999</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2162-2023</t>
        </is>
      </c>
      <c r="B163" s="1" t="n">
        <v>44941</v>
      </c>
      <c r="C163" s="1" t="n">
        <v>45999</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56163-2021</t>
        </is>
      </c>
      <c r="B164" s="1" t="n">
        <v>44477</v>
      </c>
      <c r="C164" s="1" t="n">
        <v>45999</v>
      </c>
      <c r="D164" t="inlineStr">
        <is>
          <t>UPPSALA LÄN</t>
        </is>
      </c>
      <c r="E164" t="inlineStr">
        <is>
          <t>ENKÖPING</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28318-2024</t>
        </is>
      </c>
      <c r="B165" s="1" t="n">
        <v>45477</v>
      </c>
      <c r="C165" s="1" t="n">
        <v>45999</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14402-2023</t>
        </is>
      </c>
      <c r="B166" s="1" t="n">
        <v>45012</v>
      </c>
      <c r="C166" s="1" t="n">
        <v>45999</v>
      </c>
      <c r="D166" t="inlineStr">
        <is>
          <t>UPPSALA LÄN</t>
        </is>
      </c>
      <c r="E166" t="inlineStr">
        <is>
          <t>ENKÖPING</t>
        </is>
      </c>
      <c r="G166" t="n">
        <v>9.5</v>
      </c>
      <c r="H166" t="n">
        <v>0</v>
      </c>
      <c r="I166" t="n">
        <v>0</v>
      </c>
      <c r="J166" t="n">
        <v>0</v>
      </c>
      <c r="K166" t="n">
        <v>0</v>
      </c>
      <c r="L166" t="n">
        <v>0</v>
      </c>
      <c r="M166" t="n">
        <v>0</v>
      </c>
      <c r="N166" t="n">
        <v>0</v>
      </c>
      <c r="O166" t="n">
        <v>0</v>
      </c>
      <c r="P166" t="n">
        <v>0</v>
      </c>
      <c r="Q166" t="n">
        <v>0</v>
      </c>
      <c r="R166" s="2" t="inlineStr"/>
    </row>
    <row r="167" ht="15" customHeight="1">
      <c r="A167" t="inlineStr">
        <is>
          <t>A 59121-2021</t>
        </is>
      </c>
      <c r="B167" s="1" t="n">
        <v>44490</v>
      </c>
      <c r="C167" s="1" t="n">
        <v>45999</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2850-2025</t>
        </is>
      </c>
      <c r="B168" s="1" t="n">
        <v>45677</v>
      </c>
      <c r="C168" s="1" t="n">
        <v>45999</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62158-2023</t>
        </is>
      </c>
      <c r="B169" s="1" t="n">
        <v>45267</v>
      </c>
      <c r="C169" s="1" t="n">
        <v>45999</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13853-2023</t>
        </is>
      </c>
      <c r="B170" s="1" t="n">
        <v>45007</v>
      </c>
      <c r="C170" s="1" t="n">
        <v>45999</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60874-2023</t>
        </is>
      </c>
      <c r="B171" s="1" t="n">
        <v>45261.06280092592</v>
      </c>
      <c r="C171" s="1" t="n">
        <v>45999</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63310-2021</t>
        </is>
      </c>
      <c r="B172" s="1" t="n">
        <v>44508</v>
      </c>
      <c r="C172" s="1" t="n">
        <v>45999</v>
      </c>
      <c r="D172" t="inlineStr">
        <is>
          <t>UPPSALA LÄN</t>
        </is>
      </c>
      <c r="E172" t="inlineStr">
        <is>
          <t>ENKÖPING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3550-2023</t>
        </is>
      </c>
      <c r="B173" s="1" t="n">
        <v>44950</v>
      </c>
      <c r="C173" s="1" t="n">
        <v>45999</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61106-2022</t>
        </is>
      </c>
      <c r="B174" s="1" t="n">
        <v>44915.4128587963</v>
      </c>
      <c r="C174" s="1" t="n">
        <v>45999</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9171-2024</t>
        </is>
      </c>
      <c r="B175" s="1" t="n">
        <v>45358</v>
      </c>
      <c r="C175" s="1" t="n">
        <v>45999</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26292-2022</t>
        </is>
      </c>
      <c r="B176" s="1" t="n">
        <v>44735</v>
      </c>
      <c r="C176" s="1" t="n">
        <v>45999</v>
      </c>
      <c r="D176" t="inlineStr">
        <is>
          <t>UPPSALA LÄN</t>
        </is>
      </c>
      <c r="E176" t="inlineStr">
        <is>
          <t>ENKÖPING</t>
        </is>
      </c>
      <c r="F176" t="inlineStr">
        <is>
          <t>Kyrkan</t>
        </is>
      </c>
      <c r="G176" t="n">
        <v>4.6</v>
      </c>
      <c r="H176" t="n">
        <v>0</v>
      </c>
      <c r="I176" t="n">
        <v>0</v>
      </c>
      <c r="J176" t="n">
        <v>0</v>
      </c>
      <c r="K176" t="n">
        <v>0</v>
      </c>
      <c r="L176" t="n">
        <v>0</v>
      </c>
      <c r="M176" t="n">
        <v>0</v>
      </c>
      <c r="N176" t="n">
        <v>0</v>
      </c>
      <c r="O176" t="n">
        <v>0</v>
      </c>
      <c r="P176" t="n">
        <v>0</v>
      </c>
      <c r="Q176" t="n">
        <v>0</v>
      </c>
      <c r="R176" s="2" t="inlineStr"/>
    </row>
    <row r="177" ht="15" customHeight="1">
      <c r="A177" t="inlineStr">
        <is>
          <t>A 671-2022</t>
        </is>
      </c>
      <c r="B177" s="1" t="n">
        <v>44568</v>
      </c>
      <c r="C177" s="1" t="n">
        <v>45999</v>
      </c>
      <c r="D177" t="inlineStr">
        <is>
          <t>UPPSALA LÄN</t>
        </is>
      </c>
      <c r="E177" t="inlineStr">
        <is>
          <t>ENKÖPING</t>
        </is>
      </c>
      <c r="G177" t="n">
        <v>3.5</v>
      </c>
      <c r="H177" t="n">
        <v>0</v>
      </c>
      <c r="I177" t="n">
        <v>0</v>
      </c>
      <c r="J177" t="n">
        <v>0</v>
      </c>
      <c r="K177" t="n">
        <v>0</v>
      </c>
      <c r="L177" t="n">
        <v>0</v>
      </c>
      <c r="M177" t="n">
        <v>0</v>
      </c>
      <c r="N177" t="n">
        <v>0</v>
      </c>
      <c r="O177" t="n">
        <v>0</v>
      </c>
      <c r="P177" t="n">
        <v>0</v>
      </c>
      <c r="Q177" t="n">
        <v>0</v>
      </c>
      <c r="R177" s="2" t="inlineStr"/>
    </row>
    <row r="178" ht="15" customHeight="1">
      <c r="A178" t="inlineStr">
        <is>
          <t>A 11005-2023</t>
        </is>
      </c>
      <c r="B178" s="1" t="n">
        <v>44991</v>
      </c>
      <c r="C178" s="1" t="n">
        <v>45999</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61207-2023</t>
        </is>
      </c>
      <c r="B179" s="1" t="n">
        <v>45264.39444444444</v>
      </c>
      <c r="C179" s="1" t="n">
        <v>45999</v>
      </c>
      <c r="D179" t="inlineStr">
        <is>
          <t>UPPSALA LÄN</t>
        </is>
      </c>
      <c r="E179" t="inlineStr">
        <is>
          <t>ENKÖPING</t>
        </is>
      </c>
      <c r="G179" t="n">
        <v>10.8</v>
      </c>
      <c r="H179" t="n">
        <v>0</v>
      </c>
      <c r="I179" t="n">
        <v>0</v>
      </c>
      <c r="J179" t="n">
        <v>0</v>
      </c>
      <c r="K179" t="n">
        <v>0</v>
      </c>
      <c r="L179" t="n">
        <v>0</v>
      </c>
      <c r="M179" t="n">
        <v>0</v>
      </c>
      <c r="N179" t="n">
        <v>0</v>
      </c>
      <c r="O179" t="n">
        <v>0</v>
      </c>
      <c r="P179" t="n">
        <v>0</v>
      </c>
      <c r="Q179" t="n">
        <v>0</v>
      </c>
      <c r="R179" s="2" t="inlineStr"/>
    </row>
    <row r="180" ht="15" customHeight="1">
      <c r="A180" t="inlineStr">
        <is>
          <t>A 29918-2023</t>
        </is>
      </c>
      <c r="B180" s="1" t="n">
        <v>45099</v>
      </c>
      <c r="C180" s="1" t="n">
        <v>45999</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58384-2022</t>
        </is>
      </c>
      <c r="B181" s="1" t="n">
        <v>44901</v>
      </c>
      <c r="C181" s="1" t="n">
        <v>45999</v>
      </c>
      <c r="D181" t="inlineStr">
        <is>
          <t>UPPSALA LÄN</t>
        </is>
      </c>
      <c r="E181" t="inlineStr">
        <is>
          <t>ENKÖPING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43016-2021</t>
        </is>
      </c>
      <c r="B182" s="1" t="n">
        <v>44431</v>
      </c>
      <c r="C182" s="1" t="n">
        <v>45999</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15893-2024</t>
        </is>
      </c>
      <c r="B183" s="1" t="n">
        <v>45405</v>
      </c>
      <c r="C183" s="1" t="n">
        <v>45999</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33343-2024</t>
        </is>
      </c>
      <c r="B184" s="1" t="n">
        <v>45519</v>
      </c>
      <c r="C184" s="1" t="n">
        <v>45999</v>
      </c>
      <c r="D184" t="inlineStr">
        <is>
          <t>UPPSALA LÄN</t>
        </is>
      </c>
      <c r="E184" t="inlineStr">
        <is>
          <t>ENKÖPING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840-2025</t>
        </is>
      </c>
      <c r="B185" s="1" t="n">
        <v>45665</v>
      </c>
      <c r="C185" s="1" t="n">
        <v>45999</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57142-2021</t>
        </is>
      </c>
      <c r="B186" s="1" t="n">
        <v>44482</v>
      </c>
      <c r="C186" s="1" t="n">
        <v>45999</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57153-2021</t>
        </is>
      </c>
      <c r="B187" s="1" t="n">
        <v>44482</v>
      </c>
      <c r="C187" s="1" t="n">
        <v>45999</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24815-2022</t>
        </is>
      </c>
      <c r="B188" s="1" t="n">
        <v>44728</v>
      </c>
      <c r="C188" s="1" t="n">
        <v>45999</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57078-2021</t>
        </is>
      </c>
      <c r="B189" s="1" t="n">
        <v>44482.57855324074</v>
      </c>
      <c r="C189" s="1" t="n">
        <v>45999</v>
      </c>
      <c r="D189" t="inlineStr">
        <is>
          <t>UPPSALA LÄN</t>
        </is>
      </c>
      <c r="E189" t="inlineStr">
        <is>
          <t>ENKÖPING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5188-2022</t>
        </is>
      </c>
      <c r="B190" s="1" t="n">
        <v>44594.4471412037</v>
      </c>
      <c r="C190" s="1" t="n">
        <v>45999</v>
      </c>
      <c r="D190" t="inlineStr">
        <is>
          <t>UPPSALA LÄN</t>
        </is>
      </c>
      <c r="E190" t="inlineStr">
        <is>
          <t>ENKÖPING</t>
        </is>
      </c>
      <c r="G190" t="n">
        <v>1.6</v>
      </c>
      <c r="H190" t="n">
        <v>0</v>
      </c>
      <c r="I190" t="n">
        <v>0</v>
      </c>
      <c r="J190" t="n">
        <v>0</v>
      </c>
      <c r="K190" t="n">
        <v>0</v>
      </c>
      <c r="L190" t="n">
        <v>0</v>
      </c>
      <c r="M190" t="n">
        <v>0</v>
      </c>
      <c r="N190" t="n">
        <v>0</v>
      </c>
      <c r="O190" t="n">
        <v>0</v>
      </c>
      <c r="P190" t="n">
        <v>0</v>
      </c>
      <c r="Q190" t="n">
        <v>0</v>
      </c>
      <c r="R190" s="2" t="inlineStr"/>
    </row>
    <row r="191" ht="15" customHeight="1">
      <c r="A191" t="inlineStr">
        <is>
          <t>A 10458-2022</t>
        </is>
      </c>
      <c r="B191" s="1" t="n">
        <v>44623.56711805556</v>
      </c>
      <c r="C191" s="1" t="n">
        <v>45999</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12878-2025</t>
        </is>
      </c>
      <c r="B192" s="1" t="n">
        <v>45733.68571759259</v>
      </c>
      <c r="C192" s="1" t="n">
        <v>45999</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19014-2025</t>
        </is>
      </c>
      <c r="B193" s="1" t="n">
        <v>45764.59631944444</v>
      </c>
      <c r="C193" s="1" t="n">
        <v>45999</v>
      </c>
      <c r="D193" t="inlineStr">
        <is>
          <t>UPPSALA LÄN</t>
        </is>
      </c>
      <c r="E193" t="inlineStr">
        <is>
          <t>ENKÖPING</t>
        </is>
      </c>
      <c r="G193" t="n">
        <v>0.2</v>
      </c>
      <c r="H193" t="n">
        <v>0</v>
      </c>
      <c r="I193" t="n">
        <v>0</v>
      </c>
      <c r="J193" t="n">
        <v>0</v>
      </c>
      <c r="K193" t="n">
        <v>0</v>
      </c>
      <c r="L193" t="n">
        <v>0</v>
      </c>
      <c r="M193" t="n">
        <v>0</v>
      </c>
      <c r="N193" t="n">
        <v>0</v>
      </c>
      <c r="O193" t="n">
        <v>0</v>
      </c>
      <c r="P193" t="n">
        <v>0</v>
      </c>
      <c r="Q193" t="n">
        <v>0</v>
      </c>
      <c r="R193" s="2" t="inlineStr"/>
    </row>
    <row r="194" ht="15" customHeight="1">
      <c r="A194" t="inlineStr">
        <is>
          <t>A 43691-2024</t>
        </is>
      </c>
      <c r="B194" s="1" t="n">
        <v>45569</v>
      </c>
      <c r="C194" s="1" t="n">
        <v>45999</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45142-2023</t>
        </is>
      </c>
      <c r="B195" s="1" t="n">
        <v>45191.4702662037</v>
      </c>
      <c r="C195" s="1" t="n">
        <v>45999</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52889-2022</t>
        </is>
      </c>
      <c r="B196" s="1" t="n">
        <v>44875</v>
      </c>
      <c r="C196" s="1" t="n">
        <v>45999</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57998-2024</t>
        </is>
      </c>
      <c r="B197" s="1" t="n">
        <v>45631</v>
      </c>
      <c r="C197" s="1" t="n">
        <v>45999</v>
      </c>
      <c r="D197" t="inlineStr">
        <is>
          <t>UPPSALA LÄN</t>
        </is>
      </c>
      <c r="E197" t="inlineStr">
        <is>
          <t>ENKÖPING</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19376-2024</t>
        </is>
      </c>
      <c r="B198" s="1" t="n">
        <v>45429</v>
      </c>
      <c r="C198" s="1" t="n">
        <v>45999</v>
      </c>
      <c r="D198" t="inlineStr">
        <is>
          <t>UPPSALA LÄN</t>
        </is>
      </c>
      <c r="E198" t="inlineStr">
        <is>
          <t>ENKÖPING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14332-2024</t>
        </is>
      </c>
      <c r="B199" s="1" t="n">
        <v>45393</v>
      </c>
      <c r="C199" s="1" t="n">
        <v>45999</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18831-2023</t>
        </is>
      </c>
      <c r="B200" s="1" t="n">
        <v>45044.40798611111</v>
      </c>
      <c r="C200" s="1" t="n">
        <v>45999</v>
      </c>
      <c r="D200" t="inlineStr">
        <is>
          <t>UPPSALA LÄN</t>
        </is>
      </c>
      <c r="E200" t="inlineStr">
        <is>
          <t>ENKÖPING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33670-2024</t>
        </is>
      </c>
      <c r="B201" s="1" t="n">
        <v>45520</v>
      </c>
      <c r="C201" s="1" t="n">
        <v>45999</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19147-2024</t>
        </is>
      </c>
      <c r="B202" s="1" t="n">
        <v>45428</v>
      </c>
      <c r="C202" s="1" t="n">
        <v>45999</v>
      </c>
      <c r="D202" t="inlineStr">
        <is>
          <t>UPPSALA LÄN</t>
        </is>
      </c>
      <c r="E202" t="inlineStr">
        <is>
          <t>ENKÖPING</t>
        </is>
      </c>
      <c r="G202" t="n">
        <v>1.9</v>
      </c>
      <c r="H202" t="n">
        <v>0</v>
      </c>
      <c r="I202" t="n">
        <v>0</v>
      </c>
      <c r="J202" t="n">
        <v>0</v>
      </c>
      <c r="K202" t="n">
        <v>0</v>
      </c>
      <c r="L202" t="n">
        <v>0</v>
      </c>
      <c r="M202" t="n">
        <v>0</v>
      </c>
      <c r="N202" t="n">
        <v>0</v>
      </c>
      <c r="O202" t="n">
        <v>0</v>
      </c>
      <c r="P202" t="n">
        <v>0</v>
      </c>
      <c r="Q202" t="n">
        <v>0</v>
      </c>
      <c r="R202" s="2" t="inlineStr"/>
    </row>
    <row r="203" ht="15" customHeight="1">
      <c r="A203" t="inlineStr">
        <is>
          <t>A 67982-2021</t>
        </is>
      </c>
      <c r="B203" s="1" t="n">
        <v>44525</v>
      </c>
      <c r="C203" s="1" t="n">
        <v>45999</v>
      </c>
      <c r="D203" t="inlineStr">
        <is>
          <t>UPPSALA LÄN</t>
        </is>
      </c>
      <c r="E203" t="inlineStr">
        <is>
          <t>ENKÖPING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57835-2024</t>
        </is>
      </c>
      <c r="B204" s="1" t="n">
        <v>45631.39947916667</v>
      </c>
      <c r="C204" s="1" t="n">
        <v>45999</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21612-2023</t>
        </is>
      </c>
      <c r="B205" s="1" t="n">
        <v>45063</v>
      </c>
      <c r="C205" s="1" t="n">
        <v>45999</v>
      </c>
      <c r="D205" t="inlineStr">
        <is>
          <t>UPPSALA LÄN</t>
        </is>
      </c>
      <c r="E205" t="inlineStr">
        <is>
          <t>ENKÖPING</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39624-2023</t>
        </is>
      </c>
      <c r="B206" s="1" t="n">
        <v>45164</v>
      </c>
      <c r="C206" s="1" t="n">
        <v>45999</v>
      </c>
      <c r="D206" t="inlineStr">
        <is>
          <t>UPPSALA LÄN</t>
        </is>
      </c>
      <c r="E206" t="inlineStr">
        <is>
          <t>ENKÖPING</t>
        </is>
      </c>
      <c r="G206" t="n">
        <v>0.9</v>
      </c>
      <c r="H206" t="n">
        <v>0</v>
      </c>
      <c r="I206" t="n">
        <v>0</v>
      </c>
      <c r="J206" t="n">
        <v>0</v>
      </c>
      <c r="K206" t="n">
        <v>0</v>
      </c>
      <c r="L206" t="n">
        <v>0</v>
      </c>
      <c r="M206" t="n">
        <v>0</v>
      </c>
      <c r="N206" t="n">
        <v>0</v>
      </c>
      <c r="O206" t="n">
        <v>0</v>
      </c>
      <c r="P206" t="n">
        <v>0</v>
      </c>
      <c r="Q206" t="n">
        <v>0</v>
      </c>
      <c r="R206" s="2" t="inlineStr"/>
    </row>
    <row r="207" ht="15" customHeight="1">
      <c r="A207" t="inlineStr">
        <is>
          <t>A 33581-2023</t>
        </is>
      </c>
      <c r="B207" s="1" t="n">
        <v>45131</v>
      </c>
      <c r="C207" s="1" t="n">
        <v>45999</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5892-2023</t>
        </is>
      </c>
      <c r="B208" s="1" t="n">
        <v>44963.64883101852</v>
      </c>
      <c r="C208" s="1" t="n">
        <v>45999</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39858-2024</t>
        </is>
      </c>
      <c r="B209" s="1" t="n">
        <v>45553</v>
      </c>
      <c r="C209" s="1" t="n">
        <v>45999</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37115-2024</t>
        </is>
      </c>
      <c r="B210" s="1" t="n">
        <v>45539</v>
      </c>
      <c r="C210" s="1" t="n">
        <v>45999</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6147-2021</t>
        </is>
      </c>
      <c r="B211" s="1" t="n">
        <v>44232</v>
      </c>
      <c r="C211" s="1" t="n">
        <v>45999</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9957-2023</t>
        </is>
      </c>
      <c r="B212" s="1" t="n">
        <v>44978</v>
      </c>
      <c r="C212" s="1" t="n">
        <v>45999</v>
      </c>
      <c r="D212" t="inlineStr">
        <is>
          <t>UPPSALA LÄN</t>
        </is>
      </c>
      <c r="E212" t="inlineStr">
        <is>
          <t>ENKÖPING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1960-2022</t>
        </is>
      </c>
      <c r="B213" s="1" t="n">
        <v>44575</v>
      </c>
      <c r="C213" s="1" t="n">
        <v>45999</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18028-2023</t>
        </is>
      </c>
      <c r="B214" s="1" t="n">
        <v>45040</v>
      </c>
      <c r="C214" s="1" t="n">
        <v>45999</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49568-2022</t>
        </is>
      </c>
      <c r="B215" s="1" t="n">
        <v>44862.32791666667</v>
      </c>
      <c r="C215" s="1" t="n">
        <v>45999</v>
      </c>
      <c r="D215" t="inlineStr">
        <is>
          <t>UPPSALA LÄN</t>
        </is>
      </c>
      <c r="E215" t="inlineStr">
        <is>
          <t>ENKÖPING</t>
        </is>
      </c>
      <c r="G215" t="n">
        <v>0.9</v>
      </c>
      <c r="H215" t="n">
        <v>0</v>
      </c>
      <c r="I215" t="n">
        <v>0</v>
      </c>
      <c r="J215" t="n">
        <v>0</v>
      </c>
      <c r="K215" t="n">
        <v>0</v>
      </c>
      <c r="L215" t="n">
        <v>0</v>
      </c>
      <c r="M215" t="n">
        <v>0</v>
      </c>
      <c r="N215" t="n">
        <v>0</v>
      </c>
      <c r="O215" t="n">
        <v>0</v>
      </c>
      <c r="P215" t="n">
        <v>0</v>
      </c>
      <c r="Q215" t="n">
        <v>0</v>
      </c>
      <c r="R215" s="2" t="inlineStr"/>
    </row>
    <row r="216" ht="15" customHeight="1">
      <c r="A216" t="inlineStr">
        <is>
          <t>A 42459-2024</t>
        </is>
      </c>
      <c r="B216" s="1" t="n">
        <v>45565</v>
      </c>
      <c r="C216" s="1" t="n">
        <v>45999</v>
      </c>
      <c r="D216" t="inlineStr">
        <is>
          <t>UPPSALA LÄN</t>
        </is>
      </c>
      <c r="E216" t="inlineStr">
        <is>
          <t>ENKÖPING</t>
        </is>
      </c>
      <c r="G216" t="n">
        <v>3.6</v>
      </c>
      <c r="H216" t="n">
        <v>0</v>
      </c>
      <c r="I216" t="n">
        <v>0</v>
      </c>
      <c r="J216" t="n">
        <v>0</v>
      </c>
      <c r="K216" t="n">
        <v>0</v>
      </c>
      <c r="L216" t="n">
        <v>0</v>
      </c>
      <c r="M216" t="n">
        <v>0</v>
      </c>
      <c r="N216" t="n">
        <v>0</v>
      </c>
      <c r="O216" t="n">
        <v>0</v>
      </c>
      <c r="P216" t="n">
        <v>0</v>
      </c>
      <c r="Q216" t="n">
        <v>0</v>
      </c>
      <c r="R216" s="2" t="inlineStr"/>
    </row>
    <row r="217" ht="15" customHeight="1">
      <c r="A217" t="inlineStr">
        <is>
          <t>A 8152-2022</t>
        </is>
      </c>
      <c r="B217" s="1" t="n">
        <v>44609</v>
      </c>
      <c r="C217" s="1" t="n">
        <v>45999</v>
      </c>
      <c r="D217" t="inlineStr">
        <is>
          <t>UPPSALA LÄN</t>
        </is>
      </c>
      <c r="E217" t="inlineStr">
        <is>
          <t>ENKÖPING</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48864-2022</t>
        </is>
      </c>
      <c r="B218" s="1" t="n">
        <v>44859</v>
      </c>
      <c r="C218" s="1" t="n">
        <v>45999</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31622-2022</t>
        </is>
      </c>
      <c r="B219" s="1" t="n">
        <v>44775</v>
      </c>
      <c r="C219" s="1" t="n">
        <v>45999</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17657-2025</t>
        </is>
      </c>
      <c r="B220" s="1" t="n">
        <v>45758.35006944444</v>
      </c>
      <c r="C220" s="1" t="n">
        <v>45999</v>
      </c>
      <c r="D220" t="inlineStr">
        <is>
          <t>UPPSALA LÄN</t>
        </is>
      </c>
      <c r="E220" t="inlineStr">
        <is>
          <t>ENKÖPING</t>
        </is>
      </c>
      <c r="G220" t="n">
        <v>3</v>
      </c>
      <c r="H220" t="n">
        <v>0</v>
      </c>
      <c r="I220" t="n">
        <v>0</v>
      </c>
      <c r="J220" t="n">
        <v>0</v>
      </c>
      <c r="K220" t="n">
        <v>0</v>
      </c>
      <c r="L220" t="n">
        <v>0</v>
      </c>
      <c r="M220" t="n">
        <v>0</v>
      </c>
      <c r="N220" t="n">
        <v>0</v>
      </c>
      <c r="O220" t="n">
        <v>0</v>
      </c>
      <c r="P220" t="n">
        <v>0</v>
      </c>
      <c r="Q220" t="n">
        <v>0</v>
      </c>
      <c r="R220" s="2" t="inlineStr"/>
    </row>
    <row r="221" ht="15" customHeight="1">
      <c r="A221" t="inlineStr">
        <is>
          <t>A 47681-2024</t>
        </is>
      </c>
      <c r="B221" s="1" t="n">
        <v>45588</v>
      </c>
      <c r="C221" s="1" t="n">
        <v>45999</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66517-2020</t>
        </is>
      </c>
      <c r="B222" s="1" t="n">
        <v>44178</v>
      </c>
      <c r="C222" s="1" t="n">
        <v>45999</v>
      </c>
      <c r="D222" t="inlineStr">
        <is>
          <t>UPPSALA LÄN</t>
        </is>
      </c>
      <c r="E222" t="inlineStr">
        <is>
          <t>ENKÖPING</t>
        </is>
      </c>
      <c r="G222" t="n">
        <v>4</v>
      </c>
      <c r="H222" t="n">
        <v>0</v>
      </c>
      <c r="I222" t="n">
        <v>0</v>
      </c>
      <c r="J222" t="n">
        <v>0</v>
      </c>
      <c r="K222" t="n">
        <v>0</v>
      </c>
      <c r="L222" t="n">
        <v>0</v>
      </c>
      <c r="M222" t="n">
        <v>0</v>
      </c>
      <c r="N222" t="n">
        <v>0</v>
      </c>
      <c r="O222" t="n">
        <v>0</v>
      </c>
      <c r="P222" t="n">
        <v>0</v>
      </c>
      <c r="Q222" t="n">
        <v>0</v>
      </c>
      <c r="R222" s="2" t="inlineStr"/>
    </row>
    <row r="223" ht="15" customHeight="1">
      <c r="A223" t="inlineStr">
        <is>
          <t>A 6356-2022</t>
        </is>
      </c>
      <c r="B223" s="1" t="n">
        <v>44600</v>
      </c>
      <c r="C223" s="1" t="n">
        <v>45999</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57147-2021</t>
        </is>
      </c>
      <c r="B224" s="1" t="n">
        <v>44482</v>
      </c>
      <c r="C224" s="1" t="n">
        <v>45999</v>
      </c>
      <c r="D224" t="inlineStr">
        <is>
          <t>UPPSALA LÄN</t>
        </is>
      </c>
      <c r="E224" t="inlineStr">
        <is>
          <t>ENKÖPING</t>
        </is>
      </c>
      <c r="G224" t="n">
        <v>5.7</v>
      </c>
      <c r="H224" t="n">
        <v>0</v>
      </c>
      <c r="I224" t="n">
        <v>0</v>
      </c>
      <c r="J224" t="n">
        <v>0</v>
      </c>
      <c r="K224" t="n">
        <v>0</v>
      </c>
      <c r="L224" t="n">
        <v>0</v>
      </c>
      <c r="M224" t="n">
        <v>0</v>
      </c>
      <c r="N224" t="n">
        <v>0</v>
      </c>
      <c r="O224" t="n">
        <v>0</v>
      </c>
      <c r="P224" t="n">
        <v>0</v>
      </c>
      <c r="Q224" t="n">
        <v>0</v>
      </c>
      <c r="R224" s="2" t="inlineStr"/>
    </row>
    <row r="225" ht="15" customHeight="1">
      <c r="A225" t="inlineStr">
        <is>
          <t>A 15939-2022</t>
        </is>
      </c>
      <c r="B225" s="1" t="n">
        <v>44664</v>
      </c>
      <c r="C225" s="1" t="n">
        <v>45999</v>
      </c>
      <c r="D225" t="inlineStr">
        <is>
          <t>UPPSALA LÄN</t>
        </is>
      </c>
      <c r="E225" t="inlineStr">
        <is>
          <t>ENKÖPING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50394-2024</t>
        </is>
      </c>
      <c r="B226" s="1" t="n">
        <v>45600</v>
      </c>
      <c r="C226" s="1" t="n">
        <v>45999</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47909-2024</t>
        </is>
      </c>
      <c r="B227" s="1" t="n">
        <v>45589.31866898148</v>
      </c>
      <c r="C227" s="1" t="n">
        <v>45999</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6157-2021</t>
        </is>
      </c>
      <c r="B228" s="1" t="n">
        <v>44232</v>
      </c>
      <c r="C228" s="1" t="n">
        <v>45999</v>
      </c>
      <c r="D228" t="inlineStr">
        <is>
          <t>UPPSALA LÄN</t>
        </is>
      </c>
      <c r="E228" t="inlineStr">
        <is>
          <t>ENKÖPING</t>
        </is>
      </c>
      <c r="G228" t="n">
        <v>3.9</v>
      </c>
      <c r="H228" t="n">
        <v>0</v>
      </c>
      <c r="I228" t="n">
        <v>0</v>
      </c>
      <c r="J228" t="n">
        <v>0</v>
      </c>
      <c r="K228" t="n">
        <v>0</v>
      </c>
      <c r="L228" t="n">
        <v>0</v>
      </c>
      <c r="M228" t="n">
        <v>0</v>
      </c>
      <c r="N228" t="n">
        <v>0</v>
      </c>
      <c r="O228" t="n">
        <v>0</v>
      </c>
      <c r="P228" t="n">
        <v>0</v>
      </c>
      <c r="Q228" t="n">
        <v>0</v>
      </c>
      <c r="R228" s="2" t="inlineStr"/>
    </row>
    <row r="229" ht="15" customHeight="1">
      <c r="A229" t="inlineStr">
        <is>
          <t>A 52005-2024</t>
        </is>
      </c>
      <c r="B229" s="1" t="n">
        <v>45607.7627662037</v>
      </c>
      <c r="C229" s="1" t="n">
        <v>45999</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12754-2025</t>
        </is>
      </c>
      <c r="B230" s="1" t="n">
        <v>45733.56331018519</v>
      </c>
      <c r="C230" s="1" t="n">
        <v>45999</v>
      </c>
      <c r="D230" t="inlineStr">
        <is>
          <t>UPPSALA LÄN</t>
        </is>
      </c>
      <c r="E230" t="inlineStr">
        <is>
          <t>ENKÖPING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72840-2021</t>
        </is>
      </c>
      <c r="B231" s="1" t="n">
        <v>44547</v>
      </c>
      <c r="C231" s="1" t="n">
        <v>45999</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54588-2024</t>
        </is>
      </c>
      <c r="B232" s="1" t="n">
        <v>45617</v>
      </c>
      <c r="C232" s="1" t="n">
        <v>45999</v>
      </c>
      <c r="D232" t="inlineStr">
        <is>
          <t>UPPSALA LÄN</t>
        </is>
      </c>
      <c r="E232" t="inlineStr">
        <is>
          <t>ENKÖPING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56713-2024</t>
        </is>
      </c>
      <c r="B233" s="1" t="n">
        <v>45628</v>
      </c>
      <c r="C233" s="1" t="n">
        <v>45999</v>
      </c>
      <c r="D233" t="inlineStr">
        <is>
          <t>UPPSALA LÄN</t>
        </is>
      </c>
      <c r="E233" t="inlineStr">
        <is>
          <t>ENKÖPING</t>
        </is>
      </c>
      <c r="G233" t="n">
        <v>1.7</v>
      </c>
      <c r="H233" t="n">
        <v>0</v>
      </c>
      <c r="I233" t="n">
        <v>0</v>
      </c>
      <c r="J233" t="n">
        <v>0</v>
      </c>
      <c r="K233" t="n">
        <v>0</v>
      </c>
      <c r="L233" t="n">
        <v>0</v>
      </c>
      <c r="M233" t="n">
        <v>0</v>
      </c>
      <c r="N233" t="n">
        <v>0</v>
      </c>
      <c r="O233" t="n">
        <v>0</v>
      </c>
      <c r="P233" t="n">
        <v>0</v>
      </c>
      <c r="Q233" t="n">
        <v>0</v>
      </c>
      <c r="R233" s="2" t="inlineStr"/>
    </row>
    <row r="234" ht="15" customHeight="1">
      <c r="A234" t="inlineStr">
        <is>
          <t>A 51524-2022</t>
        </is>
      </c>
      <c r="B234" s="1" t="n">
        <v>44869</v>
      </c>
      <c r="C234" s="1" t="n">
        <v>45999</v>
      </c>
      <c r="D234" t="inlineStr">
        <is>
          <t>UPPSALA LÄN</t>
        </is>
      </c>
      <c r="E234" t="inlineStr">
        <is>
          <t>ENKÖPING</t>
        </is>
      </c>
      <c r="G234" t="n">
        <v>6.6</v>
      </c>
      <c r="H234" t="n">
        <v>0</v>
      </c>
      <c r="I234" t="n">
        <v>0</v>
      </c>
      <c r="J234" t="n">
        <v>0</v>
      </c>
      <c r="K234" t="n">
        <v>0</v>
      </c>
      <c r="L234" t="n">
        <v>0</v>
      </c>
      <c r="M234" t="n">
        <v>0</v>
      </c>
      <c r="N234" t="n">
        <v>0</v>
      </c>
      <c r="O234" t="n">
        <v>0</v>
      </c>
      <c r="P234" t="n">
        <v>0</v>
      </c>
      <c r="Q234" t="n">
        <v>0</v>
      </c>
      <c r="R234" s="2" t="inlineStr"/>
    </row>
    <row r="235" ht="15" customHeight="1">
      <c r="A235" t="inlineStr">
        <is>
          <t>A 8137-2025</t>
        </is>
      </c>
      <c r="B235" s="1" t="n">
        <v>45707.8561574074</v>
      </c>
      <c r="C235" s="1" t="n">
        <v>45999</v>
      </c>
      <c r="D235" t="inlineStr">
        <is>
          <t>UPPSALA LÄN</t>
        </is>
      </c>
      <c r="E235" t="inlineStr">
        <is>
          <t>ENKÖPING</t>
        </is>
      </c>
      <c r="G235" t="n">
        <v>0.4</v>
      </c>
      <c r="H235" t="n">
        <v>0</v>
      </c>
      <c r="I235" t="n">
        <v>0</v>
      </c>
      <c r="J235" t="n">
        <v>0</v>
      </c>
      <c r="K235" t="n">
        <v>0</v>
      </c>
      <c r="L235" t="n">
        <v>0</v>
      </c>
      <c r="M235" t="n">
        <v>0</v>
      </c>
      <c r="N235" t="n">
        <v>0</v>
      </c>
      <c r="O235" t="n">
        <v>0</v>
      </c>
      <c r="P235" t="n">
        <v>0</v>
      </c>
      <c r="Q235" t="n">
        <v>0</v>
      </c>
      <c r="R235" s="2" t="inlineStr"/>
    </row>
    <row r="236" ht="15" customHeight="1">
      <c r="A236" t="inlineStr">
        <is>
          <t>A 7868-2024</t>
        </is>
      </c>
      <c r="B236" s="1" t="n">
        <v>45350.33020833333</v>
      </c>
      <c r="C236" s="1" t="n">
        <v>45999</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37870-2023</t>
        </is>
      </c>
      <c r="B237" s="1" t="n">
        <v>45160.41996527778</v>
      </c>
      <c r="C237" s="1" t="n">
        <v>45999</v>
      </c>
      <c r="D237" t="inlineStr">
        <is>
          <t>UPPSALA LÄN</t>
        </is>
      </c>
      <c r="E237" t="inlineStr">
        <is>
          <t>ENKÖPING</t>
        </is>
      </c>
      <c r="G237" t="n">
        <v>3.5</v>
      </c>
      <c r="H237" t="n">
        <v>0</v>
      </c>
      <c r="I237" t="n">
        <v>0</v>
      </c>
      <c r="J237" t="n">
        <v>0</v>
      </c>
      <c r="K237" t="n">
        <v>0</v>
      </c>
      <c r="L237" t="n">
        <v>0</v>
      </c>
      <c r="M237" t="n">
        <v>0</v>
      </c>
      <c r="N237" t="n">
        <v>0</v>
      </c>
      <c r="O237" t="n">
        <v>0</v>
      </c>
      <c r="P237" t="n">
        <v>0</v>
      </c>
      <c r="Q237" t="n">
        <v>0</v>
      </c>
      <c r="R237" s="2" t="inlineStr"/>
    </row>
    <row r="238" ht="15" customHeight="1">
      <c r="A238" t="inlineStr">
        <is>
          <t>A 7090-2022</t>
        </is>
      </c>
      <c r="B238" s="1" t="n">
        <v>44603.59520833333</v>
      </c>
      <c r="C238" s="1" t="n">
        <v>45999</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49063-2024</t>
        </is>
      </c>
      <c r="B239" s="1" t="n">
        <v>45594.59869212963</v>
      </c>
      <c r="C239" s="1" t="n">
        <v>45999</v>
      </c>
      <c r="D239" t="inlineStr">
        <is>
          <t>UPPSALA LÄN</t>
        </is>
      </c>
      <c r="E239" t="inlineStr">
        <is>
          <t>ENKÖPING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53586-2024</t>
        </is>
      </c>
      <c r="B240" s="1" t="n">
        <v>45614</v>
      </c>
      <c r="C240" s="1" t="n">
        <v>45999</v>
      </c>
      <c r="D240" t="inlineStr">
        <is>
          <t>UPPSALA LÄN</t>
        </is>
      </c>
      <c r="E240" t="inlineStr">
        <is>
          <t>ENKÖPING</t>
        </is>
      </c>
      <c r="G240" t="n">
        <v>6.6</v>
      </c>
      <c r="H240" t="n">
        <v>0</v>
      </c>
      <c r="I240" t="n">
        <v>0</v>
      </c>
      <c r="J240" t="n">
        <v>0</v>
      </c>
      <c r="K240" t="n">
        <v>0</v>
      </c>
      <c r="L240" t="n">
        <v>0</v>
      </c>
      <c r="M240" t="n">
        <v>0</v>
      </c>
      <c r="N240" t="n">
        <v>0</v>
      </c>
      <c r="O240" t="n">
        <v>0</v>
      </c>
      <c r="P240" t="n">
        <v>0</v>
      </c>
      <c r="Q240" t="n">
        <v>0</v>
      </c>
      <c r="R240" s="2" t="inlineStr"/>
    </row>
    <row r="241" ht="15" customHeight="1">
      <c r="A241" t="inlineStr">
        <is>
          <t>A 69344-2021</t>
        </is>
      </c>
      <c r="B241" s="1" t="n">
        <v>44531</v>
      </c>
      <c r="C241" s="1" t="n">
        <v>45999</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14083-2025</t>
        </is>
      </c>
      <c r="B242" s="1" t="n">
        <v>45740</v>
      </c>
      <c r="C242" s="1" t="n">
        <v>45999</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51034-2024</t>
        </is>
      </c>
      <c r="B243" s="1" t="n">
        <v>45603.4262037037</v>
      </c>
      <c r="C243" s="1" t="n">
        <v>45999</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51036-2024</t>
        </is>
      </c>
      <c r="B244" s="1" t="n">
        <v>45603.42839120371</v>
      </c>
      <c r="C244" s="1" t="n">
        <v>45999</v>
      </c>
      <c r="D244" t="inlineStr">
        <is>
          <t>UPPSALA LÄN</t>
        </is>
      </c>
      <c r="E244" t="inlineStr">
        <is>
          <t>ENKÖPING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43492-2023</t>
        </is>
      </c>
      <c r="B245" s="1" t="n">
        <v>45181</v>
      </c>
      <c r="C245" s="1" t="n">
        <v>45999</v>
      </c>
      <c r="D245" t="inlineStr">
        <is>
          <t>UPPSALA LÄN</t>
        </is>
      </c>
      <c r="E245" t="inlineStr">
        <is>
          <t>ENKÖPING</t>
        </is>
      </c>
      <c r="G245" t="n">
        <v>1.6</v>
      </c>
      <c r="H245" t="n">
        <v>0</v>
      </c>
      <c r="I245" t="n">
        <v>0</v>
      </c>
      <c r="J245" t="n">
        <v>0</v>
      </c>
      <c r="K245" t="n">
        <v>0</v>
      </c>
      <c r="L245" t="n">
        <v>0</v>
      </c>
      <c r="M245" t="n">
        <v>0</v>
      </c>
      <c r="N245" t="n">
        <v>0</v>
      </c>
      <c r="O245" t="n">
        <v>0</v>
      </c>
      <c r="P245" t="n">
        <v>0</v>
      </c>
      <c r="Q245" t="n">
        <v>0</v>
      </c>
      <c r="R245" s="2" t="inlineStr"/>
    </row>
    <row r="246" ht="15" customHeight="1">
      <c r="A246" t="inlineStr">
        <is>
          <t>A 51008-2024</t>
        </is>
      </c>
      <c r="B246" s="1" t="n">
        <v>45603.39041666667</v>
      </c>
      <c r="C246" s="1" t="n">
        <v>45999</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19298-2023</t>
        </is>
      </c>
      <c r="B247" s="1" t="n">
        <v>45048</v>
      </c>
      <c r="C247" s="1" t="n">
        <v>45999</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34124-2021</t>
        </is>
      </c>
      <c r="B248" s="1" t="n">
        <v>44379</v>
      </c>
      <c r="C248" s="1" t="n">
        <v>45999</v>
      </c>
      <c r="D248" t="inlineStr">
        <is>
          <t>UPPSALA LÄN</t>
        </is>
      </c>
      <c r="E248" t="inlineStr">
        <is>
          <t>ENKÖPING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43697-2024</t>
        </is>
      </c>
      <c r="B249" s="1" t="n">
        <v>45569</v>
      </c>
      <c r="C249" s="1" t="n">
        <v>45999</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35052-2024</t>
        </is>
      </c>
      <c r="B250" s="1" t="n">
        <v>45527.6516087963</v>
      </c>
      <c r="C250" s="1" t="n">
        <v>45999</v>
      </c>
      <c r="D250" t="inlineStr">
        <is>
          <t>UPPSALA LÄN</t>
        </is>
      </c>
      <c r="E250" t="inlineStr">
        <is>
          <t>ENKÖPING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1536-2024</t>
        </is>
      </c>
      <c r="B251" s="1" t="n">
        <v>45306</v>
      </c>
      <c r="C251" s="1" t="n">
        <v>45999</v>
      </c>
      <c r="D251" t="inlineStr">
        <is>
          <t>UPPSALA LÄN</t>
        </is>
      </c>
      <c r="E251" t="inlineStr">
        <is>
          <t>ENKÖPING</t>
        </is>
      </c>
      <c r="F251" t="inlineStr">
        <is>
          <t>Kyrkan</t>
        </is>
      </c>
      <c r="G251" t="n">
        <v>5.6</v>
      </c>
      <c r="H251" t="n">
        <v>0</v>
      </c>
      <c r="I251" t="n">
        <v>0</v>
      </c>
      <c r="J251" t="n">
        <v>0</v>
      </c>
      <c r="K251" t="n">
        <v>0</v>
      </c>
      <c r="L251" t="n">
        <v>0</v>
      </c>
      <c r="M251" t="n">
        <v>0</v>
      </c>
      <c r="N251" t="n">
        <v>0</v>
      </c>
      <c r="O251" t="n">
        <v>0</v>
      </c>
      <c r="P251" t="n">
        <v>0</v>
      </c>
      <c r="Q251" t="n">
        <v>0</v>
      </c>
      <c r="R251" s="2" t="inlineStr"/>
    </row>
    <row r="252" ht="15" customHeight="1">
      <c r="A252" t="inlineStr">
        <is>
          <t>A 2974-2025</t>
        </is>
      </c>
      <c r="B252" s="1" t="n">
        <v>45678.47168981482</v>
      </c>
      <c r="C252" s="1" t="n">
        <v>45999</v>
      </c>
      <c r="D252" t="inlineStr">
        <is>
          <t>UPPSALA LÄN</t>
        </is>
      </c>
      <c r="E252" t="inlineStr">
        <is>
          <t>ENKÖPING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16916-2023</t>
        </is>
      </c>
      <c r="B253" s="1" t="n">
        <v>45033.58347222222</v>
      </c>
      <c r="C253" s="1" t="n">
        <v>45999</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27983-2024</t>
        </is>
      </c>
      <c r="B254" s="1" t="n">
        <v>45476</v>
      </c>
      <c r="C254" s="1" t="n">
        <v>45999</v>
      </c>
      <c r="D254" t="inlineStr">
        <is>
          <t>UPPSALA LÄN</t>
        </is>
      </c>
      <c r="E254" t="inlineStr">
        <is>
          <t>ENKÖPING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16920-2023</t>
        </is>
      </c>
      <c r="B255" s="1" t="n">
        <v>45033.59030092593</v>
      </c>
      <c r="C255" s="1" t="n">
        <v>45999</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15409-2025</t>
        </is>
      </c>
      <c r="B256" s="1" t="n">
        <v>45747</v>
      </c>
      <c r="C256" s="1" t="n">
        <v>45999</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51010-2024</t>
        </is>
      </c>
      <c r="B257" s="1" t="n">
        <v>45603.39285879629</v>
      </c>
      <c r="C257" s="1" t="n">
        <v>45999</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52388-2024</t>
        </is>
      </c>
      <c r="B258" s="1" t="n">
        <v>45609.42939814815</v>
      </c>
      <c r="C258" s="1" t="n">
        <v>45999</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22912-2024</t>
        </is>
      </c>
      <c r="B259" s="1" t="n">
        <v>45448.73118055556</v>
      </c>
      <c r="C259" s="1" t="n">
        <v>45999</v>
      </c>
      <c r="D259" t="inlineStr">
        <is>
          <t>UPPSALA LÄN</t>
        </is>
      </c>
      <c r="E259" t="inlineStr">
        <is>
          <t>ENKÖPING</t>
        </is>
      </c>
      <c r="G259" t="n">
        <v>2.8</v>
      </c>
      <c r="H259" t="n">
        <v>0</v>
      </c>
      <c r="I259" t="n">
        <v>0</v>
      </c>
      <c r="J259" t="n">
        <v>0</v>
      </c>
      <c r="K259" t="n">
        <v>0</v>
      </c>
      <c r="L259" t="n">
        <v>0</v>
      </c>
      <c r="M259" t="n">
        <v>0</v>
      </c>
      <c r="N259" t="n">
        <v>0</v>
      </c>
      <c r="O259" t="n">
        <v>0</v>
      </c>
      <c r="P259" t="n">
        <v>0</v>
      </c>
      <c r="Q259" t="n">
        <v>0</v>
      </c>
      <c r="R259" s="2" t="inlineStr"/>
    </row>
    <row r="260" ht="15" customHeight="1">
      <c r="A260" t="inlineStr">
        <is>
          <t>A 12434-2021</t>
        </is>
      </c>
      <c r="B260" s="1" t="n">
        <v>44267</v>
      </c>
      <c r="C260" s="1" t="n">
        <v>45999</v>
      </c>
      <c r="D260" t="inlineStr">
        <is>
          <t>UPPSALA LÄN</t>
        </is>
      </c>
      <c r="E260" t="inlineStr">
        <is>
          <t>ENKÖPING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1992-2022</t>
        </is>
      </c>
      <c r="B261" s="1" t="n">
        <v>44575.56153935185</v>
      </c>
      <c r="C261" s="1" t="n">
        <v>45999</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6626-2023</t>
        </is>
      </c>
      <c r="B262" s="1" t="n">
        <v>44966.55946759259</v>
      </c>
      <c r="C262" s="1" t="n">
        <v>45999</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48843-2023</t>
        </is>
      </c>
      <c r="B263" s="1" t="n">
        <v>45209</v>
      </c>
      <c r="C263" s="1" t="n">
        <v>45999</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34617-2022</t>
        </is>
      </c>
      <c r="B264" s="1" t="n">
        <v>44795</v>
      </c>
      <c r="C264" s="1" t="n">
        <v>45999</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57940-2022</t>
        </is>
      </c>
      <c r="B265" s="1" t="n">
        <v>44900</v>
      </c>
      <c r="C265" s="1" t="n">
        <v>45999</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40202-2024</t>
        </is>
      </c>
      <c r="B266" s="1" t="n">
        <v>45554</v>
      </c>
      <c r="C266" s="1" t="n">
        <v>45999</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40223-2024</t>
        </is>
      </c>
      <c r="B267" s="1" t="n">
        <v>45554</v>
      </c>
      <c r="C267" s="1" t="n">
        <v>45999</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35079-2024</t>
        </is>
      </c>
      <c r="B268" s="1" t="n">
        <v>45527.66770833333</v>
      </c>
      <c r="C268" s="1" t="n">
        <v>45999</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69879-2021</t>
        </is>
      </c>
      <c r="B269" s="1" t="n">
        <v>44532</v>
      </c>
      <c r="C269" s="1" t="n">
        <v>45999</v>
      </c>
      <c r="D269" t="inlineStr">
        <is>
          <t>UPPSALA LÄN</t>
        </is>
      </c>
      <c r="E269" t="inlineStr">
        <is>
          <t>ENKÖPING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53595-2023</t>
        </is>
      </c>
      <c r="B270" s="1" t="n">
        <v>45223</v>
      </c>
      <c r="C270" s="1" t="n">
        <v>45999</v>
      </c>
      <c r="D270" t="inlineStr">
        <is>
          <t>UPPSALA LÄN</t>
        </is>
      </c>
      <c r="E270" t="inlineStr">
        <is>
          <t>ENKÖPING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19013-2025</t>
        </is>
      </c>
      <c r="B271" s="1" t="n">
        <v>45764.59533564815</v>
      </c>
      <c r="C271" s="1" t="n">
        <v>45999</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57335-2024</t>
        </is>
      </c>
      <c r="B272" s="1" t="n">
        <v>45629.63302083333</v>
      </c>
      <c r="C272" s="1" t="n">
        <v>45999</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23301-2024</t>
        </is>
      </c>
      <c r="B273" s="1" t="n">
        <v>45453.4396412037</v>
      </c>
      <c r="C273" s="1" t="n">
        <v>45999</v>
      </c>
      <c r="D273" t="inlineStr">
        <is>
          <t>UPPSALA LÄN</t>
        </is>
      </c>
      <c r="E273" t="inlineStr">
        <is>
          <t>ENKÖPING</t>
        </is>
      </c>
      <c r="G273" t="n">
        <v>4.3</v>
      </c>
      <c r="H273" t="n">
        <v>0</v>
      </c>
      <c r="I273" t="n">
        <v>0</v>
      </c>
      <c r="J273" t="n">
        <v>0</v>
      </c>
      <c r="K273" t="n">
        <v>0</v>
      </c>
      <c r="L273" t="n">
        <v>0</v>
      </c>
      <c r="M273" t="n">
        <v>0</v>
      </c>
      <c r="N273" t="n">
        <v>0</v>
      </c>
      <c r="O273" t="n">
        <v>0</v>
      </c>
      <c r="P273" t="n">
        <v>0</v>
      </c>
      <c r="Q273" t="n">
        <v>0</v>
      </c>
      <c r="R273" s="2" t="inlineStr"/>
    </row>
    <row r="274" ht="15" customHeight="1">
      <c r="A274" t="inlineStr">
        <is>
          <t>A 2833-2025</t>
        </is>
      </c>
      <c r="B274" s="1" t="n">
        <v>45677.63206018518</v>
      </c>
      <c r="C274" s="1" t="n">
        <v>45999</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60533-2021</t>
        </is>
      </c>
      <c r="B275" s="1" t="n">
        <v>44496</v>
      </c>
      <c r="C275" s="1" t="n">
        <v>45999</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15757-2023</t>
        </is>
      </c>
      <c r="B276" s="1" t="n">
        <v>45021</v>
      </c>
      <c r="C276" s="1" t="n">
        <v>45999</v>
      </c>
      <c r="D276" t="inlineStr">
        <is>
          <t>UPPSALA LÄN</t>
        </is>
      </c>
      <c r="E276" t="inlineStr">
        <is>
          <t>ENKÖPING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45999</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56886-2023</t>
        </is>
      </c>
      <c r="B278" s="1" t="n">
        <v>45239</v>
      </c>
      <c r="C278" s="1" t="n">
        <v>45999</v>
      </c>
      <c r="D278" t="inlineStr">
        <is>
          <t>UPPSALA LÄN</t>
        </is>
      </c>
      <c r="E278" t="inlineStr">
        <is>
          <t>ENKÖPING</t>
        </is>
      </c>
      <c r="G278" t="n">
        <v>2</v>
      </c>
      <c r="H278" t="n">
        <v>0</v>
      </c>
      <c r="I278" t="n">
        <v>0</v>
      </c>
      <c r="J278" t="n">
        <v>0</v>
      </c>
      <c r="K278" t="n">
        <v>0</v>
      </c>
      <c r="L278" t="n">
        <v>0</v>
      </c>
      <c r="M278" t="n">
        <v>0</v>
      </c>
      <c r="N278" t="n">
        <v>0</v>
      </c>
      <c r="O278" t="n">
        <v>0</v>
      </c>
      <c r="P278" t="n">
        <v>0</v>
      </c>
      <c r="Q278" t="n">
        <v>0</v>
      </c>
      <c r="R278" s="2" t="inlineStr"/>
    </row>
    <row r="279" ht="15" customHeight="1">
      <c r="A279" t="inlineStr">
        <is>
          <t>A 51011-2024</t>
        </is>
      </c>
      <c r="B279" s="1" t="n">
        <v>45603.39427083333</v>
      </c>
      <c r="C279" s="1" t="n">
        <v>45999</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33619-2022</t>
        </is>
      </c>
      <c r="B280" s="1" t="n">
        <v>44789</v>
      </c>
      <c r="C280" s="1" t="n">
        <v>45999</v>
      </c>
      <c r="D280" t="inlineStr">
        <is>
          <t>UPPSALA LÄN</t>
        </is>
      </c>
      <c r="E280" t="inlineStr">
        <is>
          <t>ENKÖPING</t>
        </is>
      </c>
      <c r="F280" t="inlineStr">
        <is>
          <t>Allmännings- och besparingsskogar</t>
        </is>
      </c>
      <c r="G280" t="n">
        <v>4.5</v>
      </c>
      <c r="H280" t="n">
        <v>0</v>
      </c>
      <c r="I280" t="n">
        <v>0</v>
      </c>
      <c r="J280" t="n">
        <v>0</v>
      </c>
      <c r="K280" t="n">
        <v>0</v>
      </c>
      <c r="L280" t="n">
        <v>0</v>
      </c>
      <c r="M280" t="n">
        <v>0</v>
      </c>
      <c r="N280" t="n">
        <v>0</v>
      </c>
      <c r="O280" t="n">
        <v>0</v>
      </c>
      <c r="P280" t="n">
        <v>0</v>
      </c>
      <c r="Q280" t="n">
        <v>0</v>
      </c>
      <c r="R280" s="2" t="inlineStr"/>
    </row>
    <row r="281" ht="15" customHeight="1">
      <c r="A281" t="inlineStr">
        <is>
          <t>A 31604-2023</t>
        </is>
      </c>
      <c r="B281" s="1" t="n">
        <v>45117.50368055556</v>
      </c>
      <c r="C281" s="1" t="n">
        <v>45999</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59602-2024</t>
        </is>
      </c>
      <c r="B282" s="1" t="n">
        <v>45638</v>
      </c>
      <c r="C282" s="1" t="n">
        <v>45999</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12102-2024</t>
        </is>
      </c>
      <c r="B283" s="1" t="n">
        <v>45377</v>
      </c>
      <c r="C283" s="1" t="n">
        <v>45999</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58961-2024</t>
        </is>
      </c>
      <c r="B284" s="1" t="n">
        <v>45636.585</v>
      </c>
      <c r="C284" s="1" t="n">
        <v>45999</v>
      </c>
      <c r="D284" t="inlineStr">
        <is>
          <t>UPPSALA LÄN</t>
        </is>
      </c>
      <c r="E284" t="inlineStr">
        <is>
          <t>ENKÖPING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14243-2025</t>
        </is>
      </c>
      <c r="B285" s="1" t="n">
        <v>45740.61288194444</v>
      </c>
      <c r="C285" s="1" t="n">
        <v>45999</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19488-2022</t>
        </is>
      </c>
      <c r="B286" s="1" t="n">
        <v>44693</v>
      </c>
      <c r="C286" s="1" t="n">
        <v>45999</v>
      </c>
      <c r="D286" t="inlineStr">
        <is>
          <t>UPPSALA LÄN</t>
        </is>
      </c>
      <c r="E286" t="inlineStr">
        <is>
          <t>ENKÖPING</t>
        </is>
      </c>
      <c r="G286" t="n">
        <v>7.8</v>
      </c>
      <c r="H286" t="n">
        <v>0</v>
      </c>
      <c r="I286" t="n">
        <v>0</v>
      </c>
      <c r="J286" t="n">
        <v>0</v>
      </c>
      <c r="K286" t="n">
        <v>0</v>
      </c>
      <c r="L286" t="n">
        <v>0</v>
      </c>
      <c r="M286" t="n">
        <v>0</v>
      </c>
      <c r="N286" t="n">
        <v>0</v>
      </c>
      <c r="O286" t="n">
        <v>0</v>
      </c>
      <c r="P286" t="n">
        <v>0</v>
      </c>
      <c r="Q286" t="n">
        <v>0</v>
      </c>
      <c r="R286" s="2" t="inlineStr"/>
    </row>
    <row r="287" ht="15" customHeight="1">
      <c r="A287" t="inlineStr">
        <is>
          <t>A 45283-2022</t>
        </is>
      </c>
      <c r="B287" s="1" t="n">
        <v>44844</v>
      </c>
      <c r="C287" s="1" t="n">
        <v>45999</v>
      </c>
      <c r="D287" t="inlineStr">
        <is>
          <t>UPPSALA LÄN</t>
        </is>
      </c>
      <c r="E287" t="inlineStr">
        <is>
          <t>ENKÖPING</t>
        </is>
      </c>
      <c r="G287" t="n">
        <v>5.9</v>
      </c>
      <c r="H287" t="n">
        <v>0</v>
      </c>
      <c r="I287" t="n">
        <v>0</v>
      </c>
      <c r="J287" t="n">
        <v>0</v>
      </c>
      <c r="K287" t="n">
        <v>0</v>
      </c>
      <c r="L287" t="n">
        <v>0</v>
      </c>
      <c r="M287" t="n">
        <v>0</v>
      </c>
      <c r="N287" t="n">
        <v>0</v>
      </c>
      <c r="O287" t="n">
        <v>0</v>
      </c>
      <c r="P287" t="n">
        <v>0</v>
      </c>
      <c r="Q287" t="n">
        <v>0</v>
      </c>
      <c r="R287" s="2" t="inlineStr"/>
    </row>
    <row r="288" ht="15" customHeight="1">
      <c r="A288" t="inlineStr">
        <is>
          <t>A 845-2025</t>
        </is>
      </c>
      <c r="B288" s="1" t="n">
        <v>45665</v>
      </c>
      <c r="C288" s="1" t="n">
        <v>45999</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849-2025</t>
        </is>
      </c>
      <c r="B289" s="1" t="n">
        <v>45665</v>
      </c>
      <c r="C289" s="1" t="n">
        <v>45999</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41826-2024</t>
        </is>
      </c>
      <c r="B290" s="1" t="n">
        <v>45561</v>
      </c>
      <c r="C290" s="1" t="n">
        <v>45999</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58147-2024</t>
        </is>
      </c>
      <c r="B291" s="1" t="n">
        <v>45632.4334375</v>
      </c>
      <c r="C291" s="1" t="n">
        <v>45999</v>
      </c>
      <c r="D291" t="inlineStr">
        <is>
          <t>UPPSALA LÄN</t>
        </is>
      </c>
      <c r="E291" t="inlineStr">
        <is>
          <t>ENKÖPING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16916-2022</t>
        </is>
      </c>
      <c r="B292" s="1" t="n">
        <v>44676</v>
      </c>
      <c r="C292" s="1" t="n">
        <v>45999</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9667-2024</t>
        </is>
      </c>
      <c r="B293" s="1" t="n">
        <v>45362.45130787037</v>
      </c>
      <c r="C293" s="1" t="n">
        <v>45999</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44115-2024</t>
        </is>
      </c>
      <c r="B294" s="1" t="n">
        <v>45572</v>
      </c>
      <c r="C294" s="1" t="n">
        <v>45999</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18302-2025</t>
        </is>
      </c>
      <c r="B295" s="1" t="n">
        <v>45762</v>
      </c>
      <c r="C295" s="1" t="n">
        <v>45999</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34735-2023</t>
        </is>
      </c>
      <c r="B296" s="1" t="n">
        <v>45139</v>
      </c>
      <c r="C296" s="1" t="n">
        <v>45999</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30514-2021</t>
        </is>
      </c>
      <c r="B297" s="1" t="n">
        <v>44364</v>
      </c>
      <c r="C297" s="1" t="n">
        <v>45999</v>
      </c>
      <c r="D297" t="inlineStr">
        <is>
          <t>UPPSALA LÄN</t>
        </is>
      </c>
      <c r="E297" t="inlineStr">
        <is>
          <t>ENKÖPING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30634-2022</t>
        </is>
      </c>
      <c r="B298" s="1" t="n">
        <v>44763.45711805556</v>
      </c>
      <c r="C298" s="1" t="n">
        <v>45999</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14518-2025</t>
        </is>
      </c>
      <c r="B299" s="1" t="n">
        <v>45741</v>
      </c>
      <c r="C299" s="1" t="n">
        <v>45999</v>
      </c>
      <c r="D299" t="inlineStr">
        <is>
          <t>UPPSALA LÄN</t>
        </is>
      </c>
      <c r="E299" t="inlineStr">
        <is>
          <t>ENKÖPING</t>
        </is>
      </c>
      <c r="G299" t="n">
        <v>2</v>
      </c>
      <c r="H299" t="n">
        <v>0</v>
      </c>
      <c r="I299" t="n">
        <v>0</v>
      </c>
      <c r="J299" t="n">
        <v>0</v>
      </c>
      <c r="K299" t="n">
        <v>0</v>
      </c>
      <c r="L299" t="n">
        <v>0</v>
      </c>
      <c r="M299" t="n">
        <v>0</v>
      </c>
      <c r="N299" t="n">
        <v>0</v>
      </c>
      <c r="O299" t="n">
        <v>0</v>
      </c>
      <c r="P299" t="n">
        <v>0</v>
      </c>
      <c r="Q299" t="n">
        <v>0</v>
      </c>
      <c r="R299" s="2" t="inlineStr"/>
    </row>
    <row r="300" ht="15" customHeight="1">
      <c r="A300" t="inlineStr">
        <is>
          <t>A 3300-2025</t>
        </is>
      </c>
      <c r="B300" s="1" t="n">
        <v>45679</v>
      </c>
      <c r="C300" s="1" t="n">
        <v>45999</v>
      </c>
      <c r="D300" t="inlineStr">
        <is>
          <t>UPPSALA LÄN</t>
        </is>
      </c>
      <c r="E300" t="inlineStr">
        <is>
          <t>ENKÖPING</t>
        </is>
      </c>
      <c r="G300" t="n">
        <v>8.9</v>
      </c>
      <c r="H300" t="n">
        <v>0</v>
      </c>
      <c r="I300" t="n">
        <v>0</v>
      </c>
      <c r="J300" t="n">
        <v>0</v>
      </c>
      <c r="K300" t="n">
        <v>0</v>
      </c>
      <c r="L300" t="n">
        <v>0</v>
      </c>
      <c r="M300" t="n">
        <v>0</v>
      </c>
      <c r="N300" t="n">
        <v>0</v>
      </c>
      <c r="O300" t="n">
        <v>0</v>
      </c>
      <c r="P300" t="n">
        <v>0</v>
      </c>
      <c r="Q300" t="n">
        <v>0</v>
      </c>
      <c r="R300" s="2" t="inlineStr"/>
    </row>
    <row r="301" ht="15" customHeight="1">
      <c r="A301" t="inlineStr">
        <is>
          <t>A 54776-2024</t>
        </is>
      </c>
      <c r="B301" s="1" t="n">
        <v>45618</v>
      </c>
      <c r="C301" s="1" t="n">
        <v>45999</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57209-2024</t>
        </is>
      </c>
      <c r="B302" s="1" t="n">
        <v>45629.49311342592</v>
      </c>
      <c r="C302" s="1" t="n">
        <v>45999</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13110-2023</t>
        </is>
      </c>
      <c r="B303" s="1" t="n">
        <v>45001</v>
      </c>
      <c r="C303" s="1" t="n">
        <v>45999</v>
      </c>
      <c r="D303" t="inlineStr">
        <is>
          <t>UPPSALA LÄN</t>
        </is>
      </c>
      <c r="E303" t="inlineStr">
        <is>
          <t>ENKÖPING</t>
        </is>
      </c>
      <c r="G303" t="n">
        <v>2.5</v>
      </c>
      <c r="H303" t="n">
        <v>0</v>
      </c>
      <c r="I303" t="n">
        <v>0</v>
      </c>
      <c r="J303" t="n">
        <v>0</v>
      </c>
      <c r="K303" t="n">
        <v>0</v>
      </c>
      <c r="L303" t="n">
        <v>0</v>
      </c>
      <c r="M303" t="n">
        <v>0</v>
      </c>
      <c r="N303" t="n">
        <v>0</v>
      </c>
      <c r="O303" t="n">
        <v>0</v>
      </c>
      <c r="P303" t="n">
        <v>0</v>
      </c>
      <c r="Q303" t="n">
        <v>0</v>
      </c>
      <c r="R303" s="2" t="inlineStr"/>
    </row>
    <row r="304" ht="15" customHeight="1">
      <c r="A304" t="inlineStr">
        <is>
          <t>A 49627-2024</t>
        </is>
      </c>
      <c r="B304" s="1" t="n">
        <v>45596.59140046296</v>
      </c>
      <c r="C304" s="1" t="n">
        <v>45999</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9231-2023</t>
        </is>
      </c>
      <c r="B305" s="1" t="n">
        <v>44980</v>
      </c>
      <c r="C305" s="1" t="n">
        <v>45999</v>
      </c>
      <c r="D305" t="inlineStr">
        <is>
          <t>UPPSALA LÄN</t>
        </is>
      </c>
      <c r="E305" t="inlineStr">
        <is>
          <t>ENKÖPING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27538-2023</t>
        </is>
      </c>
      <c r="B306" s="1" t="n">
        <v>45097</v>
      </c>
      <c r="C306" s="1" t="n">
        <v>45999</v>
      </c>
      <c r="D306" t="inlineStr">
        <is>
          <t>UPPSALA LÄN</t>
        </is>
      </c>
      <c r="E306" t="inlineStr">
        <is>
          <t>ENKÖPING</t>
        </is>
      </c>
      <c r="G306" t="n">
        <v>5.8</v>
      </c>
      <c r="H306" t="n">
        <v>0</v>
      </c>
      <c r="I306" t="n">
        <v>0</v>
      </c>
      <c r="J306" t="n">
        <v>0</v>
      </c>
      <c r="K306" t="n">
        <v>0</v>
      </c>
      <c r="L306" t="n">
        <v>0</v>
      </c>
      <c r="M306" t="n">
        <v>0</v>
      </c>
      <c r="N306" t="n">
        <v>0</v>
      </c>
      <c r="O306" t="n">
        <v>0</v>
      </c>
      <c r="P306" t="n">
        <v>0</v>
      </c>
      <c r="Q306" t="n">
        <v>0</v>
      </c>
      <c r="R306" s="2" t="inlineStr"/>
    </row>
    <row r="307" ht="15" customHeight="1">
      <c r="A307" t="inlineStr">
        <is>
          <t>A 22150-2025</t>
        </is>
      </c>
      <c r="B307" s="1" t="n">
        <v>45785.56398148148</v>
      </c>
      <c r="C307" s="1" t="n">
        <v>45999</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18821-2023</t>
        </is>
      </c>
      <c r="B308" s="1" t="n">
        <v>45044.3782175926</v>
      </c>
      <c r="C308" s="1" t="n">
        <v>45999</v>
      </c>
      <c r="D308" t="inlineStr">
        <is>
          <t>UPPSALA LÄN</t>
        </is>
      </c>
      <c r="E308" t="inlineStr">
        <is>
          <t>ENKÖPING</t>
        </is>
      </c>
      <c r="G308" t="n">
        <v>6</v>
      </c>
      <c r="H308" t="n">
        <v>0</v>
      </c>
      <c r="I308" t="n">
        <v>0</v>
      </c>
      <c r="J308" t="n">
        <v>0</v>
      </c>
      <c r="K308" t="n">
        <v>0</v>
      </c>
      <c r="L308" t="n">
        <v>0</v>
      </c>
      <c r="M308" t="n">
        <v>0</v>
      </c>
      <c r="N308" t="n">
        <v>0</v>
      </c>
      <c r="O308" t="n">
        <v>0</v>
      </c>
      <c r="P308" t="n">
        <v>0</v>
      </c>
      <c r="Q308" t="n">
        <v>0</v>
      </c>
      <c r="R308" s="2" t="inlineStr"/>
    </row>
    <row r="309" ht="15" customHeight="1">
      <c r="A309" t="inlineStr">
        <is>
          <t>A 51120-2023</t>
        </is>
      </c>
      <c r="B309" s="1" t="n">
        <v>45219.3088425926</v>
      </c>
      <c r="C309" s="1" t="n">
        <v>45999</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52380-2024</t>
        </is>
      </c>
      <c r="B310" s="1" t="n">
        <v>45609</v>
      </c>
      <c r="C310" s="1" t="n">
        <v>45999</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9041-2023</t>
        </is>
      </c>
      <c r="B311" s="1" t="n">
        <v>44979</v>
      </c>
      <c r="C311" s="1" t="n">
        <v>45999</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27786-2023</t>
        </is>
      </c>
      <c r="B312" s="1" t="n">
        <v>45098</v>
      </c>
      <c r="C312" s="1" t="n">
        <v>45999</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26319-2022</t>
        </is>
      </c>
      <c r="B313" s="1" t="n">
        <v>44735</v>
      </c>
      <c r="C313" s="1" t="n">
        <v>45999</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54357-2023</t>
        </is>
      </c>
      <c r="B314" s="1" t="n">
        <v>45225</v>
      </c>
      <c r="C314" s="1" t="n">
        <v>45999</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4203-2021</t>
        </is>
      </c>
      <c r="B315" s="1" t="n">
        <v>44223</v>
      </c>
      <c r="C315" s="1" t="n">
        <v>45999</v>
      </c>
      <c r="D315" t="inlineStr">
        <is>
          <t>UPPSALA LÄN</t>
        </is>
      </c>
      <c r="E315" t="inlineStr">
        <is>
          <t>ENKÖPING</t>
        </is>
      </c>
      <c r="G315" t="n">
        <v>11.6</v>
      </c>
      <c r="H315" t="n">
        <v>0</v>
      </c>
      <c r="I315" t="n">
        <v>0</v>
      </c>
      <c r="J315" t="n">
        <v>0</v>
      </c>
      <c r="K315" t="n">
        <v>0</v>
      </c>
      <c r="L315" t="n">
        <v>0</v>
      </c>
      <c r="M315" t="n">
        <v>0</v>
      </c>
      <c r="N315" t="n">
        <v>0</v>
      </c>
      <c r="O315" t="n">
        <v>0</v>
      </c>
      <c r="P315" t="n">
        <v>0</v>
      </c>
      <c r="Q315" t="n">
        <v>0</v>
      </c>
      <c r="R315" s="2" t="inlineStr"/>
    </row>
    <row r="316" ht="15" customHeight="1">
      <c r="A316" t="inlineStr">
        <is>
          <t>A 15942-2022</t>
        </is>
      </c>
      <c r="B316" s="1" t="n">
        <v>44664</v>
      </c>
      <c r="C316" s="1" t="n">
        <v>45999</v>
      </c>
      <c r="D316" t="inlineStr">
        <is>
          <t>UPPSALA LÄN</t>
        </is>
      </c>
      <c r="E316" t="inlineStr">
        <is>
          <t>ENKÖPING</t>
        </is>
      </c>
      <c r="G316" t="n">
        <v>6.6</v>
      </c>
      <c r="H316" t="n">
        <v>0</v>
      </c>
      <c r="I316" t="n">
        <v>0</v>
      </c>
      <c r="J316" t="n">
        <v>0</v>
      </c>
      <c r="K316" t="n">
        <v>0</v>
      </c>
      <c r="L316" t="n">
        <v>0</v>
      </c>
      <c r="M316" t="n">
        <v>0</v>
      </c>
      <c r="N316" t="n">
        <v>0</v>
      </c>
      <c r="O316" t="n">
        <v>0</v>
      </c>
      <c r="P316" t="n">
        <v>0</v>
      </c>
      <c r="Q316" t="n">
        <v>0</v>
      </c>
      <c r="R316" s="2" t="inlineStr"/>
    </row>
    <row r="317" ht="15" customHeight="1">
      <c r="A317" t="inlineStr">
        <is>
          <t>A 13816-2021</t>
        </is>
      </c>
      <c r="B317" s="1" t="n">
        <v>44276</v>
      </c>
      <c r="C317" s="1" t="n">
        <v>45999</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50006-2023</t>
        </is>
      </c>
      <c r="B318" s="1" t="n">
        <v>45215</v>
      </c>
      <c r="C318" s="1" t="n">
        <v>45999</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63402-2023</t>
        </is>
      </c>
      <c r="B319" s="1" t="n">
        <v>45274.50646990741</v>
      </c>
      <c r="C319" s="1" t="n">
        <v>45999</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53607-2023</t>
        </is>
      </c>
      <c r="B320" s="1" t="n">
        <v>45230</v>
      </c>
      <c r="C320" s="1" t="n">
        <v>45999</v>
      </c>
      <c r="D320" t="inlineStr">
        <is>
          <t>UPPSALA LÄN</t>
        </is>
      </c>
      <c r="E320" t="inlineStr">
        <is>
          <t>ENKÖPING</t>
        </is>
      </c>
      <c r="F320" t="inlineStr">
        <is>
          <t>Allmännings- och besparingsskogar</t>
        </is>
      </c>
      <c r="G320" t="n">
        <v>6.3</v>
      </c>
      <c r="H320" t="n">
        <v>0</v>
      </c>
      <c r="I320" t="n">
        <v>0</v>
      </c>
      <c r="J320" t="n">
        <v>0</v>
      </c>
      <c r="K320" t="n">
        <v>0</v>
      </c>
      <c r="L320" t="n">
        <v>0</v>
      </c>
      <c r="M320" t="n">
        <v>0</v>
      </c>
      <c r="N320" t="n">
        <v>0</v>
      </c>
      <c r="O320" t="n">
        <v>0</v>
      </c>
      <c r="P320" t="n">
        <v>0</v>
      </c>
      <c r="Q320" t="n">
        <v>0</v>
      </c>
      <c r="R320" s="2" t="inlineStr"/>
    </row>
    <row r="321" ht="15" customHeight="1">
      <c r="A321" t="inlineStr">
        <is>
          <t>A 59497-2022</t>
        </is>
      </c>
      <c r="B321" s="1" t="n">
        <v>44907.48258101852</v>
      </c>
      <c r="C321" s="1" t="n">
        <v>45999</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53208-2023</t>
        </is>
      </c>
      <c r="B322" s="1" t="n">
        <v>45226</v>
      </c>
      <c r="C322" s="1" t="n">
        <v>45999</v>
      </c>
      <c r="D322" t="inlineStr">
        <is>
          <t>UPPSALA LÄN</t>
        </is>
      </c>
      <c r="E322" t="inlineStr">
        <is>
          <t>ENKÖPING</t>
        </is>
      </c>
      <c r="G322" t="n">
        <v>4.3</v>
      </c>
      <c r="H322" t="n">
        <v>0</v>
      </c>
      <c r="I322" t="n">
        <v>0</v>
      </c>
      <c r="J322" t="n">
        <v>0</v>
      </c>
      <c r="K322" t="n">
        <v>0</v>
      </c>
      <c r="L322" t="n">
        <v>0</v>
      </c>
      <c r="M322" t="n">
        <v>0</v>
      </c>
      <c r="N322" t="n">
        <v>0</v>
      </c>
      <c r="O322" t="n">
        <v>0</v>
      </c>
      <c r="P322" t="n">
        <v>0</v>
      </c>
      <c r="Q322" t="n">
        <v>0</v>
      </c>
      <c r="R322" s="2" t="inlineStr"/>
    </row>
    <row r="323" ht="15" customHeight="1">
      <c r="A323" t="inlineStr">
        <is>
          <t>A 49614-2024</t>
        </is>
      </c>
      <c r="B323" s="1" t="n">
        <v>45596.57716435185</v>
      </c>
      <c r="C323" s="1" t="n">
        <v>45999</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49632-2024</t>
        </is>
      </c>
      <c r="B324" s="1" t="n">
        <v>45596</v>
      </c>
      <c r="C324" s="1" t="n">
        <v>45999</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51030-2024</t>
        </is>
      </c>
      <c r="B325" s="1" t="n">
        <v>45603</v>
      </c>
      <c r="C325" s="1" t="n">
        <v>45999</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15405-2025</t>
        </is>
      </c>
      <c r="B326" s="1" t="n">
        <v>45747.44670138889</v>
      </c>
      <c r="C326" s="1" t="n">
        <v>45999</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21501-2025</t>
        </is>
      </c>
      <c r="B327" s="1" t="n">
        <v>45782</v>
      </c>
      <c r="C327" s="1" t="n">
        <v>45999</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18259-2025</t>
        </is>
      </c>
      <c r="B328" s="1" t="n">
        <v>45762</v>
      </c>
      <c r="C328" s="1" t="n">
        <v>45999</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34987-2025</t>
        </is>
      </c>
      <c r="B329" s="1" t="n">
        <v>45849</v>
      </c>
      <c r="C329" s="1" t="n">
        <v>45999</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34988-2025</t>
        </is>
      </c>
      <c r="B330" s="1" t="n">
        <v>45849</v>
      </c>
      <c r="C330" s="1" t="n">
        <v>45999</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45999</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36350-2025</t>
        </is>
      </c>
      <c r="B332" s="1" t="n">
        <v>45868</v>
      </c>
      <c r="C332" s="1" t="n">
        <v>45999</v>
      </c>
      <c r="D332" t="inlineStr">
        <is>
          <t>UPPSALA LÄN</t>
        </is>
      </c>
      <c r="E332" t="inlineStr">
        <is>
          <t>ENKÖPING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25989-2025</t>
        </is>
      </c>
      <c r="B333" s="1" t="n">
        <v>45804.65050925926</v>
      </c>
      <c r="C333" s="1" t="n">
        <v>45999</v>
      </c>
      <c r="D333" t="inlineStr">
        <is>
          <t>UPPSALA LÄN</t>
        </is>
      </c>
      <c r="E333" t="inlineStr">
        <is>
          <t>ENKÖPING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36599-2025</t>
        </is>
      </c>
      <c r="B334" s="1" t="n">
        <v>45870.51723379629</v>
      </c>
      <c r="C334" s="1" t="n">
        <v>45999</v>
      </c>
      <c r="D334" t="inlineStr">
        <is>
          <t>UPPSALA LÄN</t>
        </is>
      </c>
      <c r="E334" t="inlineStr">
        <is>
          <t>ENKÖPING</t>
        </is>
      </c>
      <c r="G334" t="n">
        <v>5.9</v>
      </c>
      <c r="H334" t="n">
        <v>0</v>
      </c>
      <c r="I334" t="n">
        <v>0</v>
      </c>
      <c r="J334" t="n">
        <v>0</v>
      </c>
      <c r="K334" t="n">
        <v>0</v>
      </c>
      <c r="L334" t="n">
        <v>0</v>
      </c>
      <c r="M334" t="n">
        <v>0</v>
      </c>
      <c r="N334" t="n">
        <v>0</v>
      </c>
      <c r="O334" t="n">
        <v>0</v>
      </c>
      <c r="P334" t="n">
        <v>0</v>
      </c>
      <c r="Q334" t="n">
        <v>0</v>
      </c>
      <c r="R334" s="2" t="inlineStr"/>
    </row>
    <row r="335" ht="15" customHeight="1">
      <c r="A335" t="inlineStr">
        <is>
          <t>A 36492-2025</t>
        </is>
      </c>
      <c r="B335" s="1" t="n">
        <v>45869</v>
      </c>
      <c r="C335" s="1" t="n">
        <v>45999</v>
      </c>
      <c r="D335" t="inlineStr">
        <is>
          <t>UPPSALA LÄN</t>
        </is>
      </c>
      <c r="E335" t="inlineStr">
        <is>
          <t>ENKÖPING</t>
        </is>
      </c>
      <c r="G335" t="n">
        <v>6.3</v>
      </c>
      <c r="H335" t="n">
        <v>0</v>
      </c>
      <c r="I335" t="n">
        <v>0</v>
      </c>
      <c r="J335" t="n">
        <v>0</v>
      </c>
      <c r="K335" t="n">
        <v>0</v>
      </c>
      <c r="L335" t="n">
        <v>0</v>
      </c>
      <c r="M335" t="n">
        <v>0</v>
      </c>
      <c r="N335" t="n">
        <v>0</v>
      </c>
      <c r="O335" t="n">
        <v>0</v>
      </c>
      <c r="P335" t="n">
        <v>0</v>
      </c>
      <c r="Q335" t="n">
        <v>0</v>
      </c>
      <c r="R335" s="2" t="inlineStr"/>
    </row>
    <row r="336" ht="15" customHeight="1">
      <c r="A336" t="inlineStr">
        <is>
          <t>A 22156-2025</t>
        </is>
      </c>
      <c r="B336" s="1" t="n">
        <v>45785.57512731481</v>
      </c>
      <c r="C336" s="1" t="n">
        <v>45999</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30087-2024</t>
        </is>
      </c>
      <c r="B337" s="1" t="n">
        <v>45489.39447916667</v>
      </c>
      <c r="C337" s="1" t="n">
        <v>45999</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22677-2025</t>
        </is>
      </c>
      <c r="B338" s="1" t="n">
        <v>45789.49515046296</v>
      </c>
      <c r="C338" s="1" t="n">
        <v>45999</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22679-2025</t>
        </is>
      </c>
      <c r="B339" s="1" t="n">
        <v>45789.49747685185</v>
      </c>
      <c r="C339" s="1" t="n">
        <v>45999</v>
      </c>
      <c r="D339" t="inlineStr">
        <is>
          <t>UPPSALA LÄN</t>
        </is>
      </c>
      <c r="E339" t="inlineStr">
        <is>
          <t>ENKÖPING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22729-2025</t>
        </is>
      </c>
      <c r="B340" s="1" t="n">
        <v>45789.57790509259</v>
      </c>
      <c r="C340" s="1" t="n">
        <v>45999</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22786-2025</t>
        </is>
      </c>
      <c r="B341" s="1" t="n">
        <v>45789.64643518518</v>
      </c>
      <c r="C341" s="1" t="n">
        <v>45999</v>
      </c>
      <c r="D341" t="inlineStr">
        <is>
          <t>UPPSALA LÄN</t>
        </is>
      </c>
      <c r="E341" t="inlineStr">
        <is>
          <t>ENKÖPING</t>
        </is>
      </c>
      <c r="G341" t="n">
        <v>0.9</v>
      </c>
      <c r="H341" t="n">
        <v>0</v>
      </c>
      <c r="I341" t="n">
        <v>0</v>
      </c>
      <c r="J341" t="n">
        <v>0</v>
      </c>
      <c r="K341" t="n">
        <v>0</v>
      </c>
      <c r="L341" t="n">
        <v>0</v>
      </c>
      <c r="M341" t="n">
        <v>0</v>
      </c>
      <c r="N341" t="n">
        <v>0</v>
      </c>
      <c r="O341" t="n">
        <v>0</v>
      </c>
      <c r="P341" t="n">
        <v>0</v>
      </c>
      <c r="Q341" t="n">
        <v>0</v>
      </c>
      <c r="R341" s="2" t="inlineStr"/>
    </row>
    <row r="342" ht="15" customHeight="1">
      <c r="A342" t="inlineStr">
        <is>
          <t>A 22795-2025</t>
        </is>
      </c>
      <c r="B342" s="1" t="n">
        <v>45789.65944444444</v>
      </c>
      <c r="C342" s="1" t="n">
        <v>45999</v>
      </c>
      <c r="D342" t="inlineStr">
        <is>
          <t>UPPSALA LÄN</t>
        </is>
      </c>
      <c r="E342" t="inlineStr">
        <is>
          <t>ENKÖPING</t>
        </is>
      </c>
      <c r="G342" t="n">
        <v>10.4</v>
      </c>
      <c r="H342" t="n">
        <v>0</v>
      </c>
      <c r="I342" t="n">
        <v>0</v>
      </c>
      <c r="J342" t="n">
        <v>0</v>
      </c>
      <c r="K342" t="n">
        <v>0</v>
      </c>
      <c r="L342" t="n">
        <v>0</v>
      </c>
      <c r="M342" t="n">
        <v>0</v>
      </c>
      <c r="N342" t="n">
        <v>0</v>
      </c>
      <c r="O342" t="n">
        <v>0</v>
      </c>
      <c r="P342" t="n">
        <v>0</v>
      </c>
      <c r="Q342" t="n">
        <v>0</v>
      </c>
      <c r="R342" s="2" t="inlineStr"/>
    </row>
    <row r="343" ht="15" customHeight="1">
      <c r="A343" t="inlineStr">
        <is>
          <t>A 22802-2025</t>
        </is>
      </c>
      <c r="B343" s="1" t="n">
        <v>45789.6686574074</v>
      </c>
      <c r="C343" s="1" t="n">
        <v>45999</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43506-2023</t>
        </is>
      </c>
      <c r="B344" s="1" t="n">
        <v>45181</v>
      </c>
      <c r="C344" s="1" t="n">
        <v>45999</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22680-2025</t>
        </is>
      </c>
      <c r="B345" s="1" t="n">
        <v>45789.5005787037</v>
      </c>
      <c r="C345" s="1" t="n">
        <v>45999</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69344-2021</t>
        </is>
      </c>
      <c r="B346" s="1" t="n">
        <v>44531</v>
      </c>
      <c r="C346" s="1" t="n">
        <v>45999</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6981-2025</t>
        </is>
      </c>
      <c r="B347" s="1" t="n">
        <v>45701</v>
      </c>
      <c r="C347" s="1" t="n">
        <v>45999</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37319-2025</t>
        </is>
      </c>
      <c r="B348" s="1" t="n">
        <v>45876</v>
      </c>
      <c r="C348" s="1" t="n">
        <v>45999</v>
      </c>
      <c r="D348" t="inlineStr">
        <is>
          <t>UPPSALA LÄN</t>
        </is>
      </c>
      <c r="E348" t="inlineStr">
        <is>
          <t>ENKÖPING</t>
        </is>
      </c>
      <c r="G348" t="n">
        <v>9.5</v>
      </c>
      <c r="H348" t="n">
        <v>0</v>
      </c>
      <c r="I348" t="n">
        <v>0</v>
      </c>
      <c r="J348" t="n">
        <v>0</v>
      </c>
      <c r="K348" t="n">
        <v>0</v>
      </c>
      <c r="L348" t="n">
        <v>0</v>
      </c>
      <c r="M348" t="n">
        <v>0</v>
      </c>
      <c r="N348" t="n">
        <v>0</v>
      </c>
      <c r="O348" t="n">
        <v>0</v>
      </c>
      <c r="P348" t="n">
        <v>0</v>
      </c>
      <c r="Q348" t="n">
        <v>0</v>
      </c>
      <c r="R348" s="2" t="inlineStr"/>
    </row>
    <row r="349" ht="15" customHeight="1">
      <c r="A349" t="inlineStr">
        <is>
          <t>A 37296-2025</t>
        </is>
      </c>
      <c r="B349" s="1" t="n">
        <v>45876</v>
      </c>
      <c r="C349" s="1" t="n">
        <v>45999</v>
      </c>
      <c r="D349" t="inlineStr">
        <is>
          <t>UPPSALA LÄN</t>
        </is>
      </c>
      <c r="E349" t="inlineStr">
        <is>
          <t>ENKÖPING</t>
        </is>
      </c>
      <c r="G349" t="n">
        <v>9.5</v>
      </c>
      <c r="H349" t="n">
        <v>0</v>
      </c>
      <c r="I349" t="n">
        <v>0</v>
      </c>
      <c r="J349" t="n">
        <v>0</v>
      </c>
      <c r="K349" t="n">
        <v>0</v>
      </c>
      <c r="L349" t="n">
        <v>0</v>
      </c>
      <c r="M349" t="n">
        <v>0</v>
      </c>
      <c r="N349" t="n">
        <v>0</v>
      </c>
      <c r="O349" t="n">
        <v>0</v>
      </c>
      <c r="P349" t="n">
        <v>0</v>
      </c>
      <c r="Q349" t="n">
        <v>0</v>
      </c>
      <c r="R349" s="2" t="inlineStr"/>
    </row>
    <row r="350" ht="15" customHeight="1">
      <c r="A350" t="inlineStr">
        <is>
          <t>A 22770-2025</t>
        </is>
      </c>
      <c r="B350" s="1" t="n">
        <v>45789.63454861111</v>
      </c>
      <c r="C350" s="1" t="n">
        <v>45999</v>
      </c>
      <c r="D350" t="inlineStr">
        <is>
          <t>UPPSALA LÄN</t>
        </is>
      </c>
      <c r="E350" t="inlineStr">
        <is>
          <t>ENKÖPING</t>
        </is>
      </c>
      <c r="G350" t="n">
        <v>4.5</v>
      </c>
      <c r="H350" t="n">
        <v>0</v>
      </c>
      <c r="I350" t="n">
        <v>0</v>
      </c>
      <c r="J350" t="n">
        <v>0</v>
      </c>
      <c r="K350" t="n">
        <v>0</v>
      </c>
      <c r="L350" t="n">
        <v>0</v>
      </c>
      <c r="M350" t="n">
        <v>0</v>
      </c>
      <c r="N350" t="n">
        <v>0</v>
      </c>
      <c r="O350" t="n">
        <v>0</v>
      </c>
      <c r="P350" t="n">
        <v>0</v>
      </c>
      <c r="Q350" t="n">
        <v>0</v>
      </c>
      <c r="R350" s="2" t="inlineStr"/>
    </row>
    <row r="351" ht="15" customHeight="1">
      <c r="A351" t="inlineStr">
        <is>
          <t>A 22725-2025</t>
        </is>
      </c>
      <c r="B351" s="1" t="n">
        <v>45789.57371527778</v>
      </c>
      <c r="C351" s="1" t="n">
        <v>45999</v>
      </c>
      <c r="D351" t="inlineStr">
        <is>
          <t>UPPSALA LÄN</t>
        </is>
      </c>
      <c r="E351" t="inlineStr">
        <is>
          <t>ENKÖPING</t>
        </is>
      </c>
      <c r="G351" t="n">
        <v>4.8</v>
      </c>
      <c r="H351" t="n">
        <v>0</v>
      </c>
      <c r="I351" t="n">
        <v>0</v>
      </c>
      <c r="J351" t="n">
        <v>0</v>
      </c>
      <c r="K351" t="n">
        <v>0</v>
      </c>
      <c r="L351" t="n">
        <v>0</v>
      </c>
      <c r="M351" t="n">
        <v>0</v>
      </c>
      <c r="N351" t="n">
        <v>0</v>
      </c>
      <c r="O351" t="n">
        <v>0</v>
      </c>
      <c r="P351" t="n">
        <v>0</v>
      </c>
      <c r="Q351" t="n">
        <v>0</v>
      </c>
      <c r="R351" s="2" t="inlineStr"/>
    </row>
    <row r="352" ht="15" customHeight="1">
      <c r="A352" t="inlineStr">
        <is>
          <t>A 22981-2025</t>
        </is>
      </c>
      <c r="B352" s="1" t="n">
        <v>45790.56964120371</v>
      </c>
      <c r="C352" s="1" t="n">
        <v>45999</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68123-2021</t>
        </is>
      </c>
      <c r="B353" s="1" t="n">
        <v>44526.39126157408</v>
      </c>
      <c r="C353" s="1" t="n">
        <v>45999</v>
      </c>
      <c r="D353" t="inlineStr">
        <is>
          <t>UPPSALA LÄN</t>
        </is>
      </c>
      <c r="E353" t="inlineStr">
        <is>
          <t>ENKÖPING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22793-2025</t>
        </is>
      </c>
      <c r="B354" s="1" t="n">
        <v>45789.65693287037</v>
      </c>
      <c r="C354" s="1" t="n">
        <v>45999</v>
      </c>
      <c r="D354" t="inlineStr">
        <is>
          <t>UPPSALA LÄN</t>
        </is>
      </c>
      <c r="E354" t="inlineStr">
        <is>
          <t>ENKÖPING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14004-2023</t>
        </is>
      </c>
      <c r="B355" s="1" t="n">
        <v>45008</v>
      </c>
      <c r="C355" s="1" t="n">
        <v>45999</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22800-2025</t>
        </is>
      </c>
      <c r="B356" s="1" t="n">
        <v>45789.6669212963</v>
      </c>
      <c r="C356" s="1" t="n">
        <v>45999</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37498-2025</t>
        </is>
      </c>
      <c r="B357" s="1" t="n">
        <v>45877</v>
      </c>
      <c r="C357" s="1" t="n">
        <v>45999</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51012-2024</t>
        </is>
      </c>
      <c r="B358" s="1" t="n">
        <v>45603.39686342593</v>
      </c>
      <c r="C358" s="1" t="n">
        <v>45999</v>
      </c>
      <c r="D358" t="inlineStr">
        <is>
          <t>UPPSALA LÄN</t>
        </is>
      </c>
      <c r="E358" t="inlineStr">
        <is>
          <t>ENKÖPING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49622-2024</t>
        </is>
      </c>
      <c r="B359" s="1" t="n">
        <v>45596.58372685185</v>
      </c>
      <c r="C359" s="1" t="n">
        <v>45999</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38941-2025</t>
        </is>
      </c>
      <c r="B360" s="1" t="n">
        <v>45887</v>
      </c>
      <c r="C360" s="1" t="n">
        <v>45999</v>
      </c>
      <c r="D360" t="inlineStr">
        <is>
          <t>UPPSALA LÄN</t>
        </is>
      </c>
      <c r="E360" t="inlineStr">
        <is>
          <t>ENKÖPING</t>
        </is>
      </c>
      <c r="F360" t="inlineStr">
        <is>
          <t>Övriga statliga verk och myndigheter</t>
        </is>
      </c>
      <c r="G360" t="n">
        <v>0.6</v>
      </c>
      <c r="H360" t="n">
        <v>0</v>
      </c>
      <c r="I360" t="n">
        <v>0</v>
      </c>
      <c r="J360" t="n">
        <v>0</v>
      </c>
      <c r="K360" t="n">
        <v>0</v>
      </c>
      <c r="L360" t="n">
        <v>0</v>
      </c>
      <c r="M360" t="n">
        <v>0</v>
      </c>
      <c r="N360" t="n">
        <v>0</v>
      </c>
      <c r="O360" t="n">
        <v>0</v>
      </c>
      <c r="P360" t="n">
        <v>0</v>
      </c>
      <c r="Q360" t="n">
        <v>0</v>
      </c>
      <c r="R360" s="2" t="inlineStr"/>
    </row>
    <row r="361" ht="15" customHeight="1">
      <c r="A361" t="inlineStr">
        <is>
          <t>A 21017-2023</t>
        </is>
      </c>
      <c r="B361" s="1" t="n">
        <v>45061</v>
      </c>
      <c r="C361" s="1" t="n">
        <v>45999</v>
      </c>
      <c r="D361" t="inlineStr">
        <is>
          <t>UPPSALA LÄN</t>
        </is>
      </c>
      <c r="E361" t="inlineStr">
        <is>
          <t>ENKÖPING</t>
        </is>
      </c>
      <c r="G361" t="n">
        <v>4.8</v>
      </c>
      <c r="H361" t="n">
        <v>0</v>
      </c>
      <c r="I361" t="n">
        <v>0</v>
      </c>
      <c r="J361" t="n">
        <v>0</v>
      </c>
      <c r="K361" t="n">
        <v>0</v>
      </c>
      <c r="L361" t="n">
        <v>0</v>
      </c>
      <c r="M361" t="n">
        <v>0</v>
      </c>
      <c r="N361" t="n">
        <v>0</v>
      </c>
      <c r="O361" t="n">
        <v>0</v>
      </c>
      <c r="P361" t="n">
        <v>0</v>
      </c>
      <c r="Q361" t="n">
        <v>0</v>
      </c>
      <c r="R361" s="2" t="inlineStr"/>
    </row>
    <row r="362" ht="15" customHeight="1">
      <c r="A362" t="inlineStr">
        <is>
          <t>A 55567-2025</t>
        </is>
      </c>
      <c r="B362" s="1" t="n">
        <v>45971.65589120371</v>
      </c>
      <c r="C362" s="1" t="n">
        <v>45999</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47441-2025</t>
        </is>
      </c>
      <c r="B363" s="1" t="n">
        <v>45930.63986111111</v>
      </c>
      <c r="C363" s="1" t="n">
        <v>45999</v>
      </c>
      <c r="D363" t="inlineStr">
        <is>
          <t>UPPSALA LÄN</t>
        </is>
      </c>
      <c r="E363" t="inlineStr">
        <is>
          <t>ENKÖPING</t>
        </is>
      </c>
      <c r="F363" t="inlineStr">
        <is>
          <t>Allmännings- och besparingsskogar</t>
        </is>
      </c>
      <c r="G363" t="n">
        <v>11.5</v>
      </c>
      <c r="H363" t="n">
        <v>0</v>
      </c>
      <c r="I363" t="n">
        <v>0</v>
      </c>
      <c r="J363" t="n">
        <v>0</v>
      </c>
      <c r="K363" t="n">
        <v>0</v>
      </c>
      <c r="L363" t="n">
        <v>0</v>
      </c>
      <c r="M363" t="n">
        <v>0</v>
      </c>
      <c r="N363" t="n">
        <v>0</v>
      </c>
      <c r="O363" t="n">
        <v>0</v>
      </c>
      <c r="P363" t="n">
        <v>0</v>
      </c>
      <c r="Q363" t="n">
        <v>0</v>
      </c>
      <c r="R363" s="2" t="inlineStr"/>
    </row>
    <row r="364" ht="15" customHeight="1">
      <c r="A364" t="inlineStr">
        <is>
          <t>A 46940-2025</t>
        </is>
      </c>
      <c r="B364" s="1" t="n">
        <v>45929.45483796296</v>
      </c>
      <c r="C364" s="1" t="n">
        <v>45999</v>
      </c>
      <c r="D364" t="inlineStr">
        <is>
          <t>UPPSALA LÄN</t>
        </is>
      </c>
      <c r="E364" t="inlineStr">
        <is>
          <t>ENKÖPING</t>
        </is>
      </c>
      <c r="G364" t="n">
        <v>5.3</v>
      </c>
      <c r="H364" t="n">
        <v>0</v>
      </c>
      <c r="I364" t="n">
        <v>0</v>
      </c>
      <c r="J364" t="n">
        <v>0</v>
      </c>
      <c r="K364" t="n">
        <v>0</v>
      </c>
      <c r="L364" t="n">
        <v>0</v>
      </c>
      <c r="M364" t="n">
        <v>0</v>
      </c>
      <c r="N364" t="n">
        <v>0</v>
      </c>
      <c r="O364" t="n">
        <v>0</v>
      </c>
      <c r="P364" t="n">
        <v>0</v>
      </c>
      <c r="Q364" t="n">
        <v>0</v>
      </c>
      <c r="R364" s="2" t="inlineStr"/>
    </row>
    <row r="365" ht="15" customHeight="1">
      <c r="A365" t="inlineStr">
        <is>
          <t>A 39746-2025</t>
        </is>
      </c>
      <c r="B365" s="1" t="n">
        <v>45891</v>
      </c>
      <c r="C365" s="1" t="n">
        <v>45999</v>
      </c>
      <c r="D365" t="inlineStr">
        <is>
          <t>UPPSALA LÄN</t>
        </is>
      </c>
      <c r="E365" t="inlineStr">
        <is>
          <t>ENKÖPING</t>
        </is>
      </c>
      <c r="G365" t="n">
        <v>7.4</v>
      </c>
      <c r="H365" t="n">
        <v>0</v>
      </c>
      <c r="I365" t="n">
        <v>0</v>
      </c>
      <c r="J365" t="n">
        <v>0</v>
      </c>
      <c r="K365" t="n">
        <v>0</v>
      </c>
      <c r="L365" t="n">
        <v>0</v>
      </c>
      <c r="M365" t="n">
        <v>0</v>
      </c>
      <c r="N365" t="n">
        <v>0</v>
      </c>
      <c r="O365" t="n">
        <v>0</v>
      </c>
      <c r="P365" t="n">
        <v>0</v>
      </c>
      <c r="Q365" t="n">
        <v>0</v>
      </c>
      <c r="R365" s="2" t="inlineStr"/>
    </row>
    <row r="366" ht="15" customHeight="1">
      <c r="A366" t="inlineStr">
        <is>
          <t>A 41618-2025</t>
        </is>
      </c>
      <c r="B366" s="1" t="n">
        <v>45901.70085648148</v>
      </c>
      <c r="C366" s="1" t="n">
        <v>45999</v>
      </c>
      <c r="D366" t="inlineStr">
        <is>
          <t>UPPSALA LÄN</t>
        </is>
      </c>
      <c r="E366" t="inlineStr">
        <is>
          <t>ENKÖPING</t>
        </is>
      </c>
      <c r="F366" t="inlineStr">
        <is>
          <t>Allmännings- och besparingsskogar</t>
        </is>
      </c>
      <c r="G366" t="n">
        <v>5.3</v>
      </c>
      <c r="H366" t="n">
        <v>0</v>
      </c>
      <c r="I366" t="n">
        <v>0</v>
      </c>
      <c r="J366" t="n">
        <v>0</v>
      </c>
      <c r="K366" t="n">
        <v>0</v>
      </c>
      <c r="L366" t="n">
        <v>0</v>
      </c>
      <c r="M366" t="n">
        <v>0</v>
      </c>
      <c r="N366" t="n">
        <v>0</v>
      </c>
      <c r="O366" t="n">
        <v>0</v>
      </c>
      <c r="P366" t="n">
        <v>0</v>
      </c>
      <c r="Q366" t="n">
        <v>0</v>
      </c>
      <c r="R366" s="2" t="inlineStr"/>
    </row>
    <row r="367" ht="15" customHeight="1">
      <c r="A367" t="inlineStr">
        <is>
          <t>A 56625-2025</t>
        </is>
      </c>
      <c r="B367" s="1" t="n">
        <v>45975.60608796297</v>
      </c>
      <c r="C367" s="1" t="n">
        <v>45999</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41765-2025</t>
        </is>
      </c>
      <c r="B368" s="1" t="n">
        <v>45902</v>
      </c>
      <c r="C368" s="1" t="n">
        <v>45999</v>
      </c>
      <c r="D368" t="inlineStr">
        <is>
          <t>UPPSALA LÄN</t>
        </is>
      </c>
      <c r="E368" t="inlineStr">
        <is>
          <t>ENKÖPING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41616-2025</t>
        </is>
      </c>
      <c r="B369" s="1" t="n">
        <v>45901.69684027778</v>
      </c>
      <c r="C369" s="1" t="n">
        <v>45999</v>
      </c>
      <c r="D369" t="inlineStr">
        <is>
          <t>UPPSALA LÄN</t>
        </is>
      </c>
      <c r="E369" t="inlineStr">
        <is>
          <t>ENKÖPING</t>
        </is>
      </c>
      <c r="F369" t="inlineStr">
        <is>
          <t>Allmännings- och besparingsskogar</t>
        </is>
      </c>
      <c r="G369" t="n">
        <v>17.3</v>
      </c>
      <c r="H369" t="n">
        <v>0</v>
      </c>
      <c r="I369" t="n">
        <v>0</v>
      </c>
      <c r="J369" t="n">
        <v>0</v>
      </c>
      <c r="K369" t="n">
        <v>0</v>
      </c>
      <c r="L369" t="n">
        <v>0</v>
      </c>
      <c r="M369" t="n">
        <v>0</v>
      </c>
      <c r="N369" t="n">
        <v>0</v>
      </c>
      <c r="O369" t="n">
        <v>0</v>
      </c>
      <c r="P369" t="n">
        <v>0</v>
      </c>
      <c r="Q369" t="n">
        <v>0</v>
      </c>
      <c r="R369" s="2" t="inlineStr"/>
    </row>
    <row r="370" ht="15" customHeight="1">
      <c r="A370" t="inlineStr">
        <is>
          <t>A 41637-2025</t>
        </is>
      </c>
      <c r="B370" s="1" t="n">
        <v>45901</v>
      </c>
      <c r="C370" s="1" t="n">
        <v>45999</v>
      </c>
      <c r="D370" t="inlineStr">
        <is>
          <t>UPPSALA LÄN</t>
        </is>
      </c>
      <c r="E370" t="inlineStr">
        <is>
          <t>ENKÖPING</t>
        </is>
      </c>
      <c r="F370" t="inlineStr">
        <is>
          <t>Allmännings- och besparingsskogar</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47516-2022</t>
        </is>
      </c>
      <c r="B371" s="1" t="n">
        <v>44853.68895833333</v>
      </c>
      <c r="C371" s="1" t="n">
        <v>45999</v>
      </c>
      <c r="D371" t="inlineStr">
        <is>
          <t>UPPSALA LÄN</t>
        </is>
      </c>
      <c r="E371" t="inlineStr">
        <is>
          <t>ENKÖPING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42029-2025</t>
        </is>
      </c>
      <c r="B372" s="1" t="n">
        <v>45903</v>
      </c>
      <c r="C372" s="1" t="n">
        <v>45999</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48423-2025</t>
        </is>
      </c>
      <c r="B373" s="1" t="n">
        <v>45934.68024305555</v>
      </c>
      <c r="C373" s="1" t="n">
        <v>45999</v>
      </c>
      <c r="D373" t="inlineStr">
        <is>
          <t>UPPSALA LÄN</t>
        </is>
      </c>
      <c r="E373" t="inlineStr">
        <is>
          <t>ENKÖPING</t>
        </is>
      </c>
      <c r="G373" t="n">
        <v>4.3</v>
      </c>
      <c r="H373" t="n">
        <v>0</v>
      </c>
      <c r="I373" t="n">
        <v>0</v>
      </c>
      <c r="J373" t="n">
        <v>0</v>
      </c>
      <c r="K373" t="n">
        <v>0</v>
      </c>
      <c r="L373" t="n">
        <v>0</v>
      </c>
      <c r="M373" t="n">
        <v>0</v>
      </c>
      <c r="N373" t="n">
        <v>0</v>
      </c>
      <c r="O373" t="n">
        <v>0</v>
      </c>
      <c r="P373" t="n">
        <v>0</v>
      </c>
      <c r="Q373" t="n">
        <v>0</v>
      </c>
      <c r="R373" s="2" t="inlineStr"/>
    </row>
    <row r="374" ht="15" customHeight="1">
      <c r="A374" t="inlineStr">
        <is>
          <t>A 42756-2025</t>
        </is>
      </c>
      <c r="B374" s="1" t="n">
        <v>45908</v>
      </c>
      <c r="C374" s="1" t="n">
        <v>45999</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48424-2025</t>
        </is>
      </c>
      <c r="B375" s="1" t="n">
        <v>45934.69131944444</v>
      </c>
      <c r="C375" s="1" t="n">
        <v>45999</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41828-2024</t>
        </is>
      </c>
      <c r="B376" s="1" t="n">
        <v>45561</v>
      </c>
      <c r="C376" s="1" t="n">
        <v>45999</v>
      </c>
      <c r="D376" t="inlineStr">
        <is>
          <t>UPPSALA LÄN</t>
        </is>
      </c>
      <c r="E376" t="inlineStr">
        <is>
          <t>ENKÖPING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17729-2023</t>
        </is>
      </c>
      <c r="B377" s="1" t="n">
        <v>45037</v>
      </c>
      <c r="C377" s="1" t="n">
        <v>45999</v>
      </c>
      <c r="D377" t="inlineStr">
        <is>
          <t>UPPSALA LÄN</t>
        </is>
      </c>
      <c r="E377" t="inlineStr">
        <is>
          <t>ENKÖPING</t>
        </is>
      </c>
      <c r="G377" t="n">
        <v>10.2</v>
      </c>
      <c r="H377" t="n">
        <v>0</v>
      </c>
      <c r="I377" t="n">
        <v>0</v>
      </c>
      <c r="J377" t="n">
        <v>0</v>
      </c>
      <c r="K377" t="n">
        <v>0</v>
      </c>
      <c r="L377" t="n">
        <v>0</v>
      </c>
      <c r="M377" t="n">
        <v>0</v>
      </c>
      <c r="N377" t="n">
        <v>0</v>
      </c>
      <c r="O377" t="n">
        <v>0</v>
      </c>
      <c r="P377" t="n">
        <v>0</v>
      </c>
      <c r="Q377" t="n">
        <v>0</v>
      </c>
      <c r="R377" s="2" t="inlineStr"/>
    </row>
    <row r="378" ht="15" customHeight="1">
      <c r="A378" t="inlineStr">
        <is>
          <t>A 5749-2025</t>
        </is>
      </c>
      <c r="B378" s="1" t="n">
        <v>45694</v>
      </c>
      <c r="C378" s="1" t="n">
        <v>45999</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48678-2025</t>
        </is>
      </c>
      <c r="B379" s="1" t="n">
        <v>45936.59168981481</v>
      </c>
      <c r="C379" s="1" t="n">
        <v>45999</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8020-2022</t>
        </is>
      </c>
      <c r="B380" s="1" t="n">
        <v>44609</v>
      </c>
      <c r="C380" s="1" t="n">
        <v>45999</v>
      </c>
      <c r="D380" t="inlineStr">
        <is>
          <t>UPPSALA LÄN</t>
        </is>
      </c>
      <c r="E380" t="inlineStr">
        <is>
          <t>ENKÖPING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34805-2024</t>
        </is>
      </c>
      <c r="B381" s="1" t="n">
        <v>45526</v>
      </c>
      <c r="C381" s="1" t="n">
        <v>45999</v>
      </c>
      <c r="D381" t="inlineStr">
        <is>
          <t>UPPSALA LÄN</t>
        </is>
      </c>
      <c r="E381" t="inlineStr">
        <is>
          <t>ENKÖPING</t>
        </is>
      </c>
      <c r="G381" t="n">
        <v>3.6</v>
      </c>
      <c r="H381" t="n">
        <v>0</v>
      </c>
      <c r="I381" t="n">
        <v>0</v>
      </c>
      <c r="J381" t="n">
        <v>0</v>
      </c>
      <c r="K381" t="n">
        <v>0</v>
      </c>
      <c r="L381" t="n">
        <v>0</v>
      </c>
      <c r="M381" t="n">
        <v>0</v>
      </c>
      <c r="N381" t="n">
        <v>0</v>
      </c>
      <c r="O381" t="n">
        <v>0</v>
      </c>
      <c r="P381" t="n">
        <v>0</v>
      </c>
      <c r="Q381" t="n">
        <v>0</v>
      </c>
      <c r="R381" s="2" t="inlineStr"/>
    </row>
    <row r="382" ht="15" customHeight="1">
      <c r="A382" t="inlineStr">
        <is>
          <t>A 314-2025</t>
        </is>
      </c>
      <c r="B382" s="1" t="n">
        <v>45656</v>
      </c>
      <c r="C382" s="1" t="n">
        <v>45999</v>
      </c>
      <c r="D382" t="inlineStr">
        <is>
          <t>UPPSALA LÄN</t>
        </is>
      </c>
      <c r="E382" t="inlineStr">
        <is>
          <t>ENKÖPING</t>
        </is>
      </c>
      <c r="G382" t="n">
        <v>9</v>
      </c>
      <c r="H382" t="n">
        <v>0</v>
      </c>
      <c r="I382" t="n">
        <v>0</v>
      </c>
      <c r="J382" t="n">
        <v>0</v>
      </c>
      <c r="K382" t="n">
        <v>0</v>
      </c>
      <c r="L382" t="n">
        <v>0</v>
      </c>
      <c r="M382" t="n">
        <v>0</v>
      </c>
      <c r="N382" t="n">
        <v>0</v>
      </c>
      <c r="O382" t="n">
        <v>0</v>
      </c>
      <c r="P382" t="n">
        <v>0</v>
      </c>
      <c r="Q382" t="n">
        <v>0</v>
      </c>
      <c r="R382" s="2" t="inlineStr"/>
    </row>
    <row r="383" ht="15" customHeight="1">
      <c r="A383" t="inlineStr">
        <is>
          <t>A 10831-2024</t>
        </is>
      </c>
      <c r="B383" s="1" t="n">
        <v>45369</v>
      </c>
      <c r="C383" s="1" t="n">
        <v>45999</v>
      </c>
      <c r="D383" t="inlineStr">
        <is>
          <t>UPPSALA LÄN</t>
        </is>
      </c>
      <c r="E383" t="inlineStr">
        <is>
          <t>ENKÖPING</t>
        </is>
      </c>
      <c r="G383" t="n">
        <v>2.9</v>
      </c>
      <c r="H383" t="n">
        <v>0</v>
      </c>
      <c r="I383" t="n">
        <v>0</v>
      </c>
      <c r="J383" t="n">
        <v>0</v>
      </c>
      <c r="K383" t="n">
        <v>0</v>
      </c>
      <c r="L383" t="n">
        <v>0</v>
      </c>
      <c r="M383" t="n">
        <v>0</v>
      </c>
      <c r="N383" t="n">
        <v>0</v>
      </c>
      <c r="O383" t="n">
        <v>0</v>
      </c>
      <c r="P383" t="n">
        <v>0</v>
      </c>
      <c r="Q383" t="n">
        <v>0</v>
      </c>
      <c r="R383" s="2" t="inlineStr"/>
    </row>
    <row r="384" ht="15" customHeight="1">
      <c r="A384" t="inlineStr">
        <is>
          <t>A 5712-2025</t>
        </is>
      </c>
      <c r="B384" s="1" t="n">
        <v>45694</v>
      </c>
      <c r="C384" s="1" t="n">
        <v>45999</v>
      </c>
      <c r="D384" t="inlineStr">
        <is>
          <t>UPPSALA LÄN</t>
        </is>
      </c>
      <c r="E384" t="inlineStr">
        <is>
          <t>ENKÖPING</t>
        </is>
      </c>
      <c r="G384" t="n">
        <v>5.1</v>
      </c>
      <c r="H384" t="n">
        <v>0</v>
      </c>
      <c r="I384" t="n">
        <v>0</v>
      </c>
      <c r="J384" t="n">
        <v>0</v>
      </c>
      <c r="K384" t="n">
        <v>0</v>
      </c>
      <c r="L384" t="n">
        <v>0</v>
      </c>
      <c r="M384" t="n">
        <v>0</v>
      </c>
      <c r="N384" t="n">
        <v>0</v>
      </c>
      <c r="O384" t="n">
        <v>0</v>
      </c>
      <c r="P384" t="n">
        <v>0</v>
      </c>
      <c r="Q384" t="n">
        <v>0</v>
      </c>
      <c r="R384" s="2" t="inlineStr"/>
    </row>
    <row r="385" ht="15" customHeight="1">
      <c r="A385" t="inlineStr">
        <is>
          <t>A 41764-2025</t>
        </is>
      </c>
      <c r="B385" s="1" t="n">
        <v>45902</v>
      </c>
      <c r="C385" s="1" t="n">
        <v>45999</v>
      </c>
      <c r="D385" t="inlineStr">
        <is>
          <t>UPPSALA LÄN</t>
        </is>
      </c>
      <c r="E385" t="inlineStr">
        <is>
          <t>ENKÖPING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51042-2024</t>
        </is>
      </c>
      <c r="B386" s="1" t="n">
        <v>45603.4342824074</v>
      </c>
      <c r="C386" s="1" t="n">
        <v>45999</v>
      </c>
      <c r="D386" t="inlineStr">
        <is>
          <t>UPPSALA LÄN</t>
        </is>
      </c>
      <c r="E386" t="inlineStr">
        <is>
          <t>ENKÖPING</t>
        </is>
      </c>
      <c r="G386" t="n">
        <v>4.6</v>
      </c>
      <c r="H386" t="n">
        <v>0</v>
      </c>
      <c r="I386" t="n">
        <v>0</v>
      </c>
      <c r="J386" t="n">
        <v>0</v>
      </c>
      <c r="K386" t="n">
        <v>0</v>
      </c>
      <c r="L386" t="n">
        <v>0</v>
      </c>
      <c r="M386" t="n">
        <v>0</v>
      </c>
      <c r="N386" t="n">
        <v>0</v>
      </c>
      <c r="O386" t="n">
        <v>0</v>
      </c>
      <c r="P386" t="n">
        <v>0</v>
      </c>
      <c r="Q386" t="n">
        <v>0</v>
      </c>
      <c r="R386" s="2" t="inlineStr"/>
    </row>
    <row r="387" ht="15" customHeight="1">
      <c r="A387" t="inlineStr">
        <is>
          <t>A 22632-2025</t>
        </is>
      </c>
      <c r="B387" s="1" t="n">
        <v>45789.44361111111</v>
      </c>
      <c r="C387" s="1" t="n">
        <v>45999</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45956-2024</t>
        </is>
      </c>
      <c r="B388" s="1" t="n">
        <v>45580</v>
      </c>
      <c r="C388" s="1" t="n">
        <v>45999</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51037-2024</t>
        </is>
      </c>
      <c r="B389" s="1" t="n">
        <v>45603.43005787037</v>
      </c>
      <c r="C389" s="1" t="n">
        <v>45999</v>
      </c>
      <c r="D389" t="inlineStr">
        <is>
          <t>UPPSALA LÄN</t>
        </is>
      </c>
      <c r="E389" t="inlineStr">
        <is>
          <t>ENKÖPING</t>
        </is>
      </c>
      <c r="G389" t="n">
        <v>5.7</v>
      </c>
      <c r="H389" t="n">
        <v>0</v>
      </c>
      <c r="I389" t="n">
        <v>0</v>
      </c>
      <c r="J389" t="n">
        <v>0</v>
      </c>
      <c r="K389" t="n">
        <v>0</v>
      </c>
      <c r="L389" t="n">
        <v>0</v>
      </c>
      <c r="M389" t="n">
        <v>0</v>
      </c>
      <c r="N389" t="n">
        <v>0</v>
      </c>
      <c r="O389" t="n">
        <v>0</v>
      </c>
      <c r="P389" t="n">
        <v>0</v>
      </c>
      <c r="Q389" t="n">
        <v>0</v>
      </c>
      <c r="R389" s="2" t="inlineStr"/>
    </row>
    <row r="390" ht="15" customHeight="1">
      <c r="A390" t="inlineStr">
        <is>
          <t>A 11627-2025</t>
        </is>
      </c>
      <c r="B390" s="1" t="n">
        <v>45727</v>
      </c>
      <c r="C390" s="1" t="n">
        <v>45999</v>
      </c>
      <c r="D390" t="inlineStr">
        <is>
          <t>UPPSALA LÄN</t>
        </is>
      </c>
      <c r="E390" t="inlineStr">
        <is>
          <t>ENKÖPING</t>
        </is>
      </c>
      <c r="G390" t="n">
        <v>5.5</v>
      </c>
      <c r="H390" t="n">
        <v>0</v>
      </c>
      <c r="I390" t="n">
        <v>0</v>
      </c>
      <c r="J390" t="n">
        <v>0</v>
      </c>
      <c r="K390" t="n">
        <v>0</v>
      </c>
      <c r="L390" t="n">
        <v>0</v>
      </c>
      <c r="M390" t="n">
        <v>0</v>
      </c>
      <c r="N390" t="n">
        <v>0</v>
      </c>
      <c r="O390" t="n">
        <v>0</v>
      </c>
      <c r="P390" t="n">
        <v>0</v>
      </c>
      <c r="Q390" t="n">
        <v>0</v>
      </c>
      <c r="R390" s="2" t="inlineStr"/>
    </row>
    <row r="391" ht="15" customHeight="1">
      <c r="A391" t="inlineStr">
        <is>
          <t>A 74090-2021</t>
        </is>
      </c>
      <c r="B391" s="1" t="n">
        <v>44557</v>
      </c>
      <c r="C391" s="1" t="n">
        <v>45999</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45999</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51027-2024</t>
        </is>
      </c>
      <c r="B393" s="1" t="n">
        <v>45603</v>
      </c>
      <c r="C393" s="1" t="n">
        <v>45999</v>
      </c>
      <c r="D393" t="inlineStr">
        <is>
          <t>UPPSALA LÄN</t>
        </is>
      </c>
      <c r="E393" t="inlineStr">
        <is>
          <t>ENKÖPING</t>
        </is>
      </c>
      <c r="G393" t="n">
        <v>3.5</v>
      </c>
      <c r="H393" t="n">
        <v>0</v>
      </c>
      <c r="I393" t="n">
        <v>0</v>
      </c>
      <c r="J393" t="n">
        <v>0</v>
      </c>
      <c r="K393" t="n">
        <v>0</v>
      </c>
      <c r="L393" t="n">
        <v>0</v>
      </c>
      <c r="M393" t="n">
        <v>0</v>
      </c>
      <c r="N393" t="n">
        <v>0</v>
      </c>
      <c r="O393" t="n">
        <v>0</v>
      </c>
      <c r="P393" t="n">
        <v>0</v>
      </c>
      <c r="Q393" t="n">
        <v>0</v>
      </c>
      <c r="R393" s="2" t="inlineStr"/>
    </row>
    <row r="394" ht="15" customHeight="1">
      <c r="A394" t="inlineStr">
        <is>
          <t>A 57294-2025</t>
        </is>
      </c>
      <c r="B394" s="1" t="n">
        <v>45979</v>
      </c>
      <c r="C394" s="1" t="n">
        <v>45999</v>
      </c>
      <c r="D394" t="inlineStr">
        <is>
          <t>UPPSALA LÄN</t>
        </is>
      </c>
      <c r="E394" t="inlineStr">
        <is>
          <t>ENKÖPING</t>
        </is>
      </c>
      <c r="G394" t="n">
        <v>6.2</v>
      </c>
      <c r="H394" t="n">
        <v>0</v>
      </c>
      <c r="I394" t="n">
        <v>0</v>
      </c>
      <c r="J394" t="n">
        <v>0</v>
      </c>
      <c r="K394" t="n">
        <v>0</v>
      </c>
      <c r="L394" t="n">
        <v>0</v>
      </c>
      <c r="M394" t="n">
        <v>0</v>
      </c>
      <c r="N394" t="n">
        <v>0</v>
      </c>
      <c r="O394" t="n">
        <v>0</v>
      </c>
      <c r="P394" t="n">
        <v>0</v>
      </c>
      <c r="Q394" t="n">
        <v>0</v>
      </c>
      <c r="R394" s="2" t="inlineStr"/>
    </row>
    <row r="395" ht="15" customHeight="1">
      <c r="A395" t="inlineStr">
        <is>
          <t>A 49068-2025</t>
        </is>
      </c>
      <c r="B395" s="1" t="n">
        <v>45937.64766203704</v>
      </c>
      <c r="C395" s="1" t="n">
        <v>45999</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44419-2025</t>
        </is>
      </c>
      <c r="B396" s="1" t="n">
        <v>45916.54671296296</v>
      </c>
      <c r="C396" s="1" t="n">
        <v>45999</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43999-2025</t>
        </is>
      </c>
      <c r="B397" s="1" t="n">
        <v>45915.45158564814</v>
      </c>
      <c r="C397" s="1" t="n">
        <v>45999</v>
      </c>
      <c r="D397" t="inlineStr">
        <is>
          <t>UPPSALA LÄN</t>
        </is>
      </c>
      <c r="E397" t="inlineStr">
        <is>
          <t>ENKÖPING</t>
        </is>
      </c>
      <c r="G397" t="n">
        <v>4.1</v>
      </c>
      <c r="H397" t="n">
        <v>0</v>
      </c>
      <c r="I397" t="n">
        <v>0</v>
      </c>
      <c r="J397" t="n">
        <v>0</v>
      </c>
      <c r="K397" t="n">
        <v>0</v>
      </c>
      <c r="L397" t="n">
        <v>0</v>
      </c>
      <c r="M397" t="n">
        <v>0</v>
      </c>
      <c r="N397" t="n">
        <v>0</v>
      </c>
      <c r="O397" t="n">
        <v>0</v>
      </c>
      <c r="P397" t="n">
        <v>0</v>
      </c>
      <c r="Q397" t="n">
        <v>0</v>
      </c>
      <c r="R397" s="2" t="inlineStr"/>
    </row>
    <row r="398" ht="15" customHeight="1">
      <c r="A398" t="inlineStr">
        <is>
          <t>A 32477-2025</t>
        </is>
      </c>
      <c r="B398" s="1" t="n">
        <v>45838.43098379629</v>
      </c>
      <c r="C398" s="1" t="n">
        <v>45999</v>
      </c>
      <c r="D398" t="inlineStr">
        <is>
          <t>UPPSALA LÄN</t>
        </is>
      </c>
      <c r="E398" t="inlineStr">
        <is>
          <t>ENKÖPING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58092-2024</t>
        </is>
      </c>
      <c r="B399" s="1" t="n">
        <v>45632</v>
      </c>
      <c r="C399" s="1" t="n">
        <v>45999</v>
      </c>
      <c r="D399" t="inlineStr">
        <is>
          <t>UPPSALA LÄN</t>
        </is>
      </c>
      <c r="E399" t="inlineStr">
        <is>
          <t>ENKÖPING</t>
        </is>
      </c>
      <c r="G399" t="n">
        <v>4.8</v>
      </c>
      <c r="H399" t="n">
        <v>0</v>
      </c>
      <c r="I399" t="n">
        <v>0</v>
      </c>
      <c r="J399" t="n">
        <v>0</v>
      </c>
      <c r="K399" t="n">
        <v>0</v>
      </c>
      <c r="L399" t="n">
        <v>0</v>
      </c>
      <c r="M399" t="n">
        <v>0</v>
      </c>
      <c r="N399" t="n">
        <v>0</v>
      </c>
      <c r="O399" t="n">
        <v>0</v>
      </c>
      <c r="P399" t="n">
        <v>0</v>
      </c>
      <c r="Q399" t="n">
        <v>0</v>
      </c>
      <c r="R399" s="2" t="inlineStr"/>
    </row>
    <row r="400" ht="15" customHeight="1">
      <c r="A400" t="inlineStr">
        <is>
          <t>A 39439-2025</t>
        </is>
      </c>
      <c r="B400" s="1" t="n">
        <v>45889</v>
      </c>
      <c r="C400" s="1" t="n">
        <v>45999</v>
      </c>
      <c r="D400" t="inlineStr">
        <is>
          <t>UPPSALA LÄN</t>
        </is>
      </c>
      <c r="E400" t="inlineStr">
        <is>
          <t>ENKÖPING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24411-2024</t>
        </is>
      </c>
      <c r="B401" s="1" t="n">
        <v>45457</v>
      </c>
      <c r="C401" s="1" t="n">
        <v>45999</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25988-2025</t>
        </is>
      </c>
      <c r="B402" s="1" t="n">
        <v>45804.64814814815</v>
      </c>
      <c r="C402" s="1" t="n">
        <v>45999</v>
      </c>
      <c r="D402" t="inlineStr">
        <is>
          <t>UPPSALA LÄN</t>
        </is>
      </c>
      <c r="E402" t="inlineStr">
        <is>
          <t>ENKÖPING</t>
        </is>
      </c>
      <c r="G402" t="n">
        <v>4.7</v>
      </c>
      <c r="H402" t="n">
        <v>0</v>
      </c>
      <c r="I402" t="n">
        <v>0</v>
      </c>
      <c r="J402" t="n">
        <v>0</v>
      </c>
      <c r="K402" t="n">
        <v>0</v>
      </c>
      <c r="L402" t="n">
        <v>0</v>
      </c>
      <c r="M402" t="n">
        <v>0</v>
      </c>
      <c r="N402" t="n">
        <v>0</v>
      </c>
      <c r="O402" t="n">
        <v>0</v>
      </c>
      <c r="P402" t="n">
        <v>0</v>
      </c>
      <c r="Q402" t="n">
        <v>0</v>
      </c>
      <c r="R402" s="2" t="inlineStr"/>
    </row>
    <row r="403" ht="15" customHeight="1">
      <c r="A403" t="inlineStr">
        <is>
          <t>A 26024-2025</t>
        </is>
      </c>
      <c r="B403" s="1" t="n">
        <v>45804.6831712963</v>
      </c>
      <c r="C403" s="1" t="n">
        <v>45999</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26042-2025</t>
        </is>
      </c>
      <c r="B404" s="1" t="n">
        <v>45804.70018518518</v>
      </c>
      <c r="C404" s="1" t="n">
        <v>45999</v>
      </c>
      <c r="D404" t="inlineStr">
        <is>
          <t>UPPSALA LÄN</t>
        </is>
      </c>
      <c r="E404" t="inlineStr">
        <is>
          <t>ENKÖPING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25990-2025</t>
        </is>
      </c>
      <c r="B405" s="1" t="n">
        <v>45804.65229166667</v>
      </c>
      <c r="C405" s="1" t="n">
        <v>45999</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26030-2025</t>
        </is>
      </c>
      <c r="B406" s="1" t="n">
        <v>45804.68815972222</v>
      </c>
      <c r="C406" s="1" t="n">
        <v>45999</v>
      </c>
      <c r="D406" t="inlineStr">
        <is>
          <t>UPPSALA LÄN</t>
        </is>
      </c>
      <c r="E406" t="inlineStr">
        <is>
          <t>ENKÖPING</t>
        </is>
      </c>
      <c r="G406" t="n">
        <v>0.3</v>
      </c>
      <c r="H406" t="n">
        <v>0</v>
      </c>
      <c r="I406" t="n">
        <v>0</v>
      </c>
      <c r="J406" t="n">
        <v>0</v>
      </c>
      <c r="K406" t="n">
        <v>0</v>
      </c>
      <c r="L406" t="n">
        <v>0</v>
      </c>
      <c r="M406" t="n">
        <v>0</v>
      </c>
      <c r="N406" t="n">
        <v>0</v>
      </c>
      <c r="O406" t="n">
        <v>0</v>
      </c>
      <c r="P406" t="n">
        <v>0</v>
      </c>
      <c r="Q406" t="n">
        <v>0</v>
      </c>
      <c r="R406" s="2" t="inlineStr"/>
    </row>
    <row r="407" ht="15" customHeight="1">
      <c r="A407" t="inlineStr">
        <is>
          <t>A 26026-2025</t>
        </is>
      </c>
      <c r="B407" s="1" t="n">
        <v>45804.68510416667</v>
      </c>
      <c r="C407" s="1" t="n">
        <v>45999</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26047-2025</t>
        </is>
      </c>
      <c r="B408" s="1" t="n">
        <v>45804.70835648148</v>
      </c>
      <c r="C408" s="1" t="n">
        <v>45999</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25847-2025</t>
        </is>
      </c>
      <c r="B409" s="1" t="n">
        <v>45804</v>
      </c>
      <c r="C409" s="1" t="n">
        <v>45999</v>
      </c>
      <c r="D409" t="inlineStr">
        <is>
          <t>UPPSALA LÄN</t>
        </is>
      </c>
      <c r="E409" t="inlineStr">
        <is>
          <t>ENKÖPING</t>
        </is>
      </c>
      <c r="G409" t="n">
        <v>3.6</v>
      </c>
      <c r="H409" t="n">
        <v>0</v>
      </c>
      <c r="I409" t="n">
        <v>0</v>
      </c>
      <c r="J409" t="n">
        <v>0</v>
      </c>
      <c r="K409" t="n">
        <v>0</v>
      </c>
      <c r="L409" t="n">
        <v>0</v>
      </c>
      <c r="M409" t="n">
        <v>0</v>
      </c>
      <c r="N409" t="n">
        <v>0</v>
      </c>
      <c r="O409" t="n">
        <v>0</v>
      </c>
      <c r="P409" t="n">
        <v>0</v>
      </c>
      <c r="Q409" t="n">
        <v>0</v>
      </c>
      <c r="R409" s="2" t="inlineStr"/>
    </row>
    <row r="410" ht="15" customHeight="1">
      <c r="A410" t="inlineStr">
        <is>
          <t>A 26005-2025</t>
        </is>
      </c>
      <c r="B410" s="1" t="n">
        <v>45804.67055555555</v>
      </c>
      <c r="C410" s="1" t="n">
        <v>45999</v>
      </c>
      <c r="D410" t="inlineStr">
        <is>
          <t>UPPSALA LÄN</t>
        </is>
      </c>
      <c r="E410" t="inlineStr">
        <is>
          <t>ENKÖPING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26031-2025</t>
        </is>
      </c>
      <c r="B411" s="1" t="n">
        <v>45804.69050925926</v>
      </c>
      <c r="C411" s="1" t="n">
        <v>45999</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26041-2025</t>
        </is>
      </c>
      <c r="B412" s="1" t="n">
        <v>45804.69883101852</v>
      </c>
      <c r="C412" s="1" t="n">
        <v>45999</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26022-2025</t>
        </is>
      </c>
      <c r="B413" s="1" t="n">
        <v>45804.68006944445</v>
      </c>
      <c r="C413" s="1" t="n">
        <v>45999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26011-2025</t>
        </is>
      </c>
      <c r="B414" s="1" t="n">
        <v>45804.67412037037</v>
      </c>
      <c r="C414" s="1" t="n">
        <v>45999</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43103-2025</t>
        </is>
      </c>
      <c r="B415" s="1" t="n">
        <v>45909</v>
      </c>
      <c r="C415" s="1" t="n">
        <v>45999</v>
      </c>
      <c r="D415" t="inlineStr">
        <is>
          <t>UPPSALA LÄN</t>
        </is>
      </c>
      <c r="E415" t="inlineStr">
        <is>
          <t>ENKÖPING</t>
        </is>
      </c>
      <c r="G415" t="n">
        <v>2.3</v>
      </c>
      <c r="H415" t="n">
        <v>0</v>
      </c>
      <c r="I415" t="n">
        <v>0</v>
      </c>
      <c r="J415" t="n">
        <v>0</v>
      </c>
      <c r="K415" t="n">
        <v>0</v>
      </c>
      <c r="L415" t="n">
        <v>0</v>
      </c>
      <c r="M415" t="n">
        <v>0</v>
      </c>
      <c r="N415" t="n">
        <v>0</v>
      </c>
      <c r="O415" t="n">
        <v>0</v>
      </c>
      <c r="P415" t="n">
        <v>0</v>
      </c>
      <c r="Q415" t="n">
        <v>0</v>
      </c>
      <c r="R415" s="2" t="inlineStr"/>
    </row>
    <row r="416" ht="15" customHeight="1">
      <c r="A416" t="inlineStr">
        <is>
          <t>A 35067-2024</t>
        </is>
      </c>
      <c r="B416" s="1" t="n">
        <v>45527.66153935185</v>
      </c>
      <c r="C416" s="1" t="n">
        <v>45999</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49073-2025</t>
        </is>
      </c>
      <c r="B417" s="1" t="n">
        <v>45937.65512731481</v>
      </c>
      <c r="C417" s="1" t="n">
        <v>45999</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54263-2025</t>
        </is>
      </c>
      <c r="B418" s="1" t="n">
        <v>45964.66271990741</v>
      </c>
      <c r="C418" s="1" t="n">
        <v>45999</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54758-2025</t>
        </is>
      </c>
      <c r="B419" s="1" t="n">
        <v>45966.59737268519</v>
      </c>
      <c r="C419" s="1" t="n">
        <v>45999</v>
      </c>
      <c r="D419" t="inlineStr">
        <is>
          <t>UPPSALA LÄN</t>
        </is>
      </c>
      <c r="E419" t="inlineStr">
        <is>
          <t>ENKÖPING</t>
        </is>
      </c>
      <c r="G419" t="n">
        <v>3.3</v>
      </c>
      <c r="H419" t="n">
        <v>0</v>
      </c>
      <c r="I419" t="n">
        <v>0</v>
      </c>
      <c r="J419" t="n">
        <v>0</v>
      </c>
      <c r="K419" t="n">
        <v>0</v>
      </c>
      <c r="L419" t="n">
        <v>0</v>
      </c>
      <c r="M419" t="n">
        <v>0</v>
      </c>
      <c r="N419" t="n">
        <v>0</v>
      </c>
      <c r="O419" t="n">
        <v>0</v>
      </c>
      <c r="P419" t="n">
        <v>0</v>
      </c>
      <c r="Q419" t="n">
        <v>0</v>
      </c>
      <c r="R419" s="2" t="inlineStr"/>
    </row>
    <row r="420" ht="15" customHeight="1">
      <c r="A420" t="inlineStr">
        <is>
          <t>A 27829-2025</t>
        </is>
      </c>
      <c r="B420" s="1" t="n">
        <v>45817</v>
      </c>
      <c r="C420" s="1" t="n">
        <v>45999</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54541-2025</t>
        </is>
      </c>
      <c r="B421" s="1" t="n">
        <v>45965.64733796296</v>
      </c>
      <c r="C421" s="1" t="n">
        <v>45999</v>
      </c>
      <c r="D421" t="inlineStr">
        <is>
          <t>UPPSALA LÄN</t>
        </is>
      </c>
      <c r="E421" t="inlineStr">
        <is>
          <t>ENKÖPING</t>
        </is>
      </c>
      <c r="G421" t="n">
        <v>3.1</v>
      </c>
      <c r="H421" t="n">
        <v>0</v>
      </c>
      <c r="I421" t="n">
        <v>0</v>
      </c>
      <c r="J421" t="n">
        <v>0</v>
      </c>
      <c r="K421" t="n">
        <v>0</v>
      </c>
      <c r="L421" t="n">
        <v>0</v>
      </c>
      <c r="M421" t="n">
        <v>0</v>
      </c>
      <c r="N421" t="n">
        <v>0</v>
      </c>
      <c r="O421" t="n">
        <v>0</v>
      </c>
      <c r="P421" t="n">
        <v>0</v>
      </c>
      <c r="Q421" t="n">
        <v>0</v>
      </c>
      <c r="R421" s="2" t="inlineStr"/>
    </row>
    <row r="422" ht="15" customHeight="1">
      <c r="A422" t="inlineStr">
        <is>
          <t>A 28855-2025</t>
        </is>
      </c>
      <c r="B422" s="1" t="n">
        <v>45820.58274305556</v>
      </c>
      <c r="C422" s="1" t="n">
        <v>45999</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28758-2025</t>
        </is>
      </c>
      <c r="B423" s="1" t="n">
        <v>45820.41212962963</v>
      </c>
      <c r="C423" s="1" t="n">
        <v>45999</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39009-2024</t>
        </is>
      </c>
      <c r="B424" s="1" t="n">
        <v>45548</v>
      </c>
      <c r="C424" s="1" t="n">
        <v>45999</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8537-2025</t>
        </is>
      </c>
      <c r="B425" s="1" t="n">
        <v>45709</v>
      </c>
      <c r="C425" s="1" t="n">
        <v>45999</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58025-2025</t>
        </is>
      </c>
      <c r="B426" s="1" t="n">
        <v>45982</v>
      </c>
      <c r="C426" s="1" t="n">
        <v>45999</v>
      </c>
      <c r="D426" t="inlineStr">
        <is>
          <t>UPPSALA LÄN</t>
        </is>
      </c>
      <c r="E426" t="inlineStr">
        <is>
          <t>ENKÖPING</t>
        </is>
      </c>
      <c r="G426" t="n">
        <v>3.2</v>
      </c>
      <c r="H426" t="n">
        <v>0</v>
      </c>
      <c r="I426" t="n">
        <v>0</v>
      </c>
      <c r="J426" t="n">
        <v>0</v>
      </c>
      <c r="K426" t="n">
        <v>0</v>
      </c>
      <c r="L426" t="n">
        <v>0</v>
      </c>
      <c r="M426" t="n">
        <v>0</v>
      </c>
      <c r="N426" t="n">
        <v>0</v>
      </c>
      <c r="O426" t="n">
        <v>0</v>
      </c>
      <c r="P426" t="n">
        <v>0</v>
      </c>
      <c r="Q426" t="n">
        <v>0</v>
      </c>
      <c r="R426" s="2" t="inlineStr"/>
    </row>
    <row r="427" ht="15" customHeight="1">
      <c r="A427" t="inlineStr">
        <is>
          <t>A 28862-2025</t>
        </is>
      </c>
      <c r="B427" s="1" t="n">
        <v>45820.59189814814</v>
      </c>
      <c r="C427" s="1" t="n">
        <v>45999</v>
      </c>
      <c r="D427" t="inlineStr">
        <is>
          <t>UPPSALA LÄN</t>
        </is>
      </c>
      <c r="E427" t="inlineStr">
        <is>
          <t>ENKÖPING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54844-2025</t>
        </is>
      </c>
      <c r="B428" s="1" t="n">
        <v>45966.69570601852</v>
      </c>
      <c r="C428" s="1" t="n">
        <v>45999</v>
      </c>
      <c r="D428" t="inlineStr">
        <is>
          <t>UPPSALA LÄN</t>
        </is>
      </c>
      <c r="E428" t="inlineStr">
        <is>
          <t>ENKÖPING</t>
        </is>
      </c>
      <c r="G428" t="n">
        <v>5.5</v>
      </c>
      <c r="H428" t="n">
        <v>0</v>
      </c>
      <c r="I428" t="n">
        <v>0</v>
      </c>
      <c r="J428" t="n">
        <v>0</v>
      </c>
      <c r="K428" t="n">
        <v>0</v>
      </c>
      <c r="L428" t="n">
        <v>0</v>
      </c>
      <c r="M428" t="n">
        <v>0</v>
      </c>
      <c r="N428" t="n">
        <v>0</v>
      </c>
      <c r="O428" t="n">
        <v>0</v>
      </c>
      <c r="P428" t="n">
        <v>0</v>
      </c>
      <c r="Q428" t="n">
        <v>0</v>
      </c>
      <c r="R428" s="2" t="inlineStr"/>
    </row>
    <row r="429" ht="15" customHeight="1">
      <c r="A429" t="inlineStr">
        <is>
          <t>A 45755-2025</t>
        </is>
      </c>
      <c r="B429" s="1" t="n">
        <v>45923.50240740741</v>
      </c>
      <c r="C429" s="1" t="n">
        <v>45999</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57188-2025</t>
        </is>
      </c>
      <c r="B430" s="1" t="n">
        <v>45979</v>
      </c>
      <c r="C430" s="1" t="n">
        <v>45999</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46590-2025</t>
        </is>
      </c>
      <c r="B431" s="1" t="n">
        <v>45926.39542824074</v>
      </c>
      <c r="C431" s="1" t="n">
        <v>45999</v>
      </c>
      <c r="D431" t="inlineStr">
        <is>
          <t>UPPSALA LÄN</t>
        </is>
      </c>
      <c r="E431" t="inlineStr">
        <is>
          <t>ENKÖPING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29093-2025</t>
        </is>
      </c>
      <c r="B432" s="1" t="n">
        <v>45821.55743055556</v>
      </c>
      <c r="C432" s="1" t="n">
        <v>45999</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29477-2025</t>
        </is>
      </c>
      <c r="B433" s="1" t="n">
        <v>45824.71537037037</v>
      </c>
      <c r="C433" s="1" t="n">
        <v>45999</v>
      </c>
      <c r="D433" t="inlineStr">
        <is>
          <t>UPPSALA LÄN</t>
        </is>
      </c>
      <c r="E433" t="inlineStr">
        <is>
          <t>ENKÖPING</t>
        </is>
      </c>
      <c r="G433" t="n">
        <v>13.4</v>
      </c>
      <c r="H433" t="n">
        <v>0</v>
      </c>
      <c r="I433" t="n">
        <v>0</v>
      </c>
      <c r="J433" t="n">
        <v>0</v>
      </c>
      <c r="K433" t="n">
        <v>0</v>
      </c>
      <c r="L433" t="n">
        <v>0</v>
      </c>
      <c r="M433" t="n">
        <v>0</v>
      </c>
      <c r="N433" t="n">
        <v>0</v>
      </c>
      <c r="O433" t="n">
        <v>0</v>
      </c>
      <c r="P433" t="n">
        <v>0</v>
      </c>
      <c r="Q433" t="n">
        <v>0</v>
      </c>
      <c r="R433" s="2" t="inlineStr"/>
    </row>
    <row r="434" ht="15" customHeight="1">
      <c r="A434" t="inlineStr">
        <is>
          <t>A 51162-2025</t>
        </is>
      </c>
      <c r="B434" s="1" t="n">
        <v>45947.58820601852</v>
      </c>
      <c r="C434" s="1" t="n">
        <v>45999</v>
      </c>
      <c r="D434" t="inlineStr">
        <is>
          <t>UPPSALA LÄN</t>
        </is>
      </c>
      <c r="E434" t="inlineStr">
        <is>
          <t>ENKÖPING</t>
        </is>
      </c>
      <c r="G434" t="n">
        <v>3.4</v>
      </c>
      <c r="H434" t="n">
        <v>0</v>
      </c>
      <c r="I434" t="n">
        <v>0</v>
      </c>
      <c r="J434" t="n">
        <v>0</v>
      </c>
      <c r="K434" t="n">
        <v>0</v>
      </c>
      <c r="L434" t="n">
        <v>0</v>
      </c>
      <c r="M434" t="n">
        <v>0</v>
      </c>
      <c r="N434" t="n">
        <v>0</v>
      </c>
      <c r="O434" t="n">
        <v>0</v>
      </c>
      <c r="P434" t="n">
        <v>0</v>
      </c>
      <c r="Q434" t="n">
        <v>0</v>
      </c>
      <c r="R434" s="2" t="inlineStr"/>
    </row>
    <row r="435" ht="15" customHeight="1">
      <c r="A435" t="inlineStr">
        <is>
          <t>A 51133-2025</t>
        </is>
      </c>
      <c r="B435" s="1" t="n">
        <v>45947.55598379629</v>
      </c>
      <c r="C435" s="1" t="n">
        <v>45999</v>
      </c>
      <c r="D435" t="inlineStr">
        <is>
          <t>UPPSALA LÄN</t>
        </is>
      </c>
      <c r="E435" t="inlineStr">
        <is>
          <t>ENKÖPING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34989-2025</t>
        </is>
      </c>
      <c r="B436" s="1" t="n">
        <v>45849</v>
      </c>
      <c r="C436" s="1" t="n">
        <v>45999</v>
      </c>
      <c r="D436" t="inlineStr">
        <is>
          <t>UPPSALA LÄN</t>
        </is>
      </c>
      <c r="E436" t="inlineStr">
        <is>
          <t>ENKÖPING</t>
        </is>
      </c>
      <c r="G436" t="n">
        <v>2.4</v>
      </c>
      <c r="H436" t="n">
        <v>0</v>
      </c>
      <c r="I436" t="n">
        <v>0</v>
      </c>
      <c r="J436" t="n">
        <v>0</v>
      </c>
      <c r="K436" t="n">
        <v>0</v>
      </c>
      <c r="L436" t="n">
        <v>0</v>
      </c>
      <c r="M436" t="n">
        <v>0</v>
      </c>
      <c r="N436" t="n">
        <v>0</v>
      </c>
      <c r="O436" t="n">
        <v>0</v>
      </c>
      <c r="P436" t="n">
        <v>0</v>
      </c>
      <c r="Q436" t="n">
        <v>0</v>
      </c>
      <c r="R436" s="2" t="inlineStr"/>
    </row>
    <row r="437" ht="15" customHeight="1">
      <c r="A437" t="inlineStr">
        <is>
          <t>A 34990-2025</t>
        </is>
      </c>
      <c r="B437" s="1" t="n">
        <v>45849.78916666667</v>
      </c>
      <c r="C437" s="1" t="n">
        <v>45999</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59668-2025</t>
        </is>
      </c>
      <c r="B438" s="1" t="n">
        <v>45992.45567129629</v>
      </c>
      <c r="C438" s="1" t="n">
        <v>45999</v>
      </c>
      <c r="D438" t="inlineStr">
        <is>
          <t>UPPSALA LÄN</t>
        </is>
      </c>
      <c r="E438" t="inlineStr">
        <is>
          <t>ENKÖPING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59379-2025</t>
        </is>
      </c>
      <c r="B439" s="1" t="n">
        <v>45989.4540162037</v>
      </c>
      <c r="C439" s="1" t="n">
        <v>45999</v>
      </c>
      <c r="D439" t="inlineStr">
        <is>
          <t>UPPSALA LÄN</t>
        </is>
      </c>
      <c r="E439" t="inlineStr">
        <is>
          <t>ENKÖPING</t>
        </is>
      </c>
      <c r="G439" t="n">
        <v>10.8</v>
      </c>
      <c r="H439" t="n">
        <v>0</v>
      </c>
      <c r="I439" t="n">
        <v>0</v>
      </c>
      <c r="J439" t="n">
        <v>0</v>
      </c>
      <c r="K439" t="n">
        <v>0</v>
      </c>
      <c r="L439" t="n">
        <v>0</v>
      </c>
      <c r="M439" t="n">
        <v>0</v>
      </c>
      <c r="N439" t="n">
        <v>0</v>
      </c>
      <c r="O439" t="n">
        <v>0</v>
      </c>
      <c r="P439" t="n">
        <v>0</v>
      </c>
      <c r="Q439" t="n">
        <v>0</v>
      </c>
      <c r="R439" s="2" t="inlineStr"/>
    </row>
    <row r="440" ht="15" customHeight="1">
      <c r="A440" t="inlineStr">
        <is>
          <t>A 30837-2025</t>
        </is>
      </c>
      <c r="B440" s="1" t="n">
        <v>45831.7063425926</v>
      </c>
      <c r="C440" s="1" t="n">
        <v>45999</v>
      </c>
      <c r="D440" t="inlineStr">
        <is>
          <t>UPPSALA LÄN</t>
        </is>
      </c>
      <c r="E440" t="inlineStr">
        <is>
          <t>ENKÖPING</t>
        </is>
      </c>
      <c r="G440" t="n">
        <v>3.8</v>
      </c>
      <c r="H440" t="n">
        <v>0</v>
      </c>
      <c r="I440" t="n">
        <v>0</v>
      </c>
      <c r="J440" t="n">
        <v>0</v>
      </c>
      <c r="K440" t="n">
        <v>0</v>
      </c>
      <c r="L440" t="n">
        <v>0</v>
      </c>
      <c r="M440" t="n">
        <v>0</v>
      </c>
      <c r="N440" t="n">
        <v>0</v>
      </c>
      <c r="O440" t="n">
        <v>0</v>
      </c>
      <c r="P440" t="n">
        <v>0</v>
      </c>
      <c r="Q440" t="n">
        <v>0</v>
      </c>
      <c r="R440" s="2" t="inlineStr"/>
    </row>
    <row r="441" ht="15" customHeight="1">
      <c r="A441" t="inlineStr">
        <is>
          <t>A 59964-2025</t>
        </is>
      </c>
      <c r="B441" s="1" t="n">
        <v>45993.48043981481</v>
      </c>
      <c r="C441" s="1" t="n">
        <v>45999</v>
      </c>
      <c r="D441" t="inlineStr">
        <is>
          <t>UPPSALA LÄN</t>
        </is>
      </c>
      <c r="E441" t="inlineStr">
        <is>
          <t>ENKÖPING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60175-2025</t>
        </is>
      </c>
      <c r="B442" s="1" t="n">
        <v>45994.45378472222</v>
      </c>
      <c r="C442" s="1" t="n">
        <v>45999</v>
      </c>
      <c r="D442" t="inlineStr">
        <is>
          <t>UPPSALA LÄN</t>
        </is>
      </c>
      <c r="E442" t="inlineStr">
        <is>
          <t>ENKÖPING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60340-2025</t>
        </is>
      </c>
      <c r="B443" s="1" t="n">
        <v>45994.83415509259</v>
      </c>
      <c r="C443" s="1" t="n">
        <v>45999</v>
      </c>
      <c r="D443" t="inlineStr">
        <is>
          <t>UPPSALA LÄN</t>
        </is>
      </c>
      <c r="E443" t="inlineStr">
        <is>
          <t>ENKÖPING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26017-2025</t>
        </is>
      </c>
      <c r="B444" s="1" t="n">
        <v>45804</v>
      </c>
      <c r="C444" s="1" t="n">
        <v>45999</v>
      </c>
      <c r="D444" t="inlineStr">
        <is>
          <t>UPPSALA LÄN</t>
        </is>
      </c>
      <c r="E444" t="inlineStr">
        <is>
          <t>ENKÖPING</t>
        </is>
      </c>
      <c r="G444" t="n">
        <v>0.4</v>
      </c>
      <c r="H444" t="n">
        <v>0</v>
      </c>
      <c r="I444" t="n">
        <v>0</v>
      </c>
      <c r="J444" t="n">
        <v>0</v>
      </c>
      <c r="K444" t="n">
        <v>0</v>
      </c>
      <c r="L444" t="n">
        <v>0</v>
      </c>
      <c r="M444" t="n">
        <v>0</v>
      </c>
      <c r="N444" t="n">
        <v>0</v>
      </c>
      <c r="O444" t="n">
        <v>0</v>
      </c>
      <c r="P444" t="n">
        <v>0</v>
      </c>
      <c r="Q444" t="n">
        <v>0</v>
      </c>
      <c r="R444" s="2" t="inlineStr"/>
    </row>
    <row r="445" ht="15" customHeight="1">
      <c r="A445" t="inlineStr">
        <is>
          <t>A 60174-2025</t>
        </is>
      </c>
      <c r="B445" s="1" t="n">
        <v>45994.45039351852</v>
      </c>
      <c r="C445" s="1" t="n">
        <v>45999</v>
      </c>
      <c r="D445" t="inlineStr">
        <is>
          <t>UPPSALA LÄN</t>
        </is>
      </c>
      <c r="E445" t="inlineStr">
        <is>
          <t>ENKÖPING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32031-2025</t>
        </is>
      </c>
      <c r="B446" s="1" t="n">
        <v>45835.41712962963</v>
      </c>
      <c r="C446" s="1" t="n">
        <v>45999</v>
      </c>
      <c r="D446" t="inlineStr">
        <is>
          <t>UPPSALA LÄN</t>
        </is>
      </c>
      <c r="E446" t="inlineStr">
        <is>
          <t>ENKÖPING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32111-2025</t>
        </is>
      </c>
      <c r="B447" s="1" t="n">
        <v>45835</v>
      </c>
      <c r="C447" s="1" t="n">
        <v>45999</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5013-2025</t>
        </is>
      </c>
      <c r="B448" s="1" t="n">
        <v>45691</v>
      </c>
      <c r="C448" s="1" t="n">
        <v>45999</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11503-2024</t>
        </is>
      </c>
      <c r="B449" s="1" t="n">
        <v>45372.68020833333</v>
      </c>
      <c r="C449" s="1" t="n">
        <v>45999</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15740-2025</t>
        </is>
      </c>
      <c r="B450" s="1" t="n">
        <v>45748</v>
      </c>
      <c r="C450" s="1" t="n">
        <v>45999</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2164-2023</t>
        </is>
      </c>
      <c r="B451" s="1" t="n">
        <v>44941</v>
      </c>
      <c r="C451" s="1" t="n">
        <v>45999</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57848-2024</t>
        </is>
      </c>
      <c r="B452" s="1" t="n">
        <v>45631.40947916666</v>
      </c>
      <c r="C452" s="1" t="n">
        <v>45999</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33955-2024</t>
        </is>
      </c>
      <c r="B453" s="1" t="n">
        <v>45523.46952546296</v>
      </c>
      <c r="C453" s="1" t="n">
        <v>45999</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6172-2023</t>
        </is>
      </c>
      <c r="B454" s="1" t="n">
        <v>44964.68663194445</v>
      </c>
      <c r="C454" s="1" t="n">
        <v>45999</v>
      </c>
      <c r="D454" t="inlineStr">
        <is>
          <t>UPPSALA LÄN</t>
        </is>
      </c>
      <c r="E454" t="inlineStr">
        <is>
          <t>ENKÖPING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10409-2025</t>
        </is>
      </c>
      <c r="B455" s="1" t="n">
        <v>45720.631875</v>
      </c>
      <c r="C455" s="1" t="n">
        <v>45999</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18994-2025</t>
        </is>
      </c>
      <c r="B456" s="1" t="n">
        <v>45764.57350694444</v>
      </c>
      <c r="C456" s="1" t="n">
        <v>45999</v>
      </c>
      <c r="D456" t="inlineStr">
        <is>
          <t>UPPSALA LÄN</t>
        </is>
      </c>
      <c r="E456" t="inlineStr">
        <is>
          <t>ENKÖPING</t>
        </is>
      </c>
      <c r="G456" t="n">
        <v>3.8</v>
      </c>
      <c r="H456" t="n">
        <v>0</v>
      </c>
      <c r="I456" t="n">
        <v>0</v>
      </c>
      <c r="J456" t="n">
        <v>0</v>
      </c>
      <c r="K456" t="n">
        <v>0</v>
      </c>
      <c r="L456" t="n">
        <v>0</v>
      </c>
      <c r="M456" t="n">
        <v>0</v>
      </c>
      <c r="N456" t="n">
        <v>0</v>
      </c>
      <c r="O456" t="n">
        <v>0</v>
      </c>
      <c r="P456" t="n">
        <v>0</v>
      </c>
      <c r="Q456" t="n">
        <v>0</v>
      </c>
      <c r="R456" s="2" t="inlineStr"/>
    </row>
    <row r="457" ht="15" customHeight="1">
      <c r="A457" t="inlineStr">
        <is>
          <t>A 49601-2024</t>
        </is>
      </c>
      <c r="B457" s="1" t="n">
        <v>45596.56288194445</v>
      </c>
      <c r="C457" s="1" t="n">
        <v>45999</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17844-2025</t>
        </is>
      </c>
      <c r="B458" s="1" t="n">
        <v>45758.59920138889</v>
      </c>
      <c r="C458" s="1" t="n">
        <v>45999</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69567-2020</t>
        </is>
      </c>
      <c r="B459" s="1" t="n">
        <v>44194</v>
      </c>
      <c r="C459" s="1" t="n">
        <v>45999</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27837-2025</t>
        </is>
      </c>
      <c r="B460" s="1" t="n">
        <v>45817.37207175926</v>
      </c>
      <c r="C460" s="1" t="n">
        <v>45999</v>
      </c>
      <c r="D460" t="inlineStr">
        <is>
          <t>UPPSALA LÄN</t>
        </is>
      </c>
      <c r="E460" t="inlineStr">
        <is>
          <t>ENKÖPING</t>
        </is>
      </c>
      <c r="G460" t="n">
        <v>7.3</v>
      </c>
      <c r="H460" t="n">
        <v>0</v>
      </c>
      <c r="I460" t="n">
        <v>0</v>
      </c>
      <c r="J460" t="n">
        <v>0</v>
      </c>
      <c r="K460" t="n">
        <v>0</v>
      </c>
      <c r="L460" t="n">
        <v>0</v>
      </c>
      <c r="M460" t="n">
        <v>0</v>
      </c>
      <c r="N460" t="n">
        <v>0</v>
      </c>
      <c r="O460" t="n">
        <v>0</v>
      </c>
      <c r="P460" t="n">
        <v>0</v>
      </c>
      <c r="Q460" t="n">
        <v>0</v>
      </c>
      <c r="R460" s="2" t="inlineStr"/>
    </row>
    <row r="461" ht="15" customHeight="1">
      <c r="A461" t="inlineStr">
        <is>
          <t>A 21686-2022</t>
        </is>
      </c>
      <c r="B461" s="1" t="n">
        <v>44707</v>
      </c>
      <c r="C461" s="1" t="n">
        <v>45999</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29513-2025</t>
        </is>
      </c>
      <c r="B462" s="1" t="n">
        <v>45825</v>
      </c>
      <c r="C462" s="1" t="n">
        <v>45999</v>
      </c>
      <c r="D462" t="inlineStr">
        <is>
          <t>UPPSALA LÄN</t>
        </is>
      </c>
      <c r="E462" t="inlineStr">
        <is>
          <t>ENKÖPING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29479-2022</t>
        </is>
      </c>
      <c r="B463" s="1" t="n">
        <v>44753.57265046296</v>
      </c>
      <c r="C463" s="1" t="n">
        <v>45999</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49525-2021</t>
        </is>
      </c>
      <c r="B464" s="1" t="n">
        <v>44455</v>
      </c>
      <c r="C464" s="1" t="n">
        <v>45999</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6298-2021</t>
        </is>
      </c>
      <c r="B465" s="1" t="n">
        <v>44235</v>
      </c>
      <c r="C465" s="1" t="n">
        <v>45999</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57328-2024</t>
        </is>
      </c>
      <c r="B466" s="1" t="n">
        <v>45629.62798611111</v>
      </c>
      <c r="C466" s="1" t="n">
        <v>45999</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56837-2024</t>
        </is>
      </c>
      <c r="B467" s="1" t="n">
        <v>45628</v>
      </c>
      <c r="C467" s="1" t="n">
        <v>45999</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55876-2024</t>
        </is>
      </c>
      <c r="B468" s="1" t="n">
        <v>45623.5546412037</v>
      </c>
      <c r="C468" s="1" t="n">
        <v>45999</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25334-2023</t>
        </is>
      </c>
      <c r="B469" s="1" t="n">
        <v>45083</v>
      </c>
      <c r="C469" s="1" t="n">
        <v>45999</v>
      </c>
      <c r="D469" t="inlineStr">
        <is>
          <t>UPPSALA LÄN</t>
        </is>
      </c>
      <c r="E469" t="inlineStr">
        <is>
          <t>ENKÖPING</t>
        </is>
      </c>
      <c r="G469" t="n">
        <v>0.2</v>
      </c>
      <c r="H469" t="n">
        <v>0</v>
      </c>
      <c r="I469" t="n">
        <v>0</v>
      </c>
      <c r="J469" t="n">
        <v>0</v>
      </c>
      <c r="K469" t="n">
        <v>0</v>
      </c>
      <c r="L469" t="n">
        <v>0</v>
      </c>
      <c r="M469" t="n">
        <v>0</v>
      </c>
      <c r="N469" t="n">
        <v>0</v>
      </c>
      <c r="O469" t="n">
        <v>0</v>
      </c>
      <c r="P469" t="n">
        <v>0</v>
      </c>
      <c r="Q469" t="n">
        <v>0</v>
      </c>
      <c r="R469" s="2" t="inlineStr"/>
    </row>
    <row r="470" ht="15" customHeight="1">
      <c r="A470" t="inlineStr">
        <is>
          <t>A 33349-2024</t>
        </is>
      </c>
      <c r="B470" s="1" t="n">
        <v>45519</v>
      </c>
      <c r="C470" s="1" t="n">
        <v>45999</v>
      </c>
      <c r="D470" t="inlineStr">
        <is>
          <t>UPPSALA LÄN</t>
        </is>
      </c>
      <c r="E470" t="inlineStr">
        <is>
          <t>ENKÖPING</t>
        </is>
      </c>
      <c r="G470" t="n">
        <v>3.6</v>
      </c>
      <c r="H470" t="n">
        <v>0</v>
      </c>
      <c r="I470" t="n">
        <v>0</v>
      </c>
      <c r="J470" t="n">
        <v>0</v>
      </c>
      <c r="K470" t="n">
        <v>0</v>
      </c>
      <c r="L470" t="n">
        <v>0</v>
      </c>
      <c r="M470" t="n">
        <v>0</v>
      </c>
      <c r="N470" t="n">
        <v>0</v>
      </c>
      <c r="O470" t="n">
        <v>0</v>
      </c>
      <c r="P470" t="n">
        <v>0</v>
      </c>
      <c r="Q470" t="n">
        <v>0</v>
      </c>
      <c r="R470" s="2" t="inlineStr"/>
    </row>
    <row r="471" ht="15" customHeight="1">
      <c r="A471" t="inlineStr">
        <is>
          <t>A 53587-2024</t>
        </is>
      </c>
      <c r="B471" s="1" t="n">
        <v>45614.66953703704</v>
      </c>
      <c r="C471" s="1" t="n">
        <v>45999</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18583-2021</t>
        </is>
      </c>
      <c r="B472" s="1" t="n">
        <v>44306</v>
      </c>
      <c r="C472" s="1" t="n">
        <v>45999</v>
      </c>
      <c r="D472" t="inlineStr">
        <is>
          <t>UPPSALA LÄN</t>
        </is>
      </c>
      <c r="E472" t="inlineStr">
        <is>
          <t>ENKÖPING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60125-2024</t>
        </is>
      </c>
      <c r="B473" s="1" t="n">
        <v>45642</v>
      </c>
      <c r="C473" s="1" t="n">
        <v>45999</v>
      </c>
      <c r="D473" t="inlineStr">
        <is>
          <t>UPPSALA LÄN</t>
        </is>
      </c>
      <c r="E473" t="inlineStr">
        <is>
          <t>ENKÖPING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1695-2025</t>
        </is>
      </c>
      <c r="B474" s="1" t="n">
        <v>45670</v>
      </c>
      <c r="C474" s="1" t="n">
        <v>45999</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59027-2024</t>
        </is>
      </c>
      <c r="B475" s="1" t="n">
        <v>45636.68755787037</v>
      </c>
      <c r="C475" s="1" t="n">
        <v>45999</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42564-2024</t>
        </is>
      </c>
      <c r="B476" s="1" t="n">
        <v>45565.63358796296</v>
      </c>
      <c r="C476" s="1" t="n">
        <v>45999</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3235-2025</t>
        </is>
      </c>
      <c r="B477" s="1" t="n">
        <v>45679</v>
      </c>
      <c r="C477" s="1" t="n">
        <v>45999</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15711-2025</t>
        </is>
      </c>
      <c r="B478" s="1" t="n">
        <v>45748</v>
      </c>
      <c r="C478" s="1" t="n">
        <v>45999</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6959-2025</t>
        </is>
      </c>
      <c r="B479" s="1" t="n">
        <v>45701.49315972222</v>
      </c>
      <c r="C479" s="1" t="n">
        <v>45999</v>
      </c>
      <c r="D479" t="inlineStr">
        <is>
          <t>UPPSALA LÄN</t>
        </is>
      </c>
      <c r="E479" t="inlineStr">
        <is>
          <t>ENKÖPING</t>
        </is>
      </c>
      <c r="G479" t="n">
        <v>1.8</v>
      </c>
      <c r="H479" t="n">
        <v>0</v>
      </c>
      <c r="I479" t="n">
        <v>0</v>
      </c>
      <c r="J479" t="n">
        <v>0</v>
      </c>
      <c r="K479" t="n">
        <v>0</v>
      </c>
      <c r="L479" t="n">
        <v>0</v>
      </c>
      <c r="M479" t="n">
        <v>0</v>
      </c>
      <c r="N479" t="n">
        <v>0</v>
      </c>
      <c r="O479" t="n">
        <v>0</v>
      </c>
      <c r="P479" t="n">
        <v>0</v>
      </c>
      <c r="Q479" t="n">
        <v>0</v>
      </c>
      <c r="R479" s="2" t="inlineStr"/>
    </row>
    <row r="480" ht="15" customHeight="1">
      <c r="A480" t="inlineStr">
        <is>
          <t>A 67765-2020</t>
        </is>
      </c>
      <c r="B480" s="1" t="n">
        <v>44182</v>
      </c>
      <c r="C480" s="1" t="n">
        <v>45999</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45999</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52299-2023</t>
        </is>
      </c>
      <c r="B482" s="1" t="n">
        <v>45224.61636574074</v>
      </c>
      <c r="C482" s="1" t="n">
        <v>45999</v>
      </c>
      <c r="D482" t="inlineStr">
        <is>
          <t>UPPSALA LÄN</t>
        </is>
      </c>
      <c r="E482" t="inlineStr">
        <is>
          <t>ENKÖPING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25598-2021</t>
        </is>
      </c>
      <c r="B483" s="1" t="n">
        <v>44343.4558912037</v>
      </c>
      <c r="C483" s="1" t="n">
        <v>45999</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32081-2024</t>
        </is>
      </c>
      <c r="B484" s="1" t="n">
        <v>45511.34605324074</v>
      </c>
      <c r="C484" s="1" t="n">
        <v>45999</v>
      </c>
      <c r="D484" t="inlineStr">
        <is>
          <t>UPPSALA LÄN</t>
        </is>
      </c>
      <c r="E484" t="inlineStr">
        <is>
          <t>ENKÖPING</t>
        </is>
      </c>
      <c r="G484" t="n">
        <v>5.4</v>
      </c>
      <c r="H484" t="n">
        <v>0</v>
      </c>
      <c r="I484" t="n">
        <v>0</v>
      </c>
      <c r="J484" t="n">
        <v>0</v>
      </c>
      <c r="K484" t="n">
        <v>0</v>
      </c>
      <c r="L484" t="n">
        <v>0</v>
      </c>
      <c r="M484" t="n">
        <v>0</v>
      </c>
      <c r="N484" t="n">
        <v>0</v>
      </c>
      <c r="O484" t="n">
        <v>0</v>
      </c>
      <c r="P484" t="n">
        <v>0</v>
      </c>
      <c r="Q484" t="n">
        <v>0</v>
      </c>
      <c r="R484" s="2" t="inlineStr"/>
    </row>
    <row r="485" ht="15" customHeight="1">
      <c r="A485" t="inlineStr">
        <is>
          <t>A 20184-2023</t>
        </is>
      </c>
      <c r="B485" s="1" t="n">
        <v>45055.5670949074</v>
      </c>
      <c r="C485" s="1" t="n">
        <v>45999</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61952-2021</t>
        </is>
      </c>
      <c r="B486" s="1" t="n">
        <v>44502</v>
      </c>
      <c r="C486" s="1" t="n">
        <v>45999</v>
      </c>
      <c r="D486" t="inlineStr">
        <is>
          <t>UPPSALA LÄN</t>
        </is>
      </c>
      <c r="E486" t="inlineStr">
        <is>
          <t>ENKÖPING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44907.72241898148</v>
      </c>
      <c r="C487" s="1" t="n">
        <v>45999</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42589-2022</t>
        </is>
      </c>
      <c r="B488" s="1" t="n">
        <v>44831</v>
      </c>
      <c r="C488" s="1" t="n">
        <v>45999</v>
      </c>
      <c r="D488" t="inlineStr">
        <is>
          <t>UPPSALA LÄN</t>
        </is>
      </c>
      <c r="E488" t="inlineStr">
        <is>
          <t>ENKÖPING</t>
        </is>
      </c>
      <c r="G488" t="n">
        <v>20</v>
      </c>
      <c r="H488" t="n">
        <v>0</v>
      </c>
      <c r="I488" t="n">
        <v>0</v>
      </c>
      <c r="J488" t="n">
        <v>0</v>
      </c>
      <c r="K488" t="n">
        <v>0</v>
      </c>
      <c r="L488" t="n">
        <v>0</v>
      </c>
      <c r="M488" t="n">
        <v>0</v>
      </c>
      <c r="N488" t="n">
        <v>0</v>
      </c>
      <c r="O488" t="n">
        <v>0</v>
      </c>
      <c r="P488" t="n">
        <v>0</v>
      </c>
      <c r="Q488" t="n">
        <v>0</v>
      </c>
      <c r="R488" s="2" t="inlineStr"/>
    </row>
    <row r="489" ht="15" customHeight="1">
      <c r="A489" t="inlineStr">
        <is>
          <t>A 35645-2021</t>
        </is>
      </c>
      <c r="B489" s="1" t="n">
        <v>44386.42</v>
      </c>
      <c r="C489" s="1" t="n">
        <v>45999</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2968-2025</t>
        </is>
      </c>
      <c r="B490" s="1" t="n">
        <v>45678</v>
      </c>
      <c r="C490" s="1" t="n">
        <v>45999</v>
      </c>
      <c r="D490" t="inlineStr">
        <is>
          <t>UPPSALA LÄN</t>
        </is>
      </c>
      <c r="E490" t="inlineStr">
        <is>
          <t>ENKÖPING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9487-2025</t>
        </is>
      </c>
      <c r="B491" s="1" t="n">
        <v>45715.49331018519</v>
      </c>
      <c r="C491" s="1" t="n">
        <v>45999</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16176-2025</t>
        </is>
      </c>
      <c r="B492" s="1" t="n">
        <v>45750</v>
      </c>
      <c r="C492" s="1" t="n">
        <v>45999</v>
      </c>
      <c r="D492" t="inlineStr">
        <is>
          <t>UPPSALA LÄN</t>
        </is>
      </c>
      <c r="E492" t="inlineStr">
        <is>
          <t>ENKÖPING</t>
        </is>
      </c>
      <c r="G492" t="n">
        <v>3.9</v>
      </c>
      <c r="H492" t="n">
        <v>0</v>
      </c>
      <c r="I492" t="n">
        <v>0</v>
      </c>
      <c r="J492" t="n">
        <v>0</v>
      </c>
      <c r="K492" t="n">
        <v>0</v>
      </c>
      <c r="L492" t="n">
        <v>0</v>
      </c>
      <c r="M492" t="n">
        <v>0</v>
      </c>
      <c r="N492" t="n">
        <v>0</v>
      </c>
      <c r="O492" t="n">
        <v>0</v>
      </c>
      <c r="P492" t="n">
        <v>0</v>
      </c>
      <c r="Q492" t="n">
        <v>0</v>
      </c>
      <c r="R492" s="2" t="inlineStr"/>
    </row>
    <row r="493">
      <c r="A493" t="inlineStr">
        <is>
          <t>A 37035-2023</t>
        </is>
      </c>
      <c r="B493" s="1" t="n">
        <v>45155</v>
      </c>
      <c r="C493" s="1" t="n">
        <v>45999</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2025-12-08T10:31:14Z</dcterms:created>
  <dcterms:modified xmlns:dcterms="http://purl.org/dc/terms/" xmlns:xsi="http://www.w3.org/2001/XMLSchema-instance" xsi:type="dcterms:W3CDTF">2025-12-08T10:31:15Z</dcterms:modified>
</cp:coreProperties>
</file>