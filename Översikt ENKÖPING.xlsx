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45918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45918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45918</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45918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45918</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45918</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45918</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45918</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45918</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45918</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45918</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45918</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45918</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425-2024</t>
        </is>
      </c>
      <c r="B15" s="1" t="n">
        <v>45296</v>
      </c>
      <c r="C15" s="1" t="n">
        <v>45918</v>
      </c>
      <c r="D15" t="inlineStr">
        <is>
          <t>UPPSALA LÄN</t>
        </is>
      </c>
      <c r="E15" t="inlineStr">
        <is>
          <t>ENKÖPING</t>
        </is>
      </c>
      <c r="G15" t="n">
        <v>8.300000000000001</v>
      </c>
      <c r="H15" t="n">
        <v>2</v>
      </c>
      <c r="I15" t="n">
        <v>0</v>
      </c>
      <c r="J15" t="n">
        <v>0</v>
      </c>
      <c r="K15" t="n">
        <v>0</v>
      </c>
      <c r="L15" t="n">
        <v>0</v>
      </c>
      <c r="M15" t="n">
        <v>0</v>
      </c>
      <c r="N15" t="n">
        <v>0</v>
      </c>
      <c r="O15" t="n">
        <v>0</v>
      </c>
      <c r="P15" t="n">
        <v>0</v>
      </c>
      <c r="Q15" t="n">
        <v>2</v>
      </c>
      <c r="R15" s="2" t="inlineStr">
        <is>
          <t>Grönsiska
Orre</t>
        </is>
      </c>
      <c r="S15">
        <f>HYPERLINK("https://klasma.github.io/Logging_0381/artfynd/A 425-2024 artfynd.xlsx", "A 425-2024")</f>
        <v/>
      </c>
      <c r="T15">
        <f>HYPERLINK("https://klasma.github.io/Logging_0381/kartor/A 425-2024 karta.png", "A 425-2024")</f>
        <v/>
      </c>
      <c r="V15">
        <f>HYPERLINK("https://klasma.github.io/Logging_0381/klagomål/A 425-2024 FSC-klagomål.docx", "A 425-2024")</f>
        <v/>
      </c>
      <c r="W15">
        <f>HYPERLINK("https://klasma.github.io/Logging_0381/klagomålsmail/A 425-2024 FSC-klagomål mail.docx", "A 425-2024")</f>
        <v/>
      </c>
      <c r="X15">
        <f>HYPERLINK("https://klasma.github.io/Logging_0381/tillsyn/A 425-2024 tillsynsbegäran.docx", "A 425-2024")</f>
        <v/>
      </c>
      <c r="Y15">
        <f>HYPERLINK("https://klasma.github.io/Logging_0381/tillsynsmail/A 425-2024 tillsynsbegäran mail.docx", "A 425-2024")</f>
        <v/>
      </c>
      <c r="Z15">
        <f>HYPERLINK("https://klasma.github.io/Logging_0381/fåglar/A 425-2024 prioriterade fågelarter.docx", "A 425-2024")</f>
        <v/>
      </c>
    </row>
    <row r="16" ht="15" customHeight="1">
      <c r="A16" t="inlineStr">
        <is>
          <t>A 50105-2023</t>
        </is>
      </c>
      <c r="B16" s="1" t="n">
        <v>45215</v>
      </c>
      <c r="C16" s="1" t="n">
        <v>45918</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21970-2025</t>
        </is>
      </c>
      <c r="B17" s="1" t="n">
        <v>45784.63335648148</v>
      </c>
      <c r="C17" s="1" t="n">
        <v>45918</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45918</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45918</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45918</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28900-2024</t>
        </is>
      </c>
      <c r="B21" s="1" t="n">
        <v>45480</v>
      </c>
      <c r="C21" s="1" t="n">
        <v>45918</v>
      </c>
      <c r="D21" t="inlineStr">
        <is>
          <t>UPPSALA LÄN</t>
        </is>
      </c>
      <c r="E21" t="inlineStr">
        <is>
          <t>ENKÖPING</t>
        </is>
      </c>
      <c r="G21" t="n">
        <v>8.6</v>
      </c>
      <c r="H21" t="n">
        <v>1</v>
      </c>
      <c r="I21" t="n">
        <v>0</v>
      </c>
      <c r="J21" t="n">
        <v>0</v>
      </c>
      <c r="K21" t="n">
        <v>0</v>
      </c>
      <c r="L21" t="n">
        <v>0</v>
      </c>
      <c r="M21" t="n">
        <v>0</v>
      </c>
      <c r="N21" t="n">
        <v>0</v>
      </c>
      <c r="O21" t="n">
        <v>0</v>
      </c>
      <c r="P21" t="n">
        <v>0</v>
      </c>
      <c r="Q21" t="n">
        <v>1</v>
      </c>
      <c r="R21" s="2" t="inlineStr">
        <is>
          <t>Blåsippa</t>
        </is>
      </c>
      <c r="S21">
        <f>HYPERLINK("https://klasma.github.io/Logging_0381/artfynd/A 28900-2024 artfynd.xlsx", "A 28900-2024")</f>
        <v/>
      </c>
      <c r="T21">
        <f>HYPERLINK("https://klasma.github.io/Logging_0381/kartor/A 28900-2024 karta.png", "A 28900-2024")</f>
        <v/>
      </c>
      <c r="V21">
        <f>HYPERLINK("https://klasma.github.io/Logging_0381/klagomål/A 28900-2024 FSC-klagomål.docx", "A 28900-2024")</f>
        <v/>
      </c>
      <c r="W21">
        <f>HYPERLINK("https://klasma.github.io/Logging_0381/klagomålsmail/A 28900-2024 FSC-klagomål mail.docx", "A 28900-2024")</f>
        <v/>
      </c>
      <c r="X21">
        <f>HYPERLINK("https://klasma.github.io/Logging_0381/tillsyn/A 28900-2024 tillsynsbegäran.docx", "A 28900-2024")</f>
        <v/>
      </c>
      <c r="Y21">
        <f>HYPERLINK("https://klasma.github.io/Logging_0381/tillsynsmail/A 28900-2024 tillsynsbegäran mail.docx", "A 28900-2024")</f>
        <v/>
      </c>
    </row>
    <row r="22" ht="15" customHeight="1">
      <c r="A22" t="inlineStr">
        <is>
          <t>A 17942-2024</t>
        </is>
      </c>
      <c r="B22" s="1" t="n">
        <v>45419</v>
      </c>
      <c r="C22" s="1" t="n">
        <v>45918</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33339-2024</t>
        </is>
      </c>
      <c r="B23" s="1" t="n">
        <v>45519</v>
      </c>
      <c r="C23" s="1" t="n">
        <v>45918</v>
      </c>
      <c r="D23" t="inlineStr">
        <is>
          <t>UPPSALA LÄN</t>
        </is>
      </c>
      <c r="E23" t="inlineStr">
        <is>
          <t>ENKÖPING</t>
        </is>
      </c>
      <c r="G23" t="n">
        <v>2.3</v>
      </c>
      <c r="H23" t="n">
        <v>0</v>
      </c>
      <c r="I23" t="n">
        <v>0</v>
      </c>
      <c r="J23" t="n">
        <v>1</v>
      </c>
      <c r="K23" t="n">
        <v>0</v>
      </c>
      <c r="L23" t="n">
        <v>0</v>
      </c>
      <c r="M23" t="n">
        <v>0</v>
      </c>
      <c r="N23" t="n">
        <v>0</v>
      </c>
      <c r="O23" t="n">
        <v>1</v>
      </c>
      <c r="P23" t="n">
        <v>0</v>
      </c>
      <c r="Q23" t="n">
        <v>1</v>
      </c>
      <c r="R23" s="2" t="inlineStr">
        <is>
          <t>Ullticka</t>
        </is>
      </c>
      <c r="S23">
        <f>HYPERLINK("https://klasma.github.io/Logging_0381/artfynd/A 33339-2024 artfynd.xlsx", "A 33339-2024")</f>
        <v/>
      </c>
      <c r="T23">
        <f>HYPERLINK("https://klasma.github.io/Logging_0381/kartor/A 33339-2024 karta.png", "A 33339-2024")</f>
        <v/>
      </c>
      <c r="V23">
        <f>HYPERLINK("https://klasma.github.io/Logging_0381/klagomål/A 33339-2024 FSC-klagomål.docx", "A 33339-2024")</f>
        <v/>
      </c>
      <c r="W23">
        <f>HYPERLINK("https://klasma.github.io/Logging_0381/klagomålsmail/A 33339-2024 FSC-klagomål mail.docx", "A 33339-2024")</f>
        <v/>
      </c>
      <c r="X23">
        <f>HYPERLINK("https://klasma.github.io/Logging_0381/tillsyn/A 33339-2024 tillsynsbegäran.docx", "A 33339-2024")</f>
        <v/>
      </c>
      <c r="Y23">
        <f>HYPERLINK("https://klasma.github.io/Logging_0381/tillsynsmail/A 33339-2024 tillsynsbegäran mail.docx", "A 33339-2024")</f>
        <v/>
      </c>
    </row>
    <row r="24" ht="15" customHeight="1">
      <c r="A24" t="inlineStr">
        <is>
          <t>A 23385-2021</t>
        </is>
      </c>
      <c r="B24" s="1" t="n">
        <v>44333.6091087963</v>
      </c>
      <c r="C24" s="1" t="n">
        <v>45918</v>
      </c>
      <c r="D24" t="inlineStr">
        <is>
          <t>UPPSALA LÄN</t>
        </is>
      </c>
      <c r="E24" t="inlineStr">
        <is>
          <t>ENKÖPING</t>
        </is>
      </c>
      <c r="G24" t="n">
        <v>0.7</v>
      </c>
      <c r="H24" t="n">
        <v>1</v>
      </c>
      <c r="I24" t="n">
        <v>0</v>
      </c>
      <c r="J24" t="n">
        <v>1</v>
      </c>
      <c r="K24" t="n">
        <v>0</v>
      </c>
      <c r="L24" t="n">
        <v>0</v>
      </c>
      <c r="M24" t="n">
        <v>0</v>
      </c>
      <c r="N24" t="n">
        <v>0</v>
      </c>
      <c r="O24" t="n">
        <v>1</v>
      </c>
      <c r="P24" t="n">
        <v>0</v>
      </c>
      <c r="Q24" t="n">
        <v>1</v>
      </c>
      <c r="R24" s="2" t="inlineStr">
        <is>
          <t>Talltita</t>
        </is>
      </c>
      <c r="S24">
        <f>HYPERLINK("https://klasma.github.io/Logging_0381/artfynd/A 23385-2021 artfynd.xlsx", "A 23385-2021")</f>
        <v/>
      </c>
      <c r="T24">
        <f>HYPERLINK("https://klasma.github.io/Logging_0381/kartor/A 23385-2021 karta.png", "A 23385-2021")</f>
        <v/>
      </c>
      <c r="V24">
        <f>HYPERLINK("https://klasma.github.io/Logging_0381/klagomål/A 23385-2021 FSC-klagomål.docx", "A 23385-2021")</f>
        <v/>
      </c>
      <c r="W24">
        <f>HYPERLINK("https://klasma.github.io/Logging_0381/klagomålsmail/A 23385-2021 FSC-klagomål mail.docx", "A 23385-2021")</f>
        <v/>
      </c>
      <c r="X24">
        <f>HYPERLINK("https://klasma.github.io/Logging_0381/tillsyn/A 23385-2021 tillsynsbegäran.docx", "A 23385-2021")</f>
        <v/>
      </c>
      <c r="Y24">
        <f>HYPERLINK("https://klasma.github.io/Logging_0381/tillsynsmail/A 23385-2021 tillsynsbegäran mail.docx", "A 23385-2021")</f>
        <v/>
      </c>
      <c r="Z24">
        <f>HYPERLINK("https://klasma.github.io/Logging_0381/fåglar/A 23385-2021 prioriterade fågelarter.docx", "A 23385-2021")</f>
        <v/>
      </c>
    </row>
    <row r="25" ht="15" customHeight="1">
      <c r="A25" t="inlineStr">
        <is>
          <t>A 46749-2024</t>
        </is>
      </c>
      <c r="B25" s="1" t="n">
        <v>45583.48347222222</v>
      </c>
      <c r="C25" s="1" t="n">
        <v>45918</v>
      </c>
      <c r="D25" t="inlineStr">
        <is>
          <t>UPPSALA LÄN</t>
        </is>
      </c>
      <c r="E25" t="inlineStr">
        <is>
          <t>ENKÖPING</t>
        </is>
      </c>
      <c r="G25" t="n">
        <v>8.5</v>
      </c>
      <c r="H25" t="n">
        <v>0</v>
      </c>
      <c r="I25" t="n">
        <v>0</v>
      </c>
      <c r="J25" t="n">
        <v>1</v>
      </c>
      <c r="K25" t="n">
        <v>0</v>
      </c>
      <c r="L25" t="n">
        <v>0</v>
      </c>
      <c r="M25" t="n">
        <v>0</v>
      </c>
      <c r="N25" t="n">
        <v>0</v>
      </c>
      <c r="O25" t="n">
        <v>1</v>
      </c>
      <c r="P25" t="n">
        <v>0</v>
      </c>
      <c r="Q25" t="n">
        <v>1</v>
      </c>
      <c r="R25" s="2" t="inlineStr">
        <is>
          <t>Leptoporus erubescens</t>
        </is>
      </c>
      <c r="S25">
        <f>HYPERLINK("https://klasma.github.io/Logging_0381/artfynd/A 46749-2024 artfynd.xlsx", "A 46749-2024")</f>
        <v/>
      </c>
      <c r="T25">
        <f>HYPERLINK("https://klasma.github.io/Logging_0381/kartor/A 46749-2024 karta.png", "A 46749-2024")</f>
        <v/>
      </c>
      <c r="V25">
        <f>HYPERLINK("https://klasma.github.io/Logging_0381/klagomål/A 46749-2024 FSC-klagomål.docx", "A 46749-2024")</f>
        <v/>
      </c>
      <c r="W25">
        <f>HYPERLINK("https://klasma.github.io/Logging_0381/klagomålsmail/A 46749-2024 FSC-klagomål mail.docx", "A 46749-2024")</f>
        <v/>
      </c>
      <c r="X25">
        <f>HYPERLINK("https://klasma.github.io/Logging_0381/tillsyn/A 46749-2024 tillsynsbegäran.docx", "A 46749-2024")</f>
        <v/>
      </c>
      <c r="Y25">
        <f>HYPERLINK("https://klasma.github.io/Logging_0381/tillsynsmail/A 46749-2024 tillsynsbegäran mail.docx", "A 46749-2024")</f>
        <v/>
      </c>
    </row>
    <row r="26" ht="15" customHeight="1">
      <c r="A26" t="inlineStr">
        <is>
          <t>A 45116-2023</t>
        </is>
      </c>
      <c r="B26" s="1" t="n">
        <v>45191</v>
      </c>
      <c r="C26" s="1" t="n">
        <v>45918</v>
      </c>
      <c r="D26" t="inlineStr">
        <is>
          <t>UPPSALA LÄN</t>
        </is>
      </c>
      <c r="E26" t="inlineStr">
        <is>
          <t>ENKÖPING</t>
        </is>
      </c>
      <c r="G26" t="n">
        <v>2</v>
      </c>
      <c r="H26" t="n">
        <v>0</v>
      </c>
      <c r="I26" t="n">
        <v>1</v>
      </c>
      <c r="J26" t="n">
        <v>0</v>
      </c>
      <c r="K26" t="n">
        <v>0</v>
      </c>
      <c r="L26" t="n">
        <v>0</v>
      </c>
      <c r="M26" t="n">
        <v>0</v>
      </c>
      <c r="N26" t="n">
        <v>0</v>
      </c>
      <c r="O26" t="n">
        <v>0</v>
      </c>
      <c r="P26" t="n">
        <v>0</v>
      </c>
      <c r="Q26" t="n">
        <v>1</v>
      </c>
      <c r="R26" s="2" t="inlineStr">
        <is>
          <t>Rävticka</t>
        </is>
      </c>
      <c r="S26">
        <f>HYPERLINK("https://klasma.github.io/Logging_0381/artfynd/A 45116-2023 artfynd.xlsx", "A 45116-2023")</f>
        <v/>
      </c>
      <c r="T26">
        <f>HYPERLINK("https://klasma.github.io/Logging_0381/kartor/A 45116-2023 karta.png", "A 45116-2023")</f>
        <v/>
      </c>
      <c r="V26">
        <f>HYPERLINK("https://klasma.github.io/Logging_0381/klagomål/A 45116-2023 FSC-klagomål.docx", "A 45116-2023")</f>
        <v/>
      </c>
      <c r="W26">
        <f>HYPERLINK("https://klasma.github.io/Logging_0381/klagomålsmail/A 45116-2023 FSC-klagomål mail.docx", "A 45116-2023")</f>
        <v/>
      </c>
      <c r="X26">
        <f>HYPERLINK("https://klasma.github.io/Logging_0381/tillsyn/A 45116-2023 tillsynsbegäran.docx", "A 45116-2023")</f>
        <v/>
      </c>
      <c r="Y26">
        <f>HYPERLINK("https://klasma.github.io/Logging_0381/tillsynsmail/A 45116-2023 tillsynsbegäran mail.docx", "A 45116-2023")</f>
        <v/>
      </c>
    </row>
    <row r="27" ht="15" customHeight="1">
      <c r="A27" t="inlineStr">
        <is>
          <t>A 1524-2023</t>
        </is>
      </c>
      <c r="B27" s="1" t="n">
        <v>44935</v>
      </c>
      <c r="C27" s="1" t="n">
        <v>45918</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26347-2025</t>
        </is>
      </c>
      <c r="B28" s="1" t="n">
        <v>45805.7403125</v>
      </c>
      <c r="C28" s="1" t="n">
        <v>45918</v>
      </c>
      <c r="D28" t="inlineStr">
        <is>
          <t>UPPSALA LÄN</t>
        </is>
      </c>
      <c r="E28" t="inlineStr">
        <is>
          <t>ENKÖPING</t>
        </is>
      </c>
      <c r="G28" t="n">
        <v>7.3</v>
      </c>
      <c r="H28" t="n">
        <v>1</v>
      </c>
      <c r="I28" t="n">
        <v>0</v>
      </c>
      <c r="J28" t="n">
        <v>0</v>
      </c>
      <c r="K28" t="n">
        <v>1</v>
      </c>
      <c r="L28" t="n">
        <v>0</v>
      </c>
      <c r="M28" t="n">
        <v>0</v>
      </c>
      <c r="N28" t="n">
        <v>0</v>
      </c>
      <c r="O28" t="n">
        <v>1</v>
      </c>
      <c r="P28" t="n">
        <v>1</v>
      </c>
      <c r="Q28" t="n">
        <v>1</v>
      </c>
      <c r="R28" s="2" t="inlineStr">
        <is>
          <t>Tofsvipa</t>
        </is>
      </c>
      <c r="S28">
        <f>HYPERLINK("https://klasma.github.io/Logging_0381/artfynd/A 26347-2025 artfynd.xlsx", "A 26347-2025")</f>
        <v/>
      </c>
      <c r="T28">
        <f>HYPERLINK("https://klasma.github.io/Logging_0381/kartor/A 26347-2025 karta.png", "A 26347-2025")</f>
        <v/>
      </c>
      <c r="V28">
        <f>HYPERLINK("https://klasma.github.io/Logging_0381/klagomål/A 26347-2025 FSC-klagomål.docx", "A 26347-2025")</f>
        <v/>
      </c>
      <c r="W28">
        <f>HYPERLINK("https://klasma.github.io/Logging_0381/klagomålsmail/A 26347-2025 FSC-klagomål mail.docx", "A 26347-2025")</f>
        <v/>
      </c>
      <c r="X28">
        <f>HYPERLINK("https://klasma.github.io/Logging_0381/tillsyn/A 26347-2025 tillsynsbegäran.docx", "A 26347-2025")</f>
        <v/>
      </c>
      <c r="Y28">
        <f>HYPERLINK("https://klasma.github.io/Logging_0381/tillsynsmail/A 26347-2025 tillsynsbegäran mail.docx", "A 26347-2025")</f>
        <v/>
      </c>
    </row>
    <row r="29" ht="15" customHeight="1">
      <c r="A29" t="inlineStr">
        <is>
          <t>A 27060-2025</t>
        </is>
      </c>
      <c r="B29" s="1" t="n">
        <v>45811.63590277778</v>
      </c>
      <c r="C29" s="1" t="n">
        <v>45918</v>
      </c>
      <c r="D29" t="inlineStr">
        <is>
          <t>UPPSALA LÄN</t>
        </is>
      </c>
      <c r="E29" t="inlineStr">
        <is>
          <t>ENKÖPING</t>
        </is>
      </c>
      <c r="G29" t="n">
        <v>2.6</v>
      </c>
      <c r="H29" t="n">
        <v>0</v>
      </c>
      <c r="I29" t="n">
        <v>1</v>
      </c>
      <c r="J29" t="n">
        <v>0</v>
      </c>
      <c r="K29" t="n">
        <v>0</v>
      </c>
      <c r="L29" t="n">
        <v>0</v>
      </c>
      <c r="M29" t="n">
        <v>0</v>
      </c>
      <c r="N29" t="n">
        <v>0</v>
      </c>
      <c r="O29" t="n">
        <v>0</v>
      </c>
      <c r="P29" t="n">
        <v>0</v>
      </c>
      <c r="Q29" t="n">
        <v>1</v>
      </c>
      <c r="R29" s="2" t="inlineStr">
        <is>
          <t>Granbarkgnagare</t>
        </is>
      </c>
      <c r="S29">
        <f>HYPERLINK("https://klasma.github.io/Logging_0381/artfynd/A 27060-2025 artfynd.xlsx", "A 27060-2025")</f>
        <v/>
      </c>
      <c r="T29">
        <f>HYPERLINK("https://klasma.github.io/Logging_0381/kartor/A 27060-2025 karta.png", "A 27060-2025")</f>
        <v/>
      </c>
      <c r="V29">
        <f>HYPERLINK("https://klasma.github.io/Logging_0381/klagomål/A 27060-2025 FSC-klagomål.docx", "A 27060-2025")</f>
        <v/>
      </c>
      <c r="W29">
        <f>HYPERLINK("https://klasma.github.io/Logging_0381/klagomålsmail/A 27060-2025 FSC-klagomål mail.docx", "A 27060-2025")</f>
        <v/>
      </c>
      <c r="X29">
        <f>HYPERLINK("https://klasma.github.io/Logging_0381/tillsyn/A 27060-2025 tillsynsbegäran.docx", "A 27060-2025")</f>
        <v/>
      </c>
      <c r="Y29">
        <f>HYPERLINK("https://klasma.github.io/Logging_0381/tillsynsmail/A 27060-2025 tillsynsbegäran mail.docx", "A 27060-2025")</f>
        <v/>
      </c>
    </row>
    <row r="30" ht="15" customHeight="1">
      <c r="A30" t="inlineStr">
        <is>
          <t>A 23961-2022</t>
        </is>
      </c>
      <c r="B30" s="1" t="n">
        <v>44722</v>
      </c>
      <c r="C30" s="1" t="n">
        <v>45918</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Blåsippa</t>
        </is>
      </c>
      <c r="S30">
        <f>HYPERLINK("https://klasma.github.io/Logging_0381/artfynd/A 23961-2022 artfynd.xlsx", "A 23961-2022")</f>
        <v/>
      </c>
      <c r="T30">
        <f>HYPERLINK("https://klasma.github.io/Logging_0381/kartor/A 23961-2022 karta.png", "A 23961-2022")</f>
        <v/>
      </c>
      <c r="V30">
        <f>HYPERLINK("https://klasma.github.io/Logging_0381/klagomål/A 23961-2022 FSC-klagomål.docx", "A 23961-2022")</f>
        <v/>
      </c>
      <c r="W30">
        <f>HYPERLINK("https://klasma.github.io/Logging_0381/klagomålsmail/A 23961-2022 FSC-klagomål mail.docx", "A 23961-2022")</f>
        <v/>
      </c>
      <c r="X30">
        <f>HYPERLINK("https://klasma.github.io/Logging_0381/tillsyn/A 23961-2022 tillsynsbegäran.docx", "A 23961-2022")</f>
        <v/>
      </c>
      <c r="Y30">
        <f>HYPERLINK("https://klasma.github.io/Logging_0381/tillsynsmail/A 23961-2022 tillsynsbegäran mail.docx", "A 23961-2022")</f>
        <v/>
      </c>
    </row>
    <row r="31" ht="15" customHeight="1">
      <c r="A31" t="inlineStr">
        <is>
          <t>A 29510-2025</t>
        </is>
      </c>
      <c r="B31" s="1" t="n">
        <v>45825</v>
      </c>
      <c r="C31" s="1" t="n">
        <v>45918</v>
      </c>
      <c r="D31" t="inlineStr">
        <is>
          <t>UPPSALA LÄN</t>
        </is>
      </c>
      <c r="E31" t="inlineStr">
        <is>
          <t>ENKÖPING</t>
        </is>
      </c>
      <c r="G31" t="n">
        <v>2.4</v>
      </c>
      <c r="H31" t="n">
        <v>0</v>
      </c>
      <c r="I31" t="n">
        <v>0</v>
      </c>
      <c r="J31" t="n">
        <v>0</v>
      </c>
      <c r="K31" t="n">
        <v>1</v>
      </c>
      <c r="L31" t="n">
        <v>0</v>
      </c>
      <c r="M31" t="n">
        <v>0</v>
      </c>
      <c r="N31" t="n">
        <v>0</v>
      </c>
      <c r="O31" t="n">
        <v>1</v>
      </c>
      <c r="P31" t="n">
        <v>1</v>
      </c>
      <c r="Q31" t="n">
        <v>1</v>
      </c>
      <c r="R31" s="2" t="inlineStr">
        <is>
          <t>Toppjungfrulin</t>
        </is>
      </c>
      <c r="S31">
        <f>HYPERLINK("https://klasma.github.io/Logging_0381/artfynd/A 29510-2025 artfynd.xlsx", "A 29510-2025")</f>
        <v/>
      </c>
      <c r="T31">
        <f>HYPERLINK("https://klasma.github.io/Logging_0381/kartor/A 29510-2025 karta.png", "A 29510-2025")</f>
        <v/>
      </c>
      <c r="V31">
        <f>HYPERLINK("https://klasma.github.io/Logging_0381/klagomål/A 29510-2025 FSC-klagomål.docx", "A 29510-2025")</f>
        <v/>
      </c>
      <c r="W31">
        <f>HYPERLINK("https://klasma.github.io/Logging_0381/klagomålsmail/A 29510-2025 FSC-klagomål mail.docx", "A 29510-2025")</f>
        <v/>
      </c>
      <c r="X31">
        <f>HYPERLINK("https://klasma.github.io/Logging_0381/tillsyn/A 29510-2025 tillsynsbegäran.docx", "A 29510-2025")</f>
        <v/>
      </c>
      <c r="Y31">
        <f>HYPERLINK("https://klasma.github.io/Logging_0381/tillsynsmail/A 29510-2025 tillsynsbegäran mail.docx", "A 29510-2025")</f>
        <v/>
      </c>
    </row>
    <row r="32" ht="15" customHeight="1">
      <c r="A32" t="inlineStr">
        <is>
          <t>A 16683-2021</t>
        </is>
      </c>
      <c r="B32" s="1" t="n">
        <v>44294.58495370371</v>
      </c>
      <c r="C32" s="1" t="n">
        <v>45918</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45918</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45918</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45918</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45918</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45918</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45918</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45918</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45918</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45918</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45918</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45918</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45918</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45918</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45918</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45918</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45918</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45918</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45918</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45918</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45918</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45918</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45918</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45918</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45918</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45918</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45918</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45918</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45918</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45918</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45918</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45918</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45918</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45918</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45918</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45918</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45918</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45918</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45918</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45918</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45918</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29425-2022</t>
        </is>
      </c>
      <c r="B73" s="1" t="n">
        <v>44753.47837962963</v>
      </c>
      <c r="C73" s="1" t="n">
        <v>45918</v>
      </c>
      <c r="D73" t="inlineStr">
        <is>
          <t>UPPSALA LÄN</t>
        </is>
      </c>
      <c r="E73" t="inlineStr">
        <is>
          <t>ENKÖPING</t>
        </is>
      </c>
      <c r="G73" t="n">
        <v>2.5</v>
      </c>
      <c r="H73" t="n">
        <v>0</v>
      </c>
      <c r="I73" t="n">
        <v>0</v>
      </c>
      <c r="J73" t="n">
        <v>0</v>
      </c>
      <c r="K73" t="n">
        <v>0</v>
      </c>
      <c r="L73" t="n">
        <v>0</v>
      </c>
      <c r="M73" t="n">
        <v>0</v>
      </c>
      <c r="N73" t="n">
        <v>0</v>
      </c>
      <c r="O73" t="n">
        <v>0</v>
      </c>
      <c r="P73" t="n">
        <v>0</v>
      </c>
      <c r="Q73" t="n">
        <v>0</v>
      </c>
      <c r="R73" s="2" t="inlineStr"/>
    </row>
    <row r="74" ht="15" customHeight="1">
      <c r="A74" t="inlineStr">
        <is>
          <t>A 63715-2020</t>
        </is>
      </c>
      <c r="B74" s="1" t="n">
        <v>44166</v>
      </c>
      <c r="C74" s="1" t="n">
        <v>45918</v>
      </c>
      <c r="D74" t="inlineStr">
        <is>
          <t>UPPSALA LÄN</t>
        </is>
      </c>
      <c r="E74" t="inlineStr">
        <is>
          <t>ENKÖPING</t>
        </is>
      </c>
      <c r="F74" t="inlineStr">
        <is>
          <t>Övriga statliga verk och myndigheter</t>
        </is>
      </c>
      <c r="G74" t="n">
        <v>5.9</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45918</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45918</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3903-2021</t>
        </is>
      </c>
      <c r="B77" s="1" t="n">
        <v>44217</v>
      </c>
      <c r="C77" s="1" t="n">
        <v>45918</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12732-2021</t>
        </is>
      </c>
      <c r="B78" s="1" t="n">
        <v>44270.62864583333</v>
      </c>
      <c r="C78" s="1" t="n">
        <v>45918</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45918</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45918</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45918</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45918</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45918</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45918</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45918</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45918</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45918</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62046-2021</t>
        </is>
      </c>
      <c r="B88" s="1" t="n">
        <v>44502</v>
      </c>
      <c r="C88" s="1" t="n">
        <v>45918</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12538-2021</t>
        </is>
      </c>
      <c r="B89" s="1" t="n">
        <v>44269</v>
      </c>
      <c r="C89" s="1" t="n">
        <v>45918</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45918</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57043-2021</t>
        </is>
      </c>
      <c r="B91" s="1" t="n">
        <v>44482.53399305556</v>
      </c>
      <c r="C91" s="1" t="n">
        <v>45918</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47516-2022</t>
        </is>
      </c>
      <c r="B92" s="1" t="n">
        <v>44853.68895833333</v>
      </c>
      <c r="C92" s="1" t="n">
        <v>45918</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15997-2021</t>
        </is>
      </c>
      <c r="B93" s="1" t="n">
        <v>44287</v>
      </c>
      <c r="C93" s="1" t="n">
        <v>45918</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28795-2021</t>
        </is>
      </c>
      <c r="B94" s="1" t="n">
        <v>44357</v>
      </c>
      <c r="C94" s="1" t="n">
        <v>45918</v>
      </c>
      <c r="D94" t="inlineStr">
        <is>
          <t>UPPSALA LÄN</t>
        </is>
      </c>
      <c r="E94" t="inlineStr">
        <is>
          <t>ENKÖPING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52464-2020</t>
        </is>
      </c>
      <c r="B95" s="1" t="n">
        <v>44118</v>
      </c>
      <c r="C95" s="1" t="n">
        <v>45918</v>
      </c>
      <c r="D95" t="inlineStr">
        <is>
          <t>UPPSALA LÄN</t>
        </is>
      </c>
      <c r="E95" t="inlineStr">
        <is>
          <t>ENKÖPING</t>
        </is>
      </c>
      <c r="G95" t="n">
        <v>4.6</v>
      </c>
      <c r="H95" t="n">
        <v>0</v>
      </c>
      <c r="I95" t="n">
        <v>0</v>
      </c>
      <c r="J95" t="n">
        <v>0</v>
      </c>
      <c r="K95" t="n">
        <v>0</v>
      </c>
      <c r="L95" t="n">
        <v>0</v>
      </c>
      <c r="M95" t="n">
        <v>0</v>
      </c>
      <c r="N95" t="n">
        <v>0</v>
      </c>
      <c r="O95" t="n">
        <v>0</v>
      </c>
      <c r="P95" t="n">
        <v>0</v>
      </c>
      <c r="Q95" t="n">
        <v>0</v>
      </c>
      <c r="R95" s="2" t="inlineStr"/>
    </row>
    <row r="96" ht="15" customHeight="1">
      <c r="A96" t="inlineStr">
        <is>
          <t>A 31013-2022</t>
        </is>
      </c>
      <c r="B96" s="1" t="n">
        <v>44768</v>
      </c>
      <c r="C96" s="1" t="n">
        <v>45918</v>
      </c>
      <c r="D96" t="inlineStr">
        <is>
          <t>UPPSALA LÄN</t>
        </is>
      </c>
      <c r="E96" t="inlineStr">
        <is>
          <t>ENKÖPING</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42029-2021</t>
        </is>
      </c>
      <c r="B97" s="1" t="n">
        <v>44426</v>
      </c>
      <c r="C97" s="1" t="n">
        <v>45918</v>
      </c>
      <c r="D97" t="inlineStr">
        <is>
          <t>UPPSALA LÄN</t>
        </is>
      </c>
      <c r="E97" t="inlineStr">
        <is>
          <t>ENKÖPING</t>
        </is>
      </c>
      <c r="G97" t="n">
        <v>5.3</v>
      </c>
      <c r="H97" t="n">
        <v>0</v>
      </c>
      <c r="I97" t="n">
        <v>0</v>
      </c>
      <c r="J97" t="n">
        <v>0</v>
      </c>
      <c r="K97" t="n">
        <v>0</v>
      </c>
      <c r="L97" t="n">
        <v>0</v>
      </c>
      <c r="M97" t="n">
        <v>0</v>
      </c>
      <c r="N97" t="n">
        <v>0</v>
      </c>
      <c r="O97" t="n">
        <v>0</v>
      </c>
      <c r="P97" t="n">
        <v>0</v>
      </c>
      <c r="Q97" t="n">
        <v>0</v>
      </c>
      <c r="R97" s="2" t="inlineStr"/>
    </row>
    <row r="98" ht="15" customHeight="1">
      <c r="A98" t="inlineStr">
        <is>
          <t>A 58798-2020</t>
        </is>
      </c>
      <c r="B98" s="1" t="n">
        <v>44146</v>
      </c>
      <c r="C98" s="1" t="n">
        <v>45918</v>
      </c>
      <c r="D98" t="inlineStr">
        <is>
          <t>UPPSALA LÄN</t>
        </is>
      </c>
      <c r="E98" t="inlineStr">
        <is>
          <t>ENKÖPING</t>
        </is>
      </c>
      <c r="G98" t="n">
        <v>1.8</v>
      </c>
      <c r="H98" t="n">
        <v>0</v>
      </c>
      <c r="I98" t="n">
        <v>0</v>
      </c>
      <c r="J98" t="n">
        <v>0</v>
      </c>
      <c r="K98" t="n">
        <v>0</v>
      </c>
      <c r="L98" t="n">
        <v>0</v>
      </c>
      <c r="M98" t="n">
        <v>0</v>
      </c>
      <c r="N98" t="n">
        <v>0</v>
      </c>
      <c r="O98" t="n">
        <v>0</v>
      </c>
      <c r="P98" t="n">
        <v>0</v>
      </c>
      <c r="Q98" t="n">
        <v>0</v>
      </c>
      <c r="R98" s="2" t="inlineStr"/>
    </row>
    <row r="99" ht="15" customHeight="1">
      <c r="A99" t="inlineStr">
        <is>
          <t>A 1971-2022</t>
        </is>
      </c>
      <c r="B99" s="1" t="n">
        <v>44575</v>
      </c>
      <c r="C99" s="1" t="n">
        <v>45918</v>
      </c>
      <c r="D99" t="inlineStr">
        <is>
          <t>UPPSALA LÄN</t>
        </is>
      </c>
      <c r="E99" t="inlineStr">
        <is>
          <t>ENKÖPING</t>
        </is>
      </c>
      <c r="G99" t="n">
        <v>1.4</v>
      </c>
      <c r="H99" t="n">
        <v>0</v>
      </c>
      <c r="I99" t="n">
        <v>0</v>
      </c>
      <c r="J99" t="n">
        <v>0</v>
      </c>
      <c r="K99" t="n">
        <v>0</v>
      </c>
      <c r="L99" t="n">
        <v>0</v>
      </c>
      <c r="M99" t="n">
        <v>0</v>
      </c>
      <c r="N99" t="n">
        <v>0</v>
      </c>
      <c r="O99" t="n">
        <v>0</v>
      </c>
      <c r="P99" t="n">
        <v>0</v>
      </c>
      <c r="Q99" t="n">
        <v>0</v>
      </c>
      <c r="R99" s="2" t="inlineStr"/>
    </row>
    <row r="100" ht="15" customHeight="1">
      <c r="A100" t="inlineStr">
        <is>
          <t>A 20067-2021</t>
        </is>
      </c>
      <c r="B100" s="1" t="n">
        <v>44314</v>
      </c>
      <c r="C100" s="1" t="n">
        <v>45918</v>
      </c>
      <c r="D100" t="inlineStr">
        <is>
          <t>UPPSALA LÄN</t>
        </is>
      </c>
      <c r="E100" t="inlineStr">
        <is>
          <t>ENKÖPING</t>
        </is>
      </c>
      <c r="G100" t="n">
        <v>0.9</v>
      </c>
      <c r="H100" t="n">
        <v>0</v>
      </c>
      <c r="I100" t="n">
        <v>0</v>
      </c>
      <c r="J100" t="n">
        <v>0</v>
      </c>
      <c r="K100" t="n">
        <v>0</v>
      </c>
      <c r="L100" t="n">
        <v>0</v>
      </c>
      <c r="M100" t="n">
        <v>0</v>
      </c>
      <c r="N100" t="n">
        <v>0</v>
      </c>
      <c r="O100" t="n">
        <v>0</v>
      </c>
      <c r="P100" t="n">
        <v>0</v>
      </c>
      <c r="Q100" t="n">
        <v>0</v>
      </c>
      <c r="R100" s="2" t="inlineStr"/>
    </row>
    <row r="101" ht="15" customHeight="1">
      <c r="A101" t="inlineStr">
        <is>
          <t>A 15924-2022</t>
        </is>
      </c>
      <c r="B101" s="1" t="n">
        <v>44664</v>
      </c>
      <c r="C101" s="1" t="n">
        <v>45918</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15943-2022</t>
        </is>
      </c>
      <c r="B102" s="1" t="n">
        <v>44664.66428240741</v>
      </c>
      <c r="C102" s="1" t="n">
        <v>45918</v>
      </c>
      <c r="D102" t="inlineStr">
        <is>
          <t>UPPSALA LÄN</t>
        </is>
      </c>
      <c r="E102" t="inlineStr">
        <is>
          <t>ENKÖPING</t>
        </is>
      </c>
      <c r="G102" t="n">
        <v>0.6</v>
      </c>
      <c r="H102" t="n">
        <v>0</v>
      </c>
      <c r="I102" t="n">
        <v>0</v>
      </c>
      <c r="J102" t="n">
        <v>0</v>
      </c>
      <c r="K102" t="n">
        <v>0</v>
      </c>
      <c r="L102" t="n">
        <v>0</v>
      </c>
      <c r="M102" t="n">
        <v>0</v>
      </c>
      <c r="N102" t="n">
        <v>0</v>
      </c>
      <c r="O102" t="n">
        <v>0</v>
      </c>
      <c r="P102" t="n">
        <v>0</v>
      </c>
      <c r="Q102" t="n">
        <v>0</v>
      </c>
      <c r="R102" s="2" t="inlineStr"/>
    </row>
    <row r="103" ht="15" customHeight="1">
      <c r="A103" t="inlineStr">
        <is>
          <t>A 47106-2021</t>
        </is>
      </c>
      <c r="B103" s="1" t="n">
        <v>44446</v>
      </c>
      <c r="C103" s="1" t="n">
        <v>45918</v>
      </c>
      <c r="D103" t="inlineStr">
        <is>
          <t>UPPSALA LÄN</t>
        </is>
      </c>
      <c r="E103" t="inlineStr">
        <is>
          <t>ENKÖPING</t>
        </is>
      </c>
      <c r="G103" t="n">
        <v>7.6</v>
      </c>
      <c r="H103" t="n">
        <v>0</v>
      </c>
      <c r="I103" t="n">
        <v>0</v>
      </c>
      <c r="J103" t="n">
        <v>0</v>
      </c>
      <c r="K103" t="n">
        <v>0</v>
      </c>
      <c r="L103" t="n">
        <v>0</v>
      </c>
      <c r="M103" t="n">
        <v>0</v>
      </c>
      <c r="N103" t="n">
        <v>0</v>
      </c>
      <c r="O103" t="n">
        <v>0</v>
      </c>
      <c r="P103" t="n">
        <v>0</v>
      </c>
      <c r="Q103" t="n">
        <v>0</v>
      </c>
      <c r="R103" s="2" t="inlineStr"/>
    </row>
    <row r="104" ht="15" customHeight="1">
      <c r="A104" t="inlineStr">
        <is>
          <t>A 19731-2022</t>
        </is>
      </c>
      <c r="B104" s="1" t="n">
        <v>44694</v>
      </c>
      <c r="C104" s="1" t="n">
        <v>45918</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68107-2021</t>
        </is>
      </c>
      <c r="B105" s="1" t="n">
        <v>44526</v>
      </c>
      <c r="C105" s="1" t="n">
        <v>45918</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69791-2021</t>
        </is>
      </c>
      <c r="B106" s="1" t="n">
        <v>44532</v>
      </c>
      <c r="C106" s="1" t="n">
        <v>45918</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49375-2021</t>
        </is>
      </c>
      <c r="B107" s="1" t="n">
        <v>44454</v>
      </c>
      <c r="C107" s="1" t="n">
        <v>45918</v>
      </c>
      <c r="D107" t="inlineStr">
        <is>
          <t>UPPSALA LÄN</t>
        </is>
      </c>
      <c r="E107" t="inlineStr">
        <is>
          <t>ENKÖPING</t>
        </is>
      </c>
      <c r="G107" t="n">
        <v>0.7</v>
      </c>
      <c r="H107" t="n">
        <v>0</v>
      </c>
      <c r="I107" t="n">
        <v>0</v>
      </c>
      <c r="J107" t="n">
        <v>0</v>
      </c>
      <c r="K107" t="n">
        <v>0</v>
      </c>
      <c r="L107" t="n">
        <v>0</v>
      </c>
      <c r="M107" t="n">
        <v>0</v>
      </c>
      <c r="N107" t="n">
        <v>0</v>
      </c>
      <c r="O107" t="n">
        <v>0</v>
      </c>
      <c r="P107" t="n">
        <v>0</v>
      </c>
      <c r="Q107" t="n">
        <v>0</v>
      </c>
      <c r="R107" s="2" t="inlineStr"/>
    </row>
    <row r="108" ht="15" customHeight="1">
      <c r="A108" t="inlineStr">
        <is>
          <t>A 24883-2022</t>
        </is>
      </c>
      <c r="B108" s="1" t="n">
        <v>44728</v>
      </c>
      <c r="C108" s="1" t="n">
        <v>45918</v>
      </c>
      <c r="D108" t="inlineStr">
        <is>
          <t>UPPSALA LÄN</t>
        </is>
      </c>
      <c r="E108" t="inlineStr">
        <is>
          <t>ENKÖPING</t>
        </is>
      </c>
      <c r="G108" t="n">
        <v>2.5</v>
      </c>
      <c r="H108" t="n">
        <v>0</v>
      </c>
      <c r="I108" t="n">
        <v>0</v>
      </c>
      <c r="J108" t="n">
        <v>0</v>
      </c>
      <c r="K108" t="n">
        <v>0</v>
      </c>
      <c r="L108" t="n">
        <v>0</v>
      </c>
      <c r="M108" t="n">
        <v>0</v>
      </c>
      <c r="N108" t="n">
        <v>0</v>
      </c>
      <c r="O108" t="n">
        <v>0</v>
      </c>
      <c r="P108" t="n">
        <v>0</v>
      </c>
      <c r="Q108" t="n">
        <v>0</v>
      </c>
      <c r="R108" s="2" t="inlineStr"/>
    </row>
    <row r="109" ht="15" customHeight="1">
      <c r="A109" t="inlineStr">
        <is>
          <t>A 57055-2021</t>
        </is>
      </c>
      <c r="B109" s="1" t="n">
        <v>44482.55201388889</v>
      </c>
      <c r="C109" s="1" t="n">
        <v>45918</v>
      </c>
      <c r="D109" t="inlineStr">
        <is>
          <t>UPPSALA LÄN</t>
        </is>
      </c>
      <c r="E109" t="inlineStr">
        <is>
          <t>ENKÖPING</t>
        </is>
      </c>
      <c r="G109" t="n">
        <v>3.3</v>
      </c>
      <c r="H109" t="n">
        <v>0</v>
      </c>
      <c r="I109" t="n">
        <v>0</v>
      </c>
      <c r="J109" t="n">
        <v>0</v>
      </c>
      <c r="K109" t="n">
        <v>0</v>
      </c>
      <c r="L109" t="n">
        <v>0</v>
      </c>
      <c r="M109" t="n">
        <v>0</v>
      </c>
      <c r="N109" t="n">
        <v>0</v>
      </c>
      <c r="O109" t="n">
        <v>0</v>
      </c>
      <c r="P109" t="n">
        <v>0</v>
      </c>
      <c r="Q109" t="n">
        <v>0</v>
      </c>
      <c r="R109" s="2" t="inlineStr"/>
    </row>
    <row r="110" ht="15" customHeight="1">
      <c r="A110" t="inlineStr">
        <is>
          <t>A 19630-2021</t>
        </is>
      </c>
      <c r="B110" s="1" t="n">
        <v>44312.61876157407</v>
      </c>
      <c r="C110" s="1" t="n">
        <v>45918</v>
      </c>
      <c r="D110" t="inlineStr">
        <is>
          <t>UPPSALA LÄN</t>
        </is>
      </c>
      <c r="E110" t="inlineStr">
        <is>
          <t>ENKÖPING</t>
        </is>
      </c>
      <c r="G110" t="n">
        <v>2.7</v>
      </c>
      <c r="H110" t="n">
        <v>0</v>
      </c>
      <c r="I110" t="n">
        <v>0</v>
      </c>
      <c r="J110" t="n">
        <v>0</v>
      </c>
      <c r="K110" t="n">
        <v>0</v>
      </c>
      <c r="L110" t="n">
        <v>0</v>
      </c>
      <c r="M110" t="n">
        <v>0</v>
      </c>
      <c r="N110" t="n">
        <v>0</v>
      </c>
      <c r="O110" t="n">
        <v>0</v>
      </c>
      <c r="P110" t="n">
        <v>0</v>
      </c>
      <c r="Q110" t="n">
        <v>0</v>
      </c>
      <c r="R110" s="2" t="inlineStr"/>
    </row>
    <row r="111" ht="15" customHeight="1">
      <c r="A111" t="inlineStr">
        <is>
          <t>A 60874-2021</t>
        </is>
      </c>
      <c r="B111" s="1" t="n">
        <v>44497</v>
      </c>
      <c r="C111" s="1" t="n">
        <v>45918</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24815-2022</t>
        </is>
      </c>
      <c r="B112" s="1" t="n">
        <v>44728</v>
      </c>
      <c r="C112" s="1" t="n">
        <v>45918</v>
      </c>
      <c r="D112" t="inlineStr">
        <is>
          <t>UPPSALA LÄN</t>
        </is>
      </c>
      <c r="E112" t="inlineStr">
        <is>
          <t>ENKÖPING</t>
        </is>
      </c>
      <c r="G112" t="n">
        <v>1.8</v>
      </c>
      <c r="H112" t="n">
        <v>0</v>
      </c>
      <c r="I112" t="n">
        <v>0</v>
      </c>
      <c r="J112" t="n">
        <v>0</v>
      </c>
      <c r="K112" t="n">
        <v>0</v>
      </c>
      <c r="L112" t="n">
        <v>0</v>
      </c>
      <c r="M112" t="n">
        <v>0</v>
      </c>
      <c r="N112" t="n">
        <v>0</v>
      </c>
      <c r="O112" t="n">
        <v>0</v>
      </c>
      <c r="P112" t="n">
        <v>0</v>
      </c>
      <c r="Q112" t="n">
        <v>0</v>
      </c>
      <c r="R112" s="2" t="inlineStr"/>
    </row>
    <row r="113" ht="15" customHeight="1">
      <c r="A113" t="inlineStr">
        <is>
          <t>A 57078-2021</t>
        </is>
      </c>
      <c r="B113" s="1" t="n">
        <v>44482.57855324074</v>
      </c>
      <c r="C113" s="1" t="n">
        <v>45918</v>
      </c>
      <c r="D113" t="inlineStr">
        <is>
          <t>UPPSALA LÄN</t>
        </is>
      </c>
      <c r="E113" t="inlineStr">
        <is>
          <t>ENKÖPING</t>
        </is>
      </c>
      <c r="G113" t="n">
        <v>3</v>
      </c>
      <c r="H113" t="n">
        <v>0</v>
      </c>
      <c r="I113" t="n">
        <v>0</v>
      </c>
      <c r="J113" t="n">
        <v>0</v>
      </c>
      <c r="K113" t="n">
        <v>0</v>
      </c>
      <c r="L113" t="n">
        <v>0</v>
      </c>
      <c r="M113" t="n">
        <v>0</v>
      </c>
      <c r="N113" t="n">
        <v>0</v>
      </c>
      <c r="O113" t="n">
        <v>0</v>
      </c>
      <c r="P113" t="n">
        <v>0</v>
      </c>
      <c r="Q113" t="n">
        <v>0</v>
      </c>
      <c r="R113" s="2" t="inlineStr"/>
    </row>
    <row r="114" ht="15" customHeight="1">
      <c r="A114" t="inlineStr">
        <is>
          <t>A 68127-2021</t>
        </is>
      </c>
      <c r="B114" s="1" t="n">
        <v>44526.39513888889</v>
      </c>
      <c r="C114" s="1" t="n">
        <v>45918</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15942-2022</t>
        </is>
      </c>
      <c r="B115" s="1" t="n">
        <v>44664</v>
      </c>
      <c r="C115" s="1" t="n">
        <v>45918</v>
      </c>
      <c r="D115" t="inlineStr">
        <is>
          <t>UPPSALA LÄN</t>
        </is>
      </c>
      <c r="E115" t="inlineStr">
        <is>
          <t>ENKÖPING</t>
        </is>
      </c>
      <c r="G115" t="n">
        <v>6.6</v>
      </c>
      <c r="H115" t="n">
        <v>0</v>
      </c>
      <c r="I115" t="n">
        <v>0</v>
      </c>
      <c r="J115" t="n">
        <v>0</v>
      </c>
      <c r="K115" t="n">
        <v>0</v>
      </c>
      <c r="L115" t="n">
        <v>0</v>
      </c>
      <c r="M115" t="n">
        <v>0</v>
      </c>
      <c r="N115" t="n">
        <v>0</v>
      </c>
      <c r="O115" t="n">
        <v>0</v>
      </c>
      <c r="P115" t="n">
        <v>0</v>
      </c>
      <c r="Q115" t="n">
        <v>0</v>
      </c>
      <c r="R115" s="2" t="inlineStr"/>
    </row>
    <row r="116" ht="15" customHeight="1">
      <c r="A116" t="inlineStr">
        <is>
          <t>A 2974-2025</t>
        </is>
      </c>
      <c r="B116" s="1" t="n">
        <v>45678.47168981482</v>
      </c>
      <c r="C116" s="1" t="n">
        <v>45918</v>
      </c>
      <c r="D116" t="inlineStr">
        <is>
          <t>UPPSALA LÄN</t>
        </is>
      </c>
      <c r="E116" t="inlineStr">
        <is>
          <t>ENKÖPING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27786-2023</t>
        </is>
      </c>
      <c r="B117" s="1" t="n">
        <v>45098</v>
      </c>
      <c r="C117" s="1" t="n">
        <v>45918</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15021-2022</t>
        </is>
      </c>
      <c r="B118" s="1" t="n">
        <v>44657</v>
      </c>
      <c r="C118" s="1" t="n">
        <v>45918</v>
      </c>
      <c r="D118" t="inlineStr">
        <is>
          <t>UPPSALA LÄN</t>
        </is>
      </c>
      <c r="E118" t="inlineStr">
        <is>
          <t>ENKÖPING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48864-2022</t>
        </is>
      </c>
      <c r="B119" s="1" t="n">
        <v>44859</v>
      </c>
      <c r="C119" s="1" t="n">
        <v>45918</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59497-2022</t>
        </is>
      </c>
      <c r="B120" s="1" t="n">
        <v>44907.48258101852</v>
      </c>
      <c r="C120" s="1" t="n">
        <v>45918</v>
      </c>
      <c r="D120" t="inlineStr">
        <is>
          <t>UPPSALA LÄN</t>
        </is>
      </c>
      <c r="E120" t="inlineStr">
        <is>
          <t>ENKÖPING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9041-2023</t>
        </is>
      </c>
      <c r="B121" s="1" t="n">
        <v>44979</v>
      </c>
      <c r="C121" s="1" t="n">
        <v>45918</v>
      </c>
      <c r="D121" t="inlineStr">
        <is>
          <t>UPPSALA LÄN</t>
        </is>
      </c>
      <c r="E121" t="inlineStr">
        <is>
          <t>ENKÖPING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6242-2025</t>
        </is>
      </c>
      <c r="B122" s="1" t="n">
        <v>45697</v>
      </c>
      <c r="C122" s="1" t="n">
        <v>45918</v>
      </c>
      <c r="D122" t="inlineStr">
        <is>
          <t>UPPSALA LÄN</t>
        </is>
      </c>
      <c r="E122" t="inlineStr">
        <is>
          <t>ENKÖPING</t>
        </is>
      </c>
      <c r="G122" t="n">
        <v>17.9</v>
      </c>
      <c r="H122" t="n">
        <v>0</v>
      </c>
      <c r="I122" t="n">
        <v>0</v>
      </c>
      <c r="J122" t="n">
        <v>0</v>
      </c>
      <c r="K122" t="n">
        <v>0</v>
      </c>
      <c r="L122" t="n">
        <v>0</v>
      </c>
      <c r="M122" t="n">
        <v>0</v>
      </c>
      <c r="N122" t="n">
        <v>0</v>
      </c>
      <c r="O122" t="n">
        <v>0</v>
      </c>
      <c r="P122" t="n">
        <v>0</v>
      </c>
      <c r="Q122" t="n">
        <v>0</v>
      </c>
      <c r="R122" s="2" t="inlineStr"/>
    </row>
    <row r="123" ht="15" customHeight="1">
      <c r="A123" t="inlineStr">
        <is>
          <t>A 42459-2024</t>
        </is>
      </c>
      <c r="B123" s="1" t="n">
        <v>45565</v>
      </c>
      <c r="C123" s="1" t="n">
        <v>45918</v>
      </c>
      <c r="D123" t="inlineStr">
        <is>
          <t>UPPSALA LÄN</t>
        </is>
      </c>
      <c r="E123" t="inlineStr">
        <is>
          <t>ENKÖPING</t>
        </is>
      </c>
      <c r="G123" t="n">
        <v>3.6</v>
      </c>
      <c r="H123" t="n">
        <v>0</v>
      </c>
      <c r="I123" t="n">
        <v>0</v>
      </c>
      <c r="J123" t="n">
        <v>0</v>
      </c>
      <c r="K123" t="n">
        <v>0</v>
      </c>
      <c r="L123" t="n">
        <v>0</v>
      </c>
      <c r="M123" t="n">
        <v>0</v>
      </c>
      <c r="N123" t="n">
        <v>0</v>
      </c>
      <c r="O123" t="n">
        <v>0</v>
      </c>
      <c r="P123" t="n">
        <v>0</v>
      </c>
      <c r="Q123" t="n">
        <v>0</v>
      </c>
      <c r="R123" s="2" t="inlineStr"/>
    </row>
    <row r="124" ht="15" customHeight="1">
      <c r="A124" t="inlineStr">
        <is>
          <t>A 60125-2024</t>
        </is>
      </c>
      <c r="B124" s="1" t="n">
        <v>45642</v>
      </c>
      <c r="C124" s="1" t="n">
        <v>45918</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12755-2025</t>
        </is>
      </c>
      <c r="B125" s="1" t="n">
        <v>45733.56541666666</v>
      </c>
      <c r="C125" s="1" t="n">
        <v>45918</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29983-2021</t>
        </is>
      </c>
      <c r="B126" s="1" t="n">
        <v>44363</v>
      </c>
      <c r="C126" s="1" t="n">
        <v>45918</v>
      </c>
      <c r="D126" t="inlineStr">
        <is>
          <t>UPPSALA LÄN</t>
        </is>
      </c>
      <c r="E126" t="inlineStr">
        <is>
          <t>ENKÖPING</t>
        </is>
      </c>
      <c r="F126" t="inlineStr">
        <is>
          <t>Kommuner</t>
        </is>
      </c>
      <c r="G126" t="n">
        <v>3.1</v>
      </c>
      <c r="H126" t="n">
        <v>0</v>
      </c>
      <c r="I126" t="n">
        <v>0</v>
      </c>
      <c r="J126" t="n">
        <v>0</v>
      </c>
      <c r="K126" t="n">
        <v>0</v>
      </c>
      <c r="L126" t="n">
        <v>0</v>
      </c>
      <c r="M126" t="n">
        <v>0</v>
      </c>
      <c r="N126" t="n">
        <v>0</v>
      </c>
      <c r="O126" t="n">
        <v>0</v>
      </c>
      <c r="P126" t="n">
        <v>0</v>
      </c>
      <c r="Q126" t="n">
        <v>0</v>
      </c>
      <c r="R126" s="2" t="inlineStr"/>
    </row>
    <row r="127" ht="15" customHeight="1">
      <c r="A127" t="inlineStr">
        <is>
          <t>A 10468-2025</t>
        </is>
      </c>
      <c r="B127" s="1" t="n">
        <v>45720</v>
      </c>
      <c r="C127" s="1" t="n">
        <v>45918</v>
      </c>
      <c r="D127" t="inlineStr">
        <is>
          <t>UPPSALA LÄN</t>
        </is>
      </c>
      <c r="E127" t="inlineStr">
        <is>
          <t>ENKÖPING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59027-2024</t>
        </is>
      </c>
      <c r="B128" s="1" t="n">
        <v>45636.68755787037</v>
      </c>
      <c r="C128" s="1" t="n">
        <v>45918</v>
      </c>
      <c r="D128" t="inlineStr">
        <is>
          <t>UPPSALA LÄN</t>
        </is>
      </c>
      <c r="E128" t="inlineStr">
        <is>
          <t>ENKÖPING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5211-2024</t>
        </is>
      </c>
      <c r="B129" s="1" t="n">
        <v>45330</v>
      </c>
      <c r="C129" s="1" t="n">
        <v>45918</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53587-2024</t>
        </is>
      </c>
      <c r="B130" s="1" t="n">
        <v>45614.66953703704</v>
      </c>
      <c r="C130" s="1" t="n">
        <v>45918</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10409-2025</t>
        </is>
      </c>
      <c r="B131" s="1" t="n">
        <v>45720.631875</v>
      </c>
      <c r="C131" s="1" t="n">
        <v>45918</v>
      </c>
      <c r="D131" t="inlineStr">
        <is>
          <t>UPPSALA LÄN</t>
        </is>
      </c>
      <c r="E131" t="inlineStr">
        <is>
          <t>ENKÖPING</t>
        </is>
      </c>
      <c r="G131" t="n">
        <v>2.2</v>
      </c>
      <c r="H131" t="n">
        <v>0</v>
      </c>
      <c r="I131" t="n">
        <v>0</v>
      </c>
      <c r="J131" t="n">
        <v>0</v>
      </c>
      <c r="K131" t="n">
        <v>0</v>
      </c>
      <c r="L131" t="n">
        <v>0</v>
      </c>
      <c r="M131" t="n">
        <v>0</v>
      </c>
      <c r="N131" t="n">
        <v>0</v>
      </c>
      <c r="O131" t="n">
        <v>0</v>
      </c>
      <c r="P131" t="n">
        <v>0</v>
      </c>
      <c r="Q131" t="n">
        <v>0</v>
      </c>
      <c r="R131" s="2" t="inlineStr"/>
    </row>
    <row r="132" ht="15" customHeight="1">
      <c r="A132" t="inlineStr">
        <is>
          <t>A 18299-2025</t>
        </is>
      </c>
      <c r="B132" s="1" t="n">
        <v>45762</v>
      </c>
      <c r="C132" s="1" t="n">
        <v>45918</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11503-2024</t>
        </is>
      </c>
      <c r="B133" s="1" t="n">
        <v>45372.68020833333</v>
      </c>
      <c r="C133" s="1" t="n">
        <v>45918</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21686-2022</t>
        </is>
      </c>
      <c r="B134" s="1" t="n">
        <v>44707</v>
      </c>
      <c r="C134" s="1" t="n">
        <v>45918</v>
      </c>
      <c r="D134" t="inlineStr">
        <is>
          <t>UPPSALA LÄN</t>
        </is>
      </c>
      <c r="E134" t="inlineStr">
        <is>
          <t>ENKÖPING</t>
        </is>
      </c>
      <c r="G134" t="n">
        <v>2.2</v>
      </c>
      <c r="H134" t="n">
        <v>0</v>
      </c>
      <c r="I134" t="n">
        <v>0</v>
      </c>
      <c r="J134" t="n">
        <v>0</v>
      </c>
      <c r="K134" t="n">
        <v>0</v>
      </c>
      <c r="L134" t="n">
        <v>0</v>
      </c>
      <c r="M134" t="n">
        <v>0</v>
      </c>
      <c r="N134" t="n">
        <v>0</v>
      </c>
      <c r="O134" t="n">
        <v>0</v>
      </c>
      <c r="P134" t="n">
        <v>0</v>
      </c>
      <c r="Q134" t="n">
        <v>0</v>
      </c>
      <c r="R134" s="2" t="inlineStr"/>
    </row>
    <row r="135" ht="15" customHeight="1">
      <c r="A135" t="inlineStr">
        <is>
          <t>A 39115-2024</t>
        </is>
      </c>
      <c r="B135" s="1" t="n">
        <v>45548</v>
      </c>
      <c r="C135" s="1" t="n">
        <v>45918</v>
      </c>
      <c r="D135" t="inlineStr">
        <is>
          <t>UPPSALA LÄN</t>
        </is>
      </c>
      <c r="E135" t="inlineStr">
        <is>
          <t>ENKÖPING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25334-2023</t>
        </is>
      </c>
      <c r="B136" s="1" t="n">
        <v>45083</v>
      </c>
      <c r="C136" s="1" t="n">
        <v>45918</v>
      </c>
      <c r="D136" t="inlineStr">
        <is>
          <t>UPPSALA LÄN</t>
        </is>
      </c>
      <c r="E136" t="inlineStr">
        <is>
          <t>ENKÖPING</t>
        </is>
      </c>
      <c r="G136" t="n">
        <v>0.2</v>
      </c>
      <c r="H136" t="n">
        <v>0</v>
      </c>
      <c r="I136" t="n">
        <v>0</v>
      </c>
      <c r="J136" t="n">
        <v>0</v>
      </c>
      <c r="K136" t="n">
        <v>0</v>
      </c>
      <c r="L136" t="n">
        <v>0</v>
      </c>
      <c r="M136" t="n">
        <v>0</v>
      </c>
      <c r="N136" t="n">
        <v>0</v>
      </c>
      <c r="O136" t="n">
        <v>0</v>
      </c>
      <c r="P136" t="n">
        <v>0</v>
      </c>
      <c r="Q136" t="n">
        <v>0</v>
      </c>
      <c r="R136" s="2" t="inlineStr"/>
    </row>
    <row r="137" ht="15" customHeight="1">
      <c r="A137" t="inlineStr">
        <is>
          <t>A 18831-2023</t>
        </is>
      </c>
      <c r="B137" s="1" t="n">
        <v>45044.40798611111</v>
      </c>
      <c r="C137" s="1" t="n">
        <v>45918</v>
      </c>
      <c r="D137" t="inlineStr">
        <is>
          <t>UPPSALA LÄN</t>
        </is>
      </c>
      <c r="E137" t="inlineStr">
        <is>
          <t>ENKÖPING</t>
        </is>
      </c>
      <c r="G137" t="n">
        <v>4.3</v>
      </c>
      <c r="H137" t="n">
        <v>0</v>
      </c>
      <c r="I137" t="n">
        <v>0</v>
      </c>
      <c r="J137" t="n">
        <v>0</v>
      </c>
      <c r="K137" t="n">
        <v>0</v>
      </c>
      <c r="L137" t="n">
        <v>0</v>
      </c>
      <c r="M137" t="n">
        <v>0</v>
      </c>
      <c r="N137" t="n">
        <v>0</v>
      </c>
      <c r="O137" t="n">
        <v>0</v>
      </c>
      <c r="P137" t="n">
        <v>0</v>
      </c>
      <c r="Q137" t="n">
        <v>0</v>
      </c>
      <c r="R137" s="2" t="inlineStr"/>
    </row>
    <row r="138" ht="15" customHeight="1">
      <c r="A138" t="inlineStr">
        <is>
          <t>A 46593-2020</t>
        </is>
      </c>
      <c r="B138" s="1" t="n">
        <v>44095</v>
      </c>
      <c r="C138" s="1" t="n">
        <v>45918</v>
      </c>
      <c r="D138" t="inlineStr">
        <is>
          <t>UPPSALA LÄN</t>
        </is>
      </c>
      <c r="E138" t="inlineStr">
        <is>
          <t>ENKÖPING</t>
        </is>
      </c>
      <c r="G138" t="n">
        <v>1.1</v>
      </c>
      <c r="H138" t="n">
        <v>0</v>
      </c>
      <c r="I138" t="n">
        <v>0</v>
      </c>
      <c r="J138" t="n">
        <v>0</v>
      </c>
      <c r="K138" t="n">
        <v>0</v>
      </c>
      <c r="L138" t="n">
        <v>0</v>
      </c>
      <c r="M138" t="n">
        <v>0</v>
      </c>
      <c r="N138" t="n">
        <v>0</v>
      </c>
      <c r="O138" t="n">
        <v>0</v>
      </c>
      <c r="P138" t="n">
        <v>0</v>
      </c>
      <c r="Q138" t="n">
        <v>0</v>
      </c>
      <c r="R138" s="2" t="inlineStr"/>
    </row>
    <row r="139" ht="15" customHeight="1">
      <c r="A139" t="inlineStr">
        <is>
          <t>A 51092-2020</t>
        </is>
      </c>
      <c r="B139" s="1" t="n">
        <v>44112</v>
      </c>
      <c r="C139" s="1" t="n">
        <v>45918</v>
      </c>
      <c r="D139" t="inlineStr">
        <is>
          <t>UPPSALA LÄN</t>
        </is>
      </c>
      <c r="E139" t="inlineStr">
        <is>
          <t>ENKÖPING</t>
        </is>
      </c>
      <c r="G139" t="n">
        <v>1.2</v>
      </c>
      <c r="H139" t="n">
        <v>0</v>
      </c>
      <c r="I139" t="n">
        <v>0</v>
      </c>
      <c r="J139" t="n">
        <v>0</v>
      </c>
      <c r="K139" t="n">
        <v>0</v>
      </c>
      <c r="L139" t="n">
        <v>0</v>
      </c>
      <c r="M139" t="n">
        <v>0</v>
      </c>
      <c r="N139" t="n">
        <v>0</v>
      </c>
      <c r="O139" t="n">
        <v>0</v>
      </c>
      <c r="P139" t="n">
        <v>0</v>
      </c>
      <c r="Q139" t="n">
        <v>0</v>
      </c>
      <c r="R139" s="2" t="inlineStr"/>
    </row>
    <row r="140" ht="15" customHeight="1">
      <c r="A140" t="inlineStr">
        <is>
          <t>A 56837-2024</t>
        </is>
      </c>
      <c r="B140" s="1" t="n">
        <v>45628</v>
      </c>
      <c r="C140" s="1" t="n">
        <v>45918</v>
      </c>
      <c r="D140" t="inlineStr">
        <is>
          <t>UPPSALA LÄN</t>
        </is>
      </c>
      <c r="E140" t="inlineStr">
        <is>
          <t>ENKÖPING</t>
        </is>
      </c>
      <c r="G140" t="n">
        <v>2.2</v>
      </c>
      <c r="H140" t="n">
        <v>0</v>
      </c>
      <c r="I140" t="n">
        <v>0</v>
      </c>
      <c r="J140" t="n">
        <v>0</v>
      </c>
      <c r="K140" t="n">
        <v>0</v>
      </c>
      <c r="L140" t="n">
        <v>0</v>
      </c>
      <c r="M140" t="n">
        <v>0</v>
      </c>
      <c r="N140" t="n">
        <v>0</v>
      </c>
      <c r="O140" t="n">
        <v>0</v>
      </c>
      <c r="P140" t="n">
        <v>0</v>
      </c>
      <c r="Q140" t="n">
        <v>0</v>
      </c>
      <c r="R140" s="2" t="inlineStr"/>
    </row>
    <row r="141" ht="15" customHeight="1">
      <c r="A141" t="inlineStr">
        <is>
          <t>A 6172-2023</t>
        </is>
      </c>
      <c r="B141" s="1" t="n">
        <v>44964.68663194445</v>
      </c>
      <c r="C141" s="1" t="n">
        <v>45918</v>
      </c>
      <c r="D141" t="inlineStr">
        <is>
          <t>UPPSALA LÄN</t>
        </is>
      </c>
      <c r="E141" t="inlineStr">
        <is>
          <t>ENKÖPING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14402-2023</t>
        </is>
      </c>
      <c r="B142" s="1" t="n">
        <v>45012</v>
      </c>
      <c r="C142" s="1" t="n">
        <v>45918</v>
      </c>
      <c r="D142" t="inlineStr">
        <is>
          <t>UPPSALA LÄN</t>
        </is>
      </c>
      <c r="E142" t="inlineStr">
        <is>
          <t>ENKÖPING</t>
        </is>
      </c>
      <c r="G142" t="n">
        <v>9.5</v>
      </c>
      <c r="H142" t="n">
        <v>0</v>
      </c>
      <c r="I142" t="n">
        <v>0</v>
      </c>
      <c r="J142" t="n">
        <v>0</v>
      </c>
      <c r="K142" t="n">
        <v>0</v>
      </c>
      <c r="L142" t="n">
        <v>0</v>
      </c>
      <c r="M142" t="n">
        <v>0</v>
      </c>
      <c r="N142" t="n">
        <v>0</v>
      </c>
      <c r="O142" t="n">
        <v>0</v>
      </c>
      <c r="P142" t="n">
        <v>0</v>
      </c>
      <c r="Q142" t="n">
        <v>0</v>
      </c>
      <c r="R142" s="2" t="inlineStr"/>
    </row>
    <row r="143" ht="15" customHeight="1">
      <c r="A143" t="inlineStr">
        <is>
          <t>A 49063-2024</t>
        </is>
      </c>
      <c r="B143" s="1" t="n">
        <v>45594.59869212963</v>
      </c>
      <c r="C143" s="1" t="n">
        <v>45918</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13853-2023</t>
        </is>
      </c>
      <c r="B144" s="1" t="n">
        <v>45007</v>
      </c>
      <c r="C144" s="1" t="n">
        <v>45918</v>
      </c>
      <c r="D144" t="inlineStr">
        <is>
          <t>UPPSALA LÄN</t>
        </is>
      </c>
      <c r="E144" t="inlineStr">
        <is>
          <t>ENKÖPING</t>
        </is>
      </c>
      <c r="G144" t="n">
        <v>0.6</v>
      </c>
      <c r="H144" t="n">
        <v>0</v>
      </c>
      <c r="I144" t="n">
        <v>0</v>
      </c>
      <c r="J144" t="n">
        <v>0</v>
      </c>
      <c r="K144" t="n">
        <v>0</v>
      </c>
      <c r="L144" t="n">
        <v>0</v>
      </c>
      <c r="M144" t="n">
        <v>0</v>
      </c>
      <c r="N144" t="n">
        <v>0</v>
      </c>
      <c r="O144" t="n">
        <v>0</v>
      </c>
      <c r="P144" t="n">
        <v>0</v>
      </c>
      <c r="Q144" t="n">
        <v>0</v>
      </c>
      <c r="R144" s="2" t="inlineStr"/>
    </row>
    <row r="145" ht="15" customHeight="1">
      <c r="A145" t="inlineStr">
        <is>
          <t>A 27983-2024</t>
        </is>
      </c>
      <c r="B145" s="1" t="n">
        <v>45476</v>
      </c>
      <c r="C145" s="1" t="n">
        <v>45918</v>
      </c>
      <c r="D145" t="inlineStr">
        <is>
          <t>UPPSALA LÄN</t>
        </is>
      </c>
      <c r="E145" t="inlineStr">
        <is>
          <t>ENKÖPING</t>
        </is>
      </c>
      <c r="G145" t="n">
        <v>3.2</v>
      </c>
      <c r="H145" t="n">
        <v>0</v>
      </c>
      <c r="I145" t="n">
        <v>0</v>
      </c>
      <c r="J145" t="n">
        <v>0</v>
      </c>
      <c r="K145" t="n">
        <v>0</v>
      </c>
      <c r="L145" t="n">
        <v>0</v>
      </c>
      <c r="M145" t="n">
        <v>0</v>
      </c>
      <c r="N145" t="n">
        <v>0</v>
      </c>
      <c r="O145" t="n">
        <v>0</v>
      </c>
      <c r="P145" t="n">
        <v>0</v>
      </c>
      <c r="Q145" t="n">
        <v>0</v>
      </c>
      <c r="R145" s="2" t="inlineStr"/>
    </row>
    <row r="146" ht="15" customHeight="1">
      <c r="A146" t="inlineStr">
        <is>
          <t>A 57802-2020</t>
        </is>
      </c>
      <c r="B146" s="1" t="n">
        <v>44141</v>
      </c>
      <c r="C146" s="1" t="n">
        <v>45918</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19298-2023</t>
        </is>
      </c>
      <c r="B147" s="1" t="n">
        <v>45048</v>
      </c>
      <c r="C147" s="1" t="n">
        <v>45918</v>
      </c>
      <c r="D147" t="inlineStr">
        <is>
          <t>UPPSALA LÄN</t>
        </is>
      </c>
      <c r="E147" t="inlineStr">
        <is>
          <t>ENKÖPING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6147-2021</t>
        </is>
      </c>
      <c r="B148" s="1" t="n">
        <v>44232</v>
      </c>
      <c r="C148" s="1" t="n">
        <v>45918</v>
      </c>
      <c r="D148" t="inlineStr">
        <is>
          <t>UPPSALA LÄN</t>
        </is>
      </c>
      <c r="E148" t="inlineStr">
        <is>
          <t>ENKÖPING</t>
        </is>
      </c>
      <c r="G148" t="n">
        <v>1.6</v>
      </c>
      <c r="H148" t="n">
        <v>0</v>
      </c>
      <c r="I148" t="n">
        <v>0</v>
      </c>
      <c r="J148" t="n">
        <v>0</v>
      </c>
      <c r="K148" t="n">
        <v>0</v>
      </c>
      <c r="L148" t="n">
        <v>0</v>
      </c>
      <c r="M148" t="n">
        <v>0</v>
      </c>
      <c r="N148" t="n">
        <v>0</v>
      </c>
      <c r="O148" t="n">
        <v>0</v>
      </c>
      <c r="P148" t="n">
        <v>0</v>
      </c>
      <c r="Q148" t="n">
        <v>0</v>
      </c>
      <c r="R148" s="2" t="inlineStr"/>
    </row>
    <row r="149" ht="15" customHeight="1">
      <c r="A149" t="inlineStr">
        <is>
          <t>A 18821-2023</t>
        </is>
      </c>
      <c r="B149" s="1" t="n">
        <v>45044.3782175926</v>
      </c>
      <c r="C149" s="1" t="n">
        <v>45918</v>
      </c>
      <c r="D149" t="inlineStr">
        <is>
          <t>UPPSALA LÄN</t>
        </is>
      </c>
      <c r="E149" t="inlineStr">
        <is>
          <t>ENKÖPING</t>
        </is>
      </c>
      <c r="G149" t="n">
        <v>6</v>
      </c>
      <c r="H149" t="n">
        <v>0</v>
      </c>
      <c r="I149" t="n">
        <v>0</v>
      </c>
      <c r="J149" t="n">
        <v>0</v>
      </c>
      <c r="K149" t="n">
        <v>0</v>
      </c>
      <c r="L149" t="n">
        <v>0</v>
      </c>
      <c r="M149" t="n">
        <v>0</v>
      </c>
      <c r="N149" t="n">
        <v>0</v>
      </c>
      <c r="O149" t="n">
        <v>0</v>
      </c>
      <c r="P149" t="n">
        <v>0</v>
      </c>
      <c r="Q149" t="n">
        <v>0</v>
      </c>
      <c r="R149" s="2" t="inlineStr"/>
    </row>
    <row r="150" ht="15" customHeight="1">
      <c r="A150" t="inlineStr">
        <is>
          <t>A 50747-2022</t>
        </is>
      </c>
      <c r="B150" s="1" t="n">
        <v>44867.40162037037</v>
      </c>
      <c r="C150" s="1" t="n">
        <v>45918</v>
      </c>
      <c r="D150" t="inlineStr">
        <is>
          <t>UPPSALA LÄN</t>
        </is>
      </c>
      <c r="E150" t="inlineStr">
        <is>
          <t>ENKÖPING</t>
        </is>
      </c>
      <c r="G150" t="n">
        <v>1.5</v>
      </c>
      <c r="H150" t="n">
        <v>0</v>
      </c>
      <c r="I150" t="n">
        <v>0</v>
      </c>
      <c r="J150" t="n">
        <v>0</v>
      </c>
      <c r="K150" t="n">
        <v>0</v>
      </c>
      <c r="L150" t="n">
        <v>0</v>
      </c>
      <c r="M150" t="n">
        <v>0</v>
      </c>
      <c r="N150" t="n">
        <v>0</v>
      </c>
      <c r="O150" t="n">
        <v>0</v>
      </c>
      <c r="P150" t="n">
        <v>0</v>
      </c>
      <c r="Q150" t="n">
        <v>0</v>
      </c>
      <c r="R150" s="2" t="inlineStr"/>
    </row>
    <row r="151" ht="15" customHeight="1">
      <c r="A151" t="inlineStr">
        <is>
          <t>A 17657-2025</t>
        </is>
      </c>
      <c r="B151" s="1" t="n">
        <v>45758.35006944444</v>
      </c>
      <c r="C151" s="1" t="n">
        <v>45918</v>
      </c>
      <c r="D151" t="inlineStr">
        <is>
          <t>UPPSALA LÄN</t>
        </is>
      </c>
      <c r="E151" t="inlineStr">
        <is>
          <t>ENKÖPING</t>
        </is>
      </c>
      <c r="G151" t="n">
        <v>3</v>
      </c>
      <c r="H151" t="n">
        <v>0</v>
      </c>
      <c r="I151" t="n">
        <v>0</v>
      </c>
      <c r="J151" t="n">
        <v>0</v>
      </c>
      <c r="K151" t="n">
        <v>0</v>
      </c>
      <c r="L151" t="n">
        <v>0</v>
      </c>
      <c r="M151" t="n">
        <v>0</v>
      </c>
      <c r="N151" t="n">
        <v>0</v>
      </c>
      <c r="O151" t="n">
        <v>0</v>
      </c>
      <c r="P151" t="n">
        <v>0</v>
      </c>
      <c r="Q151" t="n">
        <v>0</v>
      </c>
      <c r="R151" s="2" t="inlineStr"/>
    </row>
    <row r="152" ht="15" customHeight="1">
      <c r="A152" t="inlineStr">
        <is>
          <t>A 49568-2022</t>
        </is>
      </c>
      <c r="B152" s="1" t="n">
        <v>44862.32791666667</v>
      </c>
      <c r="C152" s="1" t="n">
        <v>45918</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69567-2020</t>
        </is>
      </c>
      <c r="B153" s="1" t="n">
        <v>44194</v>
      </c>
      <c r="C153" s="1" t="n">
        <v>45918</v>
      </c>
      <c r="D153" t="inlineStr">
        <is>
          <t>UPPSALA LÄN</t>
        </is>
      </c>
      <c r="E153" t="inlineStr">
        <is>
          <t>ENKÖPING</t>
        </is>
      </c>
      <c r="G153" t="n">
        <v>1.6</v>
      </c>
      <c r="H153" t="n">
        <v>0</v>
      </c>
      <c r="I153" t="n">
        <v>0</v>
      </c>
      <c r="J153" t="n">
        <v>0</v>
      </c>
      <c r="K153" t="n">
        <v>0</v>
      </c>
      <c r="L153" t="n">
        <v>0</v>
      </c>
      <c r="M153" t="n">
        <v>0</v>
      </c>
      <c r="N153" t="n">
        <v>0</v>
      </c>
      <c r="O153" t="n">
        <v>0</v>
      </c>
      <c r="P153" t="n">
        <v>0</v>
      </c>
      <c r="Q153" t="n">
        <v>0</v>
      </c>
      <c r="R153" s="2" t="inlineStr"/>
    </row>
    <row r="154" ht="15" customHeight="1">
      <c r="A154" t="inlineStr">
        <is>
          <t>A 15939-2022</t>
        </is>
      </c>
      <c r="B154" s="1" t="n">
        <v>44664</v>
      </c>
      <c r="C154" s="1" t="n">
        <v>45918</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57153-2021</t>
        </is>
      </c>
      <c r="B155" s="1" t="n">
        <v>44482</v>
      </c>
      <c r="C155" s="1" t="n">
        <v>45918</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58062-2020</t>
        </is>
      </c>
      <c r="B156" s="1" t="n">
        <v>44144</v>
      </c>
      <c r="C156" s="1" t="n">
        <v>45918</v>
      </c>
      <c r="D156" t="inlineStr">
        <is>
          <t>UPPSALA LÄN</t>
        </is>
      </c>
      <c r="E156" t="inlineStr">
        <is>
          <t>ENKÖPING</t>
        </is>
      </c>
      <c r="G156" t="n">
        <v>2.3</v>
      </c>
      <c r="H156" t="n">
        <v>0</v>
      </c>
      <c r="I156" t="n">
        <v>0</v>
      </c>
      <c r="J156" t="n">
        <v>0</v>
      </c>
      <c r="K156" t="n">
        <v>0</v>
      </c>
      <c r="L156" t="n">
        <v>0</v>
      </c>
      <c r="M156" t="n">
        <v>0</v>
      </c>
      <c r="N156" t="n">
        <v>0</v>
      </c>
      <c r="O156" t="n">
        <v>0</v>
      </c>
      <c r="P156" t="n">
        <v>0</v>
      </c>
      <c r="Q156" t="n">
        <v>0</v>
      </c>
      <c r="R156" s="2" t="inlineStr"/>
    </row>
    <row r="157" ht="15" customHeight="1">
      <c r="A157" t="inlineStr">
        <is>
          <t>A 43697-2024</t>
        </is>
      </c>
      <c r="B157" s="1" t="n">
        <v>45569</v>
      </c>
      <c r="C157" s="1" t="n">
        <v>45918</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53343-2020</t>
        </is>
      </c>
      <c r="B158" s="1" t="n">
        <v>44123.53505787037</v>
      </c>
      <c r="C158" s="1" t="n">
        <v>45918</v>
      </c>
      <c r="D158" t="inlineStr">
        <is>
          <t>UPPSALA LÄN</t>
        </is>
      </c>
      <c r="E158" t="inlineStr">
        <is>
          <t>ENKÖPING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45283-2022</t>
        </is>
      </c>
      <c r="B159" s="1" t="n">
        <v>44844</v>
      </c>
      <c r="C159" s="1" t="n">
        <v>45918</v>
      </c>
      <c r="D159" t="inlineStr">
        <is>
          <t>UPPSALA LÄN</t>
        </is>
      </c>
      <c r="E159" t="inlineStr">
        <is>
          <t>ENKÖPING</t>
        </is>
      </c>
      <c r="G159" t="n">
        <v>5.9</v>
      </c>
      <c r="H159" t="n">
        <v>0</v>
      </c>
      <c r="I159" t="n">
        <v>0</v>
      </c>
      <c r="J159" t="n">
        <v>0</v>
      </c>
      <c r="K159" t="n">
        <v>0</v>
      </c>
      <c r="L159" t="n">
        <v>0</v>
      </c>
      <c r="M159" t="n">
        <v>0</v>
      </c>
      <c r="N159" t="n">
        <v>0</v>
      </c>
      <c r="O159" t="n">
        <v>0</v>
      </c>
      <c r="P159" t="n">
        <v>0</v>
      </c>
      <c r="Q159" t="n">
        <v>0</v>
      </c>
      <c r="R159" s="2" t="inlineStr"/>
    </row>
    <row r="160" ht="15" customHeight="1">
      <c r="A160" t="inlineStr">
        <is>
          <t>A 57335-2024</t>
        </is>
      </c>
      <c r="B160" s="1" t="n">
        <v>45629.63302083333</v>
      </c>
      <c r="C160" s="1" t="n">
        <v>45918</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47681-2024</t>
        </is>
      </c>
      <c r="B161" s="1" t="n">
        <v>45588</v>
      </c>
      <c r="C161" s="1" t="n">
        <v>45918</v>
      </c>
      <c r="D161" t="inlineStr">
        <is>
          <t>UPPSALA LÄN</t>
        </is>
      </c>
      <c r="E161" t="inlineStr">
        <is>
          <t>ENKÖPING</t>
        </is>
      </c>
      <c r="G161" t="n">
        <v>4.2</v>
      </c>
      <c r="H161" t="n">
        <v>0</v>
      </c>
      <c r="I161" t="n">
        <v>0</v>
      </c>
      <c r="J161" t="n">
        <v>0</v>
      </c>
      <c r="K161" t="n">
        <v>0</v>
      </c>
      <c r="L161" t="n">
        <v>0</v>
      </c>
      <c r="M161" t="n">
        <v>0</v>
      </c>
      <c r="N161" t="n">
        <v>0</v>
      </c>
      <c r="O161" t="n">
        <v>0</v>
      </c>
      <c r="P161" t="n">
        <v>0</v>
      </c>
      <c r="Q161" t="n">
        <v>0</v>
      </c>
      <c r="R161" s="2" t="inlineStr"/>
    </row>
    <row r="162" ht="15" customHeight="1">
      <c r="A162" t="inlineStr">
        <is>
          <t>A 41826-2024</t>
        </is>
      </c>
      <c r="B162" s="1" t="n">
        <v>45561</v>
      </c>
      <c r="C162" s="1" t="n">
        <v>45918</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53496-2022</t>
        </is>
      </c>
      <c r="B163" s="1" t="n">
        <v>44879.57217592592</v>
      </c>
      <c r="C163" s="1" t="n">
        <v>45918</v>
      </c>
      <c r="D163" t="inlineStr">
        <is>
          <t>UPPSALA LÄN</t>
        </is>
      </c>
      <c r="E163" t="inlineStr">
        <is>
          <t>ENKÖPING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57835-2024</t>
        </is>
      </c>
      <c r="B164" s="1" t="n">
        <v>45631.39947916667</v>
      </c>
      <c r="C164" s="1" t="n">
        <v>45918</v>
      </c>
      <c r="D164" t="inlineStr">
        <is>
          <t>UPPSALA LÄN</t>
        </is>
      </c>
      <c r="E164" t="inlineStr">
        <is>
          <t>ENKÖPING</t>
        </is>
      </c>
      <c r="G164" t="n">
        <v>0.8</v>
      </c>
      <c r="H164" t="n">
        <v>0</v>
      </c>
      <c r="I164" t="n">
        <v>0</v>
      </c>
      <c r="J164" t="n">
        <v>0</v>
      </c>
      <c r="K164" t="n">
        <v>0</v>
      </c>
      <c r="L164" t="n">
        <v>0</v>
      </c>
      <c r="M164" t="n">
        <v>0</v>
      </c>
      <c r="N164" t="n">
        <v>0</v>
      </c>
      <c r="O164" t="n">
        <v>0</v>
      </c>
      <c r="P164" t="n">
        <v>0</v>
      </c>
      <c r="Q164" t="n">
        <v>0</v>
      </c>
      <c r="R164" s="2" t="inlineStr"/>
    </row>
    <row r="165" ht="15" customHeight="1">
      <c r="A165" t="inlineStr">
        <is>
          <t>A 53208-2023</t>
        </is>
      </c>
      <c r="B165" s="1" t="n">
        <v>45226</v>
      </c>
      <c r="C165" s="1" t="n">
        <v>45918</v>
      </c>
      <c r="D165" t="inlineStr">
        <is>
          <t>UPPSALA LÄN</t>
        </is>
      </c>
      <c r="E165" t="inlineStr">
        <is>
          <t>ENKÖPING</t>
        </is>
      </c>
      <c r="G165" t="n">
        <v>4.3</v>
      </c>
      <c r="H165" t="n">
        <v>0</v>
      </c>
      <c r="I165" t="n">
        <v>0</v>
      </c>
      <c r="J165" t="n">
        <v>0</v>
      </c>
      <c r="K165" t="n">
        <v>0</v>
      </c>
      <c r="L165" t="n">
        <v>0</v>
      </c>
      <c r="M165" t="n">
        <v>0</v>
      </c>
      <c r="N165" t="n">
        <v>0</v>
      </c>
      <c r="O165" t="n">
        <v>0</v>
      </c>
      <c r="P165" t="n">
        <v>0</v>
      </c>
      <c r="Q165" t="n">
        <v>0</v>
      </c>
      <c r="R165" s="2" t="inlineStr"/>
    </row>
    <row r="166" ht="15" customHeight="1">
      <c r="A166" t="inlineStr">
        <is>
          <t>A 42589-2022</t>
        </is>
      </c>
      <c r="B166" s="1" t="n">
        <v>44831</v>
      </c>
      <c r="C166" s="1" t="n">
        <v>45918</v>
      </c>
      <c r="D166" t="inlineStr">
        <is>
          <t>UPPSALA LÄN</t>
        </is>
      </c>
      <c r="E166" t="inlineStr">
        <is>
          <t>ENKÖPING</t>
        </is>
      </c>
      <c r="G166" t="n">
        <v>20</v>
      </c>
      <c r="H166" t="n">
        <v>0</v>
      </c>
      <c r="I166" t="n">
        <v>0</v>
      </c>
      <c r="J166" t="n">
        <v>0</v>
      </c>
      <c r="K166" t="n">
        <v>0</v>
      </c>
      <c r="L166" t="n">
        <v>0</v>
      </c>
      <c r="M166" t="n">
        <v>0</v>
      </c>
      <c r="N166" t="n">
        <v>0</v>
      </c>
      <c r="O166" t="n">
        <v>0</v>
      </c>
      <c r="P166" t="n">
        <v>0</v>
      </c>
      <c r="Q166" t="n">
        <v>0</v>
      </c>
      <c r="R166" s="2" t="inlineStr"/>
    </row>
    <row r="167" ht="15" customHeight="1">
      <c r="A167" t="inlineStr">
        <is>
          <t>A 19013-2025</t>
        </is>
      </c>
      <c r="B167" s="1" t="n">
        <v>45764.59533564815</v>
      </c>
      <c r="C167" s="1" t="n">
        <v>45918</v>
      </c>
      <c r="D167" t="inlineStr">
        <is>
          <t>UPPSALA LÄN</t>
        </is>
      </c>
      <c r="E167" t="inlineStr">
        <is>
          <t>ENKÖPING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840-2025</t>
        </is>
      </c>
      <c r="B168" s="1" t="n">
        <v>45665</v>
      </c>
      <c r="C168" s="1" t="n">
        <v>45918</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37115-2024</t>
        </is>
      </c>
      <c r="B169" s="1" t="n">
        <v>45539</v>
      </c>
      <c r="C169" s="1" t="n">
        <v>45918</v>
      </c>
      <c r="D169" t="inlineStr">
        <is>
          <t>UPPSALA LÄN</t>
        </is>
      </c>
      <c r="E169" t="inlineStr">
        <is>
          <t>ENKÖPING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2164-2023</t>
        </is>
      </c>
      <c r="B170" s="1" t="n">
        <v>44941</v>
      </c>
      <c r="C170" s="1" t="n">
        <v>45918</v>
      </c>
      <c r="D170" t="inlineStr">
        <is>
          <t>UPPSALA LÄN</t>
        </is>
      </c>
      <c r="E170" t="inlineStr">
        <is>
          <t>ENKÖPING</t>
        </is>
      </c>
      <c r="G170" t="n">
        <v>2.5</v>
      </c>
      <c r="H170" t="n">
        <v>0</v>
      </c>
      <c r="I170" t="n">
        <v>0</v>
      </c>
      <c r="J170" t="n">
        <v>0</v>
      </c>
      <c r="K170" t="n">
        <v>0</v>
      </c>
      <c r="L170" t="n">
        <v>0</v>
      </c>
      <c r="M170" t="n">
        <v>0</v>
      </c>
      <c r="N170" t="n">
        <v>0</v>
      </c>
      <c r="O170" t="n">
        <v>0</v>
      </c>
      <c r="P170" t="n">
        <v>0</v>
      </c>
      <c r="Q170" t="n">
        <v>0</v>
      </c>
      <c r="R170" s="2" t="inlineStr"/>
    </row>
    <row r="171" ht="15" customHeight="1">
      <c r="A171" t="inlineStr">
        <is>
          <t>A 17165-2025</t>
        </is>
      </c>
      <c r="B171" s="1" t="n">
        <v>45756</v>
      </c>
      <c r="C171" s="1" t="n">
        <v>45918</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45142-2023</t>
        </is>
      </c>
      <c r="B172" s="1" t="n">
        <v>45191.4702662037</v>
      </c>
      <c r="C172" s="1" t="n">
        <v>45918</v>
      </c>
      <c r="D172" t="inlineStr">
        <is>
          <t>UPPSALA LÄN</t>
        </is>
      </c>
      <c r="E172" t="inlineStr">
        <is>
          <t>ENKÖPING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5013-2025</t>
        </is>
      </c>
      <c r="B173" s="1" t="n">
        <v>45691</v>
      </c>
      <c r="C173" s="1" t="n">
        <v>45918</v>
      </c>
      <c r="D173" t="inlineStr">
        <is>
          <t>UPPSALA LÄN</t>
        </is>
      </c>
      <c r="E173" t="inlineStr">
        <is>
          <t>ENKÖPING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11918-2025</t>
        </is>
      </c>
      <c r="B174" s="1" t="n">
        <v>45728.49331018519</v>
      </c>
      <c r="C174" s="1" t="n">
        <v>45918</v>
      </c>
      <c r="D174" t="inlineStr">
        <is>
          <t>UPPSALA LÄN</t>
        </is>
      </c>
      <c r="E174" t="inlineStr">
        <is>
          <t>ENKÖPING</t>
        </is>
      </c>
      <c r="G174" t="n">
        <v>1.2</v>
      </c>
      <c r="H174" t="n">
        <v>0</v>
      </c>
      <c r="I174" t="n">
        <v>0</v>
      </c>
      <c r="J174" t="n">
        <v>0</v>
      </c>
      <c r="K174" t="n">
        <v>0</v>
      </c>
      <c r="L174" t="n">
        <v>0</v>
      </c>
      <c r="M174" t="n">
        <v>0</v>
      </c>
      <c r="N174" t="n">
        <v>0</v>
      </c>
      <c r="O174" t="n">
        <v>0</v>
      </c>
      <c r="P174" t="n">
        <v>0</v>
      </c>
      <c r="Q174" t="n">
        <v>0</v>
      </c>
      <c r="R174" s="2" t="inlineStr"/>
    </row>
    <row r="175" ht="15" customHeight="1">
      <c r="A175" t="inlineStr">
        <is>
          <t>A 61952-2021</t>
        </is>
      </c>
      <c r="B175" s="1" t="n">
        <v>44502</v>
      </c>
      <c r="C175" s="1" t="n">
        <v>45918</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31242-2024</t>
        </is>
      </c>
      <c r="B176" s="1" t="n">
        <v>45503</v>
      </c>
      <c r="C176" s="1" t="n">
        <v>45918</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845-2025</t>
        </is>
      </c>
      <c r="B177" s="1" t="n">
        <v>45665</v>
      </c>
      <c r="C177" s="1" t="n">
        <v>45918</v>
      </c>
      <c r="D177" t="inlineStr">
        <is>
          <t>UPPSALA LÄN</t>
        </is>
      </c>
      <c r="E177" t="inlineStr">
        <is>
          <t>ENKÖPING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849-2025</t>
        </is>
      </c>
      <c r="B178" s="1" t="n">
        <v>45665</v>
      </c>
      <c r="C178" s="1" t="n">
        <v>45918</v>
      </c>
      <c r="D178" t="inlineStr">
        <is>
          <t>UPPSALA LÄN</t>
        </is>
      </c>
      <c r="E178" t="inlineStr">
        <is>
          <t>ENKÖPING</t>
        </is>
      </c>
      <c r="G178" t="n">
        <v>0.6</v>
      </c>
      <c r="H178" t="n">
        <v>0</v>
      </c>
      <c r="I178" t="n">
        <v>0</v>
      </c>
      <c r="J178" t="n">
        <v>0</v>
      </c>
      <c r="K178" t="n">
        <v>0</v>
      </c>
      <c r="L178" t="n">
        <v>0</v>
      </c>
      <c r="M178" t="n">
        <v>0</v>
      </c>
      <c r="N178" t="n">
        <v>0</v>
      </c>
      <c r="O178" t="n">
        <v>0</v>
      </c>
      <c r="P178" t="n">
        <v>0</v>
      </c>
      <c r="Q178" t="n">
        <v>0</v>
      </c>
      <c r="R178" s="2" t="inlineStr"/>
    </row>
    <row r="179" ht="15" customHeight="1">
      <c r="A179" t="inlineStr">
        <is>
          <t>A 37170-2021</t>
        </is>
      </c>
      <c r="B179" s="1" t="n">
        <v>44395</v>
      </c>
      <c r="C179" s="1" t="n">
        <v>45918</v>
      </c>
      <c r="D179" t="inlineStr">
        <is>
          <t>UPPSALA LÄN</t>
        </is>
      </c>
      <c r="E179" t="inlineStr">
        <is>
          <t>ENKÖPING</t>
        </is>
      </c>
      <c r="G179" t="n">
        <v>1.5</v>
      </c>
      <c r="H179" t="n">
        <v>0</v>
      </c>
      <c r="I179" t="n">
        <v>0</v>
      </c>
      <c r="J179" t="n">
        <v>0</v>
      </c>
      <c r="K179" t="n">
        <v>0</v>
      </c>
      <c r="L179" t="n">
        <v>0</v>
      </c>
      <c r="M179" t="n">
        <v>0</v>
      </c>
      <c r="N179" t="n">
        <v>0</v>
      </c>
      <c r="O179" t="n">
        <v>0</v>
      </c>
      <c r="P179" t="n">
        <v>0</v>
      </c>
      <c r="Q179" t="n">
        <v>0</v>
      </c>
      <c r="R179" s="2" t="inlineStr"/>
    </row>
    <row r="180" ht="15" customHeight="1">
      <c r="A180" t="inlineStr">
        <is>
          <t>A 14083-2025</t>
        </is>
      </c>
      <c r="B180" s="1" t="n">
        <v>45740</v>
      </c>
      <c r="C180" s="1" t="n">
        <v>45918</v>
      </c>
      <c r="D180" t="inlineStr">
        <is>
          <t>UPPSALA LÄN</t>
        </is>
      </c>
      <c r="E180" t="inlineStr">
        <is>
          <t>ENKÖPING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69879-2021</t>
        </is>
      </c>
      <c r="B181" s="1" t="n">
        <v>44532</v>
      </c>
      <c r="C181" s="1" t="n">
        <v>45918</v>
      </c>
      <c r="D181" t="inlineStr">
        <is>
          <t>UPPSALA LÄN</t>
        </is>
      </c>
      <c r="E181" t="inlineStr">
        <is>
          <t>ENKÖPING</t>
        </is>
      </c>
      <c r="G181" t="n">
        <v>4.2</v>
      </c>
      <c r="H181" t="n">
        <v>0</v>
      </c>
      <c r="I181" t="n">
        <v>0</v>
      </c>
      <c r="J181" t="n">
        <v>0</v>
      </c>
      <c r="K181" t="n">
        <v>0</v>
      </c>
      <c r="L181" t="n">
        <v>0</v>
      </c>
      <c r="M181" t="n">
        <v>0</v>
      </c>
      <c r="N181" t="n">
        <v>0</v>
      </c>
      <c r="O181" t="n">
        <v>0</v>
      </c>
      <c r="P181" t="n">
        <v>0</v>
      </c>
      <c r="Q181" t="n">
        <v>0</v>
      </c>
      <c r="R181" s="2" t="inlineStr"/>
    </row>
    <row r="182" ht="15" customHeight="1">
      <c r="A182" t="inlineStr">
        <is>
          <t>A 52169-2020</t>
        </is>
      </c>
      <c r="B182" s="1" t="n">
        <v>44117</v>
      </c>
      <c r="C182" s="1" t="n">
        <v>45918</v>
      </c>
      <c r="D182" t="inlineStr">
        <is>
          <t>UPPSALA LÄN</t>
        </is>
      </c>
      <c r="E182" t="inlineStr">
        <is>
          <t>ENKÖPING</t>
        </is>
      </c>
      <c r="F182" t="inlineStr">
        <is>
          <t>Allmännings- och besparingsskogar</t>
        </is>
      </c>
      <c r="G182" t="n">
        <v>1.5</v>
      </c>
      <c r="H182" t="n">
        <v>0</v>
      </c>
      <c r="I182" t="n">
        <v>0</v>
      </c>
      <c r="J182" t="n">
        <v>0</v>
      </c>
      <c r="K182" t="n">
        <v>0</v>
      </c>
      <c r="L182" t="n">
        <v>0</v>
      </c>
      <c r="M182" t="n">
        <v>0</v>
      </c>
      <c r="N182" t="n">
        <v>0</v>
      </c>
      <c r="O182" t="n">
        <v>0</v>
      </c>
      <c r="P182" t="n">
        <v>0</v>
      </c>
      <c r="Q182" t="n">
        <v>0</v>
      </c>
      <c r="R182" s="2" t="inlineStr"/>
    </row>
    <row r="183" ht="15" customHeight="1">
      <c r="A183" t="inlineStr">
        <is>
          <t>A 58147-2024</t>
        </is>
      </c>
      <c r="B183" s="1" t="n">
        <v>45632.4334375</v>
      </c>
      <c r="C183" s="1" t="n">
        <v>45918</v>
      </c>
      <c r="D183" t="inlineStr">
        <is>
          <t>UPPSALA LÄN</t>
        </is>
      </c>
      <c r="E183" t="inlineStr">
        <is>
          <t>ENKÖPING</t>
        </is>
      </c>
      <c r="G183" t="n">
        <v>3</v>
      </c>
      <c r="H183" t="n">
        <v>0</v>
      </c>
      <c r="I183" t="n">
        <v>0</v>
      </c>
      <c r="J183" t="n">
        <v>0</v>
      </c>
      <c r="K183" t="n">
        <v>0</v>
      </c>
      <c r="L183" t="n">
        <v>0</v>
      </c>
      <c r="M183" t="n">
        <v>0</v>
      </c>
      <c r="N183" t="n">
        <v>0</v>
      </c>
      <c r="O183" t="n">
        <v>0</v>
      </c>
      <c r="P183" t="n">
        <v>0</v>
      </c>
      <c r="Q183" t="n">
        <v>0</v>
      </c>
      <c r="R183" s="2" t="inlineStr"/>
    </row>
    <row r="184" ht="15" customHeight="1">
      <c r="A184" t="inlineStr">
        <is>
          <t>A 62158-2023</t>
        </is>
      </c>
      <c r="B184" s="1" t="n">
        <v>45267</v>
      </c>
      <c r="C184" s="1" t="n">
        <v>45918</v>
      </c>
      <c r="D184" t="inlineStr">
        <is>
          <t>UPPSALA LÄN</t>
        </is>
      </c>
      <c r="E184" t="inlineStr">
        <is>
          <t>ENKÖPING</t>
        </is>
      </c>
      <c r="G184" t="n">
        <v>1.4</v>
      </c>
      <c r="H184" t="n">
        <v>0</v>
      </c>
      <c r="I184" t="n">
        <v>0</v>
      </c>
      <c r="J184" t="n">
        <v>0</v>
      </c>
      <c r="K184" t="n">
        <v>0</v>
      </c>
      <c r="L184" t="n">
        <v>0</v>
      </c>
      <c r="M184" t="n">
        <v>0</v>
      </c>
      <c r="N184" t="n">
        <v>0</v>
      </c>
      <c r="O184" t="n">
        <v>0</v>
      </c>
      <c r="P184" t="n">
        <v>0</v>
      </c>
      <c r="Q184" t="n">
        <v>0</v>
      </c>
      <c r="R184" s="2" t="inlineStr"/>
    </row>
    <row r="185" ht="15" customHeight="1">
      <c r="A185" t="inlineStr">
        <is>
          <t>A 60350-2022</t>
        </is>
      </c>
      <c r="B185" s="1" t="n">
        <v>44910</v>
      </c>
      <c r="C185" s="1" t="n">
        <v>45918</v>
      </c>
      <c r="D185" t="inlineStr">
        <is>
          <t>UPPSALA LÄN</t>
        </is>
      </c>
      <c r="E185" t="inlineStr">
        <is>
          <t>ENKÖPING</t>
        </is>
      </c>
      <c r="F185" t="inlineStr">
        <is>
          <t>Allmännings- och besparingsskogar</t>
        </is>
      </c>
      <c r="G185" t="n">
        <v>3.5</v>
      </c>
      <c r="H185" t="n">
        <v>0</v>
      </c>
      <c r="I185" t="n">
        <v>0</v>
      </c>
      <c r="J185" t="n">
        <v>0</v>
      </c>
      <c r="K185" t="n">
        <v>0</v>
      </c>
      <c r="L185" t="n">
        <v>0</v>
      </c>
      <c r="M185" t="n">
        <v>0</v>
      </c>
      <c r="N185" t="n">
        <v>0</v>
      </c>
      <c r="O185" t="n">
        <v>0</v>
      </c>
      <c r="P185" t="n">
        <v>0</v>
      </c>
      <c r="Q185" t="n">
        <v>0</v>
      </c>
      <c r="R185" s="2" t="inlineStr"/>
    </row>
    <row r="186" ht="15" customHeight="1">
      <c r="A186" t="inlineStr">
        <is>
          <t>A 4562-2025</t>
        </is>
      </c>
      <c r="B186" s="1" t="n">
        <v>45687</v>
      </c>
      <c r="C186" s="1" t="n">
        <v>45918</v>
      </c>
      <c r="D186" t="inlineStr">
        <is>
          <t>UPPSALA LÄN</t>
        </is>
      </c>
      <c r="E186" t="inlineStr">
        <is>
          <t>ENKÖPING</t>
        </is>
      </c>
      <c r="G186" t="n">
        <v>2.5</v>
      </c>
      <c r="H186" t="n">
        <v>0</v>
      </c>
      <c r="I186" t="n">
        <v>0</v>
      </c>
      <c r="J186" t="n">
        <v>0</v>
      </c>
      <c r="K186" t="n">
        <v>0</v>
      </c>
      <c r="L186" t="n">
        <v>0</v>
      </c>
      <c r="M186" t="n">
        <v>0</v>
      </c>
      <c r="N186" t="n">
        <v>0</v>
      </c>
      <c r="O186" t="n">
        <v>0</v>
      </c>
      <c r="P186" t="n">
        <v>0</v>
      </c>
      <c r="Q186" t="n">
        <v>0</v>
      </c>
      <c r="R186" s="2" t="inlineStr"/>
    </row>
    <row r="187" ht="15" customHeight="1">
      <c r="A187" t="inlineStr">
        <is>
          <t>A 2850-2025</t>
        </is>
      </c>
      <c r="B187" s="1" t="n">
        <v>45677</v>
      </c>
      <c r="C187" s="1" t="n">
        <v>45918</v>
      </c>
      <c r="D187" t="inlineStr">
        <is>
          <t>UPPSALA LÄN</t>
        </is>
      </c>
      <c r="E187" t="inlineStr">
        <is>
          <t>ENKÖPING</t>
        </is>
      </c>
      <c r="G187" t="n">
        <v>0.3</v>
      </c>
      <c r="H187" t="n">
        <v>0</v>
      </c>
      <c r="I187" t="n">
        <v>0</v>
      </c>
      <c r="J187" t="n">
        <v>0</v>
      </c>
      <c r="K187" t="n">
        <v>0</v>
      </c>
      <c r="L187" t="n">
        <v>0</v>
      </c>
      <c r="M187" t="n">
        <v>0</v>
      </c>
      <c r="N187" t="n">
        <v>0</v>
      </c>
      <c r="O187" t="n">
        <v>0</v>
      </c>
      <c r="P187" t="n">
        <v>0</v>
      </c>
      <c r="Q187" t="n">
        <v>0</v>
      </c>
      <c r="R187" s="2" t="inlineStr"/>
    </row>
    <row r="188" ht="15" customHeight="1">
      <c r="A188" t="inlineStr">
        <is>
          <t>A 3550-2023</t>
        </is>
      </c>
      <c r="B188" s="1" t="n">
        <v>44950</v>
      </c>
      <c r="C188" s="1" t="n">
        <v>45918</v>
      </c>
      <c r="D188" t="inlineStr">
        <is>
          <t>UPPSALA LÄN</t>
        </is>
      </c>
      <c r="E188" t="inlineStr">
        <is>
          <t>ENKÖPING</t>
        </is>
      </c>
      <c r="G188" t="n">
        <v>0.9</v>
      </c>
      <c r="H188" t="n">
        <v>0</v>
      </c>
      <c r="I188" t="n">
        <v>0</v>
      </c>
      <c r="J188" t="n">
        <v>0</v>
      </c>
      <c r="K188" t="n">
        <v>0</v>
      </c>
      <c r="L188" t="n">
        <v>0</v>
      </c>
      <c r="M188" t="n">
        <v>0</v>
      </c>
      <c r="N188" t="n">
        <v>0</v>
      </c>
      <c r="O188" t="n">
        <v>0</v>
      </c>
      <c r="P188" t="n">
        <v>0</v>
      </c>
      <c r="Q188" t="n">
        <v>0</v>
      </c>
      <c r="R188" s="2" t="inlineStr"/>
    </row>
    <row r="189" ht="15" customHeight="1">
      <c r="A189" t="inlineStr">
        <is>
          <t>A 19014-2025</t>
        </is>
      </c>
      <c r="B189" s="1" t="n">
        <v>45764.59631944444</v>
      </c>
      <c r="C189" s="1" t="n">
        <v>45918</v>
      </c>
      <c r="D189" t="inlineStr">
        <is>
          <t>UPPSALA LÄN</t>
        </is>
      </c>
      <c r="E189" t="inlineStr">
        <is>
          <t>ENKÖPING</t>
        </is>
      </c>
      <c r="G189" t="n">
        <v>0.2</v>
      </c>
      <c r="H189" t="n">
        <v>0</v>
      </c>
      <c r="I189" t="n">
        <v>0</v>
      </c>
      <c r="J189" t="n">
        <v>0</v>
      </c>
      <c r="K189" t="n">
        <v>0</v>
      </c>
      <c r="L189" t="n">
        <v>0</v>
      </c>
      <c r="M189" t="n">
        <v>0</v>
      </c>
      <c r="N189" t="n">
        <v>0</v>
      </c>
      <c r="O189" t="n">
        <v>0</v>
      </c>
      <c r="P189" t="n">
        <v>0</v>
      </c>
      <c r="Q189" t="n">
        <v>0</v>
      </c>
      <c r="R189" s="2" t="inlineStr"/>
    </row>
    <row r="190" ht="15" customHeight="1">
      <c r="A190" t="inlineStr">
        <is>
          <t>A 35647-2021</t>
        </is>
      </c>
      <c r="B190" s="1" t="n">
        <v>44386</v>
      </c>
      <c r="C190" s="1" t="n">
        <v>45918</v>
      </c>
      <c r="D190" t="inlineStr">
        <is>
          <t>UPPSALA LÄN</t>
        </is>
      </c>
      <c r="E190" t="inlineStr">
        <is>
          <t>ENKÖPING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42021-2021</t>
        </is>
      </c>
      <c r="B191" s="1" t="n">
        <v>44426</v>
      </c>
      <c r="C191" s="1" t="n">
        <v>45918</v>
      </c>
      <c r="D191" t="inlineStr">
        <is>
          <t>UPPSALA LÄN</t>
        </is>
      </c>
      <c r="E191" t="inlineStr">
        <is>
          <t>ENKÖPING</t>
        </is>
      </c>
      <c r="G191" t="n">
        <v>2.2</v>
      </c>
      <c r="H191" t="n">
        <v>0</v>
      </c>
      <c r="I191" t="n">
        <v>0</v>
      </c>
      <c r="J191" t="n">
        <v>0</v>
      </c>
      <c r="K191" t="n">
        <v>0</v>
      </c>
      <c r="L191" t="n">
        <v>0</v>
      </c>
      <c r="M191" t="n">
        <v>0</v>
      </c>
      <c r="N191" t="n">
        <v>0</v>
      </c>
      <c r="O191" t="n">
        <v>0</v>
      </c>
      <c r="P191" t="n">
        <v>0</v>
      </c>
      <c r="Q191" t="n">
        <v>0</v>
      </c>
      <c r="R191" s="2" t="inlineStr"/>
    </row>
    <row r="192" ht="15" customHeight="1">
      <c r="A192" t="inlineStr">
        <is>
          <t>A 15757-2023</t>
        </is>
      </c>
      <c r="B192" s="1" t="n">
        <v>45021</v>
      </c>
      <c r="C192" s="1" t="n">
        <v>45918</v>
      </c>
      <c r="D192" t="inlineStr">
        <is>
          <t>UPPSALA LÄN</t>
        </is>
      </c>
      <c r="E192" t="inlineStr">
        <is>
          <t>ENKÖPING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2161-2023</t>
        </is>
      </c>
      <c r="B193" s="1" t="n">
        <v>44941</v>
      </c>
      <c r="C193" s="1" t="n">
        <v>45918</v>
      </c>
      <c r="D193" t="inlineStr">
        <is>
          <t>UPPSALA LÄN</t>
        </is>
      </c>
      <c r="E193" t="inlineStr">
        <is>
          <t>ENKÖPING</t>
        </is>
      </c>
      <c r="G193" t="n">
        <v>0.9</v>
      </c>
      <c r="H193" t="n">
        <v>0</v>
      </c>
      <c r="I193" t="n">
        <v>0</v>
      </c>
      <c r="J193" t="n">
        <v>0</v>
      </c>
      <c r="K193" t="n">
        <v>0</v>
      </c>
      <c r="L193" t="n">
        <v>0</v>
      </c>
      <c r="M193" t="n">
        <v>0</v>
      </c>
      <c r="N193" t="n">
        <v>0</v>
      </c>
      <c r="O193" t="n">
        <v>0</v>
      </c>
      <c r="P193" t="n">
        <v>0</v>
      </c>
      <c r="Q193" t="n">
        <v>0</v>
      </c>
      <c r="R193" s="2" t="inlineStr"/>
    </row>
    <row r="194" ht="15" customHeight="1">
      <c r="A194" t="inlineStr">
        <is>
          <t>A 2165-2023</t>
        </is>
      </c>
      <c r="B194" s="1" t="n">
        <v>44941</v>
      </c>
      <c r="C194" s="1" t="n">
        <v>45918</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12958-2024</t>
        </is>
      </c>
      <c r="B195" s="1" t="n">
        <v>45385</v>
      </c>
      <c r="C195" s="1" t="n">
        <v>45918</v>
      </c>
      <c r="D195" t="inlineStr">
        <is>
          <t>UPPSALA LÄN</t>
        </is>
      </c>
      <c r="E195" t="inlineStr">
        <is>
          <t>ENKÖPING</t>
        </is>
      </c>
      <c r="G195" t="n">
        <v>2.1</v>
      </c>
      <c r="H195" t="n">
        <v>0</v>
      </c>
      <c r="I195" t="n">
        <v>0</v>
      </c>
      <c r="J195" t="n">
        <v>0</v>
      </c>
      <c r="K195" t="n">
        <v>0</v>
      </c>
      <c r="L195" t="n">
        <v>0</v>
      </c>
      <c r="M195" t="n">
        <v>0</v>
      </c>
      <c r="N195" t="n">
        <v>0</v>
      </c>
      <c r="O195" t="n">
        <v>0</v>
      </c>
      <c r="P195" t="n">
        <v>0</v>
      </c>
      <c r="Q195" t="n">
        <v>0</v>
      </c>
      <c r="R195" s="2" t="inlineStr"/>
    </row>
    <row r="196" ht="15" customHeight="1">
      <c r="A196" t="inlineStr">
        <is>
          <t>A 20112-2024</t>
        </is>
      </c>
      <c r="B196" s="1" t="n">
        <v>45434</v>
      </c>
      <c r="C196" s="1" t="n">
        <v>45918</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10458-2022</t>
        </is>
      </c>
      <c r="B197" s="1" t="n">
        <v>44623.56711805556</v>
      </c>
      <c r="C197" s="1" t="n">
        <v>45918</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17467-2022</t>
        </is>
      </c>
      <c r="B198" s="1" t="n">
        <v>44679</v>
      </c>
      <c r="C198" s="1" t="n">
        <v>45918</v>
      </c>
      <c r="D198" t="inlineStr">
        <is>
          <t>UPPSALA LÄN</t>
        </is>
      </c>
      <c r="E198" t="inlineStr">
        <is>
          <t>ENKÖPING</t>
        </is>
      </c>
      <c r="G198" t="n">
        <v>0.7</v>
      </c>
      <c r="H198" t="n">
        <v>0</v>
      </c>
      <c r="I198" t="n">
        <v>0</v>
      </c>
      <c r="J198" t="n">
        <v>0</v>
      </c>
      <c r="K198" t="n">
        <v>0</v>
      </c>
      <c r="L198" t="n">
        <v>0</v>
      </c>
      <c r="M198" t="n">
        <v>0</v>
      </c>
      <c r="N198" t="n">
        <v>0</v>
      </c>
      <c r="O198" t="n">
        <v>0</v>
      </c>
      <c r="P198" t="n">
        <v>0</v>
      </c>
      <c r="Q198" t="n">
        <v>0</v>
      </c>
      <c r="R198" s="2" t="inlineStr"/>
    </row>
    <row r="199" ht="15" customHeight="1">
      <c r="A199" t="inlineStr">
        <is>
          <t>A 1651-2024</t>
        </is>
      </c>
      <c r="B199" s="1" t="n">
        <v>45306.73770833333</v>
      </c>
      <c r="C199" s="1" t="n">
        <v>45918</v>
      </c>
      <c r="D199" t="inlineStr">
        <is>
          <t>UPPSALA LÄN</t>
        </is>
      </c>
      <c r="E199" t="inlineStr">
        <is>
          <t>ENKÖPING</t>
        </is>
      </c>
      <c r="G199" t="n">
        <v>10.2</v>
      </c>
      <c r="H199" t="n">
        <v>0</v>
      </c>
      <c r="I199" t="n">
        <v>0</v>
      </c>
      <c r="J199" t="n">
        <v>0</v>
      </c>
      <c r="K199" t="n">
        <v>0</v>
      </c>
      <c r="L199" t="n">
        <v>0</v>
      </c>
      <c r="M199" t="n">
        <v>0</v>
      </c>
      <c r="N199" t="n">
        <v>0</v>
      </c>
      <c r="O199" t="n">
        <v>0</v>
      </c>
      <c r="P199" t="n">
        <v>0</v>
      </c>
      <c r="Q199" t="n">
        <v>0</v>
      </c>
      <c r="R199" s="2" t="inlineStr"/>
    </row>
    <row r="200" ht="15" customHeight="1">
      <c r="A200" t="inlineStr">
        <is>
          <t>A 44115-2024</t>
        </is>
      </c>
      <c r="B200" s="1" t="n">
        <v>45572</v>
      </c>
      <c r="C200" s="1" t="n">
        <v>45918</v>
      </c>
      <c r="D200" t="inlineStr">
        <is>
          <t>UPPSALA LÄN</t>
        </is>
      </c>
      <c r="E200" t="inlineStr">
        <is>
          <t>ENKÖPING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2162-2023</t>
        </is>
      </c>
      <c r="B201" s="1" t="n">
        <v>44941</v>
      </c>
      <c r="C201" s="1" t="n">
        <v>45918</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32081-2024</t>
        </is>
      </c>
      <c r="B202" s="1" t="n">
        <v>45511.34605324074</v>
      </c>
      <c r="C202" s="1" t="n">
        <v>45918</v>
      </c>
      <c r="D202" t="inlineStr">
        <is>
          <t>UPPSALA LÄN</t>
        </is>
      </c>
      <c r="E202" t="inlineStr">
        <is>
          <t>ENKÖPING</t>
        </is>
      </c>
      <c r="G202" t="n">
        <v>5.4</v>
      </c>
      <c r="H202" t="n">
        <v>0</v>
      </c>
      <c r="I202" t="n">
        <v>0</v>
      </c>
      <c r="J202" t="n">
        <v>0</v>
      </c>
      <c r="K202" t="n">
        <v>0</v>
      </c>
      <c r="L202" t="n">
        <v>0</v>
      </c>
      <c r="M202" t="n">
        <v>0</v>
      </c>
      <c r="N202" t="n">
        <v>0</v>
      </c>
      <c r="O202" t="n">
        <v>0</v>
      </c>
      <c r="P202" t="n">
        <v>0</v>
      </c>
      <c r="Q202" t="n">
        <v>0</v>
      </c>
      <c r="R202" s="2" t="inlineStr"/>
    </row>
    <row r="203" ht="15" customHeight="1">
      <c r="A203" t="inlineStr">
        <is>
          <t>A 51012-2024</t>
        </is>
      </c>
      <c r="B203" s="1" t="n">
        <v>45603.39686342593</v>
      </c>
      <c r="C203" s="1" t="n">
        <v>45918</v>
      </c>
      <c r="D203" t="inlineStr">
        <is>
          <t>UPPSALA LÄN</t>
        </is>
      </c>
      <c r="E203" t="inlineStr">
        <is>
          <t>ENKÖPING</t>
        </is>
      </c>
      <c r="G203" t="n">
        <v>2.7</v>
      </c>
      <c r="H203" t="n">
        <v>0</v>
      </c>
      <c r="I203" t="n">
        <v>0</v>
      </c>
      <c r="J203" t="n">
        <v>0</v>
      </c>
      <c r="K203" t="n">
        <v>0</v>
      </c>
      <c r="L203" t="n">
        <v>0</v>
      </c>
      <c r="M203" t="n">
        <v>0</v>
      </c>
      <c r="N203" t="n">
        <v>0</v>
      </c>
      <c r="O203" t="n">
        <v>0</v>
      </c>
      <c r="P203" t="n">
        <v>0</v>
      </c>
      <c r="Q203" t="n">
        <v>0</v>
      </c>
      <c r="R203" s="2" t="inlineStr"/>
    </row>
    <row r="204" ht="15" customHeight="1">
      <c r="A204" t="inlineStr">
        <is>
          <t>A 51037-2024</t>
        </is>
      </c>
      <c r="B204" s="1" t="n">
        <v>45603.43005787037</v>
      </c>
      <c r="C204" s="1" t="n">
        <v>45918</v>
      </c>
      <c r="D204" t="inlineStr">
        <is>
          <t>UPPSALA LÄN</t>
        </is>
      </c>
      <c r="E204" t="inlineStr">
        <is>
          <t>ENKÖPING</t>
        </is>
      </c>
      <c r="G204" t="n">
        <v>5.7</v>
      </c>
      <c r="H204" t="n">
        <v>0</v>
      </c>
      <c r="I204" t="n">
        <v>0</v>
      </c>
      <c r="J204" t="n">
        <v>0</v>
      </c>
      <c r="K204" t="n">
        <v>0</v>
      </c>
      <c r="L204" t="n">
        <v>0</v>
      </c>
      <c r="M204" t="n">
        <v>0</v>
      </c>
      <c r="N204" t="n">
        <v>0</v>
      </c>
      <c r="O204" t="n">
        <v>0</v>
      </c>
      <c r="P204" t="n">
        <v>0</v>
      </c>
      <c r="Q204" t="n">
        <v>0</v>
      </c>
      <c r="R204" s="2" t="inlineStr"/>
    </row>
    <row r="205" ht="15" customHeight="1">
      <c r="A205" t="inlineStr">
        <is>
          <t>A 9957-2023</t>
        </is>
      </c>
      <c r="B205" s="1" t="n">
        <v>44978</v>
      </c>
      <c r="C205" s="1" t="n">
        <v>45918</v>
      </c>
      <c r="D205" t="inlineStr">
        <is>
          <t>UPPSALA LÄN</t>
        </is>
      </c>
      <c r="E205" t="inlineStr">
        <is>
          <t>ENKÖPING</t>
        </is>
      </c>
      <c r="G205" t="n">
        <v>5.9</v>
      </c>
      <c r="H205" t="n">
        <v>0</v>
      </c>
      <c r="I205" t="n">
        <v>0</v>
      </c>
      <c r="J205" t="n">
        <v>0</v>
      </c>
      <c r="K205" t="n">
        <v>0</v>
      </c>
      <c r="L205" t="n">
        <v>0</v>
      </c>
      <c r="M205" t="n">
        <v>0</v>
      </c>
      <c r="N205" t="n">
        <v>0</v>
      </c>
      <c r="O205" t="n">
        <v>0</v>
      </c>
      <c r="P205" t="n">
        <v>0</v>
      </c>
      <c r="Q205" t="n">
        <v>0</v>
      </c>
      <c r="R205" s="2" t="inlineStr"/>
    </row>
    <row r="206" ht="15" customHeight="1">
      <c r="A206" t="inlineStr">
        <is>
          <t>A 57940-2022</t>
        </is>
      </c>
      <c r="B206" s="1" t="n">
        <v>44900</v>
      </c>
      <c r="C206" s="1" t="n">
        <v>45918</v>
      </c>
      <c r="D206" t="inlineStr">
        <is>
          <t>UPPSALA LÄN</t>
        </is>
      </c>
      <c r="E206" t="inlineStr">
        <is>
          <t>ENKÖPING</t>
        </is>
      </c>
      <c r="G206" t="n">
        <v>1.9</v>
      </c>
      <c r="H206" t="n">
        <v>0</v>
      </c>
      <c r="I206" t="n">
        <v>0</v>
      </c>
      <c r="J206" t="n">
        <v>0</v>
      </c>
      <c r="K206" t="n">
        <v>0</v>
      </c>
      <c r="L206" t="n">
        <v>0</v>
      </c>
      <c r="M206" t="n">
        <v>0</v>
      </c>
      <c r="N206" t="n">
        <v>0</v>
      </c>
      <c r="O206" t="n">
        <v>0</v>
      </c>
      <c r="P206" t="n">
        <v>0</v>
      </c>
      <c r="Q206" t="n">
        <v>0</v>
      </c>
      <c r="R206" s="2" t="inlineStr"/>
    </row>
    <row r="207" ht="15" customHeight="1">
      <c r="A207" t="inlineStr">
        <is>
          <t>A 63402-2023</t>
        </is>
      </c>
      <c r="B207" s="1" t="n">
        <v>45274.50646990741</v>
      </c>
      <c r="C207" s="1" t="n">
        <v>45918</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2968-2025</t>
        </is>
      </c>
      <c r="B208" s="1" t="n">
        <v>45678</v>
      </c>
      <c r="C208" s="1" t="n">
        <v>45918</v>
      </c>
      <c r="D208" t="inlineStr">
        <is>
          <t>UPPSALA LÄN</t>
        </is>
      </c>
      <c r="E208" t="inlineStr">
        <is>
          <t>ENKÖPING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49525-2021</t>
        </is>
      </c>
      <c r="B209" s="1" t="n">
        <v>44455</v>
      </c>
      <c r="C209" s="1" t="n">
        <v>45918</v>
      </c>
      <c r="D209" t="inlineStr">
        <is>
          <t>UPPSALA LÄN</t>
        </is>
      </c>
      <c r="E209" t="inlineStr">
        <is>
          <t>ENKÖPING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6959-2025</t>
        </is>
      </c>
      <c r="B210" s="1" t="n">
        <v>45701.49315972222</v>
      </c>
      <c r="C210" s="1" t="n">
        <v>45918</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16916-2023</t>
        </is>
      </c>
      <c r="B211" s="1" t="n">
        <v>45033.58347222222</v>
      </c>
      <c r="C211" s="1" t="n">
        <v>45918</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56886-2023</t>
        </is>
      </c>
      <c r="B212" s="1" t="n">
        <v>45239</v>
      </c>
      <c r="C212" s="1" t="n">
        <v>45918</v>
      </c>
      <c r="D212" t="inlineStr">
        <is>
          <t>UPPSALA LÄN</t>
        </is>
      </c>
      <c r="E212" t="inlineStr">
        <is>
          <t>ENKÖPING</t>
        </is>
      </c>
      <c r="G212" t="n">
        <v>2</v>
      </c>
      <c r="H212" t="n">
        <v>0</v>
      </c>
      <c r="I212" t="n">
        <v>0</v>
      </c>
      <c r="J212" t="n">
        <v>0</v>
      </c>
      <c r="K212" t="n">
        <v>0</v>
      </c>
      <c r="L212" t="n">
        <v>0</v>
      </c>
      <c r="M212" t="n">
        <v>0</v>
      </c>
      <c r="N212" t="n">
        <v>0</v>
      </c>
      <c r="O212" t="n">
        <v>0</v>
      </c>
      <c r="P212" t="n">
        <v>0</v>
      </c>
      <c r="Q212" t="n">
        <v>0</v>
      </c>
      <c r="R212" s="2" t="inlineStr"/>
    </row>
    <row r="213" ht="15" customHeight="1">
      <c r="A213" t="inlineStr">
        <is>
          <t>A 63310-2021</t>
        </is>
      </c>
      <c r="B213" s="1" t="n">
        <v>44508</v>
      </c>
      <c r="C213" s="1" t="n">
        <v>45918</v>
      </c>
      <c r="D213" t="inlineStr">
        <is>
          <t>UPPSALA LÄN</t>
        </is>
      </c>
      <c r="E213" t="inlineStr">
        <is>
          <t>ENKÖPING</t>
        </is>
      </c>
      <c r="G213" t="n">
        <v>3.5</v>
      </c>
      <c r="H213" t="n">
        <v>0</v>
      </c>
      <c r="I213" t="n">
        <v>0</v>
      </c>
      <c r="J213" t="n">
        <v>0</v>
      </c>
      <c r="K213" t="n">
        <v>0</v>
      </c>
      <c r="L213" t="n">
        <v>0</v>
      </c>
      <c r="M213" t="n">
        <v>0</v>
      </c>
      <c r="N213" t="n">
        <v>0</v>
      </c>
      <c r="O213" t="n">
        <v>0</v>
      </c>
      <c r="P213" t="n">
        <v>0</v>
      </c>
      <c r="Q213" t="n">
        <v>0</v>
      </c>
      <c r="R213" s="2" t="inlineStr"/>
    </row>
    <row r="214" ht="15" customHeight="1">
      <c r="A214" t="inlineStr">
        <is>
          <t>A 30437-2022</t>
        </is>
      </c>
      <c r="B214" s="1" t="n">
        <v>44761</v>
      </c>
      <c r="C214" s="1" t="n">
        <v>45918</v>
      </c>
      <c r="D214" t="inlineStr">
        <is>
          <t>UPPSALA LÄN</t>
        </is>
      </c>
      <c r="E214" t="inlineStr">
        <is>
          <t>ENKÖPING</t>
        </is>
      </c>
      <c r="G214" t="n">
        <v>3.4</v>
      </c>
      <c r="H214" t="n">
        <v>0</v>
      </c>
      <c r="I214" t="n">
        <v>0</v>
      </c>
      <c r="J214" t="n">
        <v>0</v>
      </c>
      <c r="K214" t="n">
        <v>0</v>
      </c>
      <c r="L214" t="n">
        <v>0</v>
      </c>
      <c r="M214" t="n">
        <v>0</v>
      </c>
      <c r="N214" t="n">
        <v>0</v>
      </c>
      <c r="O214" t="n">
        <v>0</v>
      </c>
      <c r="P214" t="n">
        <v>0</v>
      </c>
      <c r="Q214" t="n">
        <v>0</v>
      </c>
      <c r="R214" s="2" t="inlineStr"/>
    </row>
    <row r="215" ht="15" customHeight="1">
      <c r="A215" t="inlineStr">
        <is>
          <t>A 51011-2024</t>
        </is>
      </c>
      <c r="B215" s="1" t="n">
        <v>45603.39427083333</v>
      </c>
      <c r="C215" s="1" t="n">
        <v>45918</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26319-2022</t>
        </is>
      </c>
      <c r="B216" s="1" t="n">
        <v>44735</v>
      </c>
      <c r="C216" s="1" t="n">
        <v>45918</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20440-2025</t>
        </is>
      </c>
      <c r="B217" s="1" t="n">
        <v>45775</v>
      </c>
      <c r="C217" s="1" t="n">
        <v>45918</v>
      </c>
      <c r="D217" t="inlineStr">
        <is>
          <t>UPPSALA LÄN</t>
        </is>
      </c>
      <c r="E217" t="inlineStr">
        <is>
          <t>ENKÖPING</t>
        </is>
      </c>
      <c r="G217" t="n">
        <v>1.6</v>
      </c>
      <c r="H217" t="n">
        <v>0</v>
      </c>
      <c r="I217" t="n">
        <v>0</v>
      </c>
      <c r="J217" t="n">
        <v>0</v>
      </c>
      <c r="K217" t="n">
        <v>0</v>
      </c>
      <c r="L217" t="n">
        <v>0</v>
      </c>
      <c r="M217" t="n">
        <v>0</v>
      </c>
      <c r="N217" t="n">
        <v>0</v>
      </c>
      <c r="O217" t="n">
        <v>0</v>
      </c>
      <c r="P217" t="n">
        <v>0</v>
      </c>
      <c r="Q217" t="n">
        <v>0</v>
      </c>
      <c r="R217" s="2" t="inlineStr"/>
    </row>
    <row r="218" ht="15" customHeight="1">
      <c r="A218" t="inlineStr">
        <is>
          <t>A 29918-2023</t>
        </is>
      </c>
      <c r="B218" s="1" t="n">
        <v>45099</v>
      </c>
      <c r="C218" s="1" t="n">
        <v>45918</v>
      </c>
      <c r="D218" t="inlineStr">
        <is>
          <t>UPPSALA LÄN</t>
        </is>
      </c>
      <c r="E218" t="inlineStr">
        <is>
          <t>ENKÖPING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19488-2022</t>
        </is>
      </c>
      <c r="B219" s="1" t="n">
        <v>44693</v>
      </c>
      <c r="C219" s="1" t="n">
        <v>45918</v>
      </c>
      <c r="D219" t="inlineStr">
        <is>
          <t>UPPSALA LÄN</t>
        </is>
      </c>
      <c r="E219" t="inlineStr">
        <is>
          <t>ENKÖPING</t>
        </is>
      </c>
      <c r="G219" t="n">
        <v>7.8</v>
      </c>
      <c r="H219" t="n">
        <v>0</v>
      </c>
      <c r="I219" t="n">
        <v>0</v>
      </c>
      <c r="J219" t="n">
        <v>0</v>
      </c>
      <c r="K219" t="n">
        <v>0</v>
      </c>
      <c r="L219" t="n">
        <v>0</v>
      </c>
      <c r="M219" t="n">
        <v>0</v>
      </c>
      <c r="N219" t="n">
        <v>0</v>
      </c>
      <c r="O219" t="n">
        <v>0</v>
      </c>
      <c r="P219" t="n">
        <v>0</v>
      </c>
      <c r="Q219" t="n">
        <v>0</v>
      </c>
      <c r="R219" s="2" t="inlineStr"/>
    </row>
    <row r="220" ht="15" customHeight="1">
      <c r="A220" t="inlineStr">
        <is>
          <t>A 18592-2021</t>
        </is>
      </c>
      <c r="B220" s="1" t="n">
        <v>44306</v>
      </c>
      <c r="C220" s="1" t="n">
        <v>45918</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5188-2022</t>
        </is>
      </c>
      <c r="B221" s="1" t="n">
        <v>44594.4471412037</v>
      </c>
      <c r="C221" s="1" t="n">
        <v>45918</v>
      </c>
      <c r="D221" t="inlineStr">
        <is>
          <t>UPPSALA LÄN</t>
        </is>
      </c>
      <c r="E221" t="inlineStr">
        <is>
          <t>ENKÖPING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24291-2024</t>
        </is>
      </c>
      <c r="B222" s="1" t="n">
        <v>45457.4584837963</v>
      </c>
      <c r="C222" s="1" t="n">
        <v>45918</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6356-2022</t>
        </is>
      </c>
      <c r="B223" s="1" t="n">
        <v>44600</v>
      </c>
      <c r="C223" s="1" t="n">
        <v>45918</v>
      </c>
      <c r="D223" t="inlineStr">
        <is>
          <t>UPPSALA LÄN</t>
        </is>
      </c>
      <c r="E223" t="inlineStr">
        <is>
          <t>ENKÖPING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31622-2022</t>
        </is>
      </c>
      <c r="B224" s="1" t="n">
        <v>44775</v>
      </c>
      <c r="C224" s="1" t="n">
        <v>45918</v>
      </c>
      <c r="D224" t="inlineStr">
        <is>
          <t>UPPSALA LÄN</t>
        </is>
      </c>
      <c r="E224" t="inlineStr">
        <is>
          <t>ENKÖPING</t>
        </is>
      </c>
      <c r="G224" t="n">
        <v>1.5</v>
      </c>
      <c r="H224" t="n">
        <v>0</v>
      </c>
      <c r="I224" t="n">
        <v>0</v>
      </c>
      <c r="J224" t="n">
        <v>0</v>
      </c>
      <c r="K224" t="n">
        <v>0</v>
      </c>
      <c r="L224" t="n">
        <v>0</v>
      </c>
      <c r="M224" t="n">
        <v>0</v>
      </c>
      <c r="N224" t="n">
        <v>0</v>
      </c>
      <c r="O224" t="n">
        <v>0</v>
      </c>
      <c r="P224" t="n">
        <v>0</v>
      </c>
      <c r="Q224" t="n">
        <v>0</v>
      </c>
      <c r="R224" s="2" t="inlineStr"/>
    </row>
    <row r="225" ht="15" customHeight="1">
      <c r="A225" t="inlineStr">
        <is>
          <t>A 12102-2024</t>
        </is>
      </c>
      <c r="B225" s="1" t="n">
        <v>45377</v>
      </c>
      <c r="C225" s="1" t="n">
        <v>45918</v>
      </c>
      <c r="D225" t="inlineStr">
        <is>
          <t>UPPSALA LÄN</t>
        </is>
      </c>
      <c r="E225" t="inlineStr">
        <is>
          <t>ENKÖPING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13816-2021</t>
        </is>
      </c>
      <c r="B226" s="1" t="n">
        <v>44276</v>
      </c>
      <c r="C226" s="1" t="n">
        <v>45918</v>
      </c>
      <c r="D226" t="inlineStr">
        <is>
          <t>UPPSALA LÄN</t>
        </is>
      </c>
      <c r="E226" t="inlineStr">
        <is>
          <t>ENKÖPING</t>
        </is>
      </c>
      <c r="G226" t="n">
        <v>0.4</v>
      </c>
      <c r="H226" t="n">
        <v>0</v>
      </c>
      <c r="I226" t="n">
        <v>0</v>
      </c>
      <c r="J226" t="n">
        <v>0</v>
      </c>
      <c r="K226" t="n">
        <v>0</v>
      </c>
      <c r="L226" t="n">
        <v>0</v>
      </c>
      <c r="M226" t="n">
        <v>0</v>
      </c>
      <c r="N226" t="n">
        <v>0</v>
      </c>
      <c r="O226" t="n">
        <v>0</v>
      </c>
      <c r="P226" t="n">
        <v>0</v>
      </c>
      <c r="Q226" t="n">
        <v>0</v>
      </c>
      <c r="R226" s="2" t="inlineStr"/>
    </row>
    <row r="227" ht="15" customHeight="1">
      <c r="A227" t="inlineStr">
        <is>
          <t>A 59602-2024</t>
        </is>
      </c>
      <c r="B227" s="1" t="n">
        <v>45638</v>
      </c>
      <c r="C227" s="1" t="n">
        <v>45918</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21017-2023</t>
        </is>
      </c>
      <c r="B228" s="1" t="n">
        <v>45061</v>
      </c>
      <c r="C228" s="1" t="n">
        <v>45918</v>
      </c>
      <c r="D228" t="inlineStr">
        <is>
          <t>UPPSALA LÄN</t>
        </is>
      </c>
      <c r="E228" t="inlineStr">
        <is>
          <t>ENKÖPING</t>
        </is>
      </c>
      <c r="G228" t="n">
        <v>4.8</v>
      </c>
      <c r="H228" t="n">
        <v>0</v>
      </c>
      <c r="I228" t="n">
        <v>0</v>
      </c>
      <c r="J228" t="n">
        <v>0</v>
      </c>
      <c r="K228" t="n">
        <v>0</v>
      </c>
      <c r="L228" t="n">
        <v>0</v>
      </c>
      <c r="M228" t="n">
        <v>0</v>
      </c>
      <c r="N228" t="n">
        <v>0</v>
      </c>
      <c r="O228" t="n">
        <v>0</v>
      </c>
      <c r="P228" t="n">
        <v>0</v>
      </c>
      <c r="Q228" t="n">
        <v>0</v>
      </c>
      <c r="R228" s="2" t="inlineStr"/>
    </row>
    <row r="229" ht="15" customHeight="1">
      <c r="A229" t="inlineStr">
        <is>
          <t>A 44131-2023</t>
        </is>
      </c>
      <c r="B229" s="1" t="n">
        <v>45188</v>
      </c>
      <c r="C229" s="1" t="n">
        <v>45918</v>
      </c>
      <c r="D229" t="inlineStr">
        <is>
          <t>UPPSALA LÄN</t>
        </is>
      </c>
      <c r="E229" t="inlineStr">
        <is>
          <t>ENKÖPING</t>
        </is>
      </c>
      <c r="G229" t="n">
        <v>0.3</v>
      </c>
      <c r="H229" t="n">
        <v>0</v>
      </c>
      <c r="I229" t="n">
        <v>0</v>
      </c>
      <c r="J229" t="n">
        <v>0</v>
      </c>
      <c r="K229" t="n">
        <v>0</v>
      </c>
      <c r="L229" t="n">
        <v>0</v>
      </c>
      <c r="M229" t="n">
        <v>0</v>
      </c>
      <c r="N229" t="n">
        <v>0</v>
      </c>
      <c r="O229" t="n">
        <v>0</v>
      </c>
      <c r="P229" t="n">
        <v>0</v>
      </c>
      <c r="Q229" t="n">
        <v>0</v>
      </c>
      <c r="R229" s="2" t="inlineStr"/>
    </row>
    <row r="230" ht="15" customHeight="1">
      <c r="A230" t="inlineStr">
        <is>
          <t>A 60533-2021</t>
        </is>
      </c>
      <c r="B230" s="1" t="n">
        <v>44496</v>
      </c>
      <c r="C230" s="1" t="n">
        <v>45918</v>
      </c>
      <c r="D230" t="inlineStr">
        <is>
          <t>UPPSALA LÄN</t>
        </is>
      </c>
      <c r="E230" t="inlineStr">
        <is>
          <t>ENKÖPING</t>
        </is>
      </c>
      <c r="G230" t="n">
        <v>2.2</v>
      </c>
      <c r="H230" t="n">
        <v>0</v>
      </c>
      <c r="I230" t="n">
        <v>0</v>
      </c>
      <c r="J230" t="n">
        <v>0</v>
      </c>
      <c r="K230" t="n">
        <v>0</v>
      </c>
      <c r="L230" t="n">
        <v>0</v>
      </c>
      <c r="M230" t="n">
        <v>0</v>
      </c>
      <c r="N230" t="n">
        <v>0</v>
      </c>
      <c r="O230" t="n">
        <v>0</v>
      </c>
      <c r="P230" t="n">
        <v>0</v>
      </c>
      <c r="Q230" t="n">
        <v>0</v>
      </c>
      <c r="R230" s="2" t="inlineStr"/>
    </row>
    <row r="231" ht="15" customHeight="1">
      <c r="A231" t="inlineStr">
        <is>
          <t>A 2833-2025</t>
        </is>
      </c>
      <c r="B231" s="1" t="n">
        <v>45677.63206018518</v>
      </c>
      <c r="C231" s="1" t="n">
        <v>45918</v>
      </c>
      <c r="D231" t="inlineStr">
        <is>
          <t>UPPSALA LÄN</t>
        </is>
      </c>
      <c r="E231" t="inlineStr">
        <is>
          <t>ENKÖPING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35052-2024</t>
        </is>
      </c>
      <c r="B232" s="1" t="n">
        <v>45527.6516087963</v>
      </c>
      <c r="C232" s="1" t="n">
        <v>45918</v>
      </c>
      <c r="D232" t="inlineStr">
        <is>
          <t>UPPSALA LÄN</t>
        </is>
      </c>
      <c r="E232" t="inlineStr">
        <is>
          <t>ENKÖPING</t>
        </is>
      </c>
      <c r="G232" t="n">
        <v>1.5</v>
      </c>
      <c r="H232" t="n">
        <v>0</v>
      </c>
      <c r="I232" t="n">
        <v>0</v>
      </c>
      <c r="J232" t="n">
        <v>0</v>
      </c>
      <c r="K232" t="n">
        <v>0</v>
      </c>
      <c r="L232" t="n">
        <v>0</v>
      </c>
      <c r="M232" t="n">
        <v>0</v>
      </c>
      <c r="N232" t="n">
        <v>0</v>
      </c>
      <c r="O232" t="n">
        <v>0</v>
      </c>
      <c r="P232" t="n">
        <v>0</v>
      </c>
      <c r="Q232" t="n">
        <v>0</v>
      </c>
      <c r="R232" s="2" t="inlineStr"/>
    </row>
    <row r="233" ht="15" customHeight="1">
      <c r="A233" t="inlineStr">
        <is>
          <t>A 51008-2024</t>
        </is>
      </c>
      <c r="B233" s="1" t="n">
        <v>45603.39041666667</v>
      </c>
      <c r="C233" s="1" t="n">
        <v>45918</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50006-2023</t>
        </is>
      </c>
      <c r="B234" s="1" t="n">
        <v>45215</v>
      </c>
      <c r="C234" s="1" t="n">
        <v>45918</v>
      </c>
      <c r="D234" t="inlineStr">
        <is>
          <t>UPPSALA LÄN</t>
        </is>
      </c>
      <c r="E234" t="inlineStr">
        <is>
          <t>ENKÖPING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12434-2021</t>
        </is>
      </c>
      <c r="B235" s="1" t="n">
        <v>44267</v>
      </c>
      <c r="C235" s="1" t="n">
        <v>45918</v>
      </c>
      <c r="D235" t="inlineStr">
        <is>
          <t>UPPSALA LÄN</t>
        </is>
      </c>
      <c r="E235" t="inlineStr">
        <is>
          <t>ENKÖPING</t>
        </is>
      </c>
      <c r="G235" t="n">
        <v>5.3</v>
      </c>
      <c r="H235" t="n">
        <v>0</v>
      </c>
      <c r="I235" t="n">
        <v>0</v>
      </c>
      <c r="J235" t="n">
        <v>0</v>
      </c>
      <c r="K235" t="n">
        <v>0</v>
      </c>
      <c r="L235" t="n">
        <v>0</v>
      </c>
      <c r="M235" t="n">
        <v>0</v>
      </c>
      <c r="N235" t="n">
        <v>0</v>
      </c>
      <c r="O235" t="n">
        <v>0</v>
      </c>
      <c r="P235" t="n">
        <v>0</v>
      </c>
      <c r="Q235" t="n">
        <v>0</v>
      </c>
      <c r="R235" s="2" t="inlineStr"/>
    </row>
    <row r="236" ht="15" customHeight="1">
      <c r="A236" t="inlineStr">
        <is>
          <t>A 49614-2024</t>
        </is>
      </c>
      <c r="B236" s="1" t="n">
        <v>45596.57716435185</v>
      </c>
      <c r="C236" s="1" t="n">
        <v>45918</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49632-2024</t>
        </is>
      </c>
      <c r="B237" s="1" t="n">
        <v>45596</v>
      </c>
      <c r="C237" s="1" t="n">
        <v>45918</v>
      </c>
      <c r="D237" t="inlineStr">
        <is>
          <t>UPPSALA LÄN</t>
        </is>
      </c>
      <c r="E237" t="inlineStr">
        <is>
          <t>ENKÖPING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56526-2022</t>
        </is>
      </c>
      <c r="B238" s="1" t="n">
        <v>44893</v>
      </c>
      <c r="C238" s="1" t="n">
        <v>45918</v>
      </c>
      <c r="D238" t="inlineStr">
        <is>
          <t>UPPSALA LÄN</t>
        </is>
      </c>
      <c r="E238" t="inlineStr">
        <is>
          <t>ENKÖPING</t>
        </is>
      </c>
      <c r="G238" t="n">
        <v>3.8</v>
      </c>
      <c r="H238" t="n">
        <v>0</v>
      </c>
      <c r="I238" t="n">
        <v>0</v>
      </c>
      <c r="J238" t="n">
        <v>0</v>
      </c>
      <c r="K238" t="n">
        <v>0</v>
      </c>
      <c r="L238" t="n">
        <v>0</v>
      </c>
      <c r="M238" t="n">
        <v>0</v>
      </c>
      <c r="N238" t="n">
        <v>0</v>
      </c>
      <c r="O238" t="n">
        <v>0</v>
      </c>
      <c r="P238" t="n">
        <v>0</v>
      </c>
      <c r="Q238" t="n">
        <v>0</v>
      </c>
      <c r="R238" s="2" t="inlineStr"/>
    </row>
    <row r="239" ht="15" customHeight="1">
      <c r="A239" t="inlineStr">
        <is>
          <t>A 29479-2022</t>
        </is>
      </c>
      <c r="B239" s="1" t="n">
        <v>44753.57265046296</v>
      </c>
      <c r="C239" s="1" t="n">
        <v>45918</v>
      </c>
      <c r="D239" t="inlineStr">
        <is>
          <t>UPPSALA LÄN</t>
        </is>
      </c>
      <c r="E239" t="inlineStr">
        <is>
          <t>ENKÖPING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39858-2024</t>
        </is>
      </c>
      <c r="B240" s="1" t="n">
        <v>45553</v>
      </c>
      <c r="C240" s="1" t="n">
        <v>45918</v>
      </c>
      <c r="D240" t="inlineStr">
        <is>
          <t>UPPSALA LÄN</t>
        </is>
      </c>
      <c r="E240" t="inlineStr">
        <is>
          <t>ENKÖPING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60289-2022</t>
        </is>
      </c>
      <c r="B241" s="1" t="n">
        <v>44910.53026620371</v>
      </c>
      <c r="C241" s="1" t="n">
        <v>45918</v>
      </c>
      <c r="D241" t="inlineStr">
        <is>
          <t>UPPSALA LÄN</t>
        </is>
      </c>
      <c r="E241" t="inlineStr">
        <is>
          <t>ENKÖPING</t>
        </is>
      </c>
      <c r="G241" t="n">
        <v>3.2</v>
      </c>
      <c r="H241" t="n">
        <v>0</v>
      </c>
      <c r="I241" t="n">
        <v>0</v>
      </c>
      <c r="J241" t="n">
        <v>0</v>
      </c>
      <c r="K241" t="n">
        <v>0</v>
      </c>
      <c r="L241" t="n">
        <v>0</v>
      </c>
      <c r="M241" t="n">
        <v>0</v>
      </c>
      <c r="N241" t="n">
        <v>0</v>
      </c>
      <c r="O241" t="n">
        <v>0</v>
      </c>
      <c r="P241" t="n">
        <v>0</v>
      </c>
      <c r="Q241" t="n">
        <v>0</v>
      </c>
      <c r="R241" s="2" t="inlineStr"/>
    </row>
    <row r="242" ht="15" customHeight="1">
      <c r="A242" t="inlineStr">
        <is>
          <t>A 13110-2023</t>
        </is>
      </c>
      <c r="B242" s="1" t="n">
        <v>45001</v>
      </c>
      <c r="C242" s="1" t="n">
        <v>45918</v>
      </c>
      <c r="D242" t="inlineStr">
        <is>
          <t>UPPSALA LÄN</t>
        </is>
      </c>
      <c r="E242" t="inlineStr">
        <is>
          <t>ENKÖPING</t>
        </is>
      </c>
      <c r="G242" t="n">
        <v>2.5</v>
      </c>
      <c r="H242" t="n">
        <v>0</v>
      </c>
      <c r="I242" t="n">
        <v>0</v>
      </c>
      <c r="J242" t="n">
        <v>0</v>
      </c>
      <c r="K242" t="n">
        <v>0</v>
      </c>
      <c r="L242" t="n">
        <v>0</v>
      </c>
      <c r="M242" t="n">
        <v>0</v>
      </c>
      <c r="N242" t="n">
        <v>0</v>
      </c>
      <c r="O242" t="n">
        <v>0</v>
      </c>
      <c r="P242" t="n">
        <v>0</v>
      </c>
      <c r="Q242" t="n">
        <v>0</v>
      </c>
      <c r="R242" s="2" t="inlineStr"/>
    </row>
    <row r="243" ht="15" customHeight="1">
      <c r="A243" t="inlineStr">
        <is>
          <t>A 58384-2022</t>
        </is>
      </c>
      <c r="B243" s="1" t="n">
        <v>44901</v>
      </c>
      <c r="C243" s="1" t="n">
        <v>45918</v>
      </c>
      <c r="D243" t="inlineStr">
        <is>
          <t>UPPSALA LÄN</t>
        </is>
      </c>
      <c r="E243" t="inlineStr">
        <is>
          <t>ENKÖPING</t>
        </is>
      </c>
      <c r="G243" t="n">
        <v>0.7</v>
      </c>
      <c r="H243" t="n">
        <v>0</v>
      </c>
      <c r="I243" t="n">
        <v>0</v>
      </c>
      <c r="J243" t="n">
        <v>0</v>
      </c>
      <c r="K243" t="n">
        <v>0</v>
      </c>
      <c r="L243" t="n">
        <v>0</v>
      </c>
      <c r="M243" t="n">
        <v>0</v>
      </c>
      <c r="N243" t="n">
        <v>0</v>
      </c>
      <c r="O243" t="n">
        <v>0</v>
      </c>
      <c r="P243" t="n">
        <v>0</v>
      </c>
      <c r="Q243" t="n">
        <v>0</v>
      </c>
      <c r="R243" s="2" t="inlineStr"/>
    </row>
    <row r="244" ht="15" customHeight="1">
      <c r="A244" t="inlineStr">
        <is>
          <t>A 59602-2022</t>
        </is>
      </c>
      <c r="B244" s="1" t="n">
        <v>44907.72241898148</v>
      </c>
      <c r="C244" s="1" t="n">
        <v>45918</v>
      </c>
      <c r="D244" t="inlineStr">
        <is>
          <t>UPPSALA LÄN</t>
        </is>
      </c>
      <c r="E244" t="inlineStr">
        <is>
          <t>ENKÖPING</t>
        </is>
      </c>
      <c r="G244" t="n">
        <v>14.2</v>
      </c>
      <c r="H244" t="n">
        <v>0</v>
      </c>
      <c r="I244" t="n">
        <v>0</v>
      </c>
      <c r="J244" t="n">
        <v>0</v>
      </c>
      <c r="K244" t="n">
        <v>0</v>
      </c>
      <c r="L244" t="n">
        <v>0</v>
      </c>
      <c r="M244" t="n">
        <v>0</v>
      </c>
      <c r="N244" t="n">
        <v>0</v>
      </c>
      <c r="O244" t="n">
        <v>0</v>
      </c>
      <c r="P244" t="n">
        <v>0</v>
      </c>
      <c r="Q244" t="n">
        <v>0</v>
      </c>
      <c r="R244" s="2" t="inlineStr"/>
    </row>
    <row r="245" ht="15" customHeight="1">
      <c r="A245" t="inlineStr">
        <is>
          <t>A 31965-2021</t>
        </is>
      </c>
      <c r="B245" s="1" t="n">
        <v>44370.56901620371</v>
      </c>
      <c r="C245" s="1" t="n">
        <v>45918</v>
      </c>
      <c r="D245" t="inlineStr">
        <is>
          <t>UPPSALA LÄN</t>
        </is>
      </c>
      <c r="E245" t="inlineStr">
        <is>
          <t>ENKÖPING</t>
        </is>
      </c>
      <c r="G245" t="n">
        <v>0.9</v>
      </c>
      <c r="H245" t="n">
        <v>0</v>
      </c>
      <c r="I245" t="n">
        <v>0</v>
      </c>
      <c r="J245" t="n">
        <v>0</v>
      </c>
      <c r="K245" t="n">
        <v>0</v>
      </c>
      <c r="L245" t="n">
        <v>0</v>
      </c>
      <c r="M245" t="n">
        <v>0</v>
      </c>
      <c r="N245" t="n">
        <v>0</v>
      </c>
      <c r="O245" t="n">
        <v>0</v>
      </c>
      <c r="P245" t="n">
        <v>0</v>
      </c>
      <c r="Q245" t="n">
        <v>0</v>
      </c>
      <c r="R245" s="2" t="inlineStr"/>
    </row>
    <row r="246" ht="15" customHeight="1">
      <c r="A246" t="inlineStr">
        <is>
          <t>A 67984-2021</t>
        </is>
      </c>
      <c r="B246" s="1" t="n">
        <v>44525.70237268518</v>
      </c>
      <c r="C246" s="1" t="n">
        <v>45918</v>
      </c>
      <c r="D246" t="inlineStr">
        <is>
          <t>UPPSALA LÄN</t>
        </is>
      </c>
      <c r="E246" t="inlineStr">
        <is>
          <t>ENKÖPING</t>
        </is>
      </c>
      <c r="G246" t="n">
        <v>1.4</v>
      </c>
      <c r="H246" t="n">
        <v>0</v>
      </c>
      <c r="I246" t="n">
        <v>0</v>
      </c>
      <c r="J246" t="n">
        <v>0</v>
      </c>
      <c r="K246" t="n">
        <v>0</v>
      </c>
      <c r="L246" t="n">
        <v>0</v>
      </c>
      <c r="M246" t="n">
        <v>0</v>
      </c>
      <c r="N246" t="n">
        <v>0</v>
      </c>
      <c r="O246" t="n">
        <v>0</v>
      </c>
      <c r="P246" t="n">
        <v>0</v>
      </c>
      <c r="Q246" t="n">
        <v>0</v>
      </c>
      <c r="R246" s="2" t="inlineStr"/>
    </row>
    <row r="247" ht="15" customHeight="1">
      <c r="A247" t="inlineStr">
        <is>
          <t>A 27538-2023</t>
        </is>
      </c>
      <c r="B247" s="1" t="n">
        <v>45097</v>
      </c>
      <c r="C247" s="1" t="n">
        <v>45918</v>
      </c>
      <c r="D247" t="inlineStr">
        <is>
          <t>UPPSALA LÄN</t>
        </is>
      </c>
      <c r="E247" t="inlineStr">
        <is>
          <t>ENKÖPING</t>
        </is>
      </c>
      <c r="G247" t="n">
        <v>5.8</v>
      </c>
      <c r="H247" t="n">
        <v>0</v>
      </c>
      <c r="I247" t="n">
        <v>0</v>
      </c>
      <c r="J247" t="n">
        <v>0</v>
      </c>
      <c r="K247" t="n">
        <v>0</v>
      </c>
      <c r="L247" t="n">
        <v>0</v>
      </c>
      <c r="M247" t="n">
        <v>0</v>
      </c>
      <c r="N247" t="n">
        <v>0</v>
      </c>
      <c r="O247" t="n">
        <v>0</v>
      </c>
      <c r="P247" t="n">
        <v>0</v>
      </c>
      <c r="Q247" t="n">
        <v>0</v>
      </c>
      <c r="R247" s="2" t="inlineStr"/>
    </row>
    <row r="248" ht="15" customHeight="1">
      <c r="A248" t="inlineStr">
        <is>
          <t>A 15409-2025</t>
        </is>
      </c>
      <c r="B248" s="1" t="n">
        <v>45747</v>
      </c>
      <c r="C248" s="1" t="n">
        <v>45918</v>
      </c>
      <c r="D248" t="inlineStr">
        <is>
          <t>UPPSALA LÄN</t>
        </is>
      </c>
      <c r="E248" t="inlineStr">
        <is>
          <t>ENKÖPING</t>
        </is>
      </c>
      <c r="G248" t="n">
        <v>2.5</v>
      </c>
      <c r="H248" t="n">
        <v>0</v>
      </c>
      <c r="I248" t="n">
        <v>0</v>
      </c>
      <c r="J248" t="n">
        <v>0</v>
      </c>
      <c r="K248" t="n">
        <v>0</v>
      </c>
      <c r="L248" t="n">
        <v>0</v>
      </c>
      <c r="M248" t="n">
        <v>0</v>
      </c>
      <c r="N248" t="n">
        <v>0</v>
      </c>
      <c r="O248" t="n">
        <v>0</v>
      </c>
      <c r="P248" t="n">
        <v>0</v>
      </c>
      <c r="Q248" t="n">
        <v>0</v>
      </c>
      <c r="R248" s="2" t="inlineStr"/>
    </row>
    <row r="249" ht="15" customHeight="1">
      <c r="A249" t="inlineStr">
        <is>
          <t>A 60874-2023</t>
        </is>
      </c>
      <c r="B249" s="1" t="n">
        <v>45261.06280092592</v>
      </c>
      <c r="C249" s="1" t="n">
        <v>45918</v>
      </c>
      <c r="D249" t="inlineStr">
        <is>
          <t>UPPSALA LÄN</t>
        </is>
      </c>
      <c r="E249" t="inlineStr">
        <is>
          <t>ENKÖPING</t>
        </is>
      </c>
      <c r="G249" t="n">
        <v>1.5</v>
      </c>
      <c r="H249" t="n">
        <v>0</v>
      </c>
      <c r="I249" t="n">
        <v>0</v>
      </c>
      <c r="J249" t="n">
        <v>0</v>
      </c>
      <c r="K249" t="n">
        <v>0</v>
      </c>
      <c r="L249" t="n">
        <v>0</v>
      </c>
      <c r="M249" t="n">
        <v>0</v>
      </c>
      <c r="N249" t="n">
        <v>0</v>
      </c>
      <c r="O249" t="n">
        <v>0</v>
      </c>
      <c r="P249" t="n">
        <v>0</v>
      </c>
      <c r="Q249" t="n">
        <v>0</v>
      </c>
      <c r="R249" s="2" t="inlineStr"/>
    </row>
    <row r="250" ht="15" customHeight="1">
      <c r="A250" t="inlineStr">
        <is>
          <t>A 50394-2024</t>
        </is>
      </c>
      <c r="B250" s="1" t="n">
        <v>45600</v>
      </c>
      <c r="C250" s="1" t="n">
        <v>45918</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33619-2022</t>
        </is>
      </c>
      <c r="B251" s="1" t="n">
        <v>44789</v>
      </c>
      <c r="C251" s="1" t="n">
        <v>45918</v>
      </c>
      <c r="D251" t="inlineStr">
        <is>
          <t>UPPSALA LÄN</t>
        </is>
      </c>
      <c r="E251" t="inlineStr">
        <is>
          <t>ENKÖPING</t>
        </is>
      </c>
      <c r="F251" t="inlineStr">
        <is>
          <t>Allmännings- och besparingsskogar</t>
        </is>
      </c>
      <c r="G251" t="n">
        <v>4.5</v>
      </c>
      <c r="H251" t="n">
        <v>0</v>
      </c>
      <c r="I251" t="n">
        <v>0</v>
      </c>
      <c r="J251" t="n">
        <v>0</v>
      </c>
      <c r="K251" t="n">
        <v>0</v>
      </c>
      <c r="L251" t="n">
        <v>0</v>
      </c>
      <c r="M251" t="n">
        <v>0</v>
      </c>
      <c r="N251" t="n">
        <v>0</v>
      </c>
      <c r="O251" t="n">
        <v>0</v>
      </c>
      <c r="P251" t="n">
        <v>0</v>
      </c>
      <c r="Q251" t="n">
        <v>0</v>
      </c>
      <c r="R251" s="2" t="inlineStr"/>
    </row>
    <row r="252" ht="15" customHeight="1">
      <c r="A252" t="inlineStr">
        <is>
          <t>A 51010-2024</t>
        </is>
      </c>
      <c r="B252" s="1" t="n">
        <v>45603.39285879629</v>
      </c>
      <c r="C252" s="1" t="n">
        <v>45918</v>
      </c>
      <c r="D252" t="inlineStr">
        <is>
          <t>UPPSALA LÄN</t>
        </is>
      </c>
      <c r="E252" t="inlineStr">
        <is>
          <t>ENKÖPING</t>
        </is>
      </c>
      <c r="G252" t="n">
        <v>1.7</v>
      </c>
      <c r="H252" t="n">
        <v>0</v>
      </c>
      <c r="I252" t="n">
        <v>0</v>
      </c>
      <c r="J252" t="n">
        <v>0</v>
      </c>
      <c r="K252" t="n">
        <v>0</v>
      </c>
      <c r="L252" t="n">
        <v>0</v>
      </c>
      <c r="M252" t="n">
        <v>0</v>
      </c>
      <c r="N252" t="n">
        <v>0</v>
      </c>
      <c r="O252" t="n">
        <v>0</v>
      </c>
      <c r="P252" t="n">
        <v>0</v>
      </c>
      <c r="Q252" t="n">
        <v>0</v>
      </c>
      <c r="R252" s="2" t="inlineStr"/>
    </row>
    <row r="253" ht="15" customHeight="1">
      <c r="A253" t="inlineStr">
        <is>
          <t>A 22156-2025</t>
        </is>
      </c>
      <c r="B253" s="1" t="n">
        <v>45785.57512731481</v>
      </c>
      <c r="C253" s="1" t="n">
        <v>45918</v>
      </c>
      <c r="D253" t="inlineStr">
        <is>
          <t>UPPSALA LÄN</t>
        </is>
      </c>
      <c r="E253" t="inlineStr">
        <is>
          <t>ENKÖPING</t>
        </is>
      </c>
      <c r="G253" t="n">
        <v>0.9</v>
      </c>
      <c r="H253" t="n">
        <v>0</v>
      </c>
      <c r="I253" t="n">
        <v>0</v>
      </c>
      <c r="J253" t="n">
        <v>0</v>
      </c>
      <c r="K253" t="n">
        <v>0</v>
      </c>
      <c r="L253" t="n">
        <v>0</v>
      </c>
      <c r="M253" t="n">
        <v>0</v>
      </c>
      <c r="N253" t="n">
        <v>0</v>
      </c>
      <c r="O253" t="n">
        <v>0</v>
      </c>
      <c r="P253" t="n">
        <v>0</v>
      </c>
      <c r="Q253" t="n">
        <v>0</v>
      </c>
      <c r="R253" s="2" t="inlineStr"/>
    </row>
    <row r="254" ht="15" customHeight="1">
      <c r="A254" t="inlineStr">
        <is>
          <t>A 22150-2025</t>
        </is>
      </c>
      <c r="B254" s="1" t="n">
        <v>45785.56398148148</v>
      </c>
      <c r="C254" s="1" t="n">
        <v>45918</v>
      </c>
      <c r="D254" t="inlineStr">
        <is>
          <t>UPPSALA LÄN</t>
        </is>
      </c>
      <c r="E254" t="inlineStr">
        <is>
          <t>ENKÖPING</t>
        </is>
      </c>
      <c r="G254" t="n">
        <v>1.3</v>
      </c>
      <c r="H254" t="n">
        <v>0</v>
      </c>
      <c r="I254" t="n">
        <v>0</v>
      </c>
      <c r="J254" t="n">
        <v>0</v>
      </c>
      <c r="K254" t="n">
        <v>0</v>
      </c>
      <c r="L254" t="n">
        <v>0</v>
      </c>
      <c r="M254" t="n">
        <v>0</v>
      </c>
      <c r="N254" t="n">
        <v>0</v>
      </c>
      <c r="O254" t="n">
        <v>0</v>
      </c>
      <c r="P254" t="n">
        <v>0</v>
      </c>
      <c r="Q254" t="n">
        <v>0</v>
      </c>
      <c r="R254" s="2" t="inlineStr"/>
    </row>
    <row r="255" ht="15" customHeight="1">
      <c r="A255" t="inlineStr">
        <is>
          <t>A 43016-2021</t>
        </is>
      </c>
      <c r="B255" s="1" t="n">
        <v>44431</v>
      </c>
      <c r="C255" s="1" t="n">
        <v>45918</v>
      </c>
      <c r="D255" t="inlineStr">
        <is>
          <t>UPPSALA LÄN</t>
        </is>
      </c>
      <c r="E255" t="inlineStr">
        <is>
          <t>ENKÖPING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10829-2024</t>
        </is>
      </c>
      <c r="B256" s="1" t="n">
        <v>45369</v>
      </c>
      <c r="C256" s="1" t="n">
        <v>45918</v>
      </c>
      <c r="D256" t="inlineStr">
        <is>
          <t>UPPSALA LÄN</t>
        </is>
      </c>
      <c r="E256" t="inlineStr">
        <is>
          <t>ENKÖPING</t>
        </is>
      </c>
      <c r="G256" t="n">
        <v>2.1</v>
      </c>
      <c r="H256" t="n">
        <v>0</v>
      </c>
      <c r="I256" t="n">
        <v>0</v>
      </c>
      <c r="J256" t="n">
        <v>0</v>
      </c>
      <c r="K256" t="n">
        <v>0</v>
      </c>
      <c r="L256" t="n">
        <v>0</v>
      </c>
      <c r="M256" t="n">
        <v>0</v>
      </c>
      <c r="N256" t="n">
        <v>0</v>
      </c>
      <c r="O256" t="n">
        <v>0</v>
      </c>
      <c r="P256" t="n">
        <v>0</v>
      </c>
      <c r="Q256" t="n">
        <v>0</v>
      </c>
      <c r="R256" s="2" t="inlineStr"/>
    </row>
    <row r="257" ht="15" customHeight="1">
      <c r="A257" t="inlineStr">
        <is>
          <t>A 30087-2024</t>
        </is>
      </c>
      <c r="B257" s="1" t="n">
        <v>45489.39447916667</v>
      </c>
      <c r="C257" s="1" t="n">
        <v>45918</v>
      </c>
      <c r="D257" t="inlineStr">
        <is>
          <t>UPPSALA LÄN</t>
        </is>
      </c>
      <c r="E257" t="inlineStr">
        <is>
          <t>ENKÖPING</t>
        </is>
      </c>
      <c r="G257" t="n">
        <v>1.4</v>
      </c>
      <c r="H257" t="n">
        <v>0</v>
      </c>
      <c r="I257" t="n">
        <v>0</v>
      </c>
      <c r="J257" t="n">
        <v>0</v>
      </c>
      <c r="K257" t="n">
        <v>0</v>
      </c>
      <c r="L257" t="n">
        <v>0</v>
      </c>
      <c r="M257" t="n">
        <v>0</v>
      </c>
      <c r="N257" t="n">
        <v>0</v>
      </c>
      <c r="O257" t="n">
        <v>0</v>
      </c>
      <c r="P257" t="n">
        <v>0</v>
      </c>
      <c r="Q257" t="n">
        <v>0</v>
      </c>
      <c r="R257" s="2" t="inlineStr"/>
    </row>
    <row r="258" ht="15" customHeight="1">
      <c r="A258" t="inlineStr">
        <is>
          <t>A 54776-2024</t>
        </is>
      </c>
      <c r="B258" s="1" t="n">
        <v>45618</v>
      </c>
      <c r="C258" s="1" t="n">
        <v>45918</v>
      </c>
      <c r="D258" t="inlineStr">
        <is>
          <t>UPPSALA LÄN</t>
        </is>
      </c>
      <c r="E258" t="inlineStr">
        <is>
          <t>ENKÖPING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22729-2025</t>
        </is>
      </c>
      <c r="B259" s="1" t="n">
        <v>45789.57790509259</v>
      </c>
      <c r="C259" s="1" t="n">
        <v>45918</v>
      </c>
      <c r="D259" t="inlineStr">
        <is>
          <t>UPPSALA LÄN</t>
        </is>
      </c>
      <c r="E259" t="inlineStr">
        <is>
          <t>ENKÖPING</t>
        </is>
      </c>
      <c r="G259" t="n">
        <v>0.7</v>
      </c>
      <c r="H259" t="n">
        <v>0</v>
      </c>
      <c r="I259" t="n">
        <v>0</v>
      </c>
      <c r="J259" t="n">
        <v>0</v>
      </c>
      <c r="K259" t="n">
        <v>0</v>
      </c>
      <c r="L259" t="n">
        <v>0</v>
      </c>
      <c r="M259" t="n">
        <v>0</v>
      </c>
      <c r="N259" t="n">
        <v>0</v>
      </c>
      <c r="O259" t="n">
        <v>0</v>
      </c>
      <c r="P259" t="n">
        <v>0</v>
      </c>
      <c r="Q259" t="n">
        <v>0</v>
      </c>
      <c r="R259" s="2" t="inlineStr"/>
    </row>
    <row r="260" ht="15" customHeight="1">
      <c r="A260" t="inlineStr">
        <is>
          <t>A 14518-2025</t>
        </is>
      </c>
      <c r="B260" s="1" t="n">
        <v>45741</v>
      </c>
      <c r="C260" s="1" t="n">
        <v>45918</v>
      </c>
      <c r="D260" t="inlineStr">
        <is>
          <t>UPPSALA LÄN</t>
        </is>
      </c>
      <c r="E260" t="inlineStr">
        <is>
          <t>ENKÖPING</t>
        </is>
      </c>
      <c r="G260" t="n">
        <v>2</v>
      </c>
      <c r="H260" t="n">
        <v>0</v>
      </c>
      <c r="I260" t="n">
        <v>0</v>
      </c>
      <c r="J260" t="n">
        <v>0</v>
      </c>
      <c r="K260" t="n">
        <v>0</v>
      </c>
      <c r="L260" t="n">
        <v>0</v>
      </c>
      <c r="M260" t="n">
        <v>0</v>
      </c>
      <c r="N260" t="n">
        <v>0</v>
      </c>
      <c r="O260" t="n">
        <v>0</v>
      </c>
      <c r="P260" t="n">
        <v>0</v>
      </c>
      <c r="Q260" t="n">
        <v>0</v>
      </c>
      <c r="R260" s="2" t="inlineStr"/>
    </row>
    <row r="261" ht="15" customHeight="1">
      <c r="A261" t="inlineStr">
        <is>
          <t>A 22677-2025</t>
        </is>
      </c>
      <c r="B261" s="1" t="n">
        <v>45789.49515046296</v>
      </c>
      <c r="C261" s="1" t="n">
        <v>45918</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22679-2025</t>
        </is>
      </c>
      <c r="B262" s="1" t="n">
        <v>45789.49747685185</v>
      </c>
      <c r="C262" s="1" t="n">
        <v>45918</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22770-2025</t>
        </is>
      </c>
      <c r="B263" s="1" t="n">
        <v>45789.63454861111</v>
      </c>
      <c r="C263" s="1" t="n">
        <v>45918</v>
      </c>
      <c r="D263" t="inlineStr">
        <is>
          <t>UPPSALA LÄN</t>
        </is>
      </c>
      <c r="E263" t="inlineStr">
        <is>
          <t>ENKÖPING</t>
        </is>
      </c>
      <c r="G263" t="n">
        <v>4.5</v>
      </c>
      <c r="H263" t="n">
        <v>0</v>
      </c>
      <c r="I263" t="n">
        <v>0</v>
      </c>
      <c r="J263" t="n">
        <v>0</v>
      </c>
      <c r="K263" t="n">
        <v>0</v>
      </c>
      <c r="L263" t="n">
        <v>0</v>
      </c>
      <c r="M263" t="n">
        <v>0</v>
      </c>
      <c r="N263" t="n">
        <v>0</v>
      </c>
      <c r="O263" t="n">
        <v>0</v>
      </c>
      <c r="P263" t="n">
        <v>0</v>
      </c>
      <c r="Q263" t="n">
        <v>0</v>
      </c>
      <c r="R263" s="2" t="inlineStr"/>
    </row>
    <row r="264" ht="15" customHeight="1">
      <c r="A264" t="inlineStr">
        <is>
          <t>A 22800-2025</t>
        </is>
      </c>
      <c r="B264" s="1" t="n">
        <v>45789.6669212963</v>
      </c>
      <c r="C264" s="1" t="n">
        <v>45918</v>
      </c>
      <c r="D264" t="inlineStr">
        <is>
          <t>UPPSALA LÄN</t>
        </is>
      </c>
      <c r="E264" t="inlineStr">
        <is>
          <t>ENKÖPING</t>
        </is>
      </c>
      <c r="G264" t="n">
        <v>2</v>
      </c>
      <c r="H264" t="n">
        <v>0</v>
      </c>
      <c r="I264" t="n">
        <v>0</v>
      </c>
      <c r="J264" t="n">
        <v>0</v>
      </c>
      <c r="K264" t="n">
        <v>0</v>
      </c>
      <c r="L264" t="n">
        <v>0</v>
      </c>
      <c r="M264" t="n">
        <v>0</v>
      </c>
      <c r="N264" t="n">
        <v>0</v>
      </c>
      <c r="O264" t="n">
        <v>0</v>
      </c>
      <c r="P264" t="n">
        <v>0</v>
      </c>
      <c r="Q264" t="n">
        <v>0</v>
      </c>
      <c r="R264" s="2" t="inlineStr"/>
    </row>
    <row r="265" ht="15" customHeight="1">
      <c r="A265" t="inlineStr">
        <is>
          <t>A 19147-2024</t>
        </is>
      </c>
      <c r="B265" s="1" t="n">
        <v>45428</v>
      </c>
      <c r="C265" s="1" t="n">
        <v>45918</v>
      </c>
      <c r="D265" t="inlineStr">
        <is>
          <t>UPPSALA LÄN</t>
        </is>
      </c>
      <c r="E265" t="inlineStr">
        <is>
          <t>ENKÖPING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67982-2021</t>
        </is>
      </c>
      <c r="B266" s="1" t="n">
        <v>44525</v>
      </c>
      <c r="C266" s="1" t="n">
        <v>45918</v>
      </c>
      <c r="D266" t="inlineStr">
        <is>
          <t>UPPSALA LÄN</t>
        </is>
      </c>
      <c r="E266" t="inlineStr">
        <is>
          <t>ENKÖPING</t>
        </is>
      </c>
      <c r="G266" t="n">
        <v>1.7</v>
      </c>
      <c r="H266" t="n">
        <v>0</v>
      </c>
      <c r="I266" t="n">
        <v>0</v>
      </c>
      <c r="J266" t="n">
        <v>0</v>
      </c>
      <c r="K266" t="n">
        <v>0</v>
      </c>
      <c r="L266" t="n">
        <v>0</v>
      </c>
      <c r="M266" t="n">
        <v>0</v>
      </c>
      <c r="N266" t="n">
        <v>0</v>
      </c>
      <c r="O266" t="n">
        <v>0</v>
      </c>
      <c r="P266" t="n">
        <v>0</v>
      </c>
      <c r="Q266" t="n">
        <v>0</v>
      </c>
      <c r="R266" s="2" t="inlineStr"/>
    </row>
    <row r="267" ht="15" customHeight="1">
      <c r="A267" t="inlineStr">
        <is>
          <t>A 57209-2024</t>
        </is>
      </c>
      <c r="B267" s="1" t="n">
        <v>45629.49311342592</v>
      </c>
      <c r="C267" s="1" t="n">
        <v>45918</v>
      </c>
      <c r="D267" t="inlineStr">
        <is>
          <t>UPPSALA LÄN</t>
        </is>
      </c>
      <c r="E267" t="inlineStr">
        <is>
          <t>ENKÖPING</t>
        </is>
      </c>
      <c r="G267" t="n">
        <v>3.2</v>
      </c>
      <c r="H267" t="n">
        <v>0</v>
      </c>
      <c r="I267" t="n">
        <v>0</v>
      </c>
      <c r="J267" t="n">
        <v>0</v>
      </c>
      <c r="K267" t="n">
        <v>0</v>
      </c>
      <c r="L267" t="n">
        <v>0</v>
      </c>
      <c r="M267" t="n">
        <v>0</v>
      </c>
      <c r="N267" t="n">
        <v>0</v>
      </c>
      <c r="O267" t="n">
        <v>0</v>
      </c>
      <c r="P267" t="n">
        <v>0</v>
      </c>
      <c r="Q267" t="n">
        <v>0</v>
      </c>
      <c r="R267" s="2" t="inlineStr"/>
    </row>
    <row r="268" ht="15" customHeight="1">
      <c r="A268" t="inlineStr">
        <is>
          <t>A 51120-2023</t>
        </is>
      </c>
      <c r="B268" s="1" t="n">
        <v>45219.3088425926</v>
      </c>
      <c r="C268" s="1" t="n">
        <v>45918</v>
      </c>
      <c r="D268" t="inlineStr">
        <is>
          <t>UPPSALA LÄN</t>
        </is>
      </c>
      <c r="E268" t="inlineStr">
        <is>
          <t>ENKÖPING</t>
        </is>
      </c>
      <c r="G268" t="n">
        <v>1.4</v>
      </c>
      <c r="H268" t="n">
        <v>0</v>
      </c>
      <c r="I268" t="n">
        <v>0</v>
      </c>
      <c r="J268" t="n">
        <v>0</v>
      </c>
      <c r="K268" t="n">
        <v>0</v>
      </c>
      <c r="L268" t="n">
        <v>0</v>
      </c>
      <c r="M268" t="n">
        <v>0</v>
      </c>
      <c r="N268" t="n">
        <v>0</v>
      </c>
      <c r="O268" t="n">
        <v>0</v>
      </c>
      <c r="P268" t="n">
        <v>0</v>
      </c>
      <c r="Q268" t="n">
        <v>0</v>
      </c>
      <c r="R268" s="2" t="inlineStr"/>
    </row>
    <row r="269" ht="15" customHeight="1">
      <c r="A269" t="inlineStr">
        <is>
          <t>A 12878-2025</t>
        </is>
      </c>
      <c r="B269" s="1" t="n">
        <v>45733.68571759259</v>
      </c>
      <c r="C269" s="1" t="n">
        <v>45918</v>
      </c>
      <c r="D269" t="inlineStr">
        <is>
          <t>UPPSALA LÄN</t>
        </is>
      </c>
      <c r="E269" t="inlineStr">
        <is>
          <t>ENKÖPING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6981-2025</t>
        </is>
      </c>
      <c r="B270" s="1" t="n">
        <v>45701</v>
      </c>
      <c r="C270" s="1" t="n">
        <v>45918</v>
      </c>
      <c r="D270" t="inlineStr">
        <is>
          <t>UPPSALA LÄN</t>
        </is>
      </c>
      <c r="E270" t="inlineStr">
        <is>
          <t>ENKÖPING</t>
        </is>
      </c>
      <c r="G270" t="n">
        <v>0.9</v>
      </c>
      <c r="H270" t="n">
        <v>0</v>
      </c>
      <c r="I270" t="n">
        <v>0</v>
      </c>
      <c r="J270" t="n">
        <v>0</v>
      </c>
      <c r="K270" t="n">
        <v>0</v>
      </c>
      <c r="L270" t="n">
        <v>0</v>
      </c>
      <c r="M270" t="n">
        <v>0</v>
      </c>
      <c r="N270" t="n">
        <v>0</v>
      </c>
      <c r="O270" t="n">
        <v>0</v>
      </c>
      <c r="P270" t="n">
        <v>0</v>
      </c>
      <c r="Q270" t="n">
        <v>0</v>
      </c>
      <c r="R270" s="2" t="inlineStr"/>
    </row>
    <row r="271" ht="15" customHeight="1">
      <c r="A271" t="inlineStr">
        <is>
          <t>A 51034-2024</t>
        </is>
      </c>
      <c r="B271" s="1" t="n">
        <v>45603.4262037037</v>
      </c>
      <c r="C271" s="1" t="n">
        <v>45918</v>
      </c>
      <c r="D271" t="inlineStr">
        <is>
          <t>UPPSALA LÄN</t>
        </is>
      </c>
      <c r="E271" t="inlineStr">
        <is>
          <t>ENKÖPING</t>
        </is>
      </c>
      <c r="G271" t="n">
        <v>1.3</v>
      </c>
      <c r="H271" t="n">
        <v>0</v>
      </c>
      <c r="I271" t="n">
        <v>0</v>
      </c>
      <c r="J271" t="n">
        <v>0</v>
      </c>
      <c r="K271" t="n">
        <v>0</v>
      </c>
      <c r="L271" t="n">
        <v>0</v>
      </c>
      <c r="M271" t="n">
        <v>0</v>
      </c>
      <c r="N271" t="n">
        <v>0</v>
      </c>
      <c r="O271" t="n">
        <v>0</v>
      </c>
      <c r="P271" t="n">
        <v>0</v>
      </c>
      <c r="Q271" t="n">
        <v>0</v>
      </c>
      <c r="R271" s="2" t="inlineStr"/>
    </row>
    <row r="272" ht="15" customHeight="1">
      <c r="A272" t="inlineStr">
        <is>
          <t>A 51036-2024</t>
        </is>
      </c>
      <c r="B272" s="1" t="n">
        <v>45603.42839120371</v>
      </c>
      <c r="C272" s="1" t="n">
        <v>45918</v>
      </c>
      <c r="D272" t="inlineStr">
        <is>
          <t>UPPSALA LÄN</t>
        </is>
      </c>
      <c r="E272" t="inlineStr">
        <is>
          <t>ENKÖPING</t>
        </is>
      </c>
      <c r="G272" t="n">
        <v>2.6</v>
      </c>
      <c r="H272" t="n">
        <v>0</v>
      </c>
      <c r="I272" t="n">
        <v>0</v>
      </c>
      <c r="J272" t="n">
        <v>0</v>
      </c>
      <c r="K272" t="n">
        <v>0</v>
      </c>
      <c r="L272" t="n">
        <v>0</v>
      </c>
      <c r="M272" t="n">
        <v>0</v>
      </c>
      <c r="N272" t="n">
        <v>0</v>
      </c>
      <c r="O272" t="n">
        <v>0</v>
      </c>
      <c r="P272" t="n">
        <v>0</v>
      </c>
      <c r="Q272" t="n">
        <v>0</v>
      </c>
      <c r="R272" s="2" t="inlineStr"/>
    </row>
    <row r="273" ht="15" customHeight="1">
      <c r="A273" t="inlineStr">
        <is>
          <t>A 22786-2025</t>
        </is>
      </c>
      <c r="B273" s="1" t="n">
        <v>45789.64643518518</v>
      </c>
      <c r="C273" s="1" t="n">
        <v>45918</v>
      </c>
      <c r="D273" t="inlineStr">
        <is>
          <t>UPPSALA LÄN</t>
        </is>
      </c>
      <c r="E273" t="inlineStr">
        <is>
          <t>ENKÖPING</t>
        </is>
      </c>
      <c r="G273" t="n">
        <v>0.9</v>
      </c>
      <c r="H273" t="n">
        <v>0</v>
      </c>
      <c r="I273" t="n">
        <v>0</v>
      </c>
      <c r="J273" t="n">
        <v>0</v>
      </c>
      <c r="K273" t="n">
        <v>0</v>
      </c>
      <c r="L273" t="n">
        <v>0</v>
      </c>
      <c r="M273" t="n">
        <v>0</v>
      </c>
      <c r="N273" t="n">
        <v>0</v>
      </c>
      <c r="O273" t="n">
        <v>0</v>
      </c>
      <c r="P273" t="n">
        <v>0</v>
      </c>
      <c r="Q273" t="n">
        <v>0</v>
      </c>
      <c r="R273" s="2" t="inlineStr"/>
    </row>
    <row r="274" ht="15" customHeight="1">
      <c r="A274" t="inlineStr">
        <is>
          <t>A 68123-2021</t>
        </is>
      </c>
      <c r="B274" s="1" t="n">
        <v>44526.39126157408</v>
      </c>
      <c r="C274" s="1" t="n">
        <v>45918</v>
      </c>
      <c r="D274" t="inlineStr">
        <is>
          <t>UPPSALA LÄN</t>
        </is>
      </c>
      <c r="E274" t="inlineStr">
        <is>
          <t>ENKÖPING</t>
        </is>
      </c>
      <c r="G274" t="n">
        <v>0.9</v>
      </c>
      <c r="H274" t="n">
        <v>0</v>
      </c>
      <c r="I274" t="n">
        <v>0</v>
      </c>
      <c r="J274" t="n">
        <v>0</v>
      </c>
      <c r="K274" t="n">
        <v>0</v>
      </c>
      <c r="L274" t="n">
        <v>0</v>
      </c>
      <c r="M274" t="n">
        <v>0</v>
      </c>
      <c r="N274" t="n">
        <v>0</v>
      </c>
      <c r="O274" t="n">
        <v>0</v>
      </c>
      <c r="P274" t="n">
        <v>0</v>
      </c>
      <c r="Q274" t="n">
        <v>0</v>
      </c>
      <c r="R274" s="2" t="inlineStr"/>
    </row>
    <row r="275" ht="15" customHeight="1">
      <c r="A275" t="inlineStr">
        <is>
          <t>A 22632-2025</t>
        </is>
      </c>
      <c r="B275" s="1" t="n">
        <v>45789.44361111111</v>
      </c>
      <c r="C275" s="1" t="n">
        <v>45918</v>
      </c>
      <c r="D275" t="inlineStr">
        <is>
          <t>UPPSALA LÄN</t>
        </is>
      </c>
      <c r="E275" t="inlineStr">
        <is>
          <t>ENKÖPING</t>
        </is>
      </c>
      <c r="G275" t="n">
        <v>2.1</v>
      </c>
      <c r="H275" t="n">
        <v>0</v>
      </c>
      <c r="I275" t="n">
        <v>0</v>
      </c>
      <c r="J275" t="n">
        <v>0</v>
      </c>
      <c r="K275" t="n">
        <v>0</v>
      </c>
      <c r="L275" t="n">
        <v>0</v>
      </c>
      <c r="M275" t="n">
        <v>0</v>
      </c>
      <c r="N275" t="n">
        <v>0</v>
      </c>
      <c r="O275" t="n">
        <v>0</v>
      </c>
      <c r="P275" t="n">
        <v>0</v>
      </c>
      <c r="Q275" t="n">
        <v>0</v>
      </c>
      <c r="R275" s="2" t="inlineStr"/>
    </row>
    <row r="276" ht="15" customHeight="1">
      <c r="A276" t="inlineStr">
        <is>
          <t>A 55876-2024</t>
        </is>
      </c>
      <c r="B276" s="1" t="n">
        <v>45623.5546412037</v>
      </c>
      <c r="C276" s="1" t="n">
        <v>45918</v>
      </c>
      <c r="D276" t="inlineStr">
        <is>
          <t>UPPSALA LÄN</t>
        </is>
      </c>
      <c r="E276" t="inlineStr">
        <is>
          <t>ENKÖPING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22680-2025</t>
        </is>
      </c>
      <c r="B277" s="1" t="n">
        <v>45789.5005787037</v>
      </c>
      <c r="C277" s="1" t="n">
        <v>45918</v>
      </c>
      <c r="D277" t="inlineStr">
        <is>
          <t>UPPSALA LÄN</t>
        </is>
      </c>
      <c r="E277" t="inlineStr">
        <is>
          <t>ENKÖPING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22802-2025</t>
        </is>
      </c>
      <c r="B278" s="1" t="n">
        <v>45789.6686574074</v>
      </c>
      <c r="C278" s="1" t="n">
        <v>45918</v>
      </c>
      <c r="D278" t="inlineStr">
        <is>
          <t>UPPSALA LÄN</t>
        </is>
      </c>
      <c r="E278" t="inlineStr">
        <is>
          <t>ENKÖPING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43896-2022</t>
        </is>
      </c>
      <c r="B279" s="1" t="n">
        <v>44838</v>
      </c>
      <c r="C279" s="1" t="n">
        <v>45918</v>
      </c>
      <c r="D279" t="inlineStr">
        <is>
          <t>UPPSALA LÄN</t>
        </is>
      </c>
      <c r="E279" t="inlineStr">
        <is>
          <t>ENKÖPING</t>
        </is>
      </c>
      <c r="G279" t="n">
        <v>5.3</v>
      </c>
      <c r="H279" t="n">
        <v>0</v>
      </c>
      <c r="I279" t="n">
        <v>0</v>
      </c>
      <c r="J279" t="n">
        <v>0</v>
      </c>
      <c r="K279" t="n">
        <v>0</v>
      </c>
      <c r="L279" t="n">
        <v>0</v>
      </c>
      <c r="M279" t="n">
        <v>0</v>
      </c>
      <c r="N279" t="n">
        <v>0</v>
      </c>
      <c r="O279" t="n">
        <v>0</v>
      </c>
      <c r="P279" t="n">
        <v>0</v>
      </c>
      <c r="Q279" t="n">
        <v>0</v>
      </c>
      <c r="R279" s="2" t="inlineStr"/>
    </row>
    <row r="280" ht="15" customHeight="1">
      <c r="A280" t="inlineStr">
        <is>
          <t>A 11005-2023</t>
        </is>
      </c>
      <c r="B280" s="1" t="n">
        <v>44991</v>
      </c>
      <c r="C280" s="1" t="n">
        <v>45918</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4203-2021</t>
        </is>
      </c>
      <c r="B281" s="1" t="n">
        <v>44223</v>
      </c>
      <c r="C281" s="1" t="n">
        <v>45918</v>
      </c>
      <c r="D281" t="inlineStr">
        <is>
          <t>UPPSALA LÄN</t>
        </is>
      </c>
      <c r="E281" t="inlineStr">
        <is>
          <t>ENKÖPING</t>
        </is>
      </c>
      <c r="G281" t="n">
        <v>11.6</v>
      </c>
      <c r="H281" t="n">
        <v>0</v>
      </c>
      <c r="I281" t="n">
        <v>0</v>
      </c>
      <c r="J281" t="n">
        <v>0</v>
      </c>
      <c r="K281" t="n">
        <v>0</v>
      </c>
      <c r="L281" t="n">
        <v>0</v>
      </c>
      <c r="M281" t="n">
        <v>0</v>
      </c>
      <c r="N281" t="n">
        <v>0</v>
      </c>
      <c r="O281" t="n">
        <v>0</v>
      </c>
      <c r="P281" t="n">
        <v>0</v>
      </c>
      <c r="Q281" t="n">
        <v>0</v>
      </c>
      <c r="R281" s="2" t="inlineStr"/>
    </row>
    <row r="282" ht="15" customHeight="1">
      <c r="A282" t="inlineStr">
        <is>
          <t>A 22793-2025</t>
        </is>
      </c>
      <c r="B282" s="1" t="n">
        <v>45789.65693287037</v>
      </c>
      <c r="C282" s="1" t="n">
        <v>45918</v>
      </c>
      <c r="D282" t="inlineStr">
        <is>
          <t>UPPSALA LÄN</t>
        </is>
      </c>
      <c r="E282" t="inlineStr">
        <is>
          <t>ENKÖPING</t>
        </is>
      </c>
      <c r="G282" t="n">
        <v>3.2</v>
      </c>
      <c r="H282" t="n">
        <v>0</v>
      </c>
      <c r="I282" t="n">
        <v>0</v>
      </c>
      <c r="J282" t="n">
        <v>0</v>
      </c>
      <c r="K282" t="n">
        <v>0</v>
      </c>
      <c r="L282" t="n">
        <v>0</v>
      </c>
      <c r="M282" t="n">
        <v>0</v>
      </c>
      <c r="N282" t="n">
        <v>0</v>
      </c>
      <c r="O282" t="n">
        <v>0</v>
      </c>
      <c r="P282" t="n">
        <v>0</v>
      </c>
      <c r="Q282" t="n">
        <v>0</v>
      </c>
      <c r="R282" s="2" t="inlineStr"/>
    </row>
    <row r="283" ht="15" customHeight="1">
      <c r="A283" t="inlineStr">
        <is>
          <t>A 22795-2025</t>
        </is>
      </c>
      <c r="B283" s="1" t="n">
        <v>45789.65944444444</v>
      </c>
      <c r="C283" s="1" t="n">
        <v>45918</v>
      </c>
      <c r="D283" t="inlineStr">
        <is>
          <t>UPPSALA LÄN</t>
        </is>
      </c>
      <c r="E283" t="inlineStr">
        <is>
          <t>ENKÖPING</t>
        </is>
      </c>
      <c r="G283" t="n">
        <v>10.4</v>
      </c>
      <c r="H283" t="n">
        <v>0</v>
      </c>
      <c r="I283" t="n">
        <v>0</v>
      </c>
      <c r="J283" t="n">
        <v>0</v>
      </c>
      <c r="K283" t="n">
        <v>0</v>
      </c>
      <c r="L283" t="n">
        <v>0</v>
      </c>
      <c r="M283" t="n">
        <v>0</v>
      </c>
      <c r="N283" t="n">
        <v>0</v>
      </c>
      <c r="O283" t="n">
        <v>0</v>
      </c>
      <c r="P283" t="n">
        <v>0</v>
      </c>
      <c r="Q283" t="n">
        <v>0</v>
      </c>
      <c r="R283" s="2" t="inlineStr"/>
    </row>
    <row r="284" ht="15" customHeight="1">
      <c r="A284" t="inlineStr">
        <is>
          <t>A 22725-2025</t>
        </is>
      </c>
      <c r="B284" s="1" t="n">
        <v>45789.57371527778</v>
      </c>
      <c r="C284" s="1" t="n">
        <v>45918</v>
      </c>
      <c r="D284" t="inlineStr">
        <is>
          <t>UPPSALA LÄN</t>
        </is>
      </c>
      <c r="E284" t="inlineStr">
        <is>
          <t>ENKÖPING</t>
        </is>
      </c>
      <c r="G284" t="n">
        <v>4.8</v>
      </c>
      <c r="H284" t="n">
        <v>0</v>
      </c>
      <c r="I284" t="n">
        <v>0</v>
      </c>
      <c r="J284" t="n">
        <v>0</v>
      </c>
      <c r="K284" t="n">
        <v>0</v>
      </c>
      <c r="L284" t="n">
        <v>0</v>
      </c>
      <c r="M284" t="n">
        <v>0</v>
      </c>
      <c r="N284" t="n">
        <v>0</v>
      </c>
      <c r="O284" t="n">
        <v>0</v>
      </c>
      <c r="P284" t="n">
        <v>0</v>
      </c>
      <c r="Q284" t="n">
        <v>0</v>
      </c>
      <c r="R284" s="2" t="inlineStr"/>
    </row>
    <row r="285" ht="15" customHeight="1">
      <c r="A285" t="inlineStr">
        <is>
          <t>A 57142-2021</t>
        </is>
      </c>
      <c r="B285" s="1" t="n">
        <v>44482</v>
      </c>
      <c r="C285" s="1" t="n">
        <v>45918</v>
      </c>
      <c r="D285" t="inlineStr">
        <is>
          <t>UPPSALA LÄN</t>
        </is>
      </c>
      <c r="E285" t="inlineStr">
        <is>
          <t>ENKÖPING</t>
        </is>
      </c>
      <c r="G285" t="n">
        <v>0.7</v>
      </c>
      <c r="H285" t="n">
        <v>0</v>
      </c>
      <c r="I285" t="n">
        <v>0</v>
      </c>
      <c r="J285" t="n">
        <v>0</v>
      </c>
      <c r="K285" t="n">
        <v>0</v>
      </c>
      <c r="L285" t="n">
        <v>0</v>
      </c>
      <c r="M285" t="n">
        <v>0</v>
      </c>
      <c r="N285" t="n">
        <v>0</v>
      </c>
      <c r="O285" t="n">
        <v>0</v>
      </c>
      <c r="P285" t="n">
        <v>0</v>
      </c>
      <c r="Q285" t="n">
        <v>0</v>
      </c>
      <c r="R285" s="2" t="inlineStr"/>
    </row>
    <row r="286" ht="15" customHeight="1">
      <c r="A286" t="inlineStr">
        <is>
          <t>A 57147-2021</t>
        </is>
      </c>
      <c r="B286" s="1" t="n">
        <v>44482</v>
      </c>
      <c r="C286" s="1" t="n">
        <v>45918</v>
      </c>
      <c r="D286" t="inlineStr">
        <is>
          <t>UPPSALA LÄN</t>
        </is>
      </c>
      <c r="E286" t="inlineStr">
        <is>
          <t>ENKÖPING</t>
        </is>
      </c>
      <c r="G286" t="n">
        <v>5.7</v>
      </c>
      <c r="H286" t="n">
        <v>0</v>
      </c>
      <c r="I286" t="n">
        <v>0</v>
      </c>
      <c r="J286" t="n">
        <v>0</v>
      </c>
      <c r="K286" t="n">
        <v>0</v>
      </c>
      <c r="L286" t="n">
        <v>0</v>
      </c>
      <c r="M286" t="n">
        <v>0</v>
      </c>
      <c r="N286" t="n">
        <v>0</v>
      </c>
      <c r="O286" t="n">
        <v>0</v>
      </c>
      <c r="P286" t="n">
        <v>0</v>
      </c>
      <c r="Q286" t="n">
        <v>0</v>
      </c>
      <c r="R286" s="2" t="inlineStr"/>
    </row>
    <row r="287" ht="15" customHeight="1">
      <c r="A287" t="inlineStr">
        <is>
          <t>A 7090-2022</t>
        </is>
      </c>
      <c r="B287" s="1" t="n">
        <v>44603.59520833333</v>
      </c>
      <c r="C287" s="1" t="n">
        <v>45918</v>
      </c>
      <c r="D287" t="inlineStr">
        <is>
          <t>UPPSALA LÄN</t>
        </is>
      </c>
      <c r="E287" t="inlineStr">
        <is>
          <t>ENKÖPING</t>
        </is>
      </c>
      <c r="G287" t="n">
        <v>2.8</v>
      </c>
      <c r="H287" t="n">
        <v>0</v>
      </c>
      <c r="I287" t="n">
        <v>0</v>
      </c>
      <c r="J287" t="n">
        <v>0</v>
      </c>
      <c r="K287" t="n">
        <v>0</v>
      </c>
      <c r="L287" t="n">
        <v>0</v>
      </c>
      <c r="M287" t="n">
        <v>0</v>
      </c>
      <c r="N287" t="n">
        <v>0</v>
      </c>
      <c r="O287" t="n">
        <v>0</v>
      </c>
      <c r="P287" t="n">
        <v>0</v>
      </c>
      <c r="Q287" t="n">
        <v>0</v>
      </c>
      <c r="R287" s="2" t="inlineStr"/>
    </row>
    <row r="288" ht="15" customHeight="1">
      <c r="A288" t="inlineStr">
        <is>
          <t>A 9487-2025</t>
        </is>
      </c>
      <c r="B288" s="1" t="n">
        <v>45715.49331018519</v>
      </c>
      <c r="C288" s="1" t="n">
        <v>45918</v>
      </c>
      <c r="D288" t="inlineStr">
        <is>
          <t>UPPSALA LÄN</t>
        </is>
      </c>
      <c r="E288" t="inlineStr">
        <is>
          <t>ENKÖPING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6144-2024</t>
        </is>
      </c>
      <c r="B289" s="1" t="n">
        <v>45337.4684837963</v>
      </c>
      <c r="C289" s="1" t="n">
        <v>45918</v>
      </c>
      <c r="D289" t="inlineStr">
        <is>
          <t>UPPSALA LÄN</t>
        </is>
      </c>
      <c r="E289" t="inlineStr">
        <is>
          <t>ENKÖPING</t>
        </is>
      </c>
      <c r="G289" t="n">
        <v>13.8</v>
      </c>
      <c r="H289" t="n">
        <v>0</v>
      </c>
      <c r="I289" t="n">
        <v>0</v>
      </c>
      <c r="J289" t="n">
        <v>0</v>
      </c>
      <c r="K289" t="n">
        <v>0</v>
      </c>
      <c r="L289" t="n">
        <v>0</v>
      </c>
      <c r="M289" t="n">
        <v>0</v>
      </c>
      <c r="N289" t="n">
        <v>0</v>
      </c>
      <c r="O289" t="n">
        <v>0</v>
      </c>
      <c r="P289" t="n">
        <v>0</v>
      </c>
      <c r="Q289" t="n">
        <v>0</v>
      </c>
      <c r="R289" s="2" t="inlineStr"/>
    </row>
    <row r="290" ht="15" customHeight="1">
      <c r="A290" t="inlineStr">
        <is>
          <t>A 33955-2024</t>
        </is>
      </c>
      <c r="B290" s="1" t="n">
        <v>45523.46952546296</v>
      </c>
      <c r="C290" s="1" t="n">
        <v>45918</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7868-2024</t>
        </is>
      </c>
      <c r="B291" s="1" t="n">
        <v>45350.33020833333</v>
      </c>
      <c r="C291" s="1" t="n">
        <v>45918</v>
      </c>
      <c r="D291" t="inlineStr">
        <is>
          <t>UPPSALA LÄN</t>
        </is>
      </c>
      <c r="E291" t="inlineStr">
        <is>
          <t>ENKÖPING</t>
        </is>
      </c>
      <c r="G291" t="n">
        <v>0.3</v>
      </c>
      <c r="H291" t="n">
        <v>0</v>
      </c>
      <c r="I291" t="n">
        <v>0</v>
      </c>
      <c r="J291" t="n">
        <v>0</v>
      </c>
      <c r="K291" t="n">
        <v>0</v>
      </c>
      <c r="L291" t="n">
        <v>0</v>
      </c>
      <c r="M291" t="n">
        <v>0</v>
      </c>
      <c r="N291" t="n">
        <v>0</v>
      </c>
      <c r="O291" t="n">
        <v>0</v>
      </c>
      <c r="P291" t="n">
        <v>0</v>
      </c>
      <c r="Q291" t="n">
        <v>0</v>
      </c>
      <c r="R291" s="2" t="inlineStr"/>
    </row>
    <row r="292" ht="15" customHeight="1">
      <c r="A292" t="inlineStr">
        <is>
          <t>A 7870-2024</t>
        </is>
      </c>
      <c r="B292" s="1" t="n">
        <v>45350.33349537037</v>
      </c>
      <c r="C292" s="1" t="n">
        <v>45918</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9231-2023</t>
        </is>
      </c>
      <c r="B293" s="1" t="n">
        <v>44980</v>
      </c>
      <c r="C293" s="1" t="n">
        <v>45918</v>
      </c>
      <c r="D293" t="inlineStr">
        <is>
          <t>UPPSALA LÄN</t>
        </is>
      </c>
      <c r="E293" t="inlineStr">
        <is>
          <t>ENKÖPING</t>
        </is>
      </c>
      <c r="G293" t="n">
        <v>1.5</v>
      </c>
      <c r="H293" t="n">
        <v>0</v>
      </c>
      <c r="I293" t="n">
        <v>0</v>
      </c>
      <c r="J293" t="n">
        <v>0</v>
      </c>
      <c r="K293" t="n">
        <v>0</v>
      </c>
      <c r="L293" t="n">
        <v>0</v>
      </c>
      <c r="M293" t="n">
        <v>0</v>
      </c>
      <c r="N293" t="n">
        <v>0</v>
      </c>
      <c r="O293" t="n">
        <v>0</v>
      </c>
      <c r="P293" t="n">
        <v>0</v>
      </c>
      <c r="Q293" t="n">
        <v>0</v>
      </c>
      <c r="R293" s="2" t="inlineStr"/>
    </row>
    <row r="294" ht="15" customHeight="1">
      <c r="A294" t="inlineStr">
        <is>
          <t>A 16916-2022</t>
        </is>
      </c>
      <c r="B294" s="1" t="n">
        <v>44676</v>
      </c>
      <c r="C294" s="1" t="n">
        <v>45918</v>
      </c>
      <c r="D294" t="inlineStr">
        <is>
          <t>UPPSALA LÄN</t>
        </is>
      </c>
      <c r="E294" t="inlineStr">
        <is>
          <t>ENKÖPING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22981-2025</t>
        </is>
      </c>
      <c r="B295" s="1" t="n">
        <v>45790.56964120371</v>
      </c>
      <c r="C295" s="1" t="n">
        <v>45918</v>
      </c>
      <c r="D295" t="inlineStr">
        <is>
          <t>UPPSALA LÄN</t>
        </is>
      </c>
      <c r="E295" t="inlineStr">
        <is>
          <t>ENKÖPING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30514-2021</t>
        </is>
      </c>
      <c r="B296" s="1" t="n">
        <v>44364</v>
      </c>
      <c r="C296" s="1" t="n">
        <v>45918</v>
      </c>
      <c r="D296" t="inlineStr">
        <is>
          <t>UPPSALA LÄN</t>
        </is>
      </c>
      <c r="E296" t="inlineStr">
        <is>
          <t>ENKÖPING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45918</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31604-2023</t>
        </is>
      </c>
      <c r="B298" s="1" t="n">
        <v>45117.50368055556</v>
      </c>
      <c r="C298" s="1" t="n">
        <v>45918</v>
      </c>
      <c r="D298" t="inlineStr">
        <is>
          <t>UPPSALA LÄN</t>
        </is>
      </c>
      <c r="E298" t="inlineStr">
        <is>
          <t>ENKÖPING</t>
        </is>
      </c>
      <c r="G298" t="n">
        <v>3.5</v>
      </c>
      <c r="H298" t="n">
        <v>0</v>
      </c>
      <c r="I298" t="n">
        <v>0</v>
      </c>
      <c r="J298" t="n">
        <v>0</v>
      </c>
      <c r="K298" t="n">
        <v>0</v>
      </c>
      <c r="L298" t="n">
        <v>0</v>
      </c>
      <c r="M298" t="n">
        <v>0</v>
      </c>
      <c r="N298" t="n">
        <v>0</v>
      </c>
      <c r="O298" t="n">
        <v>0</v>
      </c>
      <c r="P298" t="n">
        <v>0</v>
      </c>
      <c r="Q298" t="n">
        <v>0</v>
      </c>
      <c r="R298" s="2" t="inlineStr"/>
    </row>
    <row r="299" ht="15" customHeight="1">
      <c r="A299" t="inlineStr">
        <is>
          <t>A 25598-2021</t>
        </is>
      </c>
      <c r="B299" s="1" t="n">
        <v>44343.4558912037</v>
      </c>
      <c r="C299" s="1" t="n">
        <v>45918</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15162-2025</t>
        </is>
      </c>
      <c r="B300" s="1" t="n">
        <v>45744</v>
      </c>
      <c r="C300" s="1" t="n">
        <v>45918</v>
      </c>
      <c r="D300" t="inlineStr">
        <is>
          <t>UPPSALA LÄN</t>
        </is>
      </c>
      <c r="E300" t="inlineStr">
        <is>
          <t>ENKÖPING</t>
        </is>
      </c>
      <c r="G300" t="n">
        <v>4.2</v>
      </c>
      <c r="H300" t="n">
        <v>0</v>
      </c>
      <c r="I300" t="n">
        <v>0</v>
      </c>
      <c r="J300" t="n">
        <v>0</v>
      </c>
      <c r="K300" t="n">
        <v>0</v>
      </c>
      <c r="L300" t="n">
        <v>0</v>
      </c>
      <c r="M300" t="n">
        <v>0</v>
      </c>
      <c r="N300" t="n">
        <v>0</v>
      </c>
      <c r="O300" t="n">
        <v>0</v>
      </c>
      <c r="P300" t="n">
        <v>0</v>
      </c>
      <c r="Q300" t="n">
        <v>0</v>
      </c>
      <c r="R300" s="2" t="inlineStr"/>
    </row>
    <row r="301" ht="15" customHeight="1">
      <c r="A301" t="inlineStr">
        <is>
          <t>A 45956-2024</t>
        </is>
      </c>
      <c r="B301" s="1" t="n">
        <v>45580</v>
      </c>
      <c r="C301" s="1" t="n">
        <v>45918</v>
      </c>
      <c r="D301" t="inlineStr">
        <is>
          <t>UPPSALA LÄN</t>
        </is>
      </c>
      <c r="E301" t="inlineStr">
        <is>
          <t>ENKÖPING</t>
        </is>
      </c>
      <c r="G301" t="n">
        <v>1</v>
      </c>
      <c r="H301" t="n">
        <v>0</v>
      </c>
      <c r="I301" t="n">
        <v>0</v>
      </c>
      <c r="J301" t="n">
        <v>0</v>
      </c>
      <c r="K301" t="n">
        <v>0</v>
      </c>
      <c r="L301" t="n">
        <v>0</v>
      </c>
      <c r="M301" t="n">
        <v>0</v>
      </c>
      <c r="N301" t="n">
        <v>0</v>
      </c>
      <c r="O301" t="n">
        <v>0</v>
      </c>
      <c r="P301" t="n">
        <v>0</v>
      </c>
      <c r="Q301" t="n">
        <v>0</v>
      </c>
      <c r="R301" s="2" t="inlineStr"/>
    </row>
    <row r="302" ht="15" customHeight="1">
      <c r="A302" t="inlineStr">
        <is>
          <t>A 10831-2024</t>
        </is>
      </c>
      <c r="B302" s="1" t="n">
        <v>45369</v>
      </c>
      <c r="C302" s="1" t="n">
        <v>45918</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59121-2021</t>
        </is>
      </c>
      <c r="B303" s="1" t="n">
        <v>44490</v>
      </c>
      <c r="C303" s="1" t="n">
        <v>45918</v>
      </c>
      <c r="D303" t="inlineStr">
        <is>
          <t>UPPSALA LÄN</t>
        </is>
      </c>
      <c r="E303" t="inlineStr">
        <is>
          <t>ENKÖPING</t>
        </is>
      </c>
      <c r="G303" t="n">
        <v>2.4</v>
      </c>
      <c r="H303" t="n">
        <v>0</v>
      </c>
      <c r="I303" t="n">
        <v>0</v>
      </c>
      <c r="J303" t="n">
        <v>0</v>
      </c>
      <c r="K303" t="n">
        <v>0</v>
      </c>
      <c r="L303" t="n">
        <v>0</v>
      </c>
      <c r="M303" t="n">
        <v>0</v>
      </c>
      <c r="N303" t="n">
        <v>0</v>
      </c>
      <c r="O303" t="n">
        <v>0</v>
      </c>
      <c r="P303" t="n">
        <v>0</v>
      </c>
      <c r="Q303" t="n">
        <v>0</v>
      </c>
      <c r="R303" s="2" t="inlineStr"/>
    </row>
    <row r="304" ht="15" customHeight="1">
      <c r="A304" t="inlineStr">
        <is>
          <t>A 16920-2023</t>
        </is>
      </c>
      <c r="B304" s="1" t="n">
        <v>45033.59030092593</v>
      </c>
      <c r="C304" s="1" t="n">
        <v>45918</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53586-2024</t>
        </is>
      </c>
      <c r="B305" s="1" t="n">
        <v>45614</v>
      </c>
      <c r="C305" s="1" t="n">
        <v>45918</v>
      </c>
      <c r="D305" t="inlineStr">
        <is>
          <t>UPPSALA LÄN</t>
        </is>
      </c>
      <c r="E305" t="inlineStr">
        <is>
          <t>ENKÖPING</t>
        </is>
      </c>
      <c r="G305" t="n">
        <v>6.6</v>
      </c>
      <c r="H305" t="n">
        <v>0</v>
      </c>
      <c r="I305" t="n">
        <v>0</v>
      </c>
      <c r="J305" t="n">
        <v>0</v>
      </c>
      <c r="K305" t="n">
        <v>0</v>
      </c>
      <c r="L305" t="n">
        <v>0</v>
      </c>
      <c r="M305" t="n">
        <v>0</v>
      </c>
      <c r="N305" t="n">
        <v>0</v>
      </c>
      <c r="O305" t="n">
        <v>0</v>
      </c>
      <c r="P305" t="n">
        <v>0</v>
      </c>
      <c r="Q305" t="n">
        <v>0</v>
      </c>
      <c r="R305" s="2" t="inlineStr"/>
    </row>
    <row r="306" ht="15" customHeight="1">
      <c r="A306" t="inlineStr">
        <is>
          <t>A 52388-2024</t>
        </is>
      </c>
      <c r="B306" s="1" t="n">
        <v>45609.42939814815</v>
      </c>
      <c r="C306" s="1" t="n">
        <v>45918</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8020-2022</t>
        </is>
      </c>
      <c r="B307" s="1" t="n">
        <v>44609</v>
      </c>
      <c r="C307" s="1" t="n">
        <v>45918</v>
      </c>
      <c r="D307" t="inlineStr">
        <is>
          <t>UPPSALA LÄN</t>
        </is>
      </c>
      <c r="E307" t="inlineStr">
        <is>
          <t>ENKÖPING</t>
        </is>
      </c>
      <c r="G307" t="n">
        <v>6</v>
      </c>
      <c r="H307" t="n">
        <v>0</v>
      </c>
      <c r="I307" t="n">
        <v>0</v>
      </c>
      <c r="J307" t="n">
        <v>0</v>
      </c>
      <c r="K307" t="n">
        <v>0</v>
      </c>
      <c r="L307" t="n">
        <v>0</v>
      </c>
      <c r="M307" t="n">
        <v>0</v>
      </c>
      <c r="N307" t="n">
        <v>0</v>
      </c>
      <c r="O307" t="n">
        <v>0</v>
      </c>
      <c r="P307" t="n">
        <v>0</v>
      </c>
      <c r="Q307" t="n">
        <v>0</v>
      </c>
      <c r="R307" s="2" t="inlineStr"/>
    </row>
    <row r="308" ht="15" customHeight="1">
      <c r="A308" t="inlineStr">
        <is>
          <t>A 74090-2021</t>
        </is>
      </c>
      <c r="B308" s="1" t="n">
        <v>44557</v>
      </c>
      <c r="C308" s="1" t="n">
        <v>45918</v>
      </c>
      <c r="D308" t="inlineStr">
        <is>
          <t>UPPSALA LÄN</t>
        </is>
      </c>
      <c r="E308" t="inlineStr">
        <is>
          <t>ENKÖPING</t>
        </is>
      </c>
      <c r="G308" t="n">
        <v>2.1</v>
      </c>
      <c r="H308" t="n">
        <v>0</v>
      </c>
      <c r="I308" t="n">
        <v>0</v>
      </c>
      <c r="J308" t="n">
        <v>0</v>
      </c>
      <c r="K308" t="n">
        <v>0</v>
      </c>
      <c r="L308" t="n">
        <v>0</v>
      </c>
      <c r="M308" t="n">
        <v>0</v>
      </c>
      <c r="N308" t="n">
        <v>0</v>
      </c>
      <c r="O308" t="n">
        <v>0</v>
      </c>
      <c r="P308" t="n">
        <v>0</v>
      </c>
      <c r="Q308" t="n">
        <v>0</v>
      </c>
      <c r="R308" s="2" t="inlineStr"/>
    </row>
    <row r="309" ht="15" customHeight="1">
      <c r="A309" t="inlineStr">
        <is>
          <t>A 53607-2023</t>
        </is>
      </c>
      <c r="B309" s="1" t="n">
        <v>45230</v>
      </c>
      <c r="C309" s="1" t="n">
        <v>45918</v>
      </c>
      <c r="D309" t="inlineStr">
        <is>
          <t>UPPSALA LÄN</t>
        </is>
      </c>
      <c r="E309" t="inlineStr">
        <is>
          <t>ENKÖPING</t>
        </is>
      </c>
      <c r="F309" t="inlineStr">
        <is>
          <t>Allmännings- och besparingsskogar</t>
        </is>
      </c>
      <c r="G309" t="n">
        <v>6.3</v>
      </c>
      <c r="H309" t="n">
        <v>0</v>
      </c>
      <c r="I309" t="n">
        <v>0</v>
      </c>
      <c r="J309" t="n">
        <v>0</v>
      </c>
      <c r="K309" t="n">
        <v>0</v>
      </c>
      <c r="L309" t="n">
        <v>0</v>
      </c>
      <c r="M309" t="n">
        <v>0</v>
      </c>
      <c r="N309" t="n">
        <v>0</v>
      </c>
      <c r="O309" t="n">
        <v>0</v>
      </c>
      <c r="P309" t="n">
        <v>0</v>
      </c>
      <c r="Q309" t="n">
        <v>0</v>
      </c>
      <c r="R309" s="2" t="inlineStr"/>
    </row>
    <row r="310" ht="15" customHeight="1">
      <c r="A310" t="inlineStr">
        <is>
          <t>A 34805-2024</t>
        </is>
      </c>
      <c r="B310" s="1" t="n">
        <v>45526</v>
      </c>
      <c r="C310" s="1" t="n">
        <v>45918</v>
      </c>
      <c r="D310" t="inlineStr">
        <is>
          <t>UPPSALA LÄN</t>
        </is>
      </c>
      <c r="E310" t="inlineStr">
        <is>
          <t>ENKÖPING</t>
        </is>
      </c>
      <c r="G310" t="n">
        <v>3.6</v>
      </c>
      <c r="H310" t="n">
        <v>0</v>
      </c>
      <c r="I310" t="n">
        <v>0</v>
      </c>
      <c r="J310" t="n">
        <v>0</v>
      </c>
      <c r="K310" t="n">
        <v>0</v>
      </c>
      <c r="L310" t="n">
        <v>0</v>
      </c>
      <c r="M310" t="n">
        <v>0</v>
      </c>
      <c r="N310" t="n">
        <v>0</v>
      </c>
      <c r="O310" t="n">
        <v>0</v>
      </c>
      <c r="P310" t="n">
        <v>0</v>
      </c>
      <c r="Q310" t="n">
        <v>0</v>
      </c>
      <c r="R310" s="2" t="inlineStr"/>
    </row>
    <row r="311" ht="15" customHeight="1">
      <c r="A311" t="inlineStr">
        <is>
          <t>A 17729-2023</t>
        </is>
      </c>
      <c r="B311" s="1" t="n">
        <v>45037</v>
      </c>
      <c r="C311" s="1" t="n">
        <v>45918</v>
      </c>
      <c r="D311" t="inlineStr">
        <is>
          <t>UPPSALA LÄN</t>
        </is>
      </c>
      <c r="E311" t="inlineStr">
        <is>
          <t>ENKÖPING</t>
        </is>
      </c>
      <c r="G311" t="n">
        <v>10.2</v>
      </c>
      <c r="H311" t="n">
        <v>0</v>
      </c>
      <c r="I311" t="n">
        <v>0</v>
      </c>
      <c r="J311" t="n">
        <v>0</v>
      </c>
      <c r="K311" t="n">
        <v>0</v>
      </c>
      <c r="L311" t="n">
        <v>0</v>
      </c>
      <c r="M311" t="n">
        <v>0</v>
      </c>
      <c r="N311" t="n">
        <v>0</v>
      </c>
      <c r="O311" t="n">
        <v>0</v>
      </c>
      <c r="P311" t="n">
        <v>0</v>
      </c>
      <c r="Q311" t="n">
        <v>0</v>
      </c>
      <c r="R311" s="2" t="inlineStr"/>
    </row>
    <row r="312" ht="15" customHeight="1">
      <c r="A312" t="inlineStr">
        <is>
          <t>A 40202-2024</t>
        </is>
      </c>
      <c r="B312" s="1" t="n">
        <v>45554</v>
      </c>
      <c r="C312" s="1" t="n">
        <v>45918</v>
      </c>
      <c r="D312" t="inlineStr">
        <is>
          <t>UPPSALA LÄN</t>
        </is>
      </c>
      <c r="E312" t="inlineStr">
        <is>
          <t>ENKÖPING</t>
        </is>
      </c>
      <c r="G312" t="n">
        <v>6.2</v>
      </c>
      <c r="H312" t="n">
        <v>0</v>
      </c>
      <c r="I312" t="n">
        <v>0</v>
      </c>
      <c r="J312" t="n">
        <v>0</v>
      </c>
      <c r="K312" t="n">
        <v>0</v>
      </c>
      <c r="L312" t="n">
        <v>0</v>
      </c>
      <c r="M312" t="n">
        <v>0</v>
      </c>
      <c r="N312" t="n">
        <v>0</v>
      </c>
      <c r="O312" t="n">
        <v>0</v>
      </c>
      <c r="P312" t="n">
        <v>0</v>
      </c>
      <c r="Q312" t="n">
        <v>0</v>
      </c>
      <c r="R312" s="2" t="inlineStr"/>
    </row>
    <row r="313" ht="15" customHeight="1">
      <c r="A313" t="inlineStr">
        <is>
          <t>A 5712-2025</t>
        </is>
      </c>
      <c r="B313" s="1" t="n">
        <v>45694</v>
      </c>
      <c r="C313" s="1" t="n">
        <v>45918</v>
      </c>
      <c r="D313" t="inlineStr">
        <is>
          <t>UPPSALA LÄN</t>
        </is>
      </c>
      <c r="E313" t="inlineStr">
        <is>
          <t>ENKÖPING</t>
        </is>
      </c>
      <c r="G313" t="n">
        <v>5.1</v>
      </c>
      <c r="H313" t="n">
        <v>0</v>
      </c>
      <c r="I313" t="n">
        <v>0</v>
      </c>
      <c r="J313" t="n">
        <v>0</v>
      </c>
      <c r="K313" t="n">
        <v>0</v>
      </c>
      <c r="L313" t="n">
        <v>0</v>
      </c>
      <c r="M313" t="n">
        <v>0</v>
      </c>
      <c r="N313" t="n">
        <v>0</v>
      </c>
      <c r="O313" t="n">
        <v>0</v>
      </c>
      <c r="P313" t="n">
        <v>0</v>
      </c>
      <c r="Q313" t="n">
        <v>0</v>
      </c>
      <c r="R313" s="2" t="inlineStr"/>
    </row>
    <row r="314" ht="15" customHeight="1">
      <c r="A314" t="inlineStr">
        <is>
          <t>A 5749-2025</t>
        </is>
      </c>
      <c r="B314" s="1" t="n">
        <v>45694</v>
      </c>
      <c r="C314" s="1" t="n">
        <v>45918</v>
      </c>
      <c r="D314" t="inlineStr">
        <is>
          <t>UPPSALA LÄN</t>
        </is>
      </c>
      <c r="E314" t="inlineStr">
        <is>
          <t>ENKÖPING</t>
        </is>
      </c>
      <c r="G314" t="n">
        <v>1</v>
      </c>
      <c r="H314" t="n">
        <v>0</v>
      </c>
      <c r="I314" t="n">
        <v>0</v>
      </c>
      <c r="J314" t="n">
        <v>0</v>
      </c>
      <c r="K314" t="n">
        <v>0</v>
      </c>
      <c r="L314" t="n">
        <v>0</v>
      </c>
      <c r="M314" t="n">
        <v>0</v>
      </c>
      <c r="N314" t="n">
        <v>0</v>
      </c>
      <c r="O314" t="n">
        <v>0</v>
      </c>
      <c r="P314" t="n">
        <v>0</v>
      </c>
      <c r="Q314" t="n">
        <v>0</v>
      </c>
      <c r="R314" s="2" t="inlineStr"/>
    </row>
    <row r="315" ht="15" customHeight="1">
      <c r="A315" t="inlineStr">
        <is>
          <t>A 8306-2021</t>
        </is>
      </c>
      <c r="B315" s="1" t="n">
        <v>44244</v>
      </c>
      <c r="C315" s="1" t="n">
        <v>45918</v>
      </c>
      <c r="D315" t="inlineStr">
        <is>
          <t>UPPSALA LÄN</t>
        </is>
      </c>
      <c r="E315" t="inlineStr">
        <is>
          <t>ENKÖPING</t>
        </is>
      </c>
      <c r="G315" t="n">
        <v>14.9</v>
      </c>
      <c r="H315" t="n">
        <v>0</v>
      </c>
      <c r="I315" t="n">
        <v>0</v>
      </c>
      <c r="J315" t="n">
        <v>0</v>
      </c>
      <c r="K315" t="n">
        <v>0</v>
      </c>
      <c r="L315" t="n">
        <v>0</v>
      </c>
      <c r="M315" t="n">
        <v>0</v>
      </c>
      <c r="N315" t="n">
        <v>0</v>
      </c>
      <c r="O315" t="n">
        <v>0</v>
      </c>
      <c r="P315" t="n">
        <v>0</v>
      </c>
      <c r="Q315" t="n">
        <v>0</v>
      </c>
      <c r="R315" s="2" t="inlineStr"/>
    </row>
    <row r="316" ht="15" customHeight="1">
      <c r="A316" t="inlineStr">
        <is>
          <t>A 43506-2023</t>
        </is>
      </c>
      <c r="B316" s="1" t="n">
        <v>45181</v>
      </c>
      <c r="C316" s="1" t="n">
        <v>45918</v>
      </c>
      <c r="D316" t="inlineStr">
        <is>
          <t>UPPSALA LÄN</t>
        </is>
      </c>
      <c r="E316" t="inlineStr">
        <is>
          <t>ENKÖPING</t>
        </is>
      </c>
      <c r="G316" t="n">
        <v>0.5</v>
      </c>
      <c r="H316" t="n">
        <v>0</v>
      </c>
      <c r="I316" t="n">
        <v>0</v>
      </c>
      <c r="J316" t="n">
        <v>0</v>
      </c>
      <c r="K316" t="n">
        <v>0</v>
      </c>
      <c r="L316" t="n">
        <v>0</v>
      </c>
      <c r="M316" t="n">
        <v>0</v>
      </c>
      <c r="N316" t="n">
        <v>0</v>
      </c>
      <c r="O316" t="n">
        <v>0</v>
      </c>
      <c r="P316" t="n">
        <v>0</v>
      </c>
      <c r="Q316" t="n">
        <v>0</v>
      </c>
      <c r="R316" s="2" t="inlineStr"/>
    </row>
    <row r="317" ht="15" customHeight="1">
      <c r="A317" t="inlineStr">
        <is>
          <t>A 314-2025</t>
        </is>
      </c>
      <c r="B317" s="1" t="n">
        <v>45656</v>
      </c>
      <c r="C317" s="1" t="n">
        <v>45918</v>
      </c>
      <c r="D317" t="inlineStr">
        <is>
          <t>UPPSALA LÄN</t>
        </is>
      </c>
      <c r="E317" t="inlineStr">
        <is>
          <t>ENKÖPING</t>
        </is>
      </c>
      <c r="G317" t="n">
        <v>9</v>
      </c>
      <c r="H317" t="n">
        <v>0</v>
      </c>
      <c r="I317" t="n">
        <v>0</v>
      </c>
      <c r="J317" t="n">
        <v>0</v>
      </c>
      <c r="K317" t="n">
        <v>0</v>
      </c>
      <c r="L317" t="n">
        <v>0</v>
      </c>
      <c r="M317" t="n">
        <v>0</v>
      </c>
      <c r="N317" t="n">
        <v>0</v>
      </c>
      <c r="O317" t="n">
        <v>0</v>
      </c>
      <c r="P317" t="n">
        <v>0</v>
      </c>
      <c r="Q317" t="n">
        <v>0</v>
      </c>
      <c r="R317" s="2" t="inlineStr"/>
    </row>
    <row r="318" ht="15" customHeight="1">
      <c r="A318" t="inlineStr">
        <is>
          <t>A 11627-2025</t>
        </is>
      </c>
      <c r="B318" s="1" t="n">
        <v>45727</v>
      </c>
      <c r="C318" s="1" t="n">
        <v>45918</v>
      </c>
      <c r="D318" t="inlineStr">
        <is>
          <t>UPPSALA LÄN</t>
        </is>
      </c>
      <c r="E318" t="inlineStr">
        <is>
          <t>ENKÖPING</t>
        </is>
      </c>
      <c r="G318" t="n">
        <v>5.5</v>
      </c>
      <c r="H318" t="n">
        <v>0</v>
      </c>
      <c r="I318" t="n">
        <v>0</v>
      </c>
      <c r="J318" t="n">
        <v>0</v>
      </c>
      <c r="K318" t="n">
        <v>0</v>
      </c>
      <c r="L318" t="n">
        <v>0</v>
      </c>
      <c r="M318" t="n">
        <v>0</v>
      </c>
      <c r="N318" t="n">
        <v>0</v>
      </c>
      <c r="O318" t="n">
        <v>0</v>
      </c>
      <c r="P318" t="n">
        <v>0</v>
      </c>
      <c r="Q318" t="n">
        <v>0</v>
      </c>
      <c r="R318" s="2" t="inlineStr"/>
    </row>
    <row r="319" ht="15" customHeight="1">
      <c r="A319" t="inlineStr">
        <is>
          <t>A 24411-2024</t>
        </is>
      </c>
      <c r="B319" s="1" t="n">
        <v>45457</v>
      </c>
      <c r="C319" s="1" t="n">
        <v>45918</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58092-2024</t>
        </is>
      </c>
      <c r="B320" s="1" t="n">
        <v>45632</v>
      </c>
      <c r="C320" s="1" t="n">
        <v>45918</v>
      </c>
      <c r="D320" t="inlineStr">
        <is>
          <t>UPPSALA LÄN</t>
        </is>
      </c>
      <c r="E320" t="inlineStr">
        <is>
          <t>ENKÖPING</t>
        </is>
      </c>
      <c r="G320" t="n">
        <v>4.8</v>
      </c>
      <c r="H320" t="n">
        <v>0</v>
      </c>
      <c r="I320" t="n">
        <v>0</v>
      </c>
      <c r="J320" t="n">
        <v>0</v>
      </c>
      <c r="K320" t="n">
        <v>0</v>
      </c>
      <c r="L320" t="n">
        <v>0</v>
      </c>
      <c r="M320" t="n">
        <v>0</v>
      </c>
      <c r="N320" t="n">
        <v>0</v>
      </c>
      <c r="O320" t="n">
        <v>0</v>
      </c>
      <c r="P320" t="n">
        <v>0</v>
      </c>
      <c r="Q320" t="n">
        <v>0</v>
      </c>
      <c r="R320" s="2" t="inlineStr"/>
    </row>
    <row r="321" ht="15" customHeight="1">
      <c r="A321" t="inlineStr">
        <is>
          <t>A 57152-2021</t>
        </is>
      </c>
      <c r="B321" s="1" t="n">
        <v>44482</v>
      </c>
      <c r="C321" s="1" t="n">
        <v>45918</v>
      </c>
      <c r="D321" t="inlineStr">
        <is>
          <t>UPPSALA LÄN</t>
        </is>
      </c>
      <c r="E321" t="inlineStr">
        <is>
          <t>ENKÖPING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46186-2023</t>
        </is>
      </c>
      <c r="B322" s="1" t="n">
        <v>45196</v>
      </c>
      <c r="C322" s="1" t="n">
        <v>45918</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26017-2025</t>
        </is>
      </c>
      <c r="B323" s="1" t="n">
        <v>45804</v>
      </c>
      <c r="C323" s="1" t="n">
        <v>45918</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26024-2025</t>
        </is>
      </c>
      <c r="B324" s="1" t="n">
        <v>45804.6831712963</v>
      </c>
      <c r="C324" s="1" t="n">
        <v>45918</v>
      </c>
      <c r="D324" t="inlineStr">
        <is>
          <t>UPPSALA LÄN</t>
        </is>
      </c>
      <c r="E324" t="inlineStr">
        <is>
          <t>ENKÖPING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26042-2025</t>
        </is>
      </c>
      <c r="B325" s="1" t="n">
        <v>45804.70018518518</v>
      </c>
      <c r="C325" s="1" t="n">
        <v>45918</v>
      </c>
      <c r="D325" t="inlineStr">
        <is>
          <t>UPPSALA LÄN</t>
        </is>
      </c>
      <c r="E325" t="inlineStr">
        <is>
          <t>ENKÖPING</t>
        </is>
      </c>
      <c r="G325" t="n">
        <v>1.2</v>
      </c>
      <c r="H325" t="n">
        <v>0</v>
      </c>
      <c r="I325" t="n">
        <v>0</v>
      </c>
      <c r="J325" t="n">
        <v>0</v>
      </c>
      <c r="K325" t="n">
        <v>0</v>
      </c>
      <c r="L325" t="n">
        <v>0</v>
      </c>
      <c r="M325" t="n">
        <v>0</v>
      </c>
      <c r="N325" t="n">
        <v>0</v>
      </c>
      <c r="O325" t="n">
        <v>0</v>
      </c>
      <c r="P325" t="n">
        <v>0</v>
      </c>
      <c r="Q325" t="n">
        <v>0</v>
      </c>
      <c r="R325" s="2" t="inlineStr"/>
    </row>
    <row r="326" ht="15" customHeight="1">
      <c r="A326" t="inlineStr">
        <is>
          <t>A 26005-2025</t>
        </is>
      </c>
      <c r="B326" s="1" t="n">
        <v>45804.67055555555</v>
      </c>
      <c r="C326" s="1" t="n">
        <v>45918</v>
      </c>
      <c r="D326" t="inlineStr">
        <is>
          <t>UPPSALA LÄN</t>
        </is>
      </c>
      <c r="E326" t="inlineStr">
        <is>
          <t>ENKÖPING</t>
        </is>
      </c>
      <c r="G326" t="n">
        <v>0.3</v>
      </c>
      <c r="H326" t="n">
        <v>0</v>
      </c>
      <c r="I326" t="n">
        <v>0</v>
      </c>
      <c r="J326" t="n">
        <v>0</v>
      </c>
      <c r="K326" t="n">
        <v>0</v>
      </c>
      <c r="L326" t="n">
        <v>0</v>
      </c>
      <c r="M326" t="n">
        <v>0</v>
      </c>
      <c r="N326" t="n">
        <v>0</v>
      </c>
      <c r="O326" t="n">
        <v>0</v>
      </c>
      <c r="P326" t="n">
        <v>0</v>
      </c>
      <c r="Q326" t="n">
        <v>0</v>
      </c>
      <c r="R326" s="2" t="inlineStr"/>
    </row>
    <row r="327" ht="15" customHeight="1">
      <c r="A327" t="inlineStr">
        <is>
          <t>A 26026-2025</t>
        </is>
      </c>
      <c r="B327" s="1" t="n">
        <v>45804.68510416667</v>
      </c>
      <c r="C327" s="1" t="n">
        <v>45918</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26030-2025</t>
        </is>
      </c>
      <c r="B328" s="1" t="n">
        <v>45804.68815972222</v>
      </c>
      <c r="C328" s="1" t="n">
        <v>45918</v>
      </c>
      <c r="D328" t="inlineStr">
        <is>
          <t>UPPSALA LÄN</t>
        </is>
      </c>
      <c r="E328" t="inlineStr">
        <is>
          <t>ENKÖPING</t>
        </is>
      </c>
      <c r="G328" t="n">
        <v>0.3</v>
      </c>
      <c r="H328" t="n">
        <v>0</v>
      </c>
      <c r="I328" t="n">
        <v>0</v>
      </c>
      <c r="J328" t="n">
        <v>0</v>
      </c>
      <c r="K328" t="n">
        <v>0</v>
      </c>
      <c r="L328" t="n">
        <v>0</v>
      </c>
      <c r="M328" t="n">
        <v>0</v>
      </c>
      <c r="N328" t="n">
        <v>0</v>
      </c>
      <c r="O328" t="n">
        <v>0</v>
      </c>
      <c r="P328" t="n">
        <v>0</v>
      </c>
      <c r="Q328" t="n">
        <v>0</v>
      </c>
      <c r="R328" s="2" t="inlineStr"/>
    </row>
    <row r="329" ht="15" customHeight="1">
      <c r="A329" t="inlineStr">
        <is>
          <t>A 26022-2025</t>
        </is>
      </c>
      <c r="B329" s="1" t="n">
        <v>45804.68006944445</v>
      </c>
      <c r="C329" s="1" t="n">
        <v>45918</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25988-2025</t>
        </is>
      </c>
      <c r="B330" s="1" t="n">
        <v>45804.64814814815</v>
      </c>
      <c r="C330" s="1" t="n">
        <v>45918</v>
      </c>
      <c r="D330" t="inlineStr">
        <is>
          <t>UPPSALA LÄN</t>
        </is>
      </c>
      <c r="E330" t="inlineStr">
        <is>
          <t>ENKÖPING</t>
        </is>
      </c>
      <c r="G330" t="n">
        <v>4.7</v>
      </c>
      <c r="H330" t="n">
        <v>0</v>
      </c>
      <c r="I330" t="n">
        <v>0</v>
      </c>
      <c r="J330" t="n">
        <v>0</v>
      </c>
      <c r="K330" t="n">
        <v>0</v>
      </c>
      <c r="L330" t="n">
        <v>0</v>
      </c>
      <c r="M330" t="n">
        <v>0</v>
      </c>
      <c r="N330" t="n">
        <v>0</v>
      </c>
      <c r="O330" t="n">
        <v>0</v>
      </c>
      <c r="P330" t="n">
        <v>0</v>
      </c>
      <c r="Q330" t="n">
        <v>0</v>
      </c>
      <c r="R330" s="2" t="inlineStr"/>
    </row>
    <row r="331" ht="15" customHeight="1">
      <c r="A331" t="inlineStr">
        <is>
          <t>A 26031-2025</t>
        </is>
      </c>
      <c r="B331" s="1" t="n">
        <v>45804.69050925926</v>
      </c>
      <c r="C331" s="1" t="n">
        <v>45918</v>
      </c>
      <c r="D331" t="inlineStr">
        <is>
          <t>UPPSALA LÄN</t>
        </is>
      </c>
      <c r="E331" t="inlineStr">
        <is>
          <t>ENKÖPING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26011-2025</t>
        </is>
      </c>
      <c r="B332" s="1" t="n">
        <v>45804.67412037037</v>
      </c>
      <c r="C332" s="1" t="n">
        <v>45918</v>
      </c>
      <c r="D332" t="inlineStr">
        <is>
          <t>UPPSALA LÄN</t>
        </is>
      </c>
      <c r="E332" t="inlineStr">
        <is>
          <t>ENKÖPING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44473.58824074074</v>
      </c>
      <c r="C333" s="1" t="n">
        <v>45918</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54588-2024</t>
        </is>
      </c>
      <c r="B334" s="1" t="n">
        <v>45617</v>
      </c>
      <c r="C334" s="1" t="n">
        <v>45918</v>
      </c>
      <c r="D334" t="inlineStr">
        <is>
          <t>UPPSALA LÄN</t>
        </is>
      </c>
      <c r="E334" t="inlineStr">
        <is>
          <t>ENKÖPING</t>
        </is>
      </c>
      <c r="G334" t="n">
        <v>3.7</v>
      </c>
      <c r="H334" t="n">
        <v>0</v>
      </c>
      <c r="I334" t="n">
        <v>0</v>
      </c>
      <c r="J334" t="n">
        <v>0</v>
      </c>
      <c r="K334" t="n">
        <v>0</v>
      </c>
      <c r="L334" t="n">
        <v>0</v>
      </c>
      <c r="M334" t="n">
        <v>0</v>
      </c>
      <c r="N334" t="n">
        <v>0</v>
      </c>
      <c r="O334" t="n">
        <v>0</v>
      </c>
      <c r="P334" t="n">
        <v>0</v>
      </c>
      <c r="Q334" t="n">
        <v>0</v>
      </c>
      <c r="R334" s="2" t="inlineStr"/>
    </row>
    <row r="335" ht="15" customHeight="1">
      <c r="A335" t="inlineStr">
        <is>
          <t>A 26041-2025</t>
        </is>
      </c>
      <c r="B335" s="1" t="n">
        <v>45804.69883101852</v>
      </c>
      <c r="C335" s="1" t="n">
        <v>45918</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25990-2025</t>
        </is>
      </c>
      <c r="B336" s="1" t="n">
        <v>45804.65229166667</v>
      </c>
      <c r="C336" s="1" t="n">
        <v>45918</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25847-2025</t>
        </is>
      </c>
      <c r="B337" s="1" t="n">
        <v>45804</v>
      </c>
      <c r="C337" s="1" t="n">
        <v>45918</v>
      </c>
      <c r="D337" t="inlineStr">
        <is>
          <t>UPPSALA LÄN</t>
        </is>
      </c>
      <c r="E337" t="inlineStr">
        <is>
          <t>ENKÖPING</t>
        </is>
      </c>
      <c r="G337" t="n">
        <v>3.6</v>
      </c>
      <c r="H337" t="n">
        <v>0</v>
      </c>
      <c r="I337" t="n">
        <v>0</v>
      </c>
      <c r="J337" t="n">
        <v>0</v>
      </c>
      <c r="K337" t="n">
        <v>0</v>
      </c>
      <c r="L337" t="n">
        <v>0</v>
      </c>
      <c r="M337" t="n">
        <v>0</v>
      </c>
      <c r="N337" t="n">
        <v>0</v>
      </c>
      <c r="O337" t="n">
        <v>0</v>
      </c>
      <c r="P337" t="n">
        <v>0</v>
      </c>
      <c r="Q337" t="n">
        <v>0</v>
      </c>
      <c r="R337" s="2" t="inlineStr"/>
    </row>
    <row r="338" ht="15" customHeight="1">
      <c r="A338" t="inlineStr">
        <is>
          <t>A 26047-2025</t>
        </is>
      </c>
      <c r="B338" s="1" t="n">
        <v>45804.70835648148</v>
      </c>
      <c r="C338" s="1" t="n">
        <v>45918</v>
      </c>
      <c r="D338" t="inlineStr">
        <is>
          <t>UPPSALA LÄN</t>
        </is>
      </c>
      <c r="E338" t="inlineStr">
        <is>
          <t>ENKÖPING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47428-2023</t>
        </is>
      </c>
      <c r="B339" s="1" t="n">
        <v>45202.66664351852</v>
      </c>
      <c r="C339" s="1" t="n">
        <v>45918</v>
      </c>
      <c r="D339" t="inlineStr">
        <is>
          <t>UPPSALA LÄN</t>
        </is>
      </c>
      <c r="E339" t="inlineStr">
        <is>
          <t>ENKÖPING</t>
        </is>
      </c>
      <c r="G339" t="n">
        <v>3</v>
      </c>
      <c r="H339" t="n">
        <v>0</v>
      </c>
      <c r="I339" t="n">
        <v>0</v>
      </c>
      <c r="J339" t="n">
        <v>0</v>
      </c>
      <c r="K339" t="n">
        <v>0</v>
      </c>
      <c r="L339" t="n">
        <v>0</v>
      </c>
      <c r="M339" t="n">
        <v>0</v>
      </c>
      <c r="N339" t="n">
        <v>0</v>
      </c>
      <c r="O339" t="n">
        <v>0</v>
      </c>
      <c r="P339" t="n">
        <v>0</v>
      </c>
      <c r="Q339" t="n">
        <v>0</v>
      </c>
      <c r="R339" s="2" t="inlineStr"/>
    </row>
    <row r="340" ht="15" customHeight="1">
      <c r="A340" t="inlineStr">
        <is>
          <t>A 35067-2024</t>
        </is>
      </c>
      <c r="B340" s="1" t="n">
        <v>45527.66153935185</v>
      </c>
      <c r="C340" s="1" t="n">
        <v>45918</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34124-2021</t>
        </is>
      </c>
      <c r="B341" s="1" t="n">
        <v>44379</v>
      </c>
      <c r="C341" s="1" t="n">
        <v>45918</v>
      </c>
      <c r="D341" t="inlineStr">
        <is>
          <t>UPPSALA LÄN</t>
        </is>
      </c>
      <c r="E341" t="inlineStr">
        <is>
          <t>ENKÖPING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28518-2024</t>
        </is>
      </c>
      <c r="B342" s="1" t="n">
        <v>45477</v>
      </c>
      <c r="C342" s="1" t="n">
        <v>45918</v>
      </c>
      <c r="D342" t="inlineStr">
        <is>
          <t>UPPSALA LÄN</t>
        </is>
      </c>
      <c r="E342" t="inlineStr">
        <is>
          <t>ENKÖPING</t>
        </is>
      </c>
      <c r="G342" t="n">
        <v>3.4</v>
      </c>
      <c r="H342" t="n">
        <v>0</v>
      </c>
      <c r="I342" t="n">
        <v>0</v>
      </c>
      <c r="J342" t="n">
        <v>0</v>
      </c>
      <c r="K342" t="n">
        <v>0</v>
      </c>
      <c r="L342" t="n">
        <v>0</v>
      </c>
      <c r="M342" t="n">
        <v>0</v>
      </c>
      <c r="N342" t="n">
        <v>0</v>
      </c>
      <c r="O342" t="n">
        <v>0</v>
      </c>
      <c r="P342" t="n">
        <v>0</v>
      </c>
      <c r="Q342" t="n">
        <v>0</v>
      </c>
      <c r="R342" s="2" t="inlineStr"/>
    </row>
    <row r="343" ht="15" customHeight="1">
      <c r="A343" t="inlineStr">
        <is>
          <t>A 52299-2023</t>
        </is>
      </c>
      <c r="B343" s="1" t="n">
        <v>45224.61636574074</v>
      </c>
      <c r="C343" s="1" t="n">
        <v>45918</v>
      </c>
      <c r="D343" t="inlineStr">
        <is>
          <t>UPPSALA LÄN</t>
        </is>
      </c>
      <c r="E343" t="inlineStr">
        <is>
          <t>ENKÖPING</t>
        </is>
      </c>
      <c r="G343" t="n">
        <v>2.2</v>
      </c>
      <c r="H343" t="n">
        <v>0</v>
      </c>
      <c r="I343" t="n">
        <v>0</v>
      </c>
      <c r="J343" t="n">
        <v>0</v>
      </c>
      <c r="K343" t="n">
        <v>0</v>
      </c>
      <c r="L343" t="n">
        <v>0</v>
      </c>
      <c r="M343" t="n">
        <v>0</v>
      </c>
      <c r="N343" t="n">
        <v>0</v>
      </c>
      <c r="O343" t="n">
        <v>0</v>
      </c>
      <c r="P343" t="n">
        <v>0</v>
      </c>
      <c r="Q343" t="n">
        <v>0</v>
      </c>
      <c r="R343" s="2" t="inlineStr"/>
    </row>
    <row r="344" ht="15" customHeight="1">
      <c r="A344" t="inlineStr">
        <is>
          <t>A 5892-2023</t>
        </is>
      </c>
      <c r="B344" s="1" t="n">
        <v>44963.64883101852</v>
      </c>
      <c r="C344" s="1" t="n">
        <v>45918</v>
      </c>
      <c r="D344" t="inlineStr">
        <is>
          <t>UPPSALA LÄN</t>
        </is>
      </c>
      <c r="E344" t="inlineStr">
        <is>
          <t>ENKÖPING</t>
        </is>
      </c>
      <c r="G344" t="n">
        <v>5.5</v>
      </c>
      <c r="H344" t="n">
        <v>0</v>
      </c>
      <c r="I344" t="n">
        <v>0</v>
      </c>
      <c r="J344" t="n">
        <v>0</v>
      </c>
      <c r="K344" t="n">
        <v>0</v>
      </c>
      <c r="L344" t="n">
        <v>0</v>
      </c>
      <c r="M344" t="n">
        <v>0</v>
      </c>
      <c r="N344" t="n">
        <v>0</v>
      </c>
      <c r="O344" t="n">
        <v>0</v>
      </c>
      <c r="P344" t="n">
        <v>0</v>
      </c>
      <c r="Q344" t="n">
        <v>0</v>
      </c>
      <c r="R344" s="2" t="inlineStr"/>
    </row>
    <row r="345" ht="15" customHeight="1">
      <c r="A345" t="inlineStr">
        <is>
          <t>A 12572-2021</t>
        </is>
      </c>
      <c r="B345" s="1" t="n">
        <v>44270.36438657407</v>
      </c>
      <c r="C345" s="1" t="n">
        <v>45918</v>
      </c>
      <c r="D345" t="inlineStr">
        <is>
          <t>UPPSALA LÄN</t>
        </is>
      </c>
      <c r="E345" t="inlineStr">
        <is>
          <t>ENKÖPING</t>
        </is>
      </c>
      <c r="G345" t="n">
        <v>3.3</v>
      </c>
      <c r="H345" t="n">
        <v>0</v>
      </c>
      <c r="I345" t="n">
        <v>0</v>
      </c>
      <c r="J345" t="n">
        <v>0</v>
      </c>
      <c r="K345" t="n">
        <v>0</v>
      </c>
      <c r="L345" t="n">
        <v>0</v>
      </c>
      <c r="M345" t="n">
        <v>0</v>
      </c>
      <c r="N345" t="n">
        <v>0</v>
      </c>
      <c r="O345" t="n">
        <v>0</v>
      </c>
      <c r="P345" t="n">
        <v>0</v>
      </c>
      <c r="Q345" t="n">
        <v>0</v>
      </c>
      <c r="R345" s="2" t="inlineStr"/>
    </row>
    <row r="346" ht="15" customHeight="1">
      <c r="A346" t="inlineStr">
        <is>
          <t>A 671-2022</t>
        </is>
      </c>
      <c r="B346" s="1" t="n">
        <v>44568</v>
      </c>
      <c r="C346" s="1" t="n">
        <v>45918</v>
      </c>
      <c r="D346" t="inlineStr">
        <is>
          <t>UPPSALA LÄN</t>
        </is>
      </c>
      <c r="E346" t="inlineStr">
        <is>
          <t>ENKÖPING</t>
        </is>
      </c>
      <c r="G346" t="n">
        <v>3.5</v>
      </c>
      <c r="H346" t="n">
        <v>0</v>
      </c>
      <c r="I346" t="n">
        <v>0</v>
      </c>
      <c r="J346" t="n">
        <v>0</v>
      </c>
      <c r="K346" t="n">
        <v>0</v>
      </c>
      <c r="L346" t="n">
        <v>0</v>
      </c>
      <c r="M346" t="n">
        <v>0</v>
      </c>
      <c r="N346" t="n">
        <v>0</v>
      </c>
      <c r="O346" t="n">
        <v>0</v>
      </c>
      <c r="P346" t="n">
        <v>0</v>
      </c>
      <c r="Q346" t="n">
        <v>0</v>
      </c>
      <c r="R346" s="2" t="inlineStr"/>
    </row>
    <row r="347" ht="15" customHeight="1">
      <c r="A347" t="inlineStr">
        <is>
          <t>A 30634-2022</t>
        </is>
      </c>
      <c r="B347" s="1" t="n">
        <v>44763.45711805556</v>
      </c>
      <c r="C347" s="1" t="n">
        <v>45918</v>
      </c>
      <c r="D347" t="inlineStr">
        <is>
          <t>UPPSALA LÄN</t>
        </is>
      </c>
      <c r="E347" t="inlineStr">
        <is>
          <t>ENKÖPING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43488-2023</t>
        </is>
      </c>
      <c r="B348" s="1" t="n">
        <v>45181</v>
      </c>
      <c r="C348" s="1" t="n">
        <v>45918</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18259-2025</t>
        </is>
      </c>
      <c r="B349" s="1" t="n">
        <v>45762</v>
      </c>
      <c r="C349" s="1" t="n">
        <v>45918</v>
      </c>
      <c r="D349" t="inlineStr">
        <is>
          <t>UPPSALA LÄN</t>
        </is>
      </c>
      <c r="E349" t="inlineStr">
        <is>
          <t>ENKÖPING</t>
        </is>
      </c>
      <c r="G349" t="n">
        <v>1.6</v>
      </c>
      <c r="H349" t="n">
        <v>0</v>
      </c>
      <c r="I349" t="n">
        <v>0</v>
      </c>
      <c r="J349" t="n">
        <v>0</v>
      </c>
      <c r="K349" t="n">
        <v>0</v>
      </c>
      <c r="L349" t="n">
        <v>0</v>
      </c>
      <c r="M349" t="n">
        <v>0</v>
      </c>
      <c r="N349" t="n">
        <v>0</v>
      </c>
      <c r="O349" t="n">
        <v>0</v>
      </c>
      <c r="P349" t="n">
        <v>0</v>
      </c>
      <c r="Q349" t="n">
        <v>0</v>
      </c>
      <c r="R349" s="2" t="inlineStr"/>
    </row>
    <row r="350" ht="15" customHeight="1">
      <c r="A350" t="inlineStr">
        <is>
          <t>A 9171-2024</t>
        </is>
      </c>
      <c r="B350" s="1" t="n">
        <v>45358</v>
      </c>
      <c r="C350" s="1" t="n">
        <v>45918</v>
      </c>
      <c r="D350" t="inlineStr">
        <is>
          <t>UPPSALA LÄN</t>
        </is>
      </c>
      <c r="E350" t="inlineStr">
        <is>
          <t>ENKÖPING</t>
        </is>
      </c>
      <c r="G350" t="n">
        <v>1.8</v>
      </c>
      <c r="H350" t="n">
        <v>0</v>
      </c>
      <c r="I350" t="n">
        <v>0</v>
      </c>
      <c r="J350" t="n">
        <v>0</v>
      </c>
      <c r="K350" t="n">
        <v>0</v>
      </c>
      <c r="L350" t="n">
        <v>0</v>
      </c>
      <c r="M350" t="n">
        <v>0</v>
      </c>
      <c r="N350" t="n">
        <v>0</v>
      </c>
      <c r="O350" t="n">
        <v>0</v>
      </c>
      <c r="P350" t="n">
        <v>0</v>
      </c>
      <c r="Q350" t="n">
        <v>0</v>
      </c>
      <c r="R350" s="2" t="inlineStr"/>
    </row>
    <row r="351" ht="15" customHeight="1">
      <c r="A351" t="inlineStr">
        <is>
          <t>A 14004-2023</t>
        </is>
      </c>
      <c r="B351" s="1" t="n">
        <v>45008</v>
      </c>
      <c r="C351" s="1" t="n">
        <v>45918</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43230-2023</t>
        </is>
      </c>
      <c r="B352" s="1" t="n">
        <v>45183</v>
      </c>
      <c r="C352" s="1" t="n">
        <v>45918</v>
      </c>
      <c r="D352" t="inlineStr">
        <is>
          <t>UPPSALA LÄN</t>
        </is>
      </c>
      <c r="E352" t="inlineStr">
        <is>
          <t>ENKÖPING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45362-2022</t>
        </is>
      </c>
      <c r="B353" s="1" t="n">
        <v>44844.62366898148</v>
      </c>
      <c r="C353" s="1" t="n">
        <v>45918</v>
      </c>
      <c r="D353" t="inlineStr">
        <is>
          <t>UPPSALA LÄN</t>
        </is>
      </c>
      <c r="E353" t="inlineStr">
        <is>
          <t>ENKÖPING</t>
        </is>
      </c>
      <c r="G353" t="n">
        <v>1.8</v>
      </c>
      <c r="H353" t="n">
        <v>0</v>
      </c>
      <c r="I353" t="n">
        <v>0</v>
      </c>
      <c r="J353" t="n">
        <v>0</v>
      </c>
      <c r="K353" t="n">
        <v>0</v>
      </c>
      <c r="L353" t="n">
        <v>0</v>
      </c>
      <c r="M353" t="n">
        <v>0</v>
      </c>
      <c r="N353" t="n">
        <v>0</v>
      </c>
      <c r="O353" t="n">
        <v>0</v>
      </c>
      <c r="P353" t="n">
        <v>0</v>
      </c>
      <c r="Q353" t="n">
        <v>0</v>
      </c>
      <c r="R353" s="2" t="inlineStr"/>
    </row>
    <row r="354" ht="15" customHeight="1">
      <c r="A354" t="inlineStr">
        <is>
          <t>A 72840-2021</t>
        </is>
      </c>
      <c r="B354" s="1" t="n">
        <v>44547</v>
      </c>
      <c r="C354" s="1" t="n">
        <v>45918</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52005-2024</t>
        </is>
      </c>
      <c r="B355" s="1" t="n">
        <v>45607.7627662037</v>
      </c>
      <c r="C355" s="1" t="n">
        <v>45918</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1960-2022</t>
        </is>
      </c>
      <c r="B356" s="1" t="n">
        <v>44575</v>
      </c>
      <c r="C356" s="1" t="n">
        <v>45918</v>
      </c>
      <c r="D356" t="inlineStr">
        <is>
          <t>UPPSALA LÄN</t>
        </is>
      </c>
      <c r="E356" t="inlineStr">
        <is>
          <t>ENKÖPING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6157-2021</t>
        </is>
      </c>
      <c r="B357" s="1" t="n">
        <v>44232</v>
      </c>
      <c r="C357" s="1" t="n">
        <v>45918</v>
      </c>
      <c r="D357" t="inlineStr">
        <is>
          <t>UPPSALA LÄN</t>
        </is>
      </c>
      <c r="E357" t="inlineStr">
        <is>
          <t>ENKÖPING</t>
        </is>
      </c>
      <c r="G357" t="n">
        <v>3.9</v>
      </c>
      <c r="H357" t="n">
        <v>0</v>
      </c>
      <c r="I357" t="n">
        <v>0</v>
      </c>
      <c r="J357" t="n">
        <v>0</v>
      </c>
      <c r="K357" t="n">
        <v>0</v>
      </c>
      <c r="L357" t="n">
        <v>0</v>
      </c>
      <c r="M357" t="n">
        <v>0</v>
      </c>
      <c r="N357" t="n">
        <v>0</v>
      </c>
      <c r="O357" t="n">
        <v>0</v>
      </c>
      <c r="P357" t="n">
        <v>0</v>
      </c>
      <c r="Q357" t="n">
        <v>0</v>
      </c>
      <c r="R357" s="2" t="inlineStr"/>
    </row>
    <row r="358" ht="15" customHeight="1">
      <c r="A358" t="inlineStr">
        <is>
          <t>A 27829-2025</t>
        </is>
      </c>
      <c r="B358" s="1" t="n">
        <v>45817</v>
      </c>
      <c r="C358" s="1" t="n">
        <v>45918</v>
      </c>
      <c r="D358" t="inlineStr">
        <is>
          <t>UPPSALA LÄN</t>
        </is>
      </c>
      <c r="E358" t="inlineStr">
        <is>
          <t>ENKÖPING</t>
        </is>
      </c>
      <c r="G358" t="n">
        <v>2.1</v>
      </c>
      <c r="H358" t="n">
        <v>0</v>
      </c>
      <c r="I358" t="n">
        <v>0</v>
      </c>
      <c r="J358" t="n">
        <v>0</v>
      </c>
      <c r="K358" t="n">
        <v>0</v>
      </c>
      <c r="L358" t="n">
        <v>0</v>
      </c>
      <c r="M358" t="n">
        <v>0</v>
      </c>
      <c r="N358" t="n">
        <v>0</v>
      </c>
      <c r="O358" t="n">
        <v>0</v>
      </c>
      <c r="P358" t="n">
        <v>0</v>
      </c>
      <c r="Q358" t="n">
        <v>0</v>
      </c>
      <c r="R358" s="2" t="inlineStr"/>
    </row>
    <row r="359" ht="15" customHeight="1">
      <c r="A359" t="inlineStr">
        <is>
          <t>A 49622-2024</t>
        </is>
      </c>
      <c r="B359" s="1" t="n">
        <v>45596.58372685185</v>
      </c>
      <c r="C359" s="1" t="n">
        <v>45918</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34617-2022</t>
        </is>
      </c>
      <c r="B360" s="1" t="n">
        <v>44795</v>
      </c>
      <c r="C360" s="1" t="n">
        <v>45918</v>
      </c>
      <c r="D360" t="inlineStr">
        <is>
          <t>UPPSALA LÄN</t>
        </is>
      </c>
      <c r="E360" t="inlineStr">
        <is>
          <t>ENKÖPING</t>
        </is>
      </c>
      <c r="G360" t="n">
        <v>0.7</v>
      </c>
      <c r="H360" t="n">
        <v>0</v>
      </c>
      <c r="I360" t="n">
        <v>0</v>
      </c>
      <c r="J360" t="n">
        <v>0</v>
      </c>
      <c r="K360" t="n">
        <v>0</v>
      </c>
      <c r="L360" t="n">
        <v>0</v>
      </c>
      <c r="M360" t="n">
        <v>0</v>
      </c>
      <c r="N360" t="n">
        <v>0</v>
      </c>
      <c r="O360" t="n">
        <v>0</v>
      </c>
      <c r="P360" t="n">
        <v>0</v>
      </c>
      <c r="Q360" t="n">
        <v>0</v>
      </c>
      <c r="R360" s="2" t="inlineStr"/>
    </row>
    <row r="361" ht="15" customHeight="1">
      <c r="A361" t="inlineStr">
        <is>
          <t>A 1992-2022</t>
        </is>
      </c>
      <c r="B361" s="1" t="n">
        <v>44575.56153935185</v>
      </c>
      <c r="C361" s="1" t="n">
        <v>45918</v>
      </c>
      <c r="D361" t="inlineStr">
        <is>
          <t>UPPSALA LÄN</t>
        </is>
      </c>
      <c r="E361" t="inlineStr">
        <is>
          <t>ENKÖPING</t>
        </is>
      </c>
      <c r="G361" t="n">
        <v>2.8</v>
      </c>
      <c r="H361" t="n">
        <v>0</v>
      </c>
      <c r="I361" t="n">
        <v>0</v>
      </c>
      <c r="J361" t="n">
        <v>0</v>
      </c>
      <c r="K361" t="n">
        <v>0</v>
      </c>
      <c r="L361" t="n">
        <v>0</v>
      </c>
      <c r="M361" t="n">
        <v>0</v>
      </c>
      <c r="N361" t="n">
        <v>0</v>
      </c>
      <c r="O361" t="n">
        <v>0</v>
      </c>
      <c r="P361" t="n">
        <v>0</v>
      </c>
      <c r="Q361" t="n">
        <v>0</v>
      </c>
      <c r="R361" s="2" t="inlineStr"/>
    </row>
    <row r="362" ht="15" customHeight="1">
      <c r="A362" t="inlineStr">
        <is>
          <t>A 18583-2021</t>
        </is>
      </c>
      <c r="B362" s="1" t="n">
        <v>44306</v>
      </c>
      <c r="C362" s="1" t="n">
        <v>45918</v>
      </c>
      <c r="D362" t="inlineStr">
        <is>
          <t>UPPSALA LÄN</t>
        </is>
      </c>
      <c r="E362" t="inlineStr">
        <is>
          <t>ENKÖPING</t>
        </is>
      </c>
      <c r="G362" t="n">
        <v>0.4</v>
      </c>
      <c r="H362" t="n">
        <v>0</v>
      </c>
      <c r="I362" t="n">
        <v>0</v>
      </c>
      <c r="J362" t="n">
        <v>0</v>
      </c>
      <c r="K362" t="n">
        <v>0</v>
      </c>
      <c r="L362" t="n">
        <v>0</v>
      </c>
      <c r="M362" t="n">
        <v>0</v>
      </c>
      <c r="N362" t="n">
        <v>0</v>
      </c>
      <c r="O362" t="n">
        <v>0</v>
      </c>
      <c r="P362" t="n">
        <v>0</v>
      </c>
      <c r="Q362" t="n">
        <v>0</v>
      </c>
      <c r="R362" s="2" t="inlineStr"/>
    </row>
    <row r="363" ht="15" customHeight="1">
      <c r="A363" t="inlineStr">
        <is>
          <t>A 1695-2025</t>
        </is>
      </c>
      <c r="B363" s="1" t="n">
        <v>45670</v>
      </c>
      <c r="C363" s="1" t="n">
        <v>45918</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49623-2024</t>
        </is>
      </c>
      <c r="B364" s="1" t="n">
        <v>45596</v>
      </c>
      <c r="C364" s="1" t="n">
        <v>45918</v>
      </c>
      <c r="D364" t="inlineStr">
        <is>
          <t>UPPSALA LÄN</t>
        </is>
      </c>
      <c r="E364" t="inlineStr">
        <is>
          <t>ENKÖPING</t>
        </is>
      </c>
      <c r="G364" t="n">
        <v>1.8</v>
      </c>
      <c r="H364" t="n">
        <v>0</v>
      </c>
      <c r="I364" t="n">
        <v>0</v>
      </c>
      <c r="J364" t="n">
        <v>0</v>
      </c>
      <c r="K364" t="n">
        <v>0</v>
      </c>
      <c r="L364" t="n">
        <v>0</v>
      </c>
      <c r="M364" t="n">
        <v>0</v>
      </c>
      <c r="N364" t="n">
        <v>0</v>
      </c>
      <c r="O364" t="n">
        <v>0</v>
      </c>
      <c r="P364" t="n">
        <v>0</v>
      </c>
      <c r="Q364" t="n">
        <v>0</v>
      </c>
      <c r="R364" s="2" t="inlineStr"/>
    </row>
    <row r="365" ht="15" customHeight="1">
      <c r="A365" t="inlineStr">
        <is>
          <t>A 49627-2024</t>
        </is>
      </c>
      <c r="B365" s="1" t="n">
        <v>45596.59140046296</v>
      </c>
      <c r="C365" s="1" t="n">
        <v>45918</v>
      </c>
      <c r="D365" t="inlineStr">
        <is>
          <t>UPPSALA LÄN</t>
        </is>
      </c>
      <c r="E365" t="inlineStr">
        <is>
          <t>ENKÖPING</t>
        </is>
      </c>
      <c r="G365" t="n">
        <v>0.4</v>
      </c>
      <c r="H365" t="n">
        <v>0</v>
      </c>
      <c r="I365" t="n">
        <v>0</v>
      </c>
      <c r="J365" t="n">
        <v>0</v>
      </c>
      <c r="K365" t="n">
        <v>0</v>
      </c>
      <c r="L365" t="n">
        <v>0</v>
      </c>
      <c r="M365" t="n">
        <v>0</v>
      </c>
      <c r="N365" t="n">
        <v>0</v>
      </c>
      <c r="O365" t="n">
        <v>0</v>
      </c>
      <c r="P365" t="n">
        <v>0</v>
      </c>
      <c r="Q365" t="n">
        <v>0</v>
      </c>
      <c r="R365" s="2" t="inlineStr"/>
    </row>
    <row r="366" ht="15" customHeight="1">
      <c r="A366" t="inlineStr">
        <is>
          <t>A 57998-2024</t>
        </is>
      </c>
      <c r="B366" s="1" t="n">
        <v>45631</v>
      </c>
      <c r="C366" s="1" t="n">
        <v>45918</v>
      </c>
      <c r="D366" t="inlineStr">
        <is>
          <t>UPPSALA LÄN</t>
        </is>
      </c>
      <c r="E366" t="inlineStr">
        <is>
          <t>ENKÖPING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9667-2024</t>
        </is>
      </c>
      <c r="B367" s="1" t="n">
        <v>45362.45130787037</v>
      </c>
      <c r="C367" s="1" t="n">
        <v>45918</v>
      </c>
      <c r="D367" t="inlineStr">
        <is>
          <t>UPPSALA LÄN</t>
        </is>
      </c>
      <c r="E367" t="inlineStr">
        <is>
          <t>ENKÖPING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54357-2023</t>
        </is>
      </c>
      <c r="B368" s="1" t="n">
        <v>45225</v>
      </c>
      <c r="C368" s="1" t="n">
        <v>45918</v>
      </c>
      <c r="D368" t="inlineStr">
        <is>
          <t>UPPSALA LÄN</t>
        </is>
      </c>
      <c r="E368" t="inlineStr">
        <is>
          <t>ENKÖPING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24962-2023</t>
        </is>
      </c>
      <c r="B369" s="1" t="n">
        <v>45085.60123842592</v>
      </c>
      <c r="C369" s="1" t="n">
        <v>45918</v>
      </c>
      <c r="D369" t="inlineStr">
        <is>
          <t>UPPSALA LÄN</t>
        </is>
      </c>
      <c r="E369" t="inlineStr">
        <is>
          <t>ENKÖPING</t>
        </is>
      </c>
      <c r="G369" t="n">
        <v>2.8</v>
      </c>
      <c r="H369" t="n">
        <v>0</v>
      </c>
      <c r="I369" t="n">
        <v>0</v>
      </c>
      <c r="J369" t="n">
        <v>0</v>
      </c>
      <c r="K369" t="n">
        <v>0</v>
      </c>
      <c r="L369" t="n">
        <v>0</v>
      </c>
      <c r="M369" t="n">
        <v>0</v>
      </c>
      <c r="N369" t="n">
        <v>0</v>
      </c>
      <c r="O369" t="n">
        <v>0</v>
      </c>
      <c r="P369" t="n">
        <v>0</v>
      </c>
      <c r="Q369" t="n">
        <v>0</v>
      </c>
      <c r="R369" s="2" t="inlineStr"/>
    </row>
    <row r="370" ht="15" customHeight="1">
      <c r="A370" t="inlineStr">
        <is>
          <t>A 35645-2021</t>
        </is>
      </c>
      <c r="B370" s="1" t="n">
        <v>44386.42</v>
      </c>
      <c r="C370" s="1" t="n">
        <v>45918</v>
      </c>
      <c r="D370" t="inlineStr">
        <is>
          <t>UPPSALA LÄN</t>
        </is>
      </c>
      <c r="E370" t="inlineStr">
        <is>
          <t>ENKÖPING</t>
        </is>
      </c>
      <c r="G370" t="n">
        <v>2.7</v>
      </c>
      <c r="H370" t="n">
        <v>0</v>
      </c>
      <c r="I370" t="n">
        <v>0</v>
      </c>
      <c r="J370" t="n">
        <v>0</v>
      </c>
      <c r="K370" t="n">
        <v>0</v>
      </c>
      <c r="L370" t="n">
        <v>0</v>
      </c>
      <c r="M370" t="n">
        <v>0</v>
      </c>
      <c r="N370" t="n">
        <v>0</v>
      </c>
      <c r="O370" t="n">
        <v>0</v>
      </c>
      <c r="P370" t="n">
        <v>0</v>
      </c>
      <c r="Q370" t="n">
        <v>0</v>
      </c>
      <c r="R370" s="2" t="inlineStr"/>
    </row>
    <row r="371" ht="15" customHeight="1">
      <c r="A371" t="inlineStr">
        <is>
          <t>A 39009-2024</t>
        </is>
      </c>
      <c r="B371" s="1" t="n">
        <v>45548</v>
      </c>
      <c r="C371" s="1" t="n">
        <v>45918</v>
      </c>
      <c r="D371" t="inlineStr">
        <is>
          <t>UPPSALA LÄN</t>
        </is>
      </c>
      <c r="E371" t="inlineStr">
        <is>
          <t>ENKÖPING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8537-2025</t>
        </is>
      </c>
      <c r="B372" s="1" t="n">
        <v>45709</v>
      </c>
      <c r="C372" s="1" t="n">
        <v>45918</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67765-2020</t>
        </is>
      </c>
      <c r="B373" s="1" t="n">
        <v>44182</v>
      </c>
      <c r="C373" s="1" t="n">
        <v>45918</v>
      </c>
      <c r="D373" t="inlineStr">
        <is>
          <t>UPPSALA LÄN</t>
        </is>
      </c>
      <c r="E373" t="inlineStr">
        <is>
          <t>ENKÖPING</t>
        </is>
      </c>
      <c r="G373" t="n">
        <v>3.6</v>
      </c>
      <c r="H373" t="n">
        <v>0</v>
      </c>
      <c r="I373" t="n">
        <v>0</v>
      </c>
      <c r="J373" t="n">
        <v>0</v>
      </c>
      <c r="K373" t="n">
        <v>0</v>
      </c>
      <c r="L373" t="n">
        <v>0</v>
      </c>
      <c r="M373" t="n">
        <v>0</v>
      </c>
      <c r="N373" t="n">
        <v>0</v>
      </c>
      <c r="O373" t="n">
        <v>0</v>
      </c>
      <c r="P373" t="n">
        <v>0</v>
      </c>
      <c r="Q373" t="n">
        <v>0</v>
      </c>
      <c r="R373" s="2" t="inlineStr"/>
    </row>
    <row r="374" ht="15" customHeight="1">
      <c r="A374" t="inlineStr">
        <is>
          <t>A 53149-2020</t>
        </is>
      </c>
      <c r="B374" s="1" t="n">
        <v>44120</v>
      </c>
      <c r="C374" s="1" t="n">
        <v>45918</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6298-2021</t>
        </is>
      </c>
      <c r="B375" s="1" t="n">
        <v>44235</v>
      </c>
      <c r="C375" s="1" t="n">
        <v>45918</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58961-2024</t>
        </is>
      </c>
      <c r="B376" s="1" t="n">
        <v>45636.585</v>
      </c>
      <c r="C376" s="1" t="n">
        <v>45918</v>
      </c>
      <c r="D376" t="inlineStr">
        <is>
          <t>UPPSALA LÄN</t>
        </is>
      </c>
      <c r="E376" t="inlineStr">
        <is>
          <t>ENKÖPING</t>
        </is>
      </c>
      <c r="G376" t="n">
        <v>4</v>
      </c>
      <c r="H376" t="n">
        <v>0</v>
      </c>
      <c r="I376" t="n">
        <v>0</v>
      </c>
      <c r="J376" t="n">
        <v>0</v>
      </c>
      <c r="K376" t="n">
        <v>0</v>
      </c>
      <c r="L376" t="n">
        <v>0</v>
      </c>
      <c r="M376" t="n">
        <v>0</v>
      </c>
      <c r="N376" t="n">
        <v>0</v>
      </c>
      <c r="O376" t="n">
        <v>0</v>
      </c>
      <c r="P376" t="n">
        <v>0</v>
      </c>
      <c r="Q376" t="n">
        <v>0</v>
      </c>
      <c r="R376" s="2" t="inlineStr"/>
    </row>
    <row r="377" ht="15" customHeight="1">
      <c r="A377" t="inlineStr">
        <is>
          <t>A 28758-2025</t>
        </is>
      </c>
      <c r="B377" s="1" t="n">
        <v>45820.41212962963</v>
      </c>
      <c r="C377" s="1" t="n">
        <v>45918</v>
      </c>
      <c r="D377" t="inlineStr">
        <is>
          <t>UPPSALA LÄN</t>
        </is>
      </c>
      <c r="E377" t="inlineStr">
        <is>
          <t>ENKÖPING</t>
        </is>
      </c>
      <c r="G377" t="n">
        <v>2.4</v>
      </c>
      <c r="H377" t="n">
        <v>0</v>
      </c>
      <c r="I377" t="n">
        <v>0</v>
      </c>
      <c r="J377" t="n">
        <v>0</v>
      </c>
      <c r="K377" t="n">
        <v>0</v>
      </c>
      <c r="L377" t="n">
        <v>0</v>
      </c>
      <c r="M377" t="n">
        <v>0</v>
      </c>
      <c r="N377" t="n">
        <v>0</v>
      </c>
      <c r="O377" t="n">
        <v>0</v>
      </c>
      <c r="P377" t="n">
        <v>0</v>
      </c>
      <c r="Q377" t="n">
        <v>0</v>
      </c>
      <c r="R377" s="2" t="inlineStr"/>
    </row>
    <row r="378" ht="15" customHeight="1">
      <c r="A378" t="inlineStr">
        <is>
          <t>A 28862-2025</t>
        </is>
      </c>
      <c r="B378" s="1" t="n">
        <v>45820.59189814814</v>
      </c>
      <c r="C378" s="1" t="n">
        <v>45918</v>
      </c>
      <c r="D378" t="inlineStr">
        <is>
          <t>UPPSALA LÄN</t>
        </is>
      </c>
      <c r="E378" t="inlineStr">
        <is>
          <t>ENKÖPING</t>
        </is>
      </c>
      <c r="G378" t="n">
        <v>2.2</v>
      </c>
      <c r="H378" t="n">
        <v>0</v>
      </c>
      <c r="I378" t="n">
        <v>0</v>
      </c>
      <c r="J378" t="n">
        <v>0</v>
      </c>
      <c r="K378" t="n">
        <v>0</v>
      </c>
      <c r="L378" t="n">
        <v>0</v>
      </c>
      <c r="M378" t="n">
        <v>0</v>
      </c>
      <c r="N378" t="n">
        <v>0</v>
      </c>
      <c r="O378" t="n">
        <v>0</v>
      </c>
      <c r="P378" t="n">
        <v>0</v>
      </c>
      <c r="Q378" t="n">
        <v>0</v>
      </c>
      <c r="R378" s="2" t="inlineStr"/>
    </row>
    <row r="379" ht="15" customHeight="1">
      <c r="A379" t="inlineStr">
        <is>
          <t>A 15711-2025</t>
        </is>
      </c>
      <c r="B379" s="1" t="n">
        <v>45748</v>
      </c>
      <c r="C379" s="1" t="n">
        <v>45918</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28855-2025</t>
        </is>
      </c>
      <c r="B380" s="1" t="n">
        <v>45820.58274305556</v>
      </c>
      <c r="C380" s="1" t="n">
        <v>45918</v>
      </c>
      <c r="D380" t="inlineStr">
        <is>
          <t>UPPSALA LÄN</t>
        </is>
      </c>
      <c r="E380" t="inlineStr">
        <is>
          <t>ENKÖPING</t>
        </is>
      </c>
      <c r="G380" t="n">
        <v>2.4</v>
      </c>
      <c r="H380" t="n">
        <v>0</v>
      </c>
      <c r="I380" t="n">
        <v>0</v>
      </c>
      <c r="J380" t="n">
        <v>0</v>
      </c>
      <c r="K380" t="n">
        <v>0</v>
      </c>
      <c r="L380" t="n">
        <v>0</v>
      </c>
      <c r="M380" t="n">
        <v>0</v>
      </c>
      <c r="N380" t="n">
        <v>0</v>
      </c>
      <c r="O380" t="n">
        <v>0</v>
      </c>
      <c r="P380" t="n">
        <v>0</v>
      </c>
      <c r="Q380" t="n">
        <v>0</v>
      </c>
      <c r="R380" s="2" t="inlineStr"/>
    </row>
    <row r="381" ht="15" customHeight="1">
      <c r="A381" t="inlineStr">
        <is>
          <t>A 53595-2023</t>
        </is>
      </c>
      <c r="B381" s="1" t="n">
        <v>45223</v>
      </c>
      <c r="C381" s="1" t="n">
        <v>45918</v>
      </c>
      <c r="D381" t="inlineStr">
        <is>
          <t>UPPSALA LÄN</t>
        </is>
      </c>
      <c r="E381" t="inlineStr">
        <is>
          <t>ENKÖPING</t>
        </is>
      </c>
      <c r="G381" t="n">
        <v>2.6</v>
      </c>
      <c r="H381" t="n">
        <v>0</v>
      </c>
      <c r="I381" t="n">
        <v>0</v>
      </c>
      <c r="J381" t="n">
        <v>0</v>
      </c>
      <c r="K381" t="n">
        <v>0</v>
      </c>
      <c r="L381" t="n">
        <v>0</v>
      </c>
      <c r="M381" t="n">
        <v>0</v>
      </c>
      <c r="N381" t="n">
        <v>0</v>
      </c>
      <c r="O381" t="n">
        <v>0</v>
      </c>
      <c r="P381" t="n">
        <v>0</v>
      </c>
      <c r="Q381" t="n">
        <v>0</v>
      </c>
      <c r="R381" s="2" t="inlineStr"/>
    </row>
    <row r="382" ht="15" customHeight="1">
      <c r="A382" t="inlineStr">
        <is>
          <t>A 28318-2024</t>
        </is>
      </c>
      <c r="B382" s="1" t="n">
        <v>45477</v>
      </c>
      <c r="C382" s="1" t="n">
        <v>45918</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29093-2025</t>
        </is>
      </c>
      <c r="B383" s="1" t="n">
        <v>45821.55743055556</v>
      </c>
      <c r="C383" s="1" t="n">
        <v>45918</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69344-2021</t>
        </is>
      </c>
      <c r="B384" s="1" t="n">
        <v>44531</v>
      </c>
      <c r="C384" s="1" t="n">
        <v>45918</v>
      </c>
      <c r="D384" t="inlineStr">
        <is>
          <t>UPPSALA LÄN</t>
        </is>
      </c>
      <c r="E384" t="inlineStr">
        <is>
          <t>ENKÖPING</t>
        </is>
      </c>
      <c r="G384" t="n">
        <v>2.9</v>
      </c>
      <c r="H384" t="n">
        <v>0</v>
      </c>
      <c r="I384" t="n">
        <v>0</v>
      </c>
      <c r="J384" t="n">
        <v>0</v>
      </c>
      <c r="K384" t="n">
        <v>0</v>
      </c>
      <c r="L384" t="n">
        <v>0</v>
      </c>
      <c r="M384" t="n">
        <v>0</v>
      </c>
      <c r="N384" t="n">
        <v>0</v>
      </c>
      <c r="O384" t="n">
        <v>0</v>
      </c>
      <c r="P384" t="n">
        <v>0</v>
      </c>
      <c r="Q384" t="n">
        <v>0</v>
      </c>
      <c r="R384" s="2" t="inlineStr"/>
    </row>
    <row r="385" ht="15" customHeight="1">
      <c r="A385" t="inlineStr">
        <is>
          <t>A 15893-2024</t>
        </is>
      </c>
      <c r="B385" s="1" t="n">
        <v>45405</v>
      </c>
      <c r="C385" s="1" t="n">
        <v>45918</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18028-2023</t>
        </is>
      </c>
      <c r="B386" s="1" t="n">
        <v>45040</v>
      </c>
      <c r="C386" s="1" t="n">
        <v>45918</v>
      </c>
      <c r="D386" t="inlineStr">
        <is>
          <t>UPPSALA LÄN</t>
        </is>
      </c>
      <c r="E386" t="inlineStr">
        <is>
          <t>ENKÖPING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29477-2025</t>
        </is>
      </c>
      <c r="B387" s="1" t="n">
        <v>45824.71537037037</v>
      </c>
      <c r="C387" s="1" t="n">
        <v>45918</v>
      </c>
      <c r="D387" t="inlineStr">
        <is>
          <t>UPPSALA LÄN</t>
        </is>
      </c>
      <c r="E387" t="inlineStr">
        <is>
          <t>ENKÖPING</t>
        </is>
      </c>
      <c r="G387" t="n">
        <v>13.4</v>
      </c>
      <c r="H387" t="n">
        <v>0</v>
      </c>
      <c r="I387" t="n">
        <v>0</v>
      </c>
      <c r="J387" t="n">
        <v>0</v>
      </c>
      <c r="K387" t="n">
        <v>0</v>
      </c>
      <c r="L387" t="n">
        <v>0</v>
      </c>
      <c r="M387" t="n">
        <v>0</v>
      </c>
      <c r="N387" t="n">
        <v>0</v>
      </c>
      <c r="O387" t="n">
        <v>0</v>
      </c>
      <c r="P387" t="n">
        <v>0</v>
      </c>
      <c r="Q387" t="n">
        <v>0</v>
      </c>
      <c r="R387" s="2" t="inlineStr"/>
    </row>
    <row r="388" ht="15" customHeight="1">
      <c r="A388" t="inlineStr">
        <is>
          <t>A 51524-2022</t>
        </is>
      </c>
      <c r="B388" s="1" t="n">
        <v>44869</v>
      </c>
      <c r="C388" s="1" t="n">
        <v>45918</v>
      </c>
      <c r="D388" t="inlineStr">
        <is>
          <t>UPPSALA LÄN</t>
        </is>
      </c>
      <c r="E388" t="inlineStr">
        <is>
          <t>ENKÖPING</t>
        </is>
      </c>
      <c r="G388" t="n">
        <v>6.6</v>
      </c>
      <c r="H388" t="n">
        <v>0</v>
      </c>
      <c r="I388" t="n">
        <v>0</v>
      </c>
      <c r="J388" t="n">
        <v>0</v>
      </c>
      <c r="K388" t="n">
        <v>0</v>
      </c>
      <c r="L388" t="n">
        <v>0</v>
      </c>
      <c r="M388" t="n">
        <v>0</v>
      </c>
      <c r="N388" t="n">
        <v>0</v>
      </c>
      <c r="O388" t="n">
        <v>0</v>
      </c>
      <c r="P388" t="n">
        <v>0</v>
      </c>
      <c r="Q388" t="n">
        <v>0</v>
      </c>
      <c r="R388" s="2" t="inlineStr"/>
    </row>
    <row r="389" ht="15" customHeight="1">
      <c r="A389" t="inlineStr">
        <is>
          <t>A 46103-2023</t>
        </is>
      </c>
      <c r="B389" s="1" t="n">
        <v>45190</v>
      </c>
      <c r="C389" s="1" t="n">
        <v>45918</v>
      </c>
      <c r="D389" t="inlineStr">
        <is>
          <t>UPPSALA LÄN</t>
        </is>
      </c>
      <c r="E389" t="inlineStr">
        <is>
          <t>ENKÖPING</t>
        </is>
      </c>
      <c r="G389" t="n">
        <v>4.6</v>
      </c>
      <c r="H389" t="n">
        <v>0</v>
      </c>
      <c r="I389" t="n">
        <v>0</v>
      </c>
      <c r="J389" t="n">
        <v>0</v>
      </c>
      <c r="K389" t="n">
        <v>0</v>
      </c>
      <c r="L389" t="n">
        <v>0</v>
      </c>
      <c r="M389" t="n">
        <v>0</v>
      </c>
      <c r="N389" t="n">
        <v>0</v>
      </c>
      <c r="O389" t="n">
        <v>0</v>
      </c>
      <c r="P389" t="n">
        <v>0</v>
      </c>
      <c r="Q389" t="n">
        <v>0</v>
      </c>
      <c r="R389" s="2" t="inlineStr"/>
    </row>
    <row r="390" ht="15" customHeight="1">
      <c r="A390" t="inlineStr">
        <is>
          <t>A 41737-2022</t>
        </is>
      </c>
      <c r="B390" s="1" t="n">
        <v>44827.63826388889</v>
      </c>
      <c r="C390" s="1" t="n">
        <v>45918</v>
      </c>
      <c r="D390" t="inlineStr">
        <is>
          <t>UPPSALA LÄN</t>
        </is>
      </c>
      <c r="E390" t="inlineStr">
        <is>
          <t>ENKÖPING</t>
        </is>
      </c>
      <c r="G390" t="n">
        <v>1.5</v>
      </c>
      <c r="H390" t="n">
        <v>0</v>
      </c>
      <c r="I390" t="n">
        <v>0</v>
      </c>
      <c r="J390" t="n">
        <v>0</v>
      </c>
      <c r="K390" t="n">
        <v>0</v>
      </c>
      <c r="L390" t="n">
        <v>0</v>
      </c>
      <c r="M390" t="n">
        <v>0</v>
      </c>
      <c r="N390" t="n">
        <v>0</v>
      </c>
      <c r="O390" t="n">
        <v>0</v>
      </c>
      <c r="P390" t="n">
        <v>0</v>
      </c>
      <c r="Q390" t="n">
        <v>0</v>
      </c>
      <c r="R390" s="2" t="inlineStr"/>
    </row>
    <row r="391" ht="15" customHeight="1">
      <c r="A391" t="inlineStr">
        <is>
          <t>A 8137-2025</t>
        </is>
      </c>
      <c r="B391" s="1" t="n">
        <v>45707.8561574074</v>
      </c>
      <c r="C391" s="1" t="n">
        <v>45918</v>
      </c>
      <c r="D391" t="inlineStr">
        <is>
          <t>UPPSALA LÄN</t>
        </is>
      </c>
      <c r="E391" t="inlineStr">
        <is>
          <t>ENKÖPING</t>
        </is>
      </c>
      <c r="G391" t="n">
        <v>0.4</v>
      </c>
      <c r="H391" t="n">
        <v>0</v>
      </c>
      <c r="I391" t="n">
        <v>0</v>
      </c>
      <c r="J391" t="n">
        <v>0</v>
      </c>
      <c r="K391" t="n">
        <v>0</v>
      </c>
      <c r="L391" t="n">
        <v>0</v>
      </c>
      <c r="M391" t="n">
        <v>0</v>
      </c>
      <c r="N391" t="n">
        <v>0</v>
      </c>
      <c r="O391" t="n">
        <v>0</v>
      </c>
      <c r="P391" t="n">
        <v>0</v>
      </c>
      <c r="Q391" t="n">
        <v>0</v>
      </c>
      <c r="R391" s="2" t="inlineStr"/>
    </row>
    <row r="392" ht="15" customHeight="1">
      <c r="A392" t="inlineStr">
        <is>
          <t>A 48843-2023</t>
        </is>
      </c>
      <c r="B392" s="1" t="n">
        <v>45209</v>
      </c>
      <c r="C392" s="1" t="n">
        <v>45918</v>
      </c>
      <c r="D392" t="inlineStr">
        <is>
          <t>UPPSALA LÄN</t>
        </is>
      </c>
      <c r="E392" t="inlineStr">
        <is>
          <t>ENKÖPING</t>
        </is>
      </c>
      <c r="G392" t="n">
        <v>1.3</v>
      </c>
      <c r="H392" t="n">
        <v>0</v>
      </c>
      <c r="I392" t="n">
        <v>0</v>
      </c>
      <c r="J392" t="n">
        <v>0</v>
      </c>
      <c r="K392" t="n">
        <v>0</v>
      </c>
      <c r="L392" t="n">
        <v>0</v>
      </c>
      <c r="M392" t="n">
        <v>0</v>
      </c>
      <c r="N392" t="n">
        <v>0</v>
      </c>
      <c r="O392" t="n">
        <v>0</v>
      </c>
      <c r="P392" t="n">
        <v>0</v>
      </c>
      <c r="Q392" t="n">
        <v>0</v>
      </c>
      <c r="R392" s="2" t="inlineStr"/>
    </row>
    <row r="393" ht="15" customHeight="1">
      <c r="A393" t="inlineStr">
        <is>
          <t>A 33670-2024</t>
        </is>
      </c>
      <c r="B393" s="1" t="n">
        <v>45520</v>
      </c>
      <c r="C393" s="1" t="n">
        <v>45918</v>
      </c>
      <c r="D393" t="inlineStr">
        <is>
          <t>UPPSALA LÄN</t>
        </is>
      </c>
      <c r="E393" t="inlineStr">
        <is>
          <t>ENKÖPING</t>
        </is>
      </c>
      <c r="G393" t="n">
        <v>1.9</v>
      </c>
      <c r="H393" t="n">
        <v>0</v>
      </c>
      <c r="I393" t="n">
        <v>0</v>
      </c>
      <c r="J393" t="n">
        <v>0</v>
      </c>
      <c r="K393" t="n">
        <v>0</v>
      </c>
      <c r="L393" t="n">
        <v>0</v>
      </c>
      <c r="M393" t="n">
        <v>0</v>
      </c>
      <c r="N393" t="n">
        <v>0</v>
      </c>
      <c r="O393" t="n">
        <v>0</v>
      </c>
      <c r="P393" t="n">
        <v>0</v>
      </c>
      <c r="Q393" t="n">
        <v>0</v>
      </c>
      <c r="R393" s="2" t="inlineStr"/>
    </row>
    <row r="394" ht="15" customHeight="1">
      <c r="A394" t="inlineStr">
        <is>
          <t>A 23301-2024</t>
        </is>
      </c>
      <c r="B394" s="1" t="n">
        <v>45453.4396412037</v>
      </c>
      <c r="C394" s="1" t="n">
        <v>45918</v>
      </c>
      <c r="D394" t="inlineStr">
        <is>
          <t>UPPSALA LÄN</t>
        </is>
      </c>
      <c r="E394" t="inlineStr">
        <is>
          <t>ENKÖPING</t>
        </is>
      </c>
      <c r="G394" t="n">
        <v>4.3</v>
      </c>
      <c r="H394" t="n">
        <v>0</v>
      </c>
      <c r="I394" t="n">
        <v>0</v>
      </c>
      <c r="J394" t="n">
        <v>0</v>
      </c>
      <c r="K394" t="n">
        <v>0</v>
      </c>
      <c r="L394" t="n">
        <v>0</v>
      </c>
      <c r="M394" t="n">
        <v>0</v>
      </c>
      <c r="N394" t="n">
        <v>0</v>
      </c>
      <c r="O394" t="n">
        <v>0</v>
      </c>
      <c r="P394" t="n">
        <v>0</v>
      </c>
      <c r="Q394" t="n">
        <v>0</v>
      </c>
      <c r="R394" s="2" t="inlineStr"/>
    </row>
    <row r="395" ht="15" customHeight="1">
      <c r="A395" t="inlineStr">
        <is>
          <t>A 30837-2025</t>
        </is>
      </c>
      <c r="B395" s="1" t="n">
        <v>45831.7063425926</v>
      </c>
      <c r="C395" s="1" t="n">
        <v>45918</v>
      </c>
      <c r="D395" t="inlineStr">
        <is>
          <t>UPPSALA LÄN</t>
        </is>
      </c>
      <c r="E395" t="inlineStr">
        <is>
          <t>ENKÖPING</t>
        </is>
      </c>
      <c r="G395" t="n">
        <v>3.8</v>
      </c>
      <c r="H395" t="n">
        <v>0</v>
      </c>
      <c r="I395" t="n">
        <v>0</v>
      </c>
      <c r="J395" t="n">
        <v>0</v>
      </c>
      <c r="K395" t="n">
        <v>0</v>
      </c>
      <c r="L395" t="n">
        <v>0</v>
      </c>
      <c r="M395" t="n">
        <v>0</v>
      </c>
      <c r="N395" t="n">
        <v>0</v>
      </c>
      <c r="O395" t="n">
        <v>0</v>
      </c>
      <c r="P395" t="n">
        <v>0</v>
      </c>
      <c r="Q395" t="n">
        <v>0</v>
      </c>
      <c r="R395" s="2" t="inlineStr"/>
    </row>
    <row r="396" ht="15" customHeight="1">
      <c r="A396" t="inlineStr">
        <is>
          <t>A 19376-2024</t>
        </is>
      </c>
      <c r="B396" s="1" t="n">
        <v>45429</v>
      </c>
      <c r="C396" s="1" t="n">
        <v>45918</v>
      </c>
      <c r="D396" t="inlineStr">
        <is>
          <t>UPPSALA LÄN</t>
        </is>
      </c>
      <c r="E396" t="inlineStr">
        <is>
          <t>ENKÖPING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52380-2024</t>
        </is>
      </c>
      <c r="B397" s="1" t="n">
        <v>45609</v>
      </c>
      <c r="C397" s="1" t="n">
        <v>45918</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51042-2024</t>
        </is>
      </c>
      <c r="B398" s="1" t="n">
        <v>45603.4342824074</v>
      </c>
      <c r="C398" s="1" t="n">
        <v>45918</v>
      </c>
      <c r="D398" t="inlineStr">
        <is>
          <t>UPPSALA LÄN</t>
        </is>
      </c>
      <c r="E398" t="inlineStr">
        <is>
          <t>ENKÖPING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30098-2024</t>
        </is>
      </c>
      <c r="B399" s="1" t="n">
        <v>45489.41609953704</v>
      </c>
      <c r="C399" s="1" t="n">
        <v>45918</v>
      </c>
      <c r="D399" t="inlineStr">
        <is>
          <t>UPPSALA LÄN</t>
        </is>
      </c>
      <c r="E399" t="inlineStr">
        <is>
          <t>ENKÖPING</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59441-2020</t>
        </is>
      </c>
      <c r="B400" s="1" t="n">
        <v>44148</v>
      </c>
      <c r="C400" s="1" t="n">
        <v>45918</v>
      </c>
      <c r="D400" t="inlineStr">
        <is>
          <t>UPPSALA LÄN</t>
        </is>
      </c>
      <c r="E400" t="inlineStr">
        <is>
          <t>ENKÖPING</t>
        </is>
      </c>
      <c r="G400" t="n">
        <v>4.8</v>
      </c>
      <c r="H400" t="n">
        <v>0</v>
      </c>
      <c r="I400" t="n">
        <v>0</v>
      </c>
      <c r="J400" t="n">
        <v>0</v>
      </c>
      <c r="K400" t="n">
        <v>0</v>
      </c>
      <c r="L400" t="n">
        <v>0</v>
      </c>
      <c r="M400" t="n">
        <v>0</v>
      </c>
      <c r="N400" t="n">
        <v>0</v>
      </c>
      <c r="O400" t="n">
        <v>0</v>
      </c>
      <c r="P400" t="n">
        <v>0</v>
      </c>
      <c r="Q400" t="n">
        <v>0</v>
      </c>
      <c r="R400" s="2" t="inlineStr"/>
    </row>
    <row r="401" ht="15" customHeight="1">
      <c r="A401" t="inlineStr">
        <is>
          <t>A 34735-2023</t>
        </is>
      </c>
      <c r="B401" s="1" t="n">
        <v>45139</v>
      </c>
      <c r="C401" s="1" t="n">
        <v>45918</v>
      </c>
      <c r="D401" t="inlineStr">
        <is>
          <t>UPPSALA LÄN</t>
        </is>
      </c>
      <c r="E401" t="inlineStr">
        <is>
          <t>ENKÖPING</t>
        </is>
      </c>
      <c r="G401" t="n">
        <v>1.4</v>
      </c>
      <c r="H401" t="n">
        <v>0</v>
      </c>
      <c r="I401" t="n">
        <v>0</v>
      </c>
      <c r="J401" t="n">
        <v>0</v>
      </c>
      <c r="K401" t="n">
        <v>0</v>
      </c>
      <c r="L401" t="n">
        <v>0</v>
      </c>
      <c r="M401" t="n">
        <v>0</v>
      </c>
      <c r="N401" t="n">
        <v>0</v>
      </c>
      <c r="O401" t="n">
        <v>0</v>
      </c>
      <c r="P401" t="n">
        <v>0</v>
      </c>
      <c r="Q401" t="n">
        <v>0</v>
      </c>
      <c r="R401" s="2" t="inlineStr"/>
    </row>
    <row r="402" ht="15" customHeight="1">
      <c r="A402" t="inlineStr">
        <is>
          <t>A 57328-2024</t>
        </is>
      </c>
      <c r="B402" s="1" t="n">
        <v>45629.62798611111</v>
      </c>
      <c r="C402" s="1" t="n">
        <v>45918</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61711-2020</t>
        </is>
      </c>
      <c r="B403" s="1" t="n">
        <v>44158</v>
      </c>
      <c r="C403" s="1" t="n">
        <v>45918</v>
      </c>
      <c r="D403" t="inlineStr">
        <is>
          <t>UPPSALA LÄN</t>
        </is>
      </c>
      <c r="E403" t="inlineStr">
        <is>
          <t>ENKÖPING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12020-2024</t>
        </is>
      </c>
      <c r="B404" s="1" t="n">
        <v>45377</v>
      </c>
      <c r="C404" s="1" t="n">
        <v>45918</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32111-2025</t>
        </is>
      </c>
      <c r="B405" s="1" t="n">
        <v>45835</v>
      </c>
      <c r="C405" s="1" t="n">
        <v>45918</v>
      </c>
      <c r="D405" t="inlineStr">
        <is>
          <t>UPPSALA LÄN</t>
        </is>
      </c>
      <c r="E405" t="inlineStr">
        <is>
          <t>ENKÖPING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10465-2022</t>
        </is>
      </c>
      <c r="B406" s="1" t="n">
        <v>44623</v>
      </c>
      <c r="C406" s="1" t="n">
        <v>45918</v>
      </c>
      <c r="D406" t="inlineStr">
        <is>
          <t>UPPSALA LÄN</t>
        </is>
      </c>
      <c r="E406" t="inlineStr">
        <is>
          <t>ENKÖPING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32031-2025</t>
        </is>
      </c>
      <c r="B407" s="1" t="n">
        <v>45835.41712962963</v>
      </c>
      <c r="C407" s="1" t="n">
        <v>45918</v>
      </c>
      <c r="D407" t="inlineStr">
        <is>
          <t>UPPSALA LÄN</t>
        </is>
      </c>
      <c r="E407" t="inlineStr">
        <is>
          <t>ENKÖPING</t>
        </is>
      </c>
      <c r="G407" t="n">
        <v>2.7</v>
      </c>
      <c r="H407" t="n">
        <v>0</v>
      </c>
      <c r="I407" t="n">
        <v>0</v>
      </c>
      <c r="J407" t="n">
        <v>0</v>
      </c>
      <c r="K407" t="n">
        <v>0</v>
      </c>
      <c r="L407" t="n">
        <v>0</v>
      </c>
      <c r="M407" t="n">
        <v>0</v>
      </c>
      <c r="N407" t="n">
        <v>0</v>
      </c>
      <c r="O407" t="n">
        <v>0</v>
      </c>
      <c r="P407" t="n">
        <v>0</v>
      </c>
      <c r="Q407" t="n">
        <v>0</v>
      </c>
      <c r="R407" s="2" t="inlineStr"/>
    </row>
    <row r="408" ht="15" customHeight="1">
      <c r="A408" t="inlineStr">
        <is>
          <t>A 14332-2024</t>
        </is>
      </c>
      <c r="B408" s="1" t="n">
        <v>45393</v>
      </c>
      <c r="C408" s="1" t="n">
        <v>45918</v>
      </c>
      <c r="D408" t="inlineStr">
        <is>
          <t>UPPSALA LÄN</t>
        </is>
      </c>
      <c r="E408" t="inlineStr">
        <is>
          <t>ENKÖPING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29482-2022</t>
        </is>
      </c>
      <c r="B409" s="1" t="n">
        <v>44753.57703703704</v>
      </c>
      <c r="C409" s="1" t="n">
        <v>45918</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29483-2022</t>
        </is>
      </c>
      <c r="B410" s="1" t="n">
        <v>44753.57829861111</v>
      </c>
      <c r="C410" s="1" t="n">
        <v>45918</v>
      </c>
      <c r="D410" t="inlineStr">
        <is>
          <t>UPPSALA LÄN</t>
        </is>
      </c>
      <c r="E410" t="inlineStr">
        <is>
          <t>ENKÖPING</t>
        </is>
      </c>
      <c r="G410" t="n">
        <v>3.6</v>
      </c>
      <c r="H410" t="n">
        <v>0</v>
      </c>
      <c r="I410" t="n">
        <v>0</v>
      </c>
      <c r="J410" t="n">
        <v>0</v>
      </c>
      <c r="K410" t="n">
        <v>0</v>
      </c>
      <c r="L410" t="n">
        <v>0</v>
      </c>
      <c r="M410" t="n">
        <v>0</v>
      </c>
      <c r="N410" t="n">
        <v>0</v>
      </c>
      <c r="O410" t="n">
        <v>0</v>
      </c>
      <c r="P410" t="n">
        <v>0</v>
      </c>
      <c r="Q410" t="n">
        <v>0</v>
      </c>
      <c r="R410" s="2" t="inlineStr"/>
    </row>
    <row r="411" ht="15" customHeight="1">
      <c r="A411" t="inlineStr">
        <is>
          <t>A 61207-2023</t>
        </is>
      </c>
      <c r="B411" s="1" t="n">
        <v>45264.39444444444</v>
      </c>
      <c r="C411" s="1" t="n">
        <v>45918</v>
      </c>
      <c r="D411" t="inlineStr">
        <is>
          <t>UPPSALA LÄN</t>
        </is>
      </c>
      <c r="E411" t="inlineStr">
        <is>
          <t>ENKÖPING</t>
        </is>
      </c>
      <c r="G411" t="n">
        <v>10.8</v>
      </c>
      <c r="H411" t="n">
        <v>0</v>
      </c>
      <c r="I411" t="n">
        <v>0</v>
      </c>
      <c r="J411" t="n">
        <v>0</v>
      </c>
      <c r="K411" t="n">
        <v>0</v>
      </c>
      <c r="L411" t="n">
        <v>0</v>
      </c>
      <c r="M411" t="n">
        <v>0</v>
      </c>
      <c r="N411" t="n">
        <v>0</v>
      </c>
      <c r="O411" t="n">
        <v>0</v>
      </c>
      <c r="P411" t="n">
        <v>0</v>
      </c>
      <c r="Q411" t="n">
        <v>0</v>
      </c>
      <c r="R411" s="2" t="inlineStr"/>
    </row>
    <row r="412" ht="15" customHeight="1">
      <c r="A412" t="inlineStr">
        <is>
          <t>A 44232-2022</t>
        </is>
      </c>
      <c r="B412" s="1" t="n">
        <v>44839</v>
      </c>
      <c r="C412" s="1" t="n">
        <v>45918</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61106-2022</t>
        </is>
      </c>
      <c r="B413" s="1" t="n">
        <v>44915.4128587963</v>
      </c>
      <c r="C413" s="1" t="n">
        <v>45918</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39624-2023</t>
        </is>
      </c>
      <c r="B414" s="1" t="n">
        <v>45164</v>
      </c>
      <c r="C414" s="1" t="n">
        <v>45918</v>
      </c>
      <c r="D414" t="inlineStr">
        <is>
          <t>UPPSALA LÄN</t>
        </is>
      </c>
      <c r="E414" t="inlineStr">
        <is>
          <t>ENKÖPING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40812-2022</t>
        </is>
      </c>
      <c r="B415" s="1" t="n">
        <v>44824.68791666667</v>
      </c>
      <c r="C415" s="1" t="n">
        <v>45918</v>
      </c>
      <c r="D415" t="inlineStr">
        <is>
          <t>UPPSALA LÄN</t>
        </is>
      </c>
      <c r="E415" t="inlineStr">
        <is>
          <t>ENKÖPING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20184-2023</t>
        </is>
      </c>
      <c r="B416" s="1" t="n">
        <v>45055.5670949074</v>
      </c>
      <c r="C416" s="1" t="n">
        <v>45918</v>
      </c>
      <c r="D416" t="inlineStr">
        <is>
          <t>UPPSALA LÄN</t>
        </is>
      </c>
      <c r="E416" t="inlineStr">
        <is>
          <t>ENKÖPING</t>
        </is>
      </c>
      <c r="G416" t="n">
        <v>3.2</v>
      </c>
      <c r="H416" t="n">
        <v>0</v>
      </c>
      <c r="I416" t="n">
        <v>0</v>
      </c>
      <c r="J416" t="n">
        <v>0</v>
      </c>
      <c r="K416" t="n">
        <v>0</v>
      </c>
      <c r="L416" t="n">
        <v>0</v>
      </c>
      <c r="M416" t="n">
        <v>0</v>
      </c>
      <c r="N416" t="n">
        <v>0</v>
      </c>
      <c r="O416" t="n">
        <v>0</v>
      </c>
      <c r="P416" t="n">
        <v>0</v>
      </c>
      <c r="Q416" t="n">
        <v>0</v>
      </c>
      <c r="R416" s="2" t="inlineStr"/>
    </row>
    <row r="417" ht="15" customHeight="1">
      <c r="A417" t="inlineStr">
        <is>
          <t>A 8152-2022</t>
        </is>
      </c>
      <c r="B417" s="1" t="n">
        <v>44609</v>
      </c>
      <c r="C417" s="1" t="n">
        <v>45918</v>
      </c>
      <c r="D417" t="inlineStr">
        <is>
          <t>UPPSALA LÄN</t>
        </is>
      </c>
      <c r="E417" t="inlineStr">
        <is>
          <t>ENKÖPING</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40223-2024</t>
        </is>
      </c>
      <c r="B418" s="1" t="n">
        <v>45554</v>
      </c>
      <c r="C418" s="1" t="n">
        <v>45918</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58896-2020</t>
        </is>
      </c>
      <c r="B419" s="1" t="n">
        <v>44146</v>
      </c>
      <c r="C419" s="1" t="n">
        <v>45918</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43691-2024</t>
        </is>
      </c>
      <c r="B420" s="1" t="n">
        <v>45569</v>
      </c>
      <c r="C420" s="1" t="n">
        <v>45918</v>
      </c>
      <c r="D420" t="inlineStr">
        <is>
          <t>UPPSALA LÄN</t>
        </is>
      </c>
      <c r="E420" t="inlineStr">
        <is>
          <t>ENKÖPING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37035-2023</t>
        </is>
      </c>
      <c r="B421" s="1" t="n">
        <v>45155</v>
      </c>
      <c r="C421" s="1" t="n">
        <v>45918</v>
      </c>
      <c r="D421" t="inlineStr">
        <is>
          <t>UPPSALA LÄN</t>
        </is>
      </c>
      <c r="E421" t="inlineStr">
        <is>
          <t>ENKÖPING</t>
        </is>
      </c>
      <c r="G421" t="n">
        <v>1.2</v>
      </c>
      <c r="H421" t="n">
        <v>0</v>
      </c>
      <c r="I421" t="n">
        <v>0</v>
      </c>
      <c r="J421" t="n">
        <v>0</v>
      </c>
      <c r="K421" t="n">
        <v>0</v>
      </c>
      <c r="L421" t="n">
        <v>0</v>
      </c>
      <c r="M421" t="n">
        <v>0</v>
      </c>
      <c r="N421" t="n">
        <v>0</v>
      </c>
      <c r="O421" t="n">
        <v>0</v>
      </c>
      <c r="P421" t="n">
        <v>0</v>
      </c>
      <c r="Q421" t="n">
        <v>0</v>
      </c>
      <c r="R421" s="2" t="inlineStr"/>
    </row>
    <row r="422" ht="15" customHeight="1">
      <c r="A422" t="inlineStr">
        <is>
          <t>A 52889-2022</t>
        </is>
      </c>
      <c r="B422" s="1" t="n">
        <v>44875</v>
      </c>
      <c r="C422" s="1" t="n">
        <v>45918</v>
      </c>
      <c r="D422" t="inlineStr">
        <is>
          <t>UPPSALA LÄN</t>
        </is>
      </c>
      <c r="E422" t="inlineStr">
        <is>
          <t>ENKÖPING</t>
        </is>
      </c>
      <c r="G422" t="n">
        <v>1.7</v>
      </c>
      <c r="H422" t="n">
        <v>0</v>
      </c>
      <c r="I422" t="n">
        <v>0</v>
      </c>
      <c r="J422" t="n">
        <v>0</v>
      </c>
      <c r="K422" t="n">
        <v>0</v>
      </c>
      <c r="L422" t="n">
        <v>0</v>
      </c>
      <c r="M422" t="n">
        <v>0</v>
      </c>
      <c r="N422" t="n">
        <v>0</v>
      </c>
      <c r="O422" t="n">
        <v>0</v>
      </c>
      <c r="P422" t="n">
        <v>0</v>
      </c>
      <c r="Q422" t="n">
        <v>0</v>
      </c>
      <c r="R422" s="2" t="inlineStr"/>
    </row>
    <row r="423" ht="15" customHeight="1">
      <c r="A423" t="inlineStr">
        <is>
          <t>A 51027-2024</t>
        </is>
      </c>
      <c r="B423" s="1" t="n">
        <v>45603</v>
      </c>
      <c r="C423" s="1" t="n">
        <v>45918</v>
      </c>
      <c r="D423" t="inlineStr">
        <is>
          <t>UPPSALA LÄN</t>
        </is>
      </c>
      <c r="E423" t="inlineStr">
        <is>
          <t>ENKÖPING</t>
        </is>
      </c>
      <c r="G423" t="n">
        <v>3.5</v>
      </c>
      <c r="H423" t="n">
        <v>0</v>
      </c>
      <c r="I423" t="n">
        <v>0</v>
      </c>
      <c r="J423" t="n">
        <v>0</v>
      </c>
      <c r="K423" t="n">
        <v>0</v>
      </c>
      <c r="L423" t="n">
        <v>0</v>
      </c>
      <c r="M423" t="n">
        <v>0</v>
      </c>
      <c r="N423" t="n">
        <v>0</v>
      </c>
      <c r="O423" t="n">
        <v>0</v>
      </c>
      <c r="P423" t="n">
        <v>0</v>
      </c>
      <c r="Q423" t="n">
        <v>0</v>
      </c>
      <c r="R423" s="2" t="inlineStr"/>
    </row>
    <row r="424" ht="15" customHeight="1">
      <c r="A424" t="inlineStr">
        <is>
          <t>A 51030-2024</t>
        </is>
      </c>
      <c r="B424" s="1" t="n">
        <v>45603</v>
      </c>
      <c r="C424" s="1" t="n">
        <v>45918</v>
      </c>
      <c r="D424" t="inlineStr">
        <is>
          <t>UPPSALA LÄN</t>
        </is>
      </c>
      <c r="E424" t="inlineStr">
        <is>
          <t>ENKÖPING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25333-2023</t>
        </is>
      </c>
      <c r="B425" s="1" t="n">
        <v>45083</v>
      </c>
      <c r="C425" s="1" t="n">
        <v>45918</v>
      </c>
      <c r="D425" t="inlineStr">
        <is>
          <t>UPPSALA LÄN</t>
        </is>
      </c>
      <c r="E425" t="inlineStr">
        <is>
          <t>ENKÖPING</t>
        </is>
      </c>
      <c r="G425" t="n">
        <v>2.7</v>
      </c>
      <c r="H425" t="n">
        <v>0</v>
      </c>
      <c r="I425" t="n">
        <v>0</v>
      </c>
      <c r="J425" t="n">
        <v>0</v>
      </c>
      <c r="K425" t="n">
        <v>0</v>
      </c>
      <c r="L425" t="n">
        <v>0</v>
      </c>
      <c r="M425" t="n">
        <v>0</v>
      </c>
      <c r="N425" t="n">
        <v>0</v>
      </c>
      <c r="O425" t="n">
        <v>0</v>
      </c>
      <c r="P425" t="n">
        <v>0</v>
      </c>
      <c r="Q425" t="n">
        <v>0</v>
      </c>
      <c r="R425" s="2" t="inlineStr"/>
    </row>
    <row r="426" ht="15" customHeight="1">
      <c r="A426" t="inlineStr">
        <is>
          <t>A 3300-2025</t>
        </is>
      </c>
      <c r="B426" s="1" t="n">
        <v>45679</v>
      </c>
      <c r="C426" s="1" t="n">
        <v>45918</v>
      </c>
      <c r="D426" t="inlineStr">
        <is>
          <t>UPPSALA LÄN</t>
        </is>
      </c>
      <c r="E426" t="inlineStr">
        <is>
          <t>ENKÖPING</t>
        </is>
      </c>
      <c r="G426" t="n">
        <v>8.9</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45918</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4044-2024</t>
        </is>
      </c>
      <c r="B428" s="1" t="n">
        <v>45323.45954861111</v>
      </c>
      <c r="C428" s="1" t="n">
        <v>45918</v>
      </c>
      <c r="D428" t="inlineStr">
        <is>
          <t>UPPSALA LÄN</t>
        </is>
      </c>
      <c r="E428" t="inlineStr">
        <is>
          <t>ENKÖPING</t>
        </is>
      </c>
      <c r="G428" t="n">
        <v>2.1</v>
      </c>
      <c r="H428" t="n">
        <v>0</v>
      </c>
      <c r="I428" t="n">
        <v>0</v>
      </c>
      <c r="J428" t="n">
        <v>0</v>
      </c>
      <c r="K428" t="n">
        <v>0</v>
      </c>
      <c r="L428" t="n">
        <v>0</v>
      </c>
      <c r="M428" t="n">
        <v>0</v>
      </c>
      <c r="N428" t="n">
        <v>0</v>
      </c>
      <c r="O428" t="n">
        <v>0</v>
      </c>
      <c r="P428" t="n">
        <v>0</v>
      </c>
      <c r="Q428" t="n">
        <v>0</v>
      </c>
      <c r="R428" s="2" t="inlineStr"/>
    </row>
    <row r="429" ht="15" customHeight="1">
      <c r="A429" t="inlineStr">
        <is>
          <t>A 32477-2025</t>
        </is>
      </c>
      <c r="B429" s="1" t="n">
        <v>45838.43098379629</v>
      </c>
      <c r="C429" s="1" t="n">
        <v>45918</v>
      </c>
      <c r="D429" t="inlineStr">
        <is>
          <t>UPPSALA LÄN</t>
        </is>
      </c>
      <c r="E429" t="inlineStr">
        <is>
          <t>ENKÖPING</t>
        </is>
      </c>
      <c r="G429" t="n">
        <v>2.7</v>
      </c>
      <c r="H429" t="n">
        <v>0</v>
      </c>
      <c r="I429" t="n">
        <v>0</v>
      </c>
      <c r="J429" t="n">
        <v>0</v>
      </c>
      <c r="K429" t="n">
        <v>0</v>
      </c>
      <c r="L429" t="n">
        <v>0</v>
      </c>
      <c r="M429" t="n">
        <v>0</v>
      </c>
      <c r="N429" t="n">
        <v>0</v>
      </c>
      <c r="O429" t="n">
        <v>0</v>
      </c>
      <c r="P429" t="n">
        <v>0</v>
      </c>
      <c r="Q429" t="n">
        <v>0</v>
      </c>
      <c r="R429" s="2" t="inlineStr"/>
    </row>
    <row r="430" ht="15" customHeight="1">
      <c r="A430" t="inlineStr">
        <is>
          <t>A 12754-2025</t>
        </is>
      </c>
      <c r="B430" s="1" t="n">
        <v>45733.56331018519</v>
      </c>
      <c r="C430" s="1" t="n">
        <v>45918</v>
      </c>
      <c r="D430" t="inlineStr">
        <is>
          <t>UPPSALA LÄN</t>
        </is>
      </c>
      <c r="E430" t="inlineStr">
        <is>
          <t>ENKÖPING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33349-2024</t>
        </is>
      </c>
      <c r="B431" s="1" t="n">
        <v>45519</v>
      </c>
      <c r="C431" s="1" t="n">
        <v>45918</v>
      </c>
      <c r="D431" t="inlineStr">
        <is>
          <t>UPPSALA LÄN</t>
        </is>
      </c>
      <c r="E431" t="inlineStr">
        <is>
          <t>ENKÖPING</t>
        </is>
      </c>
      <c r="G431" t="n">
        <v>3.6</v>
      </c>
      <c r="H431" t="n">
        <v>0</v>
      </c>
      <c r="I431" t="n">
        <v>0</v>
      </c>
      <c r="J431" t="n">
        <v>0</v>
      </c>
      <c r="K431" t="n">
        <v>0</v>
      </c>
      <c r="L431" t="n">
        <v>0</v>
      </c>
      <c r="M431" t="n">
        <v>0</v>
      </c>
      <c r="N431" t="n">
        <v>0</v>
      </c>
      <c r="O431" t="n">
        <v>0</v>
      </c>
      <c r="P431" t="n">
        <v>0</v>
      </c>
      <c r="Q431" t="n">
        <v>0</v>
      </c>
      <c r="R431" s="2" t="inlineStr"/>
    </row>
    <row r="432" ht="15" customHeight="1">
      <c r="A432" t="inlineStr">
        <is>
          <t>A 22912-2024</t>
        </is>
      </c>
      <c r="B432" s="1" t="n">
        <v>45448.73118055556</v>
      </c>
      <c r="C432" s="1" t="n">
        <v>45918</v>
      </c>
      <c r="D432" t="inlineStr">
        <is>
          <t>UPPSALA LÄN</t>
        </is>
      </c>
      <c r="E432" t="inlineStr">
        <is>
          <t>ENKÖPING</t>
        </is>
      </c>
      <c r="G432" t="n">
        <v>2.8</v>
      </c>
      <c r="H432" t="n">
        <v>0</v>
      </c>
      <c r="I432" t="n">
        <v>0</v>
      </c>
      <c r="J432" t="n">
        <v>0</v>
      </c>
      <c r="K432" t="n">
        <v>0</v>
      </c>
      <c r="L432" t="n">
        <v>0</v>
      </c>
      <c r="M432" t="n">
        <v>0</v>
      </c>
      <c r="N432" t="n">
        <v>0</v>
      </c>
      <c r="O432" t="n">
        <v>0</v>
      </c>
      <c r="P432" t="n">
        <v>0</v>
      </c>
      <c r="Q432" t="n">
        <v>0</v>
      </c>
      <c r="R432" s="2" t="inlineStr"/>
    </row>
    <row r="433" ht="15" customHeight="1">
      <c r="A433" t="inlineStr">
        <is>
          <t>A 15740-2025</t>
        </is>
      </c>
      <c r="B433" s="1" t="n">
        <v>45748</v>
      </c>
      <c r="C433" s="1" t="n">
        <v>45918</v>
      </c>
      <c r="D433" t="inlineStr">
        <is>
          <t>UPPSALA LÄN</t>
        </is>
      </c>
      <c r="E433" t="inlineStr">
        <is>
          <t>ENKÖPING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21612-2023</t>
        </is>
      </c>
      <c r="B434" s="1" t="n">
        <v>45063</v>
      </c>
      <c r="C434" s="1" t="n">
        <v>45918</v>
      </c>
      <c r="D434" t="inlineStr">
        <is>
          <t>UPPSALA LÄN</t>
        </is>
      </c>
      <c r="E434" t="inlineStr">
        <is>
          <t>ENKÖPING</t>
        </is>
      </c>
      <c r="F434" t="inlineStr">
        <is>
          <t>Allmännings- och besparingsskogar</t>
        </is>
      </c>
      <c r="G434" t="n">
        <v>1</v>
      </c>
      <c r="H434" t="n">
        <v>0</v>
      </c>
      <c r="I434" t="n">
        <v>0</v>
      </c>
      <c r="J434" t="n">
        <v>0</v>
      </c>
      <c r="K434" t="n">
        <v>0</v>
      </c>
      <c r="L434" t="n">
        <v>0</v>
      </c>
      <c r="M434" t="n">
        <v>0</v>
      </c>
      <c r="N434" t="n">
        <v>0</v>
      </c>
      <c r="O434" t="n">
        <v>0</v>
      </c>
      <c r="P434" t="n">
        <v>0</v>
      </c>
      <c r="Q434" t="n">
        <v>0</v>
      </c>
      <c r="R434" s="2" t="inlineStr"/>
    </row>
    <row r="435" ht="15" customHeight="1">
      <c r="A435" t="inlineStr">
        <is>
          <t>A 14243-2025</t>
        </is>
      </c>
      <c r="B435" s="1" t="n">
        <v>45740.61288194444</v>
      </c>
      <c r="C435" s="1" t="n">
        <v>45918</v>
      </c>
      <c r="D435" t="inlineStr">
        <is>
          <t>UPPSALA LÄN</t>
        </is>
      </c>
      <c r="E435" t="inlineStr">
        <is>
          <t>ENKÖPING</t>
        </is>
      </c>
      <c r="G435" t="n">
        <v>2.2</v>
      </c>
      <c r="H435" t="n">
        <v>0</v>
      </c>
      <c r="I435" t="n">
        <v>0</v>
      </c>
      <c r="J435" t="n">
        <v>0</v>
      </c>
      <c r="K435" t="n">
        <v>0</v>
      </c>
      <c r="L435" t="n">
        <v>0</v>
      </c>
      <c r="M435" t="n">
        <v>0</v>
      </c>
      <c r="N435" t="n">
        <v>0</v>
      </c>
      <c r="O435" t="n">
        <v>0</v>
      </c>
      <c r="P435" t="n">
        <v>0</v>
      </c>
      <c r="Q435" t="n">
        <v>0</v>
      </c>
      <c r="R435" s="2" t="inlineStr"/>
    </row>
    <row r="436" ht="15" customHeight="1">
      <c r="A436" t="inlineStr">
        <is>
          <t>A 33343-2024</t>
        </is>
      </c>
      <c r="B436" s="1" t="n">
        <v>45519</v>
      </c>
      <c r="C436" s="1" t="n">
        <v>45918</v>
      </c>
      <c r="D436" t="inlineStr">
        <is>
          <t>UPPSALA LÄN</t>
        </is>
      </c>
      <c r="E436" t="inlineStr">
        <is>
          <t>ENKÖPING</t>
        </is>
      </c>
      <c r="G436" t="n">
        <v>2</v>
      </c>
      <c r="H436" t="n">
        <v>0</v>
      </c>
      <c r="I436" t="n">
        <v>0</v>
      </c>
      <c r="J436" t="n">
        <v>0</v>
      </c>
      <c r="K436" t="n">
        <v>0</v>
      </c>
      <c r="L436" t="n">
        <v>0</v>
      </c>
      <c r="M436" t="n">
        <v>0</v>
      </c>
      <c r="N436" t="n">
        <v>0</v>
      </c>
      <c r="O436" t="n">
        <v>0</v>
      </c>
      <c r="P436" t="n">
        <v>0</v>
      </c>
      <c r="Q436" t="n">
        <v>0</v>
      </c>
      <c r="R436" s="2" t="inlineStr"/>
    </row>
    <row r="437" ht="15" customHeight="1">
      <c r="A437" t="inlineStr">
        <is>
          <t>A 16176-2025</t>
        </is>
      </c>
      <c r="B437" s="1" t="n">
        <v>45750</v>
      </c>
      <c r="C437" s="1" t="n">
        <v>45918</v>
      </c>
      <c r="D437" t="inlineStr">
        <is>
          <t>UPPSALA LÄN</t>
        </is>
      </c>
      <c r="E437" t="inlineStr">
        <is>
          <t>ENKÖPING</t>
        </is>
      </c>
      <c r="G437" t="n">
        <v>3.9</v>
      </c>
      <c r="H437" t="n">
        <v>0</v>
      </c>
      <c r="I437" t="n">
        <v>0</v>
      </c>
      <c r="J437" t="n">
        <v>0</v>
      </c>
      <c r="K437" t="n">
        <v>0</v>
      </c>
      <c r="L437" t="n">
        <v>0</v>
      </c>
      <c r="M437" t="n">
        <v>0</v>
      </c>
      <c r="N437" t="n">
        <v>0</v>
      </c>
      <c r="O437" t="n">
        <v>0</v>
      </c>
      <c r="P437" t="n">
        <v>0</v>
      </c>
      <c r="Q437" t="n">
        <v>0</v>
      </c>
      <c r="R437" s="2" t="inlineStr"/>
    </row>
    <row r="438" ht="15" customHeight="1">
      <c r="A438" t="inlineStr">
        <is>
          <t>A 56713-2024</t>
        </is>
      </c>
      <c r="B438" s="1" t="n">
        <v>45628</v>
      </c>
      <c r="C438" s="1" t="n">
        <v>45918</v>
      </c>
      <c r="D438" t="inlineStr">
        <is>
          <t>UPPSALA LÄN</t>
        </is>
      </c>
      <c r="E438" t="inlineStr">
        <is>
          <t>ENKÖPING</t>
        </is>
      </c>
      <c r="G438" t="n">
        <v>1.7</v>
      </c>
      <c r="H438" t="n">
        <v>0</v>
      </c>
      <c r="I438" t="n">
        <v>0</v>
      </c>
      <c r="J438" t="n">
        <v>0</v>
      </c>
      <c r="K438" t="n">
        <v>0</v>
      </c>
      <c r="L438" t="n">
        <v>0</v>
      </c>
      <c r="M438" t="n">
        <v>0</v>
      </c>
      <c r="N438" t="n">
        <v>0</v>
      </c>
      <c r="O438" t="n">
        <v>0</v>
      </c>
      <c r="P438" t="n">
        <v>0</v>
      </c>
      <c r="Q438" t="n">
        <v>0</v>
      </c>
      <c r="R438" s="2" t="inlineStr"/>
    </row>
    <row r="439" ht="15" customHeight="1">
      <c r="A439" t="inlineStr">
        <is>
          <t>A 37870-2023</t>
        </is>
      </c>
      <c r="B439" s="1" t="n">
        <v>45160.41996527778</v>
      </c>
      <c r="C439" s="1" t="n">
        <v>45918</v>
      </c>
      <c r="D439" t="inlineStr">
        <is>
          <t>UPPSALA LÄN</t>
        </is>
      </c>
      <c r="E439" t="inlineStr">
        <is>
          <t>ENKÖPING</t>
        </is>
      </c>
      <c r="G439" t="n">
        <v>3.5</v>
      </c>
      <c r="H439" t="n">
        <v>0</v>
      </c>
      <c r="I439" t="n">
        <v>0</v>
      </c>
      <c r="J439" t="n">
        <v>0</v>
      </c>
      <c r="K439" t="n">
        <v>0</v>
      </c>
      <c r="L439" t="n">
        <v>0</v>
      </c>
      <c r="M439" t="n">
        <v>0</v>
      </c>
      <c r="N439" t="n">
        <v>0</v>
      </c>
      <c r="O439" t="n">
        <v>0</v>
      </c>
      <c r="P439" t="n">
        <v>0</v>
      </c>
      <c r="Q439" t="n">
        <v>0</v>
      </c>
      <c r="R439" s="2" t="inlineStr"/>
    </row>
    <row r="440" ht="15" customHeight="1">
      <c r="A440" t="inlineStr">
        <is>
          <t>A 22094-2023</t>
        </is>
      </c>
      <c r="B440" s="1" t="n">
        <v>45069</v>
      </c>
      <c r="C440" s="1" t="n">
        <v>45918</v>
      </c>
      <c r="D440" t="inlineStr">
        <is>
          <t>UPPSALA LÄN</t>
        </is>
      </c>
      <c r="E440" t="inlineStr">
        <is>
          <t>ENKÖPING</t>
        </is>
      </c>
      <c r="G440" t="n">
        <v>2.1</v>
      </c>
      <c r="H440" t="n">
        <v>0</v>
      </c>
      <c r="I440" t="n">
        <v>0</v>
      </c>
      <c r="J440" t="n">
        <v>0</v>
      </c>
      <c r="K440" t="n">
        <v>0</v>
      </c>
      <c r="L440" t="n">
        <v>0</v>
      </c>
      <c r="M440" t="n">
        <v>0</v>
      </c>
      <c r="N440" t="n">
        <v>0</v>
      </c>
      <c r="O440" t="n">
        <v>0</v>
      </c>
      <c r="P440" t="n">
        <v>0</v>
      </c>
      <c r="Q440" t="n">
        <v>0</v>
      </c>
      <c r="R440" s="2" t="inlineStr"/>
    </row>
    <row r="441" ht="15" customHeight="1">
      <c r="A441" t="inlineStr">
        <is>
          <t>A 15405-2025</t>
        </is>
      </c>
      <c r="B441" s="1" t="n">
        <v>45747.44670138889</v>
      </c>
      <c r="C441" s="1" t="n">
        <v>45918</v>
      </c>
      <c r="D441" t="inlineStr">
        <is>
          <t>UPPSALA LÄN</t>
        </is>
      </c>
      <c r="E441" t="inlineStr">
        <is>
          <t>ENKÖPING</t>
        </is>
      </c>
      <c r="G441" t="n">
        <v>1.3</v>
      </c>
      <c r="H441" t="n">
        <v>0</v>
      </c>
      <c r="I441" t="n">
        <v>0</v>
      </c>
      <c r="J441" t="n">
        <v>0</v>
      </c>
      <c r="K441" t="n">
        <v>0</v>
      </c>
      <c r="L441" t="n">
        <v>0</v>
      </c>
      <c r="M441" t="n">
        <v>0</v>
      </c>
      <c r="N441" t="n">
        <v>0</v>
      </c>
      <c r="O441" t="n">
        <v>0</v>
      </c>
      <c r="P441" t="n">
        <v>0</v>
      </c>
      <c r="Q441" t="n">
        <v>0</v>
      </c>
      <c r="R441" s="2" t="inlineStr"/>
    </row>
    <row r="442" ht="15" customHeight="1">
      <c r="A442" t="inlineStr">
        <is>
          <t>A 18302-2025</t>
        </is>
      </c>
      <c r="B442" s="1" t="n">
        <v>45762</v>
      </c>
      <c r="C442" s="1" t="n">
        <v>45918</v>
      </c>
      <c r="D442" t="inlineStr">
        <is>
          <t>UPPSALA LÄN</t>
        </is>
      </c>
      <c r="E442" t="inlineStr">
        <is>
          <t>ENKÖPING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35079-2024</t>
        </is>
      </c>
      <c r="B443" s="1" t="n">
        <v>45527.66770833333</v>
      </c>
      <c r="C443" s="1" t="n">
        <v>45918</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28243-2023</t>
        </is>
      </c>
      <c r="B444" s="1" t="n">
        <v>45099.58885416666</v>
      </c>
      <c r="C444" s="1" t="n">
        <v>45918</v>
      </c>
      <c r="D444" t="inlineStr">
        <is>
          <t>UPPSALA LÄN</t>
        </is>
      </c>
      <c r="E444" t="inlineStr">
        <is>
          <t>ENKÖPING</t>
        </is>
      </c>
      <c r="G444" t="n">
        <v>1.9</v>
      </c>
      <c r="H444" t="n">
        <v>0</v>
      </c>
      <c r="I444" t="n">
        <v>0</v>
      </c>
      <c r="J444" t="n">
        <v>0</v>
      </c>
      <c r="K444" t="n">
        <v>0</v>
      </c>
      <c r="L444" t="n">
        <v>0</v>
      </c>
      <c r="M444" t="n">
        <v>0</v>
      </c>
      <c r="N444" t="n">
        <v>0</v>
      </c>
      <c r="O444" t="n">
        <v>0</v>
      </c>
      <c r="P444" t="n">
        <v>0</v>
      </c>
      <c r="Q444" t="n">
        <v>0</v>
      </c>
      <c r="R444" s="2" t="inlineStr"/>
    </row>
    <row r="445" ht="15" customHeight="1">
      <c r="A445" t="inlineStr">
        <is>
          <t>A 33581-2023</t>
        </is>
      </c>
      <c r="B445" s="1" t="n">
        <v>45131</v>
      </c>
      <c r="C445" s="1" t="n">
        <v>45918</v>
      </c>
      <c r="D445" t="inlineStr">
        <is>
          <t>UPPSALA LÄN</t>
        </is>
      </c>
      <c r="E445" t="inlineStr">
        <is>
          <t>ENKÖPING</t>
        </is>
      </c>
      <c r="G445" t="n">
        <v>3.5</v>
      </c>
      <c r="H445" t="n">
        <v>0</v>
      </c>
      <c r="I445" t="n">
        <v>0</v>
      </c>
      <c r="J445" t="n">
        <v>0</v>
      </c>
      <c r="K445" t="n">
        <v>0</v>
      </c>
      <c r="L445" t="n">
        <v>0</v>
      </c>
      <c r="M445" t="n">
        <v>0</v>
      </c>
      <c r="N445" t="n">
        <v>0</v>
      </c>
      <c r="O445" t="n">
        <v>0</v>
      </c>
      <c r="P445" t="n">
        <v>0</v>
      </c>
      <c r="Q445" t="n">
        <v>0</v>
      </c>
      <c r="R445" s="2" t="inlineStr"/>
    </row>
    <row r="446" ht="15" customHeight="1">
      <c r="A446" t="inlineStr">
        <is>
          <t>A 18994-2025</t>
        </is>
      </c>
      <c r="B446" s="1" t="n">
        <v>45764.57350694444</v>
      </c>
      <c r="C446" s="1" t="n">
        <v>45918</v>
      </c>
      <c r="D446" t="inlineStr">
        <is>
          <t>UPPSALA LÄN</t>
        </is>
      </c>
      <c r="E446" t="inlineStr">
        <is>
          <t>ENKÖPING</t>
        </is>
      </c>
      <c r="G446" t="n">
        <v>3.8</v>
      </c>
      <c r="H446" t="n">
        <v>0</v>
      </c>
      <c r="I446" t="n">
        <v>0</v>
      </c>
      <c r="J446" t="n">
        <v>0</v>
      </c>
      <c r="K446" t="n">
        <v>0</v>
      </c>
      <c r="L446" t="n">
        <v>0</v>
      </c>
      <c r="M446" t="n">
        <v>0</v>
      </c>
      <c r="N446" t="n">
        <v>0</v>
      </c>
      <c r="O446" t="n">
        <v>0</v>
      </c>
      <c r="P446" t="n">
        <v>0</v>
      </c>
      <c r="Q446" t="n">
        <v>0</v>
      </c>
      <c r="R446" s="2" t="inlineStr"/>
    </row>
    <row r="447" ht="15" customHeight="1">
      <c r="A447" t="inlineStr">
        <is>
          <t>A 3235-2025</t>
        </is>
      </c>
      <c r="B447" s="1" t="n">
        <v>45679</v>
      </c>
      <c r="C447" s="1" t="n">
        <v>45918</v>
      </c>
      <c r="D447" t="inlineStr">
        <is>
          <t>UPPSALA LÄN</t>
        </is>
      </c>
      <c r="E447" t="inlineStr">
        <is>
          <t>ENKÖPING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41828-2024</t>
        </is>
      </c>
      <c r="B448" s="1" t="n">
        <v>45561</v>
      </c>
      <c r="C448" s="1" t="n">
        <v>45918</v>
      </c>
      <c r="D448" t="inlineStr">
        <is>
          <t>UPPSALA LÄN</t>
        </is>
      </c>
      <c r="E448" t="inlineStr">
        <is>
          <t>ENKÖPING</t>
        </is>
      </c>
      <c r="G448" t="n">
        <v>2.5</v>
      </c>
      <c r="H448" t="n">
        <v>0</v>
      </c>
      <c r="I448" t="n">
        <v>0</v>
      </c>
      <c r="J448" t="n">
        <v>0</v>
      </c>
      <c r="K448" t="n">
        <v>0</v>
      </c>
      <c r="L448" t="n">
        <v>0</v>
      </c>
      <c r="M448" t="n">
        <v>0</v>
      </c>
      <c r="N448" t="n">
        <v>0</v>
      </c>
      <c r="O448" t="n">
        <v>0</v>
      </c>
      <c r="P448" t="n">
        <v>0</v>
      </c>
      <c r="Q448" t="n">
        <v>0</v>
      </c>
      <c r="R448" s="2" t="inlineStr"/>
    </row>
    <row r="449" ht="15" customHeight="1">
      <c r="A449" t="inlineStr">
        <is>
          <t>A 56163-2021</t>
        </is>
      </c>
      <c r="B449" s="1" t="n">
        <v>44477</v>
      </c>
      <c r="C449" s="1" t="n">
        <v>45918</v>
      </c>
      <c r="D449" t="inlineStr">
        <is>
          <t>UPPSALA LÄN</t>
        </is>
      </c>
      <c r="E449" t="inlineStr">
        <is>
          <t>ENKÖPING</t>
        </is>
      </c>
      <c r="F449" t="inlineStr">
        <is>
          <t>Allmännings- och besparingsskogar</t>
        </is>
      </c>
      <c r="G449" t="n">
        <v>0.6</v>
      </c>
      <c r="H449" t="n">
        <v>0</v>
      </c>
      <c r="I449" t="n">
        <v>0</v>
      </c>
      <c r="J449" t="n">
        <v>0</v>
      </c>
      <c r="K449" t="n">
        <v>0</v>
      </c>
      <c r="L449" t="n">
        <v>0</v>
      </c>
      <c r="M449" t="n">
        <v>0</v>
      </c>
      <c r="N449" t="n">
        <v>0</v>
      </c>
      <c r="O449" t="n">
        <v>0</v>
      </c>
      <c r="P449" t="n">
        <v>0</v>
      </c>
      <c r="Q449" t="n">
        <v>0</v>
      </c>
      <c r="R449" s="2" t="inlineStr"/>
    </row>
    <row r="450" ht="15" customHeight="1">
      <c r="A450" t="inlineStr">
        <is>
          <t>A 47909-2024</t>
        </is>
      </c>
      <c r="B450" s="1" t="n">
        <v>45589.31866898148</v>
      </c>
      <c r="C450" s="1" t="n">
        <v>45918</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51932-2022</t>
        </is>
      </c>
      <c r="B451" s="1" t="n">
        <v>44872</v>
      </c>
      <c r="C451" s="1" t="n">
        <v>45918</v>
      </c>
      <c r="D451" t="inlineStr">
        <is>
          <t>UPPSALA LÄN</t>
        </is>
      </c>
      <c r="E451" t="inlineStr">
        <is>
          <t>ENKÖPING</t>
        </is>
      </c>
      <c r="G451" t="n">
        <v>5.5</v>
      </c>
      <c r="H451" t="n">
        <v>0</v>
      </c>
      <c r="I451" t="n">
        <v>0</v>
      </c>
      <c r="J451" t="n">
        <v>0</v>
      </c>
      <c r="K451" t="n">
        <v>0</v>
      </c>
      <c r="L451" t="n">
        <v>0</v>
      </c>
      <c r="M451" t="n">
        <v>0</v>
      </c>
      <c r="N451" t="n">
        <v>0</v>
      </c>
      <c r="O451" t="n">
        <v>0</v>
      </c>
      <c r="P451" t="n">
        <v>0</v>
      </c>
      <c r="Q451" t="n">
        <v>0</v>
      </c>
      <c r="R451" s="2" t="inlineStr"/>
    </row>
    <row r="452" ht="15" customHeight="1">
      <c r="A452" t="inlineStr">
        <is>
          <t>A 1536-2024</t>
        </is>
      </c>
      <c r="B452" s="1" t="n">
        <v>45306</v>
      </c>
      <c r="C452" s="1" t="n">
        <v>45918</v>
      </c>
      <c r="D452" t="inlineStr">
        <is>
          <t>UPPSALA LÄN</t>
        </is>
      </c>
      <c r="E452" t="inlineStr">
        <is>
          <t>ENKÖPING</t>
        </is>
      </c>
      <c r="F452" t="inlineStr">
        <is>
          <t>Kyrkan</t>
        </is>
      </c>
      <c r="G452" t="n">
        <v>5.6</v>
      </c>
      <c r="H452" t="n">
        <v>0</v>
      </c>
      <c r="I452" t="n">
        <v>0</v>
      </c>
      <c r="J452" t="n">
        <v>0</v>
      </c>
      <c r="K452" t="n">
        <v>0</v>
      </c>
      <c r="L452" t="n">
        <v>0</v>
      </c>
      <c r="M452" t="n">
        <v>0</v>
      </c>
      <c r="N452" t="n">
        <v>0</v>
      </c>
      <c r="O452" t="n">
        <v>0</v>
      </c>
      <c r="P452" t="n">
        <v>0</v>
      </c>
      <c r="Q452" t="n">
        <v>0</v>
      </c>
      <c r="R452" s="2" t="inlineStr"/>
    </row>
    <row r="453" ht="15" customHeight="1">
      <c r="A453" t="inlineStr">
        <is>
          <t>A 57848-2024</t>
        </is>
      </c>
      <c r="B453" s="1" t="n">
        <v>45631.40947916666</v>
      </c>
      <c r="C453" s="1" t="n">
        <v>45918</v>
      </c>
      <c r="D453" t="inlineStr">
        <is>
          <t>UPPSALA LÄN</t>
        </is>
      </c>
      <c r="E453" t="inlineStr">
        <is>
          <t>ENKÖPING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49601-2024</t>
        </is>
      </c>
      <c r="B454" s="1" t="n">
        <v>45596.56288194445</v>
      </c>
      <c r="C454" s="1" t="n">
        <v>45918</v>
      </c>
      <c r="D454" t="inlineStr">
        <is>
          <t>UPPSALA LÄN</t>
        </is>
      </c>
      <c r="E454" t="inlineStr">
        <is>
          <t>ENKÖPING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42564-2024</t>
        </is>
      </c>
      <c r="B455" s="1" t="n">
        <v>45565.63358796296</v>
      </c>
      <c r="C455" s="1" t="n">
        <v>45918</v>
      </c>
      <c r="D455" t="inlineStr">
        <is>
          <t>UPPSALA LÄN</t>
        </is>
      </c>
      <c r="E455" t="inlineStr">
        <is>
          <t>ENKÖPING</t>
        </is>
      </c>
      <c r="G455" t="n">
        <v>1.7</v>
      </c>
      <c r="H455" t="n">
        <v>0</v>
      </c>
      <c r="I455" t="n">
        <v>0</v>
      </c>
      <c r="J455" t="n">
        <v>0</v>
      </c>
      <c r="K455" t="n">
        <v>0</v>
      </c>
      <c r="L455" t="n">
        <v>0</v>
      </c>
      <c r="M455" t="n">
        <v>0</v>
      </c>
      <c r="N455" t="n">
        <v>0</v>
      </c>
      <c r="O455" t="n">
        <v>0</v>
      </c>
      <c r="P455" t="n">
        <v>0</v>
      </c>
      <c r="Q455" t="n">
        <v>0</v>
      </c>
      <c r="R455" s="2" t="inlineStr"/>
    </row>
    <row r="456" ht="15" customHeight="1">
      <c r="A456" t="inlineStr">
        <is>
          <t>A 43492-2023</t>
        </is>
      </c>
      <c r="B456" s="1" t="n">
        <v>45181</v>
      </c>
      <c r="C456" s="1" t="n">
        <v>45918</v>
      </c>
      <c r="D456" t="inlineStr">
        <is>
          <t>UPPSALA LÄN</t>
        </is>
      </c>
      <c r="E456" t="inlineStr">
        <is>
          <t>ENKÖPING</t>
        </is>
      </c>
      <c r="G456" t="n">
        <v>1.6</v>
      </c>
      <c r="H456" t="n">
        <v>0</v>
      </c>
      <c r="I456" t="n">
        <v>0</v>
      </c>
      <c r="J456" t="n">
        <v>0</v>
      </c>
      <c r="K456" t="n">
        <v>0</v>
      </c>
      <c r="L456" t="n">
        <v>0</v>
      </c>
      <c r="M456" t="n">
        <v>0</v>
      </c>
      <c r="N456" t="n">
        <v>0</v>
      </c>
      <c r="O456" t="n">
        <v>0</v>
      </c>
      <c r="P456" t="n">
        <v>0</v>
      </c>
      <c r="Q456" t="n">
        <v>0</v>
      </c>
      <c r="R456" s="2" t="inlineStr"/>
    </row>
    <row r="457" ht="15" customHeight="1">
      <c r="A457" t="inlineStr">
        <is>
          <t>A 6626-2023</t>
        </is>
      </c>
      <c r="B457" s="1" t="n">
        <v>44966.55946759259</v>
      </c>
      <c r="C457" s="1" t="n">
        <v>45918</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37319-2025</t>
        </is>
      </c>
      <c r="B458" s="1" t="n">
        <v>45876</v>
      </c>
      <c r="C458" s="1" t="n">
        <v>45918</v>
      </c>
      <c r="D458" t="inlineStr">
        <is>
          <t>UPPSALA LÄN</t>
        </is>
      </c>
      <c r="E458" t="inlineStr">
        <is>
          <t>ENKÖPING</t>
        </is>
      </c>
      <c r="G458" t="n">
        <v>9.5</v>
      </c>
      <c r="H458" t="n">
        <v>0</v>
      </c>
      <c r="I458" t="n">
        <v>0</v>
      </c>
      <c r="J458" t="n">
        <v>0</v>
      </c>
      <c r="K458" t="n">
        <v>0</v>
      </c>
      <c r="L458" t="n">
        <v>0</v>
      </c>
      <c r="M458" t="n">
        <v>0</v>
      </c>
      <c r="N458" t="n">
        <v>0</v>
      </c>
      <c r="O458" t="n">
        <v>0</v>
      </c>
      <c r="P458" t="n">
        <v>0</v>
      </c>
      <c r="Q458" t="n">
        <v>0</v>
      </c>
      <c r="R458" s="2" t="inlineStr"/>
    </row>
    <row r="459" ht="15" customHeight="1">
      <c r="A459" t="inlineStr">
        <is>
          <t>A 37498-2025</t>
        </is>
      </c>
      <c r="B459" s="1" t="n">
        <v>45877</v>
      </c>
      <c r="C459" s="1" t="n">
        <v>45918</v>
      </c>
      <c r="D459" t="inlineStr">
        <is>
          <t>UPPSALA LÄN</t>
        </is>
      </c>
      <c r="E459" t="inlineStr">
        <is>
          <t>ENKÖPING</t>
        </is>
      </c>
      <c r="G459" t="n">
        <v>1.2</v>
      </c>
      <c r="H459" t="n">
        <v>0</v>
      </c>
      <c r="I459" t="n">
        <v>0</v>
      </c>
      <c r="J459" t="n">
        <v>0</v>
      </c>
      <c r="K459" t="n">
        <v>0</v>
      </c>
      <c r="L459" t="n">
        <v>0</v>
      </c>
      <c r="M459" t="n">
        <v>0</v>
      </c>
      <c r="N459" t="n">
        <v>0</v>
      </c>
      <c r="O459" t="n">
        <v>0</v>
      </c>
      <c r="P459" t="n">
        <v>0</v>
      </c>
      <c r="Q459" t="n">
        <v>0</v>
      </c>
      <c r="R459" s="2" t="inlineStr"/>
    </row>
    <row r="460" ht="15" customHeight="1">
      <c r="A460" t="inlineStr">
        <is>
          <t>A 37296-2025</t>
        </is>
      </c>
      <c r="B460" s="1" t="n">
        <v>45876</v>
      </c>
      <c r="C460" s="1" t="n">
        <v>45918</v>
      </c>
      <c r="D460" t="inlineStr">
        <is>
          <t>UPPSALA LÄN</t>
        </is>
      </c>
      <c r="E460" t="inlineStr">
        <is>
          <t>ENKÖPING</t>
        </is>
      </c>
      <c r="G460" t="n">
        <v>9.5</v>
      </c>
      <c r="H460" t="n">
        <v>0</v>
      </c>
      <c r="I460" t="n">
        <v>0</v>
      </c>
      <c r="J460" t="n">
        <v>0</v>
      </c>
      <c r="K460" t="n">
        <v>0</v>
      </c>
      <c r="L460" t="n">
        <v>0</v>
      </c>
      <c r="M460" t="n">
        <v>0</v>
      </c>
      <c r="N460" t="n">
        <v>0</v>
      </c>
      <c r="O460" t="n">
        <v>0</v>
      </c>
      <c r="P460" t="n">
        <v>0</v>
      </c>
      <c r="Q460" t="n">
        <v>0</v>
      </c>
      <c r="R460" s="2" t="inlineStr"/>
    </row>
    <row r="461" ht="15" customHeight="1">
      <c r="A461" t="inlineStr">
        <is>
          <t>A 39439-2025</t>
        </is>
      </c>
      <c r="B461" s="1" t="n">
        <v>45889</v>
      </c>
      <c r="C461" s="1" t="n">
        <v>45918</v>
      </c>
      <c r="D461" t="inlineStr">
        <is>
          <t>UPPSALA LÄN</t>
        </is>
      </c>
      <c r="E461" t="inlineStr">
        <is>
          <t>ENKÖPING</t>
        </is>
      </c>
      <c r="G461" t="n">
        <v>0.4</v>
      </c>
      <c r="H461" t="n">
        <v>0</v>
      </c>
      <c r="I461" t="n">
        <v>0</v>
      </c>
      <c r="J461" t="n">
        <v>0</v>
      </c>
      <c r="K461" t="n">
        <v>0</v>
      </c>
      <c r="L461" t="n">
        <v>0</v>
      </c>
      <c r="M461" t="n">
        <v>0</v>
      </c>
      <c r="N461" t="n">
        <v>0</v>
      </c>
      <c r="O461" t="n">
        <v>0</v>
      </c>
      <c r="P461" t="n">
        <v>0</v>
      </c>
      <c r="Q461" t="n">
        <v>0</v>
      </c>
      <c r="R461" s="2" t="inlineStr"/>
    </row>
    <row r="462" ht="15" customHeight="1">
      <c r="A462" t="inlineStr">
        <is>
          <t>A 29513-2025</t>
        </is>
      </c>
      <c r="B462" s="1" t="n">
        <v>45825</v>
      </c>
      <c r="C462" s="1" t="n">
        <v>45918</v>
      </c>
      <c r="D462" t="inlineStr">
        <is>
          <t>UPPSALA LÄN</t>
        </is>
      </c>
      <c r="E462" t="inlineStr">
        <is>
          <t>ENKÖPING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39746-2025</t>
        </is>
      </c>
      <c r="B463" s="1" t="n">
        <v>45891</v>
      </c>
      <c r="C463" s="1" t="n">
        <v>45918</v>
      </c>
      <c r="D463" t="inlineStr">
        <is>
          <t>UPPSALA LÄN</t>
        </is>
      </c>
      <c r="E463" t="inlineStr">
        <is>
          <t>ENKÖPING</t>
        </is>
      </c>
      <c r="G463" t="n">
        <v>7.4</v>
      </c>
      <c r="H463" t="n">
        <v>0</v>
      </c>
      <c r="I463" t="n">
        <v>0</v>
      </c>
      <c r="J463" t="n">
        <v>0</v>
      </c>
      <c r="K463" t="n">
        <v>0</v>
      </c>
      <c r="L463" t="n">
        <v>0</v>
      </c>
      <c r="M463" t="n">
        <v>0</v>
      </c>
      <c r="N463" t="n">
        <v>0</v>
      </c>
      <c r="O463" t="n">
        <v>0</v>
      </c>
      <c r="P463" t="n">
        <v>0</v>
      </c>
      <c r="Q463" t="n">
        <v>0</v>
      </c>
      <c r="R463" s="2" t="inlineStr"/>
    </row>
    <row r="464" ht="15" customHeight="1">
      <c r="A464" t="inlineStr">
        <is>
          <t>A 17844-2025</t>
        </is>
      </c>
      <c r="B464" s="1" t="n">
        <v>45758.59920138889</v>
      </c>
      <c r="C464" s="1" t="n">
        <v>45918</v>
      </c>
      <c r="D464" t="inlineStr">
        <is>
          <t>UPPSALA LÄN</t>
        </is>
      </c>
      <c r="E464" t="inlineStr">
        <is>
          <t>ENKÖPING</t>
        </is>
      </c>
      <c r="G464" t="n">
        <v>1.4</v>
      </c>
      <c r="H464" t="n">
        <v>0</v>
      </c>
      <c r="I464" t="n">
        <v>0</v>
      </c>
      <c r="J464" t="n">
        <v>0</v>
      </c>
      <c r="K464" t="n">
        <v>0</v>
      </c>
      <c r="L464" t="n">
        <v>0</v>
      </c>
      <c r="M464" t="n">
        <v>0</v>
      </c>
      <c r="N464" t="n">
        <v>0</v>
      </c>
      <c r="O464" t="n">
        <v>0</v>
      </c>
      <c r="P464" t="n">
        <v>0</v>
      </c>
      <c r="Q464" t="n">
        <v>0</v>
      </c>
      <c r="R464" s="2" t="inlineStr"/>
    </row>
    <row r="465" ht="15" customHeight="1">
      <c r="A465" t="inlineStr">
        <is>
          <t>A 27837-2025</t>
        </is>
      </c>
      <c r="B465" s="1" t="n">
        <v>45817.37207175926</v>
      </c>
      <c r="C465" s="1" t="n">
        <v>45918</v>
      </c>
      <c r="D465" t="inlineStr">
        <is>
          <t>UPPSALA LÄN</t>
        </is>
      </c>
      <c r="E465" t="inlineStr">
        <is>
          <t>ENKÖPING</t>
        </is>
      </c>
      <c r="G465" t="n">
        <v>7.3</v>
      </c>
      <c r="H465" t="n">
        <v>0</v>
      </c>
      <c r="I465" t="n">
        <v>0</v>
      </c>
      <c r="J465" t="n">
        <v>0</v>
      </c>
      <c r="K465" t="n">
        <v>0</v>
      </c>
      <c r="L465" t="n">
        <v>0</v>
      </c>
      <c r="M465" t="n">
        <v>0</v>
      </c>
      <c r="N465" t="n">
        <v>0</v>
      </c>
      <c r="O465" t="n">
        <v>0</v>
      </c>
      <c r="P465" t="n">
        <v>0</v>
      </c>
      <c r="Q465" t="n">
        <v>0</v>
      </c>
      <c r="R465" s="2" t="inlineStr"/>
    </row>
    <row r="466" ht="15" customHeight="1">
      <c r="A466" t="inlineStr">
        <is>
          <t>A 34990-2025</t>
        </is>
      </c>
      <c r="B466" s="1" t="n">
        <v>45849.78916666667</v>
      </c>
      <c r="C466" s="1" t="n">
        <v>45918</v>
      </c>
      <c r="D466" t="inlineStr">
        <is>
          <t>UPPSALA LÄN</t>
        </is>
      </c>
      <c r="E466" t="inlineStr">
        <is>
          <t>ENKÖPING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41616-2025</t>
        </is>
      </c>
      <c r="B467" s="1" t="n">
        <v>45901.69684027778</v>
      </c>
      <c r="C467" s="1" t="n">
        <v>45918</v>
      </c>
      <c r="D467" t="inlineStr">
        <is>
          <t>UPPSALA LÄN</t>
        </is>
      </c>
      <c r="E467" t="inlineStr">
        <is>
          <t>ENKÖPING</t>
        </is>
      </c>
      <c r="F467" t="inlineStr">
        <is>
          <t>Allmännings- och besparingsskogar</t>
        </is>
      </c>
      <c r="G467" t="n">
        <v>17.3</v>
      </c>
      <c r="H467" t="n">
        <v>0</v>
      </c>
      <c r="I467" t="n">
        <v>0</v>
      </c>
      <c r="J467" t="n">
        <v>0</v>
      </c>
      <c r="K467" t="n">
        <v>0</v>
      </c>
      <c r="L467" t="n">
        <v>0</v>
      </c>
      <c r="M467" t="n">
        <v>0</v>
      </c>
      <c r="N467" t="n">
        <v>0</v>
      </c>
      <c r="O467" t="n">
        <v>0</v>
      </c>
      <c r="P467" t="n">
        <v>0</v>
      </c>
      <c r="Q467" t="n">
        <v>0</v>
      </c>
      <c r="R467" s="2" t="inlineStr"/>
    </row>
    <row r="468" ht="15" customHeight="1">
      <c r="A468" t="inlineStr">
        <is>
          <t>A 41618-2025</t>
        </is>
      </c>
      <c r="B468" s="1" t="n">
        <v>45901.70085648148</v>
      </c>
      <c r="C468" s="1" t="n">
        <v>45918</v>
      </c>
      <c r="D468" t="inlineStr">
        <is>
          <t>UPPSALA LÄN</t>
        </is>
      </c>
      <c r="E468" t="inlineStr">
        <is>
          <t>ENKÖPING</t>
        </is>
      </c>
      <c r="F468" t="inlineStr">
        <is>
          <t>Allmännings- och besparingsskogar</t>
        </is>
      </c>
      <c r="G468" t="n">
        <v>5.3</v>
      </c>
      <c r="H468" t="n">
        <v>0</v>
      </c>
      <c r="I468" t="n">
        <v>0</v>
      </c>
      <c r="J468" t="n">
        <v>0</v>
      </c>
      <c r="K468" t="n">
        <v>0</v>
      </c>
      <c r="L468" t="n">
        <v>0</v>
      </c>
      <c r="M468" t="n">
        <v>0</v>
      </c>
      <c r="N468" t="n">
        <v>0</v>
      </c>
      <c r="O468" t="n">
        <v>0</v>
      </c>
      <c r="P468" t="n">
        <v>0</v>
      </c>
      <c r="Q468" t="n">
        <v>0</v>
      </c>
      <c r="R468" s="2" t="inlineStr"/>
    </row>
    <row r="469" ht="15" customHeight="1">
      <c r="A469" t="inlineStr">
        <is>
          <t>A 41637-2025</t>
        </is>
      </c>
      <c r="B469" s="1" t="n">
        <v>45901</v>
      </c>
      <c r="C469" s="1" t="n">
        <v>45918</v>
      </c>
      <c r="D469" t="inlineStr">
        <is>
          <t>UPPSALA LÄN</t>
        </is>
      </c>
      <c r="E469" t="inlineStr">
        <is>
          <t>ENKÖPING</t>
        </is>
      </c>
      <c r="F469" t="inlineStr">
        <is>
          <t>Allmännings- och besparingsskogar</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21501-2025</t>
        </is>
      </c>
      <c r="B470" s="1" t="n">
        <v>45782</v>
      </c>
      <c r="C470" s="1" t="n">
        <v>45918</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34988-2025</t>
        </is>
      </c>
      <c r="B471" s="1" t="n">
        <v>45849</v>
      </c>
      <c r="C471" s="1" t="n">
        <v>45918</v>
      </c>
      <c r="D471" t="inlineStr">
        <is>
          <t>UPPSALA LÄN</t>
        </is>
      </c>
      <c r="E471" t="inlineStr">
        <is>
          <t>ENKÖPING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42029-2025</t>
        </is>
      </c>
      <c r="B472" s="1" t="n">
        <v>45903</v>
      </c>
      <c r="C472" s="1" t="n">
        <v>45918</v>
      </c>
      <c r="D472" t="inlineStr">
        <is>
          <t>UPPSALA LÄN</t>
        </is>
      </c>
      <c r="E472" t="inlineStr">
        <is>
          <t>ENKÖPING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34987-2025</t>
        </is>
      </c>
      <c r="B473" s="1" t="n">
        <v>45849</v>
      </c>
      <c r="C473" s="1" t="n">
        <v>45918</v>
      </c>
      <c r="D473" t="inlineStr">
        <is>
          <t>UPPSALA LÄN</t>
        </is>
      </c>
      <c r="E473" t="inlineStr">
        <is>
          <t>ENKÖPING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34989-2025</t>
        </is>
      </c>
      <c r="B474" s="1" t="n">
        <v>45849</v>
      </c>
      <c r="C474" s="1" t="n">
        <v>45918</v>
      </c>
      <c r="D474" t="inlineStr">
        <is>
          <t>UPPSALA LÄN</t>
        </is>
      </c>
      <c r="E474" t="inlineStr">
        <is>
          <t>ENKÖPING</t>
        </is>
      </c>
      <c r="G474" t="n">
        <v>2.4</v>
      </c>
      <c r="H474" t="n">
        <v>0</v>
      </c>
      <c r="I474" t="n">
        <v>0</v>
      </c>
      <c r="J474" t="n">
        <v>0</v>
      </c>
      <c r="K474" t="n">
        <v>0</v>
      </c>
      <c r="L474" t="n">
        <v>0</v>
      </c>
      <c r="M474" t="n">
        <v>0</v>
      </c>
      <c r="N474" t="n">
        <v>0</v>
      </c>
      <c r="O474" t="n">
        <v>0</v>
      </c>
      <c r="P474" t="n">
        <v>0</v>
      </c>
      <c r="Q474" t="n">
        <v>0</v>
      </c>
      <c r="R474" s="2" t="inlineStr"/>
    </row>
    <row r="475" ht="15" customHeight="1">
      <c r="A475" t="inlineStr">
        <is>
          <t>A 41764-2025</t>
        </is>
      </c>
      <c r="B475" s="1" t="n">
        <v>45902</v>
      </c>
      <c r="C475" s="1" t="n">
        <v>45918</v>
      </c>
      <c r="D475" t="inlineStr">
        <is>
          <t>UPPSALA LÄN</t>
        </is>
      </c>
      <c r="E475" t="inlineStr">
        <is>
          <t>ENKÖPING</t>
        </is>
      </c>
      <c r="G475" t="n">
        <v>2.7</v>
      </c>
      <c r="H475" t="n">
        <v>0</v>
      </c>
      <c r="I475" t="n">
        <v>0</v>
      </c>
      <c r="J475" t="n">
        <v>0</v>
      </c>
      <c r="K475" t="n">
        <v>0</v>
      </c>
      <c r="L475" t="n">
        <v>0</v>
      </c>
      <c r="M475" t="n">
        <v>0</v>
      </c>
      <c r="N475" t="n">
        <v>0</v>
      </c>
      <c r="O475" t="n">
        <v>0</v>
      </c>
      <c r="P475" t="n">
        <v>0</v>
      </c>
      <c r="Q475" t="n">
        <v>0</v>
      </c>
      <c r="R475" s="2" t="inlineStr"/>
    </row>
    <row r="476" ht="15" customHeight="1">
      <c r="A476" t="inlineStr">
        <is>
          <t>A 38941-2025</t>
        </is>
      </c>
      <c r="B476" s="1" t="n">
        <v>45887</v>
      </c>
      <c r="C476" s="1" t="n">
        <v>45918</v>
      </c>
      <c r="D476" t="inlineStr">
        <is>
          <t>UPPSALA LÄN</t>
        </is>
      </c>
      <c r="E476" t="inlineStr">
        <is>
          <t>ENKÖPING</t>
        </is>
      </c>
      <c r="F476" t="inlineStr">
        <is>
          <t>Övriga statliga verk och myndigheter</t>
        </is>
      </c>
      <c r="G476" t="n">
        <v>0.6</v>
      </c>
      <c r="H476" t="n">
        <v>0</v>
      </c>
      <c r="I476" t="n">
        <v>0</v>
      </c>
      <c r="J476" t="n">
        <v>0</v>
      </c>
      <c r="K476" t="n">
        <v>0</v>
      </c>
      <c r="L476" t="n">
        <v>0</v>
      </c>
      <c r="M476" t="n">
        <v>0</v>
      </c>
      <c r="N476" t="n">
        <v>0</v>
      </c>
      <c r="O476" t="n">
        <v>0</v>
      </c>
      <c r="P476" t="n">
        <v>0</v>
      </c>
      <c r="Q476" t="n">
        <v>0</v>
      </c>
      <c r="R476" s="2" t="inlineStr"/>
    </row>
    <row r="477" ht="15" customHeight="1">
      <c r="A477" t="inlineStr">
        <is>
          <t>A 36492-2025</t>
        </is>
      </c>
      <c r="B477" s="1" t="n">
        <v>45869</v>
      </c>
      <c r="C477" s="1" t="n">
        <v>45918</v>
      </c>
      <c r="D477" t="inlineStr">
        <is>
          <t>UPPSALA LÄN</t>
        </is>
      </c>
      <c r="E477" t="inlineStr">
        <is>
          <t>ENKÖPING</t>
        </is>
      </c>
      <c r="G477" t="n">
        <v>6.3</v>
      </c>
      <c r="H477" t="n">
        <v>0</v>
      </c>
      <c r="I477" t="n">
        <v>0</v>
      </c>
      <c r="J477" t="n">
        <v>0</v>
      </c>
      <c r="K477" t="n">
        <v>0</v>
      </c>
      <c r="L477" t="n">
        <v>0</v>
      </c>
      <c r="M477" t="n">
        <v>0</v>
      </c>
      <c r="N477" t="n">
        <v>0</v>
      </c>
      <c r="O477" t="n">
        <v>0</v>
      </c>
      <c r="P477" t="n">
        <v>0</v>
      </c>
      <c r="Q477" t="n">
        <v>0</v>
      </c>
      <c r="R477" s="2" t="inlineStr"/>
    </row>
    <row r="478" ht="15" customHeight="1">
      <c r="A478" t="inlineStr">
        <is>
          <t>A 36350-2025</t>
        </is>
      </c>
      <c r="B478" s="1" t="n">
        <v>45868</v>
      </c>
      <c r="C478" s="1" t="n">
        <v>45918</v>
      </c>
      <c r="D478" t="inlineStr">
        <is>
          <t>UPPSALA LÄN</t>
        </is>
      </c>
      <c r="E478" t="inlineStr">
        <is>
          <t>ENKÖPING</t>
        </is>
      </c>
      <c r="G478" t="n">
        <v>1.9</v>
      </c>
      <c r="H478" t="n">
        <v>0</v>
      </c>
      <c r="I478" t="n">
        <v>0</v>
      </c>
      <c r="J478" t="n">
        <v>0</v>
      </c>
      <c r="K478" t="n">
        <v>0</v>
      </c>
      <c r="L478" t="n">
        <v>0</v>
      </c>
      <c r="M478" t="n">
        <v>0</v>
      </c>
      <c r="N478" t="n">
        <v>0</v>
      </c>
      <c r="O478" t="n">
        <v>0</v>
      </c>
      <c r="P478" t="n">
        <v>0</v>
      </c>
      <c r="Q478" t="n">
        <v>0</v>
      </c>
      <c r="R478" s="2" t="inlineStr"/>
    </row>
    <row r="479" ht="15" customHeight="1">
      <c r="A479" t="inlineStr">
        <is>
          <t>A 43103-2025</t>
        </is>
      </c>
      <c r="B479" s="1" t="n">
        <v>45909</v>
      </c>
      <c r="C479" s="1" t="n">
        <v>45918</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43999-2025</t>
        </is>
      </c>
      <c r="B480" s="1" t="n">
        <v>45915.45158564814</v>
      </c>
      <c r="C480" s="1" t="n">
        <v>45918</v>
      </c>
      <c r="D480" t="inlineStr">
        <is>
          <t>UPPSALA LÄN</t>
        </is>
      </c>
      <c r="E480" t="inlineStr">
        <is>
          <t>ENKÖPING</t>
        </is>
      </c>
      <c r="G480" t="n">
        <v>4.1</v>
      </c>
      <c r="H480" t="n">
        <v>0</v>
      </c>
      <c r="I480" t="n">
        <v>0</v>
      </c>
      <c r="J480" t="n">
        <v>0</v>
      </c>
      <c r="K480" t="n">
        <v>0</v>
      </c>
      <c r="L480" t="n">
        <v>0</v>
      </c>
      <c r="M480" t="n">
        <v>0</v>
      </c>
      <c r="N480" t="n">
        <v>0</v>
      </c>
      <c r="O480" t="n">
        <v>0</v>
      </c>
      <c r="P480" t="n">
        <v>0</v>
      </c>
      <c r="Q480" t="n">
        <v>0</v>
      </c>
      <c r="R480" s="2" t="inlineStr"/>
    </row>
    <row r="481" ht="15" customHeight="1">
      <c r="A481" t="inlineStr">
        <is>
          <t>A 42756-2025</t>
        </is>
      </c>
      <c r="B481" s="1" t="n">
        <v>45908</v>
      </c>
      <c r="C481" s="1" t="n">
        <v>45918</v>
      </c>
      <c r="D481" t="inlineStr">
        <is>
          <t>UPPSALA LÄN</t>
        </is>
      </c>
      <c r="E481" t="inlineStr">
        <is>
          <t>ENKÖPING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25989-2025</t>
        </is>
      </c>
      <c r="B482" s="1" t="n">
        <v>45804.65050925926</v>
      </c>
      <c r="C482" s="1" t="n">
        <v>45918</v>
      </c>
      <c r="D482" t="inlineStr">
        <is>
          <t>UPPSALA LÄN</t>
        </is>
      </c>
      <c r="E482" t="inlineStr">
        <is>
          <t>ENKÖPING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36599-2025</t>
        </is>
      </c>
      <c r="B483" s="1" t="n">
        <v>45870.51723379629</v>
      </c>
      <c r="C483" s="1" t="n">
        <v>45918</v>
      </c>
      <c r="D483" t="inlineStr">
        <is>
          <t>UPPSALA LÄN</t>
        </is>
      </c>
      <c r="E483" t="inlineStr">
        <is>
          <t>ENKÖPING</t>
        </is>
      </c>
      <c r="G483" t="n">
        <v>5.9</v>
      </c>
      <c r="H483" t="n">
        <v>0</v>
      </c>
      <c r="I483" t="n">
        <v>0</v>
      </c>
      <c r="J483" t="n">
        <v>0</v>
      </c>
      <c r="K483" t="n">
        <v>0</v>
      </c>
      <c r="L483" t="n">
        <v>0</v>
      </c>
      <c r="M483" t="n">
        <v>0</v>
      </c>
      <c r="N483" t="n">
        <v>0</v>
      </c>
      <c r="O483" t="n">
        <v>0</v>
      </c>
      <c r="P483" t="n">
        <v>0</v>
      </c>
      <c r="Q483" t="n">
        <v>0</v>
      </c>
      <c r="R483" s="2" t="inlineStr"/>
    </row>
    <row r="484" ht="15" customHeight="1">
      <c r="A484" t="inlineStr">
        <is>
          <t>A 41765-2025</t>
        </is>
      </c>
      <c r="B484" s="1" t="n">
        <v>45902</v>
      </c>
      <c r="C484" s="1" t="n">
        <v>45918</v>
      </c>
      <c r="D484" t="inlineStr">
        <is>
          <t>UPPSALA LÄN</t>
        </is>
      </c>
      <c r="E484" t="inlineStr">
        <is>
          <t>ENKÖPING</t>
        </is>
      </c>
      <c r="G484" t="n">
        <v>2.7</v>
      </c>
      <c r="H484" t="n">
        <v>0</v>
      </c>
      <c r="I484" t="n">
        <v>0</v>
      </c>
      <c r="J484" t="n">
        <v>0</v>
      </c>
      <c r="K484" t="n">
        <v>0</v>
      </c>
      <c r="L484" t="n">
        <v>0</v>
      </c>
      <c r="M484" t="n">
        <v>0</v>
      </c>
      <c r="N484" t="n">
        <v>0</v>
      </c>
      <c r="O484" t="n">
        <v>0</v>
      </c>
      <c r="P484" t="n">
        <v>0</v>
      </c>
      <c r="Q484" t="n">
        <v>0</v>
      </c>
      <c r="R484" s="2" t="inlineStr"/>
    </row>
    <row r="485">
      <c r="A485" t="inlineStr">
        <is>
          <t>A 44419-2025</t>
        </is>
      </c>
      <c r="B485" s="1" t="n">
        <v>45916.54671296296</v>
      </c>
      <c r="C485" s="1" t="n">
        <v>45918</v>
      </c>
      <c r="D485" t="inlineStr">
        <is>
          <t>UPPSALA LÄN</t>
        </is>
      </c>
      <c r="E485" t="inlineStr">
        <is>
          <t>ENKÖPING</t>
        </is>
      </c>
      <c r="G485" t="n">
        <v>1.6</v>
      </c>
      <c r="H485" t="n">
        <v>0</v>
      </c>
      <c r="I485" t="n">
        <v>0</v>
      </c>
      <c r="J485" t="n">
        <v>0</v>
      </c>
      <c r="K485" t="n">
        <v>0</v>
      </c>
      <c r="L485" t="n">
        <v>0</v>
      </c>
      <c r="M485" t="n">
        <v>0</v>
      </c>
      <c r="N485" t="n">
        <v>0</v>
      </c>
      <c r="O485" t="n">
        <v>0</v>
      </c>
      <c r="P485" t="n">
        <v>0</v>
      </c>
      <c r="Q485" t="n">
        <v>0</v>
      </c>
      <c r="R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2025-09-18T08:59:33Z</dcterms:created>
  <dcterms:modified xmlns:dcterms="http://purl.org/dc/terms/" xmlns:xsi="http://www.w3.org/2001/XMLSchema-instance" xsi:type="dcterms:W3CDTF">2025-09-18T08:59:34Z</dcterms:modified>
</cp:coreProperties>
</file>