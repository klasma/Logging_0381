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46087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46087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46087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46087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46087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46087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21970-2025</t>
        </is>
      </c>
      <c r="B14" s="1" t="n">
        <v>45784.63335648148</v>
      </c>
      <c r="C14" s="1" t="n">
        <v>46087</v>
      </c>
      <c r="D14" t="inlineStr">
        <is>
          <t>UPPSALA LÄN</t>
        </is>
      </c>
      <c r="E14" t="inlineStr">
        <is>
          <t>ENKÖPING</t>
        </is>
      </c>
      <c r="G14" t="n">
        <v>5.3</v>
      </c>
      <c r="H14" t="n">
        <v>1</v>
      </c>
      <c r="I14" t="n">
        <v>0</v>
      </c>
      <c r="J14" t="n">
        <v>1</v>
      </c>
      <c r="K14" t="n">
        <v>0</v>
      </c>
      <c r="L14" t="n">
        <v>0</v>
      </c>
      <c r="M14" t="n">
        <v>0</v>
      </c>
      <c r="N14" t="n">
        <v>0</v>
      </c>
      <c r="O14" t="n">
        <v>1</v>
      </c>
      <c r="P14" t="n">
        <v>0</v>
      </c>
      <c r="Q14" t="n">
        <v>2</v>
      </c>
      <c r="R14" s="2" t="inlineStr">
        <is>
          <t>Flattoppad klubbsvamp
Blåsippa</t>
        </is>
      </c>
      <c r="S14">
        <f>HYPERLINK("https://klasma.github.io/Logging_0381/artfynd/A 21970-2025 artfynd.xlsx", "A 21970-2025")</f>
        <v/>
      </c>
      <c r="T14">
        <f>HYPERLINK("https://klasma.github.io/Logging_0381/kartor/A 21970-2025 karta.png", "A 21970-2025")</f>
        <v/>
      </c>
      <c r="V14">
        <f>HYPERLINK("https://klasma.github.io/Logging_0381/klagomål/A 21970-2025 FSC-klagomål.docx", "A 21970-2025")</f>
        <v/>
      </c>
      <c r="W14">
        <f>HYPERLINK("https://klasma.github.io/Logging_0381/klagomålsmail/A 21970-2025 FSC-klagomål mail.docx", "A 21970-2025")</f>
        <v/>
      </c>
      <c r="X14">
        <f>HYPERLINK("https://klasma.github.io/Logging_0381/tillsyn/A 21970-2025 tillsynsbegäran.docx", "A 21970-2025")</f>
        <v/>
      </c>
      <c r="Y14">
        <f>HYPERLINK("https://klasma.github.io/Logging_0381/tillsynsmail/A 21970-2025 tillsynsbegäran mail.docx", "A 21970-2025")</f>
        <v/>
      </c>
    </row>
    <row r="15" ht="15" customHeight="1">
      <c r="A15" t="inlineStr">
        <is>
          <t>A 52092-2022</t>
        </is>
      </c>
      <c r="B15" s="1" t="n">
        <v>44873</v>
      </c>
      <c r="C15" s="1" t="n">
        <v>46087</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46087</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46087</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50105-2023</t>
        </is>
      </c>
      <c r="B18" s="1" t="n">
        <v>45215</v>
      </c>
      <c r="C18" s="1" t="n">
        <v>46087</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46087</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46087</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46087</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46087</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52439-2025</t>
        </is>
      </c>
      <c r="B23" s="1" t="n">
        <v>45954.40697916667</v>
      </c>
      <c r="C23" s="1" t="n">
        <v>46087</v>
      </c>
      <c r="D23" t="inlineStr">
        <is>
          <t>UPPSALA LÄN</t>
        </is>
      </c>
      <c r="E23" t="inlineStr">
        <is>
          <t>ENKÖPING</t>
        </is>
      </c>
      <c r="F23" t="inlineStr">
        <is>
          <t>Allmännings- och besparingsskogar</t>
        </is>
      </c>
      <c r="G23" t="n">
        <v>2.2</v>
      </c>
      <c r="H23" t="n">
        <v>0</v>
      </c>
      <c r="I23" t="n">
        <v>0</v>
      </c>
      <c r="J23" t="n">
        <v>1</v>
      </c>
      <c r="K23" t="n">
        <v>0</v>
      </c>
      <c r="L23" t="n">
        <v>0</v>
      </c>
      <c r="M23" t="n">
        <v>0</v>
      </c>
      <c r="N23" t="n">
        <v>0</v>
      </c>
      <c r="O23" t="n">
        <v>1</v>
      </c>
      <c r="P23" t="n">
        <v>0</v>
      </c>
      <c r="Q23" t="n">
        <v>1</v>
      </c>
      <c r="R23" s="2" t="inlineStr">
        <is>
          <t>Igelkott</t>
        </is>
      </c>
      <c r="S23">
        <f>HYPERLINK("https://klasma.github.io/Logging_0381/artfynd/A 52439-2025 artfynd.xlsx", "A 52439-2025")</f>
        <v/>
      </c>
      <c r="T23">
        <f>HYPERLINK("https://klasma.github.io/Logging_0381/kartor/A 52439-2025 karta.png", "A 52439-2025")</f>
        <v/>
      </c>
      <c r="V23">
        <f>HYPERLINK("https://klasma.github.io/Logging_0381/klagomål/A 52439-2025 FSC-klagomål.docx", "A 52439-2025")</f>
        <v/>
      </c>
      <c r="W23">
        <f>HYPERLINK("https://klasma.github.io/Logging_0381/klagomålsmail/A 52439-2025 FSC-klagomål mail.docx", "A 52439-2025")</f>
        <v/>
      </c>
      <c r="X23">
        <f>HYPERLINK("https://klasma.github.io/Logging_0381/tillsyn/A 52439-2025 tillsynsbegäran.docx", "A 52439-2025")</f>
        <v/>
      </c>
      <c r="Y23">
        <f>HYPERLINK("https://klasma.github.io/Logging_0381/tillsynsmail/A 52439-2025 tillsynsbegäran mail.docx", "A 52439-2025")</f>
        <v/>
      </c>
    </row>
    <row r="24" ht="15" customHeight="1">
      <c r="A24" t="inlineStr">
        <is>
          <t>A 29510-2025</t>
        </is>
      </c>
      <c r="B24" s="1" t="n">
        <v>45825</v>
      </c>
      <c r="C24" s="1" t="n">
        <v>46087</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26347-2025</t>
        </is>
      </c>
      <c r="B25" s="1" t="n">
        <v>45805.7403125</v>
      </c>
      <c r="C25" s="1" t="n">
        <v>46087</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23961-2022</t>
        </is>
      </c>
      <c r="B26" s="1" t="n">
        <v>44722</v>
      </c>
      <c r="C26" s="1" t="n">
        <v>46087</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46087</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27060-2025</t>
        </is>
      </c>
      <c r="B28" s="1" t="n">
        <v>45811.63590277778</v>
      </c>
      <c r="C28" s="1" t="n">
        <v>46087</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17942-2024</t>
        </is>
      </c>
      <c r="B29" s="1" t="n">
        <v>45419</v>
      </c>
      <c r="C29" s="1" t="n">
        <v>46087</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46087</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4166-2026</t>
        </is>
      </c>
      <c r="B31" s="1" t="n">
        <v>46044.66402777778</v>
      </c>
      <c r="C31" s="1" t="n">
        <v>46087</v>
      </c>
      <c r="D31" t="inlineStr">
        <is>
          <t>UPPSALA LÄN</t>
        </is>
      </c>
      <c r="E31" t="inlineStr">
        <is>
          <t>ENKÖPING</t>
        </is>
      </c>
      <c r="G31" t="n">
        <v>1.7</v>
      </c>
      <c r="H31" t="n">
        <v>1</v>
      </c>
      <c r="I31" t="n">
        <v>0</v>
      </c>
      <c r="J31" t="n">
        <v>1</v>
      </c>
      <c r="K31" t="n">
        <v>0</v>
      </c>
      <c r="L31" t="n">
        <v>0</v>
      </c>
      <c r="M31" t="n">
        <v>0</v>
      </c>
      <c r="N31" t="n">
        <v>0</v>
      </c>
      <c r="O31" t="n">
        <v>1</v>
      </c>
      <c r="P31" t="n">
        <v>0</v>
      </c>
      <c r="Q31" t="n">
        <v>1</v>
      </c>
      <c r="R31" s="2" t="inlineStr">
        <is>
          <t>Gulsparv</t>
        </is>
      </c>
      <c r="S31">
        <f>HYPERLINK("https://klasma.github.io/Logging_0381/artfynd/A 4166-2026 artfynd.xlsx", "A 4166-2026")</f>
        <v/>
      </c>
      <c r="T31">
        <f>HYPERLINK("https://klasma.github.io/Logging_0381/kartor/A 4166-2026 karta.png", "A 4166-2026")</f>
        <v/>
      </c>
      <c r="V31">
        <f>HYPERLINK("https://klasma.github.io/Logging_0381/klagomål/A 4166-2026 FSC-klagomål.docx", "A 4166-2026")</f>
        <v/>
      </c>
      <c r="W31">
        <f>HYPERLINK("https://klasma.github.io/Logging_0381/klagomålsmail/A 4166-2026 FSC-klagomål mail.docx", "A 4166-2026")</f>
        <v/>
      </c>
      <c r="X31">
        <f>HYPERLINK("https://klasma.github.io/Logging_0381/tillsyn/A 4166-2026 tillsynsbegäran.docx", "A 4166-2026")</f>
        <v/>
      </c>
      <c r="Y31">
        <f>HYPERLINK("https://klasma.github.io/Logging_0381/tillsynsmail/A 4166-2026 tillsynsbegäran mail.docx", "A 4166-2026")</f>
        <v/>
      </c>
      <c r="Z31">
        <f>HYPERLINK("https://klasma.github.io/Logging_0381/fåglar/A 4166-2026 prioriterade fågelarter.docx", "A 4166-2026")</f>
        <v/>
      </c>
    </row>
    <row r="32" ht="15" customHeight="1">
      <c r="A32" t="inlineStr">
        <is>
          <t>A 33339-2024</t>
        </is>
      </c>
      <c r="B32" s="1" t="n">
        <v>45519</v>
      </c>
      <c r="C32" s="1" t="n">
        <v>46087</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45116-2023</t>
        </is>
      </c>
      <c r="B33" s="1" t="n">
        <v>45191</v>
      </c>
      <c r="C33" s="1" t="n">
        <v>46087</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46749-2024</t>
        </is>
      </c>
      <c r="B34" s="1" t="n">
        <v>45583.48347222222</v>
      </c>
      <c r="C34" s="1" t="n">
        <v>46087</v>
      </c>
      <c r="D34" t="inlineStr">
        <is>
          <t>UPPSALA LÄN</t>
        </is>
      </c>
      <c r="E34" t="inlineStr">
        <is>
          <t>ENKÖPING</t>
        </is>
      </c>
      <c r="G34" t="n">
        <v>8.5</v>
      </c>
      <c r="H34" t="n">
        <v>0</v>
      </c>
      <c r="I34" t="n">
        <v>0</v>
      </c>
      <c r="J34" t="n">
        <v>1</v>
      </c>
      <c r="K34" t="n">
        <v>0</v>
      </c>
      <c r="L34" t="n">
        <v>0</v>
      </c>
      <c r="M34" t="n">
        <v>0</v>
      </c>
      <c r="N34" t="n">
        <v>0</v>
      </c>
      <c r="O34" t="n">
        <v>1</v>
      </c>
      <c r="P34" t="n">
        <v>0</v>
      </c>
      <c r="Q34" t="n">
        <v>1</v>
      </c>
      <c r="R34" s="2" t="inlineStr">
        <is>
          <t>Tallkötticka</t>
        </is>
      </c>
      <c r="S34">
        <f>HYPERLINK("https://klasma.github.io/Logging_0381/artfynd/A 46749-2024 artfynd.xlsx", "A 46749-2024")</f>
        <v/>
      </c>
      <c r="T34">
        <f>HYPERLINK("https://klasma.github.io/Logging_0381/kartor/A 46749-2024 karta.png", "A 46749-2024")</f>
        <v/>
      </c>
      <c r="V34">
        <f>HYPERLINK("https://klasma.github.io/Logging_0381/klagomål/A 46749-2024 FSC-klagomål.docx", "A 46749-2024")</f>
        <v/>
      </c>
      <c r="W34">
        <f>HYPERLINK("https://klasma.github.io/Logging_0381/klagomålsmail/A 46749-2024 FSC-klagomål mail.docx", "A 46749-2024")</f>
        <v/>
      </c>
      <c r="X34">
        <f>HYPERLINK("https://klasma.github.io/Logging_0381/tillsyn/A 46749-2024 tillsynsbegäran.docx", "A 46749-2024")</f>
        <v/>
      </c>
      <c r="Y34">
        <f>HYPERLINK("https://klasma.github.io/Logging_0381/tillsynsmail/A 46749-2024 tillsynsbegäran mail.docx", "A 46749-2024")</f>
        <v/>
      </c>
    </row>
    <row r="35" ht="15" customHeight="1">
      <c r="A35" t="inlineStr">
        <is>
          <t>A 16683-2021</t>
        </is>
      </c>
      <c r="B35" s="1" t="n">
        <v>44294.58495370371</v>
      </c>
      <c r="C35" s="1" t="n">
        <v>46087</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46087</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46087</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46087</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46087</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46087</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46087</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46087</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46087</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46087</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46087</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46087</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46087</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46087</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46087</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46087</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46087</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46087</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46087</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46087</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46087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46087</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46087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46087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46087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46087</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46087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46087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46087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46087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46087</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46087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46087</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29425-2022</t>
        </is>
      </c>
      <c r="B69" s="1" t="n">
        <v>44753.47837962963</v>
      </c>
      <c r="C69" s="1" t="n">
        <v>46087</v>
      </c>
      <c r="D69" t="inlineStr">
        <is>
          <t>UPPSALA LÄN</t>
        </is>
      </c>
      <c r="E69" t="inlineStr">
        <is>
          <t>ENKÖPING</t>
        </is>
      </c>
      <c r="G69" t="n">
        <v>2.5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46087</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46087</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46087</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46087</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46087</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46087</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46087</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46087</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46087</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46087</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46087</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46087</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46087</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46087</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46087</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46087</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46087</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46087</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46087</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46087</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46087</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46087</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46087</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46087</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46087</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46087</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46087</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46087</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46087</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46087</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46087</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46087</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46087</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46087</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46087</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46087</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46087</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46087</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46087</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31965-2021</t>
        </is>
      </c>
      <c r="B109" s="1" t="n">
        <v>44370.56901620371</v>
      </c>
      <c r="C109" s="1" t="n">
        <v>46087</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46103-2023</t>
        </is>
      </c>
      <c r="B110" s="1" t="n">
        <v>45190</v>
      </c>
      <c r="C110" s="1" t="n">
        <v>46087</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46087</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46087</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43488-2023</t>
        </is>
      </c>
      <c r="B113" s="1" t="n">
        <v>45181</v>
      </c>
      <c r="C113" s="1" t="n">
        <v>46087</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12755-2025</t>
        </is>
      </c>
      <c r="B114" s="1" t="n">
        <v>45733.56541666666</v>
      </c>
      <c r="C114" s="1" t="n">
        <v>46087</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4044-2024</t>
        </is>
      </c>
      <c r="B115" s="1" t="n">
        <v>45323.45954861111</v>
      </c>
      <c r="C115" s="1" t="n">
        <v>46087</v>
      </c>
      <c r="D115" t="inlineStr">
        <is>
          <t>UPPSALA LÄN</t>
        </is>
      </c>
      <c r="E115" t="inlineStr">
        <is>
          <t>ENKÖPING</t>
        </is>
      </c>
      <c r="G115" t="n">
        <v>2.1</v>
      </c>
      <c r="H115" t="n">
        <v>0</v>
      </c>
      <c r="I115" t="n">
        <v>0</v>
      </c>
      <c r="J115" t="n">
        <v>0</v>
      </c>
      <c r="K115" t="n">
        <v>0</v>
      </c>
      <c r="L115" t="n">
        <v>0</v>
      </c>
      <c r="M115" t="n">
        <v>0</v>
      </c>
      <c r="N115" t="n">
        <v>0</v>
      </c>
      <c r="O115" t="n">
        <v>0</v>
      </c>
      <c r="P115" t="n">
        <v>0</v>
      </c>
      <c r="Q115" t="n">
        <v>0</v>
      </c>
      <c r="R115" s="2" t="inlineStr"/>
    </row>
    <row r="116" ht="15" customHeight="1">
      <c r="A116" t="inlineStr">
        <is>
          <t>A 12878-2025</t>
        </is>
      </c>
      <c r="B116" s="1" t="n">
        <v>45733.68571759259</v>
      </c>
      <c r="C116" s="1" t="n">
        <v>46087</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25333-2023</t>
        </is>
      </c>
      <c r="B117" s="1" t="n">
        <v>45083</v>
      </c>
      <c r="C117" s="1" t="n">
        <v>46087</v>
      </c>
      <c r="D117" t="inlineStr">
        <is>
          <t>UPPSALA LÄN</t>
        </is>
      </c>
      <c r="E117" t="inlineStr">
        <is>
          <t>ENKÖPING</t>
        </is>
      </c>
      <c r="G117" t="n">
        <v>2.7</v>
      </c>
      <c r="H117" t="n">
        <v>0</v>
      </c>
      <c r="I117" t="n">
        <v>0</v>
      </c>
      <c r="J117" t="n">
        <v>0</v>
      </c>
      <c r="K117" t="n">
        <v>0</v>
      </c>
      <c r="L117" t="n">
        <v>0</v>
      </c>
      <c r="M117" t="n">
        <v>0</v>
      </c>
      <c r="N117" t="n">
        <v>0</v>
      </c>
      <c r="O117" t="n">
        <v>0</v>
      </c>
      <c r="P117" t="n">
        <v>0</v>
      </c>
      <c r="Q117" t="n">
        <v>0</v>
      </c>
      <c r="R117" s="2" t="inlineStr"/>
    </row>
    <row r="118" ht="15" customHeight="1">
      <c r="A118" t="inlineStr">
        <is>
          <t>A 52889-2022</t>
        </is>
      </c>
      <c r="B118" s="1" t="n">
        <v>44875</v>
      </c>
      <c r="C118" s="1" t="n">
        <v>46087</v>
      </c>
      <c r="D118" t="inlineStr">
        <is>
          <t>UPPSALA LÄN</t>
        </is>
      </c>
      <c r="E118" t="inlineStr">
        <is>
          <t>ENKÖPING</t>
        </is>
      </c>
      <c r="G118" t="n">
        <v>1.7</v>
      </c>
      <c r="H118" t="n">
        <v>0</v>
      </c>
      <c r="I118" t="n">
        <v>0</v>
      </c>
      <c r="J118" t="n">
        <v>0</v>
      </c>
      <c r="K118" t="n">
        <v>0</v>
      </c>
      <c r="L118" t="n">
        <v>0</v>
      </c>
      <c r="M118" t="n">
        <v>0</v>
      </c>
      <c r="N118" t="n">
        <v>0</v>
      </c>
      <c r="O118" t="n">
        <v>0</v>
      </c>
      <c r="P118" t="n">
        <v>0</v>
      </c>
      <c r="Q118" t="n">
        <v>0</v>
      </c>
      <c r="R118" s="2" t="inlineStr"/>
    </row>
    <row r="119" ht="15" customHeight="1">
      <c r="A119" t="inlineStr">
        <is>
          <t>A 50747-2022</t>
        </is>
      </c>
      <c r="B119" s="1" t="n">
        <v>44867.40162037037</v>
      </c>
      <c r="C119" s="1" t="n">
        <v>46087</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57152-2021</t>
        </is>
      </c>
      <c r="B120" s="1" t="n">
        <v>44482</v>
      </c>
      <c r="C120" s="1" t="n">
        <v>46087</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30437-2022</t>
        </is>
      </c>
      <c r="B121" s="1" t="n">
        <v>44761</v>
      </c>
      <c r="C121" s="1" t="n">
        <v>46087</v>
      </c>
      <c r="D121" t="inlineStr">
        <is>
          <t>UPPSALA LÄN</t>
        </is>
      </c>
      <c r="E121" t="inlineStr">
        <is>
          <t>ENKÖPING</t>
        </is>
      </c>
      <c r="G121" t="n">
        <v>3.4</v>
      </c>
      <c r="H121" t="n">
        <v>0</v>
      </c>
      <c r="I121" t="n">
        <v>0</v>
      </c>
      <c r="J121" t="n">
        <v>0</v>
      </c>
      <c r="K121" t="n">
        <v>0</v>
      </c>
      <c r="L121" t="n">
        <v>0</v>
      </c>
      <c r="M121" t="n">
        <v>0</v>
      </c>
      <c r="N121" t="n">
        <v>0</v>
      </c>
      <c r="O121" t="n">
        <v>0</v>
      </c>
      <c r="P121" t="n">
        <v>0</v>
      </c>
      <c r="Q121" t="n">
        <v>0</v>
      </c>
      <c r="R121" s="2" t="inlineStr"/>
    </row>
    <row r="122" ht="15" customHeight="1">
      <c r="A122" t="inlineStr">
        <is>
          <t>A 12572-2021</t>
        </is>
      </c>
      <c r="B122" s="1" t="n">
        <v>44270.36438657407</v>
      </c>
      <c r="C122" s="1" t="n">
        <v>46087</v>
      </c>
      <c r="D122" t="inlineStr">
        <is>
          <t>UPPSALA LÄN</t>
        </is>
      </c>
      <c r="E122" t="inlineStr">
        <is>
          <t>ENKÖPING</t>
        </is>
      </c>
      <c r="G122" t="n">
        <v>3.3</v>
      </c>
      <c r="H122" t="n">
        <v>0</v>
      </c>
      <c r="I122" t="n">
        <v>0</v>
      </c>
      <c r="J122" t="n">
        <v>0</v>
      </c>
      <c r="K122" t="n">
        <v>0</v>
      </c>
      <c r="L122" t="n">
        <v>0</v>
      </c>
      <c r="M122" t="n">
        <v>0</v>
      </c>
      <c r="N122" t="n">
        <v>0</v>
      </c>
      <c r="O122" t="n">
        <v>0</v>
      </c>
      <c r="P122" t="n">
        <v>0</v>
      </c>
      <c r="Q122" t="n">
        <v>0</v>
      </c>
      <c r="R122" s="2" t="inlineStr"/>
    </row>
    <row r="123" ht="15" customHeight="1">
      <c r="A123" t="inlineStr">
        <is>
          <t>A 47681-2024</t>
        </is>
      </c>
      <c r="B123" s="1" t="n">
        <v>45588</v>
      </c>
      <c r="C123" s="1" t="n">
        <v>46087</v>
      </c>
      <c r="D123" t="inlineStr">
        <is>
          <t>UPPSALA LÄN</t>
        </is>
      </c>
      <c r="E123" t="inlineStr">
        <is>
          <t>ENKÖPING</t>
        </is>
      </c>
      <c r="G123" t="n">
        <v>4.2</v>
      </c>
      <c r="H123" t="n">
        <v>0</v>
      </c>
      <c r="I123" t="n">
        <v>0</v>
      </c>
      <c r="J123" t="n">
        <v>0</v>
      </c>
      <c r="K123" t="n">
        <v>0</v>
      </c>
      <c r="L123" t="n">
        <v>0</v>
      </c>
      <c r="M123" t="n">
        <v>0</v>
      </c>
      <c r="N123" t="n">
        <v>0</v>
      </c>
      <c r="O123" t="n">
        <v>0</v>
      </c>
      <c r="P123" t="n">
        <v>0</v>
      </c>
      <c r="Q123" t="n">
        <v>0</v>
      </c>
      <c r="R123" s="2" t="inlineStr"/>
    </row>
    <row r="124" ht="15" customHeight="1">
      <c r="A124" t="inlineStr">
        <is>
          <t>A 12754-2025</t>
        </is>
      </c>
      <c r="B124" s="1" t="n">
        <v>45733.56331018519</v>
      </c>
      <c r="C124" s="1" t="n">
        <v>46087</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54588-2024</t>
        </is>
      </c>
      <c r="B125" s="1" t="n">
        <v>45617</v>
      </c>
      <c r="C125" s="1" t="n">
        <v>46087</v>
      </c>
      <c r="D125" t="inlineStr">
        <is>
          <t>UPPSALA LÄN</t>
        </is>
      </c>
      <c r="E125" t="inlineStr">
        <is>
          <t>ENKÖPING</t>
        </is>
      </c>
      <c r="G125" t="n">
        <v>3.7</v>
      </c>
      <c r="H125" t="n">
        <v>0</v>
      </c>
      <c r="I125" t="n">
        <v>0</v>
      </c>
      <c r="J125" t="n">
        <v>0</v>
      </c>
      <c r="K125" t="n">
        <v>0</v>
      </c>
      <c r="L125" t="n">
        <v>0</v>
      </c>
      <c r="M125" t="n">
        <v>0</v>
      </c>
      <c r="N125" t="n">
        <v>0</v>
      </c>
      <c r="O125" t="n">
        <v>0</v>
      </c>
      <c r="P125" t="n">
        <v>0</v>
      </c>
      <c r="Q125" t="n">
        <v>0</v>
      </c>
      <c r="R125" s="2" t="inlineStr"/>
    </row>
    <row r="126" ht="15" customHeight="1">
      <c r="A126" t="inlineStr">
        <is>
          <t>A 56713-2024</t>
        </is>
      </c>
      <c r="B126" s="1" t="n">
        <v>45628</v>
      </c>
      <c r="C126" s="1" t="n">
        <v>46087</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51524-2022</t>
        </is>
      </c>
      <c r="B127" s="1" t="n">
        <v>44869</v>
      </c>
      <c r="C127" s="1" t="n">
        <v>46087</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20112-2024</t>
        </is>
      </c>
      <c r="B128" s="1" t="n">
        <v>45434</v>
      </c>
      <c r="C128" s="1" t="n">
        <v>46087</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8137-2025</t>
        </is>
      </c>
      <c r="B129" s="1" t="n">
        <v>45707.8561574074</v>
      </c>
      <c r="C129" s="1" t="n">
        <v>46087</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7868-2024</t>
        </is>
      </c>
      <c r="B130" s="1" t="n">
        <v>45350.33020833333</v>
      </c>
      <c r="C130" s="1" t="n">
        <v>46087</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48423-2025</t>
        </is>
      </c>
      <c r="B131" s="1" t="n">
        <v>45934.68024305555</v>
      </c>
      <c r="C131" s="1" t="n">
        <v>46087</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51932-2022</t>
        </is>
      </c>
      <c r="B132" s="1" t="n">
        <v>44872</v>
      </c>
      <c r="C132" s="1" t="n">
        <v>46087</v>
      </c>
      <c r="D132" t="inlineStr">
        <is>
          <t>UPPSALA LÄN</t>
        </is>
      </c>
      <c r="E132" t="inlineStr">
        <is>
          <t>ENKÖPING</t>
        </is>
      </c>
      <c r="G132" t="n">
        <v>5.5</v>
      </c>
      <c r="H132" t="n">
        <v>0</v>
      </c>
      <c r="I132" t="n">
        <v>0</v>
      </c>
      <c r="J132" t="n">
        <v>0</v>
      </c>
      <c r="K132" t="n">
        <v>0</v>
      </c>
      <c r="L132" t="n">
        <v>0</v>
      </c>
      <c r="M132" t="n">
        <v>0</v>
      </c>
      <c r="N132" t="n">
        <v>0</v>
      </c>
      <c r="O132" t="n">
        <v>0</v>
      </c>
      <c r="P132" t="n">
        <v>0</v>
      </c>
      <c r="Q132" t="n">
        <v>0</v>
      </c>
      <c r="R132" s="2" t="inlineStr"/>
    </row>
    <row r="133" ht="15" customHeight="1">
      <c r="A133" t="inlineStr">
        <is>
          <t>A 48424-2025</t>
        </is>
      </c>
      <c r="B133" s="1" t="n">
        <v>45934.69131944444</v>
      </c>
      <c r="C133" s="1" t="n">
        <v>46087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12958-2024</t>
        </is>
      </c>
      <c r="B134" s="1" t="n">
        <v>45385</v>
      </c>
      <c r="C134" s="1" t="n">
        <v>46087</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69344-2021</t>
        </is>
      </c>
      <c r="B135" s="1" t="n">
        <v>44531</v>
      </c>
      <c r="C135" s="1" t="n">
        <v>46087</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48678-2025</t>
        </is>
      </c>
      <c r="B136" s="1" t="n">
        <v>45936.59168981481</v>
      </c>
      <c r="C136" s="1" t="n">
        <v>46087</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51008-2024</t>
        </is>
      </c>
      <c r="B137" s="1" t="n">
        <v>45603.39041666667</v>
      </c>
      <c r="C137" s="1" t="n">
        <v>46087</v>
      </c>
      <c r="D137" t="inlineStr">
        <is>
          <t>UPPSALA LÄN</t>
        </is>
      </c>
      <c r="E137" t="inlineStr">
        <is>
          <t>ENKÖPING</t>
        </is>
      </c>
      <c r="G137" t="n">
        <v>2.4</v>
      </c>
      <c r="H137" t="n">
        <v>0</v>
      </c>
      <c r="I137" t="n">
        <v>0</v>
      </c>
      <c r="J137" t="n">
        <v>0</v>
      </c>
      <c r="K137" t="n">
        <v>0</v>
      </c>
      <c r="L137" t="n">
        <v>0</v>
      </c>
      <c r="M137" t="n">
        <v>0</v>
      </c>
      <c r="N137" t="n">
        <v>0</v>
      </c>
      <c r="O137" t="n">
        <v>0</v>
      </c>
      <c r="P137" t="n">
        <v>0</v>
      </c>
      <c r="Q137" t="n">
        <v>0</v>
      </c>
      <c r="R137" s="2" t="inlineStr"/>
    </row>
    <row r="138" ht="15" customHeight="1">
      <c r="A138" t="inlineStr">
        <is>
          <t>A 35052-2024</t>
        </is>
      </c>
      <c r="B138" s="1" t="n">
        <v>45527.6516087963</v>
      </c>
      <c r="C138" s="1" t="n">
        <v>46087</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49068-2025</t>
        </is>
      </c>
      <c r="B139" s="1" t="n">
        <v>45937.64766203704</v>
      </c>
      <c r="C139" s="1" t="n">
        <v>46087</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39439-2025</t>
        </is>
      </c>
      <c r="B140" s="1" t="n">
        <v>45889</v>
      </c>
      <c r="C140" s="1" t="n">
        <v>46087</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40812-2022</t>
        </is>
      </c>
      <c r="B141" s="1" t="n">
        <v>44824.68791666667</v>
      </c>
      <c r="C141" s="1" t="n">
        <v>46087</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24291-2024</t>
        </is>
      </c>
      <c r="B142" s="1" t="n">
        <v>45457.4584837963</v>
      </c>
      <c r="C142" s="1" t="n">
        <v>46087</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43103-2025</t>
        </is>
      </c>
      <c r="B143" s="1" t="n">
        <v>45909</v>
      </c>
      <c r="C143" s="1" t="n">
        <v>46087</v>
      </c>
      <c r="D143" t="inlineStr">
        <is>
          <t>UPPSALA LÄN</t>
        </is>
      </c>
      <c r="E143" t="inlineStr">
        <is>
          <t>ENKÖPING</t>
        </is>
      </c>
      <c r="G143" t="n">
        <v>2.3</v>
      </c>
      <c r="H143" t="n">
        <v>0</v>
      </c>
      <c r="I143" t="n">
        <v>0</v>
      </c>
      <c r="J143" t="n">
        <v>0</v>
      </c>
      <c r="K143" t="n">
        <v>0</v>
      </c>
      <c r="L143" t="n">
        <v>0</v>
      </c>
      <c r="M143" t="n">
        <v>0</v>
      </c>
      <c r="N143" t="n">
        <v>0</v>
      </c>
      <c r="O143" t="n">
        <v>0</v>
      </c>
      <c r="P143" t="n">
        <v>0</v>
      </c>
      <c r="Q143" t="n">
        <v>0</v>
      </c>
      <c r="R143" s="2" t="inlineStr"/>
    </row>
    <row r="144" ht="15" customHeight="1">
      <c r="A144" t="inlineStr">
        <is>
          <t>A 44232-2022</t>
        </is>
      </c>
      <c r="B144" s="1" t="n">
        <v>44839</v>
      </c>
      <c r="C144" s="1" t="n">
        <v>46087</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47428-2023</t>
        </is>
      </c>
      <c r="B145" s="1" t="n">
        <v>45202.66664351852</v>
      </c>
      <c r="C145" s="1" t="n">
        <v>46087</v>
      </c>
      <c r="D145" t="inlineStr">
        <is>
          <t>UPPSALA LÄN</t>
        </is>
      </c>
      <c r="E145" t="inlineStr">
        <is>
          <t>ENKÖPING</t>
        </is>
      </c>
      <c r="G145" t="n">
        <v>3</v>
      </c>
      <c r="H145" t="n">
        <v>0</v>
      </c>
      <c r="I145" t="n">
        <v>0</v>
      </c>
      <c r="J145" t="n">
        <v>0</v>
      </c>
      <c r="K145" t="n">
        <v>0</v>
      </c>
      <c r="L145" t="n">
        <v>0</v>
      </c>
      <c r="M145" t="n">
        <v>0</v>
      </c>
      <c r="N145" t="n">
        <v>0</v>
      </c>
      <c r="O145" t="n">
        <v>0</v>
      </c>
      <c r="P145" t="n">
        <v>0</v>
      </c>
      <c r="Q145" t="n">
        <v>0</v>
      </c>
      <c r="R145" s="2" t="inlineStr"/>
    </row>
    <row r="146" ht="15" customHeight="1">
      <c r="A146" t="inlineStr">
        <is>
          <t>A 49073-2025</t>
        </is>
      </c>
      <c r="B146" s="1" t="n">
        <v>45937.65512731481</v>
      </c>
      <c r="C146" s="1" t="n">
        <v>46087</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45362-2022</t>
        </is>
      </c>
      <c r="B147" s="1" t="n">
        <v>44844.62366898148</v>
      </c>
      <c r="C147" s="1" t="n">
        <v>46087</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56526-2022</t>
        </is>
      </c>
      <c r="B148" s="1" t="n">
        <v>44893</v>
      </c>
      <c r="C148" s="1" t="n">
        <v>46087</v>
      </c>
      <c r="D148" t="inlineStr">
        <is>
          <t>UPPSALA LÄN</t>
        </is>
      </c>
      <c r="E148" t="inlineStr">
        <is>
          <t>ENKÖPING</t>
        </is>
      </c>
      <c r="G148" t="n">
        <v>3.8</v>
      </c>
      <c r="H148" t="n">
        <v>0</v>
      </c>
      <c r="I148" t="n">
        <v>0</v>
      </c>
      <c r="J148" t="n">
        <v>0</v>
      </c>
      <c r="K148" t="n">
        <v>0</v>
      </c>
      <c r="L148" t="n">
        <v>0</v>
      </c>
      <c r="M148" t="n">
        <v>0</v>
      </c>
      <c r="N148" t="n">
        <v>0</v>
      </c>
      <c r="O148" t="n">
        <v>0</v>
      </c>
      <c r="P148" t="n">
        <v>0</v>
      </c>
      <c r="Q148" t="n">
        <v>0</v>
      </c>
      <c r="R148" s="2" t="inlineStr"/>
    </row>
    <row r="149" ht="15" customHeight="1">
      <c r="A149" t="inlineStr">
        <is>
          <t>A 60350-2022</t>
        </is>
      </c>
      <c r="B149" s="1" t="n">
        <v>44910</v>
      </c>
      <c r="C149" s="1" t="n">
        <v>46087</v>
      </c>
      <c r="D149" t="inlineStr">
        <is>
          <t>UPPSALA LÄN</t>
        </is>
      </c>
      <c r="E149" t="inlineStr">
        <is>
          <t>ENKÖPING</t>
        </is>
      </c>
      <c r="F149" t="inlineStr">
        <is>
          <t>Allmännings- och besparingsskogar</t>
        </is>
      </c>
      <c r="G149" t="n">
        <v>3.5</v>
      </c>
      <c r="H149" t="n">
        <v>0</v>
      </c>
      <c r="I149" t="n">
        <v>0</v>
      </c>
      <c r="J149" t="n">
        <v>0</v>
      </c>
      <c r="K149" t="n">
        <v>0</v>
      </c>
      <c r="L149" t="n">
        <v>0</v>
      </c>
      <c r="M149" t="n">
        <v>0</v>
      </c>
      <c r="N149" t="n">
        <v>0</v>
      </c>
      <c r="O149" t="n">
        <v>0</v>
      </c>
      <c r="P149" t="n">
        <v>0</v>
      </c>
      <c r="Q149" t="n">
        <v>0</v>
      </c>
      <c r="R149" s="2" t="inlineStr"/>
    </row>
    <row r="150" ht="15" customHeight="1">
      <c r="A150" t="inlineStr">
        <is>
          <t>A 28518-2024</t>
        </is>
      </c>
      <c r="B150" s="1" t="n">
        <v>45477</v>
      </c>
      <c r="C150" s="1" t="n">
        <v>46087</v>
      </c>
      <c r="D150" t="inlineStr">
        <is>
          <t>UPPSALA LÄN</t>
        </is>
      </c>
      <c r="E150" t="inlineStr">
        <is>
          <t>ENKÖPING</t>
        </is>
      </c>
      <c r="G150" t="n">
        <v>3.4</v>
      </c>
      <c r="H150" t="n">
        <v>0</v>
      </c>
      <c r="I150" t="n">
        <v>0</v>
      </c>
      <c r="J150" t="n">
        <v>0</v>
      </c>
      <c r="K150" t="n">
        <v>0</v>
      </c>
      <c r="L150" t="n">
        <v>0</v>
      </c>
      <c r="M150" t="n">
        <v>0</v>
      </c>
      <c r="N150" t="n">
        <v>0</v>
      </c>
      <c r="O150" t="n">
        <v>0</v>
      </c>
      <c r="P150" t="n">
        <v>0</v>
      </c>
      <c r="Q150" t="n">
        <v>0</v>
      </c>
      <c r="R150" s="2" t="inlineStr"/>
    </row>
    <row r="151" ht="15" customHeight="1">
      <c r="A151" t="inlineStr">
        <is>
          <t>A 30098-2024</t>
        </is>
      </c>
      <c r="B151" s="1" t="n">
        <v>45489.41609953704</v>
      </c>
      <c r="C151" s="1" t="n">
        <v>46087</v>
      </c>
      <c r="D151" t="inlineStr">
        <is>
          <t>UPPSALA LÄN</t>
        </is>
      </c>
      <c r="E151" t="inlineStr">
        <is>
          <t>ENKÖPING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14518-2025</t>
        </is>
      </c>
      <c r="B152" s="1" t="n">
        <v>45741</v>
      </c>
      <c r="C152" s="1" t="n">
        <v>46087</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1651-2024</t>
        </is>
      </c>
      <c r="B153" s="1" t="n">
        <v>45306.73770833333</v>
      </c>
      <c r="C153" s="1" t="n">
        <v>46087</v>
      </c>
      <c r="D153" t="inlineStr">
        <is>
          <t>UPPSALA LÄN</t>
        </is>
      </c>
      <c r="E153" t="inlineStr">
        <is>
          <t>ENKÖPING</t>
        </is>
      </c>
      <c r="G153" t="n">
        <v>10.2</v>
      </c>
      <c r="H153" t="n">
        <v>0</v>
      </c>
      <c r="I153" t="n">
        <v>0</v>
      </c>
      <c r="J153" t="n">
        <v>0</v>
      </c>
      <c r="K153" t="n">
        <v>0</v>
      </c>
      <c r="L153" t="n">
        <v>0</v>
      </c>
      <c r="M153" t="n">
        <v>0</v>
      </c>
      <c r="N153" t="n">
        <v>0</v>
      </c>
      <c r="O153" t="n">
        <v>0</v>
      </c>
      <c r="P153" t="n">
        <v>0</v>
      </c>
      <c r="Q153" t="n">
        <v>0</v>
      </c>
      <c r="R153" s="2" t="inlineStr"/>
    </row>
    <row r="154" ht="15" customHeight="1">
      <c r="A154" t="inlineStr">
        <is>
          <t>A 60289-2022</t>
        </is>
      </c>
      <c r="B154" s="1" t="n">
        <v>44910.53026620371</v>
      </c>
      <c r="C154" s="1" t="n">
        <v>46087</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51162-2025</t>
        </is>
      </c>
      <c r="B155" s="1" t="n">
        <v>45947.58820601852</v>
      </c>
      <c r="C155" s="1" t="n">
        <v>46087</v>
      </c>
      <c r="D155" t="inlineStr">
        <is>
          <t>UPPSALA LÄN</t>
        </is>
      </c>
      <c r="E155" t="inlineStr">
        <is>
          <t>ENKÖPING</t>
        </is>
      </c>
      <c r="G155" t="n">
        <v>3.4</v>
      </c>
      <c r="H155" t="n">
        <v>0</v>
      </c>
      <c r="I155" t="n">
        <v>0</v>
      </c>
      <c r="J155" t="n">
        <v>0</v>
      </c>
      <c r="K155" t="n">
        <v>0</v>
      </c>
      <c r="L155" t="n">
        <v>0</v>
      </c>
      <c r="M155" t="n">
        <v>0</v>
      </c>
      <c r="N155" t="n">
        <v>0</v>
      </c>
      <c r="O155" t="n">
        <v>0</v>
      </c>
      <c r="P155" t="n">
        <v>0</v>
      </c>
      <c r="Q155" t="n">
        <v>0</v>
      </c>
      <c r="R155" s="2" t="inlineStr"/>
    </row>
    <row r="156" ht="15" customHeight="1">
      <c r="A156" t="inlineStr">
        <is>
          <t>A 51133-2025</t>
        </is>
      </c>
      <c r="B156" s="1" t="n">
        <v>45947.55598379629</v>
      </c>
      <c r="C156" s="1" t="n">
        <v>46087</v>
      </c>
      <c r="D156" t="inlineStr">
        <is>
          <t>UPPSALA LÄN</t>
        </is>
      </c>
      <c r="E156" t="inlineStr">
        <is>
          <t>ENKÖPING</t>
        </is>
      </c>
      <c r="G156" t="n">
        <v>2.4</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46087</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54776-2024</t>
        </is>
      </c>
      <c r="B158" s="1" t="n">
        <v>45618</v>
      </c>
      <c r="C158" s="1" t="n">
        <v>46087</v>
      </c>
      <c r="D158" t="inlineStr">
        <is>
          <t>UPPSALA LÄN</t>
        </is>
      </c>
      <c r="E158" t="inlineStr">
        <is>
          <t>ENKÖPING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22150-2025</t>
        </is>
      </c>
      <c r="B159" s="1" t="n">
        <v>45785.56398148148</v>
      </c>
      <c r="C159" s="1" t="n">
        <v>46087</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31242-2024</t>
        </is>
      </c>
      <c r="B160" s="1" t="n">
        <v>45503</v>
      </c>
      <c r="C160" s="1" t="n">
        <v>46087</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26017-2025</t>
        </is>
      </c>
      <c r="B161" s="1" t="n">
        <v>45804</v>
      </c>
      <c r="C161" s="1" t="n">
        <v>46087</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2162-2023</t>
        </is>
      </c>
      <c r="B162" s="1" t="n">
        <v>44941</v>
      </c>
      <c r="C162" s="1" t="n">
        <v>46087</v>
      </c>
      <c r="D162" t="inlineStr">
        <is>
          <t>UPPSALA LÄN</t>
        </is>
      </c>
      <c r="E162" t="inlineStr">
        <is>
          <t>ENKÖPING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56163-2021</t>
        </is>
      </c>
      <c r="B163" s="1" t="n">
        <v>44477</v>
      </c>
      <c r="C163" s="1" t="n">
        <v>46087</v>
      </c>
      <c r="D163" t="inlineStr">
        <is>
          <t>UPPSALA LÄN</t>
        </is>
      </c>
      <c r="E163" t="inlineStr">
        <is>
          <t>ENKÖPING</t>
        </is>
      </c>
      <c r="F163" t="inlineStr">
        <is>
          <t>Allmännings- och besparingsskogar</t>
        </is>
      </c>
      <c r="G163" t="n">
        <v>0.6</v>
      </c>
      <c r="H163" t="n">
        <v>0</v>
      </c>
      <c r="I163" t="n">
        <v>0</v>
      </c>
      <c r="J163" t="n">
        <v>0</v>
      </c>
      <c r="K163" t="n">
        <v>0</v>
      </c>
      <c r="L163" t="n">
        <v>0</v>
      </c>
      <c r="M163" t="n">
        <v>0</v>
      </c>
      <c r="N163" t="n">
        <v>0</v>
      </c>
      <c r="O163" t="n">
        <v>0</v>
      </c>
      <c r="P163" t="n">
        <v>0</v>
      </c>
      <c r="Q163" t="n">
        <v>0</v>
      </c>
      <c r="R163" s="2" t="inlineStr"/>
    </row>
    <row r="164" ht="15" customHeight="1">
      <c r="A164" t="inlineStr">
        <is>
          <t>A 22156-2025</t>
        </is>
      </c>
      <c r="B164" s="1" t="n">
        <v>45785.57512731481</v>
      </c>
      <c r="C164" s="1" t="n">
        <v>46087</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28318-2024</t>
        </is>
      </c>
      <c r="B165" s="1" t="n">
        <v>45477</v>
      </c>
      <c r="C165" s="1" t="n">
        <v>46087</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30087-2024</t>
        </is>
      </c>
      <c r="B166" s="1" t="n">
        <v>45489.39447916667</v>
      </c>
      <c r="C166" s="1" t="n">
        <v>46087</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22677-2025</t>
        </is>
      </c>
      <c r="B167" s="1" t="n">
        <v>45789.49515046296</v>
      </c>
      <c r="C167" s="1" t="n">
        <v>46087</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22679-2025</t>
        </is>
      </c>
      <c r="B168" s="1" t="n">
        <v>45789.49747685185</v>
      </c>
      <c r="C168" s="1" t="n">
        <v>46087</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22729-2025</t>
        </is>
      </c>
      <c r="B169" s="1" t="n">
        <v>45789.57790509259</v>
      </c>
      <c r="C169" s="1" t="n">
        <v>46087</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22786-2025</t>
        </is>
      </c>
      <c r="B170" s="1" t="n">
        <v>45789.64643518518</v>
      </c>
      <c r="C170" s="1" t="n">
        <v>46087</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41618-2025</t>
        </is>
      </c>
      <c r="B171" s="1" t="n">
        <v>45901.70085648148</v>
      </c>
      <c r="C171" s="1" t="n">
        <v>46087</v>
      </c>
      <c r="D171" t="inlineStr">
        <is>
          <t>UPPSALA LÄN</t>
        </is>
      </c>
      <c r="E171" t="inlineStr">
        <is>
          <t>ENKÖPING</t>
        </is>
      </c>
      <c r="F171" t="inlineStr">
        <is>
          <t>Allmännings- och besparingsskogar</t>
        </is>
      </c>
      <c r="G171" t="n">
        <v>5.3</v>
      </c>
      <c r="H171" t="n">
        <v>0</v>
      </c>
      <c r="I171" t="n">
        <v>0</v>
      </c>
      <c r="J171" t="n">
        <v>0</v>
      </c>
      <c r="K171" t="n">
        <v>0</v>
      </c>
      <c r="L171" t="n">
        <v>0</v>
      </c>
      <c r="M171" t="n">
        <v>0</v>
      </c>
      <c r="N171" t="n">
        <v>0</v>
      </c>
      <c r="O171" t="n">
        <v>0</v>
      </c>
      <c r="P171" t="n">
        <v>0</v>
      </c>
      <c r="Q171" t="n">
        <v>0</v>
      </c>
      <c r="R171" s="2" t="inlineStr"/>
    </row>
    <row r="172" ht="15" customHeight="1">
      <c r="A172" t="inlineStr">
        <is>
          <t>A 22795-2025</t>
        </is>
      </c>
      <c r="B172" s="1" t="n">
        <v>45789.65944444444</v>
      </c>
      <c r="C172" s="1" t="n">
        <v>46087</v>
      </c>
      <c r="D172" t="inlineStr">
        <is>
          <t>UPPSALA LÄN</t>
        </is>
      </c>
      <c r="E172" t="inlineStr">
        <is>
          <t>ENKÖPING</t>
        </is>
      </c>
      <c r="G172" t="n">
        <v>10.4</v>
      </c>
      <c r="H172" t="n">
        <v>0</v>
      </c>
      <c r="I172" t="n">
        <v>0</v>
      </c>
      <c r="J172" t="n">
        <v>0</v>
      </c>
      <c r="K172" t="n">
        <v>0</v>
      </c>
      <c r="L172" t="n">
        <v>0</v>
      </c>
      <c r="M172" t="n">
        <v>0</v>
      </c>
      <c r="N172" t="n">
        <v>0</v>
      </c>
      <c r="O172" t="n">
        <v>0</v>
      </c>
      <c r="P172" t="n">
        <v>0</v>
      </c>
      <c r="Q172" t="n">
        <v>0</v>
      </c>
      <c r="R172" s="2" t="inlineStr"/>
    </row>
    <row r="173" ht="15" customHeight="1">
      <c r="A173" t="inlineStr">
        <is>
          <t>A 22802-2025</t>
        </is>
      </c>
      <c r="B173" s="1" t="n">
        <v>45789.6686574074</v>
      </c>
      <c r="C173" s="1" t="n">
        <v>46087</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41765-2025</t>
        </is>
      </c>
      <c r="B174" s="1" t="n">
        <v>45902</v>
      </c>
      <c r="C174" s="1" t="n">
        <v>46087</v>
      </c>
      <c r="D174" t="inlineStr">
        <is>
          <t>UPPSALA LÄN</t>
        </is>
      </c>
      <c r="E174" t="inlineStr">
        <is>
          <t>ENKÖPING</t>
        </is>
      </c>
      <c r="G174" t="n">
        <v>2.7</v>
      </c>
      <c r="H174" t="n">
        <v>0</v>
      </c>
      <c r="I174" t="n">
        <v>0</v>
      </c>
      <c r="J174" t="n">
        <v>0</v>
      </c>
      <c r="K174" t="n">
        <v>0</v>
      </c>
      <c r="L174" t="n">
        <v>0</v>
      </c>
      <c r="M174" t="n">
        <v>0</v>
      </c>
      <c r="N174" t="n">
        <v>0</v>
      </c>
      <c r="O174" t="n">
        <v>0</v>
      </c>
      <c r="P174" t="n">
        <v>0</v>
      </c>
      <c r="Q174" t="n">
        <v>0</v>
      </c>
      <c r="R174" s="2" t="inlineStr"/>
    </row>
    <row r="175" ht="15" customHeight="1">
      <c r="A175" t="inlineStr">
        <is>
          <t>A 41616-2025</t>
        </is>
      </c>
      <c r="B175" s="1" t="n">
        <v>45901.69684027778</v>
      </c>
      <c r="C175" s="1" t="n">
        <v>46087</v>
      </c>
      <c r="D175" t="inlineStr">
        <is>
          <t>UPPSALA LÄN</t>
        </is>
      </c>
      <c r="E175" t="inlineStr">
        <is>
          <t>ENKÖPING</t>
        </is>
      </c>
      <c r="F175" t="inlineStr">
        <is>
          <t>Allmännings- och besparingsskogar</t>
        </is>
      </c>
      <c r="G175" t="n">
        <v>17.3</v>
      </c>
      <c r="H175" t="n">
        <v>0</v>
      </c>
      <c r="I175" t="n">
        <v>0</v>
      </c>
      <c r="J175" t="n">
        <v>0</v>
      </c>
      <c r="K175" t="n">
        <v>0</v>
      </c>
      <c r="L175" t="n">
        <v>0</v>
      </c>
      <c r="M175" t="n">
        <v>0</v>
      </c>
      <c r="N175" t="n">
        <v>0</v>
      </c>
      <c r="O175" t="n">
        <v>0</v>
      </c>
      <c r="P175" t="n">
        <v>0</v>
      </c>
      <c r="Q175" t="n">
        <v>0</v>
      </c>
      <c r="R175" s="2" t="inlineStr"/>
    </row>
    <row r="176" ht="15" customHeight="1">
      <c r="A176" t="inlineStr">
        <is>
          <t>A 14402-2023</t>
        </is>
      </c>
      <c r="B176" s="1" t="n">
        <v>45012</v>
      </c>
      <c r="C176" s="1" t="n">
        <v>46087</v>
      </c>
      <c r="D176" t="inlineStr">
        <is>
          <t>UPPSALA LÄN</t>
        </is>
      </c>
      <c r="E176" t="inlineStr">
        <is>
          <t>ENKÖPING</t>
        </is>
      </c>
      <c r="G176" t="n">
        <v>9.5</v>
      </c>
      <c r="H176" t="n">
        <v>0</v>
      </c>
      <c r="I176" t="n">
        <v>0</v>
      </c>
      <c r="J176" t="n">
        <v>0</v>
      </c>
      <c r="K176" t="n">
        <v>0</v>
      </c>
      <c r="L176" t="n">
        <v>0</v>
      </c>
      <c r="M176" t="n">
        <v>0</v>
      </c>
      <c r="N176" t="n">
        <v>0</v>
      </c>
      <c r="O176" t="n">
        <v>0</v>
      </c>
      <c r="P176" t="n">
        <v>0</v>
      </c>
      <c r="Q176" t="n">
        <v>0</v>
      </c>
      <c r="R176" s="2" t="inlineStr"/>
    </row>
    <row r="177" ht="15" customHeight="1">
      <c r="A177" t="inlineStr">
        <is>
          <t>A 26011-2025</t>
        </is>
      </c>
      <c r="B177" s="1" t="n">
        <v>45804.67412037037</v>
      </c>
      <c r="C177" s="1" t="n">
        <v>46087</v>
      </c>
      <c r="D177" t="inlineStr">
        <is>
          <t>UPPSALA LÄN</t>
        </is>
      </c>
      <c r="E177" t="inlineStr">
        <is>
          <t>ENKÖPING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41637-2025</t>
        </is>
      </c>
      <c r="B178" s="1" t="n">
        <v>45901</v>
      </c>
      <c r="C178" s="1" t="n">
        <v>46087</v>
      </c>
      <c r="D178" t="inlineStr">
        <is>
          <t>UPPSALA LÄN</t>
        </is>
      </c>
      <c r="E178" t="inlineStr">
        <is>
          <t>ENKÖPING</t>
        </is>
      </c>
      <c r="F178" t="inlineStr">
        <is>
          <t>Allmännings- och besparingsskogar</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39115-2024</t>
        </is>
      </c>
      <c r="B179" s="1" t="n">
        <v>45548</v>
      </c>
      <c r="C179" s="1" t="n">
        <v>46087</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12020-2024</t>
        </is>
      </c>
      <c r="B180" s="1" t="n">
        <v>45377</v>
      </c>
      <c r="C180" s="1" t="n">
        <v>46087</v>
      </c>
      <c r="D180" t="inlineStr">
        <is>
          <t>UPPSALA LÄN</t>
        </is>
      </c>
      <c r="E180" t="inlineStr">
        <is>
          <t>ENKÖPING</t>
        </is>
      </c>
      <c r="G180" t="n">
        <v>2</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46087</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22680-2025</t>
        </is>
      </c>
      <c r="B182" s="1" t="n">
        <v>45789.5005787037</v>
      </c>
      <c r="C182" s="1" t="n">
        <v>46087</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6981-2025</t>
        </is>
      </c>
      <c r="B183" s="1" t="n">
        <v>45701</v>
      </c>
      <c r="C183" s="1" t="n">
        <v>46087</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46087</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22770-2025</t>
        </is>
      </c>
      <c r="B185" s="1" t="n">
        <v>45789.63454861111</v>
      </c>
      <c r="C185" s="1" t="n">
        <v>46087</v>
      </c>
      <c r="D185" t="inlineStr">
        <is>
          <t>UPPSALA LÄN</t>
        </is>
      </c>
      <c r="E185" t="inlineStr">
        <is>
          <t>ENKÖPING</t>
        </is>
      </c>
      <c r="G185" t="n">
        <v>4.5</v>
      </c>
      <c r="H185" t="n">
        <v>0</v>
      </c>
      <c r="I185" t="n">
        <v>0</v>
      </c>
      <c r="J185" t="n">
        <v>0</v>
      </c>
      <c r="K185" t="n">
        <v>0</v>
      </c>
      <c r="L185" t="n">
        <v>0</v>
      </c>
      <c r="M185" t="n">
        <v>0</v>
      </c>
      <c r="N185" t="n">
        <v>0</v>
      </c>
      <c r="O185" t="n">
        <v>0</v>
      </c>
      <c r="P185" t="n">
        <v>0</v>
      </c>
      <c r="Q185" t="n">
        <v>0</v>
      </c>
      <c r="R185" s="2" t="inlineStr"/>
    </row>
    <row r="186" ht="15" customHeight="1">
      <c r="A186" t="inlineStr">
        <is>
          <t>A 54263-2025</t>
        </is>
      </c>
      <c r="B186" s="1" t="n">
        <v>45964.66271990741</v>
      </c>
      <c r="C186" s="1" t="n">
        <v>46087</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22725-2025</t>
        </is>
      </c>
      <c r="B187" s="1" t="n">
        <v>45789.57371527778</v>
      </c>
      <c r="C187" s="1" t="n">
        <v>46087</v>
      </c>
      <c r="D187" t="inlineStr">
        <is>
          <t>UPPSALA LÄN</t>
        </is>
      </c>
      <c r="E187" t="inlineStr">
        <is>
          <t>ENKÖPING</t>
        </is>
      </c>
      <c r="G187" t="n">
        <v>4.8</v>
      </c>
      <c r="H187" t="n">
        <v>0</v>
      </c>
      <c r="I187" t="n">
        <v>0</v>
      </c>
      <c r="J187" t="n">
        <v>0</v>
      </c>
      <c r="K187" t="n">
        <v>0</v>
      </c>
      <c r="L187" t="n">
        <v>0</v>
      </c>
      <c r="M187" t="n">
        <v>0</v>
      </c>
      <c r="N187" t="n">
        <v>0</v>
      </c>
      <c r="O187" t="n">
        <v>0</v>
      </c>
      <c r="P187" t="n">
        <v>0</v>
      </c>
      <c r="Q187" t="n">
        <v>0</v>
      </c>
      <c r="R187" s="2" t="inlineStr"/>
    </row>
    <row r="188" ht="15" customHeight="1">
      <c r="A188" t="inlineStr">
        <is>
          <t>A 2850-2025</t>
        </is>
      </c>
      <c r="B188" s="1" t="n">
        <v>45677</v>
      </c>
      <c r="C188" s="1" t="n">
        <v>46087</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22981-2025</t>
        </is>
      </c>
      <c r="B189" s="1" t="n">
        <v>45790.56964120371</v>
      </c>
      <c r="C189" s="1" t="n">
        <v>46087</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68123-2021</t>
        </is>
      </c>
      <c r="B190" s="1" t="n">
        <v>44526.39126157408</v>
      </c>
      <c r="C190" s="1" t="n">
        <v>46087</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22793-2025</t>
        </is>
      </c>
      <c r="B191" s="1" t="n">
        <v>45789.65693287037</v>
      </c>
      <c r="C191" s="1" t="n">
        <v>46087</v>
      </c>
      <c r="D191" t="inlineStr">
        <is>
          <t>UPPSALA LÄN</t>
        </is>
      </c>
      <c r="E191" t="inlineStr">
        <is>
          <t>ENKÖPING</t>
        </is>
      </c>
      <c r="G191" t="n">
        <v>3.2</v>
      </c>
      <c r="H191" t="n">
        <v>0</v>
      </c>
      <c r="I191" t="n">
        <v>0</v>
      </c>
      <c r="J191" t="n">
        <v>0</v>
      </c>
      <c r="K191" t="n">
        <v>0</v>
      </c>
      <c r="L191" t="n">
        <v>0</v>
      </c>
      <c r="M191" t="n">
        <v>0</v>
      </c>
      <c r="N191" t="n">
        <v>0</v>
      </c>
      <c r="O191" t="n">
        <v>0</v>
      </c>
      <c r="P191" t="n">
        <v>0</v>
      </c>
      <c r="Q191" t="n">
        <v>0</v>
      </c>
      <c r="R191" s="2" t="inlineStr"/>
    </row>
    <row r="192" ht="15" customHeight="1">
      <c r="A192" t="inlineStr">
        <is>
          <t>A 22800-2025</t>
        </is>
      </c>
      <c r="B192" s="1" t="n">
        <v>45789.6669212963</v>
      </c>
      <c r="C192" s="1" t="n">
        <v>46087</v>
      </c>
      <c r="D192" t="inlineStr">
        <is>
          <t>UPPSALA LÄN</t>
        </is>
      </c>
      <c r="E192" t="inlineStr">
        <is>
          <t>ENKÖPING</t>
        </is>
      </c>
      <c r="G192" t="n">
        <v>2</v>
      </c>
      <c r="H192" t="n">
        <v>0</v>
      </c>
      <c r="I192" t="n">
        <v>0</v>
      </c>
      <c r="J192" t="n">
        <v>0</v>
      </c>
      <c r="K192" t="n">
        <v>0</v>
      </c>
      <c r="L192" t="n">
        <v>0</v>
      </c>
      <c r="M192" t="n">
        <v>0</v>
      </c>
      <c r="N192" t="n">
        <v>0</v>
      </c>
      <c r="O192" t="n">
        <v>0</v>
      </c>
      <c r="P192" t="n">
        <v>0</v>
      </c>
      <c r="Q192" t="n">
        <v>0</v>
      </c>
      <c r="R192" s="2" t="inlineStr"/>
    </row>
    <row r="193" ht="15" customHeight="1">
      <c r="A193" t="inlineStr">
        <is>
          <t>A 69344-2021</t>
        </is>
      </c>
      <c r="B193" s="1" t="n">
        <v>44531</v>
      </c>
      <c r="C193" s="1" t="n">
        <v>46087</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42756-2025</t>
        </is>
      </c>
      <c r="B194" s="1" t="n">
        <v>45908</v>
      </c>
      <c r="C194" s="1" t="n">
        <v>46087</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34124-2021</t>
        </is>
      </c>
      <c r="B195" s="1" t="n">
        <v>44379</v>
      </c>
      <c r="C195" s="1" t="n">
        <v>46087</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43697-2024</t>
        </is>
      </c>
      <c r="B196" s="1" t="n">
        <v>45569</v>
      </c>
      <c r="C196" s="1" t="n">
        <v>46087</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54844-2025</t>
        </is>
      </c>
      <c r="B197" s="1" t="n">
        <v>45966.69570601852</v>
      </c>
      <c r="C197" s="1" t="n">
        <v>46087</v>
      </c>
      <c r="D197" t="inlineStr">
        <is>
          <t>UPPSALA LÄN</t>
        </is>
      </c>
      <c r="E197" t="inlineStr">
        <is>
          <t>ENKÖPING</t>
        </is>
      </c>
      <c r="G197" t="n">
        <v>5.5</v>
      </c>
      <c r="H197" t="n">
        <v>0</v>
      </c>
      <c r="I197" t="n">
        <v>0</v>
      </c>
      <c r="J197" t="n">
        <v>0</v>
      </c>
      <c r="K197" t="n">
        <v>0</v>
      </c>
      <c r="L197" t="n">
        <v>0</v>
      </c>
      <c r="M197" t="n">
        <v>0</v>
      </c>
      <c r="N197" t="n">
        <v>0</v>
      </c>
      <c r="O197" t="n">
        <v>0</v>
      </c>
      <c r="P197" t="n">
        <v>0</v>
      </c>
      <c r="Q197" t="n">
        <v>0</v>
      </c>
      <c r="R197" s="2" t="inlineStr"/>
    </row>
    <row r="198" ht="15" customHeight="1">
      <c r="A198" t="inlineStr">
        <is>
          <t>A 54758-2025</t>
        </is>
      </c>
      <c r="B198" s="1" t="n">
        <v>45966.59737268519</v>
      </c>
      <c r="C198" s="1" t="n">
        <v>46087</v>
      </c>
      <c r="D198" t="inlineStr">
        <is>
          <t>UPPSALA LÄN</t>
        </is>
      </c>
      <c r="E198" t="inlineStr">
        <is>
          <t>ENKÖPING</t>
        </is>
      </c>
      <c r="G198" t="n">
        <v>3.3</v>
      </c>
      <c r="H198" t="n">
        <v>0</v>
      </c>
      <c r="I198" t="n">
        <v>0</v>
      </c>
      <c r="J198" t="n">
        <v>0</v>
      </c>
      <c r="K198" t="n">
        <v>0</v>
      </c>
      <c r="L198" t="n">
        <v>0</v>
      </c>
      <c r="M198" t="n">
        <v>0</v>
      </c>
      <c r="N198" t="n">
        <v>0</v>
      </c>
      <c r="O198" t="n">
        <v>0</v>
      </c>
      <c r="P198" t="n">
        <v>0</v>
      </c>
      <c r="Q198" t="n">
        <v>0</v>
      </c>
      <c r="R198" s="2" t="inlineStr"/>
    </row>
    <row r="199" ht="15" customHeight="1">
      <c r="A199" t="inlineStr">
        <is>
          <t>A 54541-2025</t>
        </is>
      </c>
      <c r="B199" s="1" t="n">
        <v>45965.64733796296</v>
      </c>
      <c r="C199" s="1" t="n">
        <v>46087</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27983-2024</t>
        </is>
      </c>
      <c r="B200" s="1" t="n">
        <v>45476</v>
      </c>
      <c r="C200" s="1" t="n">
        <v>46087</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51010-2024</t>
        </is>
      </c>
      <c r="B201" s="1" t="n">
        <v>45603.39285879629</v>
      </c>
      <c r="C201" s="1" t="n">
        <v>46087</v>
      </c>
      <c r="D201" t="inlineStr">
        <is>
          <t>UPPSALA LÄN</t>
        </is>
      </c>
      <c r="E201" t="inlineStr">
        <is>
          <t>ENKÖPING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41764-2025</t>
        </is>
      </c>
      <c r="B202" s="1" t="n">
        <v>45902</v>
      </c>
      <c r="C202" s="1" t="n">
        <v>46087</v>
      </c>
      <c r="D202" t="inlineStr">
        <is>
          <t>UPPSALA LÄN</t>
        </is>
      </c>
      <c r="E202" t="inlineStr">
        <is>
          <t>ENKÖPING</t>
        </is>
      </c>
      <c r="G202" t="n">
        <v>2.7</v>
      </c>
      <c r="H202" t="n">
        <v>0</v>
      </c>
      <c r="I202" t="n">
        <v>0</v>
      </c>
      <c r="J202" t="n">
        <v>0</v>
      </c>
      <c r="K202" t="n">
        <v>0</v>
      </c>
      <c r="L202" t="n">
        <v>0</v>
      </c>
      <c r="M202" t="n">
        <v>0</v>
      </c>
      <c r="N202" t="n">
        <v>0</v>
      </c>
      <c r="O202" t="n">
        <v>0</v>
      </c>
      <c r="P202" t="n">
        <v>0</v>
      </c>
      <c r="Q202" t="n">
        <v>0</v>
      </c>
      <c r="R202" s="2" t="inlineStr"/>
    </row>
    <row r="203" ht="15" customHeight="1">
      <c r="A203" t="inlineStr">
        <is>
          <t>A 51042-2024</t>
        </is>
      </c>
      <c r="B203" s="1" t="n">
        <v>45603.4342824074</v>
      </c>
      <c r="C203" s="1" t="n">
        <v>46087</v>
      </c>
      <c r="D203" t="inlineStr">
        <is>
          <t>UPPSALA LÄN</t>
        </is>
      </c>
      <c r="E203" t="inlineStr">
        <is>
          <t>ENKÖPING</t>
        </is>
      </c>
      <c r="G203" t="n">
        <v>4.6</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46087</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51037-2024</t>
        </is>
      </c>
      <c r="B205" s="1" t="n">
        <v>45603.43005787037</v>
      </c>
      <c r="C205" s="1" t="n">
        <v>46087</v>
      </c>
      <c r="D205" t="inlineStr">
        <is>
          <t>UPPSALA LÄN</t>
        </is>
      </c>
      <c r="E205" t="inlineStr">
        <is>
          <t>ENKÖPING</t>
        </is>
      </c>
      <c r="G205" t="n">
        <v>5.7</v>
      </c>
      <c r="H205" t="n">
        <v>0</v>
      </c>
      <c r="I205" t="n">
        <v>0</v>
      </c>
      <c r="J205" t="n">
        <v>0</v>
      </c>
      <c r="K205" t="n">
        <v>0</v>
      </c>
      <c r="L205" t="n">
        <v>0</v>
      </c>
      <c r="M205" t="n">
        <v>0</v>
      </c>
      <c r="N205" t="n">
        <v>0</v>
      </c>
      <c r="O205" t="n">
        <v>0</v>
      </c>
      <c r="P205" t="n">
        <v>0</v>
      </c>
      <c r="Q205" t="n">
        <v>0</v>
      </c>
      <c r="R205" s="2" t="inlineStr"/>
    </row>
    <row r="206" ht="15" customHeight="1">
      <c r="A206" t="inlineStr">
        <is>
          <t>A 22912-2024</t>
        </is>
      </c>
      <c r="B206" s="1" t="n">
        <v>45448.73118055556</v>
      </c>
      <c r="C206" s="1" t="n">
        <v>46087</v>
      </c>
      <c r="D206" t="inlineStr">
        <is>
          <t>UPPSALA LÄN</t>
        </is>
      </c>
      <c r="E206" t="inlineStr">
        <is>
          <t>ENKÖPING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51027-2024</t>
        </is>
      </c>
      <c r="B207" s="1" t="n">
        <v>45603</v>
      </c>
      <c r="C207" s="1" t="n">
        <v>46087</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55567-2025</t>
        </is>
      </c>
      <c r="B208" s="1" t="n">
        <v>45971.65589120371</v>
      </c>
      <c r="C208" s="1" t="n">
        <v>46087</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9667-2024</t>
        </is>
      </c>
      <c r="B209" s="1" t="n">
        <v>45362.45130787037</v>
      </c>
      <c r="C209" s="1" t="n">
        <v>46087</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44419-2025</t>
        </is>
      </c>
      <c r="B210" s="1" t="n">
        <v>45916.54671296296</v>
      </c>
      <c r="C210" s="1" t="n">
        <v>46087</v>
      </c>
      <c r="D210" t="inlineStr">
        <is>
          <t>UPPSALA LÄN</t>
        </is>
      </c>
      <c r="E210" t="inlineStr">
        <is>
          <t>ENKÖPING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43999-2025</t>
        </is>
      </c>
      <c r="B211" s="1" t="n">
        <v>45915.45158564814</v>
      </c>
      <c r="C211" s="1" t="n">
        <v>46087</v>
      </c>
      <c r="D211" t="inlineStr">
        <is>
          <t>UPPSALA LÄN</t>
        </is>
      </c>
      <c r="E211" t="inlineStr">
        <is>
          <t>ENKÖPING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17729-2023</t>
        </is>
      </c>
      <c r="B212" s="1" t="n">
        <v>45037</v>
      </c>
      <c r="C212" s="1" t="n">
        <v>46087</v>
      </c>
      <c r="D212" t="inlineStr">
        <is>
          <t>UPPSALA LÄN</t>
        </is>
      </c>
      <c r="E212" t="inlineStr">
        <is>
          <t>ENKÖPING</t>
        </is>
      </c>
      <c r="G212" t="n">
        <v>10.2</v>
      </c>
      <c r="H212" t="n">
        <v>0</v>
      </c>
      <c r="I212" t="n">
        <v>0</v>
      </c>
      <c r="J212" t="n">
        <v>0</v>
      </c>
      <c r="K212" t="n">
        <v>0</v>
      </c>
      <c r="L212" t="n">
        <v>0</v>
      </c>
      <c r="M212" t="n">
        <v>0</v>
      </c>
      <c r="N212" t="n">
        <v>0</v>
      </c>
      <c r="O212" t="n">
        <v>0</v>
      </c>
      <c r="P212" t="n">
        <v>0</v>
      </c>
      <c r="Q212" t="n">
        <v>0</v>
      </c>
      <c r="R212" s="2" t="inlineStr"/>
    </row>
    <row r="213" ht="15" customHeight="1">
      <c r="A213" t="inlineStr">
        <is>
          <t>A 32477-2025</t>
        </is>
      </c>
      <c r="B213" s="1" t="n">
        <v>45838.43098379629</v>
      </c>
      <c r="C213" s="1" t="n">
        <v>46087</v>
      </c>
      <c r="D213" t="inlineStr">
        <is>
          <t>UPPSALA LÄN</t>
        </is>
      </c>
      <c r="E213" t="inlineStr">
        <is>
          <t>ENKÖPING</t>
        </is>
      </c>
      <c r="G213" t="n">
        <v>2.7</v>
      </c>
      <c r="H213" t="n">
        <v>0</v>
      </c>
      <c r="I213" t="n">
        <v>0</v>
      </c>
      <c r="J213" t="n">
        <v>0</v>
      </c>
      <c r="K213" t="n">
        <v>0</v>
      </c>
      <c r="L213" t="n">
        <v>0</v>
      </c>
      <c r="M213" t="n">
        <v>0</v>
      </c>
      <c r="N213" t="n">
        <v>0</v>
      </c>
      <c r="O213" t="n">
        <v>0</v>
      </c>
      <c r="P213" t="n">
        <v>0</v>
      </c>
      <c r="Q213" t="n">
        <v>0</v>
      </c>
      <c r="R213" s="2" t="inlineStr"/>
    </row>
    <row r="214" ht="15" customHeight="1">
      <c r="A214" t="inlineStr">
        <is>
          <t>A 5749-2025</t>
        </is>
      </c>
      <c r="B214" s="1" t="n">
        <v>45694</v>
      </c>
      <c r="C214" s="1" t="n">
        <v>46087</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8020-2022</t>
        </is>
      </c>
      <c r="B215" s="1" t="n">
        <v>44609</v>
      </c>
      <c r="C215" s="1" t="n">
        <v>46087</v>
      </c>
      <c r="D215" t="inlineStr">
        <is>
          <t>UPPSALA LÄN</t>
        </is>
      </c>
      <c r="E215" t="inlineStr">
        <is>
          <t>ENKÖPING</t>
        </is>
      </c>
      <c r="G215" t="n">
        <v>6</v>
      </c>
      <c r="H215" t="n">
        <v>0</v>
      </c>
      <c r="I215" t="n">
        <v>0</v>
      </c>
      <c r="J215" t="n">
        <v>0</v>
      </c>
      <c r="K215" t="n">
        <v>0</v>
      </c>
      <c r="L215" t="n">
        <v>0</v>
      </c>
      <c r="M215" t="n">
        <v>0</v>
      </c>
      <c r="N215" t="n">
        <v>0</v>
      </c>
      <c r="O215" t="n">
        <v>0</v>
      </c>
      <c r="P215" t="n">
        <v>0</v>
      </c>
      <c r="Q215" t="n">
        <v>0</v>
      </c>
      <c r="R215" s="2" t="inlineStr"/>
    </row>
    <row r="216" ht="15" customHeight="1">
      <c r="A216" t="inlineStr">
        <is>
          <t>A 34805-2024</t>
        </is>
      </c>
      <c r="B216" s="1" t="n">
        <v>45526</v>
      </c>
      <c r="C216" s="1" t="n">
        <v>46087</v>
      </c>
      <c r="D216" t="inlineStr">
        <is>
          <t>UPPSALA LÄN</t>
        </is>
      </c>
      <c r="E216" t="inlineStr">
        <is>
          <t>ENKÖPING</t>
        </is>
      </c>
      <c r="G216" t="n">
        <v>3.6</v>
      </c>
      <c r="H216" t="n">
        <v>0</v>
      </c>
      <c r="I216" t="n">
        <v>0</v>
      </c>
      <c r="J216" t="n">
        <v>0</v>
      </c>
      <c r="K216" t="n">
        <v>0</v>
      </c>
      <c r="L216" t="n">
        <v>0</v>
      </c>
      <c r="M216" t="n">
        <v>0</v>
      </c>
      <c r="N216" t="n">
        <v>0</v>
      </c>
      <c r="O216" t="n">
        <v>0</v>
      </c>
      <c r="P216" t="n">
        <v>0</v>
      </c>
      <c r="Q216" t="n">
        <v>0</v>
      </c>
      <c r="R216" s="2" t="inlineStr"/>
    </row>
    <row r="217" ht="15" customHeight="1">
      <c r="A217" t="inlineStr">
        <is>
          <t>A 314-2025</t>
        </is>
      </c>
      <c r="B217" s="1" t="n">
        <v>45656</v>
      </c>
      <c r="C217" s="1" t="n">
        <v>46087</v>
      </c>
      <c r="D217" t="inlineStr">
        <is>
          <t>UPPSALA LÄN</t>
        </is>
      </c>
      <c r="E217" t="inlineStr">
        <is>
          <t>ENKÖPING</t>
        </is>
      </c>
      <c r="G217" t="n">
        <v>9</v>
      </c>
      <c r="H217" t="n">
        <v>0</v>
      </c>
      <c r="I217" t="n">
        <v>0</v>
      </c>
      <c r="J217" t="n">
        <v>0</v>
      </c>
      <c r="K217" t="n">
        <v>0</v>
      </c>
      <c r="L217" t="n">
        <v>0</v>
      </c>
      <c r="M217" t="n">
        <v>0</v>
      </c>
      <c r="N217" t="n">
        <v>0</v>
      </c>
      <c r="O217" t="n">
        <v>0</v>
      </c>
      <c r="P217" t="n">
        <v>0</v>
      </c>
      <c r="Q217" t="n">
        <v>0</v>
      </c>
      <c r="R217" s="2" t="inlineStr"/>
    </row>
    <row r="218" ht="15" customHeight="1">
      <c r="A218" t="inlineStr">
        <is>
          <t>A 10831-2024</t>
        </is>
      </c>
      <c r="B218" s="1" t="n">
        <v>45369</v>
      </c>
      <c r="C218" s="1" t="n">
        <v>46087</v>
      </c>
      <c r="D218" t="inlineStr">
        <is>
          <t>UPPSALA LÄN</t>
        </is>
      </c>
      <c r="E218" t="inlineStr">
        <is>
          <t>ENKÖPING</t>
        </is>
      </c>
      <c r="G218" t="n">
        <v>2.9</v>
      </c>
      <c r="H218" t="n">
        <v>0</v>
      </c>
      <c r="I218" t="n">
        <v>0</v>
      </c>
      <c r="J218" t="n">
        <v>0</v>
      </c>
      <c r="K218" t="n">
        <v>0</v>
      </c>
      <c r="L218" t="n">
        <v>0</v>
      </c>
      <c r="M218" t="n">
        <v>0</v>
      </c>
      <c r="N218" t="n">
        <v>0</v>
      </c>
      <c r="O218" t="n">
        <v>0</v>
      </c>
      <c r="P218" t="n">
        <v>0</v>
      </c>
      <c r="Q218" t="n">
        <v>0</v>
      </c>
      <c r="R218" s="2" t="inlineStr"/>
    </row>
    <row r="219" ht="15" customHeight="1">
      <c r="A219" t="inlineStr">
        <is>
          <t>A 5712-2025</t>
        </is>
      </c>
      <c r="B219" s="1" t="n">
        <v>45694</v>
      </c>
      <c r="C219" s="1" t="n">
        <v>46087</v>
      </c>
      <c r="D219" t="inlineStr">
        <is>
          <t>UPPSALA LÄN</t>
        </is>
      </c>
      <c r="E219" t="inlineStr">
        <is>
          <t>ENKÖPING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43506-2023</t>
        </is>
      </c>
      <c r="B220" s="1" t="n">
        <v>45181</v>
      </c>
      <c r="C220" s="1" t="n">
        <v>46087</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45956-2024</t>
        </is>
      </c>
      <c r="B221" s="1" t="n">
        <v>45580</v>
      </c>
      <c r="C221" s="1" t="n">
        <v>46087</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56625-2025</t>
        </is>
      </c>
      <c r="B222" s="1" t="n">
        <v>45975.60608796297</v>
      </c>
      <c r="C222" s="1" t="n">
        <v>46087</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57294-2025</t>
        </is>
      </c>
      <c r="B223" s="1" t="n">
        <v>45979</v>
      </c>
      <c r="C223" s="1" t="n">
        <v>46087</v>
      </c>
      <c r="D223" t="inlineStr">
        <is>
          <t>UPPSALA LÄN</t>
        </is>
      </c>
      <c r="E223" t="inlineStr">
        <is>
          <t>ENKÖPING</t>
        </is>
      </c>
      <c r="G223" t="n">
        <v>6.2</v>
      </c>
      <c r="H223" t="n">
        <v>0</v>
      </c>
      <c r="I223" t="n">
        <v>0</v>
      </c>
      <c r="J223" t="n">
        <v>0</v>
      </c>
      <c r="K223" t="n">
        <v>0</v>
      </c>
      <c r="L223" t="n">
        <v>0</v>
      </c>
      <c r="M223" t="n">
        <v>0</v>
      </c>
      <c r="N223" t="n">
        <v>0</v>
      </c>
      <c r="O223" t="n">
        <v>0</v>
      </c>
      <c r="P223" t="n">
        <v>0</v>
      </c>
      <c r="Q223" t="n">
        <v>0</v>
      </c>
      <c r="R223" s="2" t="inlineStr"/>
    </row>
    <row r="224" ht="15" customHeight="1">
      <c r="A224" t="inlineStr">
        <is>
          <t>A 11627-2025</t>
        </is>
      </c>
      <c r="B224" s="1" t="n">
        <v>45727</v>
      </c>
      <c r="C224" s="1" t="n">
        <v>46087</v>
      </c>
      <c r="D224" t="inlineStr">
        <is>
          <t>UPPSALA LÄN</t>
        </is>
      </c>
      <c r="E224" t="inlineStr">
        <is>
          <t>ENKÖPING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74090-2021</t>
        </is>
      </c>
      <c r="B225" s="1" t="n">
        <v>44557</v>
      </c>
      <c r="C225" s="1" t="n">
        <v>46087</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14004-2023</t>
        </is>
      </c>
      <c r="B226" s="1" t="n">
        <v>45008</v>
      </c>
      <c r="C226" s="1" t="n">
        <v>46087</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51012-2024</t>
        </is>
      </c>
      <c r="B227" s="1" t="n">
        <v>45603.39686342593</v>
      </c>
      <c r="C227" s="1" t="n">
        <v>46087</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58025-2025</t>
        </is>
      </c>
      <c r="B228" s="1" t="n">
        <v>45982</v>
      </c>
      <c r="C228" s="1" t="n">
        <v>46087</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41828-2024</t>
        </is>
      </c>
      <c r="B229" s="1" t="n">
        <v>45561</v>
      </c>
      <c r="C229" s="1" t="n">
        <v>46087</v>
      </c>
      <c r="D229" t="inlineStr">
        <is>
          <t>UPPSALA LÄN</t>
        </is>
      </c>
      <c r="E229" t="inlineStr">
        <is>
          <t>ENKÖPING</t>
        </is>
      </c>
      <c r="G229" t="n">
        <v>2.5</v>
      </c>
      <c r="H229" t="n">
        <v>0</v>
      </c>
      <c r="I229" t="n">
        <v>0</v>
      </c>
      <c r="J229" t="n">
        <v>0</v>
      </c>
      <c r="K229" t="n">
        <v>0</v>
      </c>
      <c r="L229" t="n">
        <v>0</v>
      </c>
      <c r="M229" t="n">
        <v>0</v>
      </c>
      <c r="N229" t="n">
        <v>0</v>
      </c>
      <c r="O229" t="n">
        <v>0</v>
      </c>
      <c r="P229" t="n">
        <v>0</v>
      </c>
      <c r="Q229" t="n">
        <v>0</v>
      </c>
      <c r="R229" s="2" t="inlineStr"/>
    </row>
    <row r="230" ht="15" customHeight="1">
      <c r="A230" t="inlineStr">
        <is>
          <t>A 45755-2025</t>
        </is>
      </c>
      <c r="B230" s="1" t="n">
        <v>45923.50240740741</v>
      </c>
      <c r="C230" s="1" t="n">
        <v>46087</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46590-2025</t>
        </is>
      </c>
      <c r="B231" s="1" t="n">
        <v>45926.39542824074</v>
      </c>
      <c r="C231" s="1" t="n">
        <v>46087</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10465-2022</t>
        </is>
      </c>
      <c r="B232" s="1" t="n">
        <v>44623</v>
      </c>
      <c r="C232" s="1" t="n">
        <v>46087</v>
      </c>
      <c r="D232" t="inlineStr">
        <is>
          <t>UPPSALA LÄN</t>
        </is>
      </c>
      <c r="E232" t="inlineStr">
        <is>
          <t>ENKÖPING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46087</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46087</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57188-2025</t>
        </is>
      </c>
      <c r="B235" s="1" t="n">
        <v>45979</v>
      </c>
      <c r="C235" s="1" t="n">
        <v>46087</v>
      </c>
      <c r="D235" t="inlineStr">
        <is>
          <t>UPPSALA LÄN</t>
        </is>
      </c>
      <c r="E235" t="inlineStr">
        <is>
          <t>ENKÖPING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58092-2024</t>
        </is>
      </c>
      <c r="B236" s="1" t="n">
        <v>45632</v>
      </c>
      <c r="C236" s="1" t="n">
        <v>46087</v>
      </c>
      <c r="D236" t="inlineStr">
        <is>
          <t>UPPSALA LÄN</t>
        </is>
      </c>
      <c r="E236" t="inlineStr">
        <is>
          <t>ENKÖPING</t>
        </is>
      </c>
      <c r="G236" t="n">
        <v>4.8</v>
      </c>
      <c r="H236" t="n">
        <v>0</v>
      </c>
      <c r="I236" t="n">
        <v>0</v>
      </c>
      <c r="J236" t="n">
        <v>0</v>
      </c>
      <c r="K236" t="n">
        <v>0</v>
      </c>
      <c r="L236" t="n">
        <v>0</v>
      </c>
      <c r="M236" t="n">
        <v>0</v>
      </c>
      <c r="N236" t="n">
        <v>0</v>
      </c>
      <c r="O236" t="n">
        <v>0</v>
      </c>
      <c r="P236" t="n">
        <v>0</v>
      </c>
      <c r="Q236" t="n">
        <v>0</v>
      </c>
      <c r="R236" s="2" t="inlineStr"/>
    </row>
    <row r="237" ht="15" customHeight="1">
      <c r="A237" t="inlineStr">
        <is>
          <t>A 47441-2025</t>
        </is>
      </c>
      <c r="B237" s="1" t="n">
        <v>45930.63986111111</v>
      </c>
      <c r="C237" s="1" t="n">
        <v>46087</v>
      </c>
      <c r="D237" t="inlineStr">
        <is>
          <t>UPPSALA LÄN</t>
        </is>
      </c>
      <c r="E237" t="inlineStr">
        <is>
          <t>ENKÖPING</t>
        </is>
      </c>
      <c r="F237" t="inlineStr">
        <is>
          <t>Allmännings- och besparingsskogar</t>
        </is>
      </c>
      <c r="G237" t="n">
        <v>11.5</v>
      </c>
      <c r="H237" t="n">
        <v>0</v>
      </c>
      <c r="I237" t="n">
        <v>0</v>
      </c>
      <c r="J237" t="n">
        <v>0</v>
      </c>
      <c r="K237" t="n">
        <v>0</v>
      </c>
      <c r="L237" t="n">
        <v>0</v>
      </c>
      <c r="M237" t="n">
        <v>0</v>
      </c>
      <c r="N237" t="n">
        <v>0</v>
      </c>
      <c r="O237" t="n">
        <v>0</v>
      </c>
      <c r="P237" t="n">
        <v>0</v>
      </c>
      <c r="Q237" t="n">
        <v>0</v>
      </c>
      <c r="R237" s="2" t="inlineStr"/>
    </row>
    <row r="238" ht="15" customHeight="1">
      <c r="A238" t="inlineStr">
        <is>
          <t>A 46940-2025</t>
        </is>
      </c>
      <c r="B238" s="1" t="n">
        <v>45929.45483796296</v>
      </c>
      <c r="C238" s="1" t="n">
        <v>46087</v>
      </c>
      <c r="D238" t="inlineStr">
        <is>
          <t>UPPSALA LÄN</t>
        </is>
      </c>
      <c r="E238" t="inlineStr">
        <is>
          <t>ENKÖPING</t>
        </is>
      </c>
      <c r="G238" t="n">
        <v>5.3</v>
      </c>
      <c r="H238" t="n">
        <v>0</v>
      </c>
      <c r="I238" t="n">
        <v>0</v>
      </c>
      <c r="J238" t="n">
        <v>0</v>
      </c>
      <c r="K238" t="n">
        <v>0</v>
      </c>
      <c r="L238" t="n">
        <v>0</v>
      </c>
      <c r="M238" t="n">
        <v>0</v>
      </c>
      <c r="N238" t="n">
        <v>0</v>
      </c>
      <c r="O238" t="n">
        <v>0</v>
      </c>
      <c r="P238" t="n">
        <v>0</v>
      </c>
      <c r="Q238" t="n">
        <v>0</v>
      </c>
      <c r="R238" s="2" t="inlineStr"/>
    </row>
    <row r="239" ht="15" customHeight="1">
      <c r="A239" t="inlineStr">
        <is>
          <t>A 5013-2025</t>
        </is>
      </c>
      <c r="B239" s="1" t="n">
        <v>45691</v>
      </c>
      <c r="C239" s="1" t="n">
        <v>46087</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11503-2024</t>
        </is>
      </c>
      <c r="B240" s="1" t="n">
        <v>45372.68020833333</v>
      </c>
      <c r="C240" s="1" t="n">
        <v>46087</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59668-2025</t>
        </is>
      </c>
      <c r="B241" s="1" t="n">
        <v>45992.45567129629</v>
      </c>
      <c r="C241" s="1" t="n">
        <v>46087</v>
      </c>
      <c r="D241" t="inlineStr">
        <is>
          <t>UPPSALA LÄN</t>
        </is>
      </c>
      <c r="E241" t="inlineStr">
        <is>
          <t>ENKÖPING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2164-2023</t>
        </is>
      </c>
      <c r="B242" s="1" t="n">
        <v>44941</v>
      </c>
      <c r="C242" s="1" t="n">
        <v>46087</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24411-2024</t>
        </is>
      </c>
      <c r="B243" s="1" t="n">
        <v>45457</v>
      </c>
      <c r="C243" s="1" t="n">
        <v>46087</v>
      </c>
      <c r="D243" t="inlineStr">
        <is>
          <t>UPPSALA LÄN</t>
        </is>
      </c>
      <c r="E243" t="inlineStr">
        <is>
          <t>ENKÖPING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59964-2025</t>
        </is>
      </c>
      <c r="B244" s="1" t="n">
        <v>45993.48043981481</v>
      </c>
      <c r="C244" s="1" t="n">
        <v>46087</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25988-2025</t>
        </is>
      </c>
      <c r="B245" s="1" t="n">
        <v>45804.64814814815</v>
      </c>
      <c r="C245" s="1" t="n">
        <v>46087</v>
      </c>
      <c r="D245" t="inlineStr">
        <is>
          <t>UPPSALA LÄN</t>
        </is>
      </c>
      <c r="E245" t="inlineStr">
        <is>
          <t>ENKÖPING</t>
        </is>
      </c>
      <c r="G245" t="n">
        <v>4.7</v>
      </c>
      <c r="H245" t="n">
        <v>0</v>
      </c>
      <c r="I245" t="n">
        <v>0</v>
      </c>
      <c r="J245" t="n">
        <v>0</v>
      </c>
      <c r="K245" t="n">
        <v>0</v>
      </c>
      <c r="L245" t="n">
        <v>0</v>
      </c>
      <c r="M245" t="n">
        <v>0</v>
      </c>
      <c r="N245" t="n">
        <v>0</v>
      </c>
      <c r="O245" t="n">
        <v>0</v>
      </c>
      <c r="P245" t="n">
        <v>0</v>
      </c>
      <c r="Q245" t="n">
        <v>0</v>
      </c>
      <c r="R245" s="2" t="inlineStr"/>
    </row>
    <row r="246" ht="15" customHeight="1">
      <c r="A246" t="inlineStr">
        <is>
          <t>A 33955-2024</t>
        </is>
      </c>
      <c r="B246" s="1" t="n">
        <v>45523.46952546296</v>
      </c>
      <c r="C246" s="1" t="n">
        <v>46087</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60174-2025</t>
        </is>
      </c>
      <c r="B247" s="1" t="n">
        <v>45994.45039351852</v>
      </c>
      <c r="C247" s="1" t="n">
        <v>46087</v>
      </c>
      <c r="D247" t="inlineStr">
        <is>
          <t>UPPSALA LÄN</t>
        </is>
      </c>
      <c r="E247" t="inlineStr">
        <is>
          <t>ENKÖPING</t>
        </is>
      </c>
      <c r="G247" t="n">
        <v>2.8</v>
      </c>
      <c r="H247" t="n">
        <v>0</v>
      </c>
      <c r="I247" t="n">
        <v>0</v>
      </c>
      <c r="J247" t="n">
        <v>0</v>
      </c>
      <c r="K247" t="n">
        <v>0</v>
      </c>
      <c r="L247" t="n">
        <v>0</v>
      </c>
      <c r="M247" t="n">
        <v>0</v>
      </c>
      <c r="N247" t="n">
        <v>0</v>
      </c>
      <c r="O247" t="n">
        <v>0</v>
      </c>
      <c r="P247" t="n">
        <v>0</v>
      </c>
      <c r="Q247" t="n">
        <v>0</v>
      </c>
      <c r="R247" s="2" t="inlineStr"/>
    </row>
    <row r="248" ht="15" customHeight="1">
      <c r="A248" t="inlineStr">
        <is>
          <t>A 60175-2025</t>
        </is>
      </c>
      <c r="B248" s="1" t="n">
        <v>45994.45378472222</v>
      </c>
      <c r="C248" s="1" t="n">
        <v>46087</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6172-2023</t>
        </is>
      </c>
      <c r="B249" s="1" t="n">
        <v>44964.68663194445</v>
      </c>
      <c r="C249" s="1" t="n">
        <v>46087</v>
      </c>
      <c r="D249" t="inlineStr">
        <is>
          <t>UPPSALA LÄN</t>
        </is>
      </c>
      <c r="E249" t="inlineStr">
        <is>
          <t>ENKÖPING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10409-2025</t>
        </is>
      </c>
      <c r="B250" s="1" t="n">
        <v>45720.631875</v>
      </c>
      <c r="C250" s="1" t="n">
        <v>46087</v>
      </c>
      <c r="D250" t="inlineStr">
        <is>
          <t>UPPSALA LÄN</t>
        </is>
      </c>
      <c r="E250" t="inlineStr">
        <is>
          <t>ENKÖPING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26024-2025</t>
        </is>
      </c>
      <c r="B251" s="1" t="n">
        <v>45804.6831712963</v>
      </c>
      <c r="C251" s="1" t="n">
        <v>46087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26042-2025</t>
        </is>
      </c>
      <c r="B252" s="1" t="n">
        <v>45804.70018518518</v>
      </c>
      <c r="C252" s="1" t="n">
        <v>46087</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26030-2025</t>
        </is>
      </c>
      <c r="B253" s="1" t="n">
        <v>45804.68815972222</v>
      </c>
      <c r="C253" s="1" t="n">
        <v>46087</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60340-2025</t>
        </is>
      </c>
      <c r="B254" s="1" t="n">
        <v>45994.83415509259</v>
      </c>
      <c r="C254" s="1" t="n">
        <v>46087</v>
      </c>
      <c r="D254" t="inlineStr">
        <is>
          <t>UPPSALA LÄN</t>
        </is>
      </c>
      <c r="E254" t="inlineStr">
        <is>
          <t>ENKÖPING</t>
        </is>
      </c>
      <c r="G254" t="n">
        <v>5.6</v>
      </c>
      <c r="H254" t="n">
        <v>0</v>
      </c>
      <c r="I254" t="n">
        <v>0</v>
      </c>
      <c r="J254" t="n">
        <v>0</v>
      </c>
      <c r="K254" t="n">
        <v>0</v>
      </c>
      <c r="L254" t="n">
        <v>0</v>
      </c>
      <c r="M254" t="n">
        <v>0</v>
      </c>
      <c r="N254" t="n">
        <v>0</v>
      </c>
      <c r="O254" t="n">
        <v>0</v>
      </c>
      <c r="P254" t="n">
        <v>0</v>
      </c>
      <c r="Q254" t="n">
        <v>0</v>
      </c>
      <c r="R254" s="2" t="inlineStr"/>
    </row>
    <row r="255" ht="15" customHeight="1">
      <c r="A255" t="inlineStr">
        <is>
          <t>A 26026-2025</t>
        </is>
      </c>
      <c r="B255" s="1" t="n">
        <v>45804.68510416667</v>
      </c>
      <c r="C255" s="1" t="n">
        <v>46087</v>
      </c>
      <c r="D255" t="inlineStr">
        <is>
          <t>UPPSALA LÄN</t>
        </is>
      </c>
      <c r="E255" t="inlineStr">
        <is>
          <t>ENKÖPING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26047-2025</t>
        </is>
      </c>
      <c r="B256" s="1" t="n">
        <v>45804.70835648148</v>
      </c>
      <c r="C256" s="1" t="n">
        <v>46087</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25847-2025</t>
        </is>
      </c>
      <c r="B257" s="1" t="n">
        <v>45804</v>
      </c>
      <c r="C257" s="1" t="n">
        <v>46087</v>
      </c>
      <c r="D257" t="inlineStr">
        <is>
          <t>UPPSALA LÄN</t>
        </is>
      </c>
      <c r="E257" t="inlineStr">
        <is>
          <t>ENKÖPING</t>
        </is>
      </c>
      <c r="G257" t="n">
        <v>3.6</v>
      </c>
      <c r="H257" t="n">
        <v>0</v>
      </c>
      <c r="I257" t="n">
        <v>0</v>
      </c>
      <c r="J257" t="n">
        <v>0</v>
      </c>
      <c r="K257" t="n">
        <v>0</v>
      </c>
      <c r="L257" t="n">
        <v>0</v>
      </c>
      <c r="M257" t="n">
        <v>0</v>
      </c>
      <c r="N257" t="n">
        <v>0</v>
      </c>
      <c r="O257" t="n">
        <v>0</v>
      </c>
      <c r="P257" t="n">
        <v>0</v>
      </c>
      <c r="Q257" t="n">
        <v>0</v>
      </c>
      <c r="R257" s="2" t="inlineStr"/>
    </row>
    <row r="258" ht="15" customHeight="1">
      <c r="A258" t="inlineStr">
        <is>
          <t>A 60947-2025</t>
        </is>
      </c>
      <c r="B258" s="1" t="n">
        <v>45999</v>
      </c>
      <c r="C258" s="1" t="n">
        <v>46087</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26005-2025</t>
        </is>
      </c>
      <c r="B259" s="1" t="n">
        <v>45804.67055555555</v>
      </c>
      <c r="C259" s="1" t="n">
        <v>46087</v>
      </c>
      <c r="D259" t="inlineStr">
        <is>
          <t>UPPSALA LÄN</t>
        </is>
      </c>
      <c r="E259" t="inlineStr">
        <is>
          <t>ENKÖPING</t>
        </is>
      </c>
      <c r="G259" t="n">
        <v>0.3</v>
      </c>
      <c r="H259" t="n">
        <v>0</v>
      </c>
      <c r="I259" t="n">
        <v>0</v>
      </c>
      <c r="J259" t="n">
        <v>0</v>
      </c>
      <c r="K259" t="n">
        <v>0</v>
      </c>
      <c r="L259" t="n">
        <v>0</v>
      </c>
      <c r="M259" t="n">
        <v>0</v>
      </c>
      <c r="N259" t="n">
        <v>0</v>
      </c>
      <c r="O259" t="n">
        <v>0</v>
      </c>
      <c r="P259" t="n">
        <v>0</v>
      </c>
      <c r="Q259" t="n">
        <v>0</v>
      </c>
      <c r="R259" s="2" t="inlineStr"/>
    </row>
    <row r="260" ht="15" customHeight="1">
      <c r="A260" t="inlineStr">
        <is>
          <t>A 26031-2025</t>
        </is>
      </c>
      <c r="B260" s="1" t="n">
        <v>45804.69050925926</v>
      </c>
      <c r="C260" s="1" t="n">
        <v>46087</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26041-2025</t>
        </is>
      </c>
      <c r="B261" s="1" t="n">
        <v>45804.69883101852</v>
      </c>
      <c r="C261" s="1" t="n">
        <v>46087</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26022-2025</t>
        </is>
      </c>
      <c r="B262" s="1" t="n">
        <v>45804.68006944445</v>
      </c>
      <c r="C262" s="1" t="n">
        <v>46087</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29477-2025</t>
        </is>
      </c>
      <c r="B263" s="1" t="n">
        <v>45824.71537037037</v>
      </c>
      <c r="C263" s="1" t="n">
        <v>46087</v>
      </c>
      <c r="D263" t="inlineStr">
        <is>
          <t>UPPSALA LÄN</t>
        </is>
      </c>
      <c r="E263" t="inlineStr">
        <is>
          <t>ENKÖPING</t>
        </is>
      </c>
      <c r="G263" t="n">
        <v>13.4</v>
      </c>
      <c r="H263" t="n">
        <v>0</v>
      </c>
      <c r="I263" t="n">
        <v>0</v>
      </c>
      <c r="J263" t="n">
        <v>0</v>
      </c>
      <c r="K263" t="n">
        <v>0</v>
      </c>
      <c r="L263" t="n">
        <v>0</v>
      </c>
      <c r="M263" t="n">
        <v>0</v>
      </c>
      <c r="N263" t="n">
        <v>0</v>
      </c>
      <c r="O263" t="n">
        <v>0</v>
      </c>
      <c r="P263" t="n">
        <v>0</v>
      </c>
      <c r="Q263" t="n">
        <v>0</v>
      </c>
      <c r="R263" s="2" t="inlineStr"/>
    </row>
    <row r="264" ht="15" customHeight="1">
      <c r="A264" t="inlineStr">
        <is>
          <t>A 60934-2025</t>
        </is>
      </c>
      <c r="B264" s="1" t="n">
        <v>45999</v>
      </c>
      <c r="C264" s="1" t="n">
        <v>46087</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21686-2022</t>
        </is>
      </c>
      <c r="B265" s="1" t="n">
        <v>44707</v>
      </c>
      <c r="C265" s="1" t="n">
        <v>46087</v>
      </c>
      <c r="D265" t="inlineStr">
        <is>
          <t>UPPSALA LÄN</t>
        </is>
      </c>
      <c r="E265" t="inlineStr">
        <is>
          <t>ENKÖPING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29479-2022</t>
        </is>
      </c>
      <c r="B266" s="1" t="n">
        <v>44753.57265046296</v>
      </c>
      <c r="C266" s="1" t="n">
        <v>46087</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61437-2025</t>
        </is>
      </c>
      <c r="B267" s="1" t="n">
        <v>46001.5659375</v>
      </c>
      <c r="C267" s="1" t="n">
        <v>46087</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38941-2025</t>
        </is>
      </c>
      <c r="B268" s="1" t="n">
        <v>45887</v>
      </c>
      <c r="C268" s="1" t="n">
        <v>46087</v>
      </c>
      <c r="D268" t="inlineStr">
        <is>
          <t>UPPSALA LÄN</t>
        </is>
      </c>
      <c r="E268" t="inlineStr">
        <is>
          <t>ENKÖPING</t>
        </is>
      </c>
      <c r="F268" t="inlineStr">
        <is>
          <t>Övriga statliga verk och myndigheter</t>
        </is>
      </c>
      <c r="G268" t="n">
        <v>0.6</v>
      </c>
      <c r="H268" t="n">
        <v>0</v>
      </c>
      <c r="I268" t="n">
        <v>0</v>
      </c>
      <c r="J268" t="n">
        <v>0</v>
      </c>
      <c r="K268" t="n">
        <v>0</v>
      </c>
      <c r="L268" t="n">
        <v>0</v>
      </c>
      <c r="M268" t="n">
        <v>0</v>
      </c>
      <c r="N268" t="n">
        <v>0</v>
      </c>
      <c r="O268" t="n">
        <v>0</v>
      </c>
      <c r="P268" t="n">
        <v>0</v>
      </c>
      <c r="Q268" t="n">
        <v>0</v>
      </c>
      <c r="R268" s="2" t="inlineStr"/>
    </row>
    <row r="269" ht="15" customHeight="1">
      <c r="A269" t="inlineStr">
        <is>
          <t>A 61778-2025</t>
        </is>
      </c>
      <c r="B269" s="1" t="n">
        <v>46002.66555555556</v>
      </c>
      <c r="C269" s="1" t="n">
        <v>46087</v>
      </c>
      <c r="D269" t="inlineStr">
        <is>
          <t>UPPSALA LÄN</t>
        </is>
      </c>
      <c r="E269" t="inlineStr">
        <is>
          <t>ENKÖPING</t>
        </is>
      </c>
      <c r="G269" t="n">
        <v>3.2</v>
      </c>
      <c r="H269" t="n">
        <v>0</v>
      </c>
      <c r="I269" t="n">
        <v>0</v>
      </c>
      <c r="J269" t="n">
        <v>0</v>
      </c>
      <c r="K269" t="n">
        <v>0</v>
      </c>
      <c r="L269" t="n">
        <v>0</v>
      </c>
      <c r="M269" t="n">
        <v>0</v>
      </c>
      <c r="N269" t="n">
        <v>0</v>
      </c>
      <c r="O269" t="n">
        <v>0</v>
      </c>
      <c r="P269" t="n">
        <v>0</v>
      </c>
      <c r="Q269" t="n">
        <v>0</v>
      </c>
      <c r="R269" s="2" t="inlineStr"/>
    </row>
    <row r="270" ht="15" customHeight="1">
      <c r="A270" t="inlineStr">
        <is>
          <t>A 49525-2021</t>
        </is>
      </c>
      <c r="B270" s="1" t="n">
        <v>44455</v>
      </c>
      <c r="C270" s="1" t="n">
        <v>46087</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61811-2025</t>
        </is>
      </c>
      <c r="B271" s="1" t="n">
        <v>46002.90059027778</v>
      </c>
      <c r="C271" s="1" t="n">
        <v>46087</v>
      </c>
      <c r="D271" t="inlineStr">
        <is>
          <t>UPPSALA LÄN</t>
        </is>
      </c>
      <c r="E271" t="inlineStr">
        <is>
          <t>ENKÖPING</t>
        </is>
      </c>
      <c r="F271" t="inlineStr">
        <is>
          <t>Allmännings- och besparingsskogar</t>
        </is>
      </c>
      <c r="G271" t="n">
        <v>4.7</v>
      </c>
      <c r="H271" t="n">
        <v>0</v>
      </c>
      <c r="I271" t="n">
        <v>0</v>
      </c>
      <c r="J271" t="n">
        <v>0</v>
      </c>
      <c r="K271" t="n">
        <v>0</v>
      </c>
      <c r="L271" t="n">
        <v>0</v>
      </c>
      <c r="M271" t="n">
        <v>0</v>
      </c>
      <c r="N271" t="n">
        <v>0</v>
      </c>
      <c r="O271" t="n">
        <v>0</v>
      </c>
      <c r="P271" t="n">
        <v>0</v>
      </c>
      <c r="Q271" t="n">
        <v>0</v>
      </c>
      <c r="R271" s="2" t="inlineStr"/>
    </row>
    <row r="272" ht="15" customHeight="1">
      <c r="A272" t="inlineStr">
        <is>
          <t>A 35067-2024</t>
        </is>
      </c>
      <c r="B272" s="1" t="n">
        <v>45527.66153935185</v>
      </c>
      <c r="C272" s="1" t="n">
        <v>46087</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57328-2024</t>
        </is>
      </c>
      <c r="B273" s="1" t="n">
        <v>45629.62798611111</v>
      </c>
      <c r="C273" s="1" t="n">
        <v>46087</v>
      </c>
      <c r="D273" t="inlineStr">
        <is>
          <t>UPPSALA LÄN</t>
        </is>
      </c>
      <c r="E273" t="inlineStr">
        <is>
          <t>ENKÖPING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61889-2025</t>
        </is>
      </c>
      <c r="B274" s="1" t="n">
        <v>46003.44765046296</v>
      </c>
      <c r="C274" s="1" t="n">
        <v>46087</v>
      </c>
      <c r="D274" t="inlineStr">
        <is>
          <t>UPPSALA LÄN</t>
        </is>
      </c>
      <c r="E274" t="inlineStr">
        <is>
          <t>ENKÖPING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62772-2025</t>
        </is>
      </c>
      <c r="B275" s="1" t="n">
        <v>46008.60365740741</v>
      </c>
      <c r="C275" s="1" t="n">
        <v>46087</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62599-2025</t>
        </is>
      </c>
      <c r="B276" s="1" t="n">
        <v>46007.91961805556</v>
      </c>
      <c r="C276" s="1" t="n">
        <v>46087</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5104-2026</t>
        </is>
      </c>
      <c r="B277" s="1" t="n">
        <v>46049.56914351852</v>
      </c>
      <c r="C277" s="1" t="n">
        <v>46087</v>
      </c>
      <c r="D277" t="inlineStr">
        <is>
          <t>UPPSALA LÄN</t>
        </is>
      </c>
      <c r="E277" t="inlineStr">
        <is>
          <t>ENKÖPING</t>
        </is>
      </c>
      <c r="G277" t="n">
        <v>2.3</v>
      </c>
      <c r="H277" t="n">
        <v>0</v>
      </c>
      <c r="I277" t="n">
        <v>0</v>
      </c>
      <c r="J277" t="n">
        <v>0</v>
      </c>
      <c r="K277" t="n">
        <v>0</v>
      </c>
      <c r="L277" t="n">
        <v>0</v>
      </c>
      <c r="M277" t="n">
        <v>0</v>
      </c>
      <c r="N277" t="n">
        <v>0</v>
      </c>
      <c r="O277" t="n">
        <v>0</v>
      </c>
      <c r="P277" t="n">
        <v>0</v>
      </c>
      <c r="Q277" t="n">
        <v>0</v>
      </c>
      <c r="R277" s="2" t="inlineStr"/>
    </row>
    <row r="278" ht="15" customHeight="1">
      <c r="A278" t="inlineStr">
        <is>
          <t>A 62601-2025</t>
        </is>
      </c>
      <c r="B278" s="1" t="n">
        <v>46007.92395833333</v>
      </c>
      <c r="C278" s="1" t="n">
        <v>46087</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62602-2025</t>
        </is>
      </c>
      <c r="B279" s="1" t="n">
        <v>46007.92581018519</v>
      </c>
      <c r="C279" s="1" t="n">
        <v>46087</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56837-2024</t>
        </is>
      </c>
      <c r="B280" s="1" t="n">
        <v>45628</v>
      </c>
      <c r="C280" s="1" t="n">
        <v>46087</v>
      </c>
      <c r="D280" t="inlineStr">
        <is>
          <t>UPPSALA LÄN</t>
        </is>
      </c>
      <c r="E280" t="inlineStr">
        <is>
          <t>ENKÖPING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62600-2025</t>
        </is>
      </c>
      <c r="B281" s="1" t="n">
        <v>46007.92175925926</v>
      </c>
      <c r="C281" s="1" t="n">
        <v>46087</v>
      </c>
      <c r="D281" t="inlineStr">
        <is>
          <t>UPPSALA LÄN</t>
        </is>
      </c>
      <c r="E281" t="inlineStr">
        <is>
          <t>ENKÖPING</t>
        </is>
      </c>
      <c r="G281" t="n">
        <v>2</v>
      </c>
      <c r="H281" t="n">
        <v>0</v>
      </c>
      <c r="I281" t="n">
        <v>0</v>
      </c>
      <c r="J281" t="n">
        <v>0</v>
      </c>
      <c r="K281" t="n">
        <v>0</v>
      </c>
      <c r="L281" t="n">
        <v>0</v>
      </c>
      <c r="M281" t="n">
        <v>0</v>
      </c>
      <c r="N281" t="n">
        <v>0</v>
      </c>
      <c r="O281" t="n">
        <v>0</v>
      </c>
      <c r="P281" t="n">
        <v>0</v>
      </c>
      <c r="Q281" t="n">
        <v>0</v>
      </c>
      <c r="R281" s="2" t="inlineStr"/>
    </row>
    <row r="282" ht="15" customHeight="1">
      <c r="A282" t="inlineStr">
        <is>
          <t>A 63128-2025</t>
        </is>
      </c>
      <c r="B282" s="1" t="n">
        <v>46009</v>
      </c>
      <c r="C282" s="1" t="n">
        <v>46087</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6044-2026</t>
        </is>
      </c>
      <c r="B283" s="1" t="n">
        <v>46052.62506944445</v>
      </c>
      <c r="C283" s="1" t="n">
        <v>46087</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55876-2024</t>
        </is>
      </c>
      <c r="B284" s="1" t="n">
        <v>45623.5546412037</v>
      </c>
      <c r="C284" s="1" t="n">
        <v>46087</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6031-2026</t>
        </is>
      </c>
      <c r="B285" s="1" t="n">
        <v>46052.61201388889</v>
      </c>
      <c r="C285" s="1" t="n">
        <v>46087</v>
      </c>
      <c r="D285" t="inlineStr">
        <is>
          <t>UPPSALA LÄN</t>
        </is>
      </c>
      <c r="E285" t="inlineStr">
        <is>
          <t>ENKÖPING</t>
        </is>
      </c>
      <c r="G285" t="n">
        <v>4.1</v>
      </c>
      <c r="H285" t="n">
        <v>0</v>
      </c>
      <c r="I285" t="n">
        <v>0</v>
      </c>
      <c r="J285" t="n">
        <v>0</v>
      </c>
      <c r="K285" t="n">
        <v>0</v>
      </c>
      <c r="L285" t="n">
        <v>0</v>
      </c>
      <c r="M285" t="n">
        <v>0</v>
      </c>
      <c r="N285" t="n">
        <v>0</v>
      </c>
      <c r="O285" t="n">
        <v>0</v>
      </c>
      <c r="P285" t="n">
        <v>0</v>
      </c>
      <c r="Q285" t="n">
        <v>0</v>
      </c>
      <c r="R285" s="2" t="inlineStr"/>
    </row>
    <row r="286" ht="15" customHeight="1">
      <c r="A286" t="inlineStr">
        <is>
          <t>A 6049-2026</t>
        </is>
      </c>
      <c r="B286" s="1" t="n">
        <v>46052.63005787037</v>
      </c>
      <c r="C286" s="1" t="n">
        <v>46087</v>
      </c>
      <c r="D286" t="inlineStr">
        <is>
          <t>UPPSALA LÄN</t>
        </is>
      </c>
      <c r="E286" t="inlineStr">
        <is>
          <t>ENKÖPING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6047-2026</t>
        </is>
      </c>
      <c r="B287" s="1" t="n">
        <v>46052.62738425926</v>
      </c>
      <c r="C287" s="1" t="n">
        <v>46087</v>
      </c>
      <c r="D287" t="inlineStr">
        <is>
          <t>UPPSALA LÄN</t>
        </is>
      </c>
      <c r="E287" t="inlineStr">
        <is>
          <t>ENKÖPING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25334-2023</t>
        </is>
      </c>
      <c r="B288" s="1" t="n">
        <v>45083</v>
      </c>
      <c r="C288" s="1" t="n">
        <v>46087</v>
      </c>
      <c r="D288" t="inlineStr">
        <is>
          <t>UPPSALA LÄN</t>
        </is>
      </c>
      <c r="E288" t="inlineStr">
        <is>
          <t>ENKÖPING</t>
        </is>
      </c>
      <c r="G288" t="n">
        <v>0.2</v>
      </c>
      <c r="H288" t="n">
        <v>0</v>
      </c>
      <c r="I288" t="n">
        <v>0</v>
      </c>
      <c r="J288" t="n">
        <v>0</v>
      </c>
      <c r="K288" t="n">
        <v>0</v>
      </c>
      <c r="L288" t="n">
        <v>0</v>
      </c>
      <c r="M288" t="n">
        <v>0</v>
      </c>
      <c r="N288" t="n">
        <v>0</v>
      </c>
      <c r="O288" t="n">
        <v>0</v>
      </c>
      <c r="P288" t="n">
        <v>0</v>
      </c>
      <c r="Q288" t="n">
        <v>0</v>
      </c>
      <c r="R288" s="2" t="inlineStr"/>
    </row>
    <row r="289" ht="15" customHeight="1">
      <c r="A289" t="inlineStr">
        <is>
          <t>A 5953-2026</t>
        </is>
      </c>
      <c r="B289" s="1" t="n">
        <v>46052.49119212963</v>
      </c>
      <c r="C289" s="1" t="n">
        <v>46087</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6041-2026</t>
        </is>
      </c>
      <c r="B290" s="1" t="n">
        <v>46052.62184027778</v>
      </c>
      <c r="C290" s="1" t="n">
        <v>46087</v>
      </c>
      <c r="D290" t="inlineStr">
        <is>
          <t>UPPSALA LÄN</t>
        </is>
      </c>
      <c r="E290" t="inlineStr">
        <is>
          <t>ENKÖPING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33349-2024</t>
        </is>
      </c>
      <c r="B291" s="1" t="n">
        <v>45519</v>
      </c>
      <c r="C291" s="1" t="n">
        <v>46087</v>
      </c>
      <c r="D291" t="inlineStr">
        <is>
          <t>UPPSALA LÄN</t>
        </is>
      </c>
      <c r="E291" t="inlineStr">
        <is>
          <t>ENKÖPING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5569-2026</t>
        </is>
      </c>
      <c r="B292" s="1" t="n">
        <v>46050.89431712963</v>
      </c>
      <c r="C292" s="1" t="n">
        <v>46087</v>
      </c>
      <c r="D292" t="inlineStr">
        <is>
          <t>UPPSALA LÄN</t>
        </is>
      </c>
      <c r="E292" t="inlineStr">
        <is>
          <t>ENKÖPING</t>
        </is>
      </c>
      <c r="G292" t="n">
        <v>1.6</v>
      </c>
      <c r="H292" t="n">
        <v>0</v>
      </c>
      <c r="I292" t="n">
        <v>0</v>
      </c>
      <c r="J292" t="n">
        <v>0</v>
      </c>
      <c r="K292" t="n">
        <v>0</v>
      </c>
      <c r="L292" t="n">
        <v>0</v>
      </c>
      <c r="M292" t="n">
        <v>0</v>
      </c>
      <c r="N292" t="n">
        <v>0</v>
      </c>
      <c r="O292" t="n">
        <v>0</v>
      </c>
      <c r="P292" t="n">
        <v>0</v>
      </c>
      <c r="Q292" t="n">
        <v>0</v>
      </c>
      <c r="R292" s="2" t="inlineStr"/>
    </row>
    <row r="293" ht="15" customHeight="1">
      <c r="A293" t="inlineStr">
        <is>
          <t>A 5948-2026</t>
        </is>
      </c>
      <c r="B293" s="1" t="n">
        <v>46052</v>
      </c>
      <c r="C293" s="1" t="n">
        <v>46087</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53587-2024</t>
        </is>
      </c>
      <c r="B294" s="1" t="n">
        <v>45614.66953703704</v>
      </c>
      <c r="C294" s="1" t="n">
        <v>46087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7003-2026</t>
        </is>
      </c>
      <c r="B295" s="1" t="n">
        <v>46057.63243055555</v>
      </c>
      <c r="C295" s="1" t="n">
        <v>46087</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27829-2025</t>
        </is>
      </c>
      <c r="B296" s="1" t="n">
        <v>45817</v>
      </c>
      <c r="C296" s="1" t="n">
        <v>46087</v>
      </c>
      <c r="D296" t="inlineStr">
        <is>
          <t>UPPSALA LÄN</t>
        </is>
      </c>
      <c r="E296" t="inlineStr">
        <is>
          <t>ENKÖPING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7008-2026</t>
        </is>
      </c>
      <c r="B297" s="1" t="n">
        <v>46057.63806712963</v>
      </c>
      <c r="C297" s="1" t="n">
        <v>46087</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18583-2021</t>
        </is>
      </c>
      <c r="B298" s="1" t="n">
        <v>44306</v>
      </c>
      <c r="C298" s="1" t="n">
        <v>46087</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7168-2026</t>
        </is>
      </c>
      <c r="B299" s="1" t="n">
        <v>46058.45831018518</v>
      </c>
      <c r="C299" s="1" t="n">
        <v>46087</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7175-2026</t>
        </is>
      </c>
      <c r="B300" s="1" t="n">
        <v>46058.46399305556</v>
      </c>
      <c r="C300" s="1" t="n">
        <v>46087</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7167-2026</t>
        </is>
      </c>
      <c r="B301" s="1" t="n">
        <v>46058.45677083333</v>
      </c>
      <c r="C301" s="1" t="n">
        <v>46087</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60125-2024</t>
        </is>
      </c>
      <c r="B302" s="1" t="n">
        <v>45642</v>
      </c>
      <c r="C302" s="1" t="n">
        <v>46087</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7172-2026</t>
        </is>
      </c>
      <c r="B303" s="1" t="n">
        <v>46058.46113425926</v>
      </c>
      <c r="C303" s="1" t="n">
        <v>46087</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1695-2025</t>
        </is>
      </c>
      <c r="B304" s="1" t="n">
        <v>45670</v>
      </c>
      <c r="C304" s="1" t="n">
        <v>46087</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60848-2025</t>
        </is>
      </c>
      <c r="B305" s="1" t="n">
        <v>45999</v>
      </c>
      <c r="C305" s="1" t="n">
        <v>46087</v>
      </c>
      <c r="D305" t="inlineStr">
        <is>
          <t>UPPSALA LÄN</t>
        </is>
      </c>
      <c r="E305" t="inlineStr">
        <is>
          <t>ENKÖPING</t>
        </is>
      </c>
      <c r="G305" t="n">
        <v>2.5</v>
      </c>
      <c r="H305" t="n">
        <v>0</v>
      </c>
      <c r="I305" t="n">
        <v>0</v>
      </c>
      <c r="J305" t="n">
        <v>0</v>
      </c>
      <c r="K305" t="n">
        <v>0</v>
      </c>
      <c r="L305" t="n">
        <v>0</v>
      </c>
      <c r="M305" t="n">
        <v>0</v>
      </c>
      <c r="N305" t="n">
        <v>0</v>
      </c>
      <c r="O305" t="n">
        <v>0</v>
      </c>
      <c r="P305" t="n">
        <v>0</v>
      </c>
      <c r="Q305" t="n">
        <v>0</v>
      </c>
      <c r="R305" s="2" t="inlineStr"/>
    </row>
    <row r="306" ht="15" customHeight="1">
      <c r="A306" t="inlineStr">
        <is>
          <t>A 59027-2024</t>
        </is>
      </c>
      <c r="B306" s="1" t="n">
        <v>45636.68755787037</v>
      </c>
      <c r="C306" s="1" t="n">
        <v>46087</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42564-2024</t>
        </is>
      </c>
      <c r="B307" s="1" t="n">
        <v>45565.63358796296</v>
      </c>
      <c r="C307" s="1" t="n">
        <v>46087</v>
      </c>
      <c r="D307" t="inlineStr">
        <is>
          <t>UPPSALA LÄN</t>
        </is>
      </c>
      <c r="E307" t="inlineStr">
        <is>
          <t>ENKÖPING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3235-2025</t>
        </is>
      </c>
      <c r="B308" s="1" t="n">
        <v>45679</v>
      </c>
      <c r="C308" s="1" t="n">
        <v>46087</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15711-2025</t>
        </is>
      </c>
      <c r="B309" s="1" t="n">
        <v>45748</v>
      </c>
      <c r="C309" s="1" t="n">
        <v>46087</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6959-2025</t>
        </is>
      </c>
      <c r="B310" s="1" t="n">
        <v>45701.49315972222</v>
      </c>
      <c r="C310" s="1" t="n">
        <v>46087</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17165-2025</t>
        </is>
      </c>
      <c r="B311" s="1" t="n">
        <v>45756</v>
      </c>
      <c r="C311" s="1" t="n">
        <v>46087</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8309-2026</t>
        </is>
      </c>
      <c r="B312" s="1" t="n">
        <v>46064.59081018518</v>
      </c>
      <c r="C312" s="1" t="n">
        <v>46087</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28855-2025</t>
        </is>
      </c>
      <c r="B313" s="1" t="n">
        <v>45820.58274305556</v>
      </c>
      <c r="C313" s="1" t="n">
        <v>46087</v>
      </c>
      <c r="D313" t="inlineStr">
        <is>
          <t>UPPSALA LÄN</t>
        </is>
      </c>
      <c r="E313" t="inlineStr">
        <is>
          <t>ENKÖPING</t>
        </is>
      </c>
      <c r="G313" t="n">
        <v>2.4</v>
      </c>
      <c r="H313" t="n">
        <v>0</v>
      </c>
      <c r="I313" t="n">
        <v>0</v>
      </c>
      <c r="J313" t="n">
        <v>0</v>
      </c>
      <c r="K313" t="n">
        <v>0</v>
      </c>
      <c r="L313" t="n">
        <v>0</v>
      </c>
      <c r="M313" t="n">
        <v>0</v>
      </c>
      <c r="N313" t="n">
        <v>0</v>
      </c>
      <c r="O313" t="n">
        <v>0</v>
      </c>
      <c r="P313" t="n">
        <v>0</v>
      </c>
      <c r="Q313" t="n">
        <v>0</v>
      </c>
      <c r="R313" s="2" t="inlineStr"/>
    </row>
    <row r="314" ht="15" customHeight="1">
      <c r="A314" t="inlineStr">
        <is>
          <t>A 28758-2025</t>
        </is>
      </c>
      <c r="B314" s="1" t="n">
        <v>45820.41212962963</v>
      </c>
      <c r="C314" s="1" t="n">
        <v>46087</v>
      </c>
      <c r="D314" t="inlineStr">
        <is>
          <t>UPPSALA LÄN</t>
        </is>
      </c>
      <c r="E314" t="inlineStr">
        <is>
          <t>ENKÖPING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39009-2024</t>
        </is>
      </c>
      <c r="B315" s="1" t="n">
        <v>45548</v>
      </c>
      <c r="C315" s="1" t="n">
        <v>46087</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8537-2025</t>
        </is>
      </c>
      <c r="B316" s="1" t="n">
        <v>45709</v>
      </c>
      <c r="C316" s="1" t="n">
        <v>46087</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52299-2023</t>
        </is>
      </c>
      <c r="B317" s="1" t="n">
        <v>45224.61636574074</v>
      </c>
      <c r="C317" s="1" t="n">
        <v>46087</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44343.4558912037</v>
      </c>
      <c r="C318" s="1" t="n">
        <v>46087</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32081-2024</t>
        </is>
      </c>
      <c r="B319" s="1" t="n">
        <v>45511.34605324074</v>
      </c>
      <c r="C319" s="1" t="n">
        <v>46087</v>
      </c>
      <c r="D319" t="inlineStr">
        <is>
          <t>UPPSALA LÄN</t>
        </is>
      </c>
      <c r="E319" t="inlineStr">
        <is>
          <t>ENKÖPING</t>
        </is>
      </c>
      <c r="G319" t="n">
        <v>5.4</v>
      </c>
      <c r="H319" t="n">
        <v>0</v>
      </c>
      <c r="I319" t="n">
        <v>0</v>
      </c>
      <c r="J319" t="n">
        <v>0</v>
      </c>
      <c r="K319" t="n">
        <v>0</v>
      </c>
      <c r="L319" t="n">
        <v>0</v>
      </c>
      <c r="M319" t="n">
        <v>0</v>
      </c>
      <c r="N319" t="n">
        <v>0</v>
      </c>
      <c r="O319" t="n">
        <v>0</v>
      </c>
      <c r="P319" t="n">
        <v>0</v>
      </c>
      <c r="Q319" t="n">
        <v>0</v>
      </c>
      <c r="R319" s="2" t="inlineStr"/>
    </row>
    <row r="320" ht="15" customHeight="1">
      <c r="A320" t="inlineStr">
        <is>
          <t>A 28862-2025</t>
        </is>
      </c>
      <c r="B320" s="1" t="n">
        <v>45820.59189814814</v>
      </c>
      <c r="C320" s="1" t="n">
        <v>46087</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20184-2023</t>
        </is>
      </c>
      <c r="B321" s="1" t="n">
        <v>45055.5670949074</v>
      </c>
      <c r="C321" s="1" t="n">
        <v>46087</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9148-2026</t>
        </is>
      </c>
      <c r="B322" s="1" t="n">
        <v>46070.30946759259</v>
      </c>
      <c r="C322" s="1" t="n">
        <v>46087</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25989-2025</t>
        </is>
      </c>
      <c r="B323" s="1" t="n">
        <v>45804.65050925926</v>
      </c>
      <c r="C323" s="1" t="n">
        <v>46087</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9257-2026</t>
        </is>
      </c>
      <c r="B324" s="1" t="n">
        <v>46070.51166666667</v>
      </c>
      <c r="C324" s="1" t="n">
        <v>46087</v>
      </c>
      <c r="D324" t="inlineStr">
        <is>
          <t>UPPSALA LÄN</t>
        </is>
      </c>
      <c r="E324" t="inlineStr">
        <is>
          <t>ENKÖPING</t>
        </is>
      </c>
      <c r="G324" t="n">
        <v>2.6</v>
      </c>
      <c r="H324" t="n">
        <v>0</v>
      </c>
      <c r="I324" t="n">
        <v>0</v>
      </c>
      <c r="J324" t="n">
        <v>0</v>
      </c>
      <c r="K324" t="n">
        <v>0</v>
      </c>
      <c r="L324" t="n">
        <v>0</v>
      </c>
      <c r="M324" t="n">
        <v>0</v>
      </c>
      <c r="N324" t="n">
        <v>0</v>
      </c>
      <c r="O324" t="n">
        <v>0</v>
      </c>
      <c r="P324" t="n">
        <v>0</v>
      </c>
      <c r="Q324" t="n">
        <v>0</v>
      </c>
      <c r="R324" s="2" t="inlineStr"/>
    </row>
    <row r="325" ht="15" customHeight="1">
      <c r="A325" t="inlineStr">
        <is>
          <t>A 25990-2025</t>
        </is>
      </c>
      <c r="B325" s="1" t="n">
        <v>45804.65229166667</v>
      </c>
      <c r="C325" s="1" t="n">
        <v>46087</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61952-2021</t>
        </is>
      </c>
      <c r="B326" s="1" t="n">
        <v>44502</v>
      </c>
      <c r="C326" s="1" t="n">
        <v>46087</v>
      </c>
      <c r="D326" t="inlineStr">
        <is>
          <t>UPPSALA LÄN</t>
        </is>
      </c>
      <c r="E326" t="inlineStr">
        <is>
          <t>ENKÖPING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192-2026</t>
        </is>
      </c>
      <c r="B327" s="1" t="n">
        <v>46025</v>
      </c>
      <c r="C327" s="1" t="n">
        <v>46087</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9469-2026</t>
        </is>
      </c>
      <c r="B328" s="1" t="n">
        <v>46071.51248842593</v>
      </c>
      <c r="C328" s="1" t="n">
        <v>46087</v>
      </c>
      <c r="D328" t="inlineStr">
        <is>
          <t>UPPSALA LÄN</t>
        </is>
      </c>
      <c r="E328" t="inlineStr">
        <is>
          <t>ENKÖPING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9474-2026</t>
        </is>
      </c>
      <c r="B329" s="1" t="n">
        <v>46071.52324074074</v>
      </c>
      <c r="C329" s="1" t="n">
        <v>46087</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29093-2025</t>
        </is>
      </c>
      <c r="B330" s="1" t="n">
        <v>45821.55743055556</v>
      </c>
      <c r="C330" s="1" t="n">
        <v>46087</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59602-2022</t>
        </is>
      </c>
      <c r="B331" s="1" t="n">
        <v>44907.72241898148</v>
      </c>
      <c r="C331" s="1" t="n">
        <v>46087</v>
      </c>
      <c r="D331" t="inlineStr">
        <is>
          <t>UPPSALA LÄN</t>
        </is>
      </c>
      <c r="E331" t="inlineStr">
        <is>
          <t>ENKÖPING</t>
        </is>
      </c>
      <c r="G331" t="n">
        <v>14.2</v>
      </c>
      <c r="H331" t="n">
        <v>0</v>
      </c>
      <c r="I331" t="n">
        <v>0</v>
      </c>
      <c r="J331" t="n">
        <v>0</v>
      </c>
      <c r="K331" t="n">
        <v>0</v>
      </c>
      <c r="L331" t="n">
        <v>0</v>
      </c>
      <c r="M331" t="n">
        <v>0</v>
      </c>
      <c r="N331" t="n">
        <v>0</v>
      </c>
      <c r="O331" t="n">
        <v>0</v>
      </c>
      <c r="P331" t="n">
        <v>0</v>
      </c>
      <c r="Q331" t="n">
        <v>0</v>
      </c>
      <c r="R331" s="2" t="inlineStr"/>
    </row>
    <row r="332" ht="15" customHeight="1">
      <c r="A332" t="inlineStr">
        <is>
          <t>A 42589-2022</t>
        </is>
      </c>
      <c r="B332" s="1" t="n">
        <v>44831</v>
      </c>
      <c r="C332" s="1" t="n">
        <v>46087</v>
      </c>
      <c r="D332" t="inlineStr">
        <is>
          <t>UPPSALA LÄN</t>
        </is>
      </c>
      <c r="E332" t="inlineStr">
        <is>
          <t>ENKÖPING</t>
        </is>
      </c>
      <c r="G332" t="n">
        <v>20</v>
      </c>
      <c r="H332" t="n">
        <v>0</v>
      </c>
      <c r="I332" t="n">
        <v>0</v>
      </c>
      <c r="J332" t="n">
        <v>0</v>
      </c>
      <c r="K332" t="n">
        <v>0</v>
      </c>
      <c r="L332" t="n">
        <v>0</v>
      </c>
      <c r="M332" t="n">
        <v>0</v>
      </c>
      <c r="N332" t="n">
        <v>0</v>
      </c>
      <c r="O332" t="n">
        <v>0</v>
      </c>
      <c r="P332" t="n">
        <v>0</v>
      </c>
      <c r="Q332" t="n">
        <v>0</v>
      </c>
      <c r="R332" s="2" t="inlineStr"/>
    </row>
    <row r="333" ht="15" customHeight="1">
      <c r="A333" t="inlineStr">
        <is>
          <t>A 35645-2021</t>
        </is>
      </c>
      <c r="B333" s="1" t="n">
        <v>44386.42</v>
      </c>
      <c r="C333" s="1" t="n">
        <v>46087</v>
      </c>
      <c r="D333" t="inlineStr">
        <is>
          <t>UPPSALA LÄN</t>
        </is>
      </c>
      <c r="E333" t="inlineStr">
        <is>
          <t>ENKÖPING</t>
        </is>
      </c>
      <c r="G333" t="n">
        <v>2.7</v>
      </c>
      <c r="H333" t="n">
        <v>0</v>
      </c>
      <c r="I333" t="n">
        <v>0</v>
      </c>
      <c r="J333" t="n">
        <v>0</v>
      </c>
      <c r="K333" t="n">
        <v>0</v>
      </c>
      <c r="L333" t="n">
        <v>0</v>
      </c>
      <c r="M333" t="n">
        <v>0</v>
      </c>
      <c r="N333" t="n">
        <v>0</v>
      </c>
      <c r="O333" t="n">
        <v>0</v>
      </c>
      <c r="P333" t="n">
        <v>0</v>
      </c>
      <c r="Q333" t="n">
        <v>0</v>
      </c>
      <c r="R333" s="2" t="inlineStr"/>
    </row>
    <row r="334" ht="15" customHeight="1">
      <c r="A334" t="inlineStr">
        <is>
          <t>A 861-2026</t>
        </is>
      </c>
      <c r="B334" s="1" t="n">
        <v>46030</v>
      </c>
      <c r="C334" s="1" t="n">
        <v>46087</v>
      </c>
      <c r="D334" t="inlineStr">
        <is>
          <t>UPPSALA LÄN</t>
        </is>
      </c>
      <c r="E334" t="inlineStr">
        <is>
          <t>ENKÖPING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2968-2025</t>
        </is>
      </c>
      <c r="B335" s="1" t="n">
        <v>45678</v>
      </c>
      <c r="C335" s="1" t="n">
        <v>46087</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9487-2025</t>
        </is>
      </c>
      <c r="B336" s="1" t="n">
        <v>45715.49331018519</v>
      </c>
      <c r="C336" s="1" t="n">
        <v>46087</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9467-2026</t>
        </is>
      </c>
      <c r="B337" s="1" t="n">
        <v>46071.50694444445</v>
      </c>
      <c r="C337" s="1" t="n">
        <v>46087</v>
      </c>
      <c r="D337" t="inlineStr">
        <is>
          <t>UPPSALA LÄN</t>
        </is>
      </c>
      <c r="E337" t="inlineStr">
        <is>
          <t>ENKÖPING</t>
        </is>
      </c>
      <c r="G337" t="n">
        <v>5.9</v>
      </c>
      <c r="H337" t="n">
        <v>0</v>
      </c>
      <c r="I337" t="n">
        <v>0</v>
      </c>
      <c r="J337" t="n">
        <v>0</v>
      </c>
      <c r="K337" t="n">
        <v>0</v>
      </c>
      <c r="L337" t="n">
        <v>0</v>
      </c>
      <c r="M337" t="n">
        <v>0</v>
      </c>
      <c r="N337" t="n">
        <v>0</v>
      </c>
      <c r="O337" t="n">
        <v>0</v>
      </c>
      <c r="P337" t="n">
        <v>0</v>
      </c>
      <c r="Q337" t="n">
        <v>0</v>
      </c>
      <c r="R337" s="2" t="inlineStr"/>
    </row>
    <row r="338" ht="15" customHeight="1">
      <c r="A338" t="inlineStr">
        <is>
          <t>A 16176-2025</t>
        </is>
      </c>
      <c r="B338" s="1" t="n">
        <v>45750</v>
      </c>
      <c r="C338" s="1" t="n">
        <v>46087</v>
      </c>
      <c r="D338" t="inlineStr">
        <is>
          <t>UPPSALA LÄN</t>
        </is>
      </c>
      <c r="E338" t="inlineStr">
        <is>
          <t>ENKÖPING</t>
        </is>
      </c>
      <c r="G338" t="n">
        <v>3.9</v>
      </c>
      <c r="H338" t="n">
        <v>0</v>
      </c>
      <c r="I338" t="n">
        <v>0</v>
      </c>
      <c r="J338" t="n">
        <v>0</v>
      </c>
      <c r="K338" t="n">
        <v>0</v>
      </c>
      <c r="L338" t="n">
        <v>0</v>
      </c>
      <c r="M338" t="n">
        <v>0</v>
      </c>
      <c r="N338" t="n">
        <v>0</v>
      </c>
      <c r="O338" t="n">
        <v>0</v>
      </c>
      <c r="P338" t="n">
        <v>0</v>
      </c>
      <c r="Q338" t="n">
        <v>0</v>
      </c>
      <c r="R338" s="2" t="inlineStr"/>
    </row>
    <row r="339" ht="15" customHeight="1">
      <c r="A339" t="inlineStr">
        <is>
          <t>A 37035-2023</t>
        </is>
      </c>
      <c r="B339" s="1" t="n">
        <v>45155</v>
      </c>
      <c r="C339" s="1" t="n">
        <v>46087</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46186-2023</t>
        </is>
      </c>
      <c r="B340" s="1" t="n">
        <v>45196</v>
      </c>
      <c r="C340" s="1" t="n">
        <v>46087</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15162-2025</t>
        </is>
      </c>
      <c r="B341" s="1" t="n">
        <v>45744</v>
      </c>
      <c r="C341" s="1" t="n">
        <v>46087</v>
      </c>
      <c r="D341" t="inlineStr">
        <is>
          <t>UPPSALA LÄN</t>
        </is>
      </c>
      <c r="E341" t="inlineStr">
        <is>
          <t>ENKÖPING</t>
        </is>
      </c>
      <c r="G341" t="n">
        <v>4.2</v>
      </c>
      <c r="H341" t="n">
        <v>0</v>
      </c>
      <c r="I341" t="n">
        <v>0</v>
      </c>
      <c r="J341" t="n">
        <v>0</v>
      </c>
      <c r="K341" t="n">
        <v>0</v>
      </c>
      <c r="L341" t="n">
        <v>0</v>
      </c>
      <c r="M341" t="n">
        <v>0</v>
      </c>
      <c r="N341" t="n">
        <v>0</v>
      </c>
      <c r="O341" t="n">
        <v>0</v>
      </c>
      <c r="P341" t="n">
        <v>0</v>
      </c>
      <c r="Q341" t="n">
        <v>0</v>
      </c>
      <c r="R341" s="2" t="inlineStr"/>
    </row>
    <row r="342" ht="15" customHeight="1">
      <c r="A342" t="inlineStr">
        <is>
          <t>A 18299-2025</t>
        </is>
      </c>
      <c r="B342" s="1" t="n">
        <v>45762</v>
      </c>
      <c r="C342" s="1" t="n">
        <v>46087</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6242-2025</t>
        </is>
      </c>
      <c r="B343" s="1" t="n">
        <v>45697</v>
      </c>
      <c r="C343" s="1" t="n">
        <v>46087</v>
      </c>
      <c r="D343" t="inlineStr">
        <is>
          <t>UPPSALA LÄN</t>
        </is>
      </c>
      <c r="E343" t="inlineStr">
        <is>
          <t>ENKÖPING</t>
        </is>
      </c>
      <c r="G343" t="n">
        <v>17.9</v>
      </c>
      <c r="H343" t="n">
        <v>0</v>
      </c>
      <c r="I343" t="n">
        <v>0</v>
      </c>
      <c r="J343" t="n">
        <v>0</v>
      </c>
      <c r="K343" t="n">
        <v>0</v>
      </c>
      <c r="L343" t="n">
        <v>0</v>
      </c>
      <c r="M343" t="n">
        <v>0</v>
      </c>
      <c r="N343" t="n">
        <v>0</v>
      </c>
      <c r="O343" t="n">
        <v>0</v>
      </c>
      <c r="P343" t="n">
        <v>0</v>
      </c>
      <c r="Q343" t="n">
        <v>0</v>
      </c>
      <c r="R343" s="2" t="inlineStr"/>
    </row>
    <row r="344" ht="15" customHeight="1">
      <c r="A344" t="inlineStr">
        <is>
          <t>A 6144-2024</t>
        </is>
      </c>
      <c r="B344" s="1" t="n">
        <v>45337.4684837963</v>
      </c>
      <c r="C344" s="1" t="n">
        <v>46087</v>
      </c>
      <c r="D344" t="inlineStr">
        <is>
          <t>UPPSALA LÄN</t>
        </is>
      </c>
      <c r="E344" t="inlineStr">
        <is>
          <t>ENKÖPING</t>
        </is>
      </c>
      <c r="G344" t="n">
        <v>13.8</v>
      </c>
      <c r="H344" t="n">
        <v>0</v>
      </c>
      <c r="I344" t="n">
        <v>0</v>
      </c>
      <c r="J344" t="n">
        <v>0</v>
      </c>
      <c r="K344" t="n">
        <v>0</v>
      </c>
      <c r="L344" t="n">
        <v>0</v>
      </c>
      <c r="M344" t="n">
        <v>0</v>
      </c>
      <c r="N344" t="n">
        <v>0</v>
      </c>
      <c r="O344" t="n">
        <v>0</v>
      </c>
      <c r="P344" t="n">
        <v>0</v>
      </c>
      <c r="Q344" t="n">
        <v>0</v>
      </c>
      <c r="R344" s="2" t="inlineStr"/>
    </row>
    <row r="345" ht="15" customHeight="1">
      <c r="A345" t="inlineStr">
        <is>
          <t>A 67984-2021</t>
        </is>
      </c>
      <c r="B345" s="1" t="n">
        <v>44525.70237268518</v>
      </c>
      <c r="C345" s="1" t="n">
        <v>46087</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18592-2021</t>
        </is>
      </c>
      <c r="B346" s="1" t="n">
        <v>44306</v>
      </c>
      <c r="C346" s="1" t="n">
        <v>46087</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11918-2025</t>
        </is>
      </c>
      <c r="B347" s="1" t="n">
        <v>45728.49331018519</v>
      </c>
      <c r="C347" s="1" t="n">
        <v>46087</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2218-2026</t>
        </is>
      </c>
      <c r="B348" s="1" t="n">
        <v>46036.50010416667</v>
      </c>
      <c r="C348" s="1" t="n">
        <v>46087</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2258-2026</t>
        </is>
      </c>
      <c r="B349" s="1" t="n">
        <v>46036</v>
      </c>
      <c r="C349" s="1" t="n">
        <v>46087</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30837-2025</t>
        </is>
      </c>
      <c r="B350" s="1" t="n">
        <v>45831.7063425926</v>
      </c>
      <c r="C350" s="1" t="n">
        <v>46087</v>
      </c>
      <c r="D350" t="inlineStr">
        <is>
          <t>UPPSALA LÄN</t>
        </is>
      </c>
      <c r="E350" t="inlineStr">
        <is>
          <t>ENKÖPING</t>
        </is>
      </c>
      <c r="G350" t="n">
        <v>3.8</v>
      </c>
      <c r="H350" t="n">
        <v>0</v>
      </c>
      <c r="I350" t="n">
        <v>0</v>
      </c>
      <c r="J350" t="n">
        <v>0</v>
      </c>
      <c r="K350" t="n">
        <v>0</v>
      </c>
      <c r="L350" t="n">
        <v>0</v>
      </c>
      <c r="M350" t="n">
        <v>0</v>
      </c>
      <c r="N350" t="n">
        <v>0</v>
      </c>
      <c r="O350" t="n">
        <v>0</v>
      </c>
      <c r="P350" t="n">
        <v>0</v>
      </c>
      <c r="Q350" t="n">
        <v>0</v>
      </c>
      <c r="R350" s="2" t="inlineStr"/>
    </row>
    <row r="351" ht="15" customHeight="1">
      <c r="A351" t="inlineStr">
        <is>
          <t>A 43896-2022</t>
        </is>
      </c>
      <c r="B351" s="1" t="n">
        <v>44838</v>
      </c>
      <c r="C351" s="1" t="n">
        <v>46087</v>
      </c>
      <c r="D351" t="inlineStr">
        <is>
          <t>UPPSALA LÄN</t>
        </is>
      </c>
      <c r="E351" t="inlineStr">
        <is>
          <t>ENKÖPING</t>
        </is>
      </c>
      <c r="G351" t="n">
        <v>5.3</v>
      </c>
      <c r="H351" t="n">
        <v>0</v>
      </c>
      <c r="I351" t="n">
        <v>0</v>
      </c>
      <c r="J351" t="n">
        <v>0</v>
      </c>
      <c r="K351" t="n">
        <v>0</v>
      </c>
      <c r="L351" t="n">
        <v>0</v>
      </c>
      <c r="M351" t="n">
        <v>0</v>
      </c>
      <c r="N351" t="n">
        <v>0</v>
      </c>
      <c r="O351" t="n">
        <v>0</v>
      </c>
      <c r="P351" t="n">
        <v>0</v>
      </c>
      <c r="Q351" t="n">
        <v>0</v>
      </c>
      <c r="R351" s="2" t="inlineStr"/>
    </row>
    <row r="352" ht="15" customHeight="1">
      <c r="A352" t="inlineStr">
        <is>
          <t>A 20440-2025</t>
        </is>
      </c>
      <c r="B352" s="1" t="n">
        <v>45775</v>
      </c>
      <c r="C352" s="1" t="n">
        <v>46087</v>
      </c>
      <c r="D352" t="inlineStr">
        <is>
          <t>UPPSALA LÄN</t>
        </is>
      </c>
      <c r="E352" t="inlineStr">
        <is>
          <t>ENKÖPING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41737-2022</t>
        </is>
      </c>
      <c r="B353" s="1" t="n">
        <v>44827.63826388889</v>
      </c>
      <c r="C353" s="1" t="n">
        <v>46087</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54595-2021</t>
        </is>
      </c>
      <c r="B354" s="1" t="n">
        <v>44473.58824074074</v>
      </c>
      <c r="C354" s="1" t="n">
        <v>46087</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22094-2023</t>
        </is>
      </c>
      <c r="B355" s="1" t="n">
        <v>45069</v>
      </c>
      <c r="C355" s="1" t="n">
        <v>46087</v>
      </c>
      <c r="D355" t="inlineStr">
        <is>
          <t>UPPSALA LÄN</t>
        </is>
      </c>
      <c r="E355" t="inlineStr">
        <is>
          <t>ENKÖPING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35647-2021</t>
        </is>
      </c>
      <c r="B356" s="1" t="n">
        <v>44386</v>
      </c>
      <c r="C356" s="1" t="n">
        <v>46087</v>
      </c>
      <c r="D356" t="inlineStr">
        <is>
          <t>UPPSALA LÄN</t>
        </is>
      </c>
      <c r="E356" t="inlineStr">
        <is>
          <t>ENKÖPING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24962-2023</t>
        </is>
      </c>
      <c r="B357" s="1" t="n">
        <v>45085.60123842592</v>
      </c>
      <c r="C357" s="1" t="n">
        <v>46087</v>
      </c>
      <c r="D357" t="inlineStr">
        <is>
          <t>UPPSALA LÄN</t>
        </is>
      </c>
      <c r="E357" t="inlineStr">
        <is>
          <t>ENKÖPING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44131-2023</t>
        </is>
      </c>
      <c r="B358" s="1" t="n">
        <v>45188</v>
      </c>
      <c r="C358" s="1" t="n">
        <v>46087</v>
      </c>
      <c r="D358" t="inlineStr">
        <is>
          <t>UPPSALA LÄN</t>
        </is>
      </c>
      <c r="E358" t="inlineStr">
        <is>
          <t>ENKÖPING</t>
        </is>
      </c>
      <c r="G358" t="n">
        <v>0.3</v>
      </c>
      <c r="H358" t="n">
        <v>0</v>
      </c>
      <c r="I358" t="n">
        <v>0</v>
      </c>
      <c r="J358" t="n">
        <v>0</v>
      </c>
      <c r="K358" t="n">
        <v>0</v>
      </c>
      <c r="L358" t="n">
        <v>0</v>
      </c>
      <c r="M358" t="n">
        <v>0</v>
      </c>
      <c r="N358" t="n">
        <v>0</v>
      </c>
      <c r="O358" t="n">
        <v>0</v>
      </c>
      <c r="P358" t="n">
        <v>0</v>
      </c>
      <c r="Q358" t="n">
        <v>0</v>
      </c>
      <c r="R358" s="2" t="inlineStr"/>
    </row>
    <row r="359" ht="15" customHeight="1">
      <c r="A359" t="inlineStr">
        <is>
          <t>A 29482-2022</t>
        </is>
      </c>
      <c r="B359" s="1" t="n">
        <v>44753.57703703704</v>
      </c>
      <c r="C359" s="1" t="n">
        <v>46087</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29483-2022</t>
        </is>
      </c>
      <c r="B360" s="1" t="n">
        <v>44753.57829861111</v>
      </c>
      <c r="C360" s="1" t="n">
        <v>46087</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37170-2021</t>
        </is>
      </c>
      <c r="B361" s="1" t="n">
        <v>44395</v>
      </c>
      <c r="C361" s="1" t="n">
        <v>46087</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53496-2022</t>
        </is>
      </c>
      <c r="B362" s="1" t="n">
        <v>44879.57217592592</v>
      </c>
      <c r="C362" s="1" t="n">
        <v>46087</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7870-2024</t>
        </is>
      </c>
      <c r="B363" s="1" t="n">
        <v>45350.33349537037</v>
      </c>
      <c r="C363" s="1" t="n">
        <v>46087</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28243-2023</t>
        </is>
      </c>
      <c r="B364" s="1" t="n">
        <v>45099.58885416666</v>
      </c>
      <c r="C364" s="1" t="n">
        <v>46087</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10829-2024</t>
        </is>
      </c>
      <c r="B365" s="1" t="n">
        <v>45369</v>
      </c>
      <c r="C365" s="1" t="n">
        <v>46087</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2161-2023</t>
        </is>
      </c>
      <c r="B366" s="1" t="n">
        <v>44941</v>
      </c>
      <c r="C366" s="1" t="n">
        <v>46087</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2165-2023</t>
        </is>
      </c>
      <c r="B367" s="1" t="n">
        <v>44941</v>
      </c>
      <c r="C367" s="1" t="n">
        <v>46087</v>
      </c>
      <c r="D367" t="inlineStr">
        <is>
          <t>UPPSALA LÄN</t>
        </is>
      </c>
      <c r="E367" t="inlineStr">
        <is>
          <t>ENKÖPING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13853-2023</t>
        </is>
      </c>
      <c r="B368" s="1" t="n">
        <v>45007</v>
      </c>
      <c r="C368" s="1" t="n">
        <v>46087</v>
      </c>
      <c r="D368" t="inlineStr">
        <is>
          <t>UPPSALA LÄN</t>
        </is>
      </c>
      <c r="E368" t="inlineStr">
        <is>
          <t>ENKÖPING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32031-2025</t>
        </is>
      </c>
      <c r="B369" s="1" t="n">
        <v>45835.41712962963</v>
      </c>
      <c r="C369" s="1" t="n">
        <v>46087</v>
      </c>
      <c r="D369" t="inlineStr">
        <is>
          <t>UPPSALA LÄN</t>
        </is>
      </c>
      <c r="E369" t="inlineStr">
        <is>
          <t>ENKÖPING</t>
        </is>
      </c>
      <c r="G369" t="n">
        <v>2.7</v>
      </c>
      <c r="H369" t="n">
        <v>0</v>
      </c>
      <c r="I369" t="n">
        <v>0</v>
      </c>
      <c r="J369" t="n">
        <v>0</v>
      </c>
      <c r="K369" t="n">
        <v>0</v>
      </c>
      <c r="L369" t="n">
        <v>0</v>
      </c>
      <c r="M369" t="n">
        <v>0</v>
      </c>
      <c r="N369" t="n">
        <v>0</v>
      </c>
      <c r="O369" t="n">
        <v>0</v>
      </c>
      <c r="P369" t="n">
        <v>0</v>
      </c>
      <c r="Q369" t="n">
        <v>0</v>
      </c>
      <c r="R369" s="2" t="inlineStr"/>
    </row>
    <row r="370" ht="15" customHeight="1">
      <c r="A370" t="inlineStr">
        <is>
          <t>A 32111-2025</t>
        </is>
      </c>
      <c r="B370" s="1" t="n">
        <v>45835</v>
      </c>
      <c r="C370" s="1" t="n">
        <v>46087</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63310-2021</t>
        </is>
      </c>
      <c r="B371" s="1" t="n">
        <v>44508</v>
      </c>
      <c r="C371" s="1" t="n">
        <v>46087</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61106-2022</t>
        </is>
      </c>
      <c r="B372" s="1" t="n">
        <v>44915.4128587963</v>
      </c>
      <c r="C372" s="1" t="n">
        <v>46087</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9171-2024</t>
        </is>
      </c>
      <c r="B373" s="1" t="n">
        <v>45358</v>
      </c>
      <c r="C373" s="1" t="n">
        <v>46087</v>
      </c>
      <c r="D373" t="inlineStr">
        <is>
          <t>UPPSALA LÄN</t>
        </is>
      </c>
      <c r="E373" t="inlineStr">
        <is>
          <t>ENKÖPING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46087</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11005-2023</t>
        </is>
      </c>
      <c r="B375" s="1" t="n">
        <v>44991</v>
      </c>
      <c r="C375" s="1" t="n">
        <v>46087</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29918-2023</t>
        </is>
      </c>
      <c r="B376" s="1" t="n">
        <v>45099</v>
      </c>
      <c r="C376" s="1" t="n">
        <v>46087</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58384-2022</t>
        </is>
      </c>
      <c r="B377" s="1" t="n">
        <v>44901</v>
      </c>
      <c r="C377" s="1" t="n">
        <v>46087</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43016-2021</t>
        </is>
      </c>
      <c r="B378" s="1" t="n">
        <v>44431</v>
      </c>
      <c r="C378" s="1" t="n">
        <v>46087</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15893-2024</t>
        </is>
      </c>
      <c r="B379" s="1" t="n">
        <v>45405</v>
      </c>
      <c r="C379" s="1" t="n">
        <v>46087</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33343-2024</t>
        </is>
      </c>
      <c r="B380" s="1" t="n">
        <v>45519</v>
      </c>
      <c r="C380" s="1" t="n">
        <v>46087</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15740-2025</t>
        </is>
      </c>
      <c r="B381" s="1" t="n">
        <v>45748</v>
      </c>
      <c r="C381" s="1" t="n">
        <v>46087</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57142-2021</t>
        </is>
      </c>
      <c r="B382" s="1" t="n">
        <v>44482</v>
      </c>
      <c r="C382" s="1" t="n">
        <v>46087</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57153-2021</t>
        </is>
      </c>
      <c r="B383" s="1" t="n">
        <v>44482</v>
      </c>
      <c r="C383" s="1" t="n">
        <v>46087</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44594.4471412037</v>
      </c>
      <c r="C384" s="1" t="n">
        <v>46087</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57848-2024</t>
        </is>
      </c>
      <c r="B385" s="1" t="n">
        <v>45631.40947916666</v>
      </c>
      <c r="C385" s="1" t="n">
        <v>46087</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19014-2025</t>
        </is>
      </c>
      <c r="B386" s="1" t="n">
        <v>45764.59631944444</v>
      </c>
      <c r="C386" s="1" t="n">
        <v>46087</v>
      </c>
      <c r="D386" t="inlineStr">
        <is>
          <t>UPPSALA LÄN</t>
        </is>
      </c>
      <c r="E386" t="inlineStr">
        <is>
          <t>ENKÖPING</t>
        </is>
      </c>
      <c r="G386" t="n">
        <v>0.2</v>
      </c>
      <c r="H386" t="n">
        <v>0</v>
      </c>
      <c r="I386" t="n">
        <v>0</v>
      </c>
      <c r="J386" t="n">
        <v>0</v>
      </c>
      <c r="K386" t="n">
        <v>0</v>
      </c>
      <c r="L386" t="n">
        <v>0</v>
      </c>
      <c r="M386" t="n">
        <v>0</v>
      </c>
      <c r="N386" t="n">
        <v>0</v>
      </c>
      <c r="O386" t="n">
        <v>0</v>
      </c>
      <c r="P386" t="n">
        <v>0</v>
      </c>
      <c r="Q386" t="n">
        <v>0</v>
      </c>
      <c r="R386" s="2" t="inlineStr"/>
    </row>
    <row r="387" ht="15" customHeight="1">
      <c r="A387" t="inlineStr">
        <is>
          <t>A 43691-2024</t>
        </is>
      </c>
      <c r="B387" s="1" t="n">
        <v>45569</v>
      </c>
      <c r="C387" s="1" t="n">
        <v>46087</v>
      </c>
      <c r="D387" t="inlineStr">
        <is>
          <t>UPPSALA LÄN</t>
        </is>
      </c>
      <c r="E387" t="inlineStr">
        <is>
          <t>ENKÖPING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18994-2025</t>
        </is>
      </c>
      <c r="B388" s="1" t="n">
        <v>45764.57350694444</v>
      </c>
      <c r="C388" s="1" t="n">
        <v>46087</v>
      </c>
      <c r="D388" t="inlineStr">
        <is>
          <t>UPPSALA LÄN</t>
        </is>
      </c>
      <c r="E388" t="inlineStr">
        <is>
          <t>ENKÖPING</t>
        </is>
      </c>
      <c r="G388" t="n">
        <v>3.8</v>
      </c>
      <c r="H388" t="n">
        <v>0</v>
      </c>
      <c r="I388" t="n">
        <v>0</v>
      </c>
      <c r="J388" t="n">
        <v>0</v>
      </c>
      <c r="K388" t="n">
        <v>0</v>
      </c>
      <c r="L388" t="n">
        <v>0</v>
      </c>
      <c r="M388" t="n">
        <v>0</v>
      </c>
      <c r="N388" t="n">
        <v>0</v>
      </c>
      <c r="O388" t="n">
        <v>0</v>
      </c>
      <c r="P388" t="n">
        <v>0</v>
      </c>
      <c r="Q388" t="n">
        <v>0</v>
      </c>
      <c r="R388" s="2" t="inlineStr"/>
    </row>
    <row r="389" ht="15" customHeight="1">
      <c r="A389" t="inlineStr">
        <is>
          <t>A 49601-2024</t>
        </is>
      </c>
      <c r="B389" s="1" t="n">
        <v>45596.56288194445</v>
      </c>
      <c r="C389" s="1" t="n">
        <v>46087</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19376-2024</t>
        </is>
      </c>
      <c r="B390" s="1" t="n">
        <v>45429</v>
      </c>
      <c r="C390" s="1" t="n">
        <v>46087</v>
      </c>
      <c r="D390" t="inlineStr">
        <is>
          <t>UPPSALA LÄN</t>
        </is>
      </c>
      <c r="E390" t="inlineStr">
        <is>
          <t>ENKÖPING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33670-2024</t>
        </is>
      </c>
      <c r="B391" s="1" t="n">
        <v>45520</v>
      </c>
      <c r="C391" s="1" t="n">
        <v>46087</v>
      </c>
      <c r="D391" t="inlineStr">
        <is>
          <t>UPPSALA LÄN</t>
        </is>
      </c>
      <c r="E391" t="inlineStr">
        <is>
          <t>ENKÖPING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19147-2024</t>
        </is>
      </c>
      <c r="B392" s="1" t="n">
        <v>45428</v>
      </c>
      <c r="C392" s="1" t="n">
        <v>46087</v>
      </c>
      <c r="D392" t="inlineStr">
        <is>
          <t>UPPSALA LÄN</t>
        </is>
      </c>
      <c r="E392" t="inlineStr">
        <is>
          <t>ENKÖPING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67982-2021</t>
        </is>
      </c>
      <c r="B393" s="1" t="n">
        <v>44525</v>
      </c>
      <c r="C393" s="1" t="n">
        <v>46087</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17844-2025</t>
        </is>
      </c>
      <c r="B394" s="1" t="n">
        <v>45758.59920138889</v>
      </c>
      <c r="C394" s="1" t="n">
        <v>46087</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57835-2024</t>
        </is>
      </c>
      <c r="B395" s="1" t="n">
        <v>45631.39947916667</v>
      </c>
      <c r="C395" s="1" t="n">
        <v>46087</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27837-2025</t>
        </is>
      </c>
      <c r="B396" s="1" t="n">
        <v>45817.37207175926</v>
      </c>
      <c r="C396" s="1" t="n">
        <v>46087</v>
      </c>
      <c r="D396" t="inlineStr">
        <is>
          <t>UPPSALA LÄN</t>
        </is>
      </c>
      <c r="E396" t="inlineStr">
        <is>
          <t>ENKÖPING</t>
        </is>
      </c>
      <c r="G396" t="n">
        <v>7.3</v>
      </c>
      <c r="H396" t="n">
        <v>0</v>
      </c>
      <c r="I396" t="n">
        <v>0</v>
      </c>
      <c r="J396" t="n">
        <v>0</v>
      </c>
      <c r="K396" t="n">
        <v>0</v>
      </c>
      <c r="L396" t="n">
        <v>0</v>
      </c>
      <c r="M396" t="n">
        <v>0</v>
      </c>
      <c r="N396" t="n">
        <v>0</v>
      </c>
      <c r="O396" t="n">
        <v>0</v>
      </c>
      <c r="P396" t="n">
        <v>0</v>
      </c>
      <c r="Q396" t="n">
        <v>0</v>
      </c>
      <c r="R396" s="2" t="inlineStr"/>
    </row>
    <row r="397" ht="15" customHeight="1">
      <c r="A397" t="inlineStr">
        <is>
          <t>A 21612-2023</t>
        </is>
      </c>
      <c r="B397" s="1" t="n">
        <v>45063</v>
      </c>
      <c r="C397" s="1" t="n">
        <v>46087</v>
      </c>
      <c r="D397" t="inlineStr">
        <is>
          <t>UPPSALA LÄN</t>
        </is>
      </c>
      <c r="E397" t="inlineStr">
        <is>
          <t>ENKÖPING</t>
        </is>
      </c>
      <c r="F397" t="inlineStr">
        <is>
          <t>Allmännings- och besparingsskogar</t>
        </is>
      </c>
      <c r="G397" t="n">
        <v>1</v>
      </c>
      <c r="H397" t="n">
        <v>0</v>
      </c>
      <c r="I397" t="n">
        <v>0</v>
      </c>
      <c r="J397" t="n">
        <v>0</v>
      </c>
      <c r="K397" t="n">
        <v>0</v>
      </c>
      <c r="L397" t="n">
        <v>0</v>
      </c>
      <c r="M397" t="n">
        <v>0</v>
      </c>
      <c r="N397" t="n">
        <v>0</v>
      </c>
      <c r="O397" t="n">
        <v>0</v>
      </c>
      <c r="P397" t="n">
        <v>0</v>
      </c>
      <c r="Q397" t="n">
        <v>0</v>
      </c>
      <c r="R397" s="2" t="inlineStr"/>
    </row>
    <row r="398" ht="15" customHeight="1">
      <c r="A398" t="inlineStr">
        <is>
          <t>A 29513-2025</t>
        </is>
      </c>
      <c r="B398" s="1" t="n">
        <v>45825</v>
      </c>
      <c r="C398" s="1" t="n">
        <v>46087</v>
      </c>
      <c r="D398" t="inlineStr">
        <is>
          <t>UPPSALA LÄN</t>
        </is>
      </c>
      <c r="E398" t="inlineStr">
        <is>
          <t>ENKÖPING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39624-2023</t>
        </is>
      </c>
      <c r="B399" s="1" t="n">
        <v>45164</v>
      </c>
      <c r="C399" s="1" t="n">
        <v>46087</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5892-2023</t>
        </is>
      </c>
      <c r="B400" s="1" t="n">
        <v>44963.64883101852</v>
      </c>
      <c r="C400" s="1" t="n">
        <v>46087</v>
      </c>
      <c r="D400" t="inlineStr">
        <is>
          <t>UPPSALA LÄN</t>
        </is>
      </c>
      <c r="E400" t="inlineStr">
        <is>
          <t>ENKÖPING</t>
        </is>
      </c>
      <c r="G400" t="n">
        <v>5.5</v>
      </c>
      <c r="H400" t="n">
        <v>0</v>
      </c>
      <c r="I400" t="n">
        <v>0</v>
      </c>
      <c r="J400" t="n">
        <v>0</v>
      </c>
      <c r="K400" t="n">
        <v>0</v>
      </c>
      <c r="L400" t="n">
        <v>0</v>
      </c>
      <c r="M400" t="n">
        <v>0</v>
      </c>
      <c r="N400" t="n">
        <v>0</v>
      </c>
      <c r="O400" t="n">
        <v>0</v>
      </c>
      <c r="P400" t="n">
        <v>0</v>
      </c>
      <c r="Q400" t="n">
        <v>0</v>
      </c>
      <c r="R400" s="2" t="inlineStr"/>
    </row>
    <row r="401" ht="15" customHeight="1">
      <c r="A401" t="inlineStr">
        <is>
          <t>A 39858-2024</t>
        </is>
      </c>
      <c r="B401" s="1" t="n">
        <v>45553</v>
      </c>
      <c r="C401" s="1" t="n">
        <v>46087</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21501-2025</t>
        </is>
      </c>
      <c r="B402" s="1" t="n">
        <v>45782</v>
      </c>
      <c r="C402" s="1" t="n">
        <v>46087</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34987-2025</t>
        </is>
      </c>
      <c r="B403" s="1" t="n">
        <v>45849</v>
      </c>
      <c r="C403" s="1" t="n">
        <v>46087</v>
      </c>
      <c r="D403" t="inlineStr">
        <is>
          <t>UPPSALA LÄN</t>
        </is>
      </c>
      <c r="E403" t="inlineStr">
        <is>
          <t>ENKÖPING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34988-2025</t>
        </is>
      </c>
      <c r="B404" s="1" t="n">
        <v>45849</v>
      </c>
      <c r="C404" s="1" t="n">
        <v>46087</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9957-2023</t>
        </is>
      </c>
      <c r="B405" s="1" t="n">
        <v>44978</v>
      </c>
      <c r="C405" s="1" t="n">
        <v>46087</v>
      </c>
      <c r="D405" t="inlineStr">
        <is>
          <t>UPPSALA LÄN</t>
        </is>
      </c>
      <c r="E405" t="inlineStr">
        <is>
          <t>ENKÖPING</t>
        </is>
      </c>
      <c r="G405" t="n">
        <v>5.9</v>
      </c>
      <c r="H405" t="n">
        <v>0</v>
      </c>
      <c r="I405" t="n">
        <v>0</v>
      </c>
      <c r="J405" t="n">
        <v>0</v>
      </c>
      <c r="K405" t="n">
        <v>0</v>
      </c>
      <c r="L405" t="n">
        <v>0</v>
      </c>
      <c r="M405" t="n">
        <v>0</v>
      </c>
      <c r="N405" t="n">
        <v>0</v>
      </c>
      <c r="O405" t="n">
        <v>0</v>
      </c>
      <c r="P405" t="n">
        <v>0</v>
      </c>
      <c r="Q405" t="n">
        <v>0</v>
      </c>
      <c r="R405" s="2" t="inlineStr"/>
    </row>
    <row r="406" ht="15" customHeight="1">
      <c r="A406" t="inlineStr">
        <is>
          <t>A 36350-2025</t>
        </is>
      </c>
      <c r="B406" s="1" t="n">
        <v>45868</v>
      </c>
      <c r="C406" s="1" t="n">
        <v>46087</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8152-2022</t>
        </is>
      </c>
      <c r="B407" s="1" t="n">
        <v>44609</v>
      </c>
      <c r="C407" s="1" t="n">
        <v>46087</v>
      </c>
      <c r="D407" t="inlineStr">
        <is>
          <t>UPPSALA LÄN</t>
        </is>
      </c>
      <c r="E407" t="inlineStr">
        <is>
          <t>ENKÖPING</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36599-2025</t>
        </is>
      </c>
      <c r="B408" s="1" t="n">
        <v>45870.51723379629</v>
      </c>
      <c r="C408" s="1" t="n">
        <v>46087</v>
      </c>
      <c r="D408" t="inlineStr">
        <is>
          <t>UPPSALA LÄN</t>
        </is>
      </c>
      <c r="E408" t="inlineStr">
        <is>
          <t>ENKÖPING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36492-2025</t>
        </is>
      </c>
      <c r="B409" s="1" t="n">
        <v>45869</v>
      </c>
      <c r="C409" s="1" t="n">
        <v>46087</v>
      </c>
      <c r="D409" t="inlineStr">
        <is>
          <t>UPPSALA LÄN</t>
        </is>
      </c>
      <c r="E409" t="inlineStr">
        <is>
          <t>ENKÖPING</t>
        </is>
      </c>
      <c r="G409" t="n">
        <v>6.3</v>
      </c>
      <c r="H409" t="n">
        <v>0</v>
      </c>
      <c r="I409" t="n">
        <v>0</v>
      </c>
      <c r="J409" t="n">
        <v>0</v>
      </c>
      <c r="K409" t="n">
        <v>0</v>
      </c>
      <c r="L409" t="n">
        <v>0</v>
      </c>
      <c r="M409" t="n">
        <v>0</v>
      </c>
      <c r="N409" t="n">
        <v>0</v>
      </c>
      <c r="O409" t="n">
        <v>0</v>
      </c>
      <c r="P409" t="n">
        <v>0</v>
      </c>
      <c r="Q409" t="n">
        <v>0</v>
      </c>
      <c r="R409" s="2" t="inlineStr"/>
    </row>
    <row r="410" ht="15" customHeight="1">
      <c r="A410" t="inlineStr">
        <is>
          <t>A 17657-2025</t>
        </is>
      </c>
      <c r="B410" s="1" t="n">
        <v>45758.35006944444</v>
      </c>
      <c r="C410" s="1" t="n">
        <v>46087</v>
      </c>
      <c r="D410" t="inlineStr">
        <is>
          <t>UPPSALA LÄN</t>
        </is>
      </c>
      <c r="E410" t="inlineStr">
        <is>
          <t>ENKÖPING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15939-2022</t>
        </is>
      </c>
      <c r="B411" s="1" t="n">
        <v>44664</v>
      </c>
      <c r="C411" s="1" t="n">
        <v>46087</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50394-2024</t>
        </is>
      </c>
      <c r="B412" s="1" t="n">
        <v>45600</v>
      </c>
      <c r="C412" s="1" t="n">
        <v>46087</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37319-2025</t>
        </is>
      </c>
      <c r="B413" s="1" t="n">
        <v>45876</v>
      </c>
      <c r="C413" s="1" t="n">
        <v>46087</v>
      </c>
      <c r="D413" t="inlineStr">
        <is>
          <t>UPPSALA LÄN</t>
        </is>
      </c>
      <c r="E413" t="inlineStr">
        <is>
          <t>ENKÖPING</t>
        </is>
      </c>
      <c r="G413" t="n">
        <v>9.5</v>
      </c>
      <c r="H413" t="n">
        <v>0</v>
      </c>
      <c r="I413" t="n">
        <v>0</v>
      </c>
      <c r="J413" t="n">
        <v>0</v>
      </c>
      <c r="K413" t="n">
        <v>0</v>
      </c>
      <c r="L413" t="n">
        <v>0</v>
      </c>
      <c r="M413" t="n">
        <v>0</v>
      </c>
      <c r="N413" t="n">
        <v>0</v>
      </c>
      <c r="O413" t="n">
        <v>0</v>
      </c>
      <c r="P413" t="n">
        <v>0</v>
      </c>
      <c r="Q413" t="n">
        <v>0</v>
      </c>
      <c r="R413" s="2" t="inlineStr"/>
    </row>
    <row r="414" ht="15" customHeight="1">
      <c r="A414" t="inlineStr">
        <is>
          <t>A 37296-2025</t>
        </is>
      </c>
      <c r="B414" s="1" t="n">
        <v>45876</v>
      </c>
      <c r="C414" s="1" t="n">
        <v>46087</v>
      </c>
      <c r="D414" t="inlineStr">
        <is>
          <t>UPPSALA LÄN</t>
        </is>
      </c>
      <c r="E414" t="inlineStr">
        <is>
          <t>ENKÖPING</t>
        </is>
      </c>
      <c r="G414" t="n">
        <v>9.5</v>
      </c>
      <c r="H414" t="n">
        <v>0</v>
      </c>
      <c r="I414" t="n">
        <v>0</v>
      </c>
      <c r="J414" t="n">
        <v>0</v>
      </c>
      <c r="K414" t="n">
        <v>0</v>
      </c>
      <c r="L414" t="n">
        <v>0</v>
      </c>
      <c r="M414" t="n">
        <v>0</v>
      </c>
      <c r="N414" t="n">
        <v>0</v>
      </c>
      <c r="O414" t="n">
        <v>0</v>
      </c>
      <c r="P414" t="n">
        <v>0</v>
      </c>
      <c r="Q414" t="n">
        <v>0</v>
      </c>
      <c r="R414" s="2" t="inlineStr"/>
    </row>
    <row r="415" ht="15" customHeight="1">
      <c r="A415" t="inlineStr">
        <is>
          <t>A 72840-2021</t>
        </is>
      </c>
      <c r="B415" s="1" t="n">
        <v>44547</v>
      </c>
      <c r="C415" s="1" t="n">
        <v>46087</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37498-2025</t>
        </is>
      </c>
      <c r="B416" s="1" t="n">
        <v>45877</v>
      </c>
      <c r="C416" s="1" t="n">
        <v>46087</v>
      </c>
      <c r="D416" t="inlineStr">
        <is>
          <t>UPPSALA LÄN</t>
        </is>
      </c>
      <c r="E416" t="inlineStr">
        <is>
          <t>ENKÖPING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49622-2024</t>
        </is>
      </c>
      <c r="B417" s="1" t="n">
        <v>45596.58372685185</v>
      </c>
      <c r="C417" s="1" t="n">
        <v>46087</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37870-2023</t>
        </is>
      </c>
      <c r="B418" s="1" t="n">
        <v>45160.41996527778</v>
      </c>
      <c r="C418" s="1" t="n">
        <v>46087</v>
      </c>
      <c r="D418" t="inlineStr">
        <is>
          <t>UPPSALA LÄN</t>
        </is>
      </c>
      <c r="E418" t="inlineStr">
        <is>
          <t>ENKÖPING</t>
        </is>
      </c>
      <c r="G418" t="n">
        <v>3.5</v>
      </c>
      <c r="H418" t="n">
        <v>0</v>
      </c>
      <c r="I418" t="n">
        <v>0</v>
      </c>
      <c r="J418" t="n">
        <v>0</v>
      </c>
      <c r="K418" t="n">
        <v>0</v>
      </c>
      <c r="L418" t="n">
        <v>0</v>
      </c>
      <c r="M418" t="n">
        <v>0</v>
      </c>
      <c r="N418" t="n">
        <v>0</v>
      </c>
      <c r="O418" t="n">
        <v>0</v>
      </c>
      <c r="P418" t="n">
        <v>0</v>
      </c>
      <c r="Q418" t="n">
        <v>0</v>
      </c>
      <c r="R418" s="2" t="inlineStr"/>
    </row>
    <row r="419" ht="15" customHeight="1">
      <c r="A419" t="inlineStr">
        <is>
          <t>A 7090-2022</t>
        </is>
      </c>
      <c r="B419" s="1" t="n">
        <v>44603.59520833333</v>
      </c>
      <c r="C419" s="1" t="n">
        <v>46087</v>
      </c>
      <c r="D419" t="inlineStr">
        <is>
          <t>UPPSALA LÄN</t>
        </is>
      </c>
      <c r="E419" t="inlineStr">
        <is>
          <t>ENKÖPING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49063-2024</t>
        </is>
      </c>
      <c r="B420" s="1" t="n">
        <v>45594.59869212963</v>
      </c>
      <c r="C420" s="1" t="n">
        <v>46087</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14083-2025</t>
        </is>
      </c>
      <c r="B421" s="1" t="n">
        <v>45740</v>
      </c>
      <c r="C421" s="1" t="n">
        <v>46087</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19298-2023</t>
        </is>
      </c>
      <c r="B422" s="1" t="n">
        <v>45048</v>
      </c>
      <c r="C422" s="1" t="n">
        <v>46087</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21017-2023</t>
        </is>
      </c>
      <c r="B423" s="1" t="n">
        <v>45061</v>
      </c>
      <c r="C423" s="1" t="n">
        <v>46087</v>
      </c>
      <c r="D423" t="inlineStr">
        <is>
          <t>UPPSALA LÄN</t>
        </is>
      </c>
      <c r="E423" t="inlineStr">
        <is>
          <t>ENKÖPING</t>
        </is>
      </c>
      <c r="G423" t="n">
        <v>4.8</v>
      </c>
      <c r="H423" t="n">
        <v>0</v>
      </c>
      <c r="I423" t="n">
        <v>0</v>
      </c>
      <c r="J423" t="n">
        <v>0</v>
      </c>
      <c r="K423" t="n">
        <v>0</v>
      </c>
      <c r="L423" t="n">
        <v>0</v>
      </c>
      <c r="M423" t="n">
        <v>0</v>
      </c>
      <c r="N423" t="n">
        <v>0</v>
      </c>
      <c r="O423" t="n">
        <v>0</v>
      </c>
      <c r="P423" t="n">
        <v>0</v>
      </c>
      <c r="Q423" t="n">
        <v>0</v>
      </c>
      <c r="R423" s="2" t="inlineStr"/>
    </row>
    <row r="424" ht="15" customHeight="1">
      <c r="A424" t="inlineStr">
        <is>
          <t>A 15409-2025</t>
        </is>
      </c>
      <c r="B424" s="1" t="n">
        <v>45747</v>
      </c>
      <c r="C424" s="1" t="n">
        <v>46087</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56176-2021</t>
        </is>
      </c>
      <c r="B425" s="1" t="n">
        <v>44477</v>
      </c>
      <c r="C425" s="1" t="n">
        <v>46087</v>
      </c>
      <c r="D425" t="inlineStr">
        <is>
          <t>UPPSALA LÄN</t>
        </is>
      </c>
      <c r="E425" t="inlineStr">
        <is>
          <t>ENKÖPING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34617-2022</t>
        </is>
      </c>
      <c r="B426" s="1" t="n">
        <v>44795</v>
      </c>
      <c r="C426" s="1" t="n">
        <v>46087</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40202-2024</t>
        </is>
      </c>
      <c r="B427" s="1" t="n">
        <v>45554</v>
      </c>
      <c r="C427" s="1" t="n">
        <v>46087</v>
      </c>
      <c r="D427" t="inlineStr">
        <is>
          <t>UPPSALA LÄN</t>
        </is>
      </c>
      <c r="E427" t="inlineStr">
        <is>
          <t>ENKÖPING</t>
        </is>
      </c>
      <c r="G427" t="n">
        <v>6.2</v>
      </c>
      <c r="H427" t="n">
        <v>0</v>
      </c>
      <c r="I427" t="n">
        <v>0</v>
      </c>
      <c r="J427" t="n">
        <v>0</v>
      </c>
      <c r="K427" t="n">
        <v>0</v>
      </c>
      <c r="L427" t="n">
        <v>0</v>
      </c>
      <c r="M427" t="n">
        <v>0</v>
      </c>
      <c r="N427" t="n">
        <v>0</v>
      </c>
      <c r="O427" t="n">
        <v>0</v>
      </c>
      <c r="P427" t="n">
        <v>0</v>
      </c>
      <c r="Q427" t="n">
        <v>0</v>
      </c>
      <c r="R427" s="2" t="inlineStr"/>
    </row>
    <row r="428" ht="15" customHeight="1">
      <c r="A428" t="inlineStr">
        <is>
          <t>A 40223-2024</t>
        </is>
      </c>
      <c r="B428" s="1" t="n">
        <v>45554</v>
      </c>
      <c r="C428" s="1" t="n">
        <v>46087</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69879-2021</t>
        </is>
      </c>
      <c r="B429" s="1" t="n">
        <v>44532</v>
      </c>
      <c r="C429" s="1" t="n">
        <v>46087</v>
      </c>
      <c r="D429" t="inlineStr">
        <is>
          <t>UPPSALA LÄN</t>
        </is>
      </c>
      <c r="E429" t="inlineStr">
        <is>
          <t>ENKÖPING</t>
        </is>
      </c>
      <c r="G429" t="n">
        <v>4.2</v>
      </c>
      <c r="H429" t="n">
        <v>0</v>
      </c>
      <c r="I429" t="n">
        <v>0</v>
      </c>
      <c r="J429" t="n">
        <v>0</v>
      </c>
      <c r="K429" t="n">
        <v>0</v>
      </c>
      <c r="L429" t="n">
        <v>0</v>
      </c>
      <c r="M429" t="n">
        <v>0</v>
      </c>
      <c r="N429" t="n">
        <v>0</v>
      </c>
      <c r="O429" t="n">
        <v>0</v>
      </c>
      <c r="P429" t="n">
        <v>0</v>
      </c>
      <c r="Q429" t="n">
        <v>0</v>
      </c>
      <c r="R429" s="2" t="inlineStr"/>
    </row>
    <row r="430" ht="15" customHeight="1">
      <c r="A430" t="inlineStr">
        <is>
          <t>A 19013-2025</t>
        </is>
      </c>
      <c r="B430" s="1" t="n">
        <v>45764.59533564815</v>
      </c>
      <c r="C430" s="1" t="n">
        <v>46087</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57335-2024</t>
        </is>
      </c>
      <c r="B431" s="1" t="n">
        <v>45629.63302083333</v>
      </c>
      <c r="C431" s="1" t="n">
        <v>46087</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23301-2024</t>
        </is>
      </c>
      <c r="B432" s="1" t="n">
        <v>45453.4396412037</v>
      </c>
      <c r="C432" s="1" t="n">
        <v>46087</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2833-2025</t>
        </is>
      </c>
      <c r="B433" s="1" t="n">
        <v>45677.63206018518</v>
      </c>
      <c r="C433" s="1" t="n">
        <v>46087</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46087</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31604-2023</t>
        </is>
      </c>
      <c r="B435" s="1" t="n">
        <v>45117.50368055556</v>
      </c>
      <c r="C435" s="1" t="n">
        <v>46087</v>
      </c>
      <c r="D435" t="inlineStr">
        <is>
          <t>UPPSALA LÄN</t>
        </is>
      </c>
      <c r="E435" t="inlineStr">
        <is>
          <t>ENKÖPING</t>
        </is>
      </c>
      <c r="G435" t="n">
        <v>3.5</v>
      </c>
      <c r="H435" t="n">
        <v>0</v>
      </c>
      <c r="I435" t="n">
        <v>0</v>
      </c>
      <c r="J435" t="n">
        <v>0</v>
      </c>
      <c r="K435" t="n">
        <v>0</v>
      </c>
      <c r="L435" t="n">
        <v>0</v>
      </c>
      <c r="M435" t="n">
        <v>0</v>
      </c>
      <c r="N435" t="n">
        <v>0</v>
      </c>
      <c r="O435" t="n">
        <v>0</v>
      </c>
      <c r="P435" t="n">
        <v>0</v>
      </c>
      <c r="Q435" t="n">
        <v>0</v>
      </c>
      <c r="R435" s="2" t="inlineStr"/>
    </row>
    <row r="436" ht="15" customHeight="1">
      <c r="A436" t="inlineStr">
        <is>
          <t>A 59602-2024</t>
        </is>
      </c>
      <c r="B436" s="1" t="n">
        <v>45638</v>
      </c>
      <c r="C436" s="1" t="n">
        <v>46087</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14243-2025</t>
        </is>
      </c>
      <c r="B437" s="1" t="n">
        <v>45740.61288194444</v>
      </c>
      <c r="C437" s="1" t="n">
        <v>46087</v>
      </c>
      <c r="D437" t="inlineStr">
        <is>
          <t>UPPSALA LÄN</t>
        </is>
      </c>
      <c r="E437" t="inlineStr">
        <is>
          <t>ENKÖPING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19488-2022</t>
        </is>
      </c>
      <c r="B438" s="1" t="n">
        <v>44693</v>
      </c>
      <c r="C438" s="1" t="n">
        <v>46087</v>
      </c>
      <c r="D438" t="inlineStr">
        <is>
          <t>UPPSALA LÄN</t>
        </is>
      </c>
      <c r="E438" t="inlineStr">
        <is>
          <t>ENKÖPING</t>
        </is>
      </c>
      <c r="G438" t="n">
        <v>7.8</v>
      </c>
      <c r="H438" t="n">
        <v>0</v>
      </c>
      <c r="I438" t="n">
        <v>0</v>
      </c>
      <c r="J438" t="n">
        <v>0</v>
      </c>
      <c r="K438" t="n">
        <v>0</v>
      </c>
      <c r="L438" t="n">
        <v>0</v>
      </c>
      <c r="M438" t="n">
        <v>0</v>
      </c>
      <c r="N438" t="n">
        <v>0</v>
      </c>
      <c r="O438" t="n">
        <v>0</v>
      </c>
      <c r="P438" t="n">
        <v>0</v>
      </c>
      <c r="Q438" t="n">
        <v>0</v>
      </c>
      <c r="R438" s="2" t="inlineStr"/>
    </row>
    <row r="439" ht="15" customHeight="1">
      <c r="A439" t="inlineStr">
        <is>
          <t>A 41826-2024</t>
        </is>
      </c>
      <c r="B439" s="1" t="n">
        <v>45561</v>
      </c>
      <c r="C439" s="1" t="n">
        <v>46087</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46087</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44115-2024</t>
        </is>
      </c>
      <c r="B441" s="1" t="n">
        <v>45572</v>
      </c>
      <c r="C441" s="1" t="n">
        <v>46087</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44763.45711805556</v>
      </c>
      <c r="C442" s="1" t="n">
        <v>46087</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3300-2025</t>
        </is>
      </c>
      <c r="B443" s="1" t="n">
        <v>45679</v>
      </c>
      <c r="C443" s="1" t="n">
        <v>46087</v>
      </c>
      <c r="D443" t="inlineStr">
        <is>
          <t>UPPSALA LÄN</t>
        </is>
      </c>
      <c r="E443" t="inlineStr">
        <is>
          <t>ENKÖPING</t>
        </is>
      </c>
      <c r="G443" t="n">
        <v>8.9</v>
      </c>
      <c r="H443" t="n">
        <v>0</v>
      </c>
      <c r="I443" t="n">
        <v>0</v>
      </c>
      <c r="J443" t="n">
        <v>0</v>
      </c>
      <c r="K443" t="n">
        <v>0</v>
      </c>
      <c r="L443" t="n">
        <v>0</v>
      </c>
      <c r="M443" t="n">
        <v>0</v>
      </c>
      <c r="N443" t="n">
        <v>0</v>
      </c>
      <c r="O443" t="n">
        <v>0</v>
      </c>
      <c r="P443" t="n">
        <v>0</v>
      </c>
      <c r="Q443" t="n">
        <v>0</v>
      </c>
      <c r="R443" s="2" t="inlineStr"/>
    </row>
    <row r="444" ht="15" customHeight="1">
      <c r="A444" t="inlineStr">
        <is>
          <t>A 51120-2023</t>
        </is>
      </c>
      <c r="B444" s="1" t="n">
        <v>45219.3088425926</v>
      </c>
      <c r="C444" s="1" t="n">
        <v>46087</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26319-2022</t>
        </is>
      </c>
      <c r="B445" s="1" t="n">
        <v>44735</v>
      </c>
      <c r="C445" s="1" t="n">
        <v>46087</v>
      </c>
      <c r="D445" t="inlineStr">
        <is>
          <t>UPPSALA LÄN</t>
        </is>
      </c>
      <c r="E445" t="inlineStr">
        <is>
          <t>ENKÖPING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54357-2023</t>
        </is>
      </c>
      <c r="B446" s="1" t="n">
        <v>45225</v>
      </c>
      <c r="C446" s="1" t="n">
        <v>46087</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13816-2021</t>
        </is>
      </c>
      <c r="B447" s="1" t="n">
        <v>44276</v>
      </c>
      <c r="C447" s="1" t="n">
        <v>46087</v>
      </c>
      <c r="D447" t="inlineStr">
        <is>
          <t>UPPSALA LÄN</t>
        </is>
      </c>
      <c r="E447" t="inlineStr">
        <is>
          <t>ENKÖPING</t>
        </is>
      </c>
      <c r="G447" t="n">
        <v>0.4</v>
      </c>
      <c r="H447" t="n">
        <v>0</v>
      </c>
      <c r="I447" t="n">
        <v>0</v>
      </c>
      <c r="J447" t="n">
        <v>0</v>
      </c>
      <c r="K447" t="n">
        <v>0</v>
      </c>
      <c r="L447" t="n">
        <v>0</v>
      </c>
      <c r="M447" t="n">
        <v>0</v>
      </c>
      <c r="N447" t="n">
        <v>0</v>
      </c>
      <c r="O447" t="n">
        <v>0</v>
      </c>
      <c r="P447" t="n">
        <v>0</v>
      </c>
      <c r="Q447" t="n">
        <v>0</v>
      </c>
      <c r="R447" s="2" t="inlineStr"/>
    </row>
    <row r="448" ht="15" customHeight="1">
      <c r="A448" t="inlineStr">
        <is>
          <t>A 63402-2023</t>
        </is>
      </c>
      <c r="B448" s="1" t="n">
        <v>45274.50646990741</v>
      </c>
      <c r="C448" s="1" t="n">
        <v>46087</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53208-2023</t>
        </is>
      </c>
      <c r="B449" s="1" t="n">
        <v>45226</v>
      </c>
      <c r="C449" s="1" t="n">
        <v>46087</v>
      </c>
      <c r="D449" t="inlineStr">
        <is>
          <t>UPPSALA LÄN</t>
        </is>
      </c>
      <c r="E449" t="inlineStr">
        <is>
          <t>ENKÖPING</t>
        </is>
      </c>
      <c r="G449" t="n">
        <v>4.3</v>
      </c>
      <c r="H449" t="n">
        <v>0</v>
      </c>
      <c r="I449" t="n">
        <v>0</v>
      </c>
      <c r="J449" t="n">
        <v>0</v>
      </c>
      <c r="K449" t="n">
        <v>0</v>
      </c>
      <c r="L449" t="n">
        <v>0</v>
      </c>
      <c r="M449" t="n">
        <v>0</v>
      </c>
      <c r="N449" t="n">
        <v>0</v>
      </c>
      <c r="O449" t="n">
        <v>0</v>
      </c>
      <c r="P449" t="n">
        <v>0</v>
      </c>
      <c r="Q449" t="n">
        <v>0</v>
      </c>
      <c r="R449" s="2" t="inlineStr"/>
    </row>
    <row r="450" ht="15" customHeight="1">
      <c r="A450" t="inlineStr">
        <is>
          <t>A 18259-2025</t>
        </is>
      </c>
      <c r="B450" s="1" t="n">
        <v>45762</v>
      </c>
      <c r="C450" s="1" t="n">
        <v>46087</v>
      </c>
      <c r="D450" t="inlineStr">
        <is>
          <t>UPPSALA LÄN</t>
        </is>
      </c>
      <c r="E450" t="inlineStr">
        <is>
          <t>ENKÖPING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62158-2023</t>
        </is>
      </c>
      <c r="B451" s="1" t="n">
        <v>45267</v>
      </c>
      <c r="C451" s="1" t="n">
        <v>46087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60874-2023</t>
        </is>
      </c>
      <c r="B452" s="1" t="n">
        <v>45261.06280092592</v>
      </c>
      <c r="C452" s="1" t="n">
        <v>46087</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3550-2023</t>
        </is>
      </c>
      <c r="B453" s="1" t="n">
        <v>44950</v>
      </c>
      <c r="C453" s="1" t="n">
        <v>46087</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26292-2022</t>
        </is>
      </c>
      <c r="B454" s="1" t="n">
        <v>44735</v>
      </c>
      <c r="C454" s="1" t="n">
        <v>46087</v>
      </c>
      <c r="D454" t="inlineStr">
        <is>
          <t>UPPSALA LÄN</t>
        </is>
      </c>
      <c r="E454" t="inlineStr">
        <is>
          <t>ENKÖPING</t>
        </is>
      </c>
      <c r="F454" t="inlineStr">
        <is>
          <t>Kyrkan</t>
        </is>
      </c>
      <c r="G454" t="n">
        <v>4.6</v>
      </c>
      <c r="H454" t="n">
        <v>0</v>
      </c>
      <c r="I454" t="n">
        <v>0</v>
      </c>
      <c r="J454" t="n">
        <v>0</v>
      </c>
      <c r="K454" t="n">
        <v>0</v>
      </c>
      <c r="L454" t="n">
        <v>0</v>
      </c>
      <c r="M454" t="n">
        <v>0</v>
      </c>
      <c r="N454" t="n">
        <v>0</v>
      </c>
      <c r="O454" t="n">
        <v>0</v>
      </c>
      <c r="P454" t="n">
        <v>0</v>
      </c>
      <c r="Q454" t="n">
        <v>0</v>
      </c>
      <c r="R454" s="2" t="inlineStr"/>
    </row>
    <row r="455" ht="15" customHeight="1">
      <c r="A455" t="inlineStr">
        <is>
          <t>A 61207-2023</t>
        </is>
      </c>
      <c r="B455" s="1" t="n">
        <v>45264.39444444444</v>
      </c>
      <c r="C455" s="1" t="n">
        <v>46087</v>
      </c>
      <c r="D455" t="inlineStr">
        <is>
          <t>UPPSALA LÄN</t>
        </is>
      </c>
      <c r="E455" t="inlineStr">
        <is>
          <t>ENKÖPING</t>
        </is>
      </c>
      <c r="G455" t="n">
        <v>10.8</v>
      </c>
      <c r="H455" t="n">
        <v>0</v>
      </c>
      <c r="I455" t="n">
        <v>0</v>
      </c>
      <c r="J455" t="n">
        <v>0</v>
      </c>
      <c r="K455" t="n">
        <v>0</v>
      </c>
      <c r="L455" t="n">
        <v>0</v>
      </c>
      <c r="M455" t="n">
        <v>0</v>
      </c>
      <c r="N455" t="n">
        <v>0</v>
      </c>
      <c r="O455" t="n">
        <v>0</v>
      </c>
      <c r="P455" t="n">
        <v>0</v>
      </c>
      <c r="Q455" t="n">
        <v>0</v>
      </c>
      <c r="R455" s="2" t="inlineStr"/>
    </row>
    <row r="456" ht="15" customHeight="1">
      <c r="A456" t="inlineStr">
        <is>
          <t>A 840-2025</t>
        </is>
      </c>
      <c r="B456" s="1" t="n">
        <v>45665</v>
      </c>
      <c r="C456" s="1" t="n">
        <v>46087</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10458-2022</t>
        </is>
      </c>
      <c r="B457" s="1" t="n">
        <v>44623.56711805556</v>
      </c>
      <c r="C457" s="1" t="n">
        <v>46087</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45142-2023</t>
        </is>
      </c>
      <c r="B458" s="1" t="n">
        <v>45191.4702662037</v>
      </c>
      <c r="C458" s="1" t="n">
        <v>46087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57998-2024</t>
        </is>
      </c>
      <c r="B459" s="1" t="n">
        <v>45631</v>
      </c>
      <c r="C459" s="1" t="n">
        <v>46087</v>
      </c>
      <c r="D459" t="inlineStr">
        <is>
          <t>UPPSALA LÄN</t>
        </is>
      </c>
      <c r="E459" t="inlineStr">
        <is>
          <t>ENKÖPING</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14332-2024</t>
        </is>
      </c>
      <c r="B460" s="1" t="n">
        <v>45393</v>
      </c>
      <c r="C460" s="1" t="n">
        <v>46087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18831-2023</t>
        </is>
      </c>
      <c r="B461" s="1" t="n">
        <v>45044.40798611111</v>
      </c>
      <c r="C461" s="1" t="n">
        <v>46087</v>
      </c>
      <c r="D461" t="inlineStr">
        <is>
          <t>UPPSALA LÄN</t>
        </is>
      </c>
      <c r="E461" t="inlineStr">
        <is>
          <t>ENKÖPING</t>
        </is>
      </c>
      <c r="G461" t="n">
        <v>4.3</v>
      </c>
      <c r="H461" t="n">
        <v>0</v>
      </c>
      <c r="I461" t="n">
        <v>0</v>
      </c>
      <c r="J461" t="n">
        <v>0</v>
      </c>
      <c r="K461" t="n">
        <v>0</v>
      </c>
      <c r="L461" t="n">
        <v>0</v>
      </c>
      <c r="M461" t="n">
        <v>0</v>
      </c>
      <c r="N461" t="n">
        <v>0</v>
      </c>
      <c r="O461" t="n">
        <v>0</v>
      </c>
      <c r="P461" t="n">
        <v>0</v>
      </c>
      <c r="Q461" t="n">
        <v>0</v>
      </c>
      <c r="R461" s="2" t="inlineStr"/>
    </row>
    <row r="462" ht="15" customHeight="1">
      <c r="A462" t="inlineStr">
        <is>
          <t>A 33581-2023</t>
        </is>
      </c>
      <c r="B462" s="1" t="n">
        <v>45131</v>
      </c>
      <c r="C462" s="1" t="n">
        <v>46087</v>
      </c>
      <c r="D462" t="inlineStr">
        <is>
          <t>UPPSALA LÄN</t>
        </is>
      </c>
      <c r="E462" t="inlineStr">
        <is>
          <t>ENKÖPING</t>
        </is>
      </c>
      <c r="G462" t="n">
        <v>3.5</v>
      </c>
      <c r="H462" t="n">
        <v>0</v>
      </c>
      <c r="I462" t="n">
        <v>0</v>
      </c>
      <c r="J462" t="n">
        <v>0</v>
      </c>
      <c r="K462" t="n">
        <v>0</v>
      </c>
      <c r="L462" t="n">
        <v>0</v>
      </c>
      <c r="M462" t="n">
        <v>0</v>
      </c>
      <c r="N462" t="n">
        <v>0</v>
      </c>
      <c r="O462" t="n">
        <v>0</v>
      </c>
      <c r="P462" t="n">
        <v>0</v>
      </c>
      <c r="Q462" t="n">
        <v>0</v>
      </c>
      <c r="R462" s="2" t="inlineStr"/>
    </row>
    <row r="463" ht="15" customHeight="1">
      <c r="A463" t="inlineStr">
        <is>
          <t>A 37115-2024</t>
        </is>
      </c>
      <c r="B463" s="1" t="n">
        <v>45539</v>
      </c>
      <c r="C463" s="1" t="n">
        <v>46087</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1960-2022</t>
        </is>
      </c>
      <c r="B464" s="1" t="n">
        <v>44575</v>
      </c>
      <c r="C464" s="1" t="n">
        <v>46087</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18028-2023</t>
        </is>
      </c>
      <c r="B465" s="1" t="n">
        <v>45040</v>
      </c>
      <c r="C465" s="1" t="n">
        <v>46087</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44862.32791666667</v>
      </c>
      <c r="C466" s="1" t="n">
        <v>46087</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42459-2024</t>
        </is>
      </c>
      <c r="B467" s="1" t="n">
        <v>45565</v>
      </c>
      <c r="C467" s="1" t="n">
        <v>46087</v>
      </c>
      <c r="D467" t="inlineStr">
        <is>
          <t>UPPSALA LÄN</t>
        </is>
      </c>
      <c r="E467" t="inlineStr">
        <is>
          <t>ENKÖPING</t>
        </is>
      </c>
      <c r="G467" t="n">
        <v>3.6</v>
      </c>
      <c r="H467" t="n">
        <v>0</v>
      </c>
      <c r="I467" t="n">
        <v>0</v>
      </c>
      <c r="J467" t="n">
        <v>0</v>
      </c>
      <c r="K467" t="n">
        <v>0</v>
      </c>
      <c r="L467" t="n">
        <v>0</v>
      </c>
      <c r="M467" t="n">
        <v>0</v>
      </c>
      <c r="N467" t="n">
        <v>0</v>
      </c>
      <c r="O467" t="n">
        <v>0</v>
      </c>
      <c r="P467" t="n">
        <v>0</v>
      </c>
      <c r="Q467" t="n">
        <v>0</v>
      </c>
      <c r="R467" s="2" t="inlineStr"/>
    </row>
    <row r="468" ht="15" customHeight="1">
      <c r="A468" t="inlineStr">
        <is>
          <t>A 48864-2022</t>
        </is>
      </c>
      <c r="B468" s="1" t="n">
        <v>44859</v>
      </c>
      <c r="C468" s="1" t="n">
        <v>46087</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31622-2022</t>
        </is>
      </c>
      <c r="B469" s="1" t="n">
        <v>44775</v>
      </c>
      <c r="C469" s="1" t="n">
        <v>46087</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6356-2022</t>
        </is>
      </c>
      <c r="B470" s="1" t="n">
        <v>44600</v>
      </c>
      <c r="C470" s="1" t="n">
        <v>46087</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57147-2021</t>
        </is>
      </c>
      <c r="B471" s="1" t="n">
        <v>44482</v>
      </c>
      <c r="C471" s="1" t="n">
        <v>46087</v>
      </c>
      <c r="D471" t="inlineStr">
        <is>
          <t>UPPSALA LÄN</t>
        </is>
      </c>
      <c r="E471" t="inlineStr">
        <is>
          <t>ENKÖPING</t>
        </is>
      </c>
      <c r="G471" t="n">
        <v>5.7</v>
      </c>
      <c r="H471" t="n">
        <v>0</v>
      </c>
      <c r="I471" t="n">
        <v>0</v>
      </c>
      <c r="J471" t="n">
        <v>0</v>
      </c>
      <c r="K471" t="n">
        <v>0</v>
      </c>
      <c r="L471" t="n">
        <v>0</v>
      </c>
      <c r="M471" t="n">
        <v>0</v>
      </c>
      <c r="N471" t="n">
        <v>0</v>
      </c>
      <c r="O471" t="n">
        <v>0</v>
      </c>
      <c r="P471" t="n">
        <v>0</v>
      </c>
      <c r="Q471" t="n">
        <v>0</v>
      </c>
      <c r="R471" s="2" t="inlineStr"/>
    </row>
    <row r="472" ht="15" customHeight="1">
      <c r="A472" t="inlineStr">
        <is>
          <t>A 47909-2024</t>
        </is>
      </c>
      <c r="B472" s="1" t="n">
        <v>45589.31866898148</v>
      </c>
      <c r="C472" s="1" t="n">
        <v>46087</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52005-2024</t>
        </is>
      </c>
      <c r="B473" s="1" t="n">
        <v>45607.7627662037</v>
      </c>
      <c r="C473" s="1" t="n">
        <v>46087</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53586-2024</t>
        </is>
      </c>
      <c r="B474" s="1" t="n">
        <v>45614</v>
      </c>
      <c r="C474" s="1" t="n">
        <v>46087</v>
      </c>
      <c r="D474" t="inlineStr">
        <is>
          <t>UPPSALA LÄN</t>
        </is>
      </c>
      <c r="E474" t="inlineStr">
        <is>
          <t>ENKÖPING</t>
        </is>
      </c>
      <c r="G474" t="n">
        <v>6.6</v>
      </c>
      <c r="H474" t="n">
        <v>0</v>
      </c>
      <c r="I474" t="n">
        <v>0</v>
      </c>
      <c r="J474" t="n">
        <v>0</v>
      </c>
      <c r="K474" t="n">
        <v>0</v>
      </c>
      <c r="L474" t="n">
        <v>0</v>
      </c>
      <c r="M474" t="n">
        <v>0</v>
      </c>
      <c r="N474" t="n">
        <v>0</v>
      </c>
      <c r="O474" t="n">
        <v>0</v>
      </c>
      <c r="P474" t="n">
        <v>0</v>
      </c>
      <c r="Q474" t="n">
        <v>0</v>
      </c>
      <c r="R474" s="2" t="inlineStr"/>
    </row>
    <row r="475" ht="15" customHeight="1">
      <c r="A475" t="inlineStr">
        <is>
          <t>A 51034-2024</t>
        </is>
      </c>
      <c r="B475" s="1" t="n">
        <v>45603.4262037037</v>
      </c>
      <c r="C475" s="1" t="n">
        <v>46087</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51036-2024</t>
        </is>
      </c>
      <c r="B476" s="1" t="n">
        <v>45603.42839120371</v>
      </c>
      <c r="C476" s="1" t="n">
        <v>46087</v>
      </c>
      <c r="D476" t="inlineStr">
        <is>
          <t>UPPSALA LÄN</t>
        </is>
      </c>
      <c r="E476" t="inlineStr">
        <is>
          <t>ENKÖPING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43492-2023</t>
        </is>
      </c>
      <c r="B477" s="1" t="n">
        <v>45181</v>
      </c>
      <c r="C477" s="1" t="n">
        <v>46087</v>
      </c>
      <c r="D477" t="inlineStr">
        <is>
          <t>UPPSALA LÄN</t>
        </is>
      </c>
      <c r="E477" t="inlineStr">
        <is>
          <t>ENKÖPING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1536-2024</t>
        </is>
      </c>
      <c r="B478" s="1" t="n">
        <v>45306</v>
      </c>
      <c r="C478" s="1" t="n">
        <v>46087</v>
      </c>
      <c r="D478" t="inlineStr">
        <is>
          <t>UPPSALA LÄN</t>
        </is>
      </c>
      <c r="E478" t="inlineStr">
        <is>
          <t>ENKÖPING</t>
        </is>
      </c>
      <c r="F478" t="inlineStr">
        <is>
          <t>Kyrkan</t>
        </is>
      </c>
      <c r="G478" t="n">
        <v>5.6</v>
      </c>
      <c r="H478" t="n">
        <v>0</v>
      </c>
      <c r="I478" t="n">
        <v>0</v>
      </c>
      <c r="J478" t="n">
        <v>0</v>
      </c>
      <c r="K478" t="n">
        <v>0</v>
      </c>
      <c r="L478" t="n">
        <v>0</v>
      </c>
      <c r="M478" t="n">
        <v>0</v>
      </c>
      <c r="N478" t="n">
        <v>0</v>
      </c>
      <c r="O478" t="n">
        <v>0</v>
      </c>
      <c r="P478" t="n">
        <v>0</v>
      </c>
      <c r="Q478" t="n">
        <v>0</v>
      </c>
      <c r="R478" s="2" t="inlineStr"/>
    </row>
    <row r="479" ht="15" customHeight="1">
      <c r="A479" t="inlineStr">
        <is>
          <t>A 2974-2025</t>
        </is>
      </c>
      <c r="B479" s="1" t="n">
        <v>45678.47168981482</v>
      </c>
      <c r="C479" s="1" t="n">
        <v>46087</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16916-2023</t>
        </is>
      </c>
      <c r="B480" s="1" t="n">
        <v>45033.58347222222</v>
      </c>
      <c r="C480" s="1" t="n">
        <v>46087</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16920-2023</t>
        </is>
      </c>
      <c r="B481" s="1" t="n">
        <v>45033.59030092593</v>
      </c>
      <c r="C481" s="1" t="n">
        <v>46087</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52388-2024</t>
        </is>
      </c>
      <c r="B482" s="1" t="n">
        <v>45609.42939814815</v>
      </c>
      <c r="C482" s="1" t="n">
        <v>46087</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12434-2021</t>
        </is>
      </c>
      <c r="B483" s="1" t="n">
        <v>44267</v>
      </c>
      <c r="C483" s="1" t="n">
        <v>46087</v>
      </c>
      <c r="D483" t="inlineStr">
        <is>
          <t>UPPSALA LÄN</t>
        </is>
      </c>
      <c r="E483" t="inlineStr">
        <is>
          <t>ENKÖPING</t>
        </is>
      </c>
      <c r="G483" t="n">
        <v>5.3</v>
      </c>
      <c r="H483" t="n">
        <v>0</v>
      </c>
      <c r="I483" t="n">
        <v>0</v>
      </c>
      <c r="J483" t="n">
        <v>0</v>
      </c>
      <c r="K483" t="n">
        <v>0</v>
      </c>
      <c r="L483" t="n">
        <v>0</v>
      </c>
      <c r="M483" t="n">
        <v>0</v>
      </c>
      <c r="N483" t="n">
        <v>0</v>
      </c>
      <c r="O483" t="n">
        <v>0</v>
      </c>
      <c r="P483" t="n">
        <v>0</v>
      </c>
      <c r="Q483" t="n">
        <v>0</v>
      </c>
      <c r="R483" s="2" t="inlineStr"/>
    </row>
    <row r="484" ht="15" customHeight="1">
      <c r="A484" t="inlineStr">
        <is>
          <t>A 1992-2022</t>
        </is>
      </c>
      <c r="B484" s="1" t="n">
        <v>44575.56153935185</v>
      </c>
      <c r="C484" s="1" t="n">
        <v>46087</v>
      </c>
      <c r="D484" t="inlineStr">
        <is>
          <t>UPPSALA LÄN</t>
        </is>
      </c>
      <c r="E484" t="inlineStr">
        <is>
          <t>ENKÖPING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6626-2023</t>
        </is>
      </c>
      <c r="B485" s="1" t="n">
        <v>44966.55946759259</v>
      </c>
      <c r="C485" s="1" t="n">
        <v>46087</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48843-2023</t>
        </is>
      </c>
      <c r="B486" s="1" t="n">
        <v>45209</v>
      </c>
      <c r="C486" s="1" t="n">
        <v>46087</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57940-2022</t>
        </is>
      </c>
      <c r="B487" s="1" t="n">
        <v>44900</v>
      </c>
      <c r="C487" s="1" t="n">
        <v>46087</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35079-2024</t>
        </is>
      </c>
      <c r="B488" s="1" t="n">
        <v>45527.66770833333</v>
      </c>
      <c r="C488" s="1" t="n">
        <v>46087</v>
      </c>
      <c r="D488" t="inlineStr">
        <is>
          <t>UPPSALA LÄN</t>
        </is>
      </c>
      <c r="E488" t="inlineStr">
        <is>
          <t>ENKÖPING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53595-2023</t>
        </is>
      </c>
      <c r="B489" s="1" t="n">
        <v>45223</v>
      </c>
      <c r="C489" s="1" t="n">
        <v>46087</v>
      </c>
      <c r="D489" t="inlineStr">
        <is>
          <t>UPPSALA LÄN</t>
        </is>
      </c>
      <c r="E489" t="inlineStr">
        <is>
          <t>ENKÖPING</t>
        </is>
      </c>
      <c r="G489" t="n">
        <v>2.6</v>
      </c>
      <c r="H489" t="n">
        <v>0</v>
      </c>
      <c r="I489" t="n">
        <v>0</v>
      </c>
      <c r="J489" t="n">
        <v>0</v>
      </c>
      <c r="K489" t="n">
        <v>0</v>
      </c>
      <c r="L489" t="n">
        <v>0</v>
      </c>
      <c r="M489" t="n">
        <v>0</v>
      </c>
      <c r="N489" t="n">
        <v>0</v>
      </c>
      <c r="O489" t="n">
        <v>0</v>
      </c>
      <c r="P489" t="n">
        <v>0</v>
      </c>
      <c r="Q489" t="n">
        <v>0</v>
      </c>
      <c r="R489" s="2" t="inlineStr"/>
    </row>
    <row r="490" ht="15" customHeight="1">
      <c r="A490" t="inlineStr">
        <is>
          <t>A 60533-2021</t>
        </is>
      </c>
      <c r="B490" s="1" t="n">
        <v>44496</v>
      </c>
      <c r="C490" s="1" t="n">
        <v>46087</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15757-2023</t>
        </is>
      </c>
      <c r="B491" s="1" t="n">
        <v>45021</v>
      </c>
      <c r="C491" s="1" t="n">
        <v>46087</v>
      </c>
      <c r="D491" t="inlineStr">
        <is>
          <t>UPPSALA LÄN</t>
        </is>
      </c>
      <c r="E491" t="inlineStr">
        <is>
          <t>ENKÖPING</t>
        </is>
      </c>
      <c r="G491" t="n">
        <v>3</v>
      </c>
      <c r="H491" t="n">
        <v>0</v>
      </c>
      <c r="I491" t="n">
        <v>0</v>
      </c>
      <c r="J491" t="n">
        <v>0</v>
      </c>
      <c r="K491" t="n">
        <v>0</v>
      </c>
      <c r="L491" t="n">
        <v>0</v>
      </c>
      <c r="M491" t="n">
        <v>0</v>
      </c>
      <c r="N491" t="n">
        <v>0</v>
      </c>
      <c r="O491" t="n">
        <v>0</v>
      </c>
      <c r="P491" t="n">
        <v>0</v>
      </c>
      <c r="Q491" t="n">
        <v>0</v>
      </c>
      <c r="R491" s="2" t="inlineStr"/>
    </row>
    <row r="492" ht="15" customHeight="1">
      <c r="A492" t="inlineStr">
        <is>
          <t>A 43230-2023</t>
        </is>
      </c>
      <c r="B492" s="1" t="n">
        <v>45183</v>
      </c>
      <c r="C492" s="1" t="n">
        <v>46087</v>
      </c>
      <c r="D492" t="inlineStr">
        <is>
          <t>UPPSALA LÄN</t>
        </is>
      </c>
      <c r="E492" t="inlineStr">
        <is>
          <t>ENKÖPING</t>
        </is>
      </c>
      <c r="G492" t="n">
        <v>2.1</v>
      </c>
      <c r="H492" t="n">
        <v>0</v>
      </c>
      <c r="I492" t="n">
        <v>0</v>
      </c>
      <c r="J492" t="n">
        <v>0</v>
      </c>
      <c r="K492" t="n">
        <v>0</v>
      </c>
      <c r="L492" t="n">
        <v>0</v>
      </c>
      <c r="M492" t="n">
        <v>0</v>
      </c>
      <c r="N492" t="n">
        <v>0</v>
      </c>
      <c r="O492" t="n">
        <v>0</v>
      </c>
      <c r="P492" t="n">
        <v>0</v>
      </c>
      <c r="Q492" t="n">
        <v>0</v>
      </c>
      <c r="R492" s="2" t="inlineStr"/>
    </row>
    <row r="493" ht="15" customHeight="1">
      <c r="A493" t="inlineStr">
        <is>
          <t>A 56886-2023</t>
        </is>
      </c>
      <c r="B493" s="1" t="n">
        <v>45239</v>
      </c>
      <c r="C493" s="1" t="n">
        <v>46087</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51011-2024</t>
        </is>
      </c>
      <c r="B494" s="1" t="n">
        <v>45603.39427083333</v>
      </c>
      <c r="C494" s="1" t="n">
        <v>46087</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12102-2024</t>
        </is>
      </c>
      <c r="B495" s="1" t="n">
        <v>45377</v>
      </c>
      <c r="C495" s="1" t="n">
        <v>46087</v>
      </c>
      <c r="D495" t="inlineStr">
        <is>
          <t>UPPSALA LÄN</t>
        </is>
      </c>
      <c r="E495" t="inlineStr">
        <is>
          <t>ENKÖPING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58961-2024</t>
        </is>
      </c>
      <c r="B496" s="1" t="n">
        <v>45636.585</v>
      </c>
      <c r="C496" s="1" t="n">
        <v>46087</v>
      </c>
      <c r="D496" t="inlineStr">
        <is>
          <t>UPPSALA LÄN</t>
        </is>
      </c>
      <c r="E496" t="inlineStr">
        <is>
          <t>ENKÖPING</t>
        </is>
      </c>
      <c r="G496" t="n">
        <v>4</v>
      </c>
      <c r="H496" t="n">
        <v>0</v>
      </c>
      <c r="I496" t="n">
        <v>0</v>
      </c>
      <c r="J496" t="n">
        <v>0</v>
      </c>
      <c r="K496" t="n">
        <v>0</v>
      </c>
      <c r="L496" t="n">
        <v>0</v>
      </c>
      <c r="M496" t="n">
        <v>0</v>
      </c>
      <c r="N496" t="n">
        <v>0</v>
      </c>
      <c r="O496" t="n">
        <v>0</v>
      </c>
      <c r="P496" t="n">
        <v>0</v>
      </c>
      <c r="Q496" t="n">
        <v>0</v>
      </c>
      <c r="R496" s="2" t="inlineStr"/>
    </row>
    <row r="497" ht="15" customHeight="1">
      <c r="A497" t="inlineStr">
        <is>
          <t>A 45283-2022</t>
        </is>
      </c>
      <c r="B497" s="1" t="n">
        <v>44844</v>
      </c>
      <c r="C497" s="1" t="n">
        <v>46087</v>
      </c>
      <c r="D497" t="inlineStr">
        <is>
          <t>UPPSALA LÄN</t>
        </is>
      </c>
      <c r="E497" t="inlineStr">
        <is>
          <t>ENKÖPING</t>
        </is>
      </c>
      <c r="G497" t="n">
        <v>5.9</v>
      </c>
      <c r="H497" t="n">
        <v>0</v>
      </c>
      <c r="I497" t="n">
        <v>0</v>
      </c>
      <c r="J497" t="n">
        <v>0</v>
      </c>
      <c r="K497" t="n">
        <v>0</v>
      </c>
      <c r="L497" t="n">
        <v>0</v>
      </c>
      <c r="M497" t="n">
        <v>0</v>
      </c>
      <c r="N497" t="n">
        <v>0</v>
      </c>
      <c r="O497" t="n">
        <v>0</v>
      </c>
      <c r="P497" t="n">
        <v>0</v>
      </c>
      <c r="Q497" t="n">
        <v>0</v>
      </c>
      <c r="R497" s="2" t="inlineStr"/>
    </row>
    <row r="498" ht="15" customHeight="1">
      <c r="A498" t="inlineStr">
        <is>
          <t>A 845-2025</t>
        </is>
      </c>
      <c r="B498" s="1" t="n">
        <v>45665</v>
      </c>
      <c r="C498" s="1" t="n">
        <v>46087</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849-2025</t>
        </is>
      </c>
      <c r="B499" s="1" t="n">
        <v>45665</v>
      </c>
      <c r="C499" s="1" t="n">
        <v>46087</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58147-2024</t>
        </is>
      </c>
      <c r="B500" s="1" t="n">
        <v>45632.4334375</v>
      </c>
      <c r="C500" s="1" t="n">
        <v>46087</v>
      </c>
      <c r="D500" t="inlineStr">
        <is>
          <t>UPPSALA LÄN</t>
        </is>
      </c>
      <c r="E500" t="inlineStr">
        <is>
          <t>ENKÖPING</t>
        </is>
      </c>
      <c r="G500" t="n">
        <v>3</v>
      </c>
      <c r="H500" t="n">
        <v>0</v>
      </c>
      <c r="I500" t="n">
        <v>0</v>
      </c>
      <c r="J500" t="n">
        <v>0</v>
      </c>
      <c r="K500" t="n">
        <v>0</v>
      </c>
      <c r="L500" t="n">
        <v>0</v>
      </c>
      <c r="M500" t="n">
        <v>0</v>
      </c>
      <c r="N500" t="n">
        <v>0</v>
      </c>
      <c r="O500" t="n">
        <v>0</v>
      </c>
      <c r="P500" t="n">
        <v>0</v>
      </c>
      <c r="Q500" t="n">
        <v>0</v>
      </c>
      <c r="R500" s="2" t="inlineStr"/>
    </row>
    <row r="501" ht="15" customHeight="1">
      <c r="A501" t="inlineStr">
        <is>
          <t>A 18302-2025</t>
        </is>
      </c>
      <c r="B501" s="1" t="n">
        <v>45762</v>
      </c>
      <c r="C501" s="1" t="n">
        <v>46087</v>
      </c>
      <c r="D501" t="inlineStr">
        <is>
          <t>UPPSALA LÄN</t>
        </is>
      </c>
      <c r="E501" t="inlineStr">
        <is>
          <t>ENKÖPING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34735-2023</t>
        </is>
      </c>
      <c r="B502" s="1" t="n">
        <v>45139</v>
      </c>
      <c r="C502" s="1" t="n">
        <v>46087</v>
      </c>
      <c r="D502" t="inlineStr">
        <is>
          <t>UPPSALA LÄN</t>
        </is>
      </c>
      <c r="E502" t="inlineStr">
        <is>
          <t>ENKÖPING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30514-2021</t>
        </is>
      </c>
      <c r="B503" s="1" t="n">
        <v>44364</v>
      </c>
      <c r="C503" s="1" t="n">
        <v>46087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57209-2024</t>
        </is>
      </c>
      <c r="B504" s="1" t="n">
        <v>45629.49311342592</v>
      </c>
      <c r="C504" s="1" t="n">
        <v>46087</v>
      </c>
      <c r="D504" t="inlineStr">
        <is>
          <t>UPPSALA LÄN</t>
        </is>
      </c>
      <c r="E504" t="inlineStr">
        <is>
          <t>ENKÖPING</t>
        </is>
      </c>
      <c r="G504" t="n">
        <v>3.2</v>
      </c>
      <c r="H504" t="n">
        <v>0</v>
      </c>
      <c r="I504" t="n">
        <v>0</v>
      </c>
      <c r="J504" t="n">
        <v>0</v>
      </c>
      <c r="K504" t="n">
        <v>0</v>
      </c>
      <c r="L504" t="n">
        <v>0</v>
      </c>
      <c r="M504" t="n">
        <v>0</v>
      </c>
      <c r="N504" t="n">
        <v>0</v>
      </c>
      <c r="O504" t="n">
        <v>0</v>
      </c>
      <c r="P504" t="n">
        <v>0</v>
      </c>
      <c r="Q504" t="n">
        <v>0</v>
      </c>
      <c r="R504" s="2" t="inlineStr"/>
    </row>
    <row r="505" ht="15" customHeight="1">
      <c r="A505" t="inlineStr">
        <is>
          <t>A 13110-2023</t>
        </is>
      </c>
      <c r="B505" s="1" t="n">
        <v>45001</v>
      </c>
      <c r="C505" s="1" t="n">
        <v>46087</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49627-2024</t>
        </is>
      </c>
      <c r="B506" s="1" t="n">
        <v>45596.59140046296</v>
      </c>
      <c r="C506" s="1" t="n">
        <v>46087</v>
      </c>
      <c r="D506" t="inlineStr">
        <is>
          <t>UPPSALA LÄN</t>
        </is>
      </c>
      <c r="E506" t="inlineStr">
        <is>
          <t>ENKÖPING</t>
        </is>
      </c>
      <c r="G506" t="n">
        <v>0.4</v>
      </c>
      <c r="H506" t="n">
        <v>0</v>
      </c>
      <c r="I506" t="n">
        <v>0</v>
      </c>
      <c r="J506" t="n">
        <v>0</v>
      </c>
      <c r="K506" t="n">
        <v>0</v>
      </c>
      <c r="L506" t="n">
        <v>0</v>
      </c>
      <c r="M506" t="n">
        <v>0</v>
      </c>
      <c r="N506" t="n">
        <v>0</v>
      </c>
      <c r="O506" t="n">
        <v>0</v>
      </c>
      <c r="P506" t="n">
        <v>0</v>
      </c>
      <c r="Q506" t="n">
        <v>0</v>
      </c>
      <c r="R506" s="2" t="inlineStr"/>
    </row>
    <row r="507" ht="15" customHeight="1">
      <c r="A507" t="inlineStr">
        <is>
          <t>A 9231-2023</t>
        </is>
      </c>
      <c r="B507" s="1" t="n">
        <v>44980</v>
      </c>
      <c r="C507" s="1" t="n">
        <v>46087</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27538-2023</t>
        </is>
      </c>
      <c r="B508" s="1" t="n">
        <v>45097</v>
      </c>
      <c r="C508" s="1" t="n">
        <v>46087</v>
      </c>
      <c r="D508" t="inlineStr">
        <is>
          <t>UPPSALA LÄN</t>
        </is>
      </c>
      <c r="E508" t="inlineStr">
        <is>
          <t>ENKÖPING</t>
        </is>
      </c>
      <c r="G508" t="n">
        <v>5.8</v>
      </c>
      <c r="H508" t="n">
        <v>0</v>
      </c>
      <c r="I508" t="n">
        <v>0</v>
      </c>
      <c r="J508" t="n">
        <v>0</v>
      </c>
      <c r="K508" t="n">
        <v>0</v>
      </c>
      <c r="L508" t="n">
        <v>0</v>
      </c>
      <c r="M508" t="n">
        <v>0</v>
      </c>
      <c r="N508" t="n">
        <v>0</v>
      </c>
      <c r="O508" t="n">
        <v>0</v>
      </c>
      <c r="P508" t="n">
        <v>0</v>
      </c>
      <c r="Q508" t="n">
        <v>0</v>
      </c>
      <c r="R508" s="2" t="inlineStr"/>
    </row>
    <row r="509" ht="15" customHeight="1">
      <c r="A509" t="inlineStr">
        <is>
          <t>A 18821-2023</t>
        </is>
      </c>
      <c r="B509" s="1" t="n">
        <v>45044.3782175926</v>
      </c>
      <c r="C509" s="1" t="n">
        <v>46087</v>
      </c>
      <c r="D509" t="inlineStr">
        <is>
          <t>UPPSALA LÄN</t>
        </is>
      </c>
      <c r="E509" t="inlineStr">
        <is>
          <t>ENKÖPING</t>
        </is>
      </c>
      <c r="G509" t="n">
        <v>6</v>
      </c>
      <c r="H509" t="n">
        <v>0</v>
      </c>
      <c r="I509" t="n">
        <v>0</v>
      </c>
      <c r="J509" t="n">
        <v>0</v>
      </c>
      <c r="K509" t="n">
        <v>0</v>
      </c>
      <c r="L509" t="n">
        <v>0</v>
      </c>
      <c r="M509" t="n">
        <v>0</v>
      </c>
      <c r="N509" t="n">
        <v>0</v>
      </c>
      <c r="O509" t="n">
        <v>0</v>
      </c>
      <c r="P509" t="n">
        <v>0</v>
      </c>
      <c r="Q509" t="n">
        <v>0</v>
      </c>
      <c r="R509" s="2" t="inlineStr"/>
    </row>
    <row r="510" ht="15" customHeight="1">
      <c r="A510" t="inlineStr">
        <is>
          <t>A 52380-2024</t>
        </is>
      </c>
      <c r="B510" s="1" t="n">
        <v>45609</v>
      </c>
      <c r="C510" s="1" t="n">
        <v>46087</v>
      </c>
      <c r="D510" t="inlineStr">
        <is>
          <t>UPPSALA LÄN</t>
        </is>
      </c>
      <c r="E510" t="inlineStr">
        <is>
          <t>ENKÖPING</t>
        </is>
      </c>
      <c r="G510" t="n">
        <v>1.8</v>
      </c>
      <c r="H510" t="n">
        <v>0</v>
      </c>
      <c r="I510" t="n">
        <v>0</v>
      </c>
      <c r="J510" t="n">
        <v>0</v>
      </c>
      <c r="K510" t="n">
        <v>0</v>
      </c>
      <c r="L510" t="n">
        <v>0</v>
      </c>
      <c r="M510" t="n">
        <v>0</v>
      </c>
      <c r="N510" t="n">
        <v>0</v>
      </c>
      <c r="O510" t="n">
        <v>0</v>
      </c>
      <c r="P510" t="n">
        <v>0</v>
      </c>
      <c r="Q510" t="n">
        <v>0</v>
      </c>
      <c r="R510" s="2" t="inlineStr"/>
    </row>
    <row r="511" ht="15" customHeight="1">
      <c r="A511" t="inlineStr">
        <is>
          <t>A 9041-2023</t>
        </is>
      </c>
      <c r="B511" s="1" t="n">
        <v>44979</v>
      </c>
      <c r="C511" s="1" t="n">
        <v>46087</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27786-2023</t>
        </is>
      </c>
      <c r="B512" s="1" t="n">
        <v>45098</v>
      </c>
      <c r="C512" s="1" t="n">
        <v>46087</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15942-2022</t>
        </is>
      </c>
      <c r="B513" s="1" t="n">
        <v>44664</v>
      </c>
      <c r="C513" s="1" t="n">
        <v>46087</v>
      </c>
      <c r="D513" t="inlineStr">
        <is>
          <t>UPPSALA LÄN</t>
        </is>
      </c>
      <c r="E513" t="inlineStr">
        <is>
          <t>ENKÖPING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50006-2023</t>
        </is>
      </c>
      <c r="B514" s="1" t="n">
        <v>45215</v>
      </c>
      <c r="C514" s="1" t="n">
        <v>46087</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53607-2023</t>
        </is>
      </c>
      <c r="B515" s="1" t="n">
        <v>45230</v>
      </c>
      <c r="C515" s="1" t="n">
        <v>46087</v>
      </c>
      <c r="D515" t="inlineStr">
        <is>
          <t>UPPSALA LÄN</t>
        </is>
      </c>
      <c r="E515" t="inlineStr">
        <is>
          <t>ENKÖPING</t>
        </is>
      </c>
      <c r="F515" t="inlineStr">
        <is>
          <t>Allmännings- och besparingsskogar</t>
        </is>
      </c>
      <c r="G515" t="n">
        <v>6.3</v>
      </c>
      <c r="H515" t="n">
        <v>0</v>
      </c>
      <c r="I515" t="n">
        <v>0</v>
      </c>
      <c r="J515" t="n">
        <v>0</v>
      </c>
      <c r="K515" t="n">
        <v>0</v>
      </c>
      <c r="L515" t="n">
        <v>0</v>
      </c>
      <c r="M515" t="n">
        <v>0</v>
      </c>
      <c r="N515" t="n">
        <v>0</v>
      </c>
      <c r="O515" t="n">
        <v>0</v>
      </c>
      <c r="P515" t="n">
        <v>0</v>
      </c>
      <c r="Q515" t="n">
        <v>0</v>
      </c>
      <c r="R515" s="2" t="inlineStr"/>
    </row>
    <row r="516" ht="15" customHeight="1">
      <c r="A516" t="inlineStr">
        <is>
          <t>A 59497-2022</t>
        </is>
      </c>
      <c r="B516" s="1" t="n">
        <v>44907.48258101852</v>
      </c>
      <c r="C516" s="1" t="n">
        <v>46087</v>
      </c>
      <c r="D516" t="inlineStr">
        <is>
          <t>UPPSALA LÄN</t>
        </is>
      </c>
      <c r="E516" t="inlineStr">
        <is>
          <t>ENKÖPING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49614-2024</t>
        </is>
      </c>
      <c r="B517" s="1" t="n">
        <v>45596.57716435185</v>
      </c>
      <c r="C517" s="1" t="n">
        <v>46087</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49632-2024</t>
        </is>
      </c>
      <c r="B518" s="1" t="n">
        <v>45596</v>
      </c>
      <c r="C518" s="1" t="n">
        <v>46087</v>
      </c>
      <c r="D518" t="inlineStr">
        <is>
          <t>UPPSALA LÄN</t>
        </is>
      </c>
      <c r="E518" t="inlineStr">
        <is>
          <t>ENKÖPING</t>
        </is>
      </c>
      <c r="G518" t="n">
        <v>1.8</v>
      </c>
      <c r="H518" t="n">
        <v>0</v>
      </c>
      <c r="I518" t="n">
        <v>0</v>
      </c>
      <c r="J518" t="n">
        <v>0</v>
      </c>
      <c r="K518" t="n">
        <v>0</v>
      </c>
      <c r="L518" t="n">
        <v>0</v>
      </c>
      <c r="M518" t="n">
        <v>0</v>
      </c>
      <c r="N518" t="n">
        <v>0</v>
      </c>
      <c r="O518" t="n">
        <v>0</v>
      </c>
      <c r="P518" t="n">
        <v>0</v>
      </c>
      <c r="Q518" t="n">
        <v>0</v>
      </c>
      <c r="R518" s="2" t="inlineStr"/>
    </row>
    <row r="519" ht="15" customHeight="1">
      <c r="A519" t="inlineStr">
        <is>
          <t>A 51030-2024</t>
        </is>
      </c>
      <c r="B519" s="1" t="n">
        <v>45603</v>
      </c>
      <c r="C519" s="1" t="n">
        <v>46087</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row r="520">
      <c r="A520" t="inlineStr">
        <is>
          <t>A 15405-2025</t>
        </is>
      </c>
      <c r="B520" s="1" t="n">
        <v>45747.44670138889</v>
      </c>
      <c r="C520" s="1" t="n">
        <v>46087</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2026-03-06T11:13:30Z</dcterms:created>
  <dcterms:modified xmlns:dcterms="http://purl.org/dc/terms/" xmlns:xsi="http://www.w3.org/2001/XMLSchema-instance" xsi:type="dcterms:W3CDTF">2026-03-06T11:13:30Z</dcterms:modified>
</cp:coreProperties>
</file>