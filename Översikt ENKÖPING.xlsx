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45911</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45911</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45911</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45911</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45116-2023</t>
        </is>
      </c>
      <c r="B23" s="1" t="n">
        <v>45191</v>
      </c>
      <c r="C23" s="1" t="n">
        <v>45911</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23961-2022</t>
        </is>
      </c>
      <c r="B24" s="1" t="n">
        <v>44722</v>
      </c>
      <c r="C24" s="1" t="n">
        <v>45911</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45911</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45911</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29510-2025</t>
        </is>
      </c>
      <c r="B27" s="1" t="n">
        <v>45825</v>
      </c>
      <c r="C27" s="1" t="n">
        <v>45911</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1524-2023</t>
        </is>
      </c>
      <c r="B28" s="1" t="n">
        <v>44935</v>
      </c>
      <c r="C28" s="1" t="n">
        <v>45911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33339-2024</t>
        </is>
      </c>
      <c r="B29" s="1" t="n">
        <v>45519</v>
      </c>
      <c r="C29" s="1" t="n">
        <v>45911</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46749-2024</t>
        </is>
      </c>
      <c r="B30" s="1" t="n">
        <v>45583.48347222222</v>
      </c>
      <c r="C30" s="1" t="n">
        <v>45911</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21970-2025</t>
        </is>
      </c>
      <c r="B31" s="1" t="n">
        <v>45784.63335648148</v>
      </c>
      <c r="C31" s="1" t="n">
        <v>45911</v>
      </c>
      <c r="D31" t="inlineStr">
        <is>
          <t>UPPSALA LÄN</t>
        </is>
      </c>
      <c r="E31" t="inlineStr">
        <is>
          <t>ENKÖPING</t>
        </is>
      </c>
      <c r="G31" t="n">
        <v>5.3</v>
      </c>
      <c r="H31" t="n">
        <v>1</v>
      </c>
      <c r="I31" t="n">
        <v>0</v>
      </c>
      <c r="J31" t="n">
        <v>0</v>
      </c>
      <c r="K31" t="n">
        <v>0</v>
      </c>
      <c r="L31" t="n">
        <v>0</v>
      </c>
      <c r="M31" t="n">
        <v>0</v>
      </c>
      <c r="N31" t="n">
        <v>0</v>
      </c>
      <c r="O31" t="n">
        <v>0</v>
      </c>
      <c r="P31" t="n">
        <v>0</v>
      </c>
      <c r="Q31" t="n">
        <v>1</v>
      </c>
      <c r="R31" s="2" t="inlineStr">
        <is>
          <t>Blåsippa</t>
        </is>
      </c>
      <c r="S31">
        <f>HYPERLINK("https://klasma.github.io/Logging_0381/artfynd/A 21970-2025 artfynd.xlsx", "A 21970-2025")</f>
        <v/>
      </c>
      <c r="T31">
        <f>HYPERLINK("https://klasma.github.io/Logging_0381/kartor/A 21970-2025 karta.png", "A 21970-2025")</f>
        <v/>
      </c>
      <c r="V31">
        <f>HYPERLINK("https://klasma.github.io/Logging_0381/klagomål/A 21970-2025 FSC-klagomål.docx", "A 21970-2025")</f>
        <v/>
      </c>
      <c r="W31">
        <f>HYPERLINK("https://klasma.github.io/Logging_0381/klagomålsmail/A 21970-2025 FSC-klagomål mail.docx", "A 21970-2025")</f>
        <v/>
      </c>
      <c r="X31">
        <f>HYPERLINK("https://klasma.github.io/Logging_0381/tillsyn/A 21970-2025 tillsynsbegäran.docx", "A 21970-2025")</f>
        <v/>
      </c>
      <c r="Y31">
        <f>HYPERLINK("https://klasma.github.io/Logging_0381/tillsynsmail/A 21970-2025 tillsynsbegäran mail.docx", "A 21970-2025")</f>
        <v/>
      </c>
    </row>
    <row r="32" ht="15" customHeight="1">
      <c r="A32" t="inlineStr">
        <is>
          <t>A 16683-2021</t>
        </is>
      </c>
      <c r="B32" s="1" t="n">
        <v>44294.58495370371</v>
      </c>
      <c r="C32" s="1" t="n">
        <v>45911</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45911</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45911</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45911</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45911</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45911</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45911</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45911</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45911</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45911</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45911</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45911</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45911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45911</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45911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45911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45911</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45911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45911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45911</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45911</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45911</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45911</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45911</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45911</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45911</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45911</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45911</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45911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45911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45911</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45911</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45911</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45911</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45911</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45911</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45911</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45911</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45911</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45911</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45911</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45911</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45911</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45911</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45911</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45911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45911</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45911</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45911</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45911</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45911</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24815-2022</t>
        </is>
      </c>
      <c r="B103" s="1" t="n">
        <v>44728</v>
      </c>
      <c r="C103" s="1" t="n">
        <v>45911</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57078-2021</t>
        </is>
      </c>
      <c r="B104" s="1" t="n">
        <v>44482.57855324074</v>
      </c>
      <c r="C104" s="1" t="n">
        <v>45911</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45911</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47516-2022</t>
        </is>
      </c>
      <c r="B106" s="1" t="n">
        <v>44853.68895833333</v>
      </c>
      <c r="C106" s="1" t="n">
        <v>45911</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45911</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45911</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57802-2020</t>
        </is>
      </c>
      <c r="B109" s="1" t="n">
        <v>44141</v>
      </c>
      <c r="C109" s="1" t="n">
        <v>45911</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42021-2021</t>
        </is>
      </c>
      <c r="B110" s="1" t="n">
        <v>44426</v>
      </c>
      <c r="C110" s="1" t="n">
        <v>45911</v>
      </c>
      <c r="D110" t="inlineStr">
        <is>
          <t>UPPSALA LÄN</t>
        </is>
      </c>
      <c r="E110" t="inlineStr">
        <is>
          <t>ENKÖPING</t>
        </is>
      </c>
      <c r="G110" t="n">
        <v>2.2</v>
      </c>
      <c r="H110" t="n">
        <v>0</v>
      </c>
      <c r="I110" t="n">
        <v>0</v>
      </c>
      <c r="J110" t="n">
        <v>0</v>
      </c>
      <c r="K110" t="n">
        <v>0</v>
      </c>
      <c r="L110" t="n">
        <v>0</v>
      </c>
      <c r="M110" t="n">
        <v>0</v>
      </c>
      <c r="N110" t="n">
        <v>0</v>
      </c>
      <c r="O110" t="n">
        <v>0</v>
      </c>
      <c r="P110" t="n">
        <v>0</v>
      </c>
      <c r="Q110" t="n">
        <v>0</v>
      </c>
      <c r="R110" s="2" t="inlineStr"/>
    </row>
    <row r="111" ht="15" customHeight="1">
      <c r="A111" t="inlineStr">
        <is>
          <t>A 52464-2020</t>
        </is>
      </c>
      <c r="B111" s="1" t="n">
        <v>44118</v>
      </c>
      <c r="C111" s="1" t="n">
        <v>45911</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17467-2022</t>
        </is>
      </c>
      <c r="B112" s="1" t="n">
        <v>44679</v>
      </c>
      <c r="C112" s="1" t="n">
        <v>45911</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31013-2022</t>
        </is>
      </c>
      <c r="B113" s="1" t="n">
        <v>44768</v>
      </c>
      <c r="C113" s="1" t="n">
        <v>45911</v>
      </c>
      <c r="D113" t="inlineStr">
        <is>
          <t>UPPSALA LÄN</t>
        </is>
      </c>
      <c r="E113" t="inlineStr">
        <is>
          <t>ENKÖPING</t>
        </is>
      </c>
      <c r="F113" t="inlineStr">
        <is>
          <t>Allmännings- och besparingsskogar</t>
        </is>
      </c>
      <c r="G113" t="n">
        <v>0.5</v>
      </c>
      <c r="H113" t="n">
        <v>0</v>
      </c>
      <c r="I113" t="n">
        <v>0</v>
      </c>
      <c r="J113" t="n">
        <v>0</v>
      </c>
      <c r="K113" t="n">
        <v>0</v>
      </c>
      <c r="L113" t="n">
        <v>0</v>
      </c>
      <c r="M113" t="n">
        <v>0</v>
      </c>
      <c r="N113" t="n">
        <v>0</v>
      </c>
      <c r="O113" t="n">
        <v>0</v>
      </c>
      <c r="P113" t="n">
        <v>0</v>
      </c>
      <c r="Q113" t="n">
        <v>0</v>
      </c>
      <c r="R113" s="2" t="inlineStr"/>
    </row>
    <row r="114" ht="15" customHeight="1">
      <c r="A114" t="inlineStr">
        <is>
          <t>A 29983-2021</t>
        </is>
      </c>
      <c r="B114" s="1" t="n">
        <v>44363</v>
      </c>
      <c r="C114" s="1" t="n">
        <v>45911</v>
      </c>
      <c r="D114" t="inlineStr">
        <is>
          <t>UPPSALA LÄN</t>
        </is>
      </c>
      <c r="E114" t="inlineStr">
        <is>
          <t>ENKÖPING</t>
        </is>
      </c>
      <c r="F114" t="inlineStr">
        <is>
          <t>Kommuner</t>
        </is>
      </c>
      <c r="G114" t="n">
        <v>3.1</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45911</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24883-2022</t>
        </is>
      </c>
      <c r="B116" s="1" t="n">
        <v>44728</v>
      </c>
      <c r="C116" s="1" t="n">
        <v>45911</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19630-2021</t>
        </is>
      </c>
      <c r="B117" s="1" t="n">
        <v>44312.61876157407</v>
      </c>
      <c r="C117" s="1" t="n">
        <v>45911</v>
      </c>
      <c r="D117" t="inlineStr">
        <is>
          <t>UPPSALA LÄN</t>
        </is>
      </c>
      <c r="E117" t="inlineStr">
        <is>
          <t>ENKÖPING</t>
        </is>
      </c>
      <c r="G117" t="n">
        <v>2.7</v>
      </c>
      <c r="H117" t="n">
        <v>0</v>
      </c>
      <c r="I117" t="n">
        <v>0</v>
      </c>
      <c r="J117" t="n">
        <v>0</v>
      </c>
      <c r="K117" t="n">
        <v>0</v>
      </c>
      <c r="L117" t="n">
        <v>0</v>
      </c>
      <c r="M117" t="n">
        <v>0</v>
      </c>
      <c r="N117" t="n">
        <v>0</v>
      </c>
      <c r="O117" t="n">
        <v>0</v>
      </c>
      <c r="P117" t="n">
        <v>0</v>
      </c>
      <c r="Q117" t="n">
        <v>0</v>
      </c>
      <c r="R117" s="2" t="inlineStr"/>
    </row>
    <row r="118" ht="15" customHeight="1">
      <c r="A118" t="inlineStr">
        <is>
          <t>A 31965-2021</t>
        </is>
      </c>
      <c r="B118" s="1" t="n">
        <v>44370.56901620371</v>
      </c>
      <c r="C118" s="1" t="n">
        <v>45911</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10468-2025</t>
        </is>
      </c>
      <c r="B119" s="1" t="n">
        <v>45720</v>
      </c>
      <c r="C119" s="1" t="n">
        <v>45911</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43488-2023</t>
        </is>
      </c>
      <c r="B120" s="1" t="n">
        <v>45181</v>
      </c>
      <c r="C120" s="1" t="n">
        <v>45911</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1971-2022</t>
        </is>
      </c>
      <c r="B121" s="1" t="n">
        <v>44575</v>
      </c>
      <c r="C121" s="1" t="n">
        <v>45911</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45911</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59121-2021</t>
        </is>
      </c>
      <c r="B123" s="1" t="n">
        <v>44490</v>
      </c>
      <c r="C123" s="1" t="n">
        <v>45911</v>
      </c>
      <c r="D123" t="inlineStr">
        <is>
          <t>UPPSALA LÄN</t>
        </is>
      </c>
      <c r="E123" t="inlineStr">
        <is>
          <t>ENKÖPING</t>
        </is>
      </c>
      <c r="G123" t="n">
        <v>2.4</v>
      </c>
      <c r="H123" t="n">
        <v>0</v>
      </c>
      <c r="I123" t="n">
        <v>0</v>
      </c>
      <c r="J123" t="n">
        <v>0</v>
      </c>
      <c r="K123" t="n">
        <v>0</v>
      </c>
      <c r="L123" t="n">
        <v>0</v>
      </c>
      <c r="M123" t="n">
        <v>0</v>
      </c>
      <c r="N123" t="n">
        <v>0</v>
      </c>
      <c r="O123" t="n">
        <v>0</v>
      </c>
      <c r="P123" t="n">
        <v>0</v>
      </c>
      <c r="Q123" t="n">
        <v>0</v>
      </c>
      <c r="R123" s="2" t="inlineStr"/>
    </row>
    <row r="124" ht="15" customHeight="1">
      <c r="A124" t="inlineStr">
        <is>
          <t>A 4044-2024</t>
        </is>
      </c>
      <c r="B124" s="1" t="n">
        <v>45323.45954861111</v>
      </c>
      <c r="C124" s="1" t="n">
        <v>45911</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20067-2021</t>
        </is>
      </c>
      <c r="B125" s="1" t="n">
        <v>44314</v>
      </c>
      <c r="C125" s="1" t="n">
        <v>45911</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33670-2024</t>
        </is>
      </c>
      <c r="B126" s="1" t="n">
        <v>45520</v>
      </c>
      <c r="C126" s="1" t="n">
        <v>45911</v>
      </c>
      <c r="D126" t="inlineStr">
        <is>
          <t>UPPSALA LÄN</t>
        </is>
      </c>
      <c r="E126" t="inlineStr">
        <is>
          <t>ENKÖPING</t>
        </is>
      </c>
      <c r="G126" t="n">
        <v>1.9</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45911</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40812-2022</t>
        </is>
      </c>
      <c r="B128" s="1" t="n">
        <v>44824.68791666667</v>
      </c>
      <c r="C128" s="1" t="n">
        <v>45911</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24291-2024</t>
        </is>
      </c>
      <c r="B129" s="1" t="n">
        <v>45457.4584837963</v>
      </c>
      <c r="C129" s="1" t="n">
        <v>45911</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46103-2023</t>
        </is>
      </c>
      <c r="B130" s="1" t="n">
        <v>45190</v>
      </c>
      <c r="C130" s="1" t="n">
        <v>45911</v>
      </c>
      <c r="D130" t="inlineStr">
        <is>
          <t>UPPSALA LÄN</t>
        </is>
      </c>
      <c r="E130" t="inlineStr">
        <is>
          <t>ENKÖPING</t>
        </is>
      </c>
      <c r="G130" t="n">
        <v>4.6</v>
      </c>
      <c r="H130" t="n">
        <v>0</v>
      </c>
      <c r="I130" t="n">
        <v>0</v>
      </c>
      <c r="J130" t="n">
        <v>0</v>
      </c>
      <c r="K130" t="n">
        <v>0</v>
      </c>
      <c r="L130" t="n">
        <v>0</v>
      </c>
      <c r="M130" t="n">
        <v>0</v>
      </c>
      <c r="N130" t="n">
        <v>0</v>
      </c>
      <c r="O130" t="n">
        <v>0</v>
      </c>
      <c r="P130" t="n">
        <v>0</v>
      </c>
      <c r="Q130" t="n">
        <v>0</v>
      </c>
      <c r="R130" s="2" t="inlineStr"/>
    </row>
    <row r="131" ht="15" customHeight="1">
      <c r="A131" t="inlineStr">
        <is>
          <t>A 21017-2023</t>
        </is>
      </c>
      <c r="B131" s="1" t="n">
        <v>45061</v>
      </c>
      <c r="C131" s="1" t="n">
        <v>45911</v>
      </c>
      <c r="D131" t="inlineStr">
        <is>
          <t>UPPSALA LÄN</t>
        </is>
      </c>
      <c r="E131" t="inlineStr">
        <is>
          <t>ENKÖPING</t>
        </is>
      </c>
      <c r="G131" t="n">
        <v>4.8</v>
      </c>
      <c r="H131" t="n">
        <v>0</v>
      </c>
      <c r="I131" t="n">
        <v>0</v>
      </c>
      <c r="J131" t="n">
        <v>0</v>
      </c>
      <c r="K131" t="n">
        <v>0</v>
      </c>
      <c r="L131" t="n">
        <v>0</v>
      </c>
      <c r="M131" t="n">
        <v>0</v>
      </c>
      <c r="N131" t="n">
        <v>0</v>
      </c>
      <c r="O131" t="n">
        <v>0</v>
      </c>
      <c r="P131" t="n">
        <v>0</v>
      </c>
      <c r="Q131" t="n">
        <v>0</v>
      </c>
      <c r="R131" s="2" t="inlineStr"/>
    </row>
    <row r="132" ht="15" customHeight="1">
      <c r="A132" t="inlineStr">
        <is>
          <t>A 19147-2024</t>
        </is>
      </c>
      <c r="B132" s="1" t="n">
        <v>45428</v>
      </c>
      <c r="C132" s="1" t="n">
        <v>45911</v>
      </c>
      <c r="D132" t="inlineStr">
        <is>
          <t>UPPSALA LÄN</t>
        </is>
      </c>
      <c r="E132" t="inlineStr">
        <is>
          <t>ENKÖPING</t>
        </is>
      </c>
      <c r="G132" t="n">
        <v>1.9</v>
      </c>
      <c r="H132" t="n">
        <v>0</v>
      </c>
      <c r="I132" t="n">
        <v>0</v>
      </c>
      <c r="J132" t="n">
        <v>0</v>
      </c>
      <c r="K132" t="n">
        <v>0</v>
      </c>
      <c r="L132" t="n">
        <v>0</v>
      </c>
      <c r="M132" t="n">
        <v>0</v>
      </c>
      <c r="N132" t="n">
        <v>0</v>
      </c>
      <c r="O132" t="n">
        <v>0</v>
      </c>
      <c r="P132" t="n">
        <v>0</v>
      </c>
      <c r="Q132" t="n">
        <v>0</v>
      </c>
      <c r="R132" s="2" t="inlineStr"/>
    </row>
    <row r="133" ht="15" customHeight="1">
      <c r="A133" t="inlineStr">
        <is>
          <t>A 54776-2024</t>
        </is>
      </c>
      <c r="B133" s="1" t="n">
        <v>45618</v>
      </c>
      <c r="C133" s="1" t="n">
        <v>45911</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67982-2021</t>
        </is>
      </c>
      <c r="B134" s="1" t="n">
        <v>44525</v>
      </c>
      <c r="C134" s="1" t="n">
        <v>45911</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44232-2022</t>
        </is>
      </c>
      <c r="B135" s="1" t="n">
        <v>44839</v>
      </c>
      <c r="C135" s="1" t="n">
        <v>45911</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22150-2025</t>
        </is>
      </c>
      <c r="B136" s="1" t="n">
        <v>45785.56398148148</v>
      </c>
      <c r="C136" s="1" t="n">
        <v>45911</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47428-2023</t>
        </is>
      </c>
      <c r="B137" s="1" t="n">
        <v>45202.66664351852</v>
      </c>
      <c r="C137" s="1" t="n">
        <v>45911</v>
      </c>
      <c r="D137" t="inlineStr">
        <is>
          <t>UPPSALA LÄN</t>
        </is>
      </c>
      <c r="E137" t="inlineStr">
        <is>
          <t>ENKÖPING</t>
        </is>
      </c>
      <c r="G137" t="n">
        <v>3</v>
      </c>
      <c r="H137" t="n">
        <v>0</v>
      </c>
      <c r="I137" t="n">
        <v>0</v>
      </c>
      <c r="J137" t="n">
        <v>0</v>
      </c>
      <c r="K137" t="n">
        <v>0</v>
      </c>
      <c r="L137" t="n">
        <v>0</v>
      </c>
      <c r="M137" t="n">
        <v>0</v>
      </c>
      <c r="N137" t="n">
        <v>0</v>
      </c>
      <c r="O137" t="n">
        <v>0</v>
      </c>
      <c r="P137" t="n">
        <v>0</v>
      </c>
      <c r="Q137" t="n">
        <v>0</v>
      </c>
      <c r="R137" s="2" t="inlineStr"/>
    </row>
    <row r="138" ht="15" customHeight="1">
      <c r="A138" t="inlineStr">
        <is>
          <t>A 57835-2024</t>
        </is>
      </c>
      <c r="B138" s="1" t="n">
        <v>45631.39947916667</v>
      </c>
      <c r="C138" s="1" t="n">
        <v>45911</v>
      </c>
      <c r="D138" t="inlineStr">
        <is>
          <t>UPPSALA LÄN</t>
        </is>
      </c>
      <c r="E138" t="inlineStr">
        <is>
          <t>ENKÖPING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22156-2025</t>
        </is>
      </c>
      <c r="B139" s="1" t="n">
        <v>45785.57512731481</v>
      </c>
      <c r="C139" s="1" t="n">
        <v>45911</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21612-2023</t>
        </is>
      </c>
      <c r="B140" s="1" t="n">
        <v>45063</v>
      </c>
      <c r="C140" s="1" t="n">
        <v>45911</v>
      </c>
      <c r="D140" t="inlineStr">
        <is>
          <t>UPPSALA LÄN</t>
        </is>
      </c>
      <c r="E140" t="inlineStr">
        <is>
          <t>ENKÖPING</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39624-2023</t>
        </is>
      </c>
      <c r="B141" s="1" t="n">
        <v>45164</v>
      </c>
      <c r="C141" s="1" t="n">
        <v>45911</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5892-2023</t>
        </is>
      </c>
      <c r="B142" s="1" t="n">
        <v>44963.64883101852</v>
      </c>
      <c r="C142" s="1" t="n">
        <v>45911</v>
      </c>
      <c r="D142" t="inlineStr">
        <is>
          <t>UPPSALA LÄN</t>
        </is>
      </c>
      <c r="E142" t="inlineStr">
        <is>
          <t>ENKÖPING</t>
        </is>
      </c>
      <c r="G142" t="n">
        <v>5.5</v>
      </c>
      <c r="H142" t="n">
        <v>0</v>
      </c>
      <c r="I142" t="n">
        <v>0</v>
      </c>
      <c r="J142" t="n">
        <v>0</v>
      </c>
      <c r="K142" t="n">
        <v>0</v>
      </c>
      <c r="L142" t="n">
        <v>0</v>
      </c>
      <c r="M142" t="n">
        <v>0</v>
      </c>
      <c r="N142" t="n">
        <v>0</v>
      </c>
      <c r="O142" t="n">
        <v>0</v>
      </c>
      <c r="P142" t="n">
        <v>0</v>
      </c>
      <c r="Q142" t="n">
        <v>0</v>
      </c>
      <c r="R142" s="2" t="inlineStr"/>
    </row>
    <row r="143" ht="15" customHeight="1">
      <c r="A143" t="inlineStr">
        <is>
          <t>A 30087-2024</t>
        </is>
      </c>
      <c r="B143" s="1" t="n">
        <v>45489.39447916667</v>
      </c>
      <c r="C143" s="1" t="n">
        <v>45911</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25333-2023</t>
        </is>
      </c>
      <c r="B144" s="1" t="n">
        <v>45083</v>
      </c>
      <c r="C144" s="1" t="n">
        <v>45911</v>
      </c>
      <c r="D144" t="inlineStr">
        <is>
          <t>UPPSALA LÄN</t>
        </is>
      </c>
      <c r="E144" t="inlineStr">
        <is>
          <t>ENKÖPING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45362-2022</t>
        </is>
      </c>
      <c r="B145" s="1" t="n">
        <v>44844.62366898148</v>
      </c>
      <c r="C145" s="1" t="n">
        <v>45911</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56526-2022</t>
        </is>
      </c>
      <c r="B146" s="1" t="n">
        <v>44893</v>
      </c>
      <c r="C146" s="1" t="n">
        <v>45911</v>
      </c>
      <c r="D146" t="inlineStr">
        <is>
          <t>UPPSALA LÄN</t>
        </is>
      </c>
      <c r="E146" t="inlineStr">
        <is>
          <t>ENKÖPING</t>
        </is>
      </c>
      <c r="G146" t="n">
        <v>3.8</v>
      </c>
      <c r="H146" t="n">
        <v>0</v>
      </c>
      <c r="I146" t="n">
        <v>0</v>
      </c>
      <c r="J146" t="n">
        <v>0</v>
      </c>
      <c r="K146" t="n">
        <v>0</v>
      </c>
      <c r="L146" t="n">
        <v>0</v>
      </c>
      <c r="M146" t="n">
        <v>0</v>
      </c>
      <c r="N146" t="n">
        <v>0</v>
      </c>
      <c r="O146" t="n">
        <v>0</v>
      </c>
      <c r="P146" t="n">
        <v>0</v>
      </c>
      <c r="Q146" t="n">
        <v>0</v>
      </c>
      <c r="R146" s="2" t="inlineStr"/>
    </row>
    <row r="147" ht="15" customHeight="1">
      <c r="A147" t="inlineStr">
        <is>
          <t>A 39858-2024</t>
        </is>
      </c>
      <c r="B147" s="1" t="n">
        <v>45553</v>
      </c>
      <c r="C147" s="1" t="n">
        <v>45911</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60350-2022</t>
        </is>
      </c>
      <c r="B148" s="1" t="n">
        <v>44910</v>
      </c>
      <c r="C148" s="1" t="n">
        <v>45911</v>
      </c>
      <c r="D148" t="inlineStr">
        <is>
          <t>UPPSALA LÄN</t>
        </is>
      </c>
      <c r="E148" t="inlineStr">
        <is>
          <t>ENKÖPING</t>
        </is>
      </c>
      <c r="F148" t="inlineStr">
        <is>
          <t>Allmännings- och besparingsskogar</t>
        </is>
      </c>
      <c r="G148" t="n">
        <v>3.5</v>
      </c>
      <c r="H148" t="n">
        <v>0</v>
      </c>
      <c r="I148" t="n">
        <v>0</v>
      </c>
      <c r="J148" t="n">
        <v>0</v>
      </c>
      <c r="K148" t="n">
        <v>0</v>
      </c>
      <c r="L148" t="n">
        <v>0</v>
      </c>
      <c r="M148" t="n">
        <v>0</v>
      </c>
      <c r="N148" t="n">
        <v>0</v>
      </c>
      <c r="O148" t="n">
        <v>0</v>
      </c>
      <c r="P148" t="n">
        <v>0</v>
      </c>
      <c r="Q148" t="n">
        <v>0</v>
      </c>
      <c r="R148" s="2" t="inlineStr"/>
    </row>
    <row r="149" ht="15" customHeight="1">
      <c r="A149" t="inlineStr">
        <is>
          <t>A 22632-2025</t>
        </is>
      </c>
      <c r="B149" s="1" t="n">
        <v>45789.44361111111</v>
      </c>
      <c r="C149" s="1" t="n">
        <v>45911</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22677-2025</t>
        </is>
      </c>
      <c r="B150" s="1" t="n">
        <v>45789.49515046296</v>
      </c>
      <c r="C150" s="1" t="n">
        <v>45911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22679-2025</t>
        </is>
      </c>
      <c r="B151" s="1" t="n">
        <v>45789.49747685185</v>
      </c>
      <c r="C151" s="1" t="n">
        <v>45911</v>
      </c>
      <c r="D151" t="inlineStr">
        <is>
          <t>UPPSALA LÄN</t>
        </is>
      </c>
      <c r="E151" t="inlineStr">
        <is>
          <t>ENKÖPING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22729-2025</t>
        </is>
      </c>
      <c r="B152" s="1" t="n">
        <v>45789.57790509259</v>
      </c>
      <c r="C152" s="1" t="n">
        <v>45911</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28518-2024</t>
        </is>
      </c>
      <c r="B153" s="1" t="n">
        <v>45477</v>
      </c>
      <c r="C153" s="1" t="n">
        <v>45911</v>
      </c>
      <c r="D153" t="inlineStr">
        <is>
          <t>UPPSALA LÄN</t>
        </is>
      </c>
      <c r="E153" t="inlineStr">
        <is>
          <t>ENKÖPING</t>
        </is>
      </c>
      <c r="G153" t="n">
        <v>3.4</v>
      </c>
      <c r="H153" t="n">
        <v>0</v>
      </c>
      <c r="I153" t="n">
        <v>0</v>
      </c>
      <c r="J153" t="n">
        <v>0</v>
      </c>
      <c r="K153" t="n">
        <v>0</v>
      </c>
      <c r="L153" t="n">
        <v>0</v>
      </c>
      <c r="M153" t="n">
        <v>0</v>
      </c>
      <c r="N153" t="n">
        <v>0</v>
      </c>
      <c r="O153" t="n">
        <v>0</v>
      </c>
      <c r="P153" t="n">
        <v>0</v>
      </c>
      <c r="Q153" t="n">
        <v>0</v>
      </c>
      <c r="R153" s="2" t="inlineStr"/>
    </row>
    <row r="154" ht="15" customHeight="1">
      <c r="A154" t="inlineStr">
        <is>
          <t>A 22786-2025</t>
        </is>
      </c>
      <c r="B154" s="1" t="n">
        <v>45789.64643518518</v>
      </c>
      <c r="C154" s="1" t="n">
        <v>45911</v>
      </c>
      <c r="D154" t="inlineStr">
        <is>
          <t>UPPSALA LÄN</t>
        </is>
      </c>
      <c r="E154" t="inlineStr">
        <is>
          <t>ENKÖPING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50747-2022</t>
        </is>
      </c>
      <c r="B155" s="1" t="n">
        <v>44867.40162037037</v>
      </c>
      <c r="C155" s="1" t="n">
        <v>45911</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22795-2025</t>
        </is>
      </c>
      <c r="B156" s="1" t="n">
        <v>45789.65944444444</v>
      </c>
      <c r="C156" s="1" t="n">
        <v>45911</v>
      </c>
      <c r="D156" t="inlineStr">
        <is>
          <t>UPPSALA LÄN</t>
        </is>
      </c>
      <c r="E156" t="inlineStr">
        <is>
          <t>ENKÖPING</t>
        </is>
      </c>
      <c r="G156" t="n">
        <v>10.4</v>
      </c>
      <c r="H156" t="n">
        <v>0</v>
      </c>
      <c r="I156" t="n">
        <v>0</v>
      </c>
      <c r="J156" t="n">
        <v>0</v>
      </c>
      <c r="K156" t="n">
        <v>0</v>
      </c>
      <c r="L156" t="n">
        <v>0</v>
      </c>
      <c r="M156" t="n">
        <v>0</v>
      </c>
      <c r="N156" t="n">
        <v>0</v>
      </c>
      <c r="O156" t="n">
        <v>0</v>
      </c>
      <c r="P156" t="n">
        <v>0</v>
      </c>
      <c r="Q156" t="n">
        <v>0</v>
      </c>
      <c r="R156" s="2" t="inlineStr"/>
    </row>
    <row r="157" ht="15" customHeight="1">
      <c r="A157" t="inlineStr">
        <is>
          <t>A 22802-2025</t>
        </is>
      </c>
      <c r="B157" s="1" t="n">
        <v>45789.6686574074</v>
      </c>
      <c r="C157" s="1" t="n">
        <v>45911</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57152-2021</t>
        </is>
      </c>
      <c r="B158" s="1" t="n">
        <v>44482</v>
      </c>
      <c r="C158" s="1" t="n">
        <v>45911</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30437-2022</t>
        </is>
      </c>
      <c r="B159" s="1" t="n">
        <v>44761</v>
      </c>
      <c r="C159" s="1" t="n">
        <v>45911</v>
      </c>
      <c r="D159" t="inlineStr">
        <is>
          <t>UPPSALA LÄN</t>
        </is>
      </c>
      <c r="E159" t="inlineStr">
        <is>
          <t>ENKÖPING</t>
        </is>
      </c>
      <c r="G159" t="n">
        <v>3.4</v>
      </c>
      <c r="H159" t="n">
        <v>0</v>
      </c>
      <c r="I159" t="n">
        <v>0</v>
      </c>
      <c r="J159" t="n">
        <v>0</v>
      </c>
      <c r="K159" t="n">
        <v>0</v>
      </c>
      <c r="L159" t="n">
        <v>0</v>
      </c>
      <c r="M159" t="n">
        <v>0</v>
      </c>
      <c r="N159" t="n">
        <v>0</v>
      </c>
      <c r="O159" t="n">
        <v>0</v>
      </c>
      <c r="P159" t="n">
        <v>0</v>
      </c>
      <c r="Q159" t="n">
        <v>0</v>
      </c>
      <c r="R159" s="2" t="inlineStr"/>
    </row>
    <row r="160" ht="15" customHeight="1">
      <c r="A160" t="inlineStr">
        <is>
          <t>A 12572-2021</t>
        </is>
      </c>
      <c r="B160" s="1" t="n">
        <v>44270.36438657407</v>
      </c>
      <c r="C160" s="1" t="n">
        <v>45911</v>
      </c>
      <c r="D160" t="inlineStr">
        <is>
          <t>UPPSALA LÄN</t>
        </is>
      </c>
      <c r="E160" t="inlineStr">
        <is>
          <t>ENKÖPING</t>
        </is>
      </c>
      <c r="G160" t="n">
        <v>3.3</v>
      </c>
      <c r="H160" t="n">
        <v>0</v>
      </c>
      <c r="I160" t="n">
        <v>0</v>
      </c>
      <c r="J160" t="n">
        <v>0</v>
      </c>
      <c r="K160" t="n">
        <v>0</v>
      </c>
      <c r="L160" t="n">
        <v>0</v>
      </c>
      <c r="M160" t="n">
        <v>0</v>
      </c>
      <c r="N160" t="n">
        <v>0</v>
      </c>
      <c r="O160" t="n">
        <v>0</v>
      </c>
      <c r="P160" t="n">
        <v>0</v>
      </c>
      <c r="Q160" t="n">
        <v>0</v>
      </c>
      <c r="R160" s="2" t="inlineStr"/>
    </row>
    <row r="161" ht="15" customHeight="1">
      <c r="A161" t="inlineStr">
        <is>
          <t>A 30098-2024</t>
        </is>
      </c>
      <c r="B161" s="1" t="n">
        <v>45489.41609953704</v>
      </c>
      <c r="C161" s="1" t="n">
        <v>45911</v>
      </c>
      <c r="D161" t="inlineStr">
        <is>
          <t>UPPSALA LÄN</t>
        </is>
      </c>
      <c r="E161" t="inlineStr">
        <is>
          <t>ENKÖPING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9957-2023</t>
        </is>
      </c>
      <c r="B162" s="1" t="n">
        <v>44978</v>
      </c>
      <c r="C162" s="1" t="n">
        <v>45911</v>
      </c>
      <c r="D162" t="inlineStr">
        <is>
          <t>UPPSALA LÄN</t>
        </is>
      </c>
      <c r="E162" t="inlineStr">
        <is>
          <t>ENKÖPING</t>
        </is>
      </c>
      <c r="G162" t="n">
        <v>5.9</v>
      </c>
      <c r="H162" t="n">
        <v>0</v>
      </c>
      <c r="I162" t="n">
        <v>0</v>
      </c>
      <c r="J162" t="n">
        <v>0</v>
      </c>
      <c r="K162" t="n">
        <v>0</v>
      </c>
      <c r="L162" t="n">
        <v>0</v>
      </c>
      <c r="M162" t="n">
        <v>0</v>
      </c>
      <c r="N162" t="n">
        <v>0</v>
      </c>
      <c r="O162" t="n">
        <v>0</v>
      </c>
      <c r="P162" t="n">
        <v>0</v>
      </c>
      <c r="Q162" t="n">
        <v>0</v>
      </c>
      <c r="R162" s="2" t="inlineStr"/>
    </row>
    <row r="163" ht="15" customHeight="1">
      <c r="A163" t="inlineStr">
        <is>
          <t>A 1651-2024</t>
        </is>
      </c>
      <c r="B163" s="1" t="n">
        <v>45306.73770833333</v>
      </c>
      <c r="C163" s="1" t="n">
        <v>45911</v>
      </c>
      <c r="D163" t="inlineStr">
        <is>
          <t>UPPSALA LÄN</t>
        </is>
      </c>
      <c r="E163" t="inlineStr">
        <is>
          <t>ENKÖPING</t>
        </is>
      </c>
      <c r="G163" t="n">
        <v>10.2</v>
      </c>
      <c r="H163" t="n">
        <v>0</v>
      </c>
      <c r="I163" t="n">
        <v>0</v>
      </c>
      <c r="J163" t="n">
        <v>0</v>
      </c>
      <c r="K163" t="n">
        <v>0</v>
      </c>
      <c r="L163" t="n">
        <v>0</v>
      </c>
      <c r="M163" t="n">
        <v>0</v>
      </c>
      <c r="N163" t="n">
        <v>0</v>
      </c>
      <c r="O163" t="n">
        <v>0</v>
      </c>
      <c r="P163" t="n">
        <v>0</v>
      </c>
      <c r="Q163" t="n">
        <v>0</v>
      </c>
      <c r="R163" s="2" t="inlineStr"/>
    </row>
    <row r="164" ht="15" customHeight="1">
      <c r="A164" t="inlineStr">
        <is>
          <t>A 22680-2025</t>
        </is>
      </c>
      <c r="B164" s="1" t="n">
        <v>45789.5005787037</v>
      </c>
      <c r="C164" s="1" t="n">
        <v>45911</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60289-2022</t>
        </is>
      </c>
      <c r="B165" s="1" t="n">
        <v>44910.53026620371</v>
      </c>
      <c r="C165" s="1" t="n">
        <v>45911</v>
      </c>
      <c r="D165" t="inlineStr">
        <is>
          <t>UPPSALA LÄN</t>
        </is>
      </c>
      <c r="E165" t="inlineStr">
        <is>
          <t>ENKÖPING</t>
        </is>
      </c>
      <c r="G165" t="n">
        <v>3.2</v>
      </c>
      <c r="H165" t="n">
        <v>0</v>
      </c>
      <c r="I165" t="n">
        <v>0</v>
      </c>
      <c r="J165" t="n">
        <v>0</v>
      </c>
      <c r="K165" t="n">
        <v>0</v>
      </c>
      <c r="L165" t="n">
        <v>0</v>
      </c>
      <c r="M165" t="n">
        <v>0</v>
      </c>
      <c r="N165" t="n">
        <v>0</v>
      </c>
      <c r="O165" t="n">
        <v>0</v>
      </c>
      <c r="P165" t="n">
        <v>0</v>
      </c>
      <c r="Q165" t="n">
        <v>0</v>
      </c>
      <c r="R165" s="2" t="inlineStr"/>
    </row>
    <row r="166" ht="15" customHeight="1">
      <c r="A166" t="inlineStr">
        <is>
          <t>A 6981-2025</t>
        </is>
      </c>
      <c r="B166" s="1" t="n">
        <v>45701</v>
      </c>
      <c r="C166" s="1" t="n">
        <v>45911</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20112-2024</t>
        </is>
      </c>
      <c r="B167" s="1" t="n">
        <v>45434</v>
      </c>
      <c r="C167" s="1" t="n">
        <v>45911</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22770-2025</t>
        </is>
      </c>
      <c r="B168" s="1" t="n">
        <v>45789.63454861111</v>
      </c>
      <c r="C168" s="1" t="n">
        <v>45911</v>
      </c>
      <c r="D168" t="inlineStr">
        <is>
          <t>UPPSALA LÄN</t>
        </is>
      </c>
      <c r="E168" t="inlineStr">
        <is>
          <t>ENKÖPING</t>
        </is>
      </c>
      <c r="G168" t="n">
        <v>4.5</v>
      </c>
      <c r="H168" t="n">
        <v>0</v>
      </c>
      <c r="I168" t="n">
        <v>0</v>
      </c>
      <c r="J168" t="n">
        <v>0</v>
      </c>
      <c r="K168" t="n">
        <v>0</v>
      </c>
      <c r="L168" t="n">
        <v>0</v>
      </c>
      <c r="M168" t="n">
        <v>0</v>
      </c>
      <c r="N168" t="n">
        <v>0</v>
      </c>
      <c r="O168" t="n">
        <v>0</v>
      </c>
      <c r="P168" t="n">
        <v>0</v>
      </c>
      <c r="Q168" t="n">
        <v>0</v>
      </c>
      <c r="R168" s="2" t="inlineStr"/>
    </row>
    <row r="169" ht="15" customHeight="1">
      <c r="A169" t="inlineStr">
        <is>
          <t>A 22725-2025</t>
        </is>
      </c>
      <c r="B169" s="1" t="n">
        <v>45789.57371527778</v>
      </c>
      <c r="C169" s="1" t="n">
        <v>45911</v>
      </c>
      <c r="D169" t="inlineStr">
        <is>
          <t>UPPSALA LÄN</t>
        </is>
      </c>
      <c r="E169" t="inlineStr">
        <is>
          <t>ENKÖPING</t>
        </is>
      </c>
      <c r="G169" t="n">
        <v>4.8</v>
      </c>
      <c r="H169" t="n">
        <v>0</v>
      </c>
      <c r="I169" t="n">
        <v>0</v>
      </c>
      <c r="J169" t="n">
        <v>0</v>
      </c>
      <c r="K169" t="n">
        <v>0</v>
      </c>
      <c r="L169" t="n">
        <v>0</v>
      </c>
      <c r="M169" t="n">
        <v>0</v>
      </c>
      <c r="N169" t="n">
        <v>0</v>
      </c>
      <c r="O169" t="n">
        <v>0</v>
      </c>
      <c r="P169" t="n">
        <v>0</v>
      </c>
      <c r="Q169" t="n">
        <v>0</v>
      </c>
      <c r="R169" s="2" t="inlineStr"/>
    </row>
    <row r="170" ht="15" customHeight="1">
      <c r="A170" t="inlineStr">
        <is>
          <t>A 22981-2025</t>
        </is>
      </c>
      <c r="B170" s="1" t="n">
        <v>45790.56964120371</v>
      </c>
      <c r="C170" s="1" t="n">
        <v>45911</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68123-2021</t>
        </is>
      </c>
      <c r="B171" s="1" t="n">
        <v>44526.39126157408</v>
      </c>
      <c r="C171" s="1" t="n">
        <v>45911</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22793-2025</t>
        </is>
      </c>
      <c r="B172" s="1" t="n">
        <v>45789.65693287037</v>
      </c>
      <c r="C172" s="1" t="n">
        <v>45911</v>
      </c>
      <c r="D172" t="inlineStr">
        <is>
          <t>UPPSALA LÄN</t>
        </is>
      </c>
      <c r="E172" t="inlineStr">
        <is>
          <t>ENKÖPING</t>
        </is>
      </c>
      <c r="G172" t="n">
        <v>3.2</v>
      </c>
      <c r="H172" t="n">
        <v>0</v>
      </c>
      <c r="I172" t="n">
        <v>0</v>
      </c>
      <c r="J172" t="n">
        <v>0</v>
      </c>
      <c r="K172" t="n">
        <v>0</v>
      </c>
      <c r="L172" t="n">
        <v>0</v>
      </c>
      <c r="M172" t="n">
        <v>0</v>
      </c>
      <c r="N172" t="n">
        <v>0</v>
      </c>
      <c r="O172" t="n">
        <v>0</v>
      </c>
      <c r="P172" t="n">
        <v>0</v>
      </c>
      <c r="Q172" t="n">
        <v>0</v>
      </c>
      <c r="R172" s="2" t="inlineStr"/>
    </row>
    <row r="173" ht="15" customHeight="1">
      <c r="A173" t="inlineStr">
        <is>
          <t>A 22800-2025</t>
        </is>
      </c>
      <c r="B173" s="1" t="n">
        <v>45789.6669212963</v>
      </c>
      <c r="C173" s="1" t="n">
        <v>45911</v>
      </c>
      <c r="D173" t="inlineStr">
        <is>
          <t>UPPSALA LÄN</t>
        </is>
      </c>
      <c r="E173" t="inlineStr">
        <is>
          <t>ENKÖPING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8152-2022</t>
        </is>
      </c>
      <c r="B174" s="1" t="n">
        <v>44609</v>
      </c>
      <c r="C174" s="1" t="n">
        <v>45911</v>
      </c>
      <c r="D174" t="inlineStr">
        <is>
          <t>UPPSALA LÄN</t>
        </is>
      </c>
      <c r="E174" t="inlineStr">
        <is>
          <t>ENKÖPING</t>
        </is>
      </c>
      <c r="F174" t="inlineStr">
        <is>
          <t>Kyrkan</t>
        </is>
      </c>
      <c r="G174" t="n">
        <v>1.3</v>
      </c>
      <c r="H174" t="n">
        <v>0</v>
      </c>
      <c r="I174" t="n">
        <v>0</v>
      </c>
      <c r="J174" t="n">
        <v>0</v>
      </c>
      <c r="K174" t="n">
        <v>0</v>
      </c>
      <c r="L174" t="n">
        <v>0</v>
      </c>
      <c r="M174" t="n">
        <v>0</v>
      </c>
      <c r="N174" t="n">
        <v>0</v>
      </c>
      <c r="O174" t="n">
        <v>0</v>
      </c>
      <c r="P174" t="n">
        <v>0</v>
      </c>
      <c r="Q174" t="n">
        <v>0</v>
      </c>
      <c r="R174" s="2" t="inlineStr"/>
    </row>
    <row r="175" ht="15" customHeight="1">
      <c r="A175" t="inlineStr">
        <is>
          <t>A 51932-2022</t>
        </is>
      </c>
      <c r="B175" s="1" t="n">
        <v>44872</v>
      </c>
      <c r="C175" s="1" t="n">
        <v>45911</v>
      </c>
      <c r="D175" t="inlineStr">
        <is>
          <t>UPPSALA LÄN</t>
        </is>
      </c>
      <c r="E175" t="inlineStr">
        <is>
          <t>ENKÖPING</t>
        </is>
      </c>
      <c r="G175" t="n">
        <v>5.5</v>
      </c>
      <c r="H175" t="n">
        <v>0</v>
      </c>
      <c r="I175" t="n">
        <v>0</v>
      </c>
      <c r="J175" t="n">
        <v>0</v>
      </c>
      <c r="K175" t="n">
        <v>0</v>
      </c>
      <c r="L175" t="n">
        <v>0</v>
      </c>
      <c r="M175" t="n">
        <v>0</v>
      </c>
      <c r="N175" t="n">
        <v>0</v>
      </c>
      <c r="O175" t="n">
        <v>0</v>
      </c>
      <c r="P175" t="n">
        <v>0</v>
      </c>
      <c r="Q175" t="n">
        <v>0</v>
      </c>
      <c r="R175" s="2" t="inlineStr"/>
    </row>
    <row r="176" ht="15" customHeight="1">
      <c r="A176" t="inlineStr">
        <is>
          <t>A 12958-2024</t>
        </is>
      </c>
      <c r="B176" s="1" t="n">
        <v>45385</v>
      </c>
      <c r="C176" s="1" t="n">
        <v>45911</v>
      </c>
      <c r="D176" t="inlineStr">
        <is>
          <t>UPPSALA LÄN</t>
        </is>
      </c>
      <c r="E176" t="inlineStr">
        <is>
          <t>ENKÖPING</t>
        </is>
      </c>
      <c r="G176" t="n">
        <v>2.1</v>
      </c>
      <c r="H176" t="n">
        <v>0</v>
      </c>
      <c r="I176" t="n">
        <v>0</v>
      </c>
      <c r="J176" t="n">
        <v>0</v>
      </c>
      <c r="K176" t="n">
        <v>0</v>
      </c>
      <c r="L176" t="n">
        <v>0</v>
      </c>
      <c r="M176" t="n">
        <v>0</v>
      </c>
      <c r="N176" t="n">
        <v>0</v>
      </c>
      <c r="O176" t="n">
        <v>0</v>
      </c>
      <c r="P176" t="n">
        <v>0</v>
      </c>
      <c r="Q176" t="n">
        <v>0</v>
      </c>
      <c r="R176" s="2" t="inlineStr"/>
    </row>
    <row r="177" ht="15" customHeight="1">
      <c r="A177" t="inlineStr">
        <is>
          <t>A 17729-2023</t>
        </is>
      </c>
      <c r="B177" s="1" t="n">
        <v>45037</v>
      </c>
      <c r="C177" s="1" t="n">
        <v>45911</v>
      </c>
      <c r="D177" t="inlineStr">
        <is>
          <t>UPPSALA LÄN</t>
        </is>
      </c>
      <c r="E177" t="inlineStr">
        <is>
          <t>ENKÖPING</t>
        </is>
      </c>
      <c r="G177" t="n">
        <v>10.2</v>
      </c>
      <c r="H177" t="n">
        <v>0</v>
      </c>
      <c r="I177" t="n">
        <v>0</v>
      </c>
      <c r="J177" t="n">
        <v>0</v>
      </c>
      <c r="K177" t="n">
        <v>0</v>
      </c>
      <c r="L177" t="n">
        <v>0</v>
      </c>
      <c r="M177" t="n">
        <v>0</v>
      </c>
      <c r="N177" t="n">
        <v>0</v>
      </c>
      <c r="O177" t="n">
        <v>0</v>
      </c>
      <c r="P177" t="n">
        <v>0</v>
      </c>
      <c r="Q177" t="n">
        <v>0</v>
      </c>
      <c r="R177" s="2" t="inlineStr"/>
    </row>
    <row r="178" ht="15" customHeight="1">
      <c r="A178" t="inlineStr">
        <is>
          <t>A 5749-2025</t>
        </is>
      </c>
      <c r="B178" s="1" t="n">
        <v>45694</v>
      </c>
      <c r="C178" s="1" t="n">
        <v>45911</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17657-2025</t>
        </is>
      </c>
      <c r="B179" s="1" t="n">
        <v>45758.35006944444</v>
      </c>
      <c r="C179" s="1" t="n">
        <v>45911</v>
      </c>
      <c r="D179" t="inlineStr">
        <is>
          <t>UPPSALA LÄN</t>
        </is>
      </c>
      <c r="E179" t="inlineStr">
        <is>
          <t>ENKÖPING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31242-2024</t>
        </is>
      </c>
      <c r="B180" s="1" t="n">
        <v>45503</v>
      </c>
      <c r="C180" s="1" t="n">
        <v>45911</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8020-2022</t>
        </is>
      </c>
      <c r="B181" s="1" t="n">
        <v>44609</v>
      </c>
      <c r="C181" s="1" t="n">
        <v>45911</v>
      </c>
      <c r="D181" t="inlineStr">
        <is>
          <t>UPPSALA LÄN</t>
        </is>
      </c>
      <c r="E181" t="inlineStr">
        <is>
          <t>ENKÖPING</t>
        </is>
      </c>
      <c r="G181" t="n">
        <v>6</v>
      </c>
      <c r="H181" t="n">
        <v>0</v>
      </c>
      <c r="I181" t="n">
        <v>0</v>
      </c>
      <c r="J181" t="n">
        <v>0</v>
      </c>
      <c r="K181" t="n">
        <v>0</v>
      </c>
      <c r="L181" t="n">
        <v>0</v>
      </c>
      <c r="M181" t="n">
        <v>0</v>
      </c>
      <c r="N181" t="n">
        <v>0</v>
      </c>
      <c r="O181" t="n">
        <v>0</v>
      </c>
      <c r="P181" t="n">
        <v>0</v>
      </c>
      <c r="Q181" t="n">
        <v>0</v>
      </c>
      <c r="R181" s="2" t="inlineStr"/>
    </row>
    <row r="182" ht="15" customHeight="1">
      <c r="A182" t="inlineStr">
        <is>
          <t>A 34805-2024</t>
        </is>
      </c>
      <c r="B182" s="1" t="n">
        <v>45526</v>
      </c>
      <c r="C182" s="1" t="n">
        <v>45911</v>
      </c>
      <c r="D182" t="inlineStr">
        <is>
          <t>UPPSALA LÄN</t>
        </is>
      </c>
      <c r="E182" t="inlineStr">
        <is>
          <t>ENKÖPING</t>
        </is>
      </c>
      <c r="G182" t="n">
        <v>3.6</v>
      </c>
      <c r="H182" t="n">
        <v>0</v>
      </c>
      <c r="I182" t="n">
        <v>0</v>
      </c>
      <c r="J182" t="n">
        <v>0</v>
      </c>
      <c r="K182" t="n">
        <v>0</v>
      </c>
      <c r="L182" t="n">
        <v>0</v>
      </c>
      <c r="M182" t="n">
        <v>0</v>
      </c>
      <c r="N182" t="n">
        <v>0</v>
      </c>
      <c r="O182" t="n">
        <v>0</v>
      </c>
      <c r="P182" t="n">
        <v>0</v>
      </c>
      <c r="Q182" t="n">
        <v>0</v>
      </c>
      <c r="R182" s="2" t="inlineStr"/>
    </row>
    <row r="183" ht="15" customHeight="1">
      <c r="A183" t="inlineStr">
        <is>
          <t>A 314-2025</t>
        </is>
      </c>
      <c r="B183" s="1" t="n">
        <v>45656</v>
      </c>
      <c r="C183" s="1" t="n">
        <v>45911</v>
      </c>
      <c r="D183" t="inlineStr">
        <is>
          <t>UPPSALA LÄN</t>
        </is>
      </c>
      <c r="E183" t="inlineStr">
        <is>
          <t>ENKÖPING</t>
        </is>
      </c>
      <c r="G183" t="n">
        <v>9</v>
      </c>
      <c r="H183" t="n">
        <v>0</v>
      </c>
      <c r="I183" t="n">
        <v>0</v>
      </c>
      <c r="J183" t="n">
        <v>0</v>
      </c>
      <c r="K183" t="n">
        <v>0</v>
      </c>
      <c r="L183" t="n">
        <v>0</v>
      </c>
      <c r="M183" t="n">
        <v>0</v>
      </c>
      <c r="N183" t="n">
        <v>0</v>
      </c>
      <c r="O183" t="n">
        <v>0</v>
      </c>
      <c r="P183" t="n">
        <v>0</v>
      </c>
      <c r="Q183" t="n">
        <v>0</v>
      </c>
      <c r="R183" s="2" t="inlineStr"/>
    </row>
    <row r="184" ht="15" customHeight="1">
      <c r="A184" t="inlineStr">
        <is>
          <t>A 2162-2023</t>
        </is>
      </c>
      <c r="B184" s="1" t="n">
        <v>44941</v>
      </c>
      <c r="C184" s="1" t="n">
        <v>45911</v>
      </c>
      <c r="D184" t="inlineStr">
        <is>
          <t>UPPSALA LÄN</t>
        </is>
      </c>
      <c r="E184" t="inlineStr">
        <is>
          <t>ENKÖPING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10831-2024</t>
        </is>
      </c>
      <c r="B185" s="1" t="n">
        <v>45369</v>
      </c>
      <c r="C185" s="1" t="n">
        <v>45911</v>
      </c>
      <c r="D185" t="inlineStr">
        <is>
          <t>UPPSALA LÄN</t>
        </is>
      </c>
      <c r="E185" t="inlineStr">
        <is>
          <t>ENKÖPING</t>
        </is>
      </c>
      <c r="G185" t="n">
        <v>2.9</v>
      </c>
      <c r="H185" t="n">
        <v>0</v>
      </c>
      <c r="I185" t="n">
        <v>0</v>
      </c>
      <c r="J185" t="n">
        <v>0</v>
      </c>
      <c r="K185" t="n">
        <v>0</v>
      </c>
      <c r="L185" t="n">
        <v>0</v>
      </c>
      <c r="M185" t="n">
        <v>0</v>
      </c>
      <c r="N185" t="n">
        <v>0</v>
      </c>
      <c r="O185" t="n">
        <v>0</v>
      </c>
      <c r="P185" t="n">
        <v>0</v>
      </c>
      <c r="Q185" t="n">
        <v>0</v>
      </c>
      <c r="R185" s="2" t="inlineStr"/>
    </row>
    <row r="186" ht="15" customHeight="1">
      <c r="A186" t="inlineStr">
        <is>
          <t>A 5712-2025</t>
        </is>
      </c>
      <c r="B186" s="1" t="n">
        <v>45694</v>
      </c>
      <c r="C186" s="1" t="n">
        <v>45911</v>
      </c>
      <c r="D186" t="inlineStr">
        <is>
          <t>UPPSALA LÄN</t>
        </is>
      </c>
      <c r="E186" t="inlineStr">
        <is>
          <t>ENKÖPING</t>
        </is>
      </c>
      <c r="G186" t="n">
        <v>5.1</v>
      </c>
      <c r="H186" t="n">
        <v>0</v>
      </c>
      <c r="I186" t="n">
        <v>0</v>
      </c>
      <c r="J186" t="n">
        <v>0</v>
      </c>
      <c r="K186" t="n">
        <v>0</v>
      </c>
      <c r="L186" t="n">
        <v>0</v>
      </c>
      <c r="M186" t="n">
        <v>0</v>
      </c>
      <c r="N186" t="n">
        <v>0</v>
      </c>
      <c r="O186" t="n">
        <v>0</v>
      </c>
      <c r="P186" t="n">
        <v>0</v>
      </c>
      <c r="Q186" t="n">
        <v>0</v>
      </c>
      <c r="R186" s="2" t="inlineStr"/>
    </row>
    <row r="187" ht="15" customHeight="1">
      <c r="A187" t="inlineStr">
        <is>
          <t>A 56163-2021</t>
        </is>
      </c>
      <c r="B187" s="1" t="n">
        <v>44477</v>
      </c>
      <c r="C187" s="1" t="n">
        <v>45911</v>
      </c>
      <c r="D187" t="inlineStr">
        <is>
          <t>UPPSALA LÄN</t>
        </is>
      </c>
      <c r="E187" t="inlineStr">
        <is>
          <t>ENKÖPING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45956-2024</t>
        </is>
      </c>
      <c r="B188" s="1" t="n">
        <v>45580</v>
      </c>
      <c r="C188" s="1" t="n">
        <v>45911</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11627-2025</t>
        </is>
      </c>
      <c r="B189" s="1" t="n">
        <v>45727</v>
      </c>
      <c r="C189" s="1" t="n">
        <v>45911</v>
      </c>
      <c r="D189" t="inlineStr">
        <is>
          <t>UPPSALA LÄN</t>
        </is>
      </c>
      <c r="E189" t="inlineStr">
        <is>
          <t>ENKÖPING</t>
        </is>
      </c>
      <c r="G189" t="n">
        <v>5.5</v>
      </c>
      <c r="H189" t="n">
        <v>0</v>
      </c>
      <c r="I189" t="n">
        <v>0</v>
      </c>
      <c r="J189" t="n">
        <v>0</v>
      </c>
      <c r="K189" t="n">
        <v>0</v>
      </c>
      <c r="L189" t="n">
        <v>0</v>
      </c>
      <c r="M189" t="n">
        <v>0</v>
      </c>
      <c r="N189" t="n">
        <v>0</v>
      </c>
      <c r="O189" t="n">
        <v>0</v>
      </c>
      <c r="P189" t="n">
        <v>0</v>
      </c>
      <c r="Q189" t="n">
        <v>0</v>
      </c>
      <c r="R189" s="2" t="inlineStr"/>
    </row>
    <row r="190" ht="15" customHeight="1">
      <c r="A190" t="inlineStr">
        <is>
          <t>A 74090-2021</t>
        </is>
      </c>
      <c r="B190" s="1" t="n">
        <v>44557</v>
      </c>
      <c r="C190" s="1" t="n">
        <v>45911</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28318-2024</t>
        </is>
      </c>
      <c r="B191" s="1" t="n">
        <v>45477</v>
      </c>
      <c r="C191" s="1" t="n">
        <v>45911</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58092-2024</t>
        </is>
      </c>
      <c r="B192" s="1" t="n">
        <v>45632</v>
      </c>
      <c r="C192" s="1" t="n">
        <v>45911</v>
      </c>
      <c r="D192" t="inlineStr">
        <is>
          <t>UPPSALA LÄN</t>
        </is>
      </c>
      <c r="E192" t="inlineStr">
        <is>
          <t>ENKÖPING</t>
        </is>
      </c>
      <c r="G192" t="n">
        <v>4.8</v>
      </c>
      <c r="H192" t="n">
        <v>0</v>
      </c>
      <c r="I192" t="n">
        <v>0</v>
      </c>
      <c r="J192" t="n">
        <v>0</v>
      </c>
      <c r="K192" t="n">
        <v>0</v>
      </c>
      <c r="L192" t="n">
        <v>0</v>
      </c>
      <c r="M192" t="n">
        <v>0</v>
      </c>
      <c r="N192" t="n">
        <v>0</v>
      </c>
      <c r="O192" t="n">
        <v>0</v>
      </c>
      <c r="P192" t="n">
        <v>0</v>
      </c>
      <c r="Q192" t="n">
        <v>0</v>
      </c>
      <c r="R192" s="2" t="inlineStr"/>
    </row>
    <row r="193" ht="15" customHeight="1">
      <c r="A193" t="inlineStr">
        <is>
          <t>A 15939-2022</t>
        </is>
      </c>
      <c r="B193" s="1" t="n">
        <v>44664</v>
      </c>
      <c r="C193" s="1" t="n">
        <v>45911</v>
      </c>
      <c r="D193" t="inlineStr">
        <is>
          <t>UPPSALA LÄN</t>
        </is>
      </c>
      <c r="E193" t="inlineStr">
        <is>
          <t>ENKÖPING</t>
        </is>
      </c>
      <c r="G193" t="n">
        <v>2</v>
      </c>
      <c r="H193" t="n">
        <v>0</v>
      </c>
      <c r="I193" t="n">
        <v>0</v>
      </c>
      <c r="J193" t="n">
        <v>0</v>
      </c>
      <c r="K193" t="n">
        <v>0</v>
      </c>
      <c r="L193" t="n">
        <v>0</v>
      </c>
      <c r="M193" t="n">
        <v>0</v>
      </c>
      <c r="N193" t="n">
        <v>0</v>
      </c>
      <c r="O193" t="n">
        <v>0</v>
      </c>
      <c r="P193" t="n">
        <v>0</v>
      </c>
      <c r="Q193" t="n">
        <v>0</v>
      </c>
      <c r="R193" s="2" t="inlineStr"/>
    </row>
    <row r="194" ht="15" customHeight="1">
      <c r="A194" t="inlineStr">
        <is>
          <t>A 24411-2024</t>
        </is>
      </c>
      <c r="B194" s="1" t="n">
        <v>45457</v>
      </c>
      <c r="C194" s="1" t="n">
        <v>45911</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25988-2025</t>
        </is>
      </c>
      <c r="B195" s="1" t="n">
        <v>45804.64814814815</v>
      </c>
      <c r="C195" s="1" t="n">
        <v>45911</v>
      </c>
      <c r="D195" t="inlineStr">
        <is>
          <t>UPPSALA LÄN</t>
        </is>
      </c>
      <c r="E195" t="inlineStr">
        <is>
          <t>ENKÖPING</t>
        </is>
      </c>
      <c r="G195" t="n">
        <v>4.7</v>
      </c>
      <c r="H195" t="n">
        <v>0</v>
      </c>
      <c r="I195" t="n">
        <v>0</v>
      </c>
      <c r="J195" t="n">
        <v>0</v>
      </c>
      <c r="K195" t="n">
        <v>0</v>
      </c>
      <c r="L195" t="n">
        <v>0</v>
      </c>
      <c r="M195" t="n">
        <v>0</v>
      </c>
      <c r="N195" t="n">
        <v>0</v>
      </c>
      <c r="O195" t="n">
        <v>0</v>
      </c>
      <c r="P195" t="n">
        <v>0</v>
      </c>
      <c r="Q195" t="n">
        <v>0</v>
      </c>
      <c r="R195" s="2" t="inlineStr"/>
    </row>
    <row r="196" ht="15" customHeight="1">
      <c r="A196" t="inlineStr">
        <is>
          <t>A 26017-2025</t>
        </is>
      </c>
      <c r="B196" s="1" t="n">
        <v>45804</v>
      </c>
      <c r="C196" s="1" t="n">
        <v>45911</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26024-2025</t>
        </is>
      </c>
      <c r="B197" s="1" t="n">
        <v>45804.6831712963</v>
      </c>
      <c r="C197" s="1" t="n">
        <v>45911</v>
      </c>
      <c r="D197" t="inlineStr">
        <is>
          <t>UPPSALA LÄN</t>
        </is>
      </c>
      <c r="E197" t="inlineStr">
        <is>
          <t>ENKÖPING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26042-2025</t>
        </is>
      </c>
      <c r="B198" s="1" t="n">
        <v>45804.70018518518</v>
      </c>
      <c r="C198" s="1" t="n">
        <v>45911</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25990-2025</t>
        </is>
      </c>
      <c r="B199" s="1" t="n">
        <v>45804.65229166667</v>
      </c>
      <c r="C199" s="1" t="n">
        <v>45911</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50394-2024</t>
        </is>
      </c>
      <c r="B200" s="1" t="n">
        <v>45600</v>
      </c>
      <c r="C200" s="1" t="n">
        <v>45911</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26030-2025</t>
        </is>
      </c>
      <c r="B201" s="1" t="n">
        <v>45804.68815972222</v>
      </c>
      <c r="C201" s="1" t="n">
        <v>45911</v>
      </c>
      <c r="D201" t="inlineStr">
        <is>
          <t>UPPSALA LÄN</t>
        </is>
      </c>
      <c r="E201" t="inlineStr">
        <is>
          <t>ENKÖPING</t>
        </is>
      </c>
      <c r="G201" t="n">
        <v>0.3</v>
      </c>
      <c r="H201" t="n">
        <v>0</v>
      </c>
      <c r="I201" t="n">
        <v>0</v>
      </c>
      <c r="J201" t="n">
        <v>0</v>
      </c>
      <c r="K201" t="n">
        <v>0</v>
      </c>
      <c r="L201" t="n">
        <v>0</v>
      </c>
      <c r="M201" t="n">
        <v>0</v>
      </c>
      <c r="N201" t="n">
        <v>0</v>
      </c>
      <c r="O201" t="n">
        <v>0</v>
      </c>
      <c r="P201" t="n">
        <v>0</v>
      </c>
      <c r="Q201" t="n">
        <v>0</v>
      </c>
      <c r="R201" s="2" t="inlineStr"/>
    </row>
    <row r="202" ht="15" customHeight="1">
      <c r="A202" t="inlineStr">
        <is>
          <t>A 45378-2020</t>
        </is>
      </c>
      <c r="B202" s="1" t="n">
        <v>44089</v>
      </c>
      <c r="C202" s="1" t="n">
        <v>45911</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26026-2025</t>
        </is>
      </c>
      <c r="B203" s="1" t="n">
        <v>45804.68510416667</v>
      </c>
      <c r="C203" s="1" t="n">
        <v>45911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26047-2025</t>
        </is>
      </c>
      <c r="B204" s="1" t="n">
        <v>45804.70835648148</v>
      </c>
      <c r="C204" s="1" t="n">
        <v>45911</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14402-2023</t>
        </is>
      </c>
      <c r="B205" s="1" t="n">
        <v>45012</v>
      </c>
      <c r="C205" s="1" t="n">
        <v>45911</v>
      </c>
      <c r="D205" t="inlineStr">
        <is>
          <t>UPPSALA LÄN</t>
        </is>
      </c>
      <c r="E205" t="inlineStr">
        <is>
          <t>ENKÖPING</t>
        </is>
      </c>
      <c r="G205" t="n">
        <v>9.5</v>
      </c>
      <c r="H205" t="n">
        <v>0</v>
      </c>
      <c r="I205" t="n">
        <v>0</v>
      </c>
      <c r="J205" t="n">
        <v>0</v>
      </c>
      <c r="K205" t="n">
        <v>0</v>
      </c>
      <c r="L205" t="n">
        <v>0</v>
      </c>
      <c r="M205" t="n">
        <v>0</v>
      </c>
      <c r="N205" t="n">
        <v>0</v>
      </c>
      <c r="O205" t="n">
        <v>0</v>
      </c>
      <c r="P205" t="n">
        <v>0</v>
      </c>
      <c r="Q205" t="n">
        <v>0</v>
      </c>
      <c r="R205" s="2" t="inlineStr"/>
    </row>
    <row r="206" ht="15" customHeight="1">
      <c r="A206" t="inlineStr">
        <is>
          <t>A 72840-2021</t>
        </is>
      </c>
      <c r="B206" s="1" t="n">
        <v>44547</v>
      </c>
      <c r="C206" s="1" t="n">
        <v>45911</v>
      </c>
      <c r="D206" t="inlineStr">
        <is>
          <t>UPPSALA LÄN</t>
        </is>
      </c>
      <c r="E206" t="inlineStr">
        <is>
          <t>ENKÖPING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25847-2025</t>
        </is>
      </c>
      <c r="B207" s="1" t="n">
        <v>45804</v>
      </c>
      <c r="C207" s="1" t="n">
        <v>45911</v>
      </c>
      <c r="D207" t="inlineStr">
        <is>
          <t>UPPSALA LÄN</t>
        </is>
      </c>
      <c r="E207" t="inlineStr">
        <is>
          <t>ENKÖPING</t>
        </is>
      </c>
      <c r="G207" t="n">
        <v>3.6</v>
      </c>
      <c r="H207" t="n">
        <v>0</v>
      </c>
      <c r="I207" t="n">
        <v>0</v>
      </c>
      <c r="J207" t="n">
        <v>0</v>
      </c>
      <c r="K207" t="n">
        <v>0</v>
      </c>
      <c r="L207" t="n">
        <v>0</v>
      </c>
      <c r="M207" t="n">
        <v>0</v>
      </c>
      <c r="N207" t="n">
        <v>0</v>
      </c>
      <c r="O207" t="n">
        <v>0</v>
      </c>
      <c r="P207" t="n">
        <v>0</v>
      </c>
      <c r="Q207" t="n">
        <v>0</v>
      </c>
      <c r="R207" s="2" t="inlineStr"/>
    </row>
    <row r="208" ht="15" customHeight="1">
      <c r="A208" t="inlineStr">
        <is>
          <t>A 26005-2025</t>
        </is>
      </c>
      <c r="B208" s="1" t="n">
        <v>45804.67055555555</v>
      </c>
      <c r="C208" s="1" t="n">
        <v>45911</v>
      </c>
      <c r="D208" t="inlineStr">
        <is>
          <t>UPPSALA LÄN</t>
        </is>
      </c>
      <c r="E208" t="inlineStr">
        <is>
          <t>ENKÖPING</t>
        </is>
      </c>
      <c r="G208" t="n">
        <v>0.3</v>
      </c>
      <c r="H208" t="n">
        <v>0</v>
      </c>
      <c r="I208" t="n">
        <v>0</v>
      </c>
      <c r="J208" t="n">
        <v>0</v>
      </c>
      <c r="K208" t="n">
        <v>0</v>
      </c>
      <c r="L208" t="n">
        <v>0</v>
      </c>
      <c r="M208" t="n">
        <v>0</v>
      </c>
      <c r="N208" t="n">
        <v>0</v>
      </c>
      <c r="O208" t="n">
        <v>0</v>
      </c>
      <c r="P208" t="n">
        <v>0</v>
      </c>
      <c r="Q208" t="n">
        <v>0</v>
      </c>
      <c r="R208" s="2" t="inlineStr"/>
    </row>
    <row r="209" ht="15" customHeight="1">
      <c r="A209" t="inlineStr">
        <is>
          <t>A 26031-2025</t>
        </is>
      </c>
      <c r="B209" s="1" t="n">
        <v>45804.69050925926</v>
      </c>
      <c r="C209" s="1" t="n">
        <v>45911</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26041-2025</t>
        </is>
      </c>
      <c r="B210" s="1" t="n">
        <v>45804.69883101852</v>
      </c>
      <c r="C210" s="1" t="n">
        <v>45911</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26022-2025</t>
        </is>
      </c>
      <c r="B211" s="1" t="n">
        <v>45804.68006944445</v>
      </c>
      <c r="C211" s="1" t="n">
        <v>45911</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39115-2024</t>
        </is>
      </c>
      <c r="B212" s="1" t="n">
        <v>45548</v>
      </c>
      <c r="C212" s="1" t="n">
        <v>45911</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12020-2024</t>
        </is>
      </c>
      <c r="B213" s="1" t="n">
        <v>45377</v>
      </c>
      <c r="C213" s="1" t="n">
        <v>45911</v>
      </c>
      <c r="D213" t="inlineStr">
        <is>
          <t>UPPSALA LÄN</t>
        </is>
      </c>
      <c r="E213" t="inlineStr">
        <is>
          <t>ENKÖPING</t>
        </is>
      </c>
      <c r="G213" t="n">
        <v>2</v>
      </c>
      <c r="H213" t="n">
        <v>0</v>
      </c>
      <c r="I213" t="n">
        <v>0</v>
      </c>
      <c r="J213" t="n">
        <v>0</v>
      </c>
      <c r="K213" t="n">
        <v>0</v>
      </c>
      <c r="L213" t="n">
        <v>0</v>
      </c>
      <c r="M213" t="n">
        <v>0</v>
      </c>
      <c r="N213" t="n">
        <v>0</v>
      </c>
      <c r="O213" t="n">
        <v>0</v>
      </c>
      <c r="P213" t="n">
        <v>0</v>
      </c>
      <c r="Q213" t="n">
        <v>0</v>
      </c>
      <c r="R213" s="2" t="inlineStr"/>
    </row>
    <row r="214" ht="15" customHeight="1">
      <c r="A214" t="inlineStr">
        <is>
          <t>A 26011-2025</t>
        </is>
      </c>
      <c r="B214" s="1" t="n">
        <v>45804.67412037037</v>
      </c>
      <c r="C214" s="1" t="n">
        <v>45911</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37870-2023</t>
        </is>
      </c>
      <c r="B215" s="1" t="n">
        <v>45160.41996527778</v>
      </c>
      <c r="C215" s="1" t="n">
        <v>45911</v>
      </c>
      <c r="D215" t="inlineStr">
        <is>
          <t>UPPSALA LÄN</t>
        </is>
      </c>
      <c r="E215" t="inlineStr">
        <is>
          <t>ENKÖPING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7090-2022</t>
        </is>
      </c>
      <c r="B216" s="1" t="n">
        <v>44603.59520833333</v>
      </c>
      <c r="C216" s="1" t="n">
        <v>45911</v>
      </c>
      <c r="D216" t="inlineStr">
        <is>
          <t>UPPSALA LÄN</t>
        </is>
      </c>
      <c r="E216" t="inlineStr">
        <is>
          <t>ENKÖPING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49063-2024</t>
        </is>
      </c>
      <c r="B217" s="1" t="n">
        <v>45594.59869212963</v>
      </c>
      <c r="C217" s="1" t="n">
        <v>45911</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14083-2025</t>
        </is>
      </c>
      <c r="B218" s="1" t="n">
        <v>45740</v>
      </c>
      <c r="C218" s="1" t="n">
        <v>45911</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51092-2020</t>
        </is>
      </c>
      <c r="B219" s="1" t="n">
        <v>44112</v>
      </c>
      <c r="C219" s="1" t="n">
        <v>45911</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19298-2023</t>
        </is>
      </c>
      <c r="B220" s="1" t="n">
        <v>45048</v>
      </c>
      <c r="C220" s="1" t="n">
        <v>45911</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69344-2021</t>
        </is>
      </c>
      <c r="B221" s="1" t="n">
        <v>44531</v>
      </c>
      <c r="C221" s="1" t="n">
        <v>45911</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34124-2021</t>
        </is>
      </c>
      <c r="B222" s="1" t="n">
        <v>44379</v>
      </c>
      <c r="C222" s="1" t="n">
        <v>45911</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43697-2024</t>
        </is>
      </c>
      <c r="B223" s="1" t="n">
        <v>45569</v>
      </c>
      <c r="C223" s="1" t="n">
        <v>45911</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27983-2024</t>
        </is>
      </c>
      <c r="B224" s="1" t="n">
        <v>45476</v>
      </c>
      <c r="C224" s="1" t="n">
        <v>45911</v>
      </c>
      <c r="D224" t="inlineStr">
        <is>
          <t>UPPSALA LÄN</t>
        </is>
      </c>
      <c r="E224" t="inlineStr">
        <is>
          <t>ENKÖPING</t>
        </is>
      </c>
      <c r="G224" t="n">
        <v>3.2</v>
      </c>
      <c r="H224" t="n">
        <v>0</v>
      </c>
      <c r="I224" t="n">
        <v>0</v>
      </c>
      <c r="J224" t="n">
        <v>0</v>
      </c>
      <c r="K224" t="n">
        <v>0</v>
      </c>
      <c r="L224" t="n">
        <v>0</v>
      </c>
      <c r="M224" t="n">
        <v>0</v>
      </c>
      <c r="N224" t="n">
        <v>0</v>
      </c>
      <c r="O224" t="n">
        <v>0</v>
      </c>
      <c r="P224" t="n">
        <v>0</v>
      </c>
      <c r="Q224" t="n">
        <v>0</v>
      </c>
      <c r="R224" s="2" t="inlineStr"/>
    </row>
    <row r="225" ht="15" customHeight="1">
      <c r="A225" t="inlineStr">
        <is>
          <t>A 15409-2025</t>
        </is>
      </c>
      <c r="B225" s="1" t="n">
        <v>45747</v>
      </c>
      <c r="C225" s="1" t="n">
        <v>45911</v>
      </c>
      <c r="D225" t="inlineStr">
        <is>
          <t>UPPSALA LÄN</t>
        </is>
      </c>
      <c r="E225" t="inlineStr">
        <is>
          <t>ENKÖPING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51010-2024</t>
        </is>
      </c>
      <c r="B226" s="1" t="n">
        <v>45603.39285879629</v>
      </c>
      <c r="C226" s="1" t="n">
        <v>45911</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51042-2024</t>
        </is>
      </c>
      <c r="B227" s="1" t="n">
        <v>45603.4342824074</v>
      </c>
      <c r="C227" s="1" t="n">
        <v>45911</v>
      </c>
      <c r="D227" t="inlineStr">
        <is>
          <t>UPPSALA LÄN</t>
        </is>
      </c>
      <c r="E227" t="inlineStr">
        <is>
          <t>ENKÖPING</t>
        </is>
      </c>
      <c r="G227" t="n">
        <v>4.6</v>
      </c>
      <c r="H227" t="n">
        <v>0</v>
      </c>
      <c r="I227" t="n">
        <v>0</v>
      </c>
      <c r="J227" t="n">
        <v>0</v>
      </c>
      <c r="K227" t="n">
        <v>0</v>
      </c>
      <c r="L227" t="n">
        <v>0</v>
      </c>
      <c r="M227" t="n">
        <v>0</v>
      </c>
      <c r="N227" t="n">
        <v>0</v>
      </c>
      <c r="O227" t="n">
        <v>0</v>
      </c>
      <c r="P227" t="n">
        <v>0</v>
      </c>
      <c r="Q227" t="n">
        <v>0</v>
      </c>
      <c r="R227" s="2" t="inlineStr"/>
    </row>
    <row r="228" ht="15" customHeight="1">
      <c r="A228" t="inlineStr">
        <is>
          <t>A 35067-2024</t>
        </is>
      </c>
      <c r="B228" s="1" t="n">
        <v>45527.66153935185</v>
      </c>
      <c r="C228" s="1" t="n">
        <v>45911</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22912-2024</t>
        </is>
      </c>
      <c r="B229" s="1" t="n">
        <v>45448.73118055556</v>
      </c>
      <c r="C229" s="1" t="n">
        <v>45911</v>
      </c>
      <c r="D229" t="inlineStr">
        <is>
          <t>UPPSALA LÄN</t>
        </is>
      </c>
      <c r="E229" t="inlineStr">
        <is>
          <t>ENKÖPING</t>
        </is>
      </c>
      <c r="G229" t="n">
        <v>2.8</v>
      </c>
      <c r="H229" t="n">
        <v>0</v>
      </c>
      <c r="I229" t="n">
        <v>0</v>
      </c>
      <c r="J229" t="n">
        <v>0</v>
      </c>
      <c r="K229" t="n">
        <v>0</v>
      </c>
      <c r="L229" t="n">
        <v>0</v>
      </c>
      <c r="M229" t="n">
        <v>0</v>
      </c>
      <c r="N229" t="n">
        <v>0</v>
      </c>
      <c r="O229" t="n">
        <v>0</v>
      </c>
      <c r="P229" t="n">
        <v>0</v>
      </c>
      <c r="Q229" t="n">
        <v>0</v>
      </c>
      <c r="R229" s="2" t="inlineStr"/>
    </row>
    <row r="230" ht="15" customHeight="1">
      <c r="A230" t="inlineStr">
        <is>
          <t>A 53149-2020</t>
        </is>
      </c>
      <c r="B230" s="1" t="n">
        <v>44120</v>
      </c>
      <c r="C230" s="1" t="n">
        <v>45911</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9667-2024</t>
        </is>
      </c>
      <c r="B231" s="1" t="n">
        <v>45362.45130787037</v>
      </c>
      <c r="C231" s="1" t="n">
        <v>45911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34617-2022</t>
        </is>
      </c>
      <c r="B232" s="1" t="n">
        <v>44795</v>
      </c>
      <c r="C232" s="1" t="n">
        <v>45911</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40202-2024</t>
        </is>
      </c>
      <c r="B233" s="1" t="n">
        <v>45554</v>
      </c>
      <c r="C233" s="1" t="n">
        <v>45911</v>
      </c>
      <c r="D233" t="inlineStr">
        <is>
          <t>UPPSALA LÄN</t>
        </is>
      </c>
      <c r="E233" t="inlineStr">
        <is>
          <t>ENKÖPING</t>
        </is>
      </c>
      <c r="G233" t="n">
        <v>6.2</v>
      </c>
      <c r="H233" t="n">
        <v>0</v>
      </c>
      <c r="I233" t="n">
        <v>0</v>
      </c>
      <c r="J233" t="n">
        <v>0</v>
      </c>
      <c r="K233" t="n">
        <v>0</v>
      </c>
      <c r="L233" t="n">
        <v>0</v>
      </c>
      <c r="M233" t="n">
        <v>0</v>
      </c>
      <c r="N233" t="n">
        <v>0</v>
      </c>
      <c r="O233" t="n">
        <v>0</v>
      </c>
      <c r="P233" t="n">
        <v>0</v>
      </c>
      <c r="Q233" t="n">
        <v>0</v>
      </c>
      <c r="R233" s="2" t="inlineStr"/>
    </row>
    <row r="234" ht="15" customHeight="1">
      <c r="A234" t="inlineStr">
        <is>
          <t>A 40223-2024</t>
        </is>
      </c>
      <c r="B234" s="1" t="n">
        <v>45554</v>
      </c>
      <c r="C234" s="1" t="n">
        <v>45911</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69879-2021</t>
        </is>
      </c>
      <c r="B235" s="1" t="n">
        <v>44532</v>
      </c>
      <c r="C235" s="1" t="n">
        <v>45911</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19013-2025</t>
        </is>
      </c>
      <c r="B236" s="1" t="n">
        <v>45764.59533564815</v>
      </c>
      <c r="C236" s="1" t="n">
        <v>45911</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57335-2024</t>
        </is>
      </c>
      <c r="B237" s="1" t="n">
        <v>45629.63302083333</v>
      </c>
      <c r="C237" s="1" t="n">
        <v>45911</v>
      </c>
      <c r="D237" t="inlineStr">
        <is>
          <t>UPPSALA LÄN</t>
        </is>
      </c>
      <c r="E237" t="inlineStr">
        <is>
          <t>ENKÖPING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23301-2024</t>
        </is>
      </c>
      <c r="B238" s="1" t="n">
        <v>45453.4396412037</v>
      </c>
      <c r="C238" s="1" t="n">
        <v>45911</v>
      </c>
      <c r="D238" t="inlineStr">
        <is>
          <t>UPPSALA LÄN</t>
        </is>
      </c>
      <c r="E238" t="inlineStr">
        <is>
          <t>ENKÖPING</t>
        </is>
      </c>
      <c r="G238" t="n">
        <v>4.3</v>
      </c>
      <c r="H238" t="n">
        <v>0</v>
      </c>
      <c r="I238" t="n">
        <v>0</v>
      </c>
      <c r="J238" t="n">
        <v>0</v>
      </c>
      <c r="K238" t="n">
        <v>0</v>
      </c>
      <c r="L238" t="n">
        <v>0</v>
      </c>
      <c r="M238" t="n">
        <v>0</v>
      </c>
      <c r="N238" t="n">
        <v>0</v>
      </c>
      <c r="O238" t="n">
        <v>0</v>
      </c>
      <c r="P238" t="n">
        <v>0</v>
      </c>
      <c r="Q238" t="n">
        <v>0</v>
      </c>
      <c r="R238" s="2" t="inlineStr"/>
    </row>
    <row r="239" ht="15" customHeight="1">
      <c r="A239" t="inlineStr">
        <is>
          <t>A 2833-2025</t>
        </is>
      </c>
      <c r="B239" s="1" t="n">
        <v>45677.63206018518</v>
      </c>
      <c r="C239" s="1" t="n">
        <v>45911</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43506-2023</t>
        </is>
      </c>
      <c r="B240" s="1" t="n">
        <v>45181</v>
      </c>
      <c r="C240" s="1" t="n">
        <v>45911</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14004-2023</t>
        </is>
      </c>
      <c r="B241" s="1" t="n">
        <v>45008</v>
      </c>
      <c r="C241" s="1" t="n">
        <v>45911</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51012-2024</t>
        </is>
      </c>
      <c r="B242" s="1" t="n">
        <v>45603.39686342593</v>
      </c>
      <c r="C242" s="1" t="n">
        <v>45911</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51037-2024</t>
        </is>
      </c>
      <c r="B243" s="1" t="n">
        <v>45603.43005787037</v>
      </c>
      <c r="C243" s="1" t="n">
        <v>45911</v>
      </c>
      <c r="D243" t="inlineStr">
        <is>
          <t>UPPSALA LÄN</t>
        </is>
      </c>
      <c r="E243" t="inlineStr">
        <is>
          <t>ENKÖPING</t>
        </is>
      </c>
      <c r="G243" t="n">
        <v>5.7</v>
      </c>
      <c r="H243" t="n">
        <v>0</v>
      </c>
      <c r="I243" t="n">
        <v>0</v>
      </c>
      <c r="J243" t="n">
        <v>0</v>
      </c>
      <c r="K243" t="n">
        <v>0</v>
      </c>
      <c r="L243" t="n">
        <v>0</v>
      </c>
      <c r="M243" t="n">
        <v>0</v>
      </c>
      <c r="N243" t="n">
        <v>0</v>
      </c>
      <c r="O243" t="n">
        <v>0</v>
      </c>
      <c r="P243" t="n">
        <v>0</v>
      </c>
      <c r="Q243" t="n">
        <v>0</v>
      </c>
      <c r="R243" s="2" t="inlineStr"/>
    </row>
    <row r="244" ht="15" customHeight="1">
      <c r="A244" t="inlineStr">
        <is>
          <t>A 33619-2022</t>
        </is>
      </c>
      <c r="B244" s="1" t="n">
        <v>44789</v>
      </c>
      <c r="C244" s="1" t="n">
        <v>45911</v>
      </c>
      <c r="D244" t="inlineStr">
        <is>
          <t>UPPSALA LÄN</t>
        </is>
      </c>
      <c r="E244" t="inlineStr">
        <is>
          <t>ENKÖPING</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41828-2024</t>
        </is>
      </c>
      <c r="B245" s="1" t="n">
        <v>45561</v>
      </c>
      <c r="C245" s="1" t="n">
        <v>45911</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31604-2023</t>
        </is>
      </c>
      <c r="B246" s="1" t="n">
        <v>45117.50368055556</v>
      </c>
      <c r="C246" s="1" t="n">
        <v>45911</v>
      </c>
      <c r="D246" t="inlineStr">
        <is>
          <t>UPPSALA LÄN</t>
        </is>
      </c>
      <c r="E246" t="inlineStr">
        <is>
          <t>ENKÖPING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27829-2025</t>
        </is>
      </c>
      <c r="B247" s="1" t="n">
        <v>45817</v>
      </c>
      <c r="C247" s="1" t="n">
        <v>45911</v>
      </c>
      <c r="D247" t="inlineStr">
        <is>
          <t>UPPSALA LÄN</t>
        </is>
      </c>
      <c r="E247" t="inlineStr">
        <is>
          <t>ENKÖPING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59602-2024</t>
        </is>
      </c>
      <c r="B248" s="1" t="n">
        <v>45638</v>
      </c>
      <c r="C248" s="1" t="n">
        <v>45911</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10465-2022</t>
        </is>
      </c>
      <c r="B249" s="1" t="n">
        <v>44623</v>
      </c>
      <c r="C249" s="1" t="n">
        <v>45911</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14243-2025</t>
        </is>
      </c>
      <c r="B250" s="1" t="n">
        <v>45740.61288194444</v>
      </c>
      <c r="C250" s="1" t="n">
        <v>45911</v>
      </c>
      <c r="D250" t="inlineStr">
        <is>
          <t>UPPSALA LÄN</t>
        </is>
      </c>
      <c r="E250" t="inlineStr">
        <is>
          <t>ENKÖPING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19488-2022</t>
        </is>
      </c>
      <c r="B251" s="1" t="n">
        <v>44693</v>
      </c>
      <c r="C251" s="1" t="n">
        <v>45911</v>
      </c>
      <c r="D251" t="inlineStr">
        <is>
          <t>UPPSALA LÄN</t>
        </is>
      </c>
      <c r="E251" t="inlineStr">
        <is>
          <t>ENKÖPING</t>
        </is>
      </c>
      <c r="G251" t="n">
        <v>7.8</v>
      </c>
      <c r="H251" t="n">
        <v>0</v>
      </c>
      <c r="I251" t="n">
        <v>0</v>
      </c>
      <c r="J251" t="n">
        <v>0</v>
      </c>
      <c r="K251" t="n">
        <v>0</v>
      </c>
      <c r="L251" t="n">
        <v>0</v>
      </c>
      <c r="M251" t="n">
        <v>0</v>
      </c>
      <c r="N251" t="n">
        <v>0</v>
      </c>
      <c r="O251" t="n">
        <v>0</v>
      </c>
      <c r="P251" t="n">
        <v>0</v>
      </c>
      <c r="Q251" t="n">
        <v>0</v>
      </c>
      <c r="R251" s="2" t="inlineStr"/>
    </row>
    <row r="252" ht="15" customHeight="1">
      <c r="A252" t="inlineStr">
        <is>
          <t>A 28855-2025</t>
        </is>
      </c>
      <c r="B252" s="1" t="n">
        <v>45820.58274305556</v>
      </c>
      <c r="C252" s="1" t="n">
        <v>45911</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5013-2025</t>
        </is>
      </c>
      <c r="B253" s="1" t="n">
        <v>45691</v>
      </c>
      <c r="C253" s="1" t="n">
        <v>45911</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11503-2024</t>
        </is>
      </c>
      <c r="B254" s="1" t="n">
        <v>45372.68020833333</v>
      </c>
      <c r="C254" s="1" t="n">
        <v>45911</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41826-2024</t>
        </is>
      </c>
      <c r="B255" s="1" t="n">
        <v>45561</v>
      </c>
      <c r="C255" s="1" t="n">
        <v>45911</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28758-2025</t>
        </is>
      </c>
      <c r="B256" s="1" t="n">
        <v>45820.41212962963</v>
      </c>
      <c r="C256" s="1" t="n">
        <v>45911</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16916-2022</t>
        </is>
      </c>
      <c r="B257" s="1" t="n">
        <v>44676</v>
      </c>
      <c r="C257" s="1" t="n">
        <v>45911</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39009-2024</t>
        </is>
      </c>
      <c r="B258" s="1" t="n">
        <v>45548</v>
      </c>
      <c r="C258" s="1" t="n">
        <v>45911</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8537-2025</t>
        </is>
      </c>
      <c r="B259" s="1" t="n">
        <v>45709</v>
      </c>
      <c r="C259" s="1" t="n">
        <v>45911</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44115-2024</t>
        </is>
      </c>
      <c r="B260" s="1" t="n">
        <v>45572</v>
      </c>
      <c r="C260" s="1" t="n">
        <v>45911</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28862-2025</t>
        </is>
      </c>
      <c r="B261" s="1" t="n">
        <v>45820.59189814814</v>
      </c>
      <c r="C261" s="1" t="n">
        <v>45911</v>
      </c>
      <c r="D261" t="inlineStr">
        <is>
          <t>UPPSALA LÄN</t>
        </is>
      </c>
      <c r="E261" t="inlineStr">
        <is>
          <t>ENKÖPING</t>
        </is>
      </c>
      <c r="G261" t="n">
        <v>2.2</v>
      </c>
      <c r="H261" t="n">
        <v>0</v>
      </c>
      <c r="I261" t="n">
        <v>0</v>
      </c>
      <c r="J261" t="n">
        <v>0</v>
      </c>
      <c r="K261" t="n">
        <v>0</v>
      </c>
      <c r="L261" t="n">
        <v>0</v>
      </c>
      <c r="M261" t="n">
        <v>0</v>
      </c>
      <c r="N261" t="n">
        <v>0</v>
      </c>
      <c r="O261" t="n">
        <v>0</v>
      </c>
      <c r="P261" t="n">
        <v>0</v>
      </c>
      <c r="Q261" t="n">
        <v>0</v>
      </c>
      <c r="R261" s="2" t="inlineStr"/>
    </row>
    <row r="262" ht="15" customHeight="1">
      <c r="A262" t="inlineStr">
        <is>
          <t>A 2164-2023</t>
        </is>
      </c>
      <c r="B262" s="1" t="n">
        <v>44941</v>
      </c>
      <c r="C262" s="1" t="n">
        <v>45911</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30634-2022</t>
        </is>
      </c>
      <c r="B263" s="1" t="n">
        <v>44763.45711805556</v>
      </c>
      <c r="C263" s="1" t="n">
        <v>45911</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29093-2025</t>
        </is>
      </c>
      <c r="B264" s="1" t="n">
        <v>45821.55743055556</v>
      </c>
      <c r="C264" s="1" t="n">
        <v>45911</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29477-2025</t>
        </is>
      </c>
      <c r="B265" s="1" t="n">
        <v>45824.71537037037</v>
      </c>
      <c r="C265" s="1" t="n">
        <v>45911</v>
      </c>
      <c r="D265" t="inlineStr">
        <is>
          <t>UPPSALA LÄN</t>
        </is>
      </c>
      <c r="E265" t="inlineStr">
        <is>
          <t>ENKÖPING</t>
        </is>
      </c>
      <c r="G265" t="n">
        <v>13.4</v>
      </c>
      <c r="H265" t="n">
        <v>0</v>
      </c>
      <c r="I265" t="n">
        <v>0</v>
      </c>
      <c r="J265" t="n">
        <v>0</v>
      </c>
      <c r="K265" t="n">
        <v>0</v>
      </c>
      <c r="L265" t="n">
        <v>0</v>
      </c>
      <c r="M265" t="n">
        <v>0</v>
      </c>
      <c r="N265" t="n">
        <v>0</v>
      </c>
      <c r="O265" t="n">
        <v>0</v>
      </c>
      <c r="P265" t="n">
        <v>0</v>
      </c>
      <c r="Q265" t="n">
        <v>0</v>
      </c>
      <c r="R265" s="2" t="inlineStr"/>
    </row>
    <row r="266" ht="15" customHeight="1">
      <c r="A266" t="inlineStr">
        <is>
          <t>A 33955-2024</t>
        </is>
      </c>
      <c r="B266" s="1" t="n">
        <v>45523.46952546296</v>
      </c>
      <c r="C266" s="1" t="n">
        <v>45911</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6172-2023</t>
        </is>
      </c>
      <c r="B267" s="1" t="n">
        <v>44964.68663194445</v>
      </c>
      <c r="C267" s="1" t="n">
        <v>45911</v>
      </c>
      <c r="D267" t="inlineStr">
        <is>
          <t>UPPSALA LÄN</t>
        </is>
      </c>
      <c r="E267" t="inlineStr">
        <is>
          <t>ENKÖPING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10409-2025</t>
        </is>
      </c>
      <c r="B268" s="1" t="n">
        <v>45720.631875</v>
      </c>
      <c r="C268" s="1" t="n">
        <v>45911</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3300-2025</t>
        </is>
      </c>
      <c r="B269" s="1" t="n">
        <v>45679</v>
      </c>
      <c r="C269" s="1" t="n">
        <v>45911</v>
      </c>
      <c r="D269" t="inlineStr">
        <is>
          <t>UPPSALA LÄN</t>
        </is>
      </c>
      <c r="E269" t="inlineStr">
        <is>
          <t>ENKÖPING</t>
        </is>
      </c>
      <c r="G269" t="n">
        <v>8.9</v>
      </c>
      <c r="H269" t="n">
        <v>0</v>
      </c>
      <c r="I269" t="n">
        <v>0</v>
      </c>
      <c r="J269" t="n">
        <v>0</v>
      </c>
      <c r="K269" t="n">
        <v>0</v>
      </c>
      <c r="L269" t="n">
        <v>0</v>
      </c>
      <c r="M269" t="n">
        <v>0</v>
      </c>
      <c r="N269" t="n">
        <v>0</v>
      </c>
      <c r="O269" t="n">
        <v>0</v>
      </c>
      <c r="P269" t="n">
        <v>0</v>
      </c>
      <c r="Q269" t="n">
        <v>0</v>
      </c>
      <c r="R269" s="2" t="inlineStr"/>
    </row>
    <row r="270" ht="15" customHeight="1">
      <c r="A270" t="inlineStr">
        <is>
          <t>A 51120-2023</t>
        </is>
      </c>
      <c r="B270" s="1" t="n">
        <v>45219.3088425926</v>
      </c>
      <c r="C270" s="1" t="n">
        <v>45911</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26319-2022</t>
        </is>
      </c>
      <c r="B271" s="1" t="n">
        <v>44735</v>
      </c>
      <c r="C271" s="1" t="n">
        <v>45911</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36492-2025</t>
        </is>
      </c>
      <c r="B272" s="1" t="n">
        <v>45869</v>
      </c>
      <c r="C272" s="1" t="n">
        <v>45911</v>
      </c>
      <c r="D272" t="inlineStr">
        <is>
          <t>UPPSALA LÄN</t>
        </is>
      </c>
      <c r="E272" t="inlineStr">
        <is>
          <t>ENKÖPING</t>
        </is>
      </c>
      <c r="G272" t="n">
        <v>6.3</v>
      </c>
      <c r="H272" t="n">
        <v>0</v>
      </c>
      <c r="I272" t="n">
        <v>0</v>
      </c>
      <c r="J272" t="n">
        <v>0</v>
      </c>
      <c r="K272" t="n">
        <v>0</v>
      </c>
      <c r="L272" t="n">
        <v>0</v>
      </c>
      <c r="M272" t="n">
        <v>0</v>
      </c>
      <c r="N272" t="n">
        <v>0</v>
      </c>
      <c r="O272" t="n">
        <v>0</v>
      </c>
      <c r="P272" t="n">
        <v>0</v>
      </c>
      <c r="Q272" t="n">
        <v>0</v>
      </c>
      <c r="R272" s="2" t="inlineStr"/>
    </row>
    <row r="273" ht="15" customHeight="1">
      <c r="A273" t="inlineStr">
        <is>
          <t>A 54357-2023</t>
        </is>
      </c>
      <c r="B273" s="1" t="n">
        <v>45225</v>
      </c>
      <c r="C273" s="1" t="n">
        <v>45911</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69567-2020</t>
        </is>
      </c>
      <c r="B274" s="1" t="n">
        <v>44194</v>
      </c>
      <c r="C274" s="1" t="n">
        <v>45911</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4203-2021</t>
        </is>
      </c>
      <c r="B275" s="1" t="n">
        <v>44223</v>
      </c>
      <c r="C275" s="1" t="n">
        <v>45911</v>
      </c>
      <c r="D275" t="inlineStr">
        <is>
          <t>UPPSALA LÄN</t>
        </is>
      </c>
      <c r="E275" t="inlineStr">
        <is>
          <t>ENKÖPING</t>
        </is>
      </c>
      <c r="G275" t="n">
        <v>11.6</v>
      </c>
      <c r="H275" t="n">
        <v>0</v>
      </c>
      <c r="I275" t="n">
        <v>0</v>
      </c>
      <c r="J275" t="n">
        <v>0</v>
      </c>
      <c r="K275" t="n">
        <v>0</v>
      </c>
      <c r="L275" t="n">
        <v>0</v>
      </c>
      <c r="M275" t="n">
        <v>0</v>
      </c>
      <c r="N275" t="n">
        <v>0</v>
      </c>
      <c r="O275" t="n">
        <v>0</v>
      </c>
      <c r="P275" t="n">
        <v>0</v>
      </c>
      <c r="Q275" t="n">
        <v>0</v>
      </c>
      <c r="R275" s="2" t="inlineStr"/>
    </row>
    <row r="276" ht="15" customHeight="1">
      <c r="A276" t="inlineStr">
        <is>
          <t>A 13816-2021</t>
        </is>
      </c>
      <c r="B276" s="1" t="n">
        <v>44276</v>
      </c>
      <c r="C276" s="1" t="n">
        <v>45911</v>
      </c>
      <c r="D276" t="inlineStr">
        <is>
          <t>UPPSALA LÄN</t>
        </is>
      </c>
      <c r="E276" t="inlineStr">
        <is>
          <t>ENKÖPING</t>
        </is>
      </c>
      <c r="G276" t="n">
        <v>0.4</v>
      </c>
      <c r="H276" t="n">
        <v>0</v>
      </c>
      <c r="I276" t="n">
        <v>0</v>
      </c>
      <c r="J276" t="n">
        <v>0</v>
      </c>
      <c r="K276" t="n">
        <v>0</v>
      </c>
      <c r="L276" t="n">
        <v>0</v>
      </c>
      <c r="M276" t="n">
        <v>0</v>
      </c>
      <c r="N276" t="n">
        <v>0</v>
      </c>
      <c r="O276" t="n">
        <v>0</v>
      </c>
      <c r="P276" t="n">
        <v>0</v>
      </c>
      <c r="Q276" t="n">
        <v>0</v>
      </c>
      <c r="R276" s="2" t="inlineStr"/>
    </row>
    <row r="277" ht="15" customHeight="1">
      <c r="A277" t="inlineStr">
        <is>
          <t>A 21686-2022</t>
        </is>
      </c>
      <c r="B277" s="1" t="n">
        <v>44707</v>
      </c>
      <c r="C277" s="1" t="n">
        <v>45911</v>
      </c>
      <c r="D277" t="inlineStr">
        <is>
          <t>UPPSALA LÄN</t>
        </is>
      </c>
      <c r="E277" t="inlineStr">
        <is>
          <t>ENKÖPING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36599-2025</t>
        </is>
      </c>
      <c r="B278" s="1" t="n">
        <v>45870.51723379629</v>
      </c>
      <c r="C278" s="1" t="n">
        <v>45911</v>
      </c>
      <c r="D278" t="inlineStr">
        <is>
          <t>UPPSALA LÄN</t>
        </is>
      </c>
      <c r="E278" t="inlineStr">
        <is>
          <t>ENKÖPING</t>
        </is>
      </c>
      <c r="G278" t="n">
        <v>5.9</v>
      </c>
      <c r="H278" t="n">
        <v>0</v>
      </c>
      <c r="I278" t="n">
        <v>0</v>
      </c>
      <c r="J278" t="n">
        <v>0</v>
      </c>
      <c r="K278" t="n">
        <v>0</v>
      </c>
      <c r="L278" t="n">
        <v>0</v>
      </c>
      <c r="M278" t="n">
        <v>0</v>
      </c>
      <c r="N278" t="n">
        <v>0</v>
      </c>
      <c r="O278" t="n">
        <v>0</v>
      </c>
      <c r="P278" t="n">
        <v>0</v>
      </c>
      <c r="Q278" t="n">
        <v>0</v>
      </c>
      <c r="R278" s="2" t="inlineStr"/>
    </row>
    <row r="279" ht="15" customHeight="1">
      <c r="A279" t="inlineStr">
        <is>
          <t>A 29479-2022</t>
        </is>
      </c>
      <c r="B279" s="1" t="n">
        <v>44753.57265046296</v>
      </c>
      <c r="C279" s="1" t="n">
        <v>45911</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63402-2023</t>
        </is>
      </c>
      <c r="B280" s="1" t="n">
        <v>45274.50646990741</v>
      </c>
      <c r="C280" s="1" t="n">
        <v>45911</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53208-2023</t>
        </is>
      </c>
      <c r="B281" s="1" t="n">
        <v>45226</v>
      </c>
      <c r="C281" s="1" t="n">
        <v>45911</v>
      </c>
      <c r="D281" t="inlineStr">
        <is>
          <t>UPPSALA LÄN</t>
        </is>
      </c>
      <c r="E281" t="inlineStr">
        <is>
          <t>ENKÖPING</t>
        </is>
      </c>
      <c r="G281" t="n">
        <v>4.3</v>
      </c>
      <c r="H281" t="n">
        <v>0</v>
      </c>
      <c r="I281" t="n">
        <v>0</v>
      </c>
      <c r="J281" t="n">
        <v>0</v>
      </c>
      <c r="K281" t="n">
        <v>0</v>
      </c>
      <c r="L281" t="n">
        <v>0</v>
      </c>
      <c r="M281" t="n">
        <v>0</v>
      </c>
      <c r="N281" t="n">
        <v>0</v>
      </c>
      <c r="O281" t="n">
        <v>0</v>
      </c>
      <c r="P281" t="n">
        <v>0</v>
      </c>
      <c r="Q281" t="n">
        <v>0</v>
      </c>
      <c r="R281" s="2" t="inlineStr"/>
    </row>
    <row r="282" ht="15" customHeight="1">
      <c r="A282" t="inlineStr">
        <is>
          <t>A 49525-2021</t>
        </is>
      </c>
      <c r="B282" s="1" t="n">
        <v>44455</v>
      </c>
      <c r="C282" s="1" t="n">
        <v>45911</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6298-2021</t>
        </is>
      </c>
      <c r="B283" s="1" t="n">
        <v>44235</v>
      </c>
      <c r="C283" s="1" t="n">
        <v>45911</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30837-2025</t>
        </is>
      </c>
      <c r="B284" s="1" t="n">
        <v>45831.7063425926</v>
      </c>
      <c r="C284" s="1" t="n">
        <v>45911</v>
      </c>
      <c r="D284" t="inlineStr">
        <is>
          <t>UPPSALA LÄN</t>
        </is>
      </c>
      <c r="E284" t="inlineStr">
        <is>
          <t>ENKÖPING</t>
        </is>
      </c>
      <c r="G284" t="n">
        <v>3.8</v>
      </c>
      <c r="H284" t="n">
        <v>0</v>
      </c>
      <c r="I284" t="n">
        <v>0</v>
      </c>
      <c r="J284" t="n">
        <v>0</v>
      </c>
      <c r="K284" t="n">
        <v>0</v>
      </c>
      <c r="L284" t="n">
        <v>0</v>
      </c>
      <c r="M284" t="n">
        <v>0</v>
      </c>
      <c r="N284" t="n">
        <v>0</v>
      </c>
      <c r="O284" t="n">
        <v>0</v>
      </c>
      <c r="P284" t="n">
        <v>0</v>
      </c>
      <c r="Q284" t="n">
        <v>0</v>
      </c>
      <c r="R284" s="2" t="inlineStr"/>
    </row>
    <row r="285" ht="15" customHeight="1">
      <c r="A285" t="inlineStr">
        <is>
          <t>A 59441-2020</t>
        </is>
      </c>
      <c r="B285" s="1" t="n">
        <v>44148</v>
      </c>
      <c r="C285" s="1" t="n">
        <v>45911</v>
      </c>
      <c r="D285" t="inlineStr">
        <is>
          <t>UPPSALA LÄN</t>
        </is>
      </c>
      <c r="E285" t="inlineStr">
        <is>
          <t>ENKÖPING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57328-2024</t>
        </is>
      </c>
      <c r="B286" s="1" t="n">
        <v>45629.62798611111</v>
      </c>
      <c r="C286" s="1" t="n">
        <v>45911</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18259-2025</t>
        </is>
      </c>
      <c r="B287" s="1" t="n">
        <v>45762</v>
      </c>
      <c r="C287" s="1" t="n">
        <v>45911</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62158-2023</t>
        </is>
      </c>
      <c r="B288" s="1" t="n">
        <v>45267</v>
      </c>
      <c r="C288" s="1" t="n">
        <v>45911</v>
      </c>
      <c r="D288" t="inlineStr">
        <is>
          <t>UPPSALA LÄN</t>
        </is>
      </c>
      <c r="E288" t="inlineStr">
        <is>
          <t>ENKÖPING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60874-2023</t>
        </is>
      </c>
      <c r="B289" s="1" t="n">
        <v>45261.06280092592</v>
      </c>
      <c r="C289" s="1" t="n">
        <v>45911</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56837-2024</t>
        </is>
      </c>
      <c r="B290" s="1" t="n">
        <v>45628</v>
      </c>
      <c r="C290" s="1" t="n">
        <v>45911</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55876-2024</t>
        </is>
      </c>
      <c r="B291" s="1" t="n">
        <v>45623.5546412037</v>
      </c>
      <c r="C291" s="1" t="n">
        <v>45911</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3550-2023</t>
        </is>
      </c>
      <c r="B292" s="1" t="n">
        <v>44950</v>
      </c>
      <c r="C292" s="1" t="n">
        <v>45911</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32477-2025</t>
        </is>
      </c>
      <c r="B293" s="1" t="n">
        <v>45838.43098379629</v>
      </c>
      <c r="C293" s="1" t="n">
        <v>45911</v>
      </c>
      <c r="D293" t="inlineStr">
        <is>
          <t>UPPSALA LÄN</t>
        </is>
      </c>
      <c r="E293" t="inlineStr">
        <is>
          <t>ENKÖPING</t>
        </is>
      </c>
      <c r="G293" t="n">
        <v>2.7</v>
      </c>
      <c r="H293" t="n">
        <v>0</v>
      </c>
      <c r="I293" t="n">
        <v>0</v>
      </c>
      <c r="J293" t="n">
        <v>0</v>
      </c>
      <c r="K293" t="n">
        <v>0</v>
      </c>
      <c r="L293" t="n">
        <v>0</v>
      </c>
      <c r="M293" t="n">
        <v>0</v>
      </c>
      <c r="N293" t="n">
        <v>0</v>
      </c>
      <c r="O293" t="n">
        <v>0</v>
      </c>
      <c r="P293" t="n">
        <v>0</v>
      </c>
      <c r="Q293" t="n">
        <v>0</v>
      </c>
      <c r="R293" s="2" t="inlineStr"/>
    </row>
    <row r="294" ht="15" customHeight="1">
      <c r="A294" t="inlineStr">
        <is>
          <t>A 25334-2023</t>
        </is>
      </c>
      <c r="B294" s="1" t="n">
        <v>45083</v>
      </c>
      <c r="C294" s="1" t="n">
        <v>45911</v>
      </c>
      <c r="D294" t="inlineStr">
        <is>
          <t>UPPSALA LÄN</t>
        </is>
      </c>
      <c r="E294" t="inlineStr">
        <is>
          <t>ENKÖPING</t>
        </is>
      </c>
      <c r="G294" t="n">
        <v>0.2</v>
      </c>
      <c r="H294" t="n">
        <v>0</v>
      </c>
      <c r="I294" t="n">
        <v>0</v>
      </c>
      <c r="J294" t="n">
        <v>0</v>
      </c>
      <c r="K294" t="n">
        <v>0</v>
      </c>
      <c r="L294" t="n">
        <v>0</v>
      </c>
      <c r="M294" t="n">
        <v>0</v>
      </c>
      <c r="N294" t="n">
        <v>0</v>
      </c>
      <c r="O294" t="n">
        <v>0</v>
      </c>
      <c r="P294" t="n">
        <v>0</v>
      </c>
      <c r="Q294" t="n">
        <v>0</v>
      </c>
      <c r="R294" s="2" t="inlineStr"/>
    </row>
    <row r="295" ht="15" customHeight="1">
      <c r="A295" t="inlineStr">
        <is>
          <t>A 33349-2024</t>
        </is>
      </c>
      <c r="B295" s="1" t="n">
        <v>45519</v>
      </c>
      <c r="C295" s="1" t="n">
        <v>45911</v>
      </c>
      <c r="D295" t="inlineStr">
        <is>
          <t>UPPSALA LÄN</t>
        </is>
      </c>
      <c r="E295" t="inlineStr">
        <is>
          <t>ENKÖPING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26292-2022</t>
        </is>
      </c>
      <c r="B296" s="1" t="n">
        <v>44735</v>
      </c>
      <c r="C296" s="1" t="n">
        <v>45911</v>
      </c>
      <c r="D296" t="inlineStr">
        <is>
          <t>UPPSALA LÄN</t>
        </is>
      </c>
      <c r="E296" t="inlineStr">
        <is>
          <t>ENKÖPING</t>
        </is>
      </c>
      <c r="F296" t="inlineStr">
        <is>
          <t>Kyrkan</t>
        </is>
      </c>
      <c r="G296" t="n">
        <v>4.6</v>
      </c>
      <c r="H296" t="n">
        <v>0</v>
      </c>
      <c r="I296" t="n">
        <v>0</v>
      </c>
      <c r="J296" t="n">
        <v>0</v>
      </c>
      <c r="K296" t="n">
        <v>0</v>
      </c>
      <c r="L296" t="n">
        <v>0</v>
      </c>
      <c r="M296" t="n">
        <v>0</v>
      </c>
      <c r="N296" t="n">
        <v>0</v>
      </c>
      <c r="O296" t="n">
        <v>0</v>
      </c>
      <c r="P296" t="n">
        <v>0</v>
      </c>
      <c r="Q296" t="n">
        <v>0</v>
      </c>
      <c r="R296" s="2" t="inlineStr"/>
    </row>
    <row r="297" ht="15" customHeight="1">
      <c r="A297" t="inlineStr">
        <is>
          <t>A 32031-2025</t>
        </is>
      </c>
      <c r="B297" s="1" t="n">
        <v>45835.41712962963</v>
      </c>
      <c r="C297" s="1" t="n">
        <v>45911</v>
      </c>
      <c r="D297" t="inlineStr">
        <is>
          <t>UPPSALA LÄN</t>
        </is>
      </c>
      <c r="E297" t="inlineStr">
        <is>
          <t>ENKÖPING</t>
        </is>
      </c>
      <c r="G297" t="n">
        <v>2.7</v>
      </c>
      <c r="H297" t="n">
        <v>0</v>
      </c>
      <c r="I297" t="n">
        <v>0</v>
      </c>
      <c r="J297" t="n">
        <v>0</v>
      </c>
      <c r="K297" t="n">
        <v>0</v>
      </c>
      <c r="L297" t="n">
        <v>0</v>
      </c>
      <c r="M297" t="n">
        <v>0</v>
      </c>
      <c r="N297" t="n">
        <v>0</v>
      </c>
      <c r="O297" t="n">
        <v>0</v>
      </c>
      <c r="P297" t="n">
        <v>0</v>
      </c>
      <c r="Q297" t="n">
        <v>0</v>
      </c>
      <c r="R297" s="2" t="inlineStr"/>
    </row>
    <row r="298" ht="15" customHeight="1">
      <c r="A298" t="inlineStr">
        <is>
          <t>A 32111-2025</t>
        </is>
      </c>
      <c r="B298" s="1" t="n">
        <v>45835</v>
      </c>
      <c r="C298" s="1" t="n">
        <v>45911</v>
      </c>
      <c r="D298" t="inlineStr">
        <is>
          <t>UPPSALA LÄN</t>
        </is>
      </c>
      <c r="E298" t="inlineStr">
        <is>
          <t>ENKÖPING</t>
        </is>
      </c>
      <c r="G298" t="n">
        <v>1.7</v>
      </c>
      <c r="H298" t="n">
        <v>0</v>
      </c>
      <c r="I298" t="n">
        <v>0</v>
      </c>
      <c r="J298" t="n">
        <v>0</v>
      </c>
      <c r="K298" t="n">
        <v>0</v>
      </c>
      <c r="L298" t="n">
        <v>0</v>
      </c>
      <c r="M298" t="n">
        <v>0</v>
      </c>
      <c r="N298" t="n">
        <v>0</v>
      </c>
      <c r="O298" t="n">
        <v>0</v>
      </c>
      <c r="P298" t="n">
        <v>0</v>
      </c>
      <c r="Q298" t="n">
        <v>0</v>
      </c>
      <c r="R298" s="2" t="inlineStr"/>
    </row>
    <row r="299" ht="15" customHeight="1">
      <c r="A299" t="inlineStr">
        <is>
          <t>A 61207-2023</t>
        </is>
      </c>
      <c r="B299" s="1" t="n">
        <v>45264.39444444444</v>
      </c>
      <c r="C299" s="1" t="n">
        <v>45911</v>
      </c>
      <c r="D299" t="inlineStr">
        <is>
          <t>UPPSALA LÄN</t>
        </is>
      </c>
      <c r="E299" t="inlineStr">
        <is>
          <t>ENKÖPING</t>
        </is>
      </c>
      <c r="G299" t="n">
        <v>10.8</v>
      </c>
      <c r="H299" t="n">
        <v>0</v>
      </c>
      <c r="I299" t="n">
        <v>0</v>
      </c>
      <c r="J299" t="n">
        <v>0</v>
      </c>
      <c r="K299" t="n">
        <v>0</v>
      </c>
      <c r="L299" t="n">
        <v>0</v>
      </c>
      <c r="M299" t="n">
        <v>0</v>
      </c>
      <c r="N299" t="n">
        <v>0</v>
      </c>
      <c r="O299" t="n">
        <v>0</v>
      </c>
      <c r="P299" t="n">
        <v>0</v>
      </c>
      <c r="Q299" t="n">
        <v>0</v>
      </c>
      <c r="R299" s="2" t="inlineStr"/>
    </row>
    <row r="300" ht="15" customHeight="1">
      <c r="A300" t="inlineStr">
        <is>
          <t>A 840-2025</t>
        </is>
      </c>
      <c r="B300" s="1" t="n">
        <v>45665</v>
      </c>
      <c r="C300" s="1" t="n">
        <v>45911</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10458-2022</t>
        </is>
      </c>
      <c r="B301" s="1" t="n">
        <v>44623.56711805556</v>
      </c>
      <c r="C301" s="1" t="n">
        <v>45911</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45142-2023</t>
        </is>
      </c>
      <c r="B302" s="1" t="n">
        <v>45191.4702662037</v>
      </c>
      <c r="C302" s="1" t="n">
        <v>45911</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53587-2024</t>
        </is>
      </c>
      <c r="B303" s="1" t="n">
        <v>45614.66953703704</v>
      </c>
      <c r="C303" s="1" t="n">
        <v>45911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57998-2024</t>
        </is>
      </c>
      <c r="B304" s="1" t="n">
        <v>45631</v>
      </c>
      <c r="C304" s="1" t="n">
        <v>45911</v>
      </c>
      <c r="D304" t="inlineStr">
        <is>
          <t>UPPSALA LÄN</t>
        </is>
      </c>
      <c r="E304" t="inlineStr">
        <is>
          <t>ENKÖPING</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14332-2024</t>
        </is>
      </c>
      <c r="B305" s="1" t="n">
        <v>45393</v>
      </c>
      <c r="C305" s="1" t="n">
        <v>45911</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18831-2023</t>
        </is>
      </c>
      <c r="B306" s="1" t="n">
        <v>45044.40798611111</v>
      </c>
      <c r="C306" s="1" t="n">
        <v>45911</v>
      </c>
      <c r="D306" t="inlineStr">
        <is>
          <t>UPPSALA LÄN</t>
        </is>
      </c>
      <c r="E306" t="inlineStr">
        <is>
          <t>ENKÖPING</t>
        </is>
      </c>
      <c r="G306" t="n">
        <v>4.3</v>
      </c>
      <c r="H306" t="n">
        <v>0</v>
      </c>
      <c r="I306" t="n">
        <v>0</v>
      </c>
      <c r="J306" t="n">
        <v>0</v>
      </c>
      <c r="K306" t="n">
        <v>0</v>
      </c>
      <c r="L306" t="n">
        <v>0</v>
      </c>
      <c r="M306" t="n">
        <v>0</v>
      </c>
      <c r="N306" t="n">
        <v>0</v>
      </c>
      <c r="O306" t="n">
        <v>0</v>
      </c>
      <c r="P306" t="n">
        <v>0</v>
      </c>
      <c r="Q306" t="n">
        <v>0</v>
      </c>
      <c r="R306" s="2" t="inlineStr"/>
    </row>
    <row r="307" ht="15" customHeight="1">
      <c r="A307" t="inlineStr">
        <is>
          <t>A 18583-2021</t>
        </is>
      </c>
      <c r="B307" s="1" t="n">
        <v>44306</v>
      </c>
      <c r="C307" s="1" t="n">
        <v>45911</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60125-2024</t>
        </is>
      </c>
      <c r="B308" s="1" t="n">
        <v>45642</v>
      </c>
      <c r="C308" s="1" t="n">
        <v>45911</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1695-2025</t>
        </is>
      </c>
      <c r="B309" s="1" t="n">
        <v>45670</v>
      </c>
      <c r="C309" s="1" t="n">
        <v>45911</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59027-2024</t>
        </is>
      </c>
      <c r="B310" s="1" t="n">
        <v>45636.68755787037</v>
      </c>
      <c r="C310" s="1" t="n">
        <v>45911</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33581-2023</t>
        </is>
      </c>
      <c r="B311" s="1" t="n">
        <v>45131</v>
      </c>
      <c r="C311" s="1" t="n">
        <v>45911</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15740-2025</t>
        </is>
      </c>
      <c r="B312" s="1" t="n">
        <v>45748</v>
      </c>
      <c r="C312" s="1" t="n">
        <v>45911</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42564-2024</t>
        </is>
      </c>
      <c r="B313" s="1" t="n">
        <v>45565.63358796296</v>
      </c>
      <c r="C313" s="1" t="n">
        <v>45911</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3235-2025</t>
        </is>
      </c>
      <c r="B314" s="1" t="n">
        <v>45679</v>
      </c>
      <c r="C314" s="1" t="n">
        <v>45911</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58896-2020</t>
        </is>
      </c>
      <c r="B315" s="1" t="n">
        <v>44146</v>
      </c>
      <c r="C315" s="1" t="n">
        <v>45911</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37115-2024</t>
        </is>
      </c>
      <c r="B316" s="1" t="n">
        <v>45539</v>
      </c>
      <c r="C316" s="1" t="n">
        <v>45911</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57848-2024</t>
        </is>
      </c>
      <c r="B317" s="1" t="n">
        <v>45631.40947916666</v>
      </c>
      <c r="C317" s="1" t="n">
        <v>45911</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17029-2025</t>
        </is>
      </c>
      <c r="B318" s="1" t="n">
        <v>45755.57291666666</v>
      </c>
      <c r="C318" s="1" t="n">
        <v>45911</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15711-2025</t>
        </is>
      </c>
      <c r="B319" s="1" t="n">
        <v>45748</v>
      </c>
      <c r="C319" s="1" t="n">
        <v>45911</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58062-2020</t>
        </is>
      </c>
      <c r="B320" s="1" t="n">
        <v>44144</v>
      </c>
      <c r="C320" s="1" t="n">
        <v>45911</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4562-2025</t>
        </is>
      </c>
      <c r="B321" s="1" t="n">
        <v>45687</v>
      </c>
      <c r="C321" s="1" t="n">
        <v>45911</v>
      </c>
      <c r="D321" t="inlineStr">
        <is>
          <t>UPPSALA LÄN</t>
        </is>
      </c>
      <c r="E321" t="inlineStr">
        <is>
          <t>ENKÖPING</t>
        </is>
      </c>
      <c r="G321" t="n">
        <v>2.5</v>
      </c>
      <c r="H321" t="n">
        <v>0</v>
      </c>
      <c r="I321" t="n">
        <v>0</v>
      </c>
      <c r="J321" t="n">
        <v>0</v>
      </c>
      <c r="K321" t="n">
        <v>0</v>
      </c>
      <c r="L321" t="n">
        <v>0</v>
      </c>
      <c r="M321" t="n">
        <v>0</v>
      </c>
      <c r="N321" t="n">
        <v>0</v>
      </c>
      <c r="O321" t="n">
        <v>0</v>
      </c>
      <c r="P321" t="n">
        <v>0</v>
      </c>
      <c r="Q321" t="n">
        <v>0</v>
      </c>
      <c r="R321" s="2" t="inlineStr"/>
    </row>
    <row r="322" ht="15" customHeight="1">
      <c r="A322" t="inlineStr">
        <is>
          <t>A 18994-2025</t>
        </is>
      </c>
      <c r="B322" s="1" t="n">
        <v>45764.57350694444</v>
      </c>
      <c r="C322" s="1" t="n">
        <v>45911</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49601-2024</t>
        </is>
      </c>
      <c r="B323" s="1" t="n">
        <v>45596.56288194445</v>
      </c>
      <c r="C323" s="1" t="n">
        <v>45911</v>
      </c>
      <c r="D323" t="inlineStr">
        <is>
          <t>UPPSALA LÄN</t>
        </is>
      </c>
      <c r="E323" t="inlineStr">
        <is>
          <t>ENKÖPING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6147-2021</t>
        </is>
      </c>
      <c r="B324" s="1" t="n">
        <v>44232</v>
      </c>
      <c r="C324" s="1" t="n">
        <v>45911</v>
      </c>
      <c r="D324" t="inlineStr">
        <is>
          <t>UPPSALA LÄN</t>
        </is>
      </c>
      <c r="E324" t="inlineStr">
        <is>
          <t>ENKÖPING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6959-2025</t>
        </is>
      </c>
      <c r="B325" s="1" t="n">
        <v>45701.49315972222</v>
      </c>
      <c r="C325" s="1" t="n">
        <v>45911</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67765-2020</t>
        </is>
      </c>
      <c r="B326" s="1" t="n">
        <v>44182</v>
      </c>
      <c r="C326" s="1" t="n">
        <v>45911</v>
      </c>
      <c r="D326" t="inlineStr">
        <is>
          <t>UPPSALA LÄN</t>
        </is>
      </c>
      <c r="E326" t="inlineStr">
        <is>
          <t>ENKÖPING</t>
        </is>
      </c>
      <c r="G326" t="n">
        <v>3.6</v>
      </c>
      <c r="H326" t="n">
        <v>0</v>
      </c>
      <c r="I326" t="n">
        <v>0</v>
      </c>
      <c r="J326" t="n">
        <v>0</v>
      </c>
      <c r="K326" t="n">
        <v>0</v>
      </c>
      <c r="L326" t="n">
        <v>0</v>
      </c>
      <c r="M326" t="n">
        <v>0</v>
      </c>
      <c r="N326" t="n">
        <v>0</v>
      </c>
      <c r="O326" t="n">
        <v>0</v>
      </c>
      <c r="P326" t="n">
        <v>0</v>
      </c>
      <c r="Q326" t="n">
        <v>0</v>
      </c>
      <c r="R326" s="2" t="inlineStr"/>
    </row>
    <row r="327" ht="15" customHeight="1">
      <c r="A327" t="inlineStr">
        <is>
          <t>A 1960-2022</t>
        </is>
      </c>
      <c r="B327" s="1" t="n">
        <v>44575</v>
      </c>
      <c r="C327" s="1" t="n">
        <v>45911</v>
      </c>
      <c r="D327" t="inlineStr">
        <is>
          <t>UPPSALA LÄN</t>
        </is>
      </c>
      <c r="E327" t="inlineStr">
        <is>
          <t>ENKÖPING</t>
        </is>
      </c>
      <c r="G327" t="n">
        <v>1.3</v>
      </c>
      <c r="H327" t="n">
        <v>0</v>
      </c>
      <c r="I327" t="n">
        <v>0</v>
      </c>
      <c r="J327" t="n">
        <v>0</v>
      </c>
      <c r="K327" t="n">
        <v>0</v>
      </c>
      <c r="L327" t="n">
        <v>0</v>
      </c>
      <c r="M327" t="n">
        <v>0</v>
      </c>
      <c r="N327" t="n">
        <v>0</v>
      </c>
      <c r="O327" t="n">
        <v>0</v>
      </c>
      <c r="P327" t="n">
        <v>0</v>
      </c>
      <c r="Q327" t="n">
        <v>0</v>
      </c>
      <c r="R327" s="2" t="inlineStr"/>
    </row>
    <row r="328" ht="15" customHeight="1">
      <c r="A328" t="inlineStr">
        <is>
          <t>A 17165-2025</t>
        </is>
      </c>
      <c r="B328" s="1" t="n">
        <v>45756</v>
      </c>
      <c r="C328" s="1" t="n">
        <v>45911</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18028-2023</t>
        </is>
      </c>
      <c r="B329" s="1" t="n">
        <v>45040</v>
      </c>
      <c r="C329" s="1" t="n">
        <v>45911</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37296-2025</t>
        </is>
      </c>
      <c r="B330" s="1" t="n">
        <v>45876</v>
      </c>
      <c r="C330" s="1" t="n">
        <v>45911</v>
      </c>
      <c r="D330" t="inlineStr">
        <is>
          <t>UPPSALA LÄN</t>
        </is>
      </c>
      <c r="E330" t="inlineStr">
        <is>
          <t>ENKÖPING</t>
        </is>
      </c>
      <c r="G330" t="n">
        <v>9.5</v>
      </c>
      <c r="H330" t="n">
        <v>0</v>
      </c>
      <c r="I330" t="n">
        <v>0</v>
      </c>
      <c r="J330" t="n">
        <v>0</v>
      </c>
      <c r="K330" t="n">
        <v>0</v>
      </c>
      <c r="L330" t="n">
        <v>0</v>
      </c>
      <c r="M330" t="n">
        <v>0</v>
      </c>
      <c r="N330" t="n">
        <v>0</v>
      </c>
      <c r="O330" t="n">
        <v>0</v>
      </c>
      <c r="P330" t="n">
        <v>0</v>
      </c>
      <c r="Q330" t="n">
        <v>0</v>
      </c>
      <c r="R330" s="2" t="inlineStr"/>
    </row>
    <row r="331" ht="15" customHeight="1">
      <c r="A331" t="inlineStr">
        <is>
          <t>A 37319-2025</t>
        </is>
      </c>
      <c r="B331" s="1" t="n">
        <v>45876</v>
      </c>
      <c r="C331" s="1" t="n">
        <v>45911</v>
      </c>
      <c r="D331" t="inlineStr">
        <is>
          <t>UPPSALA LÄN</t>
        </is>
      </c>
      <c r="E331" t="inlineStr">
        <is>
          <t>ENKÖPING</t>
        </is>
      </c>
      <c r="G331" t="n">
        <v>9.5</v>
      </c>
      <c r="H331" t="n">
        <v>0</v>
      </c>
      <c r="I331" t="n">
        <v>0</v>
      </c>
      <c r="J331" t="n">
        <v>0</v>
      </c>
      <c r="K331" t="n">
        <v>0</v>
      </c>
      <c r="L331" t="n">
        <v>0</v>
      </c>
      <c r="M331" t="n">
        <v>0</v>
      </c>
      <c r="N331" t="n">
        <v>0</v>
      </c>
      <c r="O331" t="n">
        <v>0</v>
      </c>
      <c r="P331" t="n">
        <v>0</v>
      </c>
      <c r="Q331" t="n">
        <v>0</v>
      </c>
      <c r="R331" s="2" t="inlineStr"/>
    </row>
    <row r="332" ht="15" customHeight="1">
      <c r="A332" t="inlineStr">
        <is>
          <t>A 37498-2025</t>
        </is>
      </c>
      <c r="B332" s="1" t="n">
        <v>45877</v>
      </c>
      <c r="C332" s="1" t="n">
        <v>45911</v>
      </c>
      <c r="D332" t="inlineStr">
        <is>
          <t>UPPSALA LÄN</t>
        </is>
      </c>
      <c r="E332" t="inlineStr">
        <is>
          <t>ENKÖPING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49568-2022</t>
        </is>
      </c>
      <c r="B333" s="1" t="n">
        <v>44862.32791666667</v>
      </c>
      <c r="C333" s="1" t="n">
        <v>45911</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52299-2023</t>
        </is>
      </c>
      <c r="B334" s="1" t="n">
        <v>45224.61636574074</v>
      </c>
      <c r="C334" s="1" t="n">
        <v>45911</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42459-2024</t>
        </is>
      </c>
      <c r="B335" s="1" t="n">
        <v>45565</v>
      </c>
      <c r="C335" s="1" t="n">
        <v>45911</v>
      </c>
      <c r="D335" t="inlineStr">
        <is>
          <t>UPPSALA LÄN</t>
        </is>
      </c>
      <c r="E335" t="inlineStr">
        <is>
          <t>ENKÖPING</t>
        </is>
      </c>
      <c r="G335" t="n">
        <v>3.6</v>
      </c>
      <c r="H335" t="n">
        <v>0</v>
      </c>
      <c r="I335" t="n">
        <v>0</v>
      </c>
      <c r="J335" t="n">
        <v>0</v>
      </c>
      <c r="K335" t="n">
        <v>0</v>
      </c>
      <c r="L335" t="n">
        <v>0</v>
      </c>
      <c r="M335" t="n">
        <v>0</v>
      </c>
      <c r="N335" t="n">
        <v>0</v>
      </c>
      <c r="O335" t="n">
        <v>0</v>
      </c>
      <c r="P335" t="n">
        <v>0</v>
      </c>
      <c r="Q335" t="n">
        <v>0</v>
      </c>
      <c r="R335" s="2" t="inlineStr"/>
    </row>
    <row r="336" ht="15" customHeight="1">
      <c r="A336" t="inlineStr">
        <is>
          <t>A 25598-2021</t>
        </is>
      </c>
      <c r="B336" s="1" t="n">
        <v>44343.4558912037</v>
      </c>
      <c r="C336" s="1" t="n">
        <v>45911</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48864-2022</t>
        </is>
      </c>
      <c r="B337" s="1" t="n">
        <v>44859</v>
      </c>
      <c r="C337" s="1" t="n">
        <v>45911</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32081-2024</t>
        </is>
      </c>
      <c r="B338" s="1" t="n">
        <v>45511.34605324074</v>
      </c>
      <c r="C338" s="1" t="n">
        <v>45911</v>
      </c>
      <c r="D338" t="inlineStr">
        <is>
          <t>UPPSALA LÄN</t>
        </is>
      </c>
      <c r="E338" t="inlineStr">
        <is>
          <t>ENKÖPING</t>
        </is>
      </c>
      <c r="G338" t="n">
        <v>5.4</v>
      </c>
      <c r="H338" t="n">
        <v>0</v>
      </c>
      <c r="I338" t="n">
        <v>0</v>
      </c>
      <c r="J338" t="n">
        <v>0</v>
      </c>
      <c r="K338" t="n">
        <v>0</v>
      </c>
      <c r="L338" t="n">
        <v>0</v>
      </c>
      <c r="M338" t="n">
        <v>0</v>
      </c>
      <c r="N338" t="n">
        <v>0</v>
      </c>
      <c r="O338" t="n">
        <v>0</v>
      </c>
      <c r="P338" t="n">
        <v>0</v>
      </c>
      <c r="Q338" t="n">
        <v>0</v>
      </c>
      <c r="R338" s="2" t="inlineStr"/>
    </row>
    <row r="339" ht="15" customHeight="1">
      <c r="A339" t="inlineStr">
        <is>
          <t>A 39439-2025</t>
        </is>
      </c>
      <c r="B339" s="1" t="n">
        <v>45889</v>
      </c>
      <c r="C339" s="1" t="n">
        <v>45911</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31622-2022</t>
        </is>
      </c>
      <c r="B340" s="1" t="n">
        <v>44775</v>
      </c>
      <c r="C340" s="1" t="n">
        <v>45911</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34990-2025</t>
        </is>
      </c>
      <c r="B341" s="1" t="n">
        <v>45849.78916666667</v>
      </c>
      <c r="C341" s="1" t="n">
        <v>45911</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20184-2023</t>
        </is>
      </c>
      <c r="B342" s="1" t="n">
        <v>45055.5670949074</v>
      </c>
      <c r="C342" s="1" t="n">
        <v>45911</v>
      </c>
      <c r="D342" t="inlineStr">
        <is>
          <t>UPPSALA LÄN</t>
        </is>
      </c>
      <c r="E342" t="inlineStr">
        <is>
          <t>ENKÖPING</t>
        </is>
      </c>
      <c r="G342" t="n">
        <v>3.2</v>
      </c>
      <c r="H342" t="n">
        <v>0</v>
      </c>
      <c r="I342" t="n">
        <v>0</v>
      </c>
      <c r="J342" t="n">
        <v>0</v>
      </c>
      <c r="K342" t="n">
        <v>0</v>
      </c>
      <c r="L342" t="n">
        <v>0</v>
      </c>
      <c r="M342" t="n">
        <v>0</v>
      </c>
      <c r="N342" t="n">
        <v>0</v>
      </c>
      <c r="O342" t="n">
        <v>0</v>
      </c>
      <c r="P342" t="n">
        <v>0</v>
      </c>
      <c r="Q342" t="n">
        <v>0</v>
      </c>
      <c r="R342" s="2" t="inlineStr"/>
    </row>
    <row r="343" ht="15" customHeight="1">
      <c r="A343" t="inlineStr">
        <is>
          <t>A 61952-2021</t>
        </is>
      </c>
      <c r="B343" s="1" t="n">
        <v>44502</v>
      </c>
      <c r="C343" s="1" t="n">
        <v>45911</v>
      </c>
      <c r="D343" t="inlineStr">
        <is>
          <t>UPPSALA LÄN</t>
        </is>
      </c>
      <c r="E343" t="inlineStr">
        <is>
          <t>ENKÖPING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17844-2025</t>
        </is>
      </c>
      <c r="B344" s="1" t="n">
        <v>45758.59920138889</v>
      </c>
      <c r="C344" s="1" t="n">
        <v>45911</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66517-2020</t>
        </is>
      </c>
      <c r="B345" s="1" t="n">
        <v>44178</v>
      </c>
      <c r="C345" s="1" t="n">
        <v>45911</v>
      </c>
      <c r="D345" t="inlineStr">
        <is>
          <t>UPPSALA LÄN</t>
        </is>
      </c>
      <c r="E345" t="inlineStr">
        <is>
          <t>ENKÖPING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6356-2022</t>
        </is>
      </c>
      <c r="B346" s="1" t="n">
        <v>44600</v>
      </c>
      <c r="C346" s="1" t="n">
        <v>45911</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57147-2021</t>
        </is>
      </c>
      <c r="B347" s="1" t="n">
        <v>44482</v>
      </c>
      <c r="C347" s="1" t="n">
        <v>45911</v>
      </c>
      <c r="D347" t="inlineStr">
        <is>
          <t>UPPSALA LÄN</t>
        </is>
      </c>
      <c r="E347" t="inlineStr">
        <is>
          <t>ENKÖPING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27837-2025</t>
        </is>
      </c>
      <c r="B348" s="1" t="n">
        <v>45817.37207175926</v>
      </c>
      <c r="C348" s="1" t="n">
        <v>45911</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59602-2022</t>
        </is>
      </c>
      <c r="B349" s="1" t="n">
        <v>44907.72241898148</v>
      </c>
      <c r="C349" s="1" t="n">
        <v>45911</v>
      </c>
      <c r="D349" t="inlineStr">
        <is>
          <t>UPPSALA LÄN</t>
        </is>
      </c>
      <c r="E349" t="inlineStr">
        <is>
          <t>ENKÖPING</t>
        </is>
      </c>
      <c r="G349" t="n">
        <v>14.2</v>
      </c>
      <c r="H349" t="n">
        <v>0</v>
      </c>
      <c r="I349" t="n">
        <v>0</v>
      </c>
      <c r="J349" t="n">
        <v>0</v>
      </c>
      <c r="K349" t="n">
        <v>0</v>
      </c>
      <c r="L349" t="n">
        <v>0</v>
      </c>
      <c r="M349" t="n">
        <v>0</v>
      </c>
      <c r="N349" t="n">
        <v>0</v>
      </c>
      <c r="O349" t="n">
        <v>0</v>
      </c>
      <c r="P349" t="n">
        <v>0</v>
      </c>
      <c r="Q349" t="n">
        <v>0</v>
      </c>
      <c r="R349" s="2" t="inlineStr"/>
    </row>
    <row r="350" ht="15" customHeight="1">
      <c r="A350" t="inlineStr">
        <is>
          <t>A 42589-2022</t>
        </is>
      </c>
      <c r="B350" s="1" t="n">
        <v>44831</v>
      </c>
      <c r="C350" s="1" t="n">
        <v>45911</v>
      </c>
      <c r="D350" t="inlineStr">
        <is>
          <t>UPPSALA LÄN</t>
        </is>
      </c>
      <c r="E350" t="inlineStr">
        <is>
          <t>ENKÖPING</t>
        </is>
      </c>
      <c r="G350" t="n">
        <v>20</v>
      </c>
      <c r="H350" t="n">
        <v>0</v>
      </c>
      <c r="I350" t="n">
        <v>0</v>
      </c>
      <c r="J350" t="n">
        <v>0</v>
      </c>
      <c r="K350" t="n">
        <v>0</v>
      </c>
      <c r="L350" t="n">
        <v>0</v>
      </c>
      <c r="M350" t="n">
        <v>0</v>
      </c>
      <c r="N350" t="n">
        <v>0</v>
      </c>
      <c r="O350" t="n">
        <v>0</v>
      </c>
      <c r="P350" t="n">
        <v>0</v>
      </c>
      <c r="Q350" t="n">
        <v>0</v>
      </c>
      <c r="R350" s="2" t="inlineStr"/>
    </row>
    <row r="351" ht="15" customHeight="1">
      <c r="A351" t="inlineStr">
        <is>
          <t>A 39746-2025</t>
        </is>
      </c>
      <c r="B351" s="1" t="n">
        <v>45891</v>
      </c>
      <c r="C351" s="1" t="n">
        <v>45911</v>
      </c>
      <c r="D351" t="inlineStr">
        <is>
          <t>UPPSALA LÄN</t>
        </is>
      </c>
      <c r="E351" t="inlineStr">
        <is>
          <t>ENKÖPING</t>
        </is>
      </c>
      <c r="G351" t="n">
        <v>7.4</v>
      </c>
      <c r="H351" t="n">
        <v>0</v>
      </c>
      <c r="I351" t="n">
        <v>0</v>
      </c>
      <c r="J351" t="n">
        <v>0</v>
      </c>
      <c r="K351" t="n">
        <v>0</v>
      </c>
      <c r="L351" t="n">
        <v>0</v>
      </c>
      <c r="M351" t="n">
        <v>0</v>
      </c>
      <c r="N351" t="n">
        <v>0</v>
      </c>
      <c r="O351" t="n">
        <v>0</v>
      </c>
      <c r="P351" t="n">
        <v>0</v>
      </c>
      <c r="Q351" t="n">
        <v>0</v>
      </c>
      <c r="R351" s="2" t="inlineStr"/>
    </row>
    <row r="352" ht="15" customHeight="1">
      <c r="A352" t="inlineStr">
        <is>
          <t>A 29513-2025</t>
        </is>
      </c>
      <c r="B352" s="1" t="n">
        <v>45825</v>
      </c>
      <c r="C352" s="1" t="n">
        <v>45911</v>
      </c>
      <c r="D352" t="inlineStr">
        <is>
          <t>UPPSALA LÄN</t>
        </is>
      </c>
      <c r="E352" t="inlineStr">
        <is>
          <t>ENKÖPING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35645-2021</t>
        </is>
      </c>
      <c r="B353" s="1" t="n">
        <v>44386.42</v>
      </c>
      <c r="C353" s="1" t="n">
        <v>45911</v>
      </c>
      <c r="D353" t="inlineStr">
        <is>
          <t>UPPSALA LÄN</t>
        </is>
      </c>
      <c r="E353" t="inlineStr">
        <is>
          <t>ENKÖPING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61711-2020</t>
        </is>
      </c>
      <c r="B354" s="1" t="n">
        <v>44158</v>
      </c>
      <c r="C354" s="1" t="n">
        <v>45911</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2968-2025</t>
        </is>
      </c>
      <c r="B355" s="1" t="n">
        <v>45678</v>
      </c>
      <c r="C355" s="1" t="n">
        <v>45911</v>
      </c>
      <c r="D355" t="inlineStr">
        <is>
          <t>UPPSALA LÄN</t>
        </is>
      </c>
      <c r="E355" t="inlineStr">
        <is>
          <t>ENKÖPING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47909-2024</t>
        </is>
      </c>
      <c r="B356" s="1" t="n">
        <v>45589.31866898148</v>
      </c>
      <c r="C356" s="1" t="n">
        <v>45911</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6157-2021</t>
        </is>
      </c>
      <c r="B357" s="1" t="n">
        <v>44232</v>
      </c>
      <c r="C357" s="1" t="n">
        <v>45911</v>
      </c>
      <c r="D357" t="inlineStr">
        <is>
          <t>UPPSALA LÄN</t>
        </is>
      </c>
      <c r="E357" t="inlineStr">
        <is>
          <t>ENKÖPING</t>
        </is>
      </c>
      <c r="G357" t="n">
        <v>3.9</v>
      </c>
      <c r="H357" t="n">
        <v>0</v>
      </c>
      <c r="I357" t="n">
        <v>0</v>
      </c>
      <c r="J357" t="n">
        <v>0</v>
      </c>
      <c r="K357" t="n">
        <v>0</v>
      </c>
      <c r="L357" t="n">
        <v>0</v>
      </c>
      <c r="M357" t="n">
        <v>0</v>
      </c>
      <c r="N357" t="n">
        <v>0</v>
      </c>
      <c r="O357" t="n">
        <v>0</v>
      </c>
      <c r="P357" t="n">
        <v>0</v>
      </c>
      <c r="Q357" t="n">
        <v>0</v>
      </c>
      <c r="R357" s="2" t="inlineStr"/>
    </row>
    <row r="358" ht="15" customHeight="1">
      <c r="A358" t="inlineStr">
        <is>
          <t>A 52005-2024</t>
        </is>
      </c>
      <c r="B358" s="1" t="n">
        <v>45607.7627662037</v>
      </c>
      <c r="C358" s="1" t="n">
        <v>45911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9487-2025</t>
        </is>
      </c>
      <c r="B359" s="1" t="n">
        <v>45715.49331018519</v>
      </c>
      <c r="C359" s="1" t="n">
        <v>45911</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16176-2025</t>
        </is>
      </c>
      <c r="B360" s="1" t="n">
        <v>45750</v>
      </c>
      <c r="C360" s="1" t="n">
        <v>45911</v>
      </c>
      <c r="D360" t="inlineStr">
        <is>
          <t>UPPSALA LÄN</t>
        </is>
      </c>
      <c r="E360" t="inlineStr">
        <is>
          <t>ENKÖPING</t>
        </is>
      </c>
      <c r="G360" t="n">
        <v>3.9</v>
      </c>
      <c r="H360" t="n">
        <v>0</v>
      </c>
      <c r="I360" t="n">
        <v>0</v>
      </c>
      <c r="J360" t="n">
        <v>0</v>
      </c>
      <c r="K360" t="n">
        <v>0</v>
      </c>
      <c r="L360" t="n">
        <v>0</v>
      </c>
      <c r="M360" t="n">
        <v>0</v>
      </c>
      <c r="N360" t="n">
        <v>0</v>
      </c>
      <c r="O360" t="n">
        <v>0</v>
      </c>
      <c r="P360" t="n">
        <v>0</v>
      </c>
      <c r="Q360" t="n">
        <v>0</v>
      </c>
      <c r="R360" s="2" t="inlineStr"/>
    </row>
    <row r="361" ht="15" customHeight="1">
      <c r="A361" t="inlineStr">
        <is>
          <t>A 37035-2023</t>
        </is>
      </c>
      <c r="B361" s="1" t="n">
        <v>45155</v>
      </c>
      <c r="C361" s="1" t="n">
        <v>45911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46186-2023</t>
        </is>
      </c>
      <c r="B362" s="1" t="n">
        <v>45196</v>
      </c>
      <c r="C362" s="1" t="n">
        <v>45911</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15162-2025</t>
        </is>
      </c>
      <c r="B363" s="1" t="n">
        <v>45744</v>
      </c>
      <c r="C363" s="1" t="n">
        <v>45911</v>
      </c>
      <c r="D363" t="inlineStr">
        <is>
          <t>UPPSALA LÄN</t>
        </is>
      </c>
      <c r="E363" t="inlineStr">
        <is>
          <t>ENKÖPING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18299-2025</t>
        </is>
      </c>
      <c r="B364" s="1" t="n">
        <v>45762</v>
      </c>
      <c r="C364" s="1" t="n">
        <v>45911</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6242-2025</t>
        </is>
      </c>
      <c r="B365" s="1" t="n">
        <v>45697</v>
      </c>
      <c r="C365" s="1" t="n">
        <v>45911</v>
      </c>
      <c r="D365" t="inlineStr">
        <is>
          <t>UPPSALA LÄN</t>
        </is>
      </c>
      <c r="E365" t="inlineStr">
        <is>
          <t>ENKÖPING</t>
        </is>
      </c>
      <c r="G365" t="n">
        <v>17.9</v>
      </c>
      <c r="H365" t="n">
        <v>0</v>
      </c>
      <c r="I365" t="n">
        <v>0</v>
      </c>
      <c r="J365" t="n">
        <v>0</v>
      </c>
      <c r="K365" t="n">
        <v>0</v>
      </c>
      <c r="L365" t="n">
        <v>0</v>
      </c>
      <c r="M365" t="n">
        <v>0</v>
      </c>
      <c r="N365" t="n">
        <v>0</v>
      </c>
      <c r="O365" t="n">
        <v>0</v>
      </c>
      <c r="P365" t="n">
        <v>0</v>
      </c>
      <c r="Q365" t="n">
        <v>0</v>
      </c>
      <c r="R365" s="2" t="inlineStr"/>
    </row>
    <row r="366" ht="15" customHeight="1">
      <c r="A366" t="inlineStr">
        <is>
          <t>A 41637-2025</t>
        </is>
      </c>
      <c r="B366" s="1" t="n">
        <v>45901</v>
      </c>
      <c r="C366" s="1" t="n">
        <v>45911</v>
      </c>
      <c r="D366" t="inlineStr">
        <is>
          <t>UPPSALA LÄN</t>
        </is>
      </c>
      <c r="E366" t="inlineStr">
        <is>
          <t>ENKÖPING</t>
        </is>
      </c>
      <c r="F366" t="inlineStr">
        <is>
          <t>Allmännings- och besparingsskogar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53586-2024</t>
        </is>
      </c>
      <c r="B367" s="1" t="n">
        <v>45614</v>
      </c>
      <c r="C367" s="1" t="n">
        <v>45911</v>
      </c>
      <c r="D367" t="inlineStr">
        <is>
          <t>UPPSALA LÄN</t>
        </is>
      </c>
      <c r="E367" t="inlineStr">
        <is>
          <t>ENKÖPING</t>
        </is>
      </c>
      <c r="G367" t="n">
        <v>6.6</v>
      </c>
      <c r="H367" t="n">
        <v>0</v>
      </c>
      <c r="I367" t="n">
        <v>0</v>
      </c>
      <c r="J367" t="n">
        <v>0</v>
      </c>
      <c r="K367" t="n">
        <v>0</v>
      </c>
      <c r="L367" t="n">
        <v>0</v>
      </c>
      <c r="M367" t="n">
        <v>0</v>
      </c>
      <c r="N367" t="n">
        <v>0</v>
      </c>
      <c r="O367" t="n">
        <v>0</v>
      </c>
      <c r="P367" t="n">
        <v>0</v>
      </c>
      <c r="Q367" t="n">
        <v>0</v>
      </c>
      <c r="R367" s="2" t="inlineStr"/>
    </row>
    <row r="368" ht="15" customHeight="1">
      <c r="A368" t="inlineStr">
        <is>
          <t>A 6144-2024</t>
        </is>
      </c>
      <c r="B368" s="1" t="n">
        <v>45337.4684837963</v>
      </c>
      <c r="C368" s="1" t="n">
        <v>45911</v>
      </c>
      <c r="D368" t="inlineStr">
        <is>
          <t>UPPSALA LÄN</t>
        </is>
      </c>
      <c r="E368" t="inlineStr">
        <is>
          <t>ENKÖPING</t>
        </is>
      </c>
      <c r="G368" t="n">
        <v>13.8</v>
      </c>
      <c r="H368" t="n">
        <v>0</v>
      </c>
      <c r="I368" t="n">
        <v>0</v>
      </c>
      <c r="J368" t="n">
        <v>0</v>
      </c>
      <c r="K368" t="n">
        <v>0</v>
      </c>
      <c r="L368" t="n">
        <v>0</v>
      </c>
      <c r="M368" t="n">
        <v>0</v>
      </c>
      <c r="N368" t="n">
        <v>0</v>
      </c>
      <c r="O368" t="n">
        <v>0</v>
      </c>
      <c r="P368" t="n">
        <v>0</v>
      </c>
      <c r="Q368" t="n">
        <v>0</v>
      </c>
      <c r="R368" s="2" t="inlineStr"/>
    </row>
    <row r="369" ht="15" customHeight="1">
      <c r="A369" t="inlineStr">
        <is>
          <t>A 41618-2025</t>
        </is>
      </c>
      <c r="B369" s="1" t="n">
        <v>45901.70085648148</v>
      </c>
      <c r="C369" s="1" t="n">
        <v>45911</v>
      </c>
      <c r="D369" t="inlineStr">
        <is>
          <t>UPPSALA LÄN</t>
        </is>
      </c>
      <c r="E369" t="inlineStr">
        <is>
          <t>ENKÖPING</t>
        </is>
      </c>
      <c r="F369" t="inlineStr">
        <is>
          <t>Allmännings- och besparingsskogar</t>
        </is>
      </c>
      <c r="G369" t="n">
        <v>5.3</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45911</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51034-2024</t>
        </is>
      </c>
      <c r="B371" s="1" t="n">
        <v>45603.4262037037</v>
      </c>
      <c r="C371" s="1" t="n">
        <v>45911</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51036-2024</t>
        </is>
      </c>
      <c r="B372" s="1" t="n">
        <v>45603.42839120371</v>
      </c>
      <c r="C372" s="1" t="n">
        <v>45911</v>
      </c>
      <c r="D372" t="inlineStr">
        <is>
          <t>UPPSALA LÄN</t>
        </is>
      </c>
      <c r="E372" t="inlineStr">
        <is>
          <t>ENKÖPING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43492-2023</t>
        </is>
      </c>
      <c r="B373" s="1" t="n">
        <v>45181</v>
      </c>
      <c r="C373" s="1" t="n">
        <v>45911</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46593-2020</t>
        </is>
      </c>
      <c r="B374" s="1" t="n">
        <v>44095</v>
      </c>
      <c r="C374" s="1" t="n">
        <v>45911</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1536-2024</t>
        </is>
      </c>
      <c r="B375" s="1" t="n">
        <v>45306</v>
      </c>
      <c r="C375" s="1" t="n">
        <v>45911</v>
      </c>
      <c r="D375" t="inlineStr">
        <is>
          <t>UPPSALA LÄN</t>
        </is>
      </c>
      <c r="E375" t="inlineStr">
        <is>
          <t>ENKÖPING</t>
        </is>
      </c>
      <c r="F375" t="inlineStr">
        <is>
          <t>Kyrkan</t>
        </is>
      </c>
      <c r="G375" t="n">
        <v>5.6</v>
      </c>
      <c r="H375" t="n">
        <v>0</v>
      </c>
      <c r="I375" t="n">
        <v>0</v>
      </c>
      <c r="J375" t="n">
        <v>0</v>
      </c>
      <c r="K375" t="n">
        <v>0</v>
      </c>
      <c r="L375" t="n">
        <v>0</v>
      </c>
      <c r="M375" t="n">
        <v>0</v>
      </c>
      <c r="N375" t="n">
        <v>0</v>
      </c>
      <c r="O375" t="n">
        <v>0</v>
      </c>
      <c r="P375" t="n">
        <v>0</v>
      </c>
      <c r="Q375" t="n">
        <v>0</v>
      </c>
      <c r="R375" s="2" t="inlineStr"/>
    </row>
    <row r="376" ht="15" customHeight="1">
      <c r="A376" t="inlineStr">
        <is>
          <t>A 41616-2025</t>
        </is>
      </c>
      <c r="B376" s="1" t="n">
        <v>45901.69684027778</v>
      </c>
      <c r="C376" s="1" t="n">
        <v>45911</v>
      </c>
      <c r="D376" t="inlineStr">
        <is>
          <t>UPPSALA LÄN</t>
        </is>
      </c>
      <c r="E376" t="inlineStr">
        <is>
          <t>ENKÖPING</t>
        </is>
      </c>
      <c r="F376" t="inlineStr">
        <is>
          <t>Allmännings- och besparingsskogar</t>
        </is>
      </c>
      <c r="G376" t="n">
        <v>17.3</v>
      </c>
      <c r="H376" t="n">
        <v>0</v>
      </c>
      <c r="I376" t="n">
        <v>0</v>
      </c>
      <c r="J376" t="n">
        <v>0</v>
      </c>
      <c r="K376" t="n">
        <v>0</v>
      </c>
      <c r="L376" t="n">
        <v>0</v>
      </c>
      <c r="M376" t="n">
        <v>0</v>
      </c>
      <c r="N376" t="n">
        <v>0</v>
      </c>
      <c r="O376" t="n">
        <v>0</v>
      </c>
      <c r="P376" t="n">
        <v>0</v>
      </c>
      <c r="Q376" t="n">
        <v>0</v>
      </c>
      <c r="R376" s="2" t="inlineStr"/>
    </row>
    <row r="377" ht="15" customHeight="1">
      <c r="A377" t="inlineStr">
        <is>
          <t>A 21501-2025</t>
        </is>
      </c>
      <c r="B377" s="1" t="n">
        <v>45782</v>
      </c>
      <c r="C377" s="1" t="n">
        <v>45911</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18592-2021</t>
        </is>
      </c>
      <c r="B378" s="1" t="n">
        <v>44306</v>
      </c>
      <c r="C378" s="1" t="n">
        <v>45911</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2974-2025</t>
        </is>
      </c>
      <c r="B379" s="1" t="n">
        <v>45678.47168981482</v>
      </c>
      <c r="C379" s="1" t="n">
        <v>45911</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11918-2025</t>
        </is>
      </c>
      <c r="B380" s="1" t="n">
        <v>45728.49331018519</v>
      </c>
      <c r="C380" s="1" t="n">
        <v>45911</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16916-2023</t>
        </is>
      </c>
      <c r="B381" s="1" t="n">
        <v>45033.58347222222</v>
      </c>
      <c r="C381" s="1" t="n">
        <v>45911</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16920-2023</t>
        </is>
      </c>
      <c r="B382" s="1" t="n">
        <v>45033.59030092593</v>
      </c>
      <c r="C382" s="1" t="n">
        <v>45911</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52169-2020</t>
        </is>
      </c>
      <c r="B383" s="1" t="n">
        <v>44117</v>
      </c>
      <c r="C383" s="1" t="n">
        <v>45911</v>
      </c>
      <c r="D383" t="inlineStr">
        <is>
          <t>UPPSALA LÄN</t>
        </is>
      </c>
      <c r="E383" t="inlineStr">
        <is>
          <t>ENKÖPING</t>
        </is>
      </c>
      <c r="F383" t="inlineStr">
        <is>
          <t>Allmännings- och besparingsskogar</t>
        </is>
      </c>
      <c r="G383" t="n">
        <v>1.5</v>
      </c>
      <c r="H383" t="n">
        <v>0</v>
      </c>
      <c r="I383" t="n">
        <v>0</v>
      </c>
      <c r="J383" t="n">
        <v>0</v>
      </c>
      <c r="K383" t="n">
        <v>0</v>
      </c>
      <c r="L383" t="n">
        <v>0</v>
      </c>
      <c r="M383" t="n">
        <v>0</v>
      </c>
      <c r="N383" t="n">
        <v>0</v>
      </c>
      <c r="O383" t="n">
        <v>0</v>
      </c>
      <c r="P383" t="n">
        <v>0</v>
      </c>
      <c r="Q383" t="n">
        <v>0</v>
      </c>
      <c r="R383" s="2" t="inlineStr"/>
    </row>
    <row r="384" ht="15" customHeight="1">
      <c r="A384" t="inlineStr">
        <is>
          <t>A 52388-2024</t>
        </is>
      </c>
      <c r="B384" s="1" t="n">
        <v>45609.42939814815</v>
      </c>
      <c r="C384" s="1" t="n">
        <v>45911</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25989-2025</t>
        </is>
      </c>
      <c r="B385" s="1" t="n">
        <v>45804.65050925926</v>
      </c>
      <c r="C385" s="1" t="n">
        <v>45911</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12434-2021</t>
        </is>
      </c>
      <c r="B386" s="1" t="n">
        <v>44267</v>
      </c>
      <c r="C386" s="1" t="n">
        <v>45911</v>
      </c>
      <c r="D386" t="inlineStr">
        <is>
          <t>UPPSALA LÄN</t>
        </is>
      </c>
      <c r="E386" t="inlineStr">
        <is>
          <t>ENKÖPING</t>
        </is>
      </c>
      <c r="G386" t="n">
        <v>5.3</v>
      </c>
      <c r="H386" t="n">
        <v>0</v>
      </c>
      <c r="I386" t="n">
        <v>0</v>
      </c>
      <c r="J386" t="n">
        <v>0</v>
      </c>
      <c r="K386" t="n">
        <v>0</v>
      </c>
      <c r="L386" t="n">
        <v>0</v>
      </c>
      <c r="M386" t="n">
        <v>0</v>
      </c>
      <c r="N386" t="n">
        <v>0</v>
      </c>
      <c r="O386" t="n">
        <v>0</v>
      </c>
      <c r="P386" t="n">
        <v>0</v>
      </c>
      <c r="Q386" t="n">
        <v>0</v>
      </c>
      <c r="R386" s="2" t="inlineStr"/>
    </row>
    <row r="387" ht="15" customHeight="1">
      <c r="A387" t="inlineStr">
        <is>
          <t>A 42029-2025</t>
        </is>
      </c>
      <c r="B387" s="1" t="n">
        <v>45903</v>
      </c>
      <c r="C387" s="1" t="n">
        <v>45911</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43896-2022</t>
        </is>
      </c>
      <c r="B388" s="1" t="n">
        <v>44838</v>
      </c>
      <c r="C388" s="1" t="n">
        <v>45911</v>
      </c>
      <c r="D388" t="inlineStr">
        <is>
          <t>UPPSALA LÄN</t>
        </is>
      </c>
      <c r="E388" t="inlineStr">
        <is>
          <t>ENKÖPING</t>
        </is>
      </c>
      <c r="G388" t="n">
        <v>5.3</v>
      </c>
      <c r="H388" t="n">
        <v>0</v>
      </c>
      <c r="I388" t="n">
        <v>0</v>
      </c>
      <c r="J388" t="n">
        <v>0</v>
      </c>
      <c r="K388" t="n">
        <v>0</v>
      </c>
      <c r="L388" t="n">
        <v>0</v>
      </c>
      <c r="M388" t="n">
        <v>0</v>
      </c>
      <c r="N388" t="n">
        <v>0</v>
      </c>
      <c r="O388" t="n">
        <v>0</v>
      </c>
      <c r="P388" t="n">
        <v>0</v>
      </c>
      <c r="Q388" t="n">
        <v>0</v>
      </c>
      <c r="R388" s="2" t="inlineStr"/>
    </row>
    <row r="389" ht="15" customHeight="1">
      <c r="A389" t="inlineStr">
        <is>
          <t>A 34987-2025</t>
        </is>
      </c>
      <c r="B389" s="1" t="n">
        <v>45849</v>
      </c>
      <c r="C389" s="1" t="n">
        <v>45911</v>
      </c>
      <c r="D389" t="inlineStr">
        <is>
          <t>UPPSALA LÄN</t>
        </is>
      </c>
      <c r="E389" t="inlineStr">
        <is>
          <t>ENKÖPING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20440-2025</t>
        </is>
      </c>
      <c r="B390" s="1" t="n">
        <v>45775</v>
      </c>
      <c r="C390" s="1" t="n">
        <v>45911</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1992-2022</t>
        </is>
      </c>
      <c r="B391" s="1" t="n">
        <v>44575.56153935185</v>
      </c>
      <c r="C391" s="1" t="n">
        <v>45911</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6626-2023</t>
        </is>
      </c>
      <c r="B392" s="1" t="n">
        <v>44966.55946759259</v>
      </c>
      <c r="C392" s="1" t="n">
        <v>45911</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34988-2025</t>
        </is>
      </c>
      <c r="B393" s="1" t="n">
        <v>45849</v>
      </c>
      <c r="C393" s="1" t="n">
        <v>45911</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38941-2025</t>
        </is>
      </c>
      <c r="B394" s="1" t="n">
        <v>45887</v>
      </c>
      <c r="C394" s="1" t="n">
        <v>45911</v>
      </c>
      <c r="D394" t="inlineStr">
        <is>
          <t>UPPSALA LÄN</t>
        </is>
      </c>
      <c r="E394" t="inlineStr">
        <is>
          <t>ENKÖPING</t>
        </is>
      </c>
      <c r="F394" t="inlineStr">
        <is>
          <t>Övriga statliga verk och myndigheter</t>
        </is>
      </c>
      <c r="G394" t="n">
        <v>0.6</v>
      </c>
      <c r="H394" t="n">
        <v>0</v>
      </c>
      <c r="I394" t="n">
        <v>0</v>
      </c>
      <c r="J394" t="n">
        <v>0</v>
      </c>
      <c r="K394" t="n">
        <v>0</v>
      </c>
      <c r="L394" t="n">
        <v>0</v>
      </c>
      <c r="M394" t="n">
        <v>0</v>
      </c>
      <c r="N394" t="n">
        <v>0</v>
      </c>
      <c r="O394" t="n">
        <v>0</v>
      </c>
      <c r="P394" t="n">
        <v>0</v>
      </c>
      <c r="Q394" t="n">
        <v>0</v>
      </c>
      <c r="R394" s="2" t="inlineStr"/>
    </row>
    <row r="395" ht="15" customHeight="1">
      <c r="A395" t="inlineStr">
        <is>
          <t>A 41737-2022</t>
        </is>
      </c>
      <c r="B395" s="1" t="n">
        <v>44827.63826388889</v>
      </c>
      <c r="C395" s="1" t="n">
        <v>45911</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41765-2025</t>
        </is>
      </c>
      <c r="B396" s="1" t="n">
        <v>45902</v>
      </c>
      <c r="C396" s="1" t="n">
        <v>45911</v>
      </c>
      <c r="D396" t="inlineStr">
        <is>
          <t>UPPSALA LÄN</t>
        </is>
      </c>
      <c r="E396" t="inlineStr">
        <is>
          <t>ENKÖPING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54595-2021</t>
        </is>
      </c>
      <c r="B397" s="1" t="n">
        <v>44473.58824074074</v>
      </c>
      <c r="C397" s="1" t="n">
        <v>45911</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34989-2025</t>
        </is>
      </c>
      <c r="B398" s="1" t="n">
        <v>45849</v>
      </c>
      <c r="C398" s="1" t="n">
        <v>45911</v>
      </c>
      <c r="D398" t="inlineStr">
        <is>
          <t>UPPSALA LÄN</t>
        </is>
      </c>
      <c r="E398" t="inlineStr">
        <is>
          <t>ENKÖPING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41764-2025</t>
        </is>
      </c>
      <c r="B399" s="1" t="n">
        <v>45902</v>
      </c>
      <c r="C399" s="1" t="n">
        <v>45911</v>
      </c>
      <c r="D399" t="inlineStr">
        <is>
          <t>UPPSALA LÄN</t>
        </is>
      </c>
      <c r="E399" t="inlineStr">
        <is>
          <t>ENKÖPING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22094-2023</t>
        </is>
      </c>
      <c r="B400" s="1" t="n">
        <v>45069</v>
      </c>
      <c r="C400" s="1" t="n">
        <v>45911</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48843-2023</t>
        </is>
      </c>
      <c r="B401" s="1" t="n">
        <v>45209</v>
      </c>
      <c r="C401" s="1" t="n">
        <v>45911</v>
      </c>
      <c r="D401" t="inlineStr">
        <is>
          <t>UPPSALA LÄN</t>
        </is>
      </c>
      <c r="E401" t="inlineStr">
        <is>
          <t>ENKÖPING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57940-2022</t>
        </is>
      </c>
      <c r="B402" s="1" t="n">
        <v>44900</v>
      </c>
      <c r="C402" s="1" t="n">
        <v>45911</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42756-2025</t>
        </is>
      </c>
      <c r="B403" s="1" t="n">
        <v>45908.44939814815</v>
      </c>
      <c r="C403" s="1" t="n">
        <v>45911</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35079-2024</t>
        </is>
      </c>
      <c r="B404" s="1" t="n">
        <v>45527.66770833333</v>
      </c>
      <c r="C404" s="1" t="n">
        <v>45911</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35647-2021</t>
        </is>
      </c>
      <c r="B405" s="1" t="n">
        <v>44386</v>
      </c>
      <c r="C405" s="1" t="n">
        <v>45911</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53595-2023</t>
        </is>
      </c>
      <c r="B406" s="1" t="n">
        <v>45223</v>
      </c>
      <c r="C406" s="1" t="n">
        <v>45911</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43103-2025</t>
        </is>
      </c>
      <c r="B407" s="1" t="n">
        <v>45909</v>
      </c>
      <c r="C407" s="1" t="n">
        <v>45911</v>
      </c>
      <c r="D407" t="inlineStr">
        <is>
          <t>UPPSALA LÄN</t>
        </is>
      </c>
      <c r="E407" t="inlineStr">
        <is>
          <t>ENKÖPING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24962-2023</t>
        </is>
      </c>
      <c r="B408" s="1" t="n">
        <v>45085.60123842592</v>
      </c>
      <c r="C408" s="1" t="n">
        <v>45911</v>
      </c>
      <c r="D408" t="inlineStr">
        <is>
          <t>UPPSALA LÄN</t>
        </is>
      </c>
      <c r="E408" t="inlineStr">
        <is>
          <t>ENKÖPING</t>
        </is>
      </c>
      <c r="G408" t="n">
        <v>2.8</v>
      </c>
      <c r="H408" t="n">
        <v>0</v>
      </c>
      <c r="I408" t="n">
        <v>0</v>
      </c>
      <c r="J408" t="n">
        <v>0</v>
      </c>
      <c r="K408" t="n">
        <v>0</v>
      </c>
      <c r="L408" t="n">
        <v>0</v>
      </c>
      <c r="M408" t="n">
        <v>0</v>
      </c>
      <c r="N408" t="n">
        <v>0</v>
      </c>
      <c r="O408" t="n">
        <v>0</v>
      </c>
      <c r="P408" t="n">
        <v>0</v>
      </c>
      <c r="Q408" t="n">
        <v>0</v>
      </c>
      <c r="R408" s="2" t="inlineStr"/>
    </row>
    <row r="409" ht="15" customHeight="1">
      <c r="A409" t="inlineStr">
        <is>
          <t>A 44131-2023</t>
        </is>
      </c>
      <c r="B409" s="1" t="n">
        <v>45188</v>
      </c>
      <c r="C409" s="1" t="n">
        <v>45911</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29482-2022</t>
        </is>
      </c>
      <c r="B410" s="1" t="n">
        <v>44753.57703703704</v>
      </c>
      <c r="C410" s="1" t="n">
        <v>45911</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29483-2022</t>
        </is>
      </c>
      <c r="B411" s="1" t="n">
        <v>44753.57829861111</v>
      </c>
      <c r="C411" s="1" t="n">
        <v>45911</v>
      </c>
      <c r="D411" t="inlineStr">
        <is>
          <t>UPPSALA LÄN</t>
        </is>
      </c>
      <c r="E411" t="inlineStr">
        <is>
          <t>ENKÖPING</t>
        </is>
      </c>
      <c r="G411" t="n">
        <v>3.6</v>
      </c>
      <c r="H411" t="n">
        <v>0</v>
      </c>
      <c r="I411" t="n">
        <v>0</v>
      </c>
      <c r="J411" t="n">
        <v>0</v>
      </c>
      <c r="K411" t="n">
        <v>0</v>
      </c>
      <c r="L411" t="n">
        <v>0</v>
      </c>
      <c r="M411" t="n">
        <v>0</v>
      </c>
      <c r="N411" t="n">
        <v>0</v>
      </c>
      <c r="O411" t="n">
        <v>0</v>
      </c>
      <c r="P411" t="n">
        <v>0</v>
      </c>
      <c r="Q411" t="n">
        <v>0</v>
      </c>
      <c r="R411" s="2" t="inlineStr"/>
    </row>
    <row r="412" ht="15" customHeight="1">
      <c r="A412" t="inlineStr">
        <is>
          <t>A 60533-2021</t>
        </is>
      </c>
      <c r="B412" s="1" t="n">
        <v>44496</v>
      </c>
      <c r="C412" s="1" t="n">
        <v>45911</v>
      </c>
      <c r="D412" t="inlineStr">
        <is>
          <t>UPPSALA LÄN</t>
        </is>
      </c>
      <c r="E412" t="inlineStr">
        <is>
          <t>ENKÖPING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15757-2023</t>
        </is>
      </c>
      <c r="B413" s="1" t="n">
        <v>45021</v>
      </c>
      <c r="C413" s="1" t="n">
        <v>45911</v>
      </c>
      <c r="D413" t="inlineStr">
        <is>
          <t>UPPSALA LÄN</t>
        </is>
      </c>
      <c r="E413" t="inlineStr">
        <is>
          <t>ENKÖPING</t>
        </is>
      </c>
      <c r="G413" t="n">
        <v>3</v>
      </c>
      <c r="H413" t="n">
        <v>0</v>
      </c>
      <c r="I413" t="n">
        <v>0</v>
      </c>
      <c r="J413" t="n">
        <v>0</v>
      </c>
      <c r="K413" t="n">
        <v>0</v>
      </c>
      <c r="L413" t="n">
        <v>0</v>
      </c>
      <c r="M413" t="n">
        <v>0</v>
      </c>
      <c r="N413" t="n">
        <v>0</v>
      </c>
      <c r="O413" t="n">
        <v>0</v>
      </c>
      <c r="P413" t="n">
        <v>0</v>
      </c>
      <c r="Q413" t="n">
        <v>0</v>
      </c>
      <c r="R413" s="2" t="inlineStr"/>
    </row>
    <row r="414" ht="15" customHeight="1">
      <c r="A414" t="inlineStr">
        <is>
          <t>A 37170-2021</t>
        </is>
      </c>
      <c r="B414" s="1" t="n">
        <v>44395</v>
      </c>
      <c r="C414" s="1" t="n">
        <v>45911</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43230-2023</t>
        </is>
      </c>
      <c r="B415" s="1" t="n">
        <v>45183</v>
      </c>
      <c r="C415" s="1" t="n">
        <v>45911</v>
      </c>
      <c r="D415" t="inlineStr">
        <is>
          <t>UPPSALA LÄN</t>
        </is>
      </c>
      <c r="E415" t="inlineStr">
        <is>
          <t>ENKÖPING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56886-2023</t>
        </is>
      </c>
      <c r="B416" s="1" t="n">
        <v>45239</v>
      </c>
      <c r="C416" s="1" t="n">
        <v>45911</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53343-2020</t>
        </is>
      </c>
      <c r="B417" s="1" t="n">
        <v>44123.53505787037</v>
      </c>
      <c r="C417" s="1" t="n">
        <v>45911</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36350-2025</t>
        </is>
      </c>
      <c r="B418" s="1" t="n">
        <v>45868</v>
      </c>
      <c r="C418" s="1" t="n">
        <v>45911</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51011-2024</t>
        </is>
      </c>
      <c r="B419" s="1" t="n">
        <v>45603.39427083333</v>
      </c>
      <c r="C419" s="1" t="n">
        <v>45911</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53496-2022</t>
        </is>
      </c>
      <c r="B420" s="1" t="n">
        <v>44879.57217592592</v>
      </c>
      <c r="C420" s="1" t="n">
        <v>45911</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7870-2024</t>
        </is>
      </c>
      <c r="B421" s="1" t="n">
        <v>45350.33349537037</v>
      </c>
      <c r="C421" s="1" t="n">
        <v>45911</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28243-2023</t>
        </is>
      </c>
      <c r="B422" s="1" t="n">
        <v>45099.58885416666</v>
      </c>
      <c r="C422" s="1" t="n">
        <v>45911</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10829-2024</t>
        </is>
      </c>
      <c r="B423" s="1" t="n">
        <v>45369</v>
      </c>
      <c r="C423" s="1" t="n">
        <v>45911</v>
      </c>
      <c r="D423" t="inlineStr">
        <is>
          <t>UPPSALA LÄN</t>
        </is>
      </c>
      <c r="E423" t="inlineStr">
        <is>
          <t>ENKÖPING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12102-2024</t>
        </is>
      </c>
      <c r="B424" s="1" t="n">
        <v>45377</v>
      </c>
      <c r="C424" s="1" t="n">
        <v>45911</v>
      </c>
      <c r="D424" t="inlineStr">
        <is>
          <t>UPPSALA LÄN</t>
        </is>
      </c>
      <c r="E424" t="inlineStr">
        <is>
          <t>ENKÖPING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2161-2023</t>
        </is>
      </c>
      <c r="B425" s="1" t="n">
        <v>44941</v>
      </c>
      <c r="C425" s="1" t="n">
        <v>45911</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2165-2023</t>
        </is>
      </c>
      <c r="B426" s="1" t="n">
        <v>44941</v>
      </c>
      <c r="C426" s="1" t="n">
        <v>45911</v>
      </c>
      <c r="D426" t="inlineStr">
        <is>
          <t>UPPSALA LÄN</t>
        </is>
      </c>
      <c r="E426" t="inlineStr">
        <is>
          <t>ENKÖPING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8306-2021</t>
        </is>
      </c>
      <c r="B427" s="1" t="n">
        <v>44244</v>
      </c>
      <c r="C427" s="1" t="n">
        <v>45911</v>
      </c>
      <c r="D427" t="inlineStr">
        <is>
          <t>UPPSALA LÄN</t>
        </is>
      </c>
      <c r="E427" t="inlineStr">
        <is>
          <t>ENKÖPING</t>
        </is>
      </c>
      <c r="G427" t="n">
        <v>14.9</v>
      </c>
      <c r="H427" t="n">
        <v>0</v>
      </c>
      <c r="I427" t="n">
        <v>0</v>
      </c>
      <c r="J427" t="n">
        <v>0</v>
      </c>
      <c r="K427" t="n">
        <v>0</v>
      </c>
      <c r="L427" t="n">
        <v>0</v>
      </c>
      <c r="M427" t="n">
        <v>0</v>
      </c>
      <c r="N427" t="n">
        <v>0</v>
      </c>
      <c r="O427" t="n">
        <v>0</v>
      </c>
      <c r="P427" t="n">
        <v>0</v>
      </c>
      <c r="Q427" t="n">
        <v>0</v>
      </c>
      <c r="R427" s="2" t="inlineStr"/>
    </row>
    <row r="428" ht="15" customHeight="1">
      <c r="A428" t="inlineStr">
        <is>
          <t>A 58961-2024</t>
        </is>
      </c>
      <c r="B428" s="1" t="n">
        <v>45636.585</v>
      </c>
      <c r="C428" s="1" t="n">
        <v>45911</v>
      </c>
      <c r="D428" t="inlineStr">
        <is>
          <t>UPPSALA LÄN</t>
        </is>
      </c>
      <c r="E428" t="inlineStr">
        <is>
          <t>ENKÖPING</t>
        </is>
      </c>
      <c r="G428" t="n">
        <v>4</v>
      </c>
      <c r="H428" t="n">
        <v>0</v>
      </c>
      <c r="I428" t="n">
        <v>0</v>
      </c>
      <c r="J428" t="n">
        <v>0</v>
      </c>
      <c r="K428" t="n">
        <v>0</v>
      </c>
      <c r="L428" t="n">
        <v>0</v>
      </c>
      <c r="M428" t="n">
        <v>0</v>
      </c>
      <c r="N428" t="n">
        <v>0</v>
      </c>
      <c r="O428" t="n">
        <v>0</v>
      </c>
      <c r="P428" t="n">
        <v>0</v>
      </c>
      <c r="Q428" t="n">
        <v>0</v>
      </c>
      <c r="R428" s="2" t="inlineStr"/>
    </row>
    <row r="429" ht="15" customHeight="1">
      <c r="A429" t="inlineStr">
        <is>
          <t>A 45283-2022</t>
        </is>
      </c>
      <c r="B429" s="1" t="n">
        <v>44844</v>
      </c>
      <c r="C429" s="1" t="n">
        <v>45911</v>
      </c>
      <c r="D429" t="inlineStr">
        <is>
          <t>UPPSALA LÄN</t>
        </is>
      </c>
      <c r="E429" t="inlineStr">
        <is>
          <t>ENKÖPING</t>
        </is>
      </c>
      <c r="G429" t="n">
        <v>5.9</v>
      </c>
      <c r="H429" t="n">
        <v>0</v>
      </c>
      <c r="I429" t="n">
        <v>0</v>
      </c>
      <c r="J429" t="n">
        <v>0</v>
      </c>
      <c r="K429" t="n">
        <v>0</v>
      </c>
      <c r="L429" t="n">
        <v>0</v>
      </c>
      <c r="M429" t="n">
        <v>0</v>
      </c>
      <c r="N429" t="n">
        <v>0</v>
      </c>
      <c r="O429" t="n">
        <v>0</v>
      </c>
      <c r="P429" t="n">
        <v>0</v>
      </c>
      <c r="Q429" t="n">
        <v>0</v>
      </c>
      <c r="R429" s="2" t="inlineStr"/>
    </row>
    <row r="430" ht="15" customHeight="1">
      <c r="A430" t="inlineStr">
        <is>
          <t>A 845-2025</t>
        </is>
      </c>
      <c r="B430" s="1" t="n">
        <v>45665</v>
      </c>
      <c r="C430" s="1" t="n">
        <v>45911</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849-2025</t>
        </is>
      </c>
      <c r="B431" s="1" t="n">
        <v>45665</v>
      </c>
      <c r="C431" s="1" t="n">
        <v>45911</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49622-2024</t>
        </is>
      </c>
      <c r="B432" s="1" t="n">
        <v>45596.58372685185</v>
      </c>
      <c r="C432" s="1" t="n">
        <v>45911</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2850-2025</t>
        </is>
      </c>
      <c r="B433" s="1" t="n">
        <v>45677</v>
      </c>
      <c r="C433" s="1" t="n">
        <v>45911</v>
      </c>
      <c r="D433" t="inlineStr">
        <is>
          <t>UPPSALA LÄN</t>
        </is>
      </c>
      <c r="E433" t="inlineStr">
        <is>
          <t>ENKÖPING</t>
        </is>
      </c>
      <c r="G433" t="n">
        <v>0.3</v>
      </c>
      <c r="H433" t="n">
        <v>0</v>
      </c>
      <c r="I433" t="n">
        <v>0</v>
      </c>
      <c r="J433" t="n">
        <v>0</v>
      </c>
      <c r="K433" t="n">
        <v>0</v>
      </c>
      <c r="L433" t="n">
        <v>0</v>
      </c>
      <c r="M433" t="n">
        <v>0</v>
      </c>
      <c r="N433" t="n">
        <v>0</v>
      </c>
      <c r="O433" t="n">
        <v>0</v>
      </c>
      <c r="P433" t="n">
        <v>0</v>
      </c>
      <c r="Q433" t="n">
        <v>0</v>
      </c>
      <c r="R433" s="2" t="inlineStr"/>
    </row>
    <row r="434" ht="15" customHeight="1">
      <c r="A434" t="inlineStr">
        <is>
          <t>A 58147-2024</t>
        </is>
      </c>
      <c r="B434" s="1" t="n">
        <v>45632.4334375</v>
      </c>
      <c r="C434" s="1" t="n">
        <v>45911</v>
      </c>
      <c r="D434" t="inlineStr">
        <is>
          <t>UPPSALA LÄN</t>
        </is>
      </c>
      <c r="E434" t="inlineStr">
        <is>
          <t>ENKÖPING</t>
        </is>
      </c>
      <c r="G434" t="n">
        <v>3</v>
      </c>
      <c r="H434" t="n">
        <v>0</v>
      </c>
      <c r="I434" t="n">
        <v>0</v>
      </c>
      <c r="J434" t="n">
        <v>0</v>
      </c>
      <c r="K434" t="n">
        <v>0</v>
      </c>
      <c r="L434" t="n">
        <v>0</v>
      </c>
      <c r="M434" t="n">
        <v>0</v>
      </c>
      <c r="N434" t="n">
        <v>0</v>
      </c>
      <c r="O434" t="n">
        <v>0</v>
      </c>
      <c r="P434" t="n">
        <v>0</v>
      </c>
      <c r="Q434" t="n">
        <v>0</v>
      </c>
      <c r="R434" s="2" t="inlineStr"/>
    </row>
    <row r="435" ht="15" customHeight="1">
      <c r="A435" t="inlineStr">
        <is>
          <t>A 13853-2023</t>
        </is>
      </c>
      <c r="B435" s="1" t="n">
        <v>45007</v>
      </c>
      <c r="C435" s="1" t="n">
        <v>45911</v>
      </c>
      <c r="D435" t="inlineStr">
        <is>
          <t>UPPSALA LÄN</t>
        </is>
      </c>
      <c r="E435" t="inlineStr">
        <is>
          <t>ENKÖPING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18302-2025</t>
        </is>
      </c>
      <c r="B436" s="1" t="n">
        <v>45762</v>
      </c>
      <c r="C436" s="1" t="n">
        <v>45911</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34735-2023</t>
        </is>
      </c>
      <c r="B437" s="1" t="n">
        <v>45139</v>
      </c>
      <c r="C437" s="1" t="n">
        <v>45911</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30514-2021</t>
        </is>
      </c>
      <c r="B438" s="1" t="n">
        <v>44364</v>
      </c>
      <c r="C438" s="1" t="n">
        <v>45911</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63310-2021</t>
        </is>
      </c>
      <c r="B439" s="1" t="n">
        <v>44508</v>
      </c>
      <c r="C439" s="1" t="n">
        <v>45911</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61106-2022</t>
        </is>
      </c>
      <c r="B440" s="1" t="n">
        <v>44915.4128587963</v>
      </c>
      <c r="C440" s="1" t="n">
        <v>45911</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9171-2024</t>
        </is>
      </c>
      <c r="B441" s="1" t="n">
        <v>45358</v>
      </c>
      <c r="C441" s="1" t="n">
        <v>45911</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671-2022</t>
        </is>
      </c>
      <c r="B442" s="1" t="n">
        <v>44568</v>
      </c>
      <c r="C442" s="1" t="n">
        <v>45911</v>
      </c>
      <c r="D442" t="inlineStr">
        <is>
          <t>UPPSALA LÄN</t>
        </is>
      </c>
      <c r="E442" t="inlineStr">
        <is>
          <t>ENKÖPING</t>
        </is>
      </c>
      <c r="G442" t="n">
        <v>3.5</v>
      </c>
      <c r="H442" t="n">
        <v>0</v>
      </c>
      <c r="I442" t="n">
        <v>0</v>
      </c>
      <c r="J442" t="n">
        <v>0</v>
      </c>
      <c r="K442" t="n">
        <v>0</v>
      </c>
      <c r="L442" t="n">
        <v>0</v>
      </c>
      <c r="M442" t="n">
        <v>0</v>
      </c>
      <c r="N442" t="n">
        <v>0</v>
      </c>
      <c r="O442" t="n">
        <v>0</v>
      </c>
      <c r="P442" t="n">
        <v>0</v>
      </c>
      <c r="Q442" t="n">
        <v>0</v>
      </c>
      <c r="R442" s="2" t="inlineStr"/>
    </row>
    <row r="443" ht="15" customHeight="1">
      <c r="A443" t="inlineStr">
        <is>
          <t>A 11005-2023</t>
        </is>
      </c>
      <c r="B443" s="1" t="n">
        <v>44991</v>
      </c>
      <c r="C443" s="1" t="n">
        <v>45911</v>
      </c>
      <c r="D443" t="inlineStr">
        <is>
          <t>UPPSALA LÄN</t>
        </is>
      </c>
      <c r="E443" t="inlineStr">
        <is>
          <t>ENKÖPING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29918-2023</t>
        </is>
      </c>
      <c r="B444" s="1" t="n">
        <v>45099</v>
      </c>
      <c r="C444" s="1" t="n">
        <v>45911</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57209-2024</t>
        </is>
      </c>
      <c r="B445" s="1" t="n">
        <v>45629.49311342592</v>
      </c>
      <c r="C445" s="1" t="n">
        <v>45911</v>
      </c>
      <c r="D445" t="inlineStr">
        <is>
          <t>UPPSALA LÄN</t>
        </is>
      </c>
      <c r="E445" t="inlineStr">
        <is>
          <t>ENKÖPING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58384-2022</t>
        </is>
      </c>
      <c r="B446" s="1" t="n">
        <v>44901</v>
      </c>
      <c r="C446" s="1" t="n">
        <v>45911</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43016-2021</t>
        </is>
      </c>
      <c r="B447" s="1" t="n">
        <v>44431</v>
      </c>
      <c r="C447" s="1" t="n">
        <v>45911</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15893-2024</t>
        </is>
      </c>
      <c r="B448" s="1" t="n">
        <v>45405</v>
      </c>
      <c r="C448" s="1" t="n">
        <v>45911</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33343-2024</t>
        </is>
      </c>
      <c r="B449" s="1" t="n">
        <v>45519</v>
      </c>
      <c r="C449" s="1" t="n">
        <v>45911</v>
      </c>
      <c r="D449" t="inlineStr">
        <is>
          <t>UPPSALA LÄN</t>
        </is>
      </c>
      <c r="E449" t="inlineStr">
        <is>
          <t>ENKÖPING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13110-2023</t>
        </is>
      </c>
      <c r="B450" s="1" t="n">
        <v>45001</v>
      </c>
      <c r="C450" s="1" t="n">
        <v>45911</v>
      </c>
      <c r="D450" t="inlineStr">
        <is>
          <t>UPPSALA LÄN</t>
        </is>
      </c>
      <c r="E450" t="inlineStr">
        <is>
          <t>ENKÖPING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49623-2024</t>
        </is>
      </c>
      <c r="B451" s="1" t="n">
        <v>45596</v>
      </c>
      <c r="C451" s="1" t="n">
        <v>45911</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49627-2024</t>
        </is>
      </c>
      <c r="B452" s="1" t="n">
        <v>45596.59140046296</v>
      </c>
      <c r="C452" s="1" t="n">
        <v>45911</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9231-2023</t>
        </is>
      </c>
      <c r="B453" s="1" t="n">
        <v>44980</v>
      </c>
      <c r="C453" s="1" t="n">
        <v>45911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27538-2023</t>
        </is>
      </c>
      <c r="B454" s="1" t="n">
        <v>45097</v>
      </c>
      <c r="C454" s="1" t="n">
        <v>45911</v>
      </c>
      <c r="D454" t="inlineStr">
        <is>
          <t>UPPSALA LÄN</t>
        </is>
      </c>
      <c r="E454" t="inlineStr">
        <is>
          <t>ENKÖPING</t>
        </is>
      </c>
      <c r="G454" t="n">
        <v>5.8</v>
      </c>
      <c r="H454" t="n">
        <v>0</v>
      </c>
      <c r="I454" t="n">
        <v>0</v>
      </c>
      <c r="J454" t="n">
        <v>0</v>
      </c>
      <c r="K454" t="n">
        <v>0</v>
      </c>
      <c r="L454" t="n">
        <v>0</v>
      </c>
      <c r="M454" t="n">
        <v>0</v>
      </c>
      <c r="N454" t="n">
        <v>0</v>
      </c>
      <c r="O454" t="n">
        <v>0</v>
      </c>
      <c r="P454" t="n">
        <v>0</v>
      </c>
      <c r="Q454" t="n">
        <v>0</v>
      </c>
      <c r="R454" s="2" t="inlineStr"/>
    </row>
    <row r="455" ht="15" customHeight="1">
      <c r="A455" t="inlineStr">
        <is>
          <t>A 57142-2021</t>
        </is>
      </c>
      <c r="B455" s="1" t="n">
        <v>44482</v>
      </c>
      <c r="C455" s="1" t="n">
        <v>45911</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57153-2021</t>
        </is>
      </c>
      <c r="B456" s="1" t="n">
        <v>44482</v>
      </c>
      <c r="C456" s="1" t="n">
        <v>45911</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18821-2023</t>
        </is>
      </c>
      <c r="B457" s="1" t="n">
        <v>45044.3782175926</v>
      </c>
      <c r="C457" s="1" t="n">
        <v>45911</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5188-2022</t>
        </is>
      </c>
      <c r="B458" s="1" t="n">
        <v>44594.4471412037</v>
      </c>
      <c r="C458" s="1" t="n">
        <v>45911</v>
      </c>
      <c r="D458" t="inlineStr">
        <is>
          <t>UPPSALA LÄN</t>
        </is>
      </c>
      <c r="E458" t="inlineStr">
        <is>
          <t>ENKÖPING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52380-2024</t>
        </is>
      </c>
      <c r="B459" s="1" t="n">
        <v>45609</v>
      </c>
      <c r="C459" s="1" t="n">
        <v>45911</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9041-2023</t>
        </is>
      </c>
      <c r="B460" s="1" t="n">
        <v>44979</v>
      </c>
      <c r="C460" s="1" t="n">
        <v>45911</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27786-2023</t>
        </is>
      </c>
      <c r="B461" s="1" t="n">
        <v>45098</v>
      </c>
      <c r="C461" s="1" t="n">
        <v>45911</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19014-2025</t>
        </is>
      </c>
      <c r="B462" s="1" t="n">
        <v>45764.59631944444</v>
      </c>
      <c r="C462" s="1" t="n">
        <v>45911</v>
      </c>
      <c r="D462" t="inlineStr">
        <is>
          <t>UPPSALA LÄN</t>
        </is>
      </c>
      <c r="E462" t="inlineStr">
        <is>
          <t>ENKÖPING</t>
        </is>
      </c>
      <c r="G462" t="n">
        <v>0.2</v>
      </c>
      <c r="H462" t="n">
        <v>0</v>
      </c>
      <c r="I462" t="n">
        <v>0</v>
      </c>
      <c r="J462" t="n">
        <v>0</v>
      </c>
      <c r="K462" t="n">
        <v>0</v>
      </c>
      <c r="L462" t="n">
        <v>0</v>
      </c>
      <c r="M462" t="n">
        <v>0</v>
      </c>
      <c r="N462" t="n">
        <v>0</v>
      </c>
      <c r="O462" t="n">
        <v>0</v>
      </c>
      <c r="P462" t="n">
        <v>0</v>
      </c>
      <c r="Q462" t="n">
        <v>0</v>
      </c>
      <c r="R462" s="2" t="inlineStr"/>
    </row>
    <row r="463" ht="15" customHeight="1">
      <c r="A463" t="inlineStr">
        <is>
          <t>A 43691-2024</t>
        </is>
      </c>
      <c r="B463" s="1" t="n">
        <v>45569</v>
      </c>
      <c r="C463" s="1" t="n">
        <v>45911</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19376-2024</t>
        </is>
      </c>
      <c r="B464" s="1" t="n">
        <v>45429</v>
      </c>
      <c r="C464" s="1" t="n">
        <v>45911</v>
      </c>
      <c r="D464" t="inlineStr">
        <is>
          <t>UPPSALA LÄN</t>
        </is>
      </c>
      <c r="E464" t="inlineStr">
        <is>
          <t>ENKÖPING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15942-2022</t>
        </is>
      </c>
      <c r="B465" s="1" t="n">
        <v>44664</v>
      </c>
      <c r="C465" s="1" t="n">
        <v>45911</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50006-2023</t>
        </is>
      </c>
      <c r="B466" s="1" t="n">
        <v>45215</v>
      </c>
      <c r="C466" s="1" t="n">
        <v>45911</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53607-2023</t>
        </is>
      </c>
      <c r="B467" s="1" t="n">
        <v>45230</v>
      </c>
      <c r="C467" s="1" t="n">
        <v>45911</v>
      </c>
      <c r="D467" t="inlineStr">
        <is>
          <t>UPPSALA LÄN</t>
        </is>
      </c>
      <c r="E467" t="inlineStr">
        <is>
          <t>ENKÖPING</t>
        </is>
      </c>
      <c r="F467" t="inlineStr">
        <is>
          <t>Allmännings- och besparingsskogar</t>
        </is>
      </c>
      <c r="G467" t="n">
        <v>6.3</v>
      </c>
      <c r="H467" t="n">
        <v>0</v>
      </c>
      <c r="I467" t="n">
        <v>0</v>
      </c>
      <c r="J467" t="n">
        <v>0</v>
      </c>
      <c r="K467" t="n">
        <v>0</v>
      </c>
      <c r="L467" t="n">
        <v>0</v>
      </c>
      <c r="M467" t="n">
        <v>0</v>
      </c>
      <c r="N467" t="n">
        <v>0</v>
      </c>
      <c r="O467" t="n">
        <v>0</v>
      </c>
      <c r="P467" t="n">
        <v>0</v>
      </c>
      <c r="Q467" t="n">
        <v>0</v>
      </c>
      <c r="R467" s="2" t="inlineStr"/>
    </row>
    <row r="468" ht="15" customHeight="1">
      <c r="A468" t="inlineStr">
        <is>
          <t>A 59497-2022</t>
        </is>
      </c>
      <c r="B468" s="1" t="n">
        <v>44907.48258101852</v>
      </c>
      <c r="C468" s="1" t="n">
        <v>45911</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49614-2024</t>
        </is>
      </c>
      <c r="B469" s="1" t="n">
        <v>45596.57716435185</v>
      </c>
      <c r="C469" s="1" t="n">
        <v>45911</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49632-2024</t>
        </is>
      </c>
      <c r="B470" s="1" t="n">
        <v>45596</v>
      </c>
      <c r="C470" s="1" t="n">
        <v>45911</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51027-2024</t>
        </is>
      </c>
      <c r="B471" s="1" t="n">
        <v>45603</v>
      </c>
      <c r="C471" s="1" t="n">
        <v>45911</v>
      </c>
      <c r="D471" t="inlineStr">
        <is>
          <t>UPPSALA LÄN</t>
        </is>
      </c>
      <c r="E471" t="inlineStr">
        <is>
          <t>ENKÖPING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51030-2024</t>
        </is>
      </c>
      <c r="B472" s="1" t="n">
        <v>45603</v>
      </c>
      <c r="C472" s="1" t="n">
        <v>45911</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15405-2025</t>
        </is>
      </c>
      <c r="B473" s="1" t="n">
        <v>45747.44670138889</v>
      </c>
      <c r="C473" s="1" t="n">
        <v>45911</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12878-2025</t>
        </is>
      </c>
      <c r="B474" s="1" t="n">
        <v>45733.68571759259</v>
      </c>
      <c r="C474" s="1" t="n">
        <v>45911</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45911</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47681-2024</t>
        </is>
      </c>
      <c r="B476" s="1" t="n">
        <v>45588</v>
      </c>
      <c r="C476" s="1" t="n">
        <v>45911</v>
      </c>
      <c r="D476" t="inlineStr">
        <is>
          <t>UPPSALA LÄN</t>
        </is>
      </c>
      <c r="E476" t="inlineStr">
        <is>
          <t>ENKÖPING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12754-2025</t>
        </is>
      </c>
      <c r="B477" s="1" t="n">
        <v>45733.56331018519</v>
      </c>
      <c r="C477" s="1" t="n">
        <v>45911</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54588-2024</t>
        </is>
      </c>
      <c r="B478" s="1" t="n">
        <v>45617</v>
      </c>
      <c r="C478" s="1" t="n">
        <v>45911</v>
      </c>
      <c r="D478" t="inlineStr">
        <is>
          <t>UPPSALA LÄN</t>
        </is>
      </c>
      <c r="E478" t="inlineStr">
        <is>
          <t>ENKÖPING</t>
        </is>
      </c>
      <c r="G478" t="n">
        <v>3.7</v>
      </c>
      <c r="H478" t="n">
        <v>0</v>
      </c>
      <c r="I478" t="n">
        <v>0</v>
      </c>
      <c r="J478" t="n">
        <v>0</v>
      </c>
      <c r="K478" t="n">
        <v>0</v>
      </c>
      <c r="L478" t="n">
        <v>0</v>
      </c>
      <c r="M478" t="n">
        <v>0</v>
      </c>
      <c r="N478" t="n">
        <v>0</v>
      </c>
      <c r="O478" t="n">
        <v>0</v>
      </c>
      <c r="P478" t="n">
        <v>0</v>
      </c>
      <c r="Q478" t="n">
        <v>0</v>
      </c>
      <c r="R478" s="2" t="inlineStr"/>
    </row>
    <row r="479" ht="15" customHeight="1">
      <c r="A479" t="inlineStr">
        <is>
          <t>A 56713-2024</t>
        </is>
      </c>
      <c r="B479" s="1" t="n">
        <v>45628</v>
      </c>
      <c r="C479" s="1" t="n">
        <v>45911</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45911</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8137-2025</t>
        </is>
      </c>
      <c r="B481" s="1" t="n">
        <v>45707.8561574074</v>
      </c>
      <c r="C481" s="1" t="n">
        <v>45911</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7868-2024</t>
        </is>
      </c>
      <c r="B482" s="1" t="n">
        <v>45350.33020833333</v>
      </c>
      <c r="C482" s="1" t="n">
        <v>45911</v>
      </c>
      <c r="D482" t="inlineStr">
        <is>
          <t>UPPSALA LÄN</t>
        </is>
      </c>
      <c r="E482" t="inlineStr">
        <is>
          <t>ENKÖPING</t>
        </is>
      </c>
      <c r="G482" t="n">
        <v>0.3</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45911</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35052-2024</t>
        </is>
      </c>
      <c r="B484" s="1" t="n">
        <v>45527.6516087963</v>
      </c>
      <c r="C484" s="1" t="n">
        <v>45911</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c r="A485" t="inlineStr">
        <is>
          <t>A 14518-2025</t>
        </is>
      </c>
      <c r="B485" s="1" t="n">
        <v>45741</v>
      </c>
      <c r="C485" s="1" t="n">
        <v>45911</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2025-09-11T08:54:58Z</dcterms:created>
  <dcterms:modified xmlns:dcterms="http://purl.org/dc/terms/" xmlns:xsi="http://www.w3.org/2001/XMLSchema-instance" xsi:type="dcterms:W3CDTF">2025-09-11T08:54:59Z</dcterms:modified>
</cp:coreProperties>
</file>