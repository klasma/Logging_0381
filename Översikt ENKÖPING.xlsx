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45994</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45994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45994</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45994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45994</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45994</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45994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45994</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50105-2023</t>
        </is>
      </c>
      <c r="B16" s="1" t="n">
        <v>45215</v>
      </c>
      <c r="C16" s="1" t="n">
        <v>45994</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27073-2025</t>
        </is>
      </c>
      <c r="B18" s="1" t="n">
        <v>45811.64190972222</v>
      </c>
      <c r="C18" s="1" t="n">
        <v>45994</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45994</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45994</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45994</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45994</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1524-2023</t>
        </is>
      </c>
      <c r="B23" s="1" t="n">
        <v>44935</v>
      </c>
      <c r="C23" s="1" t="n">
        <v>45994</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Skogsduva</t>
        </is>
      </c>
      <c r="S23">
        <f>HYPERLINK("https://klasma.github.io/Logging_0381/artfynd/A 1524-2023 artfynd.xlsx", "A 1524-2023")</f>
        <v/>
      </c>
      <c r="T23">
        <f>HYPERLINK("https://klasma.github.io/Logging_0381/kartor/A 1524-2023 karta.png", "A 1524-2023")</f>
        <v/>
      </c>
      <c r="V23">
        <f>HYPERLINK("https://klasma.github.io/Logging_0381/klagomål/A 1524-2023 FSC-klagomål.docx", "A 1524-2023")</f>
        <v/>
      </c>
      <c r="W23">
        <f>HYPERLINK("https://klasma.github.io/Logging_0381/klagomålsmail/A 1524-2023 FSC-klagomål mail.docx", "A 1524-2023")</f>
        <v/>
      </c>
      <c r="X23">
        <f>HYPERLINK("https://klasma.github.io/Logging_0381/tillsyn/A 1524-2023 tillsynsbegäran.docx", "A 1524-2023")</f>
        <v/>
      </c>
      <c r="Y23">
        <f>HYPERLINK("https://klasma.github.io/Logging_0381/tillsynsmail/A 1524-2023 tillsynsbegäran mail.docx", "A 1524-2023")</f>
        <v/>
      </c>
      <c r="Z23">
        <f>HYPERLINK("https://klasma.github.io/Logging_0381/fåglar/A 1524-2023 prioriterade fågelarter.docx", "A 1524-2023")</f>
        <v/>
      </c>
    </row>
    <row r="24" ht="15" customHeight="1">
      <c r="A24" t="inlineStr">
        <is>
          <t>A 23961-2022</t>
        </is>
      </c>
      <c r="B24" s="1" t="n">
        <v>44722</v>
      </c>
      <c r="C24" s="1" t="n">
        <v>45994</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45994</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45994</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33339-2024</t>
        </is>
      </c>
      <c r="B27" s="1" t="n">
        <v>45519</v>
      </c>
      <c r="C27" s="1" t="n">
        <v>45994</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45994</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29510-2025</t>
        </is>
      </c>
      <c r="B29" s="1" t="n">
        <v>45825</v>
      </c>
      <c r="C29" s="1" t="n">
        <v>45994</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26347-2025</t>
        </is>
      </c>
      <c r="B30" s="1" t="n">
        <v>45805.7403125</v>
      </c>
      <c r="C30" s="1" t="n">
        <v>45994</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52439-2025</t>
        </is>
      </c>
      <c r="B31" s="1" t="n">
        <v>45954.40697916667</v>
      </c>
      <c r="C31" s="1" t="n">
        <v>45994</v>
      </c>
      <c r="D31" t="inlineStr">
        <is>
          <t>UPPSALA LÄN</t>
        </is>
      </c>
      <c r="E31" t="inlineStr">
        <is>
          <t>ENKÖPING</t>
        </is>
      </c>
      <c r="F31" t="inlineStr">
        <is>
          <t>Allmännings- och besparingsskogar</t>
        </is>
      </c>
      <c r="G31" t="n">
        <v>2.2</v>
      </c>
      <c r="H31" t="n">
        <v>0</v>
      </c>
      <c r="I31" t="n">
        <v>0</v>
      </c>
      <c r="J31" t="n">
        <v>1</v>
      </c>
      <c r="K31" t="n">
        <v>0</v>
      </c>
      <c r="L31" t="n">
        <v>0</v>
      </c>
      <c r="M31" t="n">
        <v>0</v>
      </c>
      <c r="N31" t="n">
        <v>0</v>
      </c>
      <c r="O31" t="n">
        <v>1</v>
      </c>
      <c r="P31" t="n">
        <v>0</v>
      </c>
      <c r="Q31" t="n">
        <v>1</v>
      </c>
      <c r="R31" s="2" t="inlineStr">
        <is>
          <t>Igelkott</t>
        </is>
      </c>
      <c r="S31">
        <f>HYPERLINK("https://klasma.github.io/Logging_0381/artfynd/A 52439-2025 artfynd.xlsx", "A 52439-2025")</f>
        <v/>
      </c>
      <c r="T31">
        <f>HYPERLINK("https://klasma.github.io/Logging_0381/kartor/A 52439-2025 karta.png", "A 52439-2025")</f>
        <v/>
      </c>
      <c r="V31">
        <f>HYPERLINK("https://klasma.github.io/Logging_0381/klagomål/A 52439-2025 FSC-klagomål.docx", "A 52439-2025")</f>
        <v/>
      </c>
      <c r="W31">
        <f>HYPERLINK("https://klasma.github.io/Logging_0381/klagomålsmail/A 52439-2025 FSC-klagomål mail.docx", "A 52439-2025")</f>
        <v/>
      </c>
      <c r="X31">
        <f>HYPERLINK("https://klasma.github.io/Logging_0381/tillsyn/A 52439-2025 tillsynsbegäran.docx", "A 52439-2025")</f>
        <v/>
      </c>
      <c r="Y31">
        <f>HYPERLINK("https://klasma.github.io/Logging_0381/tillsynsmail/A 52439-2025 tillsynsbegäran mail.docx", "A 52439-2025")</f>
        <v/>
      </c>
    </row>
    <row r="32" ht="15" customHeight="1">
      <c r="A32" t="inlineStr">
        <is>
          <t>A 27060-2025</t>
        </is>
      </c>
      <c r="B32" s="1" t="n">
        <v>45811.63590277778</v>
      </c>
      <c r="C32" s="1" t="n">
        <v>45994</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45994</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45994</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45994</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45994</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45994</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45994</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45994</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45994</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45994</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45994</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45994</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45994</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45994</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45994</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45994</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45994</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45994</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45994</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45994</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45994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45994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45994</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45994</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45994</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45994</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45994</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45994</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45994</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45994</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29435-2022</t>
        </is>
      </c>
      <c r="B65" s="1" t="n">
        <v>44753.49215277778</v>
      </c>
      <c r="C65" s="1" t="n">
        <v>45994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4775-2021</t>
        </is>
      </c>
      <c r="B66" s="1" t="n">
        <v>44225</v>
      </c>
      <c r="C66" s="1" t="n">
        <v>45994</v>
      </c>
      <c r="D66" t="inlineStr">
        <is>
          <t>UPPSALA LÄN</t>
        </is>
      </c>
      <c r="E66" t="inlineStr">
        <is>
          <t>ENKÖPING</t>
        </is>
      </c>
      <c r="F66" t="inlineStr">
        <is>
          <t>Allmännings- och besparingsskogar</t>
        </is>
      </c>
      <c r="G66" t="n">
        <v>3.5</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45994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45994</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45994</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45994</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45994</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45994</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3903-2021</t>
        </is>
      </c>
      <c r="B73" s="1" t="n">
        <v>44217</v>
      </c>
      <c r="C73" s="1" t="n">
        <v>45994</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45994</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52014-2021</t>
        </is>
      </c>
      <c r="B75" s="1" t="n">
        <v>44463.3425462963</v>
      </c>
      <c r="C75" s="1" t="n">
        <v>45994</v>
      </c>
      <c r="D75" t="inlineStr">
        <is>
          <t>UPPSALA LÄN</t>
        </is>
      </c>
      <c r="E75" t="inlineStr">
        <is>
          <t>ENKÖPING</t>
        </is>
      </c>
      <c r="G75" t="n">
        <v>5.8</v>
      </c>
      <c r="H75" t="n">
        <v>0</v>
      </c>
      <c r="I75" t="n">
        <v>0</v>
      </c>
      <c r="J75" t="n">
        <v>0</v>
      </c>
      <c r="K75" t="n">
        <v>0</v>
      </c>
      <c r="L75" t="n">
        <v>0</v>
      </c>
      <c r="M75" t="n">
        <v>0</v>
      </c>
      <c r="N75" t="n">
        <v>0</v>
      </c>
      <c r="O75" t="n">
        <v>0</v>
      </c>
      <c r="P75" t="n">
        <v>0</v>
      </c>
      <c r="Q75" t="n">
        <v>0</v>
      </c>
      <c r="R75" s="2" t="inlineStr"/>
    </row>
    <row r="76" ht="15" customHeight="1">
      <c r="A76" t="inlineStr">
        <is>
          <t>A 17264-2021</t>
        </is>
      </c>
      <c r="B76" s="1" t="n">
        <v>44298.56068287037</v>
      </c>
      <c r="C76" s="1" t="n">
        <v>45994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17268-2021</t>
        </is>
      </c>
      <c r="B77" s="1" t="n">
        <v>44298.56302083333</v>
      </c>
      <c r="C77" s="1" t="n">
        <v>45994</v>
      </c>
      <c r="D77" t="inlineStr">
        <is>
          <t>UPPSALA LÄN</t>
        </is>
      </c>
      <c r="E77" t="inlineStr">
        <is>
          <t>ENKÖPING</t>
        </is>
      </c>
      <c r="G77" t="n">
        <v>0.4</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45994</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69791-2021</t>
        </is>
      </c>
      <c r="B79" s="1" t="n">
        <v>44532</v>
      </c>
      <c r="C79" s="1" t="n">
        <v>45994</v>
      </c>
      <c r="D79" t="inlineStr">
        <is>
          <t>UPPSALA LÄN</t>
        </is>
      </c>
      <c r="E79" t="inlineStr">
        <is>
          <t>ENKÖPING</t>
        </is>
      </c>
      <c r="G79" t="n">
        <v>0.8</v>
      </c>
      <c r="H79" t="n">
        <v>0</v>
      </c>
      <c r="I79" t="n">
        <v>0</v>
      </c>
      <c r="J79" t="n">
        <v>0</v>
      </c>
      <c r="K79" t="n">
        <v>0</v>
      </c>
      <c r="L79" t="n">
        <v>0</v>
      </c>
      <c r="M79" t="n">
        <v>0</v>
      </c>
      <c r="N79" t="n">
        <v>0</v>
      </c>
      <c r="O79" t="n">
        <v>0</v>
      </c>
      <c r="P79" t="n">
        <v>0</v>
      </c>
      <c r="Q79" t="n">
        <v>0</v>
      </c>
      <c r="R79" s="2" t="inlineStr"/>
    </row>
    <row r="80" ht="15" customHeight="1">
      <c r="A80" t="inlineStr">
        <is>
          <t>A 49375-2021</t>
        </is>
      </c>
      <c r="B80" s="1" t="n">
        <v>44454</v>
      </c>
      <c r="C80" s="1" t="n">
        <v>45994</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31013-2022</t>
        </is>
      </c>
      <c r="B81" s="1" t="n">
        <v>44768</v>
      </c>
      <c r="C81" s="1" t="n">
        <v>45994</v>
      </c>
      <c r="D81" t="inlineStr">
        <is>
          <t>UPPSALA LÄN</t>
        </is>
      </c>
      <c r="E81" t="inlineStr">
        <is>
          <t>ENKÖPING</t>
        </is>
      </c>
      <c r="F81" t="inlineStr">
        <is>
          <t>Allmännings- och besparingsskogar</t>
        </is>
      </c>
      <c r="G81" t="n">
        <v>0.5</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45994</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45994</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40773-2022</t>
        </is>
      </c>
      <c r="B84" s="1" t="n">
        <v>44824.61237268519</v>
      </c>
      <c r="C84" s="1" t="n">
        <v>45994</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57055-2021</t>
        </is>
      </c>
      <c r="B85" s="1" t="n">
        <v>44482.55201388889</v>
      </c>
      <c r="C85" s="1" t="n">
        <v>45994</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60874-2021</t>
        </is>
      </c>
      <c r="B86" s="1" t="n">
        <v>44497</v>
      </c>
      <c r="C86" s="1" t="n">
        <v>45994</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42029-2021</t>
        </is>
      </c>
      <c r="B87" s="1" t="n">
        <v>44426</v>
      </c>
      <c r="C87" s="1" t="n">
        <v>45994</v>
      </c>
      <c r="D87" t="inlineStr">
        <is>
          <t>UPPSALA LÄN</t>
        </is>
      </c>
      <c r="E87" t="inlineStr">
        <is>
          <t>ENKÖPING</t>
        </is>
      </c>
      <c r="G87" t="n">
        <v>5.3</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45994</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45994</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45994</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1971-2022</t>
        </is>
      </c>
      <c r="B91" s="1" t="n">
        <v>44575</v>
      </c>
      <c r="C91" s="1" t="n">
        <v>45994</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20067-2021</t>
        </is>
      </c>
      <c r="B92" s="1" t="n">
        <v>44314</v>
      </c>
      <c r="C92" s="1" t="n">
        <v>45994</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15997-2021</t>
        </is>
      </c>
      <c r="B93" s="1" t="n">
        <v>44287</v>
      </c>
      <c r="C93" s="1" t="n">
        <v>45994</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28795-2021</t>
        </is>
      </c>
      <c r="B94" s="1" t="n">
        <v>44357</v>
      </c>
      <c r="C94" s="1" t="n">
        <v>45994</v>
      </c>
      <c r="D94" t="inlineStr">
        <is>
          <t>UPPSALA LÄN</t>
        </is>
      </c>
      <c r="E94" t="inlineStr">
        <is>
          <t>ENKÖPING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45994</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45994</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45994</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15021-2022</t>
        </is>
      </c>
      <c r="B98" s="1" t="n">
        <v>44657</v>
      </c>
      <c r="C98" s="1" t="n">
        <v>45994</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45994</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45994</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68107-2021</t>
        </is>
      </c>
      <c r="B101" s="1" t="n">
        <v>44526</v>
      </c>
      <c r="C101" s="1" t="n">
        <v>45994</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59121-2021</t>
        </is>
      </c>
      <c r="B102" s="1" t="n">
        <v>44490</v>
      </c>
      <c r="C102" s="1" t="n">
        <v>45994</v>
      </c>
      <c r="D102" t="inlineStr">
        <is>
          <t>UPPSALA LÄN</t>
        </is>
      </c>
      <c r="E102" t="inlineStr">
        <is>
          <t>ENKÖPING</t>
        </is>
      </c>
      <c r="G102" t="n">
        <v>2.4</v>
      </c>
      <c r="H102" t="n">
        <v>0</v>
      </c>
      <c r="I102" t="n">
        <v>0</v>
      </c>
      <c r="J102" t="n">
        <v>0</v>
      </c>
      <c r="K102" t="n">
        <v>0</v>
      </c>
      <c r="L102" t="n">
        <v>0</v>
      </c>
      <c r="M102" t="n">
        <v>0</v>
      </c>
      <c r="N102" t="n">
        <v>0</v>
      </c>
      <c r="O102" t="n">
        <v>0</v>
      </c>
      <c r="P102" t="n">
        <v>0</v>
      </c>
      <c r="Q102" t="n">
        <v>0</v>
      </c>
      <c r="R102" s="2" t="inlineStr"/>
    </row>
    <row r="103" ht="15" customHeight="1">
      <c r="A103" t="inlineStr">
        <is>
          <t>A 29983-2021</t>
        </is>
      </c>
      <c r="B103" s="1" t="n">
        <v>44363</v>
      </c>
      <c r="C103" s="1" t="n">
        <v>45994</v>
      </c>
      <c r="D103" t="inlineStr">
        <is>
          <t>UPPSALA LÄN</t>
        </is>
      </c>
      <c r="E103" t="inlineStr">
        <is>
          <t>ENKÖPING</t>
        </is>
      </c>
      <c r="F103" t="inlineStr">
        <is>
          <t>Kommuner</t>
        </is>
      </c>
      <c r="G103" t="n">
        <v>3.1</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45994</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57078-2021</t>
        </is>
      </c>
      <c r="B105" s="1" t="n">
        <v>44482.57855324074</v>
      </c>
      <c r="C105" s="1" t="n">
        <v>45994</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45994</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45994</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49063-2024</t>
        </is>
      </c>
      <c r="B108" s="1" t="n">
        <v>45594.59869212963</v>
      </c>
      <c r="C108" s="1" t="n">
        <v>45994</v>
      </c>
      <c r="D108" t="inlineStr">
        <is>
          <t>UPPSALA LÄN</t>
        </is>
      </c>
      <c r="E108" t="inlineStr">
        <is>
          <t>ENKÖPING</t>
        </is>
      </c>
      <c r="G108" t="n">
        <v>1.5</v>
      </c>
      <c r="H108" t="n">
        <v>0</v>
      </c>
      <c r="I108" t="n">
        <v>0</v>
      </c>
      <c r="J108" t="n">
        <v>0</v>
      </c>
      <c r="K108" t="n">
        <v>0</v>
      </c>
      <c r="L108" t="n">
        <v>0</v>
      </c>
      <c r="M108" t="n">
        <v>0</v>
      </c>
      <c r="N108" t="n">
        <v>0</v>
      </c>
      <c r="O108" t="n">
        <v>0</v>
      </c>
      <c r="P108" t="n">
        <v>0</v>
      </c>
      <c r="Q108" t="n">
        <v>0</v>
      </c>
      <c r="R108" s="2" t="inlineStr"/>
    </row>
    <row r="109" ht="15" customHeight="1">
      <c r="A109" t="inlineStr">
        <is>
          <t>A 13853-2023</t>
        </is>
      </c>
      <c r="B109" s="1" t="n">
        <v>45007</v>
      </c>
      <c r="C109" s="1" t="n">
        <v>45994</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66517-2020</t>
        </is>
      </c>
      <c r="B110" s="1" t="n">
        <v>44178</v>
      </c>
      <c r="C110" s="1" t="n">
        <v>45994</v>
      </c>
      <c r="D110" t="inlineStr">
        <is>
          <t>UPPSALA LÄN</t>
        </is>
      </c>
      <c r="E110" t="inlineStr">
        <is>
          <t>ENKÖPING</t>
        </is>
      </c>
      <c r="G110" t="n">
        <v>4</v>
      </c>
      <c r="H110" t="n">
        <v>0</v>
      </c>
      <c r="I110" t="n">
        <v>0</v>
      </c>
      <c r="J110" t="n">
        <v>0</v>
      </c>
      <c r="K110" t="n">
        <v>0</v>
      </c>
      <c r="L110" t="n">
        <v>0</v>
      </c>
      <c r="M110" t="n">
        <v>0</v>
      </c>
      <c r="N110" t="n">
        <v>0</v>
      </c>
      <c r="O110" t="n">
        <v>0</v>
      </c>
      <c r="P110" t="n">
        <v>0</v>
      </c>
      <c r="Q110" t="n">
        <v>0</v>
      </c>
      <c r="R110" s="2" t="inlineStr"/>
    </row>
    <row r="111" ht="15" customHeight="1">
      <c r="A111" t="inlineStr">
        <is>
          <t>A 50747-2022</t>
        </is>
      </c>
      <c r="B111" s="1" t="n">
        <v>44867.40162037037</v>
      </c>
      <c r="C111" s="1" t="n">
        <v>45994</v>
      </c>
      <c r="D111" t="inlineStr">
        <is>
          <t>UPPSALA LÄN</t>
        </is>
      </c>
      <c r="E111" t="inlineStr">
        <is>
          <t>ENKÖPING</t>
        </is>
      </c>
      <c r="G111" t="n">
        <v>1.5</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45994</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2833-2025</t>
        </is>
      </c>
      <c r="B113" s="1" t="n">
        <v>45677.63206018518</v>
      </c>
      <c r="C113" s="1" t="n">
        <v>45994</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45994</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69567-2020</t>
        </is>
      </c>
      <c r="B115" s="1" t="n">
        <v>44194</v>
      </c>
      <c r="C115" s="1" t="n">
        <v>45994</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16920-2023</t>
        </is>
      </c>
      <c r="B116" s="1" t="n">
        <v>45033.59030092593</v>
      </c>
      <c r="C116" s="1" t="n">
        <v>45994</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24883-2022</t>
        </is>
      </c>
      <c r="B117" s="1" t="n">
        <v>44728</v>
      </c>
      <c r="C117" s="1" t="n">
        <v>45994</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53586-2024</t>
        </is>
      </c>
      <c r="B118" s="1" t="n">
        <v>45614</v>
      </c>
      <c r="C118" s="1" t="n">
        <v>45994</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19630-2021</t>
        </is>
      </c>
      <c r="B119" s="1" t="n">
        <v>44312.61876157407</v>
      </c>
      <c r="C119" s="1" t="n">
        <v>45994</v>
      </c>
      <c r="D119" t="inlineStr">
        <is>
          <t>UPPSALA LÄN</t>
        </is>
      </c>
      <c r="E119" t="inlineStr">
        <is>
          <t>ENKÖPING</t>
        </is>
      </c>
      <c r="G119" t="n">
        <v>2.7</v>
      </c>
      <c r="H119" t="n">
        <v>0</v>
      </c>
      <c r="I119" t="n">
        <v>0</v>
      </c>
      <c r="J119" t="n">
        <v>0</v>
      </c>
      <c r="K119" t="n">
        <v>0</v>
      </c>
      <c r="L119" t="n">
        <v>0</v>
      </c>
      <c r="M119" t="n">
        <v>0</v>
      </c>
      <c r="N119" t="n">
        <v>0</v>
      </c>
      <c r="O119" t="n">
        <v>0</v>
      </c>
      <c r="P119" t="n">
        <v>0</v>
      </c>
      <c r="Q119" t="n">
        <v>0</v>
      </c>
      <c r="R119" s="2" t="inlineStr"/>
    </row>
    <row r="120" ht="15" customHeight="1">
      <c r="A120" t="inlineStr">
        <is>
          <t>A 47681-2024</t>
        </is>
      </c>
      <c r="B120" s="1" t="n">
        <v>45588</v>
      </c>
      <c r="C120" s="1" t="n">
        <v>45994</v>
      </c>
      <c r="D120" t="inlineStr">
        <is>
          <t>UPPSALA LÄN</t>
        </is>
      </c>
      <c r="E120" t="inlineStr">
        <is>
          <t>ENKÖPING</t>
        </is>
      </c>
      <c r="G120" t="n">
        <v>4.2</v>
      </c>
      <c r="H120" t="n">
        <v>0</v>
      </c>
      <c r="I120" t="n">
        <v>0</v>
      </c>
      <c r="J120" t="n">
        <v>0</v>
      </c>
      <c r="K120" t="n">
        <v>0</v>
      </c>
      <c r="L120" t="n">
        <v>0</v>
      </c>
      <c r="M120" t="n">
        <v>0</v>
      </c>
      <c r="N120" t="n">
        <v>0</v>
      </c>
      <c r="O120" t="n">
        <v>0</v>
      </c>
      <c r="P120" t="n">
        <v>0</v>
      </c>
      <c r="Q120" t="n">
        <v>0</v>
      </c>
      <c r="R120" s="2" t="inlineStr"/>
    </row>
    <row r="121" ht="15" customHeight="1">
      <c r="A121" t="inlineStr">
        <is>
          <t>A 50006-2023</t>
        </is>
      </c>
      <c r="B121" s="1" t="n">
        <v>45215</v>
      </c>
      <c r="C121" s="1" t="n">
        <v>45994</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53496-2022</t>
        </is>
      </c>
      <c r="B122" s="1" t="n">
        <v>44879.57217592592</v>
      </c>
      <c r="C122" s="1" t="n">
        <v>45994</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56526-2022</t>
        </is>
      </c>
      <c r="B123" s="1" t="n">
        <v>44893</v>
      </c>
      <c r="C123" s="1" t="n">
        <v>45994</v>
      </c>
      <c r="D123" t="inlineStr">
        <is>
          <t>UPPSALA LÄN</t>
        </is>
      </c>
      <c r="E123" t="inlineStr">
        <is>
          <t>ENKÖPING</t>
        </is>
      </c>
      <c r="G123" t="n">
        <v>3.8</v>
      </c>
      <c r="H123" t="n">
        <v>0</v>
      </c>
      <c r="I123" t="n">
        <v>0</v>
      </c>
      <c r="J123" t="n">
        <v>0</v>
      </c>
      <c r="K123" t="n">
        <v>0</v>
      </c>
      <c r="L123" t="n">
        <v>0</v>
      </c>
      <c r="M123" t="n">
        <v>0</v>
      </c>
      <c r="N123" t="n">
        <v>0</v>
      </c>
      <c r="O123" t="n">
        <v>0</v>
      </c>
      <c r="P123" t="n">
        <v>0</v>
      </c>
      <c r="Q123" t="n">
        <v>0</v>
      </c>
      <c r="R123" s="2" t="inlineStr"/>
    </row>
    <row r="124" ht="15" customHeight="1">
      <c r="A124" t="inlineStr">
        <is>
          <t>A 39858-2024</t>
        </is>
      </c>
      <c r="B124" s="1" t="n">
        <v>45553</v>
      </c>
      <c r="C124" s="1" t="n">
        <v>45994</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43506-2023</t>
        </is>
      </c>
      <c r="B125" s="1" t="n">
        <v>45181</v>
      </c>
      <c r="C125" s="1" t="n">
        <v>45994</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60289-2022</t>
        </is>
      </c>
      <c r="B126" s="1" t="n">
        <v>44910.53026620371</v>
      </c>
      <c r="C126" s="1" t="n">
        <v>45994</v>
      </c>
      <c r="D126" t="inlineStr">
        <is>
          <t>UPPSALA LÄN</t>
        </is>
      </c>
      <c r="E126" t="inlineStr">
        <is>
          <t>ENKÖPING</t>
        </is>
      </c>
      <c r="G126" t="n">
        <v>3.2</v>
      </c>
      <c r="H126" t="n">
        <v>0</v>
      </c>
      <c r="I126" t="n">
        <v>0</v>
      </c>
      <c r="J126" t="n">
        <v>0</v>
      </c>
      <c r="K126" t="n">
        <v>0</v>
      </c>
      <c r="L126" t="n">
        <v>0</v>
      </c>
      <c r="M126" t="n">
        <v>0</v>
      </c>
      <c r="N126" t="n">
        <v>0</v>
      </c>
      <c r="O126" t="n">
        <v>0</v>
      </c>
      <c r="P126" t="n">
        <v>0</v>
      </c>
      <c r="Q126" t="n">
        <v>0</v>
      </c>
      <c r="R126" s="2" t="inlineStr"/>
    </row>
    <row r="127" ht="15" customHeight="1">
      <c r="A127" t="inlineStr">
        <is>
          <t>A 15942-2022</t>
        </is>
      </c>
      <c r="B127" s="1" t="n">
        <v>44664</v>
      </c>
      <c r="C127" s="1" t="n">
        <v>45994</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2974-2025</t>
        </is>
      </c>
      <c r="B128" s="1" t="n">
        <v>45678.47168981482</v>
      </c>
      <c r="C128" s="1" t="n">
        <v>45994</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13110-2023</t>
        </is>
      </c>
      <c r="B129" s="1" t="n">
        <v>45001</v>
      </c>
      <c r="C129" s="1" t="n">
        <v>45994</v>
      </c>
      <c r="D129" t="inlineStr">
        <is>
          <t>UPPSALA LÄN</t>
        </is>
      </c>
      <c r="E129" t="inlineStr">
        <is>
          <t>ENKÖPING</t>
        </is>
      </c>
      <c r="G129" t="n">
        <v>2.5</v>
      </c>
      <c r="H129" t="n">
        <v>0</v>
      </c>
      <c r="I129" t="n">
        <v>0</v>
      </c>
      <c r="J129" t="n">
        <v>0</v>
      </c>
      <c r="K129" t="n">
        <v>0</v>
      </c>
      <c r="L129" t="n">
        <v>0</v>
      </c>
      <c r="M129" t="n">
        <v>0</v>
      </c>
      <c r="N129" t="n">
        <v>0</v>
      </c>
      <c r="O129" t="n">
        <v>0</v>
      </c>
      <c r="P129" t="n">
        <v>0</v>
      </c>
      <c r="Q129" t="n">
        <v>0</v>
      </c>
      <c r="R129" s="2" t="inlineStr"/>
    </row>
    <row r="130" ht="15" customHeight="1">
      <c r="A130" t="inlineStr">
        <is>
          <t>A 58384-2022</t>
        </is>
      </c>
      <c r="B130" s="1" t="n">
        <v>44901</v>
      </c>
      <c r="C130" s="1" t="n">
        <v>45994</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46186-2023</t>
        </is>
      </c>
      <c r="B131" s="1" t="n">
        <v>45196</v>
      </c>
      <c r="C131" s="1" t="n">
        <v>45994</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59602-2022</t>
        </is>
      </c>
      <c r="B132" s="1" t="n">
        <v>44907.72241898148</v>
      </c>
      <c r="C132" s="1" t="n">
        <v>45994</v>
      </c>
      <c r="D132" t="inlineStr">
        <is>
          <t>UPPSALA LÄN</t>
        </is>
      </c>
      <c r="E132" t="inlineStr">
        <is>
          <t>ENKÖPING</t>
        </is>
      </c>
      <c r="G132" t="n">
        <v>14.2</v>
      </c>
      <c r="H132" t="n">
        <v>0</v>
      </c>
      <c r="I132" t="n">
        <v>0</v>
      </c>
      <c r="J132" t="n">
        <v>0</v>
      </c>
      <c r="K132" t="n">
        <v>0</v>
      </c>
      <c r="L132" t="n">
        <v>0</v>
      </c>
      <c r="M132" t="n">
        <v>0</v>
      </c>
      <c r="N132" t="n">
        <v>0</v>
      </c>
      <c r="O132" t="n">
        <v>0</v>
      </c>
      <c r="P132" t="n">
        <v>0</v>
      </c>
      <c r="Q132" t="n">
        <v>0</v>
      </c>
      <c r="R132" s="2" t="inlineStr"/>
    </row>
    <row r="133" ht="15" customHeight="1">
      <c r="A133" t="inlineStr">
        <is>
          <t>A 54595-2021</t>
        </is>
      </c>
      <c r="B133" s="1" t="n">
        <v>44473.58824074074</v>
      </c>
      <c r="C133" s="1" t="n">
        <v>45994</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54588-2024</t>
        </is>
      </c>
      <c r="B134" s="1" t="n">
        <v>45617</v>
      </c>
      <c r="C134" s="1" t="n">
        <v>45994</v>
      </c>
      <c r="D134" t="inlineStr">
        <is>
          <t>UPPSALA LÄN</t>
        </is>
      </c>
      <c r="E134" t="inlineStr">
        <is>
          <t>ENKÖPING</t>
        </is>
      </c>
      <c r="G134" t="n">
        <v>3.7</v>
      </c>
      <c r="H134" t="n">
        <v>0</v>
      </c>
      <c r="I134" t="n">
        <v>0</v>
      </c>
      <c r="J134" t="n">
        <v>0</v>
      </c>
      <c r="K134" t="n">
        <v>0</v>
      </c>
      <c r="L134" t="n">
        <v>0</v>
      </c>
      <c r="M134" t="n">
        <v>0</v>
      </c>
      <c r="N134" t="n">
        <v>0</v>
      </c>
      <c r="O134" t="n">
        <v>0</v>
      </c>
      <c r="P134" t="n">
        <v>0</v>
      </c>
      <c r="Q134" t="n">
        <v>0</v>
      </c>
      <c r="R134" s="2" t="inlineStr"/>
    </row>
    <row r="135" ht="15" customHeight="1">
      <c r="A135" t="inlineStr">
        <is>
          <t>A 68127-2021</t>
        </is>
      </c>
      <c r="B135" s="1" t="n">
        <v>44526.39513888889</v>
      </c>
      <c r="C135" s="1" t="n">
        <v>45994</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27786-2023</t>
        </is>
      </c>
      <c r="B136" s="1" t="n">
        <v>45098</v>
      </c>
      <c r="C136" s="1" t="n">
        <v>45994</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47428-2023</t>
        </is>
      </c>
      <c r="B137" s="1" t="n">
        <v>45202.66664351852</v>
      </c>
      <c r="C137" s="1" t="n">
        <v>45994</v>
      </c>
      <c r="D137" t="inlineStr">
        <is>
          <t>UPPSALA LÄN</t>
        </is>
      </c>
      <c r="E137" t="inlineStr">
        <is>
          <t>ENKÖPING</t>
        </is>
      </c>
      <c r="G137" t="n">
        <v>3</v>
      </c>
      <c r="H137" t="n">
        <v>0</v>
      </c>
      <c r="I137" t="n">
        <v>0</v>
      </c>
      <c r="J137" t="n">
        <v>0</v>
      </c>
      <c r="K137" t="n">
        <v>0</v>
      </c>
      <c r="L137" t="n">
        <v>0</v>
      </c>
      <c r="M137" t="n">
        <v>0</v>
      </c>
      <c r="N137" t="n">
        <v>0</v>
      </c>
      <c r="O137" t="n">
        <v>0</v>
      </c>
      <c r="P137" t="n">
        <v>0</v>
      </c>
      <c r="Q137" t="n">
        <v>0</v>
      </c>
      <c r="R137" s="2" t="inlineStr"/>
    </row>
    <row r="138" ht="15" customHeight="1">
      <c r="A138" t="inlineStr">
        <is>
          <t>A 31965-2021</t>
        </is>
      </c>
      <c r="B138" s="1" t="n">
        <v>44370.56901620371</v>
      </c>
      <c r="C138" s="1" t="n">
        <v>45994</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67984-2021</t>
        </is>
      </c>
      <c r="B139" s="1" t="n">
        <v>44525.70237268518</v>
      </c>
      <c r="C139" s="1" t="n">
        <v>45994</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5892-2023</t>
        </is>
      </c>
      <c r="B140" s="1" t="n">
        <v>44963.64883101852</v>
      </c>
      <c r="C140" s="1" t="n">
        <v>45994</v>
      </c>
      <c r="D140" t="inlineStr">
        <is>
          <t>UPPSALA LÄN</t>
        </is>
      </c>
      <c r="E140" t="inlineStr">
        <is>
          <t>ENKÖPING</t>
        </is>
      </c>
      <c r="G140" t="n">
        <v>5.5</v>
      </c>
      <c r="H140" t="n">
        <v>0</v>
      </c>
      <c r="I140" t="n">
        <v>0</v>
      </c>
      <c r="J140" t="n">
        <v>0</v>
      </c>
      <c r="K140" t="n">
        <v>0</v>
      </c>
      <c r="L140" t="n">
        <v>0</v>
      </c>
      <c r="M140" t="n">
        <v>0</v>
      </c>
      <c r="N140" t="n">
        <v>0</v>
      </c>
      <c r="O140" t="n">
        <v>0</v>
      </c>
      <c r="P140" t="n">
        <v>0</v>
      </c>
      <c r="Q140" t="n">
        <v>0</v>
      </c>
      <c r="R140" s="2" t="inlineStr"/>
    </row>
    <row r="141" ht="15" customHeight="1">
      <c r="A141" t="inlineStr">
        <is>
          <t>A 12572-2021</t>
        </is>
      </c>
      <c r="B141" s="1" t="n">
        <v>44270.36438657407</v>
      </c>
      <c r="C141" s="1" t="n">
        <v>45994</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48864-2022</t>
        </is>
      </c>
      <c r="B142" s="1" t="n">
        <v>44859</v>
      </c>
      <c r="C142" s="1" t="n">
        <v>45994</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671-2022</t>
        </is>
      </c>
      <c r="B143" s="1" t="n">
        <v>44568</v>
      </c>
      <c r="C143" s="1" t="n">
        <v>45994</v>
      </c>
      <c r="D143" t="inlineStr">
        <is>
          <t>UPPSALA LÄN</t>
        </is>
      </c>
      <c r="E143" t="inlineStr">
        <is>
          <t>ENKÖPING</t>
        </is>
      </c>
      <c r="G143" t="n">
        <v>3.5</v>
      </c>
      <c r="H143" t="n">
        <v>0</v>
      </c>
      <c r="I143" t="n">
        <v>0</v>
      </c>
      <c r="J143" t="n">
        <v>0</v>
      </c>
      <c r="K143" t="n">
        <v>0</v>
      </c>
      <c r="L143" t="n">
        <v>0</v>
      </c>
      <c r="M143" t="n">
        <v>0</v>
      </c>
      <c r="N143" t="n">
        <v>0</v>
      </c>
      <c r="O143" t="n">
        <v>0</v>
      </c>
      <c r="P143" t="n">
        <v>0</v>
      </c>
      <c r="Q143" t="n">
        <v>0</v>
      </c>
      <c r="R143" s="2" t="inlineStr"/>
    </row>
    <row r="144" ht="15" customHeight="1">
      <c r="A144" t="inlineStr">
        <is>
          <t>A 33619-2022</t>
        </is>
      </c>
      <c r="B144" s="1" t="n">
        <v>44789</v>
      </c>
      <c r="C144" s="1" t="n">
        <v>45994</v>
      </c>
      <c r="D144" t="inlineStr">
        <is>
          <t>UPPSALA LÄN</t>
        </is>
      </c>
      <c r="E144" t="inlineStr">
        <is>
          <t>ENKÖPING</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44131-2023</t>
        </is>
      </c>
      <c r="B145" s="1" t="n">
        <v>45188</v>
      </c>
      <c r="C145" s="1" t="n">
        <v>45994</v>
      </c>
      <c r="D145" t="inlineStr">
        <is>
          <t>UPPSALA LÄN</t>
        </is>
      </c>
      <c r="E145" t="inlineStr">
        <is>
          <t>ENKÖPING</t>
        </is>
      </c>
      <c r="G145" t="n">
        <v>0.3</v>
      </c>
      <c r="H145" t="n">
        <v>0</v>
      </c>
      <c r="I145" t="n">
        <v>0</v>
      </c>
      <c r="J145" t="n">
        <v>0</v>
      </c>
      <c r="K145" t="n">
        <v>0</v>
      </c>
      <c r="L145" t="n">
        <v>0</v>
      </c>
      <c r="M145" t="n">
        <v>0</v>
      </c>
      <c r="N145" t="n">
        <v>0</v>
      </c>
      <c r="O145" t="n">
        <v>0</v>
      </c>
      <c r="P145" t="n">
        <v>0</v>
      </c>
      <c r="Q145" t="n">
        <v>0</v>
      </c>
      <c r="R145" s="2" t="inlineStr"/>
    </row>
    <row r="146" ht="15" customHeight="1">
      <c r="A146" t="inlineStr">
        <is>
          <t>A 6242-2025</t>
        </is>
      </c>
      <c r="B146" s="1" t="n">
        <v>45697</v>
      </c>
      <c r="C146" s="1" t="n">
        <v>45994</v>
      </c>
      <c r="D146" t="inlineStr">
        <is>
          <t>UPPSALA LÄN</t>
        </is>
      </c>
      <c r="E146" t="inlineStr">
        <is>
          <t>ENKÖPING</t>
        </is>
      </c>
      <c r="G146" t="n">
        <v>17.9</v>
      </c>
      <c r="H146" t="n">
        <v>0</v>
      </c>
      <c r="I146" t="n">
        <v>0</v>
      </c>
      <c r="J146" t="n">
        <v>0</v>
      </c>
      <c r="K146" t="n">
        <v>0</v>
      </c>
      <c r="L146" t="n">
        <v>0</v>
      </c>
      <c r="M146" t="n">
        <v>0</v>
      </c>
      <c r="N146" t="n">
        <v>0</v>
      </c>
      <c r="O146" t="n">
        <v>0</v>
      </c>
      <c r="P146" t="n">
        <v>0</v>
      </c>
      <c r="Q146" t="n">
        <v>0</v>
      </c>
      <c r="R146" s="2" t="inlineStr"/>
    </row>
    <row r="147" ht="15" customHeight="1">
      <c r="A147" t="inlineStr">
        <is>
          <t>A 42459-2024</t>
        </is>
      </c>
      <c r="B147" s="1" t="n">
        <v>45565</v>
      </c>
      <c r="C147" s="1" t="n">
        <v>45994</v>
      </c>
      <c r="D147" t="inlineStr">
        <is>
          <t>UPPSALA LÄN</t>
        </is>
      </c>
      <c r="E147" t="inlineStr">
        <is>
          <t>ENKÖPING</t>
        </is>
      </c>
      <c r="G147" t="n">
        <v>3.6</v>
      </c>
      <c r="H147" t="n">
        <v>0</v>
      </c>
      <c r="I147" t="n">
        <v>0</v>
      </c>
      <c r="J147" t="n">
        <v>0</v>
      </c>
      <c r="K147" t="n">
        <v>0</v>
      </c>
      <c r="L147" t="n">
        <v>0</v>
      </c>
      <c r="M147" t="n">
        <v>0</v>
      </c>
      <c r="N147" t="n">
        <v>0</v>
      </c>
      <c r="O147" t="n">
        <v>0</v>
      </c>
      <c r="P147" t="n">
        <v>0</v>
      </c>
      <c r="Q147" t="n">
        <v>0</v>
      </c>
      <c r="R147" s="2" t="inlineStr"/>
    </row>
    <row r="148" ht="15" customHeight="1">
      <c r="A148" t="inlineStr">
        <is>
          <t>A 43488-2023</t>
        </is>
      </c>
      <c r="B148" s="1" t="n">
        <v>45181</v>
      </c>
      <c r="C148" s="1" t="n">
        <v>45994</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60125-2024</t>
        </is>
      </c>
      <c r="B149" s="1" t="n">
        <v>45642</v>
      </c>
      <c r="C149" s="1" t="n">
        <v>45994</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10829-2024</t>
        </is>
      </c>
      <c r="B150" s="1" t="n">
        <v>45369</v>
      </c>
      <c r="C150" s="1" t="n">
        <v>45994</v>
      </c>
      <c r="D150" t="inlineStr">
        <is>
          <t>UPPSALA LÄN</t>
        </is>
      </c>
      <c r="E150" t="inlineStr">
        <is>
          <t>ENKÖPING</t>
        </is>
      </c>
      <c r="G150" t="n">
        <v>2.1</v>
      </c>
      <c r="H150" t="n">
        <v>0</v>
      </c>
      <c r="I150" t="n">
        <v>0</v>
      </c>
      <c r="J150" t="n">
        <v>0</v>
      </c>
      <c r="K150" t="n">
        <v>0</v>
      </c>
      <c r="L150" t="n">
        <v>0</v>
      </c>
      <c r="M150" t="n">
        <v>0</v>
      </c>
      <c r="N150" t="n">
        <v>0</v>
      </c>
      <c r="O150" t="n">
        <v>0</v>
      </c>
      <c r="P150" t="n">
        <v>0</v>
      </c>
      <c r="Q150" t="n">
        <v>0</v>
      </c>
      <c r="R150" s="2" t="inlineStr"/>
    </row>
    <row r="151" ht="15" customHeight="1">
      <c r="A151" t="inlineStr">
        <is>
          <t>A 60533-2021</t>
        </is>
      </c>
      <c r="B151" s="1" t="n">
        <v>44496</v>
      </c>
      <c r="C151" s="1" t="n">
        <v>45994</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10468-2025</t>
        </is>
      </c>
      <c r="B152" s="1" t="n">
        <v>45720</v>
      </c>
      <c r="C152" s="1" t="n">
        <v>45994</v>
      </c>
      <c r="D152" t="inlineStr">
        <is>
          <t>UPPSALA LÄN</t>
        </is>
      </c>
      <c r="E152" t="inlineStr">
        <is>
          <t>ENKÖPING</t>
        </is>
      </c>
      <c r="G152" t="n">
        <v>1.6</v>
      </c>
      <c r="H152" t="n">
        <v>0</v>
      </c>
      <c r="I152" t="n">
        <v>0</v>
      </c>
      <c r="J152" t="n">
        <v>0</v>
      </c>
      <c r="K152" t="n">
        <v>0</v>
      </c>
      <c r="L152" t="n">
        <v>0</v>
      </c>
      <c r="M152" t="n">
        <v>0</v>
      </c>
      <c r="N152" t="n">
        <v>0</v>
      </c>
      <c r="O152" t="n">
        <v>0</v>
      </c>
      <c r="P152" t="n">
        <v>0</v>
      </c>
      <c r="Q152" t="n">
        <v>0</v>
      </c>
      <c r="R152" s="2" t="inlineStr"/>
    </row>
    <row r="153" ht="15" customHeight="1">
      <c r="A153" t="inlineStr">
        <is>
          <t>A 9171-2024</t>
        </is>
      </c>
      <c r="B153" s="1" t="n">
        <v>45358</v>
      </c>
      <c r="C153" s="1" t="n">
        <v>45994</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5211-2024</t>
        </is>
      </c>
      <c r="B154" s="1" t="n">
        <v>45330</v>
      </c>
      <c r="C154" s="1" t="n">
        <v>45994</v>
      </c>
      <c r="D154" t="inlineStr">
        <is>
          <t>UPPSALA LÄN</t>
        </is>
      </c>
      <c r="E154" t="inlineStr">
        <is>
          <t>ENKÖPING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10409-2025</t>
        </is>
      </c>
      <c r="B155" s="1" t="n">
        <v>45720.631875</v>
      </c>
      <c r="C155" s="1" t="n">
        <v>45994</v>
      </c>
      <c r="D155" t="inlineStr">
        <is>
          <t>UPPSALA LÄN</t>
        </is>
      </c>
      <c r="E155" t="inlineStr">
        <is>
          <t>ENKÖPING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18299-2025</t>
        </is>
      </c>
      <c r="B156" s="1" t="n">
        <v>45762</v>
      </c>
      <c r="C156" s="1" t="n">
        <v>45994</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67982-2021</t>
        </is>
      </c>
      <c r="B157" s="1" t="n">
        <v>44525</v>
      </c>
      <c r="C157" s="1" t="n">
        <v>45994</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21686-2022</t>
        </is>
      </c>
      <c r="B158" s="1" t="n">
        <v>44707</v>
      </c>
      <c r="C158" s="1" t="n">
        <v>45994</v>
      </c>
      <c r="D158" t="inlineStr">
        <is>
          <t>UPPSALA LÄN</t>
        </is>
      </c>
      <c r="E158" t="inlineStr">
        <is>
          <t>ENKÖPING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43230-2023</t>
        </is>
      </c>
      <c r="B159" s="1" t="n">
        <v>45183</v>
      </c>
      <c r="C159" s="1" t="n">
        <v>45994</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18831-2023</t>
        </is>
      </c>
      <c r="B160" s="1" t="n">
        <v>45044.40798611111</v>
      </c>
      <c r="C160" s="1" t="n">
        <v>45994</v>
      </c>
      <c r="D160" t="inlineStr">
        <is>
          <t>UPPSALA LÄN</t>
        </is>
      </c>
      <c r="E160" t="inlineStr">
        <is>
          <t>ENKÖPING</t>
        </is>
      </c>
      <c r="G160" t="n">
        <v>4.3</v>
      </c>
      <c r="H160" t="n">
        <v>0</v>
      </c>
      <c r="I160" t="n">
        <v>0</v>
      </c>
      <c r="J160" t="n">
        <v>0</v>
      </c>
      <c r="K160" t="n">
        <v>0</v>
      </c>
      <c r="L160" t="n">
        <v>0</v>
      </c>
      <c r="M160" t="n">
        <v>0</v>
      </c>
      <c r="N160" t="n">
        <v>0</v>
      </c>
      <c r="O160" t="n">
        <v>0</v>
      </c>
      <c r="P160" t="n">
        <v>0</v>
      </c>
      <c r="Q160" t="n">
        <v>0</v>
      </c>
      <c r="R160" s="2" t="inlineStr"/>
    </row>
    <row r="161" ht="15" customHeight="1">
      <c r="A161" t="inlineStr">
        <is>
          <t>A 45362-2022</t>
        </is>
      </c>
      <c r="B161" s="1" t="n">
        <v>44844.62366898148</v>
      </c>
      <c r="C161" s="1" t="n">
        <v>45994</v>
      </c>
      <c r="D161" t="inlineStr">
        <is>
          <t>UPPSALA LÄN</t>
        </is>
      </c>
      <c r="E161" t="inlineStr">
        <is>
          <t>ENKÖPING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72840-2021</t>
        </is>
      </c>
      <c r="B162" s="1" t="n">
        <v>44547</v>
      </c>
      <c r="C162" s="1" t="n">
        <v>45994</v>
      </c>
      <c r="D162" t="inlineStr">
        <is>
          <t>UPPSALA LÄN</t>
        </is>
      </c>
      <c r="E162" t="inlineStr">
        <is>
          <t>ENKÖPING</t>
        </is>
      </c>
      <c r="G162" t="n">
        <v>1.9</v>
      </c>
      <c r="H162" t="n">
        <v>0</v>
      </c>
      <c r="I162" t="n">
        <v>0</v>
      </c>
      <c r="J162" t="n">
        <v>0</v>
      </c>
      <c r="K162" t="n">
        <v>0</v>
      </c>
      <c r="L162" t="n">
        <v>0</v>
      </c>
      <c r="M162" t="n">
        <v>0</v>
      </c>
      <c r="N162" t="n">
        <v>0</v>
      </c>
      <c r="O162" t="n">
        <v>0</v>
      </c>
      <c r="P162" t="n">
        <v>0</v>
      </c>
      <c r="Q162" t="n">
        <v>0</v>
      </c>
      <c r="R162" s="2" t="inlineStr"/>
    </row>
    <row r="163" ht="15" customHeight="1">
      <c r="A163" t="inlineStr">
        <is>
          <t>A 51034-2024</t>
        </is>
      </c>
      <c r="B163" s="1" t="n">
        <v>45603.4262037037</v>
      </c>
      <c r="C163" s="1" t="n">
        <v>45994</v>
      </c>
      <c r="D163" t="inlineStr">
        <is>
          <t>UPPSALA LÄN</t>
        </is>
      </c>
      <c r="E163" t="inlineStr">
        <is>
          <t>ENKÖPING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51036-2024</t>
        </is>
      </c>
      <c r="B164" s="1" t="n">
        <v>45603.42839120371</v>
      </c>
      <c r="C164" s="1" t="n">
        <v>45994</v>
      </c>
      <c r="D164" t="inlineStr">
        <is>
          <t>UPPSALA LÄN</t>
        </is>
      </c>
      <c r="E164" t="inlineStr">
        <is>
          <t>ENKÖPING</t>
        </is>
      </c>
      <c r="G164" t="n">
        <v>2.6</v>
      </c>
      <c r="H164" t="n">
        <v>0</v>
      </c>
      <c r="I164" t="n">
        <v>0</v>
      </c>
      <c r="J164" t="n">
        <v>0</v>
      </c>
      <c r="K164" t="n">
        <v>0</v>
      </c>
      <c r="L164" t="n">
        <v>0</v>
      </c>
      <c r="M164" t="n">
        <v>0</v>
      </c>
      <c r="N164" t="n">
        <v>0</v>
      </c>
      <c r="O164" t="n">
        <v>0</v>
      </c>
      <c r="P164" t="n">
        <v>0</v>
      </c>
      <c r="Q164" t="n">
        <v>0</v>
      </c>
      <c r="R164" s="2" t="inlineStr"/>
    </row>
    <row r="165" ht="15" customHeight="1">
      <c r="A165" t="inlineStr">
        <is>
          <t>A 55876-2024</t>
        </is>
      </c>
      <c r="B165" s="1" t="n">
        <v>45623.5546412037</v>
      </c>
      <c r="C165" s="1" t="n">
        <v>45994</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6172-2023</t>
        </is>
      </c>
      <c r="B166" s="1" t="n">
        <v>44964.68663194445</v>
      </c>
      <c r="C166" s="1" t="n">
        <v>45994</v>
      </c>
      <c r="D166" t="inlineStr">
        <is>
          <t>UPPSALA LÄN</t>
        </is>
      </c>
      <c r="E166" t="inlineStr">
        <is>
          <t>ENKÖPING</t>
        </is>
      </c>
      <c r="G166" t="n">
        <v>2.6</v>
      </c>
      <c r="H166" t="n">
        <v>0</v>
      </c>
      <c r="I166" t="n">
        <v>0</v>
      </c>
      <c r="J166" t="n">
        <v>0</v>
      </c>
      <c r="K166" t="n">
        <v>0</v>
      </c>
      <c r="L166" t="n">
        <v>0</v>
      </c>
      <c r="M166" t="n">
        <v>0</v>
      </c>
      <c r="N166" t="n">
        <v>0</v>
      </c>
      <c r="O166" t="n">
        <v>0</v>
      </c>
      <c r="P166" t="n">
        <v>0</v>
      </c>
      <c r="Q166" t="n">
        <v>0</v>
      </c>
      <c r="R166" s="2" t="inlineStr"/>
    </row>
    <row r="167" ht="15" customHeight="1">
      <c r="A167" t="inlineStr">
        <is>
          <t>A 14402-2023</t>
        </is>
      </c>
      <c r="B167" s="1" t="n">
        <v>45012</v>
      </c>
      <c r="C167" s="1" t="n">
        <v>45994</v>
      </c>
      <c r="D167" t="inlineStr">
        <is>
          <t>UPPSALA LÄN</t>
        </is>
      </c>
      <c r="E167" t="inlineStr">
        <is>
          <t>ENKÖPING</t>
        </is>
      </c>
      <c r="G167" t="n">
        <v>9.5</v>
      </c>
      <c r="H167" t="n">
        <v>0</v>
      </c>
      <c r="I167" t="n">
        <v>0</v>
      </c>
      <c r="J167" t="n">
        <v>0</v>
      </c>
      <c r="K167" t="n">
        <v>0</v>
      </c>
      <c r="L167" t="n">
        <v>0</v>
      </c>
      <c r="M167" t="n">
        <v>0</v>
      </c>
      <c r="N167" t="n">
        <v>0</v>
      </c>
      <c r="O167" t="n">
        <v>0</v>
      </c>
      <c r="P167" t="n">
        <v>0</v>
      </c>
      <c r="Q167" t="n">
        <v>0</v>
      </c>
      <c r="R167" s="2" t="inlineStr"/>
    </row>
    <row r="168" ht="15" customHeight="1">
      <c r="A168" t="inlineStr">
        <is>
          <t>A 11005-2023</t>
        </is>
      </c>
      <c r="B168" s="1" t="n">
        <v>44991</v>
      </c>
      <c r="C168" s="1" t="n">
        <v>45994</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27983-2024</t>
        </is>
      </c>
      <c r="B169" s="1" t="n">
        <v>45476</v>
      </c>
      <c r="C169" s="1" t="n">
        <v>45994</v>
      </c>
      <c r="D169" t="inlineStr">
        <is>
          <t>UPPSALA LÄN</t>
        </is>
      </c>
      <c r="E169" t="inlineStr">
        <is>
          <t>ENKÖPING</t>
        </is>
      </c>
      <c r="G169" t="n">
        <v>3.2</v>
      </c>
      <c r="H169" t="n">
        <v>0</v>
      </c>
      <c r="I169" t="n">
        <v>0</v>
      </c>
      <c r="J169" t="n">
        <v>0</v>
      </c>
      <c r="K169" t="n">
        <v>0</v>
      </c>
      <c r="L169" t="n">
        <v>0</v>
      </c>
      <c r="M169" t="n">
        <v>0</v>
      </c>
      <c r="N169" t="n">
        <v>0</v>
      </c>
      <c r="O169" t="n">
        <v>0</v>
      </c>
      <c r="P169" t="n">
        <v>0</v>
      </c>
      <c r="Q169" t="n">
        <v>0</v>
      </c>
      <c r="R169" s="2" t="inlineStr"/>
    </row>
    <row r="170" ht="15" customHeight="1">
      <c r="A170" t="inlineStr">
        <is>
          <t>A 34617-2022</t>
        </is>
      </c>
      <c r="B170" s="1" t="n">
        <v>44795</v>
      </c>
      <c r="C170" s="1" t="n">
        <v>45994</v>
      </c>
      <c r="D170" t="inlineStr">
        <is>
          <t>UPPSALA LÄN</t>
        </is>
      </c>
      <c r="E170" t="inlineStr">
        <is>
          <t>ENKÖPING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1992-2022</t>
        </is>
      </c>
      <c r="B171" s="1" t="n">
        <v>44575.56153935185</v>
      </c>
      <c r="C171" s="1" t="n">
        <v>45994</v>
      </c>
      <c r="D171" t="inlineStr">
        <is>
          <t>UPPSALA LÄN</t>
        </is>
      </c>
      <c r="E171" t="inlineStr">
        <is>
          <t>ENKÖPING</t>
        </is>
      </c>
      <c r="G171" t="n">
        <v>2.8</v>
      </c>
      <c r="H171" t="n">
        <v>0</v>
      </c>
      <c r="I171" t="n">
        <v>0</v>
      </c>
      <c r="J171" t="n">
        <v>0</v>
      </c>
      <c r="K171" t="n">
        <v>0</v>
      </c>
      <c r="L171" t="n">
        <v>0</v>
      </c>
      <c r="M171" t="n">
        <v>0</v>
      </c>
      <c r="N171" t="n">
        <v>0</v>
      </c>
      <c r="O171" t="n">
        <v>0</v>
      </c>
      <c r="P171" t="n">
        <v>0</v>
      </c>
      <c r="Q171" t="n">
        <v>0</v>
      </c>
      <c r="R171" s="2" t="inlineStr"/>
    </row>
    <row r="172" ht="15" customHeight="1">
      <c r="A172" t="inlineStr">
        <is>
          <t>A 18583-2021</t>
        </is>
      </c>
      <c r="B172" s="1" t="n">
        <v>44306</v>
      </c>
      <c r="C172" s="1" t="n">
        <v>45994</v>
      </c>
      <c r="D172" t="inlineStr">
        <is>
          <t>UPPSALA LÄN</t>
        </is>
      </c>
      <c r="E172" t="inlineStr">
        <is>
          <t>ENKÖPING</t>
        </is>
      </c>
      <c r="G172" t="n">
        <v>0.4</v>
      </c>
      <c r="H172" t="n">
        <v>0</v>
      </c>
      <c r="I172" t="n">
        <v>0</v>
      </c>
      <c r="J172" t="n">
        <v>0</v>
      </c>
      <c r="K172" t="n">
        <v>0</v>
      </c>
      <c r="L172" t="n">
        <v>0</v>
      </c>
      <c r="M172" t="n">
        <v>0</v>
      </c>
      <c r="N172" t="n">
        <v>0</v>
      </c>
      <c r="O172" t="n">
        <v>0</v>
      </c>
      <c r="P172" t="n">
        <v>0</v>
      </c>
      <c r="Q172" t="n">
        <v>0</v>
      </c>
      <c r="R172" s="2" t="inlineStr"/>
    </row>
    <row r="173" ht="15" customHeight="1">
      <c r="A173" t="inlineStr">
        <is>
          <t>A 1695-2025</t>
        </is>
      </c>
      <c r="B173" s="1" t="n">
        <v>45670</v>
      </c>
      <c r="C173" s="1" t="n">
        <v>45994</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19298-2023</t>
        </is>
      </c>
      <c r="B174" s="1" t="n">
        <v>45048</v>
      </c>
      <c r="C174" s="1" t="n">
        <v>45994</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57142-2021</t>
        </is>
      </c>
      <c r="B175" s="1" t="n">
        <v>44482</v>
      </c>
      <c r="C175" s="1" t="n">
        <v>45994</v>
      </c>
      <c r="D175" t="inlineStr">
        <is>
          <t>UPPSALA LÄN</t>
        </is>
      </c>
      <c r="E175" t="inlineStr">
        <is>
          <t>ENKÖPING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57147-2021</t>
        </is>
      </c>
      <c r="B176" s="1" t="n">
        <v>44482</v>
      </c>
      <c r="C176" s="1" t="n">
        <v>45994</v>
      </c>
      <c r="D176" t="inlineStr">
        <is>
          <t>UPPSALA LÄN</t>
        </is>
      </c>
      <c r="E176" t="inlineStr">
        <is>
          <t>ENKÖPING</t>
        </is>
      </c>
      <c r="G176" t="n">
        <v>5.7</v>
      </c>
      <c r="H176" t="n">
        <v>0</v>
      </c>
      <c r="I176" t="n">
        <v>0</v>
      </c>
      <c r="J176" t="n">
        <v>0</v>
      </c>
      <c r="K176" t="n">
        <v>0</v>
      </c>
      <c r="L176" t="n">
        <v>0</v>
      </c>
      <c r="M176" t="n">
        <v>0</v>
      </c>
      <c r="N176" t="n">
        <v>0</v>
      </c>
      <c r="O176" t="n">
        <v>0</v>
      </c>
      <c r="P176" t="n">
        <v>0</v>
      </c>
      <c r="Q176" t="n">
        <v>0</v>
      </c>
      <c r="R176" s="2" t="inlineStr"/>
    </row>
    <row r="177" ht="15" customHeight="1">
      <c r="A177" t="inlineStr">
        <is>
          <t>A 6147-2021</t>
        </is>
      </c>
      <c r="B177" s="1" t="n">
        <v>44232</v>
      </c>
      <c r="C177" s="1" t="n">
        <v>45994</v>
      </c>
      <c r="D177" t="inlineStr">
        <is>
          <t>UPPSALA LÄN</t>
        </is>
      </c>
      <c r="E177" t="inlineStr">
        <is>
          <t>ENKÖPING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54357-2023</t>
        </is>
      </c>
      <c r="B178" s="1" t="n">
        <v>45225</v>
      </c>
      <c r="C178" s="1" t="n">
        <v>45994</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7868-2024</t>
        </is>
      </c>
      <c r="B179" s="1" t="n">
        <v>45350.33020833333</v>
      </c>
      <c r="C179" s="1" t="n">
        <v>45994</v>
      </c>
      <c r="D179" t="inlineStr">
        <is>
          <t>UPPSALA LÄN</t>
        </is>
      </c>
      <c r="E179" t="inlineStr">
        <is>
          <t>ENKÖPING</t>
        </is>
      </c>
      <c r="G179" t="n">
        <v>0.3</v>
      </c>
      <c r="H179" t="n">
        <v>0</v>
      </c>
      <c r="I179" t="n">
        <v>0</v>
      </c>
      <c r="J179" t="n">
        <v>0</v>
      </c>
      <c r="K179" t="n">
        <v>0</v>
      </c>
      <c r="L179" t="n">
        <v>0</v>
      </c>
      <c r="M179" t="n">
        <v>0</v>
      </c>
      <c r="N179" t="n">
        <v>0</v>
      </c>
      <c r="O179" t="n">
        <v>0</v>
      </c>
      <c r="P179" t="n">
        <v>0</v>
      </c>
      <c r="Q179" t="n">
        <v>0</v>
      </c>
      <c r="R179" s="2" t="inlineStr"/>
    </row>
    <row r="180" ht="15" customHeight="1">
      <c r="A180" t="inlineStr">
        <is>
          <t>A 7870-2024</t>
        </is>
      </c>
      <c r="B180" s="1" t="n">
        <v>45350.33349537037</v>
      </c>
      <c r="C180" s="1" t="n">
        <v>45994</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35052-2024</t>
        </is>
      </c>
      <c r="B181" s="1" t="n">
        <v>45527.6516087963</v>
      </c>
      <c r="C181" s="1" t="n">
        <v>45994</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24962-2023</t>
        </is>
      </c>
      <c r="B182" s="1" t="n">
        <v>45085.60123842592</v>
      </c>
      <c r="C182" s="1" t="n">
        <v>45994</v>
      </c>
      <c r="D182" t="inlineStr">
        <is>
          <t>UPPSALA LÄN</t>
        </is>
      </c>
      <c r="E182" t="inlineStr">
        <is>
          <t>ENKÖPING</t>
        </is>
      </c>
      <c r="G182" t="n">
        <v>2.8</v>
      </c>
      <c r="H182" t="n">
        <v>0</v>
      </c>
      <c r="I182" t="n">
        <v>0</v>
      </c>
      <c r="J182" t="n">
        <v>0</v>
      </c>
      <c r="K182" t="n">
        <v>0</v>
      </c>
      <c r="L182" t="n">
        <v>0</v>
      </c>
      <c r="M182" t="n">
        <v>0</v>
      </c>
      <c r="N182" t="n">
        <v>0</v>
      </c>
      <c r="O182" t="n">
        <v>0</v>
      </c>
      <c r="P182" t="n">
        <v>0</v>
      </c>
      <c r="Q182" t="n">
        <v>0</v>
      </c>
      <c r="R182" s="2" t="inlineStr"/>
    </row>
    <row r="183" ht="15" customHeight="1">
      <c r="A183" t="inlineStr">
        <is>
          <t>A 9231-2023</t>
        </is>
      </c>
      <c r="B183" s="1" t="n">
        <v>44980</v>
      </c>
      <c r="C183" s="1" t="n">
        <v>45994</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67765-2020</t>
        </is>
      </c>
      <c r="B184" s="1" t="n">
        <v>44182</v>
      </c>
      <c r="C184" s="1" t="n">
        <v>45994</v>
      </c>
      <c r="D184" t="inlineStr">
        <is>
          <t>UPPSALA LÄN</t>
        </is>
      </c>
      <c r="E184" t="inlineStr">
        <is>
          <t>ENKÖPING</t>
        </is>
      </c>
      <c r="G184" t="n">
        <v>3.6</v>
      </c>
      <c r="H184" t="n">
        <v>0</v>
      </c>
      <c r="I184" t="n">
        <v>0</v>
      </c>
      <c r="J184" t="n">
        <v>0</v>
      </c>
      <c r="K184" t="n">
        <v>0</v>
      </c>
      <c r="L184" t="n">
        <v>0</v>
      </c>
      <c r="M184" t="n">
        <v>0</v>
      </c>
      <c r="N184" t="n">
        <v>0</v>
      </c>
      <c r="O184" t="n">
        <v>0</v>
      </c>
      <c r="P184" t="n">
        <v>0</v>
      </c>
      <c r="Q184" t="n">
        <v>0</v>
      </c>
      <c r="R184" s="2" t="inlineStr"/>
    </row>
    <row r="185" ht="15" customHeight="1">
      <c r="A185" t="inlineStr">
        <is>
          <t>A 15939-2022</t>
        </is>
      </c>
      <c r="B185" s="1" t="n">
        <v>44664</v>
      </c>
      <c r="C185" s="1" t="n">
        <v>45994</v>
      </c>
      <c r="D185" t="inlineStr">
        <is>
          <t>UPPSALA LÄN</t>
        </is>
      </c>
      <c r="E185" t="inlineStr">
        <is>
          <t>ENKÖPING</t>
        </is>
      </c>
      <c r="G185" t="n">
        <v>2</v>
      </c>
      <c r="H185" t="n">
        <v>0</v>
      </c>
      <c r="I185" t="n">
        <v>0</v>
      </c>
      <c r="J185" t="n">
        <v>0</v>
      </c>
      <c r="K185" t="n">
        <v>0</v>
      </c>
      <c r="L185" t="n">
        <v>0</v>
      </c>
      <c r="M185" t="n">
        <v>0</v>
      </c>
      <c r="N185" t="n">
        <v>0</v>
      </c>
      <c r="O185" t="n">
        <v>0</v>
      </c>
      <c r="P185" t="n">
        <v>0</v>
      </c>
      <c r="Q185" t="n">
        <v>0</v>
      </c>
      <c r="R185" s="2" t="inlineStr"/>
    </row>
    <row r="186" ht="15" customHeight="1">
      <c r="A186" t="inlineStr">
        <is>
          <t>A 57153-2021</t>
        </is>
      </c>
      <c r="B186" s="1" t="n">
        <v>44482</v>
      </c>
      <c r="C186" s="1" t="n">
        <v>45994</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6298-2021</t>
        </is>
      </c>
      <c r="B187" s="1" t="n">
        <v>44235</v>
      </c>
      <c r="C187" s="1" t="n">
        <v>45994</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43697-2024</t>
        </is>
      </c>
      <c r="B188" s="1" t="n">
        <v>45569</v>
      </c>
      <c r="C188" s="1" t="n">
        <v>45994</v>
      </c>
      <c r="D188" t="inlineStr">
        <is>
          <t>UPPSALA LÄN</t>
        </is>
      </c>
      <c r="E188" t="inlineStr">
        <is>
          <t>ENKÖPING</t>
        </is>
      </c>
      <c r="G188" t="n">
        <v>2.1</v>
      </c>
      <c r="H188" t="n">
        <v>0</v>
      </c>
      <c r="I188" t="n">
        <v>0</v>
      </c>
      <c r="J188" t="n">
        <v>0</v>
      </c>
      <c r="K188" t="n">
        <v>0</v>
      </c>
      <c r="L188" t="n">
        <v>0</v>
      </c>
      <c r="M188" t="n">
        <v>0</v>
      </c>
      <c r="N188" t="n">
        <v>0</v>
      </c>
      <c r="O188" t="n">
        <v>0</v>
      </c>
      <c r="P188" t="n">
        <v>0</v>
      </c>
      <c r="Q188" t="n">
        <v>0</v>
      </c>
      <c r="R188" s="2" t="inlineStr"/>
    </row>
    <row r="189" ht="15" customHeight="1">
      <c r="A189" t="inlineStr">
        <is>
          <t>A 16916-2022</t>
        </is>
      </c>
      <c r="B189" s="1" t="n">
        <v>44676</v>
      </c>
      <c r="C189" s="1" t="n">
        <v>45994</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58961-2024</t>
        </is>
      </c>
      <c r="B190" s="1" t="n">
        <v>45636.585</v>
      </c>
      <c r="C190" s="1" t="n">
        <v>45994</v>
      </c>
      <c r="D190" t="inlineStr">
        <is>
          <t>UPPSALA LÄN</t>
        </is>
      </c>
      <c r="E190" t="inlineStr">
        <is>
          <t>ENKÖPING</t>
        </is>
      </c>
      <c r="G190" t="n">
        <v>4</v>
      </c>
      <c r="H190" t="n">
        <v>0</v>
      </c>
      <c r="I190" t="n">
        <v>0</v>
      </c>
      <c r="J190" t="n">
        <v>0</v>
      </c>
      <c r="K190" t="n">
        <v>0</v>
      </c>
      <c r="L190" t="n">
        <v>0</v>
      </c>
      <c r="M190" t="n">
        <v>0</v>
      </c>
      <c r="N190" t="n">
        <v>0</v>
      </c>
      <c r="O190" t="n">
        <v>0</v>
      </c>
      <c r="P190" t="n">
        <v>0</v>
      </c>
      <c r="Q190" t="n">
        <v>0</v>
      </c>
      <c r="R190" s="2" t="inlineStr"/>
    </row>
    <row r="191" ht="15" customHeight="1">
      <c r="A191" t="inlineStr">
        <is>
          <t>A 45283-2022</t>
        </is>
      </c>
      <c r="B191" s="1" t="n">
        <v>44844</v>
      </c>
      <c r="C191" s="1" t="n">
        <v>45994</v>
      </c>
      <c r="D191" t="inlineStr">
        <is>
          <t>UPPSALA LÄN</t>
        </is>
      </c>
      <c r="E191" t="inlineStr">
        <is>
          <t>ENKÖPING</t>
        </is>
      </c>
      <c r="G191" t="n">
        <v>5.9</v>
      </c>
      <c r="H191" t="n">
        <v>0</v>
      </c>
      <c r="I191" t="n">
        <v>0</v>
      </c>
      <c r="J191" t="n">
        <v>0</v>
      </c>
      <c r="K191" t="n">
        <v>0</v>
      </c>
      <c r="L191" t="n">
        <v>0</v>
      </c>
      <c r="M191" t="n">
        <v>0</v>
      </c>
      <c r="N191" t="n">
        <v>0</v>
      </c>
      <c r="O191" t="n">
        <v>0</v>
      </c>
      <c r="P191" t="n">
        <v>0</v>
      </c>
      <c r="Q191" t="n">
        <v>0</v>
      </c>
      <c r="R191" s="2" t="inlineStr"/>
    </row>
    <row r="192" ht="15" customHeight="1">
      <c r="A192" t="inlineStr">
        <is>
          <t>A 51008-2024</t>
        </is>
      </c>
      <c r="B192" s="1" t="n">
        <v>45603.39041666667</v>
      </c>
      <c r="C192" s="1" t="n">
        <v>45994</v>
      </c>
      <c r="D192" t="inlineStr">
        <is>
          <t>UPPSALA LÄN</t>
        </is>
      </c>
      <c r="E192" t="inlineStr">
        <is>
          <t>ENKÖPING</t>
        </is>
      </c>
      <c r="G192" t="n">
        <v>2.4</v>
      </c>
      <c r="H192" t="n">
        <v>0</v>
      </c>
      <c r="I192" t="n">
        <v>0</v>
      </c>
      <c r="J192" t="n">
        <v>0</v>
      </c>
      <c r="K192" t="n">
        <v>0</v>
      </c>
      <c r="L192" t="n">
        <v>0</v>
      </c>
      <c r="M192" t="n">
        <v>0</v>
      </c>
      <c r="N192" t="n">
        <v>0</v>
      </c>
      <c r="O192" t="n">
        <v>0</v>
      </c>
      <c r="P192" t="n">
        <v>0</v>
      </c>
      <c r="Q192" t="n">
        <v>0</v>
      </c>
      <c r="R192" s="2" t="inlineStr"/>
    </row>
    <row r="193" ht="15" customHeight="1">
      <c r="A193" t="inlineStr">
        <is>
          <t>A 53595-2023</t>
        </is>
      </c>
      <c r="B193" s="1" t="n">
        <v>45223</v>
      </c>
      <c r="C193" s="1" t="n">
        <v>45994</v>
      </c>
      <c r="D193" t="inlineStr">
        <is>
          <t>UPPSALA LÄN</t>
        </is>
      </c>
      <c r="E193" t="inlineStr">
        <is>
          <t>ENKÖPING</t>
        </is>
      </c>
      <c r="G193" t="n">
        <v>2.6</v>
      </c>
      <c r="H193" t="n">
        <v>0</v>
      </c>
      <c r="I193" t="n">
        <v>0</v>
      </c>
      <c r="J193" t="n">
        <v>0</v>
      </c>
      <c r="K193" t="n">
        <v>0</v>
      </c>
      <c r="L193" t="n">
        <v>0</v>
      </c>
      <c r="M193" t="n">
        <v>0</v>
      </c>
      <c r="N193" t="n">
        <v>0</v>
      </c>
      <c r="O193" t="n">
        <v>0</v>
      </c>
      <c r="P193" t="n">
        <v>0</v>
      </c>
      <c r="Q193" t="n">
        <v>0</v>
      </c>
      <c r="R193" s="2" t="inlineStr"/>
    </row>
    <row r="194" ht="15" customHeight="1">
      <c r="A194" t="inlineStr">
        <is>
          <t>A 41826-2024</t>
        </is>
      </c>
      <c r="B194" s="1" t="n">
        <v>45561</v>
      </c>
      <c r="C194" s="1" t="n">
        <v>45994</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30514-2021</t>
        </is>
      </c>
      <c r="B195" s="1" t="n">
        <v>44364</v>
      </c>
      <c r="C195" s="1" t="n">
        <v>45994</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31604-2023</t>
        </is>
      </c>
      <c r="B196" s="1" t="n">
        <v>45117.50368055556</v>
      </c>
      <c r="C196" s="1" t="n">
        <v>45994</v>
      </c>
      <c r="D196" t="inlineStr">
        <is>
          <t>UPPSALA LÄN</t>
        </is>
      </c>
      <c r="E196" t="inlineStr">
        <is>
          <t>ENKÖPING</t>
        </is>
      </c>
      <c r="G196" t="n">
        <v>3.5</v>
      </c>
      <c r="H196" t="n">
        <v>0</v>
      </c>
      <c r="I196" t="n">
        <v>0</v>
      </c>
      <c r="J196" t="n">
        <v>0</v>
      </c>
      <c r="K196" t="n">
        <v>0</v>
      </c>
      <c r="L196" t="n">
        <v>0</v>
      </c>
      <c r="M196" t="n">
        <v>0</v>
      </c>
      <c r="N196" t="n">
        <v>0</v>
      </c>
      <c r="O196" t="n">
        <v>0</v>
      </c>
      <c r="P196" t="n">
        <v>0</v>
      </c>
      <c r="Q196" t="n">
        <v>0</v>
      </c>
      <c r="R196" s="2" t="inlineStr"/>
    </row>
    <row r="197" ht="15" customHeight="1">
      <c r="A197" t="inlineStr">
        <is>
          <t>A 25598-2021</t>
        </is>
      </c>
      <c r="B197" s="1" t="n">
        <v>44343.4558912037</v>
      </c>
      <c r="C197" s="1" t="n">
        <v>45994</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15162-2025</t>
        </is>
      </c>
      <c r="B198" s="1" t="n">
        <v>45744</v>
      </c>
      <c r="C198" s="1" t="n">
        <v>45994</v>
      </c>
      <c r="D198" t="inlineStr">
        <is>
          <t>UPPSALA LÄN</t>
        </is>
      </c>
      <c r="E198" t="inlineStr">
        <is>
          <t>ENKÖPING</t>
        </is>
      </c>
      <c r="G198" t="n">
        <v>4.2</v>
      </c>
      <c r="H198" t="n">
        <v>0</v>
      </c>
      <c r="I198" t="n">
        <v>0</v>
      </c>
      <c r="J198" t="n">
        <v>0</v>
      </c>
      <c r="K198" t="n">
        <v>0</v>
      </c>
      <c r="L198" t="n">
        <v>0</v>
      </c>
      <c r="M198" t="n">
        <v>0</v>
      </c>
      <c r="N198" t="n">
        <v>0</v>
      </c>
      <c r="O198" t="n">
        <v>0</v>
      </c>
      <c r="P198" t="n">
        <v>0</v>
      </c>
      <c r="Q198" t="n">
        <v>0</v>
      </c>
      <c r="R198" s="2" t="inlineStr"/>
    </row>
    <row r="199" ht="15" customHeight="1">
      <c r="A199" t="inlineStr">
        <is>
          <t>A 15893-2024</t>
        </is>
      </c>
      <c r="B199" s="1" t="n">
        <v>45405</v>
      </c>
      <c r="C199" s="1" t="n">
        <v>45994</v>
      </c>
      <c r="D199" t="inlineStr">
        <is>
          <t>UPPSALA LÄN</t>
        </is>
      </c>
      <c r="E199" t="inlineStr">
        <is>
          <t>ENKÖPING</t>
        </is>
      </c>
      <c r="G199" t="n">
        <v>1.9</v>
      </c>
      <c r="H199" t="n">
        <v>0</v>
      </c>
      <c r="I199" t="n">
        <v>0</v>
      </c>
      <c r="J199" t="n">
        <v>0</v>
      </c>
      <c r="K199" t="n">
        <v>0</v>
      </c>
      <c r="L199" t="n">
        <v>0</v>
      </c>
      <c r="M199" t="n">
        <v>0</v>
      </c>
      <c r="N199" t="n">
        <v>0</v>
      </c>
      <c r="O199" t="n">
        <v>0</v>
      </c>
      <c r="P199" t="n">
        <v>0</v>
      </c>
      <c r="Q199" t="n">
        <v>0</v>
      </c>
      <c r="R199" s="2" t="inlineStr"/>
    </row>
    <row r="200" ht="15" customHeight="1">
      <c r="A200" t="inlineStr">
        <is>
          <t>A 42589-2022</t>
        </is>
      </c>
      <c r="B200" s="1" t="n">
        <v>44831</v>
      </c>
      <c r="C200" s="1" t="n">
        <v>45994</v>
      </c>
      <c r="D200" t="inlineStr">
        <is>
          <t>UPPSALA LÄN</t>
        </is>
      </c>
      <c r="E200" t="inlineStr">
        <is>
          <t>ENKÖPING</t>
        </is>
      </c>
      <c r="G200" t="n">
        <v>20</v>
      </c>
      <c r="H200" t="n">
        <v>0</v>
      </c>
      <c r="I200" t="n">
        <v>0</v>
      </c>
      <c r="J200" t="n">
        <v>0</v>
      </c>
      <c r="K200" t="n">
        <v>0</v>
      </c>
      <c r="L200" t="n">
        <v>0</v>
      </c>
      <c r="M200" t="n">
        <v>0</v>
      </c>
      <c r="N200" t="n">
        <v>0</v>
      </c>
      <c r="O200" t="n">
        <v>0</v>
      </c>
      <c r="P200" t="n">
        <v>0</v>
      </c>
      <c r="Q200" t="n">
        <v>0</v>
      </c>
      <c r="R200" s="2" t="inlineStr"/>
    </row>
    <row r="201" ht="15" customHeight="1">
      <c r="A201" t="inlineStr">
        <is>
          <t>A 18028-2023</t>
        </is>
      </c>
      <c r="B201" s="1" t="n">
        <v>45040</v>
      </c>
      <c r="C201" s="1" t="n">
        <v>45994</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840-2025</t>
        </is>
      </c>
      <c r="B202" s="1" t="n">
        <v>45665</v>
      </c>
      <c r="C202" s="1" t="n">
        <v>45994</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37115-2024</t>
        </is>
      </c>
      <c r="B203" s="1" t="n">
        <v>45539</v>
      </c>
      <c r="C203" s="1" t="n">
        <v>45994</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45142-2023</t>
        </is>
      </c>
      <c r="B204" s="1" t="n">
        <v>45191.4702662037</v>
      </c>
      <c r="C204" s="1" t="n">
        <v>45994</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52388-2024</t>
        </is>
      </c>
      <c r="B205" s="1" t="n">
        <v>45609.42939814815</v>
      </c>
      <c r="C205" s="1" t="n">
        <v>45994</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11918-2025</t>
        </is>
      </c>
      <c r="B206" s="1" t="n">
        <v>45728.49331018519</v>
      </c>
      <c r="C206" s="1" t="n">
        <v>45994</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53607-2023</t>
        </is>
      </c>
      <c r="B207" s="1" t="n">
        <v>45230</v>
      </c>
      <c r="C207" s="1" t="n">
        <v>45994</v>
      </c>
      <c r="D207" t="inlineStr">
        <is>
          <t>UPPSALA LÄN</t>
        </is>
      </c>
      <c r="E207" t="inlineStr">
        <is>
          <t>ENKÖPING</t>
        </is>
      </c>
      <c r="F207" t="inlineStr">
        <is>
          <t>Allmännings- och besparingsskogar</t>
        </is>
      </c>
      <c r="G207" t="n">
        <v>6.3</v>
      </c>
      <c r="H207" t="n">
        <v>0</v>
      </c>
      <c r="I207" t="n">
        <v>0</v>
      </c>
      <c r="J207" t="n">
        <v>0</v>
      </c>
      <c r="K207" t="n">
        <v>0</v>
      </c>
      <c r="L207" t="n">
        <v>0</v>
      </c>
      <c r="M207" t="n">
        <v>0</v>
      </c>
      <c r="N207" t="n">
        <v>0</v>
      </c>
      <c r="O207" t="n">
        <v>0</v>
      </c>
      <c r="P207" t="n">
        <v>0</v>
      </c>
      <c r="Q207" t="n">
        <v>0</v>
      </c>
      <c r="R207" s="2" t="inlineStr"/>
    </row>
    <row r="208" ht="15" customHeight="1">
      <c r="A208" t="inlineStr">
        <is>
          <t>A 31242-2024</t>
        </is>
      </c>
      <c r="B208" s="1" t="n">
        <v>45503</v>
      </c>
      <c r="C208" s="1" t="n">
        <v>45994</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40202-2024</t>
        </is>
      </c>
      <c r="B209" s="1" t="n">
        <v>45554</v>
      </c>
      <c r="C209" s="1" t="n">
        <v>45994</v>
      </c>
      <c r="D209" t="inlineStr">
        <is>
          <t>UPPSALA LÄN</t>
        </is>
      </c>
      <c r="E209" t="inlineStr">
        <is>
          <t>ENKÖPING</t>
        </is>
      </c>
      <c r="G209" t="n">
        <v>6.2</v>
      </c>
      <c r="H209" t="n">
        <v>0</v>
      </c>
      <c r="I209" t="n">
        <v>0</v>
      </c>
      <c r="J209" t="n">
        <v>0</v>
      </c>
      <c r="K209" t="n">
        <v>0</v>
      </c>
      <c r="L209" t="n">
        <v>0</v>
      </c>
      <c r="M209" t="n">
        <v>0</v>
      </c>
      <c r="N209" t="n">
        <v>0</v>
      </c>
      <c r="O209" t="n">
        <v>0</v>
      </c>
      <c r="P209" t="n">
        <v>0</v>
      </c>
      <c r="Q209" t="n">
        <v>0</v>
      </c>
      <c r="R209" s="2" t="inlineStr"/>
    </row>
    <row r="210" ht="15" customHeight="1">
      <c r="A210" t="inlineStr">
        <is>
          <t>A 845-2025</t>
        </is>
      </c>
      <c r="B210" s="1" t="n">
        <v>45665</v>
      </c>
      <c r="C210" s="1" t="n">
        <v>45994</v>
      </c>
      <c r="D210" t="inlineStr">
        <is>
          <t>UPPSALA LÄN</t>
        </is>
      </c>
      <c r="E210" t="inlineStr">
        <is>
          <t>ENKÖPING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849-2025</t>
        </is>
      </c>
      <c r="B211" s="1" t="n">
        <v>45665</v>
      </c>
      <c r="C211" s="1" t="n">
        <v>45994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48843-2023</t>
        </is>
      </c>
      <c r="B212" s="1" t="n">
        <v>45209</v>
      </c>
      <c r="C212" s="1" t="n">
        <v>45994</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33670-2024</t>
        </is>
      </c>
      <c r="B213" s="1" t="n">
        <v>45520</v>
      </c>
      <c r="C213" s="1" t="n">
        <v>45994</v>
      </c>
      <c r="D213" t="inlineStr">
        <is>
          <t>UPPSALA LÄN</t>
        </is>
      </c>
      <c r="E213" t="inlineStr">
        <is>
          <t>ENKÖPING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8306-2021</t>
        </is>
      </c>
      <c r="B214" s="1" t="n">
        <v>44244</v>
      </c>
      <c r="C214" s="1" t="n">
        <v>45994</v>
      </c>
      <c r="D214" t="inlineStr">
        <is>
          <t>UPPSALA LÄN</t>
        </is>
      </c>
      <c r="E214" t="inlineStr">
        <is>
          <t>ENKÖPING</t>
        </is>
      </c>
      <c r="G214" t="n">
        <v>14.9</v>
      </c>
      <c r="H214" t="n">
        <v>0</v>
      </c>
      <c r="I214" t="n">
        <v>0</v>
      </c>
      <c r="J214" t="n">
        <v>0</v>
      </c>
      <c r="K214" t="n">
        <v>0</v>
      </c>
      <c r="L214" t="n">
        <v>0</v>
      </c>
      <c r="M214" t="n">
        <v>0</v>
      </c>
      <c r="N214" t="n">
        <v>0</v>
      </c>
      <c r="O214" t="n">
        <v>0</v>
      </c>
      <c r="P214" t="n">
        <v>0</v>
      </c>
      <c r="Q214" t="n">
        <v>0</v>
      </c>
      <c r="R214" s="2" t="inlineStr"/>
    </row>
    <row r="215" ht="15" customHeight="1">
      <c r="A215" t="inlineStr">
        <is>
          <t>A 57152-2021</t>
        </is>
      </c>
      <c r="B215" s="1" t="n">
        <v>44482</v>
      </c>
      <c r="C215" s="1" t="n">
        <v>45994</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19376-2024</t>
        </is>
      </c>
      <c r="B216" s="1" t="n">
        <v>45429</v>
      </c>
      <c r="C216" s="1" t="n">
        <v>45994</v>
      </c>
      <c r="D216" t="inlineStr">
        <is>
          <t>UPPSALA LÄN</t>
        </is>
      </c>
      <c r="E216" t="inlineStr">
        <is>
          <t>ENKÖPING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34124-2021</t>
        </is>
      </c>
      <c r="B217" s="1" t="n">
        <v>44379</v>
      </c>
      <c r="C217" s="1" t="n">
        <v>45994</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28518-2024</t>
        </is>
      </c>
      <c r="B218" s="1" t="n">
        <v>45477</v>
      </c>
      <c r="C218" s="1" t="n">
        <v>45994</v>
      </c>
      <c r="D218" t="inlineStr">
        <is>
          <t>UPPSALA LÄN</t>
        </is>
      </c>
      <c r="E218" t="inlineStr">
        <is>
          <t>ENKÖPING</t>
        </is>
      </c>
      <c r="G218" t="n">
        <v>3.4</v>
      </c>
      <c r="H218" t="n">
        <v>0</v>
      </c>
      <c r="I218" t="n">
        <v>0</v>
      </c>
      <c r="J218" t="n">
        <v>0</v>
      </c>
      <c r="K218" t="n">
        <v>0</v>
      </c>
      <c r="L218" t="n">
        <v>0</v>
      </c>
      <c r="M218" t="n">
        <v>0</v>
      </c>
      <c r="N218" t="n">
        <v>0</v>
      </c>
      <c r="O218" t="n">
        <v>0</v>
      </c>
      <c r="P218" t="n">
        <v>0</v>
      </c>
      <c r="Q218" t="n">
        <v>0</v>
      </c>
      <c r="R218" s="2" t="inlineStr"/>
    </row>
    <row r="219" ht="15" customHeight="1">
      <c r="A219" t="inlineStr">
        <is>
          <t>A 52299-2023</t>
        </is>
      </c>
      <c r="B219" s="1" t="n">
        <v>45224.61636574074</v>
      </c>
      <c r="C219" s="1" t="n">
        <v>45994</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62158-2023</t>
        </is>
      </c>
      <c r="B220" s="1" t="n">
        <v>45267</v>
      </c>
      <c r="C220" s="1" t="n">
        <v>45994</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60350-2022</t>
        </is>
      </c>
      <c r="B221" s="1" t="n">
        <v>44910</v>
      </c>
      <c r="C221" s="1" t="n">
        <v>45994</v>
      </c>
      <c r="D221" t="inlineStr">
        <is>
          <t>UPPSALA LÄN</t>
        </is>
      </c>
      <c r="E221" t="inlineStr">
        <is>
          <t>ENKÖPING</t>
        </is>
      </c>
      <c r="F221" t="inlineStr">
        <is>
          <t>Allmännings- och besparingsskogar</t>
        </is>
      </c>
      <c r="G221" t="n">
        <v>3.5</v>
      </c>
      <c r="H221" t="n">
        <v>0</v>
      </c>
      <c r="I221" t="n">
        <v>0</v>
      </c>
      <c r="J221" t="n">
        <v>0</v>
      </c>
      <c r="K221" t="n">
        <v>0</v>
      </c>
      <c r="L221" t="n">
        <v>0</v>
      </c>
      <c r="M221" t="n">
        <v>0</v>
      </c>
      <c r="N221" t="n">
        <v>0</v>
      </c>
      <c r="O221" t="n">
        <v>0</v>
      </c>
      <c r="P221" t="n">
        <v>0</v>
      </c>
      <c r="Q221" t="n">
        <v>0</v>
      </c>
      <c r="R221" s="2" t="inlineStr"/>
    </row>
    <row r="222" ht="15" customHeight="1">
      <c r="A222" t="inlineStr">
        <is>
          <t>A 2850-2025</t>
        </is>
      </c>
      <c r="B222" s="1" t="n">
        <v>45677</v>
      </c>
      <c r="C222" s="1" t="n">
        <v>45994</v>
      </c>
      <c r="D222" t="inlineStr">
        <is>
          <t>UPPSALA LÄN</t>
        </is>
      </c>
      <c r="E222" t="inlineStr">
        <is>
          <t>ENKÖPING</t>
        </is>
      </c>
      <c r="G222" t="n">
        <v>0.3</v>
      </c>
      <c r="H222" t="n">
        <v>0</v>
      </c>
      <c r="I222" t="n">
        <v>0</v>
      </c>
      <c r="J222" t="n">
        <v>0</v>
      </c>
      <c r="K222" t="n">
        <v>0</v>
      </c>
      <c r="L222" t="n">
        <v>0</v>
      </c>
      <c r="M222" t="n">
        <v>0</v>
      </c>
      <c r="N222" t="n">
        <v>0</v>
      </c>
      <c r="O222" t="n">
        <v>0</v>
      </c>
      <c r="P222" t="n">
        <v>0</v>
      </c>
      <c r="Q222" t="n">
        <v>0</v>
      </c>
      <c r="R222" s="2" t="inlineStr"/>
    </row>
    <row r="223" ht="15" customHeight="1">
      <c r="A223" t="inlineStr">
        <is>
          <t>A 35647-2021</t>
        </is>
      </c>
      <c r="B223" s="1" t="n">
        <v>44386</v>
      </c>
      <c r="C223" s="1" t="n">
        <v>45994</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12020-2024</t>
        </is>
      </c>
      <c r="B224" s="1" t="n">
        <v>45377</v>
      </c>
      <c r="C224" s="1" t="n">
        <v>45994</v>
      </c>
      <c r="D224" t="inlineStr">
        <is>
          <t>UPPSALA LÄN</t>
        </is>
      </c>
      <c r="E224" t="inlineStr">
        <is>
          <t>ENKÖPING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30634-2022</t>
        </is>
      </c>
      <c r="B225" s="1" t="n">
        <v>44763.45711805556</v>
      </c>
      <c r="C225" s="1" t="n">
        <v>45994</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18259-2025</t>
        </is>
      </c>
      <c r="B226" s="1" t="n">
        <v>45762</v>
      </c>
      <c r="C226" s="1" t="n">
        <v>45994</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10465-2022</t>
        </is>
      </c>
      <c r="B227" s="1" t="n">
        <v>44623</v>
      </c>
      <c r="C227" s="1" t="n">
        <v>45994</v>
      </c>
      <c r="D227" t="inlineStr">
        <is>
          <t>UPPSALA LÄN</t>
        </is>
      </c>
      <c r="E227" t="inlineStr">
        <is>
          <t>ENKÖPING</t>
        </is>
      </c>
      <c r="G227" t="n">
        <v>1.7</v>
      </c>
      <c r="H227" t="n">
        <v>0</v>
      </c>
      <c r="I227" t="n">
        <v>0</v>
      </c>
      <c r="J227" t="n">
        <v>0</v>
      </c>
      <c r="K227" t="n">
        <v>0</v>
      </c>
      <c r="L227" t="n">
        <v>0</v>
      </c>
      <c r="M227" t="n">
        <v>0</v>
      </c>
      <c r="N227" t="n">
        <v>0</v>
      </c>
      <c r="O227" t="n">
        <v>0</v>
      </c>
      <c r="P227" t="n">
        <v>0</v>
      </c>
      <c r="Q227" t="n">
        <v>0</v>
      </c>
      <c r="R227" s="2" t="inlineStr"/>
    </row>
    <row r="228" ht="15" customHeight="1">
      <c r="A228" t="inlineStr">
        <is>
          <t>A 14332-2024</t>
        </is>
      </c>
      <c r="B228" s="1" t="n">
        <v>45393</v>
      </c>
      <c r="C228" s="1" t="n">
        <v>45994</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61207-2023</t>
        </is>
      </c>
      <c r="B229" s="1" t="n">
        <v>45264.39444444444</v>
      </c>
      <c r="C229" s="1" t="n">
        <v>45994</v>
      </c>
      <c r="D229" t="inlineStr">
        <is>
          <t>UPPSALA LÄN</t>
        </is>
      </c>
      <c r="E229" t="inlineStr">
        <is>
          <t>ENKÖPING</t>
        </is>
      </c>
      <c r="G229" t="n">
        <v>10.8</v>
      </c>
      <c r="H229" t="n">
        <v>0</v>
      </c>
      <c r="I229" t="n">
        <v>0</v>
      </c>
      <c r="J229" t="n">
        <v>0</v>
      </c>
      <c r="K229" t="n">
        <v>0</v>
      </c>
      <c r="L229" t="n">
        <v>0</v>
      </c>
      <c r="M229" t="n">
        <v>0</v>
      </c>
      <c r="N229" t="n">
        <v>0</v>
      </c>
      <c r="O229" t="n">
        <v>0</v>
      </c>
      <c r="P229" t="n">
        <v>0</v>
      </c>
      <c r="Q229" t="n">
        <v>0</v>
      </c>
      <c r="R229" s="2" t="inlineStr"/>
    </row>
    <row r="230" ht="15" customHeight="1">
      <c r="A230" t="inlineStr">
        <is>
          <t>A 22156-2025</t>
        </is>
      </c>
      <c r="B230" s="1" t="n">
        <v>45785.57512731481</v>
      </c>
      <c r="C230" s="1" t="n">
        <v>45994</v>
      </c>
      <c r="D230" t="inlineStr">
        <is>
          <t>UPPSALA LÄN</t>
        </is>
      </c>
      <c r="E230" t="inlineStr">
        <is>
          <t>ENKÖPING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22150-2025</t>
        </is>
      </c>
      <c r="B231" s="1" t="n">
        <v>45785.56398148148</v>
      </c>
      <c r="C231" s="1" t="n">
        <v>45994</v>
      </c>
      <c r="D231" t="inlineStr">
        <is>
          <t>UPPSALA LÄN</t>
        </is>
      </c>
      <c r="E231" t="inlineStr">
        <is>
          <t>ENKÖPING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14004-2023</t>
        </is>
      </c>
      <c r="B232" s="1" t="n">
        <v>45008</v>
      </c>
      <c r="C232" s="1" t="n">
        <v>45994</v>
      </c>
      <c r="D232" t="inlineStr">
        <is>
          <t>UPPSALA LÄN</t>
        </is>
      </c>
      <c r="E232" t="inlineStr">
        <is>
          <t>ENKÖPING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52005-2024</t>
        </is>
      </c>
      <c r="B233" s="1" t="n">
        <v>45607.7627662037</v>
      </c>
      <c r="C233" s="1" t="n">
        <v>45994</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40812-2022</t>
        </is>
      </c>
      <c r="B234" s="1" t="n">
        <v>44824.68791666667</v>
      </c>
      <c r="C234" s="1" t="n">
        <v>45994</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1960-2022</t>
        </is>
      </c>
      <c r="B235" s="1" t="n">
        <v>44575</v>
      </c>
      <c r="C235" s="1" t="n">
        <v>45994</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6157-2021</t>
        </is>
      </c>
      <c r="B236" s="1" t="n">
        <v>44232</v>
      </c>
      <c r="C236" s="1" t="n">
        <v>45994</v>
      </c>
      <c r="D236" t="inlineStr">
        <is>
          <t>UPPSALA LÄN</t>
        </is>
      </c>
      <c r="E236" t="inlineStr">
        <is>
          <t>ENKÖPING</t>
        </is>
      </c>
      <c r="G236" t="n">
        <v>3.9</v>
      </c>
      <c r="H236" t="n">
        <v>0</v>
      </c>
      <c r="I236" t="n">
        <v>0</v>
      </c>
      <c r="J236" t="n">
        <v>0</v>
      </c>
      <c r="K236" t="n">
        <v>0</v>
      </c>
      <c r="L236" t="n">
        <v>0</v>
      </c>
      <c r="M236" t="n">
        <v>0</v>
      </c>
      <c r="N236" t="n">
        <v>0</v>
      </c>
      <c r="O236" t="n">
        <v>0</v>
      </c>
      <c r="P236" t="n">
        <v>0</v>
      </c>
      <c r="Q236" t="n">
        <v>0</v>
      </c>
      <c r="R236" s="2" t="inlineStr"/>
    </row>
    <row r="237" ht="15" customHeight="1">
      <c r="A237" t="inlineStr">
        <is>
          <t>A 10458-2022</t>
        </is>
      </c>
      <c r="B237" s="1" t="n">
        <v>44623.56711805556</v>
      </c>
      <c r="C237" s="1" t="n">
        <v>45994</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43691-2024</t>
        </is>
      </c>
      <c r="B238" s="1" t="n">
        <v>45569</v>
      </c>
      <c r="C238" s="1" t="n">
        <v>45994</v>
      </c>
      <c r="D238" t="inlineStr">
        <is>
          <t>UPPSALA LÄN</t>
        </is>
      </c>
      <c r="E238" t="inlineStr">
        <is>
          <t>ENKÖPING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44115-2024</t>
        </is>
      </c>
      <c r="B239" s="1" t="n">
        <v>45572</v>
      </c>
      <c r="C239" s="1" t="n">
        <v>45994</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9957-2023</t>
        </is>
      </c>
      <c r="B240" s="1" t="n">
        <v>44978</v>
      </c>
      <c r="C240" s="1" t="n">
        <v>45994</v>
      </c>
      <c r="D240" t="inlineStr">
        <is>
          <t>UPPSALA LÄN</t>
        </is>
      </c>
      <c r="E240" t="inlineStr">
        <is>
          <t>ENKÖPING</t>
        </is>
      </c>
      <c r="G240" t="n">
        <v>5.9</v>
      </c>
      <c r="H240" t="n">
        <v>0</v>
      </c>
      <c r="I240" t="n">
        <v>0</v>
      </c>
      <c r="J240" t="n">
        <v>0</v>
      </c>
      <c r="K240" t="n">
        <v>0</v>
      </c>
      <c r="L240" t="n">
        <v>0</v>
      </c>
      <c r="M240" t="n">
        <v>0</v>
      </c>
      <c r="N240" t="n">
        <v>0</v>
      </c>
      <c r="O240" t="n">
        <v>0</v>
      </c>
      <c r="P240" t="n">
        <v>0</v>
      </c>
      <c r="Q240" t="n">
        <v>0</v>
      </c>
      <c r="R240" s="2" t="inlineStr"/>
    </row>
    <row r="241" ht="15" customHeight="1">
      <c r="A241" t="inlineStr">
        <is>
          <t>A 49627-2024</t>
        </is>
      </c>
      <c r="B241" s="1" t="n">
        <v>45596.59140046296</v>
      </c>
      <c r="C241" s="1" t="n">
        <v>45994</v>
      </c>
      <c r="D241" t="inlineStr">
        <is>
          <t>UPPSALA LÄN</t>
        </is>
      </c>
      <c r="E241" t="inlineStr">
        <is>
          <t>ENKÖPING</t>
        </is>
      </c>
      <c r="G241" t="n">
        <v>0.4</v>
      </c>
      <c r="H241" t="n">
        <v>0</v>
      </c>
      <c r="I241" t="n">
        <v>0</v>
      </c>
      <c r="J241" t="n">
        <v>0</v>
      </c>
      <c r="K241" t="n">
        <v>0</v>
      </c>
      <c r="L241" t="n">
        <v>0</v>
      </c>
      <c r="M241" t="n">
        <v>0</v>
      </c>
      <c r="N241" t="n">
        <v>0</v>
      </c>
      <c r="O241" t="n">
        <v>0</v>
      </c>
      <c r="P241" t="n">
        <v>0</v>
      </c>
      <c r="Q241" t="n">
        <v>0</v>
      </c>
      <c r="R241" s="2" t="inlineStr"/>
    </row>
    <row r="242" ht="15" customHeight="1">
      <c r="A242" t="inlineStr">
        <is>
          <t>A 57998-2024</t>
        </is>
      </c>
      <c r="B242" s="1" t="n">
        <v>45631</v>
      </c>
      <c r="C242" s="1" t="n">
        <v>45994</v>
      </c>
      <c r="D242" t="inlineStr">
        <is>
          <t>UPPSALA LÄN</t>
        </is>
      </c>
      <c r="E242" t="inlineStr">
        <is>
          <t>ENKÖPING</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25333-2023</t>
        </is>
      </c>
      <c r="B243" s="1" t="n">
        <v>45083</v>
      </c>
      <c r="C243" s="1" t="n">
        <v>45994</v>
      </c>
      <c r="D243" t="inlineStr">
        <is>
          <t>UPPSALA LÄN</t>
        </is>
      </c>
      <c r="E243" t="inlineStr">
        <is>
          <t>ENKÖPING</t>
        </is>
      </c>
      <c r="G243" t="n">
        <v>2.7</v>
      </c>
      <c r="H243" t="n">
        <v>0</v>
      </c>
      <c r="I243" t="n">
        <v>0</v>
      </c>
      <c r="J243" t="n">
        <v>0</v>
      </c>
      <c r="K243" t="n">
        <v>0</v>
      </c>
      <c r="L243" t="n">
        <v>0</v>
      </c>
      <c r="M243" t="n">
        <v>0</v>
      </c>
      <c r="N243" t="n">
        <v>0</v>
      </c>
      <c r="O243" t="n">
        <v>0</v>
      </c>
      <c r="P243" t="n">
        <v>0</v>
      </c>
      <c r="Q243" t="n">
        <v>0</v>
      </c>
      <c r="R243" s="2" t="inlineStr"/>
    </row>
    <row r="244" ht="15" customHeight="1">
      <c r="A244" t="inlineStr">
        <is>
          <t>A 9667-2024</t>
        </is>
      </c>
      <c r="B244" s="1" t="n">
        <v>45362.45130787037</v>
      </c>
      <c r="C244" s="1" t="n">
        <v>45994</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3300-2025</t>
        </is>
      </c>
      <c r="B245" s="1" t="n">
        <v>45679</v>
      </c>
      <c r="C245" s="1" t="n">
        <v>45994</v>
      </c>
      <c r="D245" t="inlineStr">
        <is>
          <t>UPPSALA LÄN</t>
        </is>
      </c>
      <c r="E245" t="inlineStr">
        <is>
          <t>ENKÖPING</t>
        </is>
      </c>
      <c r="G245" t="n">
        <v>8.9</v>
      </c>
      <c r="H245" t="n">
        <v>0</v>
      </c>
      <c r="I245" t="n">
        <v>0</v>
      </c>
      <c r="J245" t="n">
        <v>0</v>
      </c>
      <c r="K245" t="n">
        <v>0</v>
      </c>
      <c r="L245" t="n">
        <v>0</v>
      </c>
      <c r="M245" t="n">
        <v>0</v>
      </c>
      <c r="N245" t="n">
        <v>0</v>
      </c>
      <c r="O245" t="n">
        <v>0</v>
      </c>
      <c r="P245" t="n">
        <v>0</v>
      </c>
      <c r="Q245" t="n">
        <v>0</v>
      </c>
      <c r="R245" s="2" t="inlineStr"/>
    </row>
    <row r="246" ht="15" customHeight="1">
      <c r="A246" t="inlineStr">
        <is>
          <t>A 30087-2024</t>
        </is>
      </c>
      <c r="B246" s="1" t="n">
        <v>45489.39447916667</v>
      </c>
      <c r="C246" s="1" t="n">
        <v>45994</v>
      </c>
      <c r="D246" t="inlineStr">
        <is>
          <t>UPPSALA LÄN</t>
        </is>
      </c>
      <c r="E246" t="inlineStr">
        <is>
          <t>ENKÖPING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63402-2023</t>
        </is>
      </c>
      <c r="B247" s="1" t="n">
        <v>45274.50646990741</v>
      </c>
      <c r="C247" s="1" t="n">
        <v>45994</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35645-2021</t>
        </is>
      </c>
      <c r="B248" s="1" t="n">
        <v>44386.42</v>
      </c>
      <c r="C248" s="1" t="n">
        <v>45994</v>
      </c>
      <c r="D248" t="inlineStr">
        <is>
          <t>UPPSALA LÄN</t>
        </is>
      </c>
      <c r="E248" t="inlineStr">
        <is>
          <t>ENKÖPING</t>
        </is>
      </c>
      <c r="G248" t="n">
        <v>2.7</v>
      </c>
      <c r="H248" t="n">
        <v>0</v>
      </c>
      <c r="I248" t="n">
        <v>0</v>
      </c>
      <c r="J248" t="n">
        <v>0</v>
      </c>
      <c r="K248" t="n">
        <v>0</v>
      </c>
      <c r="L248" t="n">
        <v>0</v>
      </c>
      <c r="M248" t="n">
        <v>0</v>
      </c>
      <c r="N248" t="n">
        <v>0</v>
      </c>
      <c r="O248" t="n">
        <v>0</v>
      </c>
      <c r="P248" t="n">
        <v>0</v>
      </c>
      <c r="Q248" t="n">
        <v>0</v>
      </c>
      <c r="R248" s="2" t="inlineStr"/>
    </row>
    <row r="249" ht="15" customHeight="1">
      <c r="A249" t="inlineStr">
        <is>
          <t>A 12754-2025</t>
        </is>
      </c>
      <c r="B249" s="1" t="n">
        <v>45733.56331018519</v>
      </c>
      <c r="C249" s="1" t="n">
        <v>45994</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54776-2024</t>
        </is>
      </c>
      <c r="B250" s="1" t="n">
        <v>45618</v>
      </c>
      <c r="C250" s="1" t="n">
        <v>45994</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16916-2023</t>
        </is>
      </c>
      <c r="B251" s="1" t="n">
        <v>45033.58347222222</v>
      </c>
      <c r="C251" s="1" t="n">
        <v>45994</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22729-2025</t>
        </is>
      </c>
      <c r="B252" s="1" t="n">
        <v>45789.57790509259</v>
      </c>
      <c r="C252" s="1" t="n">
        <v>45994</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56886-2023</t>
        </is>
      </c>
      <c r="B253" s="1" t="n">
        <v>45239</v>
      </c>
      <c r="C253" s="1" t="n">
        <v>45994</v>
      </c>
      <c r="D253" t="inlineStr">
        <is>
          <t>UPPSALA LÄN</t>
        </is>
      </c>
      <c r="E253" t="inlineStr">
        <is>
          <t>ENKÖPING</t>
        </is>
      </c>
      <c r="G253" t="n">
        <v>2</v>
      </c>
      <c r="H253" t="n">
        <v>0</v>
      </c>
      <c r="I253" t="n">
        <v>0</v>
      </c>
      <c r="J253" t="n">
        <v>0</v>
      </c>
      <c r="K253" t="n">
        <v>0</v>
      </c>
      <c r="L253" t="n">
        <v>0</v>
      </c>
      <c r="M253" t="n">
        <v>0</v>
      </c>
      <c r="N253" t="n">
        <v>0</v>
      </c>
      <c r="O253" t="n">
        <v>0</v>
      </c>
      <c r="P253" t="n">
        <v>0</v>
      </c>
      <c r="Q253" t="n">
        <v>0</v>
      </c>
      <c r="R253" s="2" t="inlineStr"/>
    </row>
    <row r="254" ht="15" customHeight="1">
      <c r="A254" t="inlineStr">
        <is>
          <t>A 14518-2025</t>
        </is>
      </c>
      <c r="B254" s="1" t="n">
        <v>45741</v>
      </c>
      <c r="C254" s="1" t="n">
        <v>45994</v>
      </c>
      <c r="D254" t="inlineStr">
        <is>
          <t>UPPSALA LÄN</t>
        </is>
      </c>
      <c r="E254" t="inlineStr">
        <is>
          <t>ENKÖPING</t>
        </is>
      </c>
      <c r="G254" t="n">
        <v>2</v>
      </c>
      <c r="H254" t="n">
        <v>0</v>
      </c>
      <c r="I254" t="n">
        <v>0</v>
      </c>
      <c r="J254" t="n">
        <v>0</v>
      </c>
      <c r="K254" t="n">
        <v>0</v>
      </c>
      <c r="L254" t="n">
        <v>0</v>
      </c>
      <c r="M254" t="n">
        <v>0</v>
      </c>
      <c r="N254" t="n">
        <v>0</v>
      </c>
      <c r="O254" t="n">
        <v>0</v>
      </c>
      <c r="P254" t="n">
        <v>0</v>
      </c>
      <c r="Q254" t="n">
        <v>0</v>
      </c>
      <c r="R254" s="2" t="inlineStr"/>
    </row>
    <row r="255" ht="15" customHeight="1">
      <c r="A255" t="inlineStr">
        <is>
          <t>A 15711-2025</t>
        </is>
      </c>
      <c r="B255" s="1" t="n">
        <v>45748</v>
      </c>
      <c r="C255" s="1" t="n">
        <v>45994</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22677-2025</t>
        </is>
      </c>
      <c r="B256" s="1" t="n">
        <v>45789.49515046296</v>
      </c>
      <c r="C256" s="1" t="n">
        <v>45994</v>
      </c>
      <c r="D256" t="inlineStr">
        <is>
          <t>UPPSALA LÄN</t>
        </is>
      </c>
      <c r="E256" t="inlineStr">
        <is>
          <t>ENKÖPING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28318-2024</t>
        </is>
      </c>
      <c r="B257" s="1" t="n">
        <v>45477</v>
      </c>
      <c r="C257" s="1" t="n">
        <v>45994</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16176-2025</t>
        </is>
      </c>
      <c r="B258" s="1" t="n">
        <v>45750</v>
      </c>
      <c r="C258" s="1" t="n">
        <v>45994</v>
      </c>
      <c r="D258" t="inlineStr">
        <is>
          <t>UPPSALA LÄN</t>
        </is>
      </c>
      <c r="E258" t="inlineStr">
        <is>
          <t>ENKÖPING</t>
        </is>
      </c>
      <c r="G258" t="n">
        <v>3.9</v>
      </c>
      <c r="H258" t="n">
        <v>0</v>
      </c>
      <c r="I258" t="n">
        <v>0</v>
      </c>
      <c r="J258" t="n">
        <v>0</v>
      </c>
      <c r="K258" t="n">
        <v>0</v>
      </c>
      <c r="L258" t="n">
        <v>0</v>
      </c>
      <c r="M258" t="n">
        <v>0</v>
      </c>
      <c r="N258" t="n">
        <v>0</v>
      </c>
      <c r="O258" t="n">
        <v>0</v>
      </c>
      <c r="P258" t="n">
        <v>0</v>
      </c>
      <c r="Q258" t="n">
        <v>0</v>
      </c>
      <c r="R258" s="2" t="inlineStr"/>
    </row>
    <row r="259" ht="15" customHeight="1">
      <c r="A259" t="inlineStr">
        <is>
          <t>A 22679-2025</t>
        </is>
      </c>
      <c r="B259" s="1" t="n">
        <v>45789.49747685185</v>
      </c>
      <c r="C259" s="1" t="n">
        <v>45994</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56713-2024</t>
        </is>
      </c>
      <c r="B260" s="1" t="n">
        <v>45628</v>
      </c>
      <c r="C260" s="1" t="n">
        <v>45994</v>
      </c>
      <c r="D260" t="inlineStr">
        <is>
          <t>UPPSALA LÄN</t>
        </is>
      </c>
      <c r="E260" t="inlineStr">
        <is>
          <t>ENKÖPING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22770-2025</t>
        </is>
      </c>
      <c r="B261" s="1" t="n">
        <v>45789.63454861111</v>
      </c>
      <c r="C261" s="1" t="n">
        <v>45994</v>
      </c>
      <c r="D261" t="inlineStr">
        <is>
          <t>UPPSALA LÄN</t>
        </is>
      </c>
      <c r="E261" t="inlineStr">
        <is>
          <t>ENKÖPING</t>
        </is>
      </c>
      <c r="G261" t="n">
        <v>4.5</v>
      </c>
      <c r="H261" t="n">
        <v>0</v>
      </c>
      <c r="I261" t="n">
        <v>0</v>
      </c>
      <c r="J261" t="n">
        <v>0</v>
      </c>
      <c r="K261" t="n">
        <v>0</v>
      </c>
      <c r="L261" t="n">
        <v>0</v>
      </c>
      <c r="M261" t="n">
        <v>0</v>
      </c>
      <c r="N261" t="n">
        <v>0</v>
      </c>
      <c r="O261" t="n">
        <v>0</v>
      </c>
      <c r="P261" t="n">
        <v>0</v>
      </c>
      <c r="Q261" t="n">
        <v>0</v>
      </c>
      <c r="R261" s="2" t="inlineStr"/>
    </row>
    <row r="262" ht="15" customHeight="1">
      <c r="A262" t="inlineStr">
        <is>
          <t>A 22800-2025</t>
        </is>
      </c>
      <c r="B262" s="1" t="n">
        <v>45789.6669212963</v>
      </c>
      <c r="C262" s="1" t="n">
        <v>45994</v>
      </c>
      <c r="D262" t="inlineStr">
        <is>
          <t>UPPSALA LÄN</t>
        </is>
      </c>
      <c r="E262" t="inlineStr">
        <is>
          <t>ENKÖPING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69344-2021</t>
        </is>
      </c>
      <c r="B263" s="1" t="n">
        <v>44531</v>
      </c>
      <c r="C263" s="1" t="n">
        <v>45994</v>
      </c>
      <c r="D263" t="inlineStr">
        <is>
          <t>UPPSALA LÄN</t>
        </is>
      </c>
      <c r="E263" t="inlineStr">
        <is>
          <t>ENKÖPING</t>
        </is>
      </c>
      <c r="G263" t="n">
        <v>2.9</v>
      </c>
      <c r="H263" t="n">
        <v>0</v>
      </c>
      <c r="I263" t="n">
        <v>0</v>
      </c>
      <c r="J263" t="n">
        <v>0</v>
      </c>
      <c r="K263" t="n">
        <v>0</v>
      </c>
      <c r="L263" t="n">
        <v>0</v>
      </c>
      <c r="M263" t="n">
        <v>0</v>
      </c>
      <c r="N263" t="n">
        <v>0</v>
      </c>
      <c r="O263" t="n">
        <v>0</v>
      </c>
      <c r="P263" t="n">
        <v>0</v>
      </c>
      <c r="Q263" t="n">
        <v>0</v>
      </c>
      <c r="R263" s="2" t="inlineStr"/>
    </row>
    <row r="264" ht="15" customHeight="1">
      <c r="A264" t="inlineStr">
        <is>
          <t>A 37870-2023</t>
        </is>
      </c>
      <c r="B264" s="1" t="n">
        <v>45160.41996527778</v>
      </c>
      <c r="C264" s="1" t="n">
        <v>45994</v>
      </c>
      <c r="D264" t="inlineStr">
        <is>
          <t>UPPSALA LÄN</t>
        </is>
      </c>
      <c r="E264" t="inlineStr">
        <is>
          <t>ENKÖPING</t>
        </is>
      </c>
      <c r="G264" t="n">
        <v>3.5</v>
      </c>
      <c r="H264" t="n">
        <v>0</v>
      </c>
      <c r="I264" t="n">
        <v>0</v>
      </c>
      <c r="J264" t="n">
        <v>0</v>
      </c>
      <c r="K264" t="n">
        <v>0</v>
      </c>
      <c r="L264" t="n">
        <v>0</v>
      </c>
      <c r="M264" t="n">
        <v>0</v>
      </c>
      <c r="N264" t="n">
        <v>0</v>
      </c>
      <c r="O264" t="n">
        <v>0</v>
      </c>
      <c r="P264" t="n">
        <v>0</v>
      </c>
      <c r="Q264" t="n">
        <v>0</v>
      </c>
      <c r="R264" s="2" t="inlineStr"/>
    </row>
    <row r="265" ht="15" customHeight="1">
      <c r="A265" t="inlineStr">
        <is>
          <t>A 22094-2023</t>
        </is>
      </c>
      <c r="B265" s="1" t="n">
        <v>45069</v>
      </c>
      <c r="C265" s="1" t="n">
        <v>45994</v>
      </c>
      <c r="D265" t="inlineStr">
        <is>
          <t>UPPSALA LÄN</t>
        </is>
      </c>
      <c r="E265" t="inlineStr">
        <is>
          <t>ENKÖPING</t>
        </is>
      </c>
      <c r="G265" t="n">
        <v>2.1</v>
      </c>
      <c r="H265" t="n">
        <v>0</v>
      </c>
      <c r="I265" t="n">
        <v>0</v>
      </c>
      <c r="J265" t="n">
        <v>0</v>
      </c>
      <c r="K265" t="n">
        <v>0</v>
      </c>
      <c r="L265" t="n">
        <v>0</v>
      </c>
      <c r="M265" t="n">
        <v>0</v>
      </c>
      <c r="N265" t="n">
        <v>0</v>
      </c>
      <c r="O265" t="n">
        <v>0</v>
      </c>
      <c r="P265" t="n">
        <v>0</v>
      </c>
      <c r="Q265" t="n">
        <v>0</v>
      </c>
      <c r="R265" s="2" t="inlineStr"/>
    </row>
    <row r="266" ht="15" customHeight="1">
      <c r="A266" t="inlineStr">
        <is>
          <t>A 51524-2022</t>
        </is>
      </c>
      <c r="B266" s="1" t="n">
        <v>44869</v>
      </c>
      <c r="C266" s="1" t="n">
        <v>45994</v>
      </c>
      <c r="D266" t="inlineStr">
        <is>
          <t>UPPSALA LÄN</t>
        </is>
      </c>
      <c r="E266" t="inlineStr">
        <is>
          <t>ENKÖPING</t>
        </is>
      </c>
      <c r="G266" t="n">
        <v>6.6</v>
      </c>
      <c r="H266" t="n">
        <v>0</v>
      </c>
      <c r="I266" t="n">
        <v>0</v>
      </c>
      <c r="J266" t="n">
        <v>0</v>
      </c>
      <c r="K266" t="n">
        <v>0</v>
      </c>
      <c r="L266" t="n">
        <v>0</v>
      </c>
      <c r="M266" t="n">
        <v>0</v>
      </c>
      <c r="N266" t="n">
        <v>0</v>
      </c>
      <c r="O266" t="n">
        <v>0</v>
      </c>
      <c r="P266" t="n">
        <v>0</v>
      </c>
      <c r="Q266" t="n">
        <v>0</v>
      </c>
      <c r="R266" s="2" t="inlineStr"/>
    </row>
    <row r="267" ht="15" customHeight="1">
      <c r="A267" t="inlineStr">
        <is>
          <t>A 18592-2021</t>
        </is>
      </c>
      <c r="B267" s="1" t="n">
        <v>44306</v>
      </c>
      <c r="C267" s="1" t="n">
        <v>45994</v>
      </c>
      <c r="D267" t="inlineStr">
        <is>
          <t>UPPSALA LÄN</t>
        </is>
      </c>
      <c r="E267" t="inlineStr">
        <is>
          <t>ENKÖPING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15405-2025</t>
        </is>
      </c>
      <c r="B268" s="1" t="n">
        <v>45747.44670138889</v>
      </c>
      <c r="C268" s="1" t="n">
        <v>45994</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6356-2022</t>
        </is>
      </c>
      <c r="B269" s="1" t="n">
        <v>44600</v>
      </c>
      <c r="C269" s="1" t="n">
        <v>45994</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6981-2025</t>
        </is>
      </c>
      <c r="B270" s="1" t="n">
        <v>45701</v>
      </c>
      <c r="C270" s="1" t="n">
        <v>45994</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35079-2024</t>
        </is>
      </c>
      <c r="B271" s="1" t="n">
        <v>45527.66770833333</v>
      </c>
      <c r="C271" s="1" t="n">
        <v>45994</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22786-2025</t>
        </is>
      </c>
      <c r="B272" s="1" t="n">
        <v>45789.64643518518</v>
      </c>
      <c r="C272" s="1" t="n">
        <v>45994</v>
      </c>
      <c r="D272" t="inlineStr">
        <is>
          <t>UPPSALA LÄN</t>
        </is>
      </c>
      <c r="E272" t="inlineStr">
        <is>
          <t>ENKÖPING</t>
        </is>
      </c>
      <c r="G272" t="n">
        <v>0.9</v>
      </c>
      <c r="H272" t="n">
        <v>0</v>
      </c>
      <c r="I272" t="n">
        <v>0</v>
      </c>
      <c r="J272" t="n">
        <v>0</v>
      </c>
      <c r="K272" t="n">
        <v>0</v>
      </c>
      <c r="L272" t="n">
        <v>0</v>
      </c>
      <c r="M272" t="n">
        <v>0</v>
      </c>
      <c r="N272" t="n">
        <v>0</v>
      </c>
      <c r="O272" t="n">
        <v>0</v>
      </c>
      <c r="P272" t="n">
        <v>0</v>
      </c>
      <c r="Q272" t="n">
        <v>0</v>
      </c>
      <c r="R272" s="2" t="inlineStr"/>
    </row>
    <row r="273" ht="15" customHeight="1">
      <c r="A273" t="inlineStr">
        <is>
          <t>A 46103-2023</t>
        </is>
      </c>
      <c r="B273" s="1" t="n">
        <v>45190</v>
      </c>
      <c r="C273" s="1" t="n">
        <v>45994</v>
      </c>
      <c r="D273" t="inlineStr">
        <is>
          <t>UPPSALA LÄN</t>
        </is>
      </c>
      <c r="E273" t="inlineStr">
        <is>
          <t>ENKÖPING</t>
        </is>
      </c>
      <c r="G273" t="n">
        <v>4.6</v>
      </c>
      <c r="H273" t="n">
        <v>0</v>
      </c>
      <c r="I273" t="n">
        <v>0</v>
      </c>
      <c r="J273" t="n">
        <v>0</v>
      </c>
      <c r="K273" t="n">
        <v>0</v>
      </c>
      <c r="L273" t="n">
        <v>0</v>
      </c>
      <c r="M273" t="n">
        <v>0</v>
      </c>
      <c r="N273" t="n">
        <v>0</v>
      </c>
      <c r="O273" t="n">
        <v>0</v>
      </c>
      <c r="P273" t="n">
        <v>0</v>
      </c>
      <c r="Q273" t="n">
        <v>0</v>
      </c>
      <c r="R273" s="2" t="inlineStr"/>
    </row>
    <row r="274" ht="15" customHeight="1">
      <c r="A274" t="inlineStr">
        <is>
          <t>A 33581-2023</t>
        </is>
      </c>
      <c r="B274" s="1" t="n">
        <v>45131</v>
      </c>
      <c r="C274" s="1" t="n">
        <v>45994</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13816-2021</t>
        </is>
      </c>
      <c r="B275" s="1" t="n">
        <v>44276</v>
      </c>
      <c r="C275" s="1" t="n">
        <v>45994</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41737-2022</t>
        </is>
      </c>
      <c r="B276" s="1" t="n">
        <v>44827.63826388889</v>
      </c>
      <c r="C276" s="1" t="n">
        <v>45994</v>
      </c>
      <c r="D276" t="inlineStr">
        <is>
          <t>UPPSALA LÄN</t>
        </is>
      </c>
      <c r="E276" t="inlineStr">
        <is>
          <t>ENKÖPING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8137-2025</t>
        </is>
      </c>
      <c r="B277" s="1" t="n">
        <v>45707.8561574074</v>
      </c>
      <c r="C277" s="1" t="n">
        <v>45994</v>
      </c>
      <c r="D277" t="inlineStr">
        <is>
          <t>UPPSALA LÄN</t>
        </is>
      </c>
      <c r="E277" t="inlineStr">
        <is>
          <t>ENKÖPING</t>
        </is>
      </c>
      <c r="G277" t="n">
        <v>0.4</v>
      </c>
      <c r="H277" t="n">
        <v>0</v>
      </c>
      <c r="I277" t="n">
        <v>0</v>
      </c>
      <c r="J277" t="n">
        <v>0</v>
      </c>
      <c r="K277" t="n">
        <v>0</v>
      </c>
      <c r="L277" t="n">
        <v>0</v>
      </c>
      <c r="M277" t="n">
        <v>0</v>
      </c>
      <c r="N277" t="n">
        <v>0</v>
      </c>
      <c r="O277" t="n">
        <v>0</v>
      </c>
      <c r="P277" t="n">
        <v>0</v>
      </c>
      <c r="Q277" t="n">
        <v>0</v>
      </c>
      <c r="R277" s="2" t="inlineStr"/>
    </row>
    <row r="278" ht="15" customHeight="1">
      <c r="A278" t="inlineStr">
        <is>
          <t>A 56163-2021</t>
        </is>
      </c>
      <c r="B278" s="1" t="n">
        <v>44477</v>
      </c>
      <c r="C278" s="1" t="n">
        <v>45994</v>
      </c>
      <c r="D278" t="inlineStr">
        <is>
          <t>UPPSALA LÄN</t>
        </is>
      </c>
      <c r="E278" t="inlineStr">
        <is>
          <t>ENKÖPING</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47909-2024</t>
        </is>
      </c>
      <c r="B279" s="1" t="n">
        <v>45589.31866898148</v>
      </c>
      <c r="C279" s="1" t="n">
        <v>45994</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68123-2021</t>
        </is>
      </c>
      <c r="B280" s="1" t="n">
        <v>44526.39126157408</v>
      </c>
      <c r="C280" s="1" t="n">
        <v>45994</v>
      </c>
      <c r="D280" t="inlineStr">
        <is>
          <t>UPPSALA LÄN</t>
        </is>
      </c>
      <c r="E280" t="inlineStr">
        <is>
          <t>ENKÖPING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51932-2022</t>
        </is>
      </c>
      <c r="B281" s="1" t="n">
        <v>44872</v>
      </c>
      <c r="C281" s="1" t="n">
        <v>45994</v>
      </c>
      <c r="D281" t="inlineStr">
        <is>
          <t>UPPSALA LÄN</t>
        </is>
      </c>
      <c r="E281" t="inlineStr">
        <is>
          <t>ENKÖPING</t>
        </is>
      </c>
      <c r="G281" t="n">
        <v>5.5</v>
      </c>
      <c r="H281" t="n">
        <v>0</v>
      </c>
      <c r="I281" t="n">
        <v>0</v>
      </c>
      <c r="J281" t="n">
        <v>0</v>
      </c>
      <c r="K281" t="n">
        <v>0</v>
      </c>
      <c r="L281" t="n">
        <v>0</v>
      </c>
      <c r="M281" t="n">
        <v>0</v>
      </c>
      <c r="N281" t="n">
        <v>0</v>
      </c>
      <c r="O281" t="n">
        <v>0</v>
      </c>
      <c r="P281" t="n">
        <v>0</v>
      </c>
      <c r="Q281" t="n">
        <v>0</v>
      </c>
      <c r="R281" s="2" t="inlineStr"/>
    </row>
    <row r="282" ht="15" customHeight="1">
      <c r="A282" t="inlineStr">
        <is>
          <t>A 23301-2024</t>
        </is>
      </c>
      <c r="B282" s="1" t="n">
        <v>45453.4396412037</v>
      </c>
      <c r="C282" s="1" t="n">
        <v>45994</v>
      </c>
      <c r="D282" t="inlineStr">
        <is>
          <t>UPPSALA LÄN</t>
        </is>
      </c>
      <c r="E282" t="inlineStr">
        <is>
          <t>ENKÖPING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52380-2024</t>
        </is>
      </c>
      <c r="B283" s="1" t="n">
        <v>45609</v>
      </c>
      <c r="C283" s="1" t="n">
        <v>45994</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22680-2025</t>
        </is>
      </c>
      <c r="B284" s="1" t="n">
        <v>45789.5005787037</v>
      </c>
      <c r="C284" s="1" t="n">
        <v>45994</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22802-2025</t>
        </is>
      </c>
      <c r="B285" s="1" t="n">
        <v>45789.6686574074</v>
      </c>
      <c r="C285" s="1" t="n">
        <v>45994</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45994</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30098-2024</t>
        </is>
      </c>
      <c r="B287" s="1" t="n">
        <v>45489.41609953704</v>
      </c>
      <c r="C287" s="1" t="n">
        <v>45994</v>
      </c>
      <c r="D287" t="inlineStr">
        <is>
          <t>UPPSALA LÄN</t>
        </is>
      </c>
      <c r="E287" t="inlineStr">
        <is>
          <t>ENKÖPING</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49614-2024</t>
        </is>
      </c>
      <c r="B288" s="1" t="n">
        <v>45596.57716435185</v>
      </c>
      <c r="C288" s="1" t="n">
        <v>45994</v>
      </c>
      <c r="D288" t="inlineStr">
        <is>
          <t>UPPSALA LÄN</t>
        </is>
      </c>
      <c r="E288" t="inlineStr">
        <is>
          <t>ENKÖPING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49632-2024</t>
        </is>
      </c>
      <c r="B289" s="1" t="n">
        <v>45596</v>
      </c>
      <c r="C289" s="1" t="n">
        <v>45994</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34735-2023</t>
        </is>
      </c>
      <c r="B290" s="1" t="n">
        <v>45139</v>
      </c>
      <c r="C290" s="1" t="n">
        <v>45994</v>
      </c>
      <c r="D290" t="inlineStr">
        <is>
          <t>UPPSALA LÄN</t>
        </is>
      </c>
      <c r="E290" t="inlineStr">
        <is>
          <t>ENKÖPING</t>
        </is>
      </c>
      <c r="G290" t="n">
        <v>1.4</v>
      </c>
      <c r="H290" t="n">
        <v>0</v>
      </c>
      <c r="I290" t="n">
        <v>0</v>
      </c>
      <c r="J290" t="n">
        <v>0</v>
      </c>
      <c r="K290" t="n">
        <v>0</v>
      </c>
      <c r="L290" t="n">
        <v>0</v>
      </c>
      <c r="M290" t="n">
        <v>0</v>
      </c>
      <c r="N290" t="n">
        <v>0</v>
      </c>
      <c r="O290" t="n">
        <v>0</v>
      </c>
      <c r="P290" t="n">
        <v>0</v>
      </c>
      <c r="Q290" t="n">
        <v>0</v>
      </c>
      <c r="R290" s="2" t="inlineStr"/>
    </row>
    <row r="291" ht="15" customHeight="1">
      <c r="A291" t="inlineStr">
        <is>
          <t>A 57328-2024</t>
        </is>
      </c>
      <c r="B291" s="1" t="n">
        <v>45629.62798611111</v>
      </c>
      <c r="C291" s="1" t="n">
        <v>45994</v>
      </c>
      <c r="D291" t="inlineStr">
        <is>
          <t>UPPSALA LÄN</t>
        </is>
      </c>
      <c r="E291" t="inlineStr">
        <is>
          <t>ENKÖPING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29479-2022</t>
        </is>
      </c>
      <c r="B292" s="1" t="n">
        <v>44753.57265046296</v>
      </c>
      <c r="C292" s="1" t="n">
        <v>45994</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22793-2025</t>
        </is>
      </c>
      <c r="B293" s="1" t="n">
        <v>45789.65693287037</v>
      </c>
      <c r="C293" s="1" t="n">
        <v>45994</v>
      </c>
      <c r="D293" t="inlineStr">
        <is>
          <t>UPPSALA LÄN</t>
        </is>
      </c>
      <c r="E293" t="inlineStr">
        <is>
          <t>ENKÖPING</t>
        </is>
      </c>
      <c r="G293" t="n">
        <v>3.2</v>
      </c>
      <c r="H293" t="n">
        <v>0</v>
      </c>
      <c r="I293" t="n">
        <v>0</v>
      </c>
      <c r="J293" t="n">
        <v>0</v>
      </c>
      <c r="K293" t="n">
        <v>0</v>
      </c>
      <c r="L293" t="n">
        <v>0</v>
      </c>
      <c r="M293" t="n">
        <v>0</v>
      </c>
      <c r="N293" t="n">
        <v>0</v>
      </c>
      <c r="O293" t="n">
        <v>0</v>
      </c>
      <c r="P293" t="n">
        <v>0</v>
      </c>
      <c r="Q293" t="n">
        <v>0</v>
      </c>
      <c r="R293" s="2" t="inlineStr"/>
    </row>
    <row r="294" ht="15" customHeight="1">
      <c r="A294" t="inlineStr">
        <is>
          <t>A 22795-2025</t>
        </is>
      </c>
      <c r="B294" s="1" t="n">
        <v>45789.65944444444</v>
      </c>
      <c r="C294" s="1" t="n">
        <v>45994</v>
      </c>
      <c r="D294" t="inlineStr">
        <is>
          <t>UPPSALA LÄN</t>
        </is>
      </c>
      <c r="E294" t="inlineStr">
        <is>
          <t>ENKÖPING</t>
        </is>
      </c>
      <c r="G294" t="n">
        <v>10.4</v>
      </c>
      <c r="H294" t="n">
        <v>0</v>
      </c>
      <c r="I294" t="n">
        <v>0</v>
      </c>
      <c r="J294" t="n">
        <v>0</v>
      </c>
      <c r="K294" t="n">
        <v>0</v>
      </c>
      <c r="L294" t="n">
        <v>0</v>
      </c>
      <c r="M294" t="n">
        <v>0</v>
      </c>
      <c r="N294" t="n">
        <v>0</v>
      </c>
      <c r="O294" t="n">
        <v>0</v>
      </c>
      <c r="P294" t="n">
        <v>0</v>
      </c>
      <c r="Q294" t="n">
        <v>0</v>
      </c>
      <c r="R294" s="2" t="inlineStr"/>
    </row>
    <row r="295" ht="15" customHeight="1">
      <c r="A295" t="inlineStr">
        <is>
          <t>A 22725-2025</t>
        </is>
      </c>
      <c r="B295" s="1" t="n">
        <v>45789.57371527778</v>
      </c>
      <c r="C295" s="1" t="n">
        <v>45994</v>
      </c>
      <c r="D295" t="inlineStr">
        <is>
          <t>UPPSALA LÄN</t>
        </is>
      </c>
      <c r="E295" t="inlineStr">
        <is>
          <t>ENKÖPING</t>
        </is>
      </c>
      <c r="G295" t="n">
        <v>4.8</v>
      </c>
      <c r="H295" t="n">
        <v>0</v>
      </c>
      <c r="I295" t="n">
        <v>0</v>
      </c>
      <c r="J295" t="n">
        <v>0</v>
      </c>
      <c r="K295" t="n">
        <v>0</v>
      </c>
      <c r="L295" t="n">
        <v>0</v>
      </c>
      <c r="M295" t="n">
        <v>0</v>
      </c>
      <c r="N295" t="n">
        <v>0</v>
      </c>
      <c r="O295" t="n">
        <v>0</v>
      </c>
      <c r="P295" t="n">
        <v>0</v>
      </c>
      <c r="Q295" t="n">
        <v>0</v>
      </c>
      <c r="R295" s="2" t="inlineStr"/>
    </row>
    <row r="296" ht="15" customHeight="1">
      <c r="A296" t="inlineStr">
        <is>
          <t>A 59497-2022</t>
        </is>
      </c>
      <c r="B296" s="1" t="n">
        <v>44907.48258101852</v>
      </c>
      <c r="C296" s="1" t="n">
        <v>45994</v>
      </c>
      <c r="D296" t="inlineStr">
        <is>
          <t>UPPSALA LÄN</t>
        </is>
      </c>
      <c r="E296" t="inlineStr">
        <is>
          <t>ENKÖPING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9041-2023</t>
        </is>
      </c>
      <c r="B297" s="1" t="n">
        <v>44979</v>
      </c>
      <c r="C297" s="1" t="n">
        <v>45994</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27538-2023</t>
        </is>
      </c>
      <c r="B298" s="1" t="n">
        <v>45097</v>
      </c>
      <c r="C298" s="1" t="n">
        <v>45994</v>
      </c>
      <c r="D298" t="inlineStr">
        <is>
          <t>UPPSALA LÄN</t>
        </is>
      </c>
      <c r="E298" t="inlineStr">
        <is>
          <t>ENKÖPING</t>
        </is>
      </c>
      <c r="G298" t="n">
        <v>5.8</v>
      </c>
      <c r="H298" t="n">
        <v>0</v>
      </c>
      <c r="I298" t="n">
        <v>0</v>
      </c>
      <c r="J298" t="n">
        <v>0</v>
      </c>
      <c r="K298" t="n">
        <v>0</v>
      </c>
      <c r="L298" t="n">
        <v>0</v>
      </c>
      <c r="M298" t="n">
        <v>0</v>
      </c>
      <c r="N298" t="n">
        <v>0</v>
      </c>
      <c r="O298" t="n">
        <v>0</v>
      </c>
      <c r="P298" t="n">
        <v>0</v>
      </c>
      <c r="Q298" t="n">
        <v>0</v>
      </c>
      <c r="R298" s="2" t="inlineStr"/>
    </row>
    <row r="299" ht="15" customHeight="1">
      <c r="A299" t="inlineStr">
        <is>
          <t>A 15409-2025</t>
        </is>
      </c>
      <c r="B299" s="1" t="n">
        <v>45747</v>
      </c>
      <c r="C299" s="1" t="n">
        <v>45994</v>
      </c>
      <c r="D299" t="inlineStr">
        <is>
          <t>UPPSALA LÄN</t>
        </is>
      </c>
      <c r="E299" t="inlineStr">
        <is>
          <t>ENKÖPING</t>
        </is>
      </c>
      <c r="G299" t="n">
        <v>2.5</v>
      </c>
      <c r="H299" t="n">
        <v>0</v>
      </c>
      <c r="I299" t="n">
        <v>0</v>
      </c>
      <c r="J299" t="n">
        <v>0</v>
      </c>
      <c r="K299" t="n">
        <v>0</v>
      </c>
      <c r="L299" t="n">
        <v>0</v>
      </c>
      <c r="M299" t="n">
        <v>0</v>
      </c>
      <c r="N299" t="n">
        <v>0</v>
      </c>
      <c r="O299" t="n">
        <v>0</v>
      </c>
      <c r="P299" t="n">
        <v>0</v>
      </c>
      <c r="Q299" t="n">
        <v>0</v>
      </c>
      <c r="R299" s="2" t="inlineStr"/>
    </row>
    <row r="300" ht="15" customHeight="1">
      <c r="A300" t="inlineStr">
        <is>
          <t>A 60874-2023</t>
        </is>
      </c>
      <c r="B300" s="1" t="n">
        <v>45261.06280092592</v>
      </c>
      <c r="C300" s="1" t="n">
        <v>45994</v>
      </c>
      <c r="D300" t="inlineStr">
        <is>
          <t>UPPSALA LÄN</t>
        </is>
      </c>
      <c r="E300" t="inlineStr">
        <is>
          <t>ENKÖPING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12755-2025</t>
        </is>
      </c>
      <c r="B301" s="1" t="n">
        <v>45733.56541666666</v>
      </c>
      <c r="C301" s="1" t="n">
        <v>45994</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29482-2022</t>
        </is>
      </c>
      <c r="B302" s="1" t="n">
        <v>44753.57703703704</v>
      </c>
      <c r="C302" s="1" t="n">
        <v>45994</v>
      </c>
      <c r="D302" t="inlineStr">
        <is>
          <t>UPPSALA LÄN</t>
        </is>
      </c>
      <c r="E302" t="inlineStr">
        <is>
          <t>ENKÖPING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29483-2022</t>
        </is>
      </c>
      <c r="B303" s="1" t="n">
        <v>44753.57829861111</v>
      </c>
      <c r="C303" s="1" t="n">
        <v>45994</v>
      </c>
      <c r="D303" t="inlineStr">
        <is>
          <t>UPPSALA LÄN</t>
        </is>
      </c>
      <c r="E303" t="inlineStr">
        <is>
          <t>ENKÖPING</t>
        </is>
      </c>
      <c r="G303" t="n">
        <v>3.6</v>
      </c>
      <c r="H303" t="n">
        <v>0</v>
      </c>
      <c r="I303" t="n">
        <v>0</v>
      </c>
      <c r="J303" t="n">
        <v>0</v>
      </c>
      <c r="K303" t="n">
        <v>0</v>
      </c>
      <c r="L303" t="n">
        <v>0</v>
      </c>
      <c r="M303" t="n">
        <v>0</v>
      </c>
      <c r="N303" t="n">
        <v>0</v>
      </c>
      <c r="O303" t="n">
        <v>0</v>
      </c>
      <c r="P303" t="n">
        <v>0</v>
      </c>
      <c r="Q303" t="n">
        <v>0</v>
      </c>
      <c r="R303" s="2" t="inlineStr"/>
    </row>
    <row r="304" ht="15" customHeight="1">
      <c r="A304" t="inlineStr">
        <is>
          <t>A 50394-2024</t>
        </is>
      </c>
      <c r="B304" s="1" t="n">
        <v>45600</v>
      </c>
      <c r="C304" s="1" t="n">
        <v>45994</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59027-2024</t>
        </is>
      </c>
      <c r="B305" s="1" t="n">
        <v>45636.68755787037</v>
      </c>
      <c r="C305" s="1" t="n">
        <v>45994</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44232-2022</t>
        </is>
      </c>
      <c r="B306" s="1" t="n">
        <v>44839</v>
      </c>
      <c r="C306" s="1" t="n">
        <v>45994</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61106-2022</t>
        </is>
      </c>
      <c r="B307" s="1" t="n">
        <v>44915.4128587963</v>
      </c>
      <c r="C307" s="1" t="n">
        <v>45994</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51010-2024</t>
        </is>
      </c>
      <c r="B308" s="1" t="n">
        <v>45603.39285879629</v>
      </c>
      <c r="C308" s="1" t="n">
        <v>45994</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53587-2024</t>
        </is>
      </c>
      <c r="B309" s="1" t="n">
        <v>45614.66953703704</v>
      </c>
      <c r="C309" s="1" t="n">
        <v>45994</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43016-2021</t>
        </is>
      </c>
      <c r="B310" s="1" t="n">
        <v>44431</v>
      </c>
      <c r="C310" s="1" t="n">
        <v>45994</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39624-2023</t>
        </is>
      </c>
      <c r="B311" s="1" t="n">
        <v>45164</v>
      </c>
      <c r="C311" s="1" t="n">
        <v>45994</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20184-2023</t>
        </is>
      </c>
      <c r="B312" s="1" t="n">
        <v>45055.5670949074</v>
      </c>
      <c r="C312" s="1" t="n">
        <v>45994</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8152-2022</t>
        </is>
      </c>
      <c r="B313" s="1" t="n">
        <v>44609</v>
      </c>
      <c r="C313" s="1" t="n">
        <v>45994</v>
      </c>
      <c r="D313" t="inlineStr">
        <is>
          <t>UPPSALA LÄN</t>
        </is>
      </c>
      <c r="E313" t="inlineStr">
        <is>
          <t>ENKÖPING</t>
        </is>
      </c>
      <c r="F313" t="inlineStr">
        <is>
          <t>Kyrkan</t>
        </is>
      </c>
      <c r="G313" t="n">
        <v>1.3</v>
      </c>
      <c r="H313" t="n">
        <v>0</v>
      </c>
      <c r="I313" t="n">
        <v>0</v>
      </c>
      <c r="J313" t="n">
        <v>0</v>
      </c>
      <c r="K313" t="n">
        <v>0</v>
      </c>
      <c r="L313" t="n">
        <v>0</v>
      </c>
      <c r="M313" t="n">
        <v>0</v>
      </c>
      <c r="N313" t="n">
        <v>0</v>
      </c>
      <c r="O313" t="n">
        <v>0</v>
      </c>
      <c r="P313" t="n">
        <v>0</v>
      </c>
      <c r="Q313" t="n">
        <v>0</v>
      </c>
      <c r="R313" s="2" t="inlineStr"/>
    </row>
    <row r="314" ht="15" customHeight="1">
      <c r="A314" t="inlineStr">
        <is>
          <t>A 11503-2024</t>
        </is>
      </c>
      <c r="B314" s="1" t="n">
        <v>45372.68020833333</v>
      </c>
      <c r="C314" s="1" t="n">
        <v>45994</v>
      </c>
      <c r="D314" t="inlineStr">
        <is>
          <t>UPPSALA LÄN</t>
        </is>
      </c>
      <c r="E314" t="inlineStr">
        <is>
          <t>ENKÖPING</t>
        </is>
      </c>
      <c r="G314" t="n">
        <v>1.2</v>
      </c>
      <c r="H314" t="n">
        <v>0</v>
      </c>
      <c r="I314" t="n">
        <v>0</v>
      </c>
      <c r="J314" t="n">
        <v>0</v>
      </c>
      <c r="K314" t="n">
        <v>0</v>
      </c>
      <c r="L314" t="n">
        <v>0</v>
      </c>
      <c r="M314" t="n">
        <v>0</v>
      </c>
      <c r="N314" t="n">
        <v>0</v>
      </c>
      <c r="O314" t="n">
        <v>0</v>
      </c>
      <c r="P314" t="n">
        <v>0</v>
      </c>
      <c r="Q314" t="n">
        <v>0</v>
      </c>
      <c r="R314" s="2" t="inlineStr"/>
    </row>
    <row r="315" ht="15" customHeight="1">
      <c r="A315" t="inlineStr">
        <is>
          <t>A 19147-2024</t>
        </is>
      </c>
      <c r="B315" s="1" t="n">
        <v>45428</v>
      </c>
      <c r="C315" s="1" t="n">
        <v>45994</v>
      </c>
      <c r="D315" t="inlineStr">
        <is>
          <t>UPPSALA LÄN</t>
        </is>
      </c>
      <c r="E315" t="inlineStr">
        <is>
          <t>ENKÖPING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39115-2024</t>
        </is>
      </c>
      <c r="B316" s="1" t="n">
        <v>45548</v>
      </c>
      <c r="C316" s="1" t="n">
        <v>45994</v>
      </c>
      <c r="D316" t="inlineStr">
        <is>
          <t>UPPSALA LÄN</t>
        </is>
      </c>
      <c r="E316" t="inlineStr">
        <is>
          <t>ENKÖPING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40223-2024</t>
        </is>
      </c>
      <c r="B317" s="1" t="n">
        <v>45554</v>
      </c>
      <c r="C317" s="1" t="n">
        <v>45994</v>
      </c>
      <c r="D317" t="inlineStr">
        <is>
          <t>UPPSALA LÄN</t>
        </is>
      </c>
      <c r="E317" t="inlineStr">
        <is>
          <t>ENKÖPING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25334-2023</t>
        </is>
      </c>
      <c r="B318" s="1" t="n">
        <v>45083</v>
      </c>
      <c r="C318" s="1" t="n">
        <v>45994</v>
      </c>
      <c r="D318" t="inlineStr">
        <is>
          <t>UPPSALA LÄN</t>
        </is>
      </c>
      <c r="E318" t="inlineStr">
        <is>
          <t>ENKÖPING</t>
        </is>
      </c>
      <c r="G318" t="n">
        <v>0.2</v>
      </c>
      <c r="H318" t="n">
        <v>0</v>
      </c>
      <c r="I318" t="n">
        <v>0</v>
      </c>
      <c r="J318" t="n">
        <v>0</v>
      </c>
      <c r="K318" t="n">
        <v>0</v>
      </c>
      <c r="L318" t="n">
        <v>0</v>
      </c>
      <c r="M318" t="n">
        <v>0</v>
      </c>
      <c r="N318" t="n">
        <v>0</v>
      </c>
      <c r="O318" t="n">
        <v>0</v>
      </c>
      <c r="P318" t="n">
        <v>0</v>
      </c>
      <c r="Q318" t="n">
        <v>0</v>
      </c>
      <c r="R318" s="2" t="inlineStr"/>
    </row>
    <row r="319" ht="15" customHeight="1">
      <c r="A319" t="inlineStr">
        <is>
          <t>A 57209-2024</t>
        </is>
      </c>
      <c r="B319" s="1" t="n">
        <v>45629.49311342592</v>
      </c>
      <c r="C319" s="1" t="n">
        <v>45994</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51120-2023</t>
        </is>
      </c>
      <c r="B320" s="1" t="n">
        <v>45219.3088425926</v>
      </c>
      <c r="C320" s="1" t="n">
        <v>45994</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12878-2025</t>
        </is>
      </c>
      <c r="B321" s="1" t="n">
        <v>45733.68571759259</v>
      </c>
      <c r="C321" s="1" t="n">
        <v>45994</v>
      </c>
      <c r="D321" t="inlineStr">
        <is>
          <t>UPPSALA LÄN</t>
        </is>
      </c>
      <c r="E321" t="inlineStr">
        <is>
          <t>ENKÖPING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56837-2024</t>
        </is>
      </c>
      <c r="B322" s="1" t="n">
        <v>45628</v>
      </c>
      <c r="C322" s="1" t="n">
        <v>45994</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37035-2023</t>
        </is>
      </c>
      <c r="B323" s="1" t="n">
        <v>45155</v>
      </c>
      <c r="C323" s="1" t="n">
        <v>45994</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52889-2022</t>
        </is>
      </c>
      <c r="B324" s="1" t="n">
        <v>44875</v>
      </c>
      <c r="C324" s="1" t="n">
        <v>45994</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51030-2024</t>
        </is>
      </c>
      <c r="B325" s="1" t="n">
        <v>45603</v>
      </c>
      <c r="C325" s="1" t="n">
        <v>45994</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43896-2022</t>
        </is>
      </c>
      <c r="B326" s="1" t="n">
        <v>44838</v>
      </c>
      <c r="C326" s="1" t="n">
        <v>45994</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26292-2022</t>
        </is>
      </c>
      <c r="B327" s="1" t="n">
        <v>44735</v>
      </c>
      <c r="C327" s="1" t="n">
        <v>45994</v>
      </c>
      <c r="D327" t="inlineStr">
        <is>
          <t>UPPSALA LÄN</t>
        </is>
      </c>
      <c r="E327" t="inlineStr">
        <is>
          <t>ENKÖPING</t>
        </is>
      </c>
      <c r="F327" t="inlineStr">
        <is>
          <t>Kyrkan</t>
        </is>
      </c>
      <c r="G327" t="n">
        <v>4.6</v>
      </c>
      <c r="H327" t="n">
        <v>0</v>
      </c>
      <c r="I327" t="n">
        <v>0</v>
      </c>
      <c r="J327" t="n">
        <v>0</v>
      </c>
      <c r="K327" t="n">
        <v>0</v>
      </c>
      <c r="L327" t="n">
        <v>0</v>
      </c>
      <c r="M327" t="n">
        <v>0</v>
      </c>
      <c r="N327" t="n">
        <v>0</v>
      </c>
      <c r="O327" t="n">
        <v>0</v>
      </c>
      <c r="P327" t="n">
        <v>0</v>
      </c>
      <c r="Q327" t="n">
        <v>0</v>
      </c>
      <c r="R327" s="2" t="inlineStr"/>
    </row>
    <row r="328" ht="15" customHeight="1">
      <c r="A328" t="inlineStr">
        <is>
          <t>A 4203-2021</t>
        </is>
      </c>
      <c r="B328" s="1" t="n">
        <v>44223</v>
      </c>
      <c r="C328" s="1" t="n">
        <v>45994</v>
      </c>
      <c r="D328" t="inlineStr">
        <is>
          <t>UPPSALA LÄN</t>
        </is>
      </c>
      <c r="E328" t="inlineStr">
        <is>
          <t>ENKÖPING</t>
        </is>
      </c>
      <c r="G328" t="n">
        <v>11.6</v>
      </c>
      <c r="H328" t="n">
        <v>0</v>
      </c>
      <c r="I328" t="n">
        <v>0</v>
      </c>
      <c r="J328" t="n">
        <v>0</v>
      </c>
      <c r="K328" t="n">
        <v>0</v>
      </c>
      <c r="L328" t="n">
        <v>0</v>
      </c>
      <c r="M328" t="n">
        <v>0</v>
      </c>
      <c r="N328" t="n">
        <v>0</v>
      </c>
      <c r="O328" t="n">
        <v>0</v>
      </c>
      <c r="P328" t="n">
        <v>0</v>
      </c>
      <c r="Q328" t="n">
        <v>0</v>
      </c>
      <c r="R328" s="2" t="inlineStr"/>
    </row>
    <row r="329" ht="15" customHeight="1">
      <c r="A329" t="inlineStr">
        <is>
          <t>A 18821-2023</t>
        </is>
      </c>
      <c r="B329" s="1" t="n">
        <v>45044.3782175926</v>
      </c>
      <c r="C329" s="1" t="n">
        <v>45994</v>
      </c>
      <c r="D329" t="inlineStr">
        <is>
          <t>UPPSALA LÄN</t>
        </is>
      </c>
      <c r="E329" t="inlineStr">
        <is>
          <t>ENKÖPING</t>
        </is>
      </c>
      <c r="G329" t="n">
        <v>6</v>
      </c>
      <c r="H329" t="n">
        <v>0</v>
      </c>
      <c r="I329" t="n">
        <v>0</v>
      </c>
      <c r="J329" t="n">
        <v>0</v>
      </c>
      <c r="K329" t="n">
        <v>0</v>
      </c>
      <c r="L329" t="n">
        <v>0</v>
      </c>
      <c r="M329" t="n">
        <v>0</v>
      </c>
      <c r="N329" t="n">
        <v>0</v>
      </c>
      <c r="O329" t="n">
        <v>0</v>
      </c>
      <c r="P329" t="n">
        <v>0</v>
      </c>
      <c r="Q329" t="n">
        <v>0</v>
      </c>
      <c r="R329" s="2" t="inlineStr"/>
    </row>
    <row r="330" ht="15" customHeight="1">
      <c r="A330" t="inlineStr">
        <is>
          <t>A 4044-2024</t>
        </is>
      </c>
      <c r="B330" s="1" t="n">
        <v>45323.45954861111</v>
      </c>
      <c r="C330" s="1" t="n">
        <v>45994</v>
      </c>
      <c r="D330" t="inlineStr">
        <is>
          <t>UPPSALA LÄN</t>
        </is>
      </c>
      <c r="E330" t="inlineStr">
        <is>
          <t>ENKÖPING</t>
        </is>
      </c>
      <c r="G330" t="n">
        <v>2.1</v>
      </c>
      <c r="H330" t="n">
        <v>0</v>
      </c>
      <c r="I330" t="n">
        <v>0</v>
      </c>
      <c r="J330" t="n">
        <v>0</v>
      </c>
      <c r="K330" t="n">
        <v>0</v>
      </c>
      <c r="L330" t="n">
        <v>0</v>
      </c>
      <c r="M330" t="n">
        <v>0</v>
      </c>
      <c r="N330" t="n">
        <v>0</v>
      </c>
      <c r="O330" t="n">
        <v>0</v>
      </c>
      <c r="P330" t="n">
        <v>0</v>
      </c>
      <c r="Q330" t="n">
        <v>0</v>
      </c>
      <c r="R330" s="2" t="inlineStr"/>
    </row>
    <row r="331" ht="15" customHeight="1">
      <c r="A331" t="inlineStr">
        <is>
          <t>A 33349-2024</t>
        </is>
      </c>
      <c r="B331" s="1" t="n">
        <v>45519</v>
      </c>
      <c r="C331" s="1" t="n">
        <v>45994</v>
      </c>
      <c r="D331" t="inlineStr">
        <is>
          <t>UPPSALA LÄN</t>
        </is>
      </c>
      <c r="E331" t="inlineStr">
        <is>
          <t>ENKÖPING</t>
        </is>
      </c>
      <c r="G331" t="n">
        <v>3.6</v>
      </c>
      <c r="H331" t="n">
        <v>0</v>
      </c>
      <c r="I331" t="n">
        <v>0</v>
      </c>
      <c r="J331" t="n">
        <v>0</v>
      </c>
      <c r="K331" t="n">
        <v>0</v>
      </c>
      <c r="L331" t="n">
        <v>0</v>
      </c>
      <c r="M331" t="n">
        <v>0</v>
      </c>
      <c r="N331" t="n">
        <v>0</v>
      </c>
      <c r="O331" t="n">
        <v>0</v>
      </c>
      <c r="P331" t="n">
        <v>0</v>
      </c>
      <c r="Q331" t="n">
        <v>0</v>
      </c>
      <c r="R331" s="2" t="inlineStr"/>
    </row>
    <row r="332" ht="15" customHeight="1">
      <c r="A332" t="inlineStr">
        <is>
          <t>A 22912-2024</t>
        </is>
      </c>
      <c r="B332" s="1" t="n">
        <v>45448.73118055556</v>
      </c>
      <c r="C332" s="1" t="n">
        <v>45994</v>
      </c>
      <c r="D332" t="inlineStr">
        <is>
          <t>UPPSALA LÄN</t>
        </is>
      </c>
      <c r="E332" t="inlineStr">
        <is>
          <t>ENKÖPING</t>
        </is>
      </c>
      <c r="G332" t="n">
        <v>2.8</v>
      </c>
      <c r="H332" t="n">
        <v>0</v>
      </c>
      <c r="I332" t="n">
        <v>0</v>
      </c>
      <c r="J332" t="n">
        <v>0</v>
      </c>
      <c r="K332" t="n">
        <v>0</v>
      </c>
      <c r="L332" t="n">
        <v>0</v>
      </c>
      <c r="M332" t="n">
        <v>0</v>
      </c>
      <c r="N332" t="n">
        <v>0</v>
      </c>
      <c r="O332" t="n">
        <v>0</v>
      </c>
      <c r="P332" t="n">
        <v>0</v>
      </c>
      <c r="Q332" t="n">
        <v>0</v>
      </c>
      <c r="R332" s="2" t="inlineStr"/>
    </row>
    <row r="333" ht="15" customHeight="1">
      <c r="A333" t="inlineStr">
        <is>
          <t>A 7090-2022</t>
        </is>
      </c>
      <c r="B333" s="1" t="n">
        <v>44603.59520833333</v>
      </c>
      <c r="C333" s="1" t="n">
        <v>45994</v>
      </c>
      <c r="D333" t="inlineStr">
        <is>
          <t>UPPSALA LÄN</t>
        </is>
      </c>
      <c r="E333" t="inlineStr">
        <is>
          <t>ENKÖPING</t>
        </is>
      </c>
      <c r="G333" t="n">
        <v>2.8</v>
      </c>
      <c r="H333" t="n">
        <v>0</v>
      </c>
      <c r="I333" t="n">
        <v>0</v>
      </c>
      <c r="J333" t="n">
        <v>0</v>
      </c>
      <c r="K333" t="n">
        <v>0</v>
      </c>
      <c r="L333" t="n">
        <v>0</v>
      </c>
      <c r="M333" t="n">
        <v>0</v>
      </c>
      <c r="N333" t="n">
        <v>0</v>
      </c>
      <c r="O333" t="n">
        <v>0</v>
      </c>
      <c r="P333" t="n">
        <v>0</v>
      </c>
      <c r="Q333" t="n">
        <v>0</v>
      </c>
      <c r="R333" s="2" t="inlineStr"/>
    </row>
    <row r="334" ht="15" customHeight="1">
      <c r="A334" t="inlineStr">
        <is>
          <t>A 9487-2025</t>
        </is>
      </c>
      <c r="B334" s="1" t="n">
        <v>45715.49331018519</v>
      </c>
      <c r="C334" s="1" t="n">
        <v>45994</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21612-2023</t>
        </is>
      </c>
      <c r="B335" s="1" t="n">
        <v>45063</v>
      </c>
      <c r="C335" s="1" t="n">
        <v>45994</v>
      </c>
      <c r="D335" t="inlineStr">
        <is>
          <t>UPPSALA LÄN</t>
        </is>
      </c>
      <c r="E335" t="inlineStr">
        <is>
          <t>ENKÖPING</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6144-2024</t>
        </is>
      </c>
      <c r="B336" s="1" t="n">
        <v>45337.4684837963</v>
      </c>
      <c r="C336" s="1" t="n">
        <v>45994</v>
      </c>
      <c r="D336" t="inlineStr">
        <is>
          <t>UPPSALA LÄN</t>
        </is>
      </c>
      <c r="E336" t="inlineStr">
        <is>
          <t>ENKÖPING</t>
        </is>
      </c>
      <c r="G336" t="n">
        <v>13.8</v>
      </c>
      <c r="H336" t="n">
        <v>0</v>
      </c>
      <c r="I336" t="n">
        <v>0</v>
      </c>
      <c r="J336" t="n">
        <v>0</v>
      </c>
      <c r="K336" t="n">
        <v>0</v>
      </c>
      <c r="L336" t="n">
        <v>0</v>
      </c>
      <c r="M336" t="n">
        <v>0</v>
      </c>
      <c r="N336" t="n">
        <v>0</v>
      </c>
      <c r="O336" t="n">
        <v>0</v>
      </c>
      <c r="P336" t="n">
        <v>0</v>
      </c>
      <c r="Q336" t="n">
        <v>0</v>
      </c>
      <c r="R336" s="2" t="inlineStr"/>
    </row>
    <row r="337" ht="15" customHeight="1">
      <c r="A337" t="inlineStr">
        <is>
          <t>A 22981-2025</t>
        </is>
      </c>
      <c r="B337" s="1" t="n">
        <v>45790.56964120371</v>
      </c>
      <c r="C337" s="1" t="n">
        <v>45994</v>
      </c>
      <c r="D337" t="inlineStr">
        <is>
          <t>UPPSALA LÄN</t>
        </is>
      </c>
      <c r="E337" t="inlineStr">
        <is>
          <t>ENKÖPING</t>
        </is>
      </c>
      <c r="G337" t="n">
        <v>1.5</v>
      </c>
      <c r="H337" t="n">
        <v>0</v>
      </c>
      <c r="I337" t="n">
        <v>0</v>
      </c>
      <c r="J337" t="n">
        <v>0</v>
      </c>
      <c r="K337" t="n">
        <v>0</v>
      </c>
      <c r="L337" t="n">
        <v>0</v>
      </c>
      <c r="M337" t="n">
        <v>0</v>
      </c>
      <c r="N337" t="n">
        <v>0</v>
      </c>
      <c r="O337" t="n">
        <v>0</v>
      </c>
      <c r="P337" t="n">
        <v>0</v>
      </c>
      <c r="Q337" t="n">
        <v>0</v>
      </c>
      <c r="R337" s="2" t="inlineStr"/>
    </row>
    <row r="338" ht="15" customHeight="1">
      <c r="A338" t="inlineStr">
        <is>
          <t>A 33955-2024</t>
        </is>
      </c>
      <c r="B338" s="1" t="n">
        <v>45523.46952546296</v>
      </c>
      <c r="C338" s="1" t="n">
        <v>45994</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14243-2025</t>
        </is>
      </c>
      <c r="B339" s="1" t="n">
        <v>45740.61288194444</v>
      </c>
      <c r="C339" s="1" t="n">
        <v>45994</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33343-2024</t>
        </is>
      </c>
      <c r="B340" s="1" t="n">
        <v>45519</v>
      </c>
      <c r="C340" s="1" t="n">
        <v>45994</v>
      </c>
      <c r="D340" t="inlineStr">
        <is>
          <t>UPPSALA LÄN</t>
        </is>
      </c>
      <c r="E340" t="inlineStr">
        <is>
          <t>ENKÖPING</t>
        </is>
      </c>
      <c r="G340" t="n">
        <v>2</v>
      </c>
      <c r="H340" t="n">
        <v>0</v>
      </c>
      <c r="I340" t="n">
        <v>0</v>
      </c>
      <c r="J340" t="n">
        <v>0</v>
      </c>
      <c r="K340" t="n">
        <v>0</v>
      </c>
      <c r="L340" t="n">
        <v>0</v>
      </c>
      <c r="M340" t="n">
        <v>0</v>
      </c>
      <c r="N340" t="n">
        <v>0</v>
      </c>
      <c r="O340" t="n">
        <v>0</v>
      </c>
      <c r="P340" t="n">
        <v>0</v>
      </c>
      <c r="Q340" t="n">
        <v>0</v>
      </c>
      <c r="R340" s="2" t="inlineStr"/>
    </row>
    <row r="341" ht="15" customHeight="1">
      <c r="A341" t="inlineStr">
        <is>
          <t>A 57335-2024</t>
        </is>
      </c>
      <c r="B341" s="1" t="n">
        <v>45629.63302083333</v>
      </c>
      <c r="C341" s="1" t="n">
        <v>45994</v>
      </c>
      <c r="D341" t="inlineStr">
        <is>
          <t>UPPSALA LÄN</t>
        </is>
      </c>
      <c r="E341" t="inlineStr">
        <is>
          <t>ENKÖPING</t>
        </is>
      </c>
      <c r="G341" t="n">
        <v>2.1</v>
      </c>
      <c r="H341" t="n">
        <v>0</v>
      </c>
      <c r="I341" t="n">
        <v>0</v>
      </c>
      <c r="J341" t="n">
        <v>0</v>
      </c>
      <c r="K341" t="n">
        <v>0</v>
      </c>
      <c r="L341" t="n">
        <v>0</v>
      </c>
      <c r="M341" t="n">
        <v>0</v>
      </c>
      <c r="N341" t="n">
        <v>0</v>
      </c>
      <c r="O341" t="n">
        <v>0</v>
      </c>
      <c r="P341" t="n">
        <v>0</v>
      </c>
      <c r="Q341" t="n">
        <v>0</v>
      </c>
      <c r="R341" s="2" t="inlineStr"/>
    </row>
    <row r="342" ht="15" customHeight="1">
      <c r="A342" t="inlineStr">
        <is>
          <t>A 38941-2025</t>
        </is>
      </c>
      <c r="B342" s="1" t="n">
        <v>45887</v>
      </c>
      <c r="C342" s="1" t="n">
        <v>45994</v>
      </c>
      <c r="D342" t="inlineStr">
        <is>
          <t>UPPSALA LÄN</t>
        </is>
      </c>
      <c r="E342" t="inlineStr">
        <is>
          <t>ENKÖPING</t>
        </is>
      </c>
      <c r="F342" t="inlineStr">
        <is>
          <t>Övriga statliga verk och myndigheter</t>
        </is>
      </c>
      <c r="G342" t="n">
        <v>0.6</v>
      </c>
      <c r="H342" t="n">
        <v>0</v>
      </c>
      <c r="I342" t="n">
        <v>0</v>
      </c>
      <c r="J342" t="n">
        <v>0</v>
      </c>
      <c r="K342" t="n">
        <v>0</v>
      </c>
      <c r="L342" t="n">
        <v>0</v>
      </c>
      <c r="M342" t="n">
        <v>0</v>
      </c>
      <c r="N342" t="n">
        <v>0</v>
      </c>
      <c r="O342" t="n">
        <v>0</v>
      </c>
      <c r="P342" t="n">
        <v>0</v>
      </c>
      <c r="Q342" t="n">
        <v>0</v>
      </c>
      <c r="R342" s="2" t="inlineStr"/>
    </row>
    <row r="343" ht="15" customHeight="1">
      <c r="A343" t="inlineStr">
        <is>
          <t>A 45956-2024</t>
        </is>
      </c>
      <c r="B343" s="1" t="n">
        <v>45580</v>
      </c>
      <c r="C343" s="1" t="n">
        <v>45994</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10831-2024</t>
        </is>
      </c>
      <c r="B344" s="1" t="n">
        <v>45369</v>
      </c>
      <c r="C344" s="1" t="n">
        <v>45994</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8020-2022</t>
        </is>
      </c>
      <c r="B345" s="1" t="n">
        <v>44609</v>
      </c>
      <c r="C345" s="1" t="n">
        <v>45994</v>
      </c>
      <c r="D345" t="inlineStr">
        <is>
          <t>UPPSALA LÄN</t>
        </is>
      </c>
      <c r="E345" t="inlineStr">
        <is>
          <t>ENKÖPING</t>
        </is>
      </c>
      <c r="G345" t="n">
        <v>6</v>
      </c>
      <c r="H345" t="n">
        <v>0</v>
      </c>
      <c r="I345" t="n">
        <v>0</v>
      </c>
      <c r="J345" t="n">
        <v>0</v>
      </c>
      <c r="K345" t="n">
        <v>0</v>
      </c>
      <c r="L345" t="n">
        <v>0</v>
      </c>
      <c r="M345" t="n">
        <v>0</v>
      </c>
      <c r="N345" t="n">
        <v>0</v>
      </c>
      <c r="O345" t="n">
        <v>0</v>
      </c>
      <c r="P345" t="n">
        <v>0</v>
      </c>
      <c r="Q345" t="n">
        <v>0</v>
      </c>
      <c r="R345" s="2" t="inlineStr"/>
    </row>
    <row r="346" ht="15" customHeight="1">
      <c r="A346" t="inlineStr">
        <is>
          <t>A 18302-2025</t>
        </is>
      </c>
      <c r="B346" s="1" t="n">
        <v>45762</v>
      </c>
      <c r="C346" s="1" t="n">
        <v>45994</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28243-2023</t>
        </is>
      </c>
      <c r="B347" s="1" t="n">
        <v>45099.58885416666</v>
      </c>
      <c r="C347" s="1" t="n">
        <v>45994</v>
      </c>
      <c r="D347" t="inlineStr">
        <is>
          <t>UPPSALA LÄN</t>
        </is>
      </c>
      <c r="E347" t="inlineStr">
        <is>
          <t>ENKÖPING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57835-2024</t>
        </is>
      </c>
      <c r="B348" s="1" t="n">
        <v>45631.39947916667</v>
      </c>
      <c r="C348" s="1" t="n">
        <v>45994</v>
      </c>
      <c r="D348" t="inlineStr">
        <is>
          <t>UPPSALA LÄN</t>
        </is>
      </c>
      <c r="E348" t="inlineStr">
        <is>
          <t>ENKÖPING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53208-2023</t>
        </is>
      </c>
      <c r="B349" s="1" t="n">
        <v>45226</v>
      </c>
      <c r="C349" s="1" t="n">
        <v>45994</v>
      </c>
      <c r="D349" t="inlineStr">
        <is>
          <t>UPPSALA LÄN</t>
        </is>
      </c>
      <c r="E349" t="inlineStr">
        <is>
          <t>ENKÖPING</t>
        </is>
      </c>
      <c r="G349" t="n">
        <v>4.3</v>
      </c>
      <c r="H349" t="n">
        <v>0</v>
      </c>
      <c r="I349" t="n">
        <v>0</v>
      </c>
      <c r="J349" t="n">
        <v>0</v>
      </c>
      <c r="K349" t="n">
        <v>0</v>
      </c>
      <c r="L349" t="n">
        <v>0</v>
      </c>
      <c r="M349" t="n">
        <v>0</v>
      </c>
      <c r="N349" t="n">
        <v>0</v>
      </c>
      <c r="O349" t="n">
        <v>0</v>
      </c>
      <c r="P349" t="n">
        <v>0</v>
      </c>
      <c r="Q349" t="n">
        <v>0</v>
      </c>
      <c r="R349" s="2" t="inlineStr"/>
    </row>
    <row r="350" ht="15" customHeight="1">
      <c r="A350" t="inlineStr">
        <is>
          <t>A 21017-2023</t>
        </is>
      </c>
      <c r="B350" s="1" t="n">
        <v>45061</v>
      </c>
      <c r="C350" s="1" t="n">
        <v>45994</v>
      </c>
      <c r="D350" t="inlineStr">
        <is>
          <t>UPPSALA LÄN</t>
        </is>
      </c>
      <c r="E350" t="inlineStr">
        <is>
          <t>ENKÖPING</t>
        </is>
      </c>
      <c r="G350" t="n">
        <v>4.8</v>
      </c>
      <c r="H350" t="n">
        <v>0</v>
      </c>
      <c r="I350" t="n">
        <v>0</v>
      </c>
      <c r="J350" t="n">
        <v>0</v>
      </c>
      <c r="K350" t="n">
        <v>0</v>
      </c>
      <c r="L350" t="n">
        <v>0</v>
      </c>
      <c r="M350" t="n">
        <v>0</v>
      </c>
      <c r="N350" t="n">
        <v>0</v>
      </c>
      <c r="O350" t="n">
        <v>0</v>
      </c>
      <c r="P350" t="n">
        <v>0</v>
      </c>
      <c r="Q350" t="n">
        <v>0</v>
      </c>
      <c r="R350" s="2" t="inlineStr"/>
    </row>
    <row r="351" ht="15" customHeight="1">
      <c r="A351" t="inlineStr">
        <is>
          <t>A 74090-2021</t>
        </is>
      </c>
      <c r="B351" s="1" t="n">
        <v>44557</v>
      </c>
      <c r="C351" s="1" t="n">
        <v>45994</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19013-2025</t>
        </is>
      </c>
      <c r="B352" s="1" t="n">
        <v>45764.59533564815</v>
      </c>
      <c r="C352" s="1" t="n">
        <v>45994</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3235-2025</t>
        </is>
      </c>
      <c r="B353" s="1" t="n">
        <v>45679</v>
      </c>
      <c r="C353" s="1" t="n">
        <v>45994</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41828-2024</t>
        </is>
      </c>
      <c r="B354" s="1" t="n">
        <v>45561</v>
      </c>
      <c r="C354" s="1" t="n">
        <v>45994</v>
      </c>
      <c r="D354" t="inlineStr">
        <is>
          <t>UPPSALA LÄN</t>
        </is>
      </c>
      <c r="E354" t="inlineStr">
        <is>
          <t>ENKÖPING</t>
        </is>
      </c>
      <c r="G354" t="n">
        <v>2.5</v>
      </c>
      <c r="H354" t="n">
        <v>0</v>
      </c>
      <c r="I354" t="n">
        <v>0</v>
      </c>
      <c r="J354" t="n">
        <v>0</v>
      </c>
      <c r="K354" t="n">
        <v>0</v>
      </c>
      <c r="L354" t="n">
        <v>0</v>
      </c>
      <c r="M354" t="n">
        <v>0</v>
      </c>
      <c r="N354" t="n">
        <v>0</v>
      </c>
      <c r="O354" t="n">
        <v>0</v>
      </c>
      <c r="P354" t="n">
        <v>0</v>
      </c>
      <c r="Q354" t="n">
        <v>0</v>
      </c>
      <c r="R354" s="2" t="inlineStr"/>
    </row>
    <row r="355" ht="15" customHeight="1">
      <c r="A355" t="inlineStr">
        <is>
          <t>A 34805-2024</t>
        </is>
      </c>
      <c r="B355" s="1" t="n">
        <v>45526</v>
      </c>
      <c r="C355" s="1" t="n">
        <v>45994</v>
      </c>
      <c r="D355" t="inlineStr">
        <is>
          <t>UPPSALA LÄN</t>
        </is>
      </c>
      <c r="E355" t="inlineStr">
        <is>
          <t>ENKÖPING</t>
        </is>
      </c>
      <c r="G355" t="n">
        <v>3.6</v>
      </c>
      <c r="H355" t="n">
        <v>0</v>
      </c>
      <c r="I355" t="n">
        <v>0</v>
      </c>
      <c r="J355" t="n">
        <v>0</v>
      </c>
      <c r="K355" t="n">
        <v>0</v>
      </c>
      <c r="L355" t="n">
        <v>0</v>
      </c>
      <c r="M355" t="n">
        <v>0</v>
      </c>
      <c r="N355" t="n">
        <v>0</v>
      </c>
      <c r="O355" t="n">
        <v>0</v>
      </c>
      <c r="P355" t="n">
        <v>0</v>
      </c>
      <c r="Q355" t="n">
        <v>0</v>
      </c>
      <c r="R355" s="2" t="inlineStr"/>
    </row>
    <row r="356" ht="15" customHeight="1">
      <c r="A356" t="inlineStr">
        <is>
          <t>A 1536-2024</t>
        </is>
      </c>
      <c r="B356" s="1" t="n">
        <v>45306</v>
      </c>
      <c r="C356" s="1" t="n">
        <v>45994</v>
      </c>
      <c r="D356" t="inlineStr">
        <is>
          <t>UPPSALA LÄN</t>
        </is>
      </c>
      <c r="E356" t="inlineStr">
        <is>
          <t>ENKÖPING</t>
        </is>
      </c>
      <c r="F356" t="inlineStr">
        <is>
          <t>Kyrkan</t>
        </is>
      </c>
      <c r="G356" t="n">
        <v>5.6</v>
      </c>
      <c r="H356" t="n">
        <v>0</v>
      </c>
      <c r="I356" t="n">
        <v>0</v>
      </c>
      <c r="J356" t="n">
        <v>0</v>
      </c>
      <c r="K356" t="n">
        <v>0</v>
      </c>
      <c r="L356" t="n">
        <v>0</v>
      </c>
      <c r="M356" t="n">
        <v>0</v>
      </c>
      <c r="N356" t="n">
        <v>0</v>
      </c>
      <c r="O356" t="n">
        <v>0</v>
      </c>
      <c r="P356" t="n">
        <v>0</v>
      </c>
      <c r="Q356" t="n">
        <v>0</v>
      </c>
      <c r="R356" s="2" t="inlineStr"/>
    </row>
    <row r="357" ht="15" customHeight="1">
      <c r="A357" t="inlineStr">
        <is>
          <t>A 17729-2023</t>
        </is>
      </c>
      <c r="B357" s="1" t="n">
        <v>45037</v>
      </c>
      <c r="C357" s="1" t="n">
        <v>45994</v>
      </c>
      <c r="D357" t="inlineStr">
        <is>
          <t>UPPSALA LÄN</t>
        </is>
      </c>
      <c r="E357" t="inlineStr">
        <is>
          <t>ENKÖPING</t>
        </is>
      </c>
      <c r="G357" t="n">
        <v>10.2</v>
      </c>
      <c r="H357" t="n">
        <v>0</v>
      </c>
      <c r="I357" t="n">
        <v>0</v>
      </c>
      <c r="J357" t="n">
        <v>0</v>
      </c>
      <c r="K357" t="n">
        <v>0</v>
      </c>
      <c r="L357" t="n">
        <v>0</v>
      </c>
      <c r="M357" t="n">
        <v>0</v>
      </c>
      <c r="N357" t="n">
        <v>0</v>
      </c>
      <c r="O357" t="n">
        <v>0</v>
      </c>
      <c r="P357" t="n">
        <v>0</v>
      </c>
      <c r="Q357" t="n">
        <v>0</v>
      </c>
      <c r="R357" s="2" t="inlineStr"/>
    </row>
    <row r="358" ht="15" customHeight="1">
      <c r="A358" t="inlineStr">
        <is>
          <t>A 2164-2023</t>
        </is>
      </c>
      <c r="B358" s="1" t="n">
        <v>44941</v>
      </c>
      <c r="C358" s="1" t="n">
        <v>45994</v>
      </c>
      <c r="D358" t="inlineStr">
        <is>
          <t>UPPSALA LÄN</t>
        </is>
      </c>
      <c r="E358" t="inlineStr">
        <is>
          <t>ENKÖPING</t>
        </is>
      </c>
      <c r="G358" t="n">
        <v>2.5</v>
      </c>
      <c r="H358" t="n">
        <v>0</v>
      </c>
      <c r="I358" t="n">
        <v>0</v>
      </c>
      <c r="J358" t="n">
        <v>0</v>
      </c>
      <c r="K358" t="n">
        <v>0</v>
      </c>
      <c r="L358" t="n">
        <v>0</v>
      </c>
      <c r="M358" t="n">
        <v>0</v>
      </c>
      <c r="N358" t="n">
        <v>0</v>
      </c>
      <c r="O358" t="n">
        <v>0</v>
      </c>
      <c r="P358" t="n">
        <v>0</v>
      </c>
      <c r="Q358" t="n">
        <v>0</v>
      </c>
      <c r="R358" s="2" t="inlineStr"/>
    </row>
    <row r="359" ht="15" customHeight="1">
      <c r="A359" t="inlineStr">
        <is>
          <t>A 42564-2024</t>
        </is>
      </c>
      <c r="B359" s="1" t="n">
        <v>45565.63358796296</v>
      </c>
      <c r="C359" s="1" t="n">
        <v>45994</v>
      </c>
      <c r="D359" t="inlineStr">
        <is>
          <t>UPPSALA LÄN</t>
        </is>
      </c>
      <c r="E359" t="inlineStr">
        <is>
          <t>ENKÖPING</t>
        </is>
      </c>
      <c r="G359" t="n">
        <v>1.7</v>
      </c>
      <c r="H359" t="n">
        <v>0</v>
      </c>
      <c r="I359" t="n">
        <v>0</v>
      </c>
      <c r="J359" t="n">
        <v>0</v>
      </c>
      <c r="K359" t="n">
        <v>0</v>
      </c>
      <c r="L359" t="n">
        <v>0</v>
      </c>
      <c r="M359" t="n">
        <v>0</v>
      </c>
      <c r="N359" t="n">
        <v>0</v>
      </c>
      <c r="O359" t="n">
        <v>0</v>
      </c>
      <c r="P359" t="n">
        <v>0</v>
      </c>
      <c r="Q359" t="n">
        <v>0</v>
      </c>
      <c r="R359" s="2" t="inlineStr"/>
    </row>
    <row r="360" ht="15" customHeight="1">
      <c r="A360" t="inlineStr">
        <is>
          <t>A 56176-2021</t>
        </is>
      </c>
      <c r="B360" s="1" t="n">
        <v>44477</v>
      </c>
      <c r="C360" s="1" t="n">
        <v>45994</v>
      </c>
      <c r="D360" t="inlineStr">
        <is>
          <t>UPPSALA LÄN</t>
        </is>
      </c>
      <c r="E360" t="inlineStr">
        <is>
          <t>ENKÖPING</t>
        </is>
      </c>
      <c r="G360" t="n">
        <v>2.9</v>
      </c>
      <c r="H360" t="n">
        <v>0</v>
      </c>
      <c r="I360" t="n">
        <v>0</v>
      </c>
      <c r="J360" t="n">
        <v>0</v>
      </c>
      <c r="K360" t="n">
        <v>0</v>
      </c>
      <c r="L360" t="n">
        <v>0</v>
      </c>
      <c r="M360" t="n">
        <v>0</v>
      </c>
      <c r="N360" t="n">
        <v>0</v>
      </c>
      <c r="O360" t="n">
        <v>0</v>
      </c>
      <c r="P360" t="n">
        <v>0</v>
      </c>
      <c r="Q360" t="n">
        <v>0</v>
      </c>
      <c r="R360" s="2" t="inlineStr"/>
    </row>
    <row r="361" ht="15" customHeight="1">
      <c r="A361" t="inlineStr">
        <is>
          <t>A 61952-2021</t>
        </is>
      </c>
      <c r="B361" s="1" t="n">
        <v>44502</v>
      </c>
      <c r="C361" s="1" t="n">
        <v>45994</v>
      </c>
      <c r="D361" t="inlineStr">
        <is>
          <t>UPPSALA LÄN</t>
        </is>
      </c>
      <c r="E361" t="inlineStr">
        <is>
          <t>ENKÖPING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43492-2023</t>
        </is>
      </c>
      <c r="B362" s="1" t="n">
        <v>45181</v>
      </c>
      <c r="C362" s="1" t="n">
        <v>45994</v>
      </c>
      <c r="D362" t="inlineStr">
        <is>
          <t>UPPSALA LÄN</t>
        </is>
      </c>
      <c r="E362" t="inlineStr">
        <is>
          <t>ENKÖPING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69344-2021</t>
        </is>
      </c>
      <c r="B363" s="1" t="n">
        <v>44531</v>
      </c>
      <c r="C363" s="1" t="n">
        <v>45994</v>
      </c>
      <c r="D363" t="inlineStr">
        <is>
          <t>UPPSALA LÄN</t>
        </is>
      </c>
      <c r="E363" t="inlineStr">
        <is>
          <t>ENKÖPING</t>
        </is>
      </c>
      <c r="G363" t="n">
        <v>2.9</v>
      </c>
      <c r="H363" t="n">
        <v>0</v>
      </c>
      <c r="I363" t="n">
        <v>0</v>
      </c>
      <c r="J363" t="n">
        <v>0</v>
      </c>
      <c r="K363" t="n">
        <v>0</v>
      </c>
      <c r="L363" t="n">
        <v>0</v>
      </c>
      <c r="M363" t="n">
        <v>0</v>
      </c>
      <c r="N363" t="n">
        <v>0</v>
      </c>
      <c r="O363" t="n">
        <v>0</v>
      </c>
      <c r="P363" t="n">
        <v>0</v>
      </c>
      <c r="Q363" t="n">
        <v>0</v>
      </c>
      <c r="R363" s="2" t="inlineStr"/>
    </row>
    <row r="364" ht="15" customHeight="1">
      <c r="A364" t="inlineStr">
        <is>
          <t>A 5712-2025</t>
        </is>
      </c>
      <c r="B364" s="1" t="n">
        <v>45694</v>
      </c>
      <c r="C364" s="1" t="n">
        <v>45994</v>
      </c>
      <c r="D364" t="inlineStr">
        <is>
          <t>UPPSALA LÄN</t>
        </is>
      </c>
      <c r="E364" t="inlineStr">
        <is>
          <t>ENKÖPING</t>
        </is>
      </c>
      <c r="G364" t="n">
        <v>5.1</v>
      </c>
      <c r="H364" t="n">
        <v>0</v>
      </c>
      <c r="I364" t="n">
        <v>0</v>
      </c>
      <c r="J364" t="n">
        <v>0</v>
      </c>
      <c r="K364" t="n">
        <v>0</v>
      </c>
      <c r="L364" t="n">
        <v>0</v>
      </c>
      <c r="M364" t="n">
        <v>0</v>
      </c>
      <c r="N364" t="n">
        <v>0</v>
      </c>
      <c r="O364" t="n">
        <v>0</v>
      </c>
      <c r="P364" t="n">
        <v>0</v>
      </c>
      <c r="Q364" t="n">
        <v>0</v>
      </c>
      <c r="R364" s="2" t="inlineStr"/>
    </row>
    <row r="365" ht="15" customHeight="1">
      <c r="A365" t="inlineStr">
        <is>
          <t>A 5749-2025</t>
        </is>
      </c>
      <c r="B365" s="1" t="n">
        <v>45694</v>
      </c>
      <c r="C365" s="1" t="n">
        <v>45994</v>
      </c>
      <c r="D365" t="inlineStr">
        <is>
          <t>UPPSALA LÄN</t>
        </is>
      </c>
      <c r="E365" t="inlineStr">
        <is>
          <t>ENKÖPING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14083-2025</t>
        </is>
      </c>
      <c r="B366" s="1" t="n">
        <v>45740</v>
      </c>
      <c r="C366" s="1" t="n">
        <v>45994</v>
      </c>
      <c r="D366" t="inlineStr">
        <is>
          <t>UPPSALA LÄN</t>
        </is>
      </c>
      <c r="E366" t="inlineStr">
        <is>
          <t>ENKÖPING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69879-2021</t>
        </is>
      </c>
      <c r="B367" s="1" t="n">
        <v>44532</v>
      </c>
      <c r="C367" s="1" t="n">
        <v>45994</v>
      </c>
      <c r="D367" t="inlineStr">
        <is>
          <t>UPPSALA LÄN</t>
        </is>
      </c>
      <c r="E367" t="inlineStr">
        <is>
          <t>ENKÖPING</t>
        </is>
      </c>
      <c r="G367" t="n">
        <v>4.2</v>
      </c>
      <c r="H367" t="n">
        <v>0</v>
      </c>
      <c r="I367" t="n">
        <v>0</v>
      </c>
      <c r="J367" t="n">
        <v>0</v>
      </c>
      <c r="K367" t="n">
        <v>0</v>
      </c>
      <c r="L367" t="n">
        <v>0</v>
      </c>
      <c r="M367" t="n">
        <v>0</v>
      </c>
      <c r="N367" t="n">
        <v>0</v>
      </c>
      <c r="O367" t="n">
        <v>0</v>
      </c>
      <c r="P367" t="n">
        <v>0</v>
      </c>
      <c r="Q367" t="n">
        <v>0</v>
      </c>
      <c r="R367" s="2" t="inlineStr"/>
    </row>
    <row r="368" ht="15" customHeight="1">
      <c r="A368" t="inlineStr">
        <is>
          <t>A 6626-2023</t>
        </is>
      </c>
      <c r="B368" s="1" t="n">
        <v>44966.55946759259</v>
      </c>
      <c r="C368" s="1" t="n">
        <v>45994</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17165-2025</t>
        </is>
      </c>
      <c r="B369" s="1" t="n">
        <v>45756</v>
      </c>
      <c r="C369" s="1" t="n">
        <v>45994</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5013-2025</t>
        </is>
      </c>
      <c r="B370" s="1" t="n">
        <v>45691</v>
      </c>
      <c r="C370" s="1" t="n">
        <v>45994</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314-2025</t>
        </is>
      </c>
      <c r="B371" s="1" t="n">
        <v>45656</v>
      </c>
      <c r="C371" s="1" t="n">
        <v>45994</v>
      </c>
      <c r="D371" t="inlineStr">
        <is>
          <t>UPPSALA LÄN</t>
        </is>
      </c>
      <c r="E371" t="inlineStr">
        <is>
          <t>ENKÖPING</t>
        </is>
      </c>
      <c r="G371" t="n">
        <v>9</v>
      </c>
      <c r="H371" t="n">
        <v>0</v>
      </c>
      <c r="I371" t="n">
        <v>0</v>
      </c>
      <c r="J371" t="n">
        <v>0</v>
      </c>
      <c r="K371" t="n">
        <v>0</v>
      </c>
      <c r="L371" t="n">
        <v>0</v>
      </c>
      <c r="M371" t="n">
        <v>0</v>
      </c>
      <c r="N371" t="n">
        <v>0</v>
      </c>
      <c r="O371" t="n">
        <v>0</v>
      </c>
      <c r="P371" t="n">
        <v>0</v>
      </c>
      <c r="Q371" t="n">
        <v>0</v>
      </c>
      <c r="R371" s="2" t="inlineStr"/>
    </row>
    <row r="372" ht="15" customHeight="1">
      <c r="A372" t="inlineStr">
        <is>
          <t>A 15757-2023</t>
        </is>
      </c>
      <c r="B372" s="1" t="n">
        <v>45021</v>
      </c>
      <c r="C372" s="1" t="n">
        <v>45994</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37170-2021</t>
        </is>
      </c>
      <c r="B373" s="1" t="n">
        <v>44395</v>
      </c>
      <c r="C373" s="1" t="n">
        <v>45994</v>
      </c>
      <c r="D373" t="inlineStr">
        <is>
          <t>UPPSALA LÄN</t>
        </is>
      </c>
      <c r="E373" t="inlineStr">
        <is>
          <t>ENKÖPING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2161-2023</t>
        </is>
      </c>
      <c r="B374" s="1" t="n">
        <v>44941</v>
      </c>
      <c r="C374" s="1" t="n">
        <v>45994</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2165-2023</t>
        </is>
      </c>
      <c r="B375" s="1" t="n">
        <v>44941</v>
      </c>
      <c r="C375" s="1" t="n">
        <v>45994</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39746-2025</t>
        </is>
      </c>
      <c r="B376" s="1" t="n">
        <v>45891</v>
      </c>
      <c r="C376" s="1" t="n">
        <v>45994</v>
      </c>
      <c r="D376" t="inlineStr">
        <is>
          <t>UPPSALA LÄN</t>
        </is>
      </c>
      <c r="E376" t="inlineStr">
        <is>
          <t>ENKÖPING</t>
        </is>
      </c>
      <c r="G376" t="n">
        <v>7.4</v>
      </c>
      <c r="H376" t="n">
        <v>0</v>
      </c>
      <c r="I376" t="n">
        <v>0</v>
      </c>
      <c r="J376" t="n">
        <v>0</v>
      </c>
      <c r="K376" t="n">
        <v>0</v>
      </c>
      <c r="L376" t="n">
        <v>0</v>
      </c>
      <c r="M376" t="n">
        <v>0</v>
      </c>
      <c r="N376" t="n">
        <v>0</v>
      </c>
      <c r="O376" t="n">
        <v>0</v>
      </c>
      <c r="P376" t="n">
        <v>0</v>
      </c>
      <c r="Q376" t="n">
        <v>0</v>
      </c>
      <c r="R376" s="2" t="inlineStr"/>
    </row>
    <row r="377" ht="15" customHeight="1">
      <c r="A377" t="inlineStr">
        <is>
          <t>A 20112-2024</t>
        </is>
      </c>
      <c r="B377" s="1" t="n">
        <v>45434</v>
      </c>
      <c r="C377" s="1" t="n">
        <v>45994</v>
      </c>
      <c r="D377" t="inlineStr">
        <is>
          <t>UPPSALA LÄN</t>
        </is>
      </c>
      <c r="E377" t="inlineStr">
        <is>
          <t>ENKÖPING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58147-2024</t>
        </is>
      </c>
      <c r="B378" s="1" t="n">
        <v>45632.4334375</v>
      </c>
      <c r="C378" s="1" t="n">
        <v>45994</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11627-2025</t>
        </is>
      </c>
      <c r="B379" s="1" t="n">
        <v>45727</v>
      </c>
      <c r="C379" s="1" t="n">
        <v>45994</v>
      </c>
      <c r="D379" t="inlineStr">
        <is>
          <t>UPPSALA LÄN</t>
        </is>
      </c>
      <c r="E379" t="inlineStr">
        <is>
          <t>ENKÖPING</t>
        </is>
      </c>
      <c r="G379" t="n">
        <v>5.5</v>
      </c>
      <c r="H379" t="n">
        <v>0</v>
      </c>
      <c r="I379" t="n">
        <v>0</v>
      </c>
      <c r="J379" t="n">
        <v>0</v>
      </c>
      <c r="K379" t="n">
        <v>0</v>
      </c>
      <c r="L379" t="n">
        <v>0</v>
      </c>
      <c r="M379" t="n">
        <v>0</v>
      </c>
      <c r="N379" t="n">
        <v>0</v>
      </c>
      <c r="O379" t="n">
        <v>0</v>
      </c>
      <c r="P379" t="n">
        <v>0</v>
      </c>
      <c r="Q379" t="n">
        <v>0</v>
      </c>
      <c r="R379" s="2" t="inlineStr"/>
    </row>
    <row r="380" ht="15" customHeight="1">
      <c r="A380" t="inlineStr">
        <is>
          <t>A 3550-2023</t>
        </is>
      </c>
      <c r="B380" s="1" t="n">
        <v>44950</v>
      </c>
      <c r="C380" s="1" t="n">
        <v>45994</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19014-2025</t>
        </is>
      </c>
      <c r="B381" s="1" t="n">
        <v>45764.59631944444</v>
      </c>
      <c r="C381" s="1" t="n">
        <v>45994</v>
      </c>
      <c r="D381" t="inlineStr">
        <is>
          <t>UPPSALA LÄN</t>
        </is>
      </c>
      <c r="E381" t="inlineStr">
        <is>
          <t>ENKÖPING</t>
        </is>
      </c>
      <c r="G381" t="n">
        <v>0.2</v>
      </c>
      <c r="H381" t="n">
        <v>0</v>
      </c>
      <c r="I381" t="n">
        <v>0</v>
      </c>
      <c r="J381" t="n">
        <v>0</v>
      </c>
      <c r="K381" t="n">
        <v>0</v>
      </c>
      <c r="L381" t="n">
        <v>0</v>
      </c>
      <c r="M381" t="n">
        <v>0</v>
      </c>
      <c r="N381" t="n">
        <v>0</v>
      </c>
      <c r="O381" t="n">
        <v>0</v>
      </c>
      <c r="P381" t="n">
        <v>0</v>
      </c>
      <c r="Q381" t="n">
        <v>0</v>
      </c>
      <c r="R381" s="2" t="inlineStr"/>
    </row>
    <row r="382" ht="15" customHeight="1">
      <c r="A382" t="inlineStr">
        <is>
          <t>A 2162-2023</t>
        </is>
      </c>
      <c r="B382" s="1" t="n">
        <v>44941</v>
      </c>
      <c r="C382" s="1" t="n">
        <v>45994</v>
      </c>
      <c r="D382" t="inlineStr">
        <is>
          <t>UPPSALA LÄN</t>
        </is>
      </c>
      <c r="E382" t="inlineStr">
        <is>
          <t>ENKÖPING</t>
        </is>
      </c>
      <c r="G382" t="n">
        <v>2.4</v>
      </c>
      <c r="H382" t="n">
        <v>0</v>
      </c>
      <c r="I382" t="n">
        <v>0</v>
      </c>
      <c r="J382" t="n">
        <v>0</v>
      </c>
      <c r="K382" t="n">
        <v>0</v>
      </c>
      <c r="L382" t="n">
        <v>0</v>
      </c>
      <c r="M382" t="n">
        <v>0</v>
      </c>
      <c r="N382" t="n">
        <v>0</v>
      </c>
      <c r="O382" t="n">
        <v>0</v>
      </c>
      <c r="P382" t="n">
        <v>0</v>
      </c>
      <c r="Q382" t="n">
        <v>0</v>
      </c>
      <c r="R382" s="2" t="inlineStr"/>
    </row>
    <row r="383" ht="15" customHeight="1">
      <c r="A383" t="inlineStr">
        <is>
          <t>A 32081-2024</t>
        </is>
      </c>
      <c r="B383" s="1" t="n">
        <v>45511.34605324074</v>
      </c>
      <c r="C383" s="1" t="n">
        <v>45994</v>
      </c>
      <c r="D383" t="inlineStr">
        <is>
          <t>UPPSALA LÄN</t>
        </is>
      </c>
      <c r="E383" t="inlineStr">
        <is>
          <t>ENKÖPING</t>
        </is>
      </c>
      <c r="G383" t="n">
        <v>5.4</v>
      </c>
      <c r="H383" t="n">
        <v>0</v>
      </c>
      <c r="I383" t="n">
        <v>0</v>
      </c>
      <c r="J383" t="n">
        <v>0</v>
      </c>
      <c r="K383" t="n">
        <v>0</v>
      </c>
      <c r="L383" t="n">
        <v>0</v>
      </c>
      <c r="M383" t="n">
        <v>0</v>
      </c>
      <c r="N383" t="n">
        <v>0</v>
      </c>
      <c r="O383" t="n">
        <v>0</v>
      </c>
      <c r="P383" t="n">
        <v>0</v>
      </c>
      <c r="Q383" t="n">
        <v>0</v>
      </c>
      <c r="R383" s="2" t="inlineStr"/>
    </row>
    <row r="384" ht="15" customHeight="1">
      <c r="A384" t="inlineStr">
        <is>
          <t>A 12958-2024</t>
        </is>
      </c>
      <c r="B384" s="1" t="n">
        <v>45385</v>
      </c>
      <c r="C384" s="1" t="n">
        <v>45994</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41616-2025</t>
        </is>
      </c>
      <c r="B385" s="1" t="n">
        <v>45901.69684027778</v>
      </c>
      <c r="C385" s="1" t="n">
        <v>45994</v>
      </c>
      <c r="D385" t="inlineStr">
        <is>
          <t>UPPSALA LÄN</t>
        </is>
      </c>
      <c r="E385" t="inlineStr">
        <is>
          <t>ENKÖPING</t>
        </is>
      </c>
      <c r="F385" t="inlineStr">
        <is>
          <t>Allmännings- och besparingsskogar</t>
        </is>
      </c>
      <c r="G385" t="n">
        <v>17.3</v>
      </c>
      <c r="H385" t="n">
        <v>0</v>
      </c>
      <c r="I385" t="n">
        <v>0</v>
      </c>
      <c r="J385" t="n">
        <v>0</v>
      </c>
      <c r="K385" t="n">
        <v>0</v>
      </c>
      <c r="L385" t="n">
        <v>0</v>
      </c>
      <c r="M385" t="n">
        <v>0</v>
      </c>
      <c r="N385" t="n">
        <v>0</v>
      </c>
      <c r="O385" t="n">
        <v>0</v>
      </c>
      <c r="P385" t="n">
        <v>0</v>
      </c>
      <c r="Q385" t="n">
        <v>0</v>
      </c>
      <c r="R385" s="2" t="inlineStr"/>
    </row>
    <row r="386" ht="15" customHeight="1">
      <c r="A386" t="inlineStr">
        <is>
          <t>A 1651-2024</t>
        </is>
      </c>
      <c r="B386" s="1" t="n">
        <v>45306.73770833333</v>
      </c>
      <c r="C386" s="1" t="n">
        <v>45994</v>
      </c>
      <c r="D386" t="inlineStr">
        <is>
          <t>UPPSALA LÄN</t>
        </is>
      </c>
      <c r="E386" t="inlineStr">
        <is>
          <t>ENKÖPING</t>
        </is>
      </c>
      <c r="G386" t="n">
        <v>10.2</v>
      </c>
      <c r="H386" t="n">
        <v>0</v>
      </c>
      <c r="I386" t="n">
        <v>0</v>
      </c>
      <c r="J386" t="n">
        <v>0</v>
      </c>
      <c r="K386" t="n">
        <v>0</v>
      </c>
      <c r="L386" t="n">
        <v>0</v>
      </c>
      <c r="M386" t="n">
        <v>0</v>
      </c>
      <c r="N386" t="n">
        <v>0</v>
      </c>
      <c r="O386" t="n">
        <v>0</v>
      </c>
      <c r="P386" t="n">
        <v>0</v>
      </c>
      <c r="Q386" t="n">
        <v>0</v>
      </c>
      <c r="R386" s="2" t="inlineStr"/>
    </row>
    <row r="387" ht="15" customHeight="1">
      <c r="A387" t="inlineStr">
        <is>
          <t>A 2968-2025</t>
        </is>
      </c>
      <c r="B387" s="1" t="n">
        <v>45678</v>
      </c>
      <c r="C387" s="1" t="n">
        <v>45994</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49525-2021</t>
        </is>
      </c>
      <c r="B388" s="1" t="n">
        <v>44455</v>
      </c>
      <c r="C388" s="1" t="n">
        <v>45994</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51012-2024</t>
        </is>
      </c>
      <c r="B389" s="1" t="n">
        <v>45603.39686342593</v>
      </c>
      <c r="C389" s="1" t="n">
        <v>45994</v>
      </c>
      <c r="D389" t="inlineStr">
        <is>
          <t>UPPSALA LÄN</t>
        </is>
      </c>
      <c r="E389" t="inlineStr">
        <is>
          <t>ENKÖPING</t>
        </is>
      </c>
      <c r="G389" t="n">
        <v>2.7</v>
      </c>
      <c r="H389" t="n">
        <v>0</v>
      </c>
      <c r="I389" t="n">
        <v>0</v>
      </c>
      <c r="J389" t="n">
        <v>0</v>
      </c>
      <c r="K389" t="n">
        <v>0</v>
      </c>
      <c r="L389" t="n">
        <v>0</v>
      </c>
      <c r="M389" t="n">
        <v>0</v>
      </c>
      <c r="N389" t="n">
        <v>0</v>
      </c>
      <c r="O389" t="n">
        <v>0</v>
      </c>
      <c r="P389" t="n">
        <v>0</v>
      </c>
      <c r="Q389" t="n">
        <v>0</v>
      </c>
      <c r="R389" s="2" t="inlineStr"/>
    </row>
    <row r="390" ht="15" customHeight="1">
      <c r="A390" t="inlineStr">
        <is>
          <t>A 6959-2025</t>
        </is>
      </c>
      <c r="B390" s="1" t="n">
        <v>45701.49315972222</v>
      </c>
      <c r="C390" s="1" t="n">
        <v>45994</v>
      </c>
      <c r="D390" t="inlineStr">
        <is>
          <t>UPPSALA LÄN</t>
        </is>
      </c>
      <c r="E390" t="inlineStr">
        <is>
          <t>ENKÖPING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41637-2025</t>
        </is>
      </c>
      <c r="B391" s="1" t="n">
        <v>45901</v>
      </c>
      <c r="C391" s="1" t="n">
        <v>45994</v>
      </c>
      <c r="D391" t="inlineStr">
        <is>
          <t>UPPSALA LÄN</t>
        </is>
      </c>
      <c r="E391" t="inlineStr">
        <is>
          <t>ENKÖPING</t>
        </is>
      </c>
      <c r="F391" t="inlineStr">
        <is>
          <t>Allmännings- och besparingsskogar</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24411-2024</t>
        </is>
      </c>
      <c r="B392" s="1" t="n">
        <v>45457</v>
      </c>
      <c r="C392" s="1" t="n">
        <v>45994</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57940-2022</t>
        </is>
      </c>
      <c r="B393" s="1" t="n">
        <v>44900</v>
      </c>
      <c r="C393" s="1" t="n">
        <v>45994</v>
      </c>
      <c r="D393" t="inlineStr">
        <is>
          <t>UPPSALA LÄN</t>
        </is>
      </c>
      <c r="E393" t="inlineStr">
        <is>
          <t>ENKÖPING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41618-2025</t>
        </is>
      </c>
      <c r="B394" s="1" t="n">
        <v>45901.70085648148</v>
      </c>
      <c r="C394" s="1" t="n">
        <v>45994</v>
      </c>
      <c r="D394" t="inlineStr">
        <is>
          <t>UPPSALA LÄN</t>
        </is>
      </c>
      <c r="E394" t="inlineStr">
        <is>
          <t>ENKÖPING</t>
        </is>
      </c>
      <c r="F394" t="inlineStr">
        <is>
          <t>Allmännings- och besparingsskogar</t>
        </is>
      </c>
      <c r="G394" t="n">
        <v>5.3</v>
      </c>
      <c r="H394" t="n">
        <v>0</v>
      </c>
      <c r="I394" t="n">
        <v>0</v>
      </c>
      <c r="J394" t="n">
        <v>0</v>
      </c>
      <c r="K394" t="n">
        <v>0</v>
      </c>
      <c r="L394" t="n">
        <v>0</v>
      </c>
      <c r="M394" t="n">
        <v>0</v>
      </c>
      <c r="N394" t="n">
        <v>0</v>
      </c>
      <c r="O394" t="n">
        <v>0</v>
      </c>
      <c r="P394" t="n">
        <v>0</v>
      </c>
      <c r="Q394" t="n">
        <v>0</v>
      </c>
      <c r="R394" s="2" t="inlineStr"/>
    </row>
    <row r="395" ht="15" customHeight="1">
      <c r="A395" t="inlineStr">
        <is>
          <t>A 30437-2022</t>
        </is>
      </c>
      <c r="B395" s="1" t="n">
        <v>44761</v>
      </c>
      <c r="C395" s="1" t="n">
        <v>45994</v>
      </c>
      <c r="D395" t="inlineStr">
        <is>
          <t>UPPSALA LÄN</t>
        </is>
      </c>
      <c r="E395" t="inlineStr">
        <is>
          <t>ENKÖPING</t>
        </is>
      </c>
      <c r="G395" t="n">
        <v>3.4</v>
      </c>
      <c r="H395" t="n">
        <v>0</v>
      </c>
      <c r="I395" t="n">
        <v>0</v>
      </c>
      <c r="J395" t="n">
        <v>0</v>
      </c>
      <c r="K395" t="n">
        <v>0</v>
      </c>
      <c r="L395" t="n">
        <v>0</v>
      </c>
      <c r="M395" t="n">
        <v>0</v>
      </c>
      <c r="N395" t="n">
        <v>0</v>
      </c>
      <c r="O395" t="n">
        <v>0</v>
      </c>
      <c r="P395" t="n">
        <v>0</v>
      </c>
      <c r="Q395" t="n">
        <v>0</v>
      </c>
      <c r="R395" s="2" t="inlineStr"/>
    </row>
    <row r="396" ht="15" customHeight="1">
      <c r="A396" t="inlineStr">
        <is>
          <t>A 51011-2024</t>
        </is>
      </c>
      <c r="B396" s="1" t="n">
        <v>45603.39427083333</v>
      </c>
      <c r="C396" s="1" t="n">
        <v>45994</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26319-2022</t>
        </is>
      </c>
      <c r="B397" s="1" t="n">
        <v>44735</v>
      </c>
      <c r="C397" s="1" t="n">
        <v>45994</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42029-2025</t>
        </is>
      </c>
      <c r="B398" s="1" t="n">
        <v>45903</v>
      </c>
      <c r="C398" s="1" t="n">
        <v>45994</v>
      </c>
      <c r="D398" t="inlineStr">
        <is>
          <t>UPPSALA LÄN</t>
        </is>
      </c>
      <c r="E398" t="inlineStr">
        <is>
          <t>ENKÖPING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41765-2025</t>
        </is>
      </c>
      <c r="B399" s="1" t="n">
        <v>45902</v>
      </c>
      <c r="C399" s="1" t="n">
        <v>45994</v>
      </c>
      <c r="D399" t="inlineStr">
        <is>
          <t>UPPSALA LÄN</t>
        </is>
      </c>
      <c r="E399" t="inlineStr">
        <is>
          <t>ENKÖPING</t>
        </is>
      </c>
      <c r="G399" t="n">
        <v>2.7</v>
      </c>
      <c r="H399" t="n">
        <v>0</v>
      </c>
      <c r="I399" t="n">
        <v>0</v>
      </c>
      <c r="J399" t="n">
        <v>0</v>
      </c>
      <c r="K399" t="n">
        <v>0</v>
      </c>
      <c r="L399" t="n">
        <v>0</v>
      </c>
      <c r="M399" t="n">
        <v>0</v>
      </c>
      <c r="N399" t="n">
        <v>0</v>
      </c>
      <c r="O399" t="n">
        <v>0</v>
      </c>
      <c r="P399" t="n">
        <v>0</v>
      </c>
      <c r="Q399" t="n">
        <v>0</v>
      </c>
      <c r="R399" s="2" t="inlineStr"/>
    </row>
    <row r="400" ht="15" customHeight="1">
      <c r="A400" t="inlineStr">
        <is>
          <t>A 63310-2021</t>
        </is>
      </c>
      <c r="B400" s="1" t="n">
        <v>44508</v>
      </c>
      <c r="C400" s="1" t="n">
        <v>45994</v>
      </c>
      <c r="D400" t="inlineStr">
        <is>
          <t>UPPSALA LÄN</t>
        </is>
      </c>
      <c r="E400" t="inlineStr">
        <is>
          <t>ENKÖPING</t>
        </is>
      </c>
      <c r="G400" t="n">
        <v>3.5</v>
      </c>
      <c r="H400" t="n">
        <v>0</v>
      </c>
      <c r="I400" t="n">
        <v>0</v>
      </c>
      <c r="J400" t="n">
        <v>0</v>
      </c>
      <c r="K400" t="n">
        <v>0</v>
      </c>
      <c r="L400" t="n">
        <v>0</v>
      </c>
      <c r="M400" t="n">
        <v>0</v>
      </c>
      <c r="N400" t="n">
        <v>0</v>
      </c>
      <c r="O400" t="n">
        <v>0</v>
      </c>
      <c r="P400" t="n">
        <v>0</v>
      </c>
      <c r="Q400" t="n">
        <v>0</v>
      </c>
      <c r="R400" s="2" t="inlineStr"/>
    </row>
    <row r="401" ht="15" customHeight="1">
      <c r="A401" t="inlineStr">
        <is>
          <t>A 29918-2023</t>
        </is>
      </c>
      <c r="B401" s="1" t="n">
        <v>45099</v>
      </c>
      <c r="C401" s="1" t="n">
        <v>45994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47516-2022</t>
        </is>
      </c>
      <c r="B402" s="1" t="n">
        <v>44853.68895833333</v>
      </c>
      <c r="C402" s="1" t="n">
        <v>45994</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20440-2025</t>
        </is>
      </c>
      <c r="B403" s="1" t="n">
        <v>45775</v>
      </c>
      <c r="C403" s="1" t="n">
        <v>45994</v>
      </c>
      <c r="D403" t="inlineStr">
        <is>
          <t>UPPSALA LÄN</t>
        </is>
      </c>
      <c r="E403" t="inlineStr">
        <is>
          <t>ENKÖPING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24291-2024</t>
        </is>
      </c>
      <c r="B404" s="1" t="n">
        <v>45457.4584837963</v>
      </c>
      <c r="C404" s="1" t="n">
        <v>45994</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45994</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41764-2025</t>
        </is>
      </c>
      <c r="B406" s="1" t="n">
        <v>45902</v>
      </c>
      <c r="C406" s="1" t="n">
        <v>45994</v>
      </c>
      <c r="D406" t="inlineStr">
        <is>
          <t>UPPSALA LÄN</t>
        </is>
      </c>
      <c r="E406" t="inlineStr">
        <is>
          <t>ENKÖPING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5188-2022</t>
        </is>
      </c>
      <c r="B407" s="1" t="n">
        <v>44594.4471412037</v>
      </c>
      <c r="C407" s="1" t="n">
        <v>45994</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51042-2024</t>
        </is>
      </c>
      <c r="B408" s="1" t="n">
        <v>45603.4342824074</v>
      </c>
      <c r="C408" s="1" t="n">
        <v>45994</v>
      </c>
      <c r="D408" t="inlineStr">
        <is>
          <t>UPPSALA LÄN</t>
        </is>
      </c>
      <c r="E408" t="inlineStr">
        <is>
          <t>ENKÖPING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51037-2024</t>
        </is>
      </c>
      <c r="B409" s="1" t="n">
        <v>45603.43005787037</v>
      </c>
      <c r="C409" s="1" t="n">
        <v>45994</v>
      </c>
      <c r="D409" t="inlineStr">
        <is>
          <t>UPPSALA LÄN</t>
        </is>
      </c>
      <c r="E409" t="inlineStr">
        <is>
          <t>ENKÖPING</t>
        </is>
      </c>
      <c r="G409" t="n">
        <v>5.7</v>
      </c>
      <c r="H409" t="n">
        <v>0</v>
      </c>
      <c r="I409" t="n">
        <v>0</v>
      </c>
      <c r="J409" t="n">
        <v>0</v>
      </c>
      <c r="K409" t="n">
        <v>0</v>
      </c>
      <c r="L409" t="n">
        <v>0</v>
      </c>
      <c r="M409" t="n">
        <v>0</v>
      </c>
      <c r="N409" t="n">
        <v>0</v>
      </c>
      <c r="O409" t="n">
        <v>0</v>
      </c>
      <c r="P409" t="n">
        <v>0</v>
      </c>
      <c r="Q409" t="n">
        <v>0</v>
      </c>
      <c r="R409" s="2" t="inlineStr"/>
    </row>
    <row r="410" ht="15" customHeight="1">
      <c r="A410" t="inlineStr">
        <is>
          <t>A 42756-2025</t>
        </is>
      </c>
      <c r="B410" s="1" t="n">
        <v>45908</v>
      </c>
      <c r="C410" s="1" t="n">
        <v>45994</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31622-2022</t>
        </is>
      </c>
      <c r="B411" s="1" t="n">
        <v>44775</v>
      </c>
      <c r="C411" s="1" t="n">
        <v>45994</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22632-2025</t>
        </is>
      </c>
      <c r="B412" s="1" t="n">
        <v>45789.44361111111</v>
      </c>
      <c r="C412" s="1" t="n">
        <v>45994</v>
      </c>
      <c r="D412" t="inlineStr">
        <is>
          <t>UPPSALA LÄN</t>
        </is>
      </c>
      <c r="E412" t="inlineStr">
        <is>
          <t>ENKÖPING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12102-2024</t>
        </is>
      </c>
      <c r="B413" s="1" t="n">
        <v>45377</v>
      </c>
      <c r="C413" s="1" t="n">
        <v>45994</v>
      </c>
      <c r="D413" t="inlineStr">
        <is>
          <t>UPPSALA LÄN</t>
        </is>
      </c>
      <c r="E413" t="inlineStr">
        <is>
          <t>ENKÖPING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59602-2024</t>
        </is>
      </c>
      <c r="B414" s="1" t="n">
        <v>45638</v>
      </c>
      <c r="C414" s="1" t="n">
        <v>45994</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58092-2024</t>
        </is>
      </c>
      <c r="B415" s="1" t="n">
        <v>45632</v>
      </c>
      <c r="C415" s="1" t="n">
        <v>45994</v>
      </c>
      <c r="D415" t="inlineStr">
        <is>
          <t>UPPSALA LÄN</t>
        </is>
      </c>
      <c r="E415" t="inlineStr">
        <is>
          <t>ENKÖPING</t>
        </is>
      </c>
      <c r="G415" t="n">
        <v>4.8</v>
      </c>
      <c r="H415" t="n">
        <v>0</v>
      </c>
      <c r="I415" t="n">
        <v>0</v>
      </c>
      <c r="J415" t="n">
        <v>0</v>
      </c>
      <c r="K415" t="n">
        <v>0</v>
      </c>
      <c r="L415" t="n">
        <v>0</v>
      </c>
      <c r="M415" t="n">
        <v>0</v>
      </c>
      <c r="N415" t="n">
        <v>0</v>
      </c>
      <c r="O415" t="n">
        <v>0</v>
      </c>
      <c r="P415" t="n">
        <v>0</v>
      </c>
      <c r="Q415" t="n">
        <v>0</v>
      </c>
      <c r="R415" s="2" t="inlineStr"/>
    </row>
    <row r="416" ht="15" customHeight="1">
      <c r="A416" t="inlineStr">
        <is>
          <t>A 51027-2024</t>
        </is>
      </c>
      <c r="B416" s="1" t="n">
        <v>45603</v>
      </c>
      <c r="C416" s="1" t="n">
        <v>45994</v>
      </c>
      <c r="D416" t="inlineStr">
        <is>
          <t>UPPSALA LÄN</t>
        </is>
      </c>
      <c r="E416" t="inlineStr">
        <is>
          <t>ENKÖPING</t>
        </is>
      </c>
      <c r="G416" t="n">
        <v>3.5</v>
      </c>
      <c r="H416" t="n">
        <v>0</v>
      </c>
      <c r="I416" t="n">
        <v>0</v>
      </c>
      <c r="J416" t="n">
        <v>0</v>
      </c>
      <c r="K416" t="n">
        <v>0</v>
      </c>
      <c r="L416" t="n">
        <v>0</v>
      </c>
      <c r="M416" t="n">
        <v>0</v>
      </c>
      <c r="N416" t="n">
        <v>0</v>
      </c>
      <c r="O416" t="n">
        <v>0</v>
      </c>
      <c r="P416" t="n">
        <v>0</v>
      </c>
      <c r="Q416" t="n">
        <v>0</v>
      </c>
      <c r="R416" s="2" t="inlineStr"/>
    </row>
    <row r="417" ht="15" customHeight="1">
      <c r="A417" t="inlineStr">
        <is>
          <t>A 26024-2025</t>
        </is>
      </c>
      <c r="B417" s="1" t="n">
        <v>45804.6831712963</v>
      </c>
      <c r="C417" s="1" t="n">
        <v>45994</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26042-2025</t>
        </is>
      </c>
      <c r="B418" s="1" t="n">
        <v>45804.70018518518</v>
      </c>
      <c r="C418" s="1" t="n">
        <v>45994</v>
      </c>
      <c r="D418" t="inlineStr">
        <is>
          <t>UPPSALA LÄN</t>
        </is>
      </c>
      <c r="E418" t="inlineStr">
        <is>
          <t>ENKÖPING</t>
        </is>
      </c>
      <c r="G418" t="n">
        <v>1.2</v>
      </c>
      <c r="H418" t="n">
        <v>0</v>
      </c>
      <c r="I418" t="n">
        <v>0</v>
      </c>
      <c r="J418" t="n">
        <v>0</v>
      </c>
      <c r="K418" t="n">
        <v>0</v>
      </c>
      <c r="L418" t="n">
        <v>0</v>
      </c>
      <c r="M418" t="n">
        <v>0</v>
      </c>
      <c r="N418" t="n">
        <v>0</v>
      </c>
      <c r="O418" t="n">
        <v>0</v>
      </c>
      <c r="P418" t="n">
        <v>0</v>
      </c>
      <c r="Q418" t="n">
        <v>0</v>
      </c>
      <c r="R418" s="2" t="inlineStr"/>
    </row>
    <row r="419" ht="15" customHeight="1">
      <c r="A419" t="inlineStr">
        <is>
          <t>A 26005-2025</t>
        </is>
      </c>
      <c r="B419" s="1" t="n">
        <v>45804.67055555555</v>
      </c>
      <c r="C419" s="1" t="n">
        <v>45994</v>
      </c>
      <c r="D419" t="inlineStr">
        <is>
          <t>UPPSALA LÄN</t>
        </is>
      </c>
      <c r="E419" t="inlineStr">
        <is>
          <t>ENKÖPING</t>
        </is>
      </c>
      <c r="G419" t="n">
        <v>0.3</v>
      </c>
      <c r="H419" t="n">
        <v>0</v>
      </c>
      <c r="I419" t="n">
        <v>0</v>
      </c>
      <c r="J419" t="n">
        <v>0</v>
      </c>
      <c r="K419" t="n">
        <v>0</v>
      </c>
      <c r="L419" t="n">
        <v>0</v>
      </c>
      <c r="M419" t="n">
        <v>0</v>
      </c>
      <c r="N419" t="n">
        <v>0</v>
      </c>
      <c r="O419" t="n">
        <v>0</v>
      </c>
      <c r="P419" t="n">
        <v>0</v>
      </c>
      <c r="Q419" t="n">
        <v>0</v>
      </c>
      <c r="R419" s="2" t="inlineStr"/>
    </row>
    <row r="420" ht="15" customHeight="1">
      <c r="A420" t="inlineStr">
        <is>
          <t>A 26026-2025</t>
        </is>
      </c>
      <c r="B420" s="1" t="n">
        <v>45804.68510416667</v>
      </c>
      <c r="C420" s="1" t="n">
        <v>45994</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26030-2025</t>
        </is>
      </c>
      <c r="B421" s="1" t="n">
        <v>45804.68815972222</v>
      </c>
      <c r="C421" s="1" t="n">
        <v>45994</v>
      </c>
      <c r="D421" t="inlineStr">
        <is>
          <t>UPPSALA LÄN</t>
        </is>
      </c>
      <c r="E421" t="inlineStr">
        <is>
          <t>ENKÖPING</t>
        </is>
      </c>
      <c r="G421" t="n">
        <v>0.3</v>
      </c>
      <c r="H421" t="n">
        <v>0</v>
      </c>
      <c r="I421" t="n">
        <v>0</v>
      </c>
      <c r="J421" t="n">
        <v>0</v>
      </c>
      <c r="K421" t="n">
        <v>0</v>
      </c>
      <c r="L421" t="n">
        <v>0</v>
      </c>
      <c r="M421" t="n">
        <v>0</v>
      </c>
      <c r="N421" t="n">
        <v>0</v>
      </c>
      <c r="O421" t="n">
        <v>0</v>
      </c>
      <c r="P421" t="n">
        <v>0</v>
      </c>
      <c r="Q421" t="n">
        <v>0</v>
      </c>
      <c r="R421" s="2" t="inlineStr"/>
    </row>
    <row r="422" ht="15" customHeight="1">
      <c r="A422" t="inlineStr">
        <is>
          <t>A 26022-2025</t>
        </is>
      </c>
      <c r="B422" s="1" t="n">
        <v>45804.68006944445</v>
      </c>
      <c r="C422" s="1" t="n">
        <v>45994</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25988-2025</t>
        </is>
      </c>
      <c r="B423" s="1" t="n">
        <v>45804.64814814815</v>
      </c>
      <c r="C423" s="1" t="n">
        <v>45994</v>
      </c>
      <c r="D423" t="inlineStr">
        <is>
          <t>UPPSALA LÄN</t>
        </is>
      </c>
      <c r="E423" t="inlineStr">
        <is>
          <t>ENKÖPING</t>
        </is>
      </c>
      <c r="G423" t="n">
        <v>4.7</v>
      </c>
      <c r="H423" t="n">
        <v>0</v>
      </c>
      <c r="I423" t="n">
        <v>0</v>
      </c>
      <c r="J423" t="n">
        <v>0</v>
      </c>
      <c r="K423" t="n">
        <v>0</v>
      </c>
      <c r="L423" t="n">
        <v>0</v>
      </c>
      <c r="M423" t="n">
        <v>0</v>
      </c>
      <c r="N423" t="n">
        <v>0</v>
      </c>
      <c r="O423" t="n">
        <v>0</v>
      </c>
      <c r="P423" t="n">
        <v>0</v>
      </c>
      <c r="Q423" t="n">
        <v>0</v>
      </c>
      <c r="R423" s="2" t="inlineStr"/>
    </row>
    <row r="424" ht="15" customHeight="1">
      <c r="A424" t="inlineStr">
        <is>
          <t>A 26031-2025</t>
        </is>
      </c>
      <c r="B424" s="1" t="n">
        <v>45804.69050925926</v>
      </c>
      <c r="C424" s="1" t="n">
        <v>45994</v>
      </c>
      <c r="D424" t="inlineStr">
        <is>
          <t>UPPSALA LÄN</t>
        </is>
      </c>
      <c r="E424" t="inlineStr">
        <is>
          <t>ENKÖPING</t>
        </is>
      </c>
      <c r="G424" t="n">
        <v>0.5</v>
      </c>
      <c r="H424" t="n">
        <v>0</v>
      </c>
      <c r="I424" t="n">
        <v>0</v>
      </c>
      <c r="J424" t="n">
        <v>0</v>
      </c>
      <c r="K424" t="n">
        <v>0</v>
      </c>
      <c r="L424" t="n">
        <v>0</v>
      </c>
      <c r="M424" t="n">
        <v>0</v>
      </c>
      <c r="N424" t="n">
        <v>0</v>
      </c>
      <c r="O424" t="n">
        <v>0</v>
      </c>
      <c r="P424" t="n">
        <v>0</v>
      </c>
      <c r="Q424" t="n">
        <v>0</v>
      </c>
      <c r="R424" s="2" t="inlineStr"/>
    </row>
    <row r="425" ht="15" customHeight="1">
      <c r="A425" t="inlineStr">
        <is>
          <t>A 26011-2025</t>
        </is>
      </c>
      <c r="B425" s="1" t="n">
        <v>45804.67412037037</v>
      </c>
      <c r="C425" s="1" t="n">
        <v>45994</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26041-2025</t>
        </is>
      </c>
      <c r="B426" s="1" t="n">
        <v>45804.69883101852</v>
      </c>
      <c r="C426" s="1" t="n">
        <v>45994</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25990-2025</t>
        </is>
      </c>
      <c r="B427" s="1" t="n">
        <v>45804.65229166667</v>
      </c>
      <c r="C427" s="1" t="n">
        <v>45994</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25847-2025</t>
        </is>
      </c>
      <c r="B428" s="1" t="n">
        <v>45804</v>
      </c>
      <c r="C428" s="1" t="n">
        <v>45994</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26047-2025</t>
        </is>
      </c>
      <c r="B429" s="1" t="n">
        <v>45804.70835648148</v>
      </c>
      <c r="C429" s="1" t="n">
        <v>45994</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43999-2025</t>
        </is>
      </c>
      <c r="B430" s="1" t="n">
        <v>45915.45158564814</v>
      </c>
      <c r="C430" s="1" t="n">
        <v>45994</v>
      </c>
      <c r="D430" t="inlineStr">
        <is>
          <t>UPPSALA LÄN</t>
        </is>
      </c>
      <c r="E430" t="inlineStr">
        <is>
          <t>ENKÖPING</t>
        </is>
      </c>
      <c r="G430" t="n">
        <v>4.1</v>
      </c>
      <c r="H430" t="n">
        <v>0</v>
      </c>
      <c r="I430" t="n">
        <v>0</v>
      </c>
      <c r="J430" t="n">
        <v>0</v>
      </c>
      <c r="K430" t="n">
        <v>0</v>
      </c>
      <c r="L430" t="n">
        <v>0</v>
      </c>
      <c r="M430" t="n">
        <v>0</v>
      </c>
      <c r="N430" t="n">
        <v>0</v>
      </c>
      <c r="O430" t="n">
        <v>0</v>
      </c>
      <c r="P430" t="n">
        <v>0</v>
      </c>
      <c r="Q430" t="n">
        <v>0</v>
      </c>
      <c r="R430" s="2" t="inlineStr"/>
    </row>
    <row r="431" ht="15" customHeight="1">
      <c r="A431" t="inlineStr">
        <is>
          <t>A 35067-2024</t>
        </is>
      </c>
      <c r="B431" s="1" t="n">
        <v>45527.66153935185</v>
      </c>
      <c r="C431" s="1" t="n">
        <v>45994</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44419-2025</t>
        </is>
      </c>
      <c r="B432" s="1" t="n">
        <v>45916.54671296296</v>
      </c>
      <c r="C432" s="1" t="n">
        <v>45994</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27829-2025</t>
        </is>
      </c>
      <c r="B433" s="1" t="n">
        <v>45817</v>
      </c>
      <c r="C433" s="1" t="n">
        <v>45994</v>
      </c>
      <c r="D433" t="inlineStr">
        <is>
          <t>UPPSALA LÄN</t>
        </is>
      </c>
      <c r="E433" t="inlineStr">
        <is>
          <t>ENKÖPING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39009-2024</t>
        </is>
      </c>
      <c r="B434" s="1" t="n">
        <v>45548</v>
      </c>
      <c r="C434" s="1" t="n">
        <v>45994</v>
      </c>
      <c r="D434" t="inlineStr">
        <is>
          <t>UPPSALA LÄN</t>
        </is>
      </c>
      <c r="E434" t="inlineStr">
        <is>
          <t>ENKÖPING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8537-2025</t>
        </is>
      </c>
      <c r="B435" s="1" t="n">
        <v>45709</v>
      </c>
      <c r="C435" s="1" t="n">
        <v>45994</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32477-2025</t>
        </is>
      </c>
      <c r="B436" s="1" t="n">
        <v>45838.43098379629</v>
      </c>
      <c r="C436" s="1" t="n">
        <v>45994</v>
      </c>
      <c r="D436" t="inlineStr">
        <is>
          <t>UPPSALA LÄN</t>
        </is>
      </c>
      <c r="E436" t="inlineStr">
        <is>
          <t>ENKÖPING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28758-2025</t>
        </is>
      </c>
      <c r="B437" s="1" t="n">
        <v>45820.41212962963</v>
      </c>
      <c r="C437" s="1" t="n">
        <v>45994</v>
      </c>
      <c r="D437" t="inlineStr">
        <is>
          <t>UPPSALA LÄN</t>
        </is>
      </c>
      <c r="E437" t="inlineStr">
        <is>
          <t>ENKÖPING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28862-2025</t>
        </is>
      </c>
      <c r="B438" s="1" t="n">
        <v>45820.59189814814</v>
      </c>
      <c r="C438" s="1" t="n">
        <v>45994</v>
      </c>
      <c r="D438" t="inlineStr">
        <is>
          <t>UPPSALA LÄN</t>
        </is>
      </c>
      <c r="E438" t="inlineStr">
        <is>
          <t>ENKÖPING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28855-2025</t>
        </is>
      </c>
      <c r="B439" s="1" t="n">
        <v>45820.58274305556</v>
      </c>
      <c r="C439" s="1" t="n">
        <v>45994</v>
      </c>
      <c r="D439" t="inlineStr">
        <is>
          <t>UPPSALA LÄN</t>
        </is>
      </c>
      <c r="E439" t="inlineStr">
        <is>
          <t>ENKÖPING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29093-2025</t>
        </is>
      </c>
      <c r="B440" s="1" t="n">
        <v>45821.55743055556</v>
      </c>
      <c r="C440" s="1" t="n">
        <v>45994</v>
      </c>
      <c r="D440" t="inlineStr">
        <is>
          <t>UPPSALA LÄN</t>
        </is>
      </c>
      <c r="E440" t="inlineStr">
        <is>
          <t>ENKÖPING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29477-2025</t>
        </is>
      </c>
      <c r="B441" s="1" t="n">
        <v>45824.71537037037</v>
      </c>
      <c r="C441" s="1" t="n">
        <v>45994</v>
      </c>
      <c r="D441" t="inlineStr">
        <is>
          <t>UPPSALA LÄN</t>
        </is>
      </c>
      <c r="E441" t="inlineStr">
        <is>
          <t>ENKÖPING</t>
        </is>
      </c>
      <c r="G441" t="n">
        <v>13.4</v>
      </c>
      <c r="H441" t="n">
        <v>0</v>
      </c>
      <c r="I441" t="n">
        <v>0</v>
      </c>
      <c r="J441" t="n">
        <v>0</v>
      </c>
      <c r="K441" t="n">
        <v>0</v>
      </c>
      <c r="L441" t="n">
        <v>0</v>
      </c>
      <c r="M441" t="n">
        <v>0</v>
      </c>
      <c r="N441" t="n">
        <v>0</v>
      </c>
      <c r="O441" t="n">
        <v>0</v>
      </c>
      <c r="P441" t="n">
        <v>0</v>
      </c>
      <c r="Q441" t="n">
        <v>0</v>
      </c>
      <c r="R441" s="2" t="inlineStr"/>
    </row>
    <row r="442" ht="15" customHeight="1">
      <c r="A442" t="inlineStr">
        <is>
          <t>A 30837-2025</t>
        </is>
      </c>
      <c r="B442" s="1" t="n">
        <v>45831.7063425926</v>
      </c>
      <c r="C442" s="1" t="n">
        <v>45994</v>
      </c>
      <c r="D442" t="inlineStr">
        <is>
          <t>UPPSALA LÄN</t>
        </is>
      </c>
      <c r="E442" t="inlineStr">
        <is>
          <t>ENKÖPING</t>
        </is>
      </c>
      <c r="G442" t="n">
        <v>3.8</v>
      </c>
      <c r="H442" t="n">
        <v>0</v>
      </c>
      <c r="I442" t="n">
        <v>0</v>
      </c>
      <c r="J442" t="n">
        <v>0</v>
      </c>
      <c r="K442" t="n">
        <v>0</v>
      </c>
      <c r="L442" t="n">
        <v>0</v>
      </c>
      <c r="M442" t="n">
        <v>0</v>
      </c>
      <c r="N442" t="n">
        <v>0</v>
      </c>
      <c r="O442" t="n">
        <v>0</v>
      </c>
      <c r="P442" t="n">
        <v>0</v>
      </c>
      <c r="Q442" t="n">
        <v>0</v>
      </c>
      <c r="R442" s="2" t="inlineStr"/>
    </row>
    <row r="443" ht="15" customHeight="1">
      <c r="A443" t="inlineStr">
        <is>
          <t>A 54263-2025</t>
        </is>
      </c>
      <c r="B443" s="1" t="n">
        <v>45964.66271990741</v>
      </c>
      <c r="C443" s="1" t="n">
        <v>45994</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45755-2025</t>
        </is>
      </c>
      <c r="B444" s="1" t="n">
        <v>45923.50240740741</v>
      </c>
      <c r="C444" s="1" t="n">
        <v>45994</v>
      </c>
      <c r="D444" t="inlineStr">
        <is>
          <t>UPPSALA LÄN</t>
        </is>
      </c>
      <c r="E444" t="inlineStr">
        <is>
          <t>ENKÖPING</t>
        </is>
      </c>
      <c r="G444" t="n">
        <v>2.2</v>
      </c>
      <c r="H444" t="n">
        <v>0</v>
      </c>
      <c r="I444" t="n">
        <v>0</v>
      </c>
      <c r="J444" t="n">
        <v>0</v>
      </c>
      <c r="K444" t="n">
        <v>0</v>
      </c>
      <c r="L444" t="n">
        <v>0</v>
      </c>
      <c r="M444" t="n">
        <v>0</v>
      </c>
      <c r="N444" t="n">
        <v>0</v>
      </c>
      <c r="O444" t="n">
        <v>0</v>
      </c>
      <c r="P444" t="n">
        <v>0</v>
      </c>
      <c r="Q444" t="n">
        <v>0</v>
      </c>
      <c r="R444" s="2" t="inlineStr"/>
    </row>
    <row r="445" ht="15" customHeight="1">
      <c r="A445" t="inlineStr">
        <is>
          <t>A 54541-2025</t>
        </is>
      </c>
      <c r="B445" s="1" t="n">
        <v>45965.64733796296</v>
      </c>
      <c r="C445" s="1" t="n">
        <v>45994</v>
      </c>
      <c r="D445" t="inlineStr">
        <is>
          <t>UPPSALA LÄN</t>
        </is>
      </c>
      <c r="E445" t="inlineStr">
        <is>
          <t>ENKÖPING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54758-2025</t>
        </is>
      </c>
      <c r="B446" s="1" t="n">
        <v>45966.59737268519</v>
      </c>
      <c r="C446" s="1" t="n">
        <v>45994</v>
      </c>
      <c r="D446" t="inlineStr">
        <is>
          <t>UPPSALA LÄN</t>
        </is>
      </c>
      <c r="E446" t="inlineStr">
        <is>
          <t>ENKÖPING</t>
        </is>
      </c>
      <c r="G446" t="n">
        <v>3.3</v>
      </c>
      <c r="H446" t="n">
        <v>0</v>
      </c>
      <c r="I446" t="n">
        <v>0</v>
      </c>
      <c r="J446" t="n">
        <v>0</v>
      </c>
      <c r="K446" t="n">
        <v>0</v>
      </c>
      <c r="L446" t="n">
        <v>0</v>
      </c>
      <c r="M446" t="n">
        <v>0</v>
      </c>
      <c r="N446" t="n">
        <v>0</v>
      </c>
      <c r="O446" t="n">
        <v>0</v>
      </c>
      <c r="P446" t="n">
        <v>0</v>
      </c>
      <c r="Q446" t="n">
        <v>0</v>
      </c>
      <c r="R446" s="2" t="inlineStr"/>
    </row>
    <row r="447" ht="15" customHeight="1">
      <c r="A447" t="inlineStr">
        <is>
          <t>A 54844-2025</t>
        </is>
      </c>
      <c r="B447" s="1" t="n">
        <v>45966.69570601852</v>
      </c>
      <c r="C447" s="1" t="n">
        <v>45994</v>
      </c>
      <c r="D447" t="inlineStr">
        <is>
          <t>UPPSALA LÄN</t>
        </is>
      </c>
      <c r="E447" t="inlineStr">
        <is>
          <t>ENKÖPING</t>
        </is>
      </c>
      <c r="G447" t="n">
        <v>5.5</v>
      </c>
      <c r="H447" t="n">
        <v>0</v>
      </c>
      <c r="I447" t="n">
        <v>0</v>
      </c>
      <c r="J447" t="n">
        <v>0</v>
      </c>
      <c r="K447" t="n">
        <v>0</v>
      </c>
      <c r="L447" t="n">
        <v>0</v>
      </c>
      <c r="M447" t="n">
        <v>0</v>
      </c>
      <c r="N447" t="n">
        <v>0</v>
      </c>
      <c r="O447" t="n">
        <v>0</v>
      </c>
      <c r="P447" t="n">
        <v>0</v>
      </c>
      <c r="Q447" t="n">
        <v>0</v>
      </c>
      <c r="R447" s="2" t="inlineStr"/>
    </row>
    <row r="448" ht="15" customHeight="1">
      <c r="A448" t="inlineStr">
        <is>
          <t>A 34989-2025</t>
        </is>
      </c>
      <c r="B448" s="1" t="n">
        <v>45849</v>
      </c>
      <c r="C448" s="1" t="n">
        <v>45994</v>
      </c>
      <c r="D448" t="inlineStr">
        <is>
          <t>UPPSALA LÄN</t>
        </is>
      </c>
      <c r="E448" t="inlineStr">
        <is>
          <t>ENKÖPING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34990-2025</t>
        </is>
      </c>
      <c r="B449" s="1" t="n">
        <v>45849.78916666667</v>
      </c>
      <c r="C449" s="1" t="n">
        <v>45994</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32111-2025</t>
        </is>
      </c>
      <c r="B450" s="1" t="n">
        <v>45835</v>
      </c>
      <c r="C450" s="1" t="n">
        <v>45994</v>
      </c>
      <c r="D450" t="inlineStr">
        <is>
          <t>UPPSALA LÄN</t>
        </is>
      </c>
      <c r="E450" t="inlineStr">
        <is>
          <t>ENKÖPING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32031-2025</t>
        </is>
      </c>
      <c r="B451" s="1" t="n">
        <v>45835.41712962963</v>
      </c>
      <c r="C451" s="1" t="n">
        <v>45994</v>
      </c>
      <c r="D451" t="inlineStr">
        <is>
          <t>UPPSALA LÄN</t>
        </is>
      </c>
      <c r="E451" t="inlineStr">
        <is>
          <t>ENKÖPING</t>
        </is>
      </c>
      <c r="G451" t="n">
        <v>2.7</v>
      </c>
      <c r="H451" t="n">
        <v>0</v>
      </c>
      <c r="I451" t="n">
        <v>0</v>
      </c>
      <c r="J451" t="n">
        <v>0</v>
      </c>
      <c r="K451" t="n">
        <v>0</v>
      </c>
      <c r="L451" t="n">
        <v>0</v>
      </c>
      <c r="M451" t="n">
        <v>0</v>
      </c>
      <c r="N451" t="n">
        <v>0</v>
      </c>
      <c r="O451" t="n">
        <v>0</v>
      </c>
      <c r="P451" t="n">
        <v>0</v>
      </c>
      <c r="Q451" t="n">
        <v>0</v>
      </c>
      <c r="R451" s="2" t="inlineStr"/>
    </row>
    <row r="452" ht="15" customHeight="1">
      <c r="A452" t="inlineStr">
        <is>
          <t>A 46940-2025</t>
        </is>
      </c>
      <c r="B452" s="1" t="n">
        <v>45929.45483796296</v>
      </c>
      <c r="C452" s="1" t="n">
        <v>45994</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15740-2025</t>
        </is>
      </c>
      <c r="B453" s="1" t="n">
        <v>45748</v>
      </c>
      <c r="C453" s="1" t="n">
        <v>45994</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46590-2025</t>
        </is>
      </c>
      <c r="B454" s="1" t="n">
        <v>45926.39542824074</v>
      </c>
      <c r="C454" s="1" t="n">
        <v>45994</v>
      </c>
      <c r="D454" t="inlineStr">
        <is>
          <t>UPPSALA LÄN</t>
        </is>
      </c>
      <c r="E454" t="inlineStr">
        <is>
          <t>ENKÖPING</t>
        </is>
      </c>
      <c r="G454" t="n">
        <v>2.7</v>
      </c>
      <c r="H454" t="n">
        <v>0</v>
      </c>
      <c r="I454" t="n">
        <v>0</v>
      </c>
      <c r="J454" t="n">
        <v>0</v>
      </c>
      <c r="K454" t="n">
        <v>0</v>
      </c>
      <c r="L454" t="n">
        <v>0</v>
      </c>
      <c r="M454" t="n">
        <v>0</v>
      </c>
      <c r="N454" t="n">
        <v>0</v>
      </c>
      <c r="O454" t="n">
        <v>0</v>
      </c>
      <c r="P454" t="n">
        <v>0</v>
      </c>
      <c r="Q454" t="n">
        <v>0</v>
      </c>
      <c r="R454" s="2" t="inlineStr"/>
    </row>
    <row r="455" ht="15" customHeight="1">
      <c r="A455" t="inlineStr">
        <is>
          <t>A 55567-2025</t>
        </is>
      </c>
      <c r="B455" s="1" t="n">
        <v>45971.65589120371</v>
      </c>
      <c r="C455" s="1" t="n">
        <v>45994</v>
      </c>
      <c r="D455" t="inlineStr">
        <is>
          <t>UPPSALA LÄN</t>
        </is>
      </c>
      <c r="E455" t="inlineStr">
        <is>
          <t>ENKÖPING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18994-2025</t>
        </is>
      </c>
      <c r="B456" s="1" t="n">
        <v>45764.57350694444</v>
      </c>
      <c r="C456" s="1" t="n">
        <v>45994</v>
      </c>
      <c r="D456" t="inlineStr">
        <is>
          <t>UPPSALA LÄN</t>
        </is>
      </c>
      <c r="E456" t="inlineStr">
        <is>
          <t>ENKÖPING</t>
        </is>
      </c>
      <c r="G456" t="n">
        <v>3.8</v>
      </c>
      <c r="H456" t="n">
        <v>0</v>
      </c>
      <c r="I456" t="n">
        <v>0</v>
      </c>
      <c r="J456" t="n">
        <v>0</v>
      </c>
      <c r="K456" t="n">
        <v>0</v>
      </c>
      <c r="L456" t="n">
        <v>0</v>
      </c>
      <c r="M456" t="n">
        <v>0</v>
      </c>
      <c r="N456" t="n">
        <v>0</v>
      </c>
      <c r="O456" t="n">
        <v>0</v>
      </c>
      <c r="P456" t="n">
        <v>0</v>
      </c>
      <c r="Q456" t="n">
        <v>0</v>
      </c>
      <c r="R456" s="2" t="inlineStr"/>
    </row>
    <row r="457" ht="15" customHeight="1">
      <c r="A457" t="inlineStr">
        <is>
          <t>A 57848-2024</t>
        </is>
      </c>
      <c r="B457" s="1" t="n">
        <v>45631.40947916666</v>
      </c>
      <c r="C457" s="1" t="n">
        <v>45994</v>
      </c>
      <c r="D457" t="inlineStr">
        <is>
          <t>UPPSALA LÄN</t>
        </is>
      </c>
      <c r="E457" t="inlineStr">
        <is>
          <t>ENKÖPING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49601-2024</t>
        </is>
      </c>
      <c r="B458" s="1" t="n">
        <v>45596.56288194445</v>
      </c>
      <c r="C458" s="1" t="n">
        <v>45994</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47441-2025</t>
        </is>
      </c>
      <c r="B459" s="1" t="n">
        <v>45930.63986111111</v>
      </c>
      <c r="C459" s="1" t="n">
        <v>45994</v>
      </c>
      <c r="D459" t="inlineStr">
        <is>
          <t>UPPSALA LÄN</t>
        </is>
      </c>
      <c r="E459" t="inlineStr">
        <is>
          <t>ENKÖPING</t>
        </is>
      </c>
      <c r="F459" t="inlineStr">
        <is>
          <t>Allmännings- och besparingsskogar</t>
        </is>
      </c>
      <c r="G459" t="n">
        <v>11.5</v>
      </c>
      <c r="H459" t="n">
        <v>0</v>
      </c>
      <c r="I459" t="n">
        <v>0</v>
      </c>
      <c r="J459" t="n">
        <v>0</v>
      </c>
      <c r="K459" t="n">
        <v>0</v>
      </c>
      <c r="L459" t="n">
        <v>0</v>
      </c>
      <c r="M459" t="n">
        <v>0</v>
      </c>
      <c r="N459" t="n">
        <v>0</v>
      </c>
      <c r="O459" t="n">
        <v>0</v>
      </c>
      <c r="P459" t="n">
        <v>0</v>
      </c>
      <c r="Q459" t="n">
        <v>0</v>
      </c>
      <c r="R459" s="2" t="inlineStr"/>
    </row>
    <row r="460" ht="15" customHeight="1">
      <c r="A460" t="inlineStr">
        <is>
          <t>A 29513-2025</t>
        </is>
      </c>
      <c r="B460" s="1" t="n">
        <v>45825</v>
      </c>
      <c r="C460" s="1" t="n">
        <v>45994</v>
      </c>
      <c r="D460" t="inlineStr">
        <is>
          <t>UPPSALA LÄN</t>
        </is>
      </c>
      <c r="E460" t="inlineStr">
        <is>
          <t>ENKÖPING</t>
        </is>
      </c>
      <c r="G460" t="n">
        <v>2.6</v>
      </c>
      <c r="H460" t="n">
        <v>0</v>
      </c>
      <c r="I460" t="n">
        <v>0</v>
      </c>
      <c r="J460" t="n">
        <v>0</v>
      </c>
      <c r="K460" t="n">
        <v>0</v>
      </c>
      <c r="L460" t="n">
        <v>0</v>
      </c>
      <c r="M460" t="n">
        <v>0</v>
      </c>
      <c r="N460" t="n">
        <v>0</v>
      </c>
      <c r="O460" t="n">
        <v>0</v>
      </c>
      <c r="P460" t="n">
        <v>0</v>
      </c>
      <c r="Q460" t="n">
        <v>0</v>
      </c>
      <c r="R460" s="2" t="inlineStr"/>
    </row>
    <row r="461" ht="15" customHeight="1">
      <c r="A461" t="inlineStr">
        <is>
          <t>A 17844-2025</t>
        </is>
      </c>
      <c r="B461" s="1" t="n">
        <v>45758.59920138889</v>
      </c>
      <c r="C461" s="1" t="n">
        <v>45994</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27837-2025</t>
        </is>
      </c>
      <c r="B462" s="1" t="n">
        <v>45817.37207175926</v>
      </c>
      <c r="C462" s="1" t="n">
        <v>45994</v>
      </c>
      <c r="D462" t="inlineStr">
        <is>
          <t>UPPSALA LÄN</t>
        </is>
      </c>
      <c r="E462" t="inlineStr">
        <is>
          <t>ENKÖPING</t>
        </is>
      </c>
      <c r="G462" t="n">
        <v>7.3</v>
      </c>
      <c r="H462" t="n">
        <v>0</v>
      </c>
      <c r="I462" t="n">
        <v>0</v>
      </c>
      <c r="J462" t="n">
        <v>0</v>
      </c>
      <c r="K462" t="n">
        <v>0</v>
      </c>
      <c r="L462" t="n">
        <v>0</v>
      </c>
      <c r="M462" t="n">
        <v>0</v>
      </c>
      <c r="N462" t="n">
        <v>0</v>
      </c>
      <c r="O462" t="n">
        <v>0</v>
      </c>
      <c r="P462" t="n">
        <v>0</v>
      </c>
      <c r="Q462" t="n">
        <v>0</v>
      </c>
      <c r="R462" s="2" t="inlineStr"/>
    </row>
    <row r="463" ht="15" customHeight="1">
      <c r="A463" t="inlineStr">
        <is>
          <t>A 56625-2025</t>
        </is>
      </c>
      <c r="B463" s="1" t="n">
        <v>45975.60608796297</v>
      </c>
      <c r="C463" s="1" t="n">
        <v>45994</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21501-2025</t>
        </is>
      </c>
      <c r="B464" s="1" t="n">
        <v>45782</v>
      </c>
      <c r="C464" s="1" t="n">
        <v>45994</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34988-2025</t>
        </is>
      </c>
      <c r="B465" s="1" t="n">
        <v>45849</v>
      </c>
      <c r="C465" s="1" t="n">
        <v>45994</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34987-2025</t>
        </is>
      </c>
      <c r="B466" s="1" t="n">
        <v>45849</v>
      </c>
      <c r="C466" s="1" t="n">
        <v>45994</v>
      </c>
      <c r="D466" t="inlineStr">
        <is>
          <t>UPPSALA LÄN</t>
        </is>
      </c>
      <c r="E466" t="inlineStr">
        <is>
          <t>ENKÖPING</t>
        </is>
      </c>
      <c r="G466" t="n">
        <v>2.2</v>
      </c>
      <c r="H466" t="n">
        <v>0</v>
      </c>
      <c r="I466" t="n">
        <v>0</v>
      </c>
      <c r="J466" t="n">
        <v>0</v>
      </c>
      <c r="K466" t="n">
        <v>0</v>
      </c>
      <c r="L466" t="n">
        <v>0</v>
      </c>
      <c r="M466" t="n">
        <v>0</v>
      </c>
      <c r="N466" t="n">
        <v>0</v>
      </c>
      <c r="O466" t="n">
        <v>0</v>
      </c>
      <c r="P466" t="n">
        <v>0</v>
      </c>
      <c r="Q466" t="n">
        <v>0</v>
      </c>
      <c r="R466" s="2" t="inlineStr"/>
    </row>
    <row r="467" ht="15" customHeight="1">
      <c r="A467" t="inlineStr">
        <is>
          <t>A 39439-2025</t>
        </is>
      </c>
      <c r="B467" s="1" t="n">
        <v>45889</v>
      </c>
      <c r="C467" s="1" t="n">
        <v>45994</v>
      </c>
      <c r="D467" t="inlineStr">
        <is>
          <t>UPPSALA LÄN</t>
        </is>
      </c>
      <c r="E467" t="inlineStr">
        <is>
          <t>ENKÖPING</t>
        </is>
      </c>
      <c r="G467" t="n">
        <v>0.4</v>
      </c>
      <c r="H467" t="n">
        <v>0</v>
      </c>
      <c r="I467" t="n">
        <v>0</v>
      </c>
      <c r="J467" t="n">
        <v>0</v>
      </c>
      <c r="K467" t="n">
        <v>0</v>
      </c>
      <c r="L467" t="n">
        <v>0</v>
      </c>
      <c r="M467" t="n">
        <v>0</v>
      </c>
      <c r="N467" t="n">
        <v>0</v>
      </c>
      <c r="O467" t="n">
        <v>0</v>
      </c>
      <c r="P467" t="n">
        <v>0</v>
      </c>
      <c r="Q467" t="n">
        <v>0</v>
      </c>
      <c r="R467" s="2" t="inlineStr"/>
    </row>
    <row r="468" ht="15" customHeight="1">
      <c r="A468" t="inlineStr">
        <is>
          <t>A 48678-2025</t>
        </is>
      </c>
      <c r="B468" s="1" t="n">
        <v>45936.59168981481</v>
      </c>
      <c r="C468" s="1" t="n">
        <v>45994</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36492-2025</t>
        </is>
      </c>
      <c r="B469" s="1" t="n">
        <v>45869</v>
      </c>
      <c r="C469" s="1" t="n">
        <v>45994</v>
      </c>
      <c r="D469" t="inlineStr">
        <is>
          <t>UPPSALA LÄN</t>
        </is>
      </c>
      <c r="E469" t="inlineStr">
        <is>
          <t>ENKÖPING</t>
        </is>
      </c>
      <c r="G469" t="n">
        <v>6.3</v>
      </c>
      <c r="H469" t="n">
        <v>0</v>
      </c>
      <c r="I469" t="n">
        <v>0</v>
      </c>
      <c r="J469" t="n">
        <v>0</v>
      </c>
      <c r="K469" t="n">
        <v>0</v>
      </c>
      <c r="L469" t="n">
        <v>0</v>
      </c>
      <c r="M469" t="n">
        <v>0</v>
      </c>
      <c r="N469" t="n">
        <v>0</v>
      </c>
      <c r="O469" t="n">
        <v>0</v>
      </c>
      <c r="P469" t="n">
        <v>0</v>
      </c>
      <c r="Q469" t="n">
        <v>0</v>
      </c>
      <c r="R469" s="2" t="inlineStr"/>
    </row>
    <row r="470" ht="15" customHeight="1">
      <c r="A470" t="inlineStr">
        <is>
          <t>A 36350-2025</t>
        </is>
      </c>
      <c r="B470" s="1" t="n">
        <v>45868</v>
      </c>
      <c r="C470" s="1" t="n">
        <v>45994</v>
      </c>
      <c r="D470" t="inlineStr">
        <is>
          <t>UPPSALA LÄN</t>
        </is>
      </c>
      <c r="E470" t="inlineStr">
        <is>
          <t>ENKÖPING</t>
        </is>
      </c>
      <c r="G470" t="n">
        <v>1.9</v>
      </c>
      <c r="H470" t="n">
        <v>0</v>
      </c>
      <c r="I470" t="n">
        <v>0</v>
      </c>
      <c r="J470" t="n">
        <v>0</v>
      </c>
      <c r="K470" t="n">
        <v>0</v>
      </c>
      <c r="L470" t="n">
        <v>0</v>
      </c>
      <c r="M470" t="n">
        <v>0</v>
      </c>
      <c r="N470" t="n">
        <v>0</v>
      </c>
      <c r="O470" t="n">
        <v>0</v>
      </c>
      <c r="P470" t="n">
        <v>0</v>
      </c>
      <c r="Q470" t="n">
        <v>0</v>
      </c>
      <c r="R470" s="2" t="inlineStr"/>
    </row>
    <row r="471" ht="15" customHeight="1">
      <c r="A471" t="inlineStr">
        <is>
          <t>A 48423-2025</t>
        </is>
      </c>
      <c r="B471" s="1" t="n">
        <v>45934.68024305555</v>
      </c>
      <c r="C471" s="1" t="n">
        <v>45994</v>
      </c>
      <c r="D471" t="inlineStr">
        <is>
          <t>UPPSALA LÄN</t>
        </is>
      </c>
      <c r="E471" t="inlineStr">
        <is>
          <t>ENKÖPING</t>
        </is>
      </c>
      <c r="G471" t="n">
        <v>4.3</v>
      </c>
      <c r="H471" t="n">
        <v>0</v>
      </c>
      <c r="I471" t="n">
        <v>0</v>
      </c>
      <c r="J471" t="n">
        <v>0</v>
      </c>
      <c r="K471" t="n">
        <v>0</v>
      </c>
      <c r="L471" t="n">
        <v>0</v>
      </c>
      <c r="M471" t="n">
        <v>0</v>
      </c>
      <c r="N471" t="n">
        <v>0</v>
      </c>
      <c r="O471" t="n">
        <v>0</v>
      </c>
      <c r="P471" t="n">
        <v>0</v>
      </c>
      <c r="Q471" t="n">
        <v>0</v>
      </c>
      <c r="R471" s="2" t="inlineStr"/>
    </row>
    <row r="472" ht="15" customHeight="1">
      <c r="A472" t="inlineStr">
        <is>
          <t>A 48424-2025</t>
        </is>
      </c>
      <c r="B472" s="1" t="n">
        <v>45934.69131944444</v>
      </c>
      <c r="C472" s="1" t="n">
        <v>45994</v>
      </c>
      <c r="D472" t="inlineStr">
        <is>
          <t>UPPSALA LÄN</t>
        </is>
      </c>
      <c r="E472" t="inlineStr">
        <is>
          <t>ENKÖPING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25989-2025</t>
        </is>
      </c>
      <c r="B473" s="1" t="n">
        <v>45804.65050925926</v>
      </c>
      <c r="C473" s="1" t="n">
        <v>45994</v>
      </c>
      <c r="D473" t="inlineStr">
        <is>
          <t>UPPSALA LÄN</t>
        </is>
      </c>
      <c r="E473" t="inlineStr">
        <is>
          <t>ENKÖPING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49073-2025</t>
        </is>
      </c>
      <c r="B474" s="1" t="n">
        <v>45937.65512731481</v>
      </c>
      <c r="C474" s="1" t="n">
        <v>45994</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36599-2025</t>
        </is>
      </c>
      <c r="B475" s="1" t="n">
        <v>45870.51723379629</v>
      </c>
      <c r="C475" s="1" t="n">
        <v>45994</v>
      </c>
      <c r="D475" t="inlineStr">
        <is>
          <t>UPPSALA LÄN</t>
        </is>
      </c>
      <c r="E475" t="inlineStr">
        <is>
          <t>ENKÖPING</t>
        </is>
      </c>
      <c r="G475" t="n">
        <v>5.9</v>
      </c>
      <c r="H475" t="n">
        <v>0</v>
      </c>
      <c r="I475" t="n">
        <v>0</v>
      </c>
      <c r="J475" t="n">
        <v>0</v>
      </c>
      <c r="K475" t="n">
        <v>0</v>
      </c>
      <c r="L475" t="n">
        <v>0</v>
      </c>
      <c r="M475" t="n">
        <v>0</v>
      </c>
      <c r="N475" t="n">
        <v>0</v>
      </c>
      <c r="O475" t="n">
        <v>0</v>
      </c>
      <c r="P475" t="n">
        <v>0</v>
      </c>
      <c r="Q475" t="n">
        <v>0</v>
      </c>
      <c r="R475" s="2" t="inlineStr"/>
    </row>
    <row r="476" ht="15" customHeight="1">
      <c r="A476" t="inlineStr">
        <is>
          <t>A 57294-2025</t>
        </is>
      </c>
      <c r="B476" s="1" t="n">
        <v>45979</v>
      </c>
      <c r="C476" s="1" t="n">
        <v>45994</v>
      </c>
      <c r="D476" t="inlineStr">
        <is>
          <t>UPPSALA LÄN</t>
        </is>
      </c>
      <c r="E476" t="inlineStr">
        <is>
          <t>ENKÖPING</t>
        </is>
      </c>
      <c r="G476" t="n">
        <v>6.2</v>
      </c>
      <c r="H476" t="n">
        <v>0</v>
      </c>
      <c r="I476" t="n">
        <v>0</v>
      </c>
      <c r="J476" t="n">
        <v>0</v>
      </c>
      <c r="K476" t="n">
        <v>0</v>
      </c>
      <c r="L476" t="n">
        <v>0</v>
      </c>
      <c r="M476" t="n">
        <v>0</v>
      </c>
      <c r="N476" t="n">
        <v>0</v>
      </c>
      <c r="O476" t="n">
        <v>0</v>
      </c>
      <c r="P476" t="n">
        <v>0</v>
      </c>
      <c r="Q476" t="n">
        <v>0</v>
      </c>
      <c r="R476" s="2" t="inlineStr"/>
    </row>
    <row r="477" ht="15" customHeight="1">
      <c r="A477" t="inlineStr">
        <is>
          <t>A 43103-2025</t>
        </is>
      </c>
      <c r="B477" s="1" t="n">
        <v>45909</v>
      </c>
      <c r="C477" s="1" t="n">
        <v>45994</v>
      </c>
      <c r="D477" t="inlineStr">
        <is>
          <t>UPPSALA LÄN</t>
        </is>
      </c>
      <c r="E477" t="inlineStr">
        <is>
          <t>ENKÖPING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37498-2025</t>
        </is>
      </c>
      <c r="B478" s="1" t="n">
        <v>45877</v>
      </c>
      <c r="C478" s="1" t="n">
        <v>45994</v>
      </c>
      <c r="D478" t="inlineStr">
        <is>
          <t>UPPSALA LÄN</t>
        </is>
      </c>
      <c r="E478" t="inlineStr">
        <is>
          <t>ENKÖPING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37296-2025</t>
        </is>
      </c>
      <c r="B479" s="1" t="n">
        <v>45876</v>
      </c>
      <c r="C479" s="1" t="n">
        <v>45994</v>
      </c>
      <c r="D479" t="inlineStr">
        <is>
          <t>UPPSALA LÄN</t>
        </is>
      </c>
      <c r="E479" t="inlineStr">
        <is>
          <t>ENKÖPING</t>
        </is>
      </c>
      <c r="G479" t="n">
        <v>9.5</v>
      </c>
      <c r="H479" t="n">
        <v>0</v>
      </c>
      <c r="I479" t="n">
        <v>0</v>
      </c>
      <c r="J479" t="n">
        <v>0</v>
      </c>
      <c r="K479" t="n">
        <v>0</v>
      </c>
      <c r="L479" t="n">
        <v>0</v>
      </c>
      <c r="M479" t="n">
        <v>0</v>
      </c>
      <c r="N479" t="n">
        <v>0</v>
      </c>
      <c r="O479" t="n">
        <v>0</v>
      </c>
      <c r="P479" t="n">
        <v>0</v>
      </c>
      <c r="Q479" t="n">
        <v>0</v>
      </c>
      <c r="R479" s="2" t="inlineStr"/>
    </row>
    <row r="480" ht="15" customHeight="1">
      <c r="A480" t="inlineStr">
        <is>
          <t>A 37319-2025</t>
        </is>
      </c>
      <c r="B480" s="1" t="n">
        <v>45876</v>
      </c>
      <c r="C480" s="1" t="n">
        <v>45994</v>
      </c>
      <c r="D480" t="inlineStr">
        <is>
          <t>UPPSALA LÄN</t>
        </is>
      </c>
      <c r="E480" t="inlineStr">
        <is>
          <t>ENKÖPING</t>
        </is>
      </c>
      <c r="G480" t="n">
        <v>9.5</v>
      </c>
      <c r="H480" t="n">
        <v>0</v>
      </c>
      <c r="I480" t="n">
        <v>0</v>
      </c>
      <c r="J480" t="n">
        <v>0</v>
      </c>
      <c r="K480" t="n">
        <v>0</v>
      </c>
      <c r="L480" t="n">
        <v>0</v>
      </c>
      <c r="M480" t="n">
        <v>0</v>
      </c>
      <c r="N480" t="n">
        <v>0</v>
      </c>
      <c r="O480" t="n">
        <v>0</v>
      </c>
      <c r="P480" t="n">
        <v>0</v>
      </c>
      <c r="Q480" t="n">
        <v>0</v>
      </c>
      <c r="R480" s="2" t="inlineStr"/>
    </row>
    <row r="481" ht="15" customHeight="1">
      <c r="A481" t="inlineStr">
        <is>
          <t>A 49068-2025</t>
        </is>
      </c>
      <c r="B481" s="1" t="n">
        <v>45937.64766203704</v>
      </c>
      <c r="C481" s="1" t="n">
        <v>45994</v>
      </c>
      <c r="D481" t="inlineStr">
        <is>
          <t>UPPSALA LÄN</t>
        </is>
      </c>
      <c r="E481" t="inlineStr">
        <is>
          <t>ENKÖPING</t>
        </is>
      </c>
      <c r="G481" t="n">
        <v>1.8</v>
      </c>
      <c r="H481" t="n">
        <v>0</v>
      </c>
      <c r="I481" t="n">
        <v>0</v>
      </c>
      <c r="J481" t="n">
        <v>0</v>
      </c>
      <c r="K481" t="n">
        <v>0</v>
      </c>
      <c r="L481" t="n">
        <v>0</v>
      </c>
      <c r="M481" t="n">
        <v>0</v>
      </c>
      <c r="N481" t="n">
        <v>0</v>
      </c>
      <c r="O481" t="n">
        <v>0</v>
      </c>
      <c r="P481" t="n">
        <v>0</v>
      </c>
      <c r="Q481" t="n">
        <v>0</v>
      </c>
      <c r="R481" s="2" t="inlineStr"/>
    </row>
    <row r="482" ht="15" customHeight="1">
      <c r="A482" t="inlineStr">
        <is>
          <t>A 49622-2024</t>
        </is>
      </c>
      <c r="B482" s="1" t="n">
        <v>45596.58372685185</v>
      </c>
      <c r="C482" s="1" t="n">
        <v>45994</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57188-2025</t>
        </is>
      </c>
      <c r="B483" s="1" t="n">
        <v>45979</v>
      </c>
      <c r="C483" s="1" t="n">
        <v>45994</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58025-2025</t>
        </is>
      </c>
      <c r="B484" s="1" t="n">
        <v>45982</v>
      </c>
      <c r="C484" s="1" t="n">
        <v>45994</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51162-2025</t>
        </is>
      </c>
      <c r="B485" s="1" t="n">
        <v>45947.58820601852</v>
      </c>
      <c r="C485" s="1" t="n">
        <v>45994</v>
      </c>
      <c r="D485" t="inlineStr">
        <is>
          <t>UPPSALA LÄN</t>
        </is>
      </c>
      <c r="E485" t="inlineStr">
        <is>
          <t>ENKÖPING</t>
        </is>
      </c>
      <c r="G485" t="n">
        <v>3.4</v>
      </c>
      <c r="H485" t="n">
        <v>0</v>
      </c>
      <c r="I485" t="n">
        <v>0</v>
      </c>
      <c r="J485" t="n">
        <v>0</v>
      </c>
      <c r="K485" t="n">
        <v>0</v>
      </c>
      <c r="L485" t="n">
        <v>0</v>
      </c>
      <c r="M485" t="n">
        <v>0</v>
      </c>
      <c r="N485" t="n">
        <v>0</v>
      </c>
      <c r="O485" t="n">
        <v>0</v>
      </c>
      <c r="P485" t="n">
        <v>0</v>
      </c>
      <c r="Q485" t="n">
        <v>0</v>
      </c>
      <c r="R485" s="2" t="inlineStr"/>
    </row>
    <row r="486" ht="15" customHeight="1">
      <c r="A486" t="inlineStr">
        <is>
          <t>A 51133-2025</t>
        </is>
      </c>
      <c r="B486" s="1" t="n">
        <v>45947.55598379629</v>
      </c>
      <c r="C486" s="1" t="n">
        <v>45994</v>
      </c>
      <c r="D486" t="inlineStr">
        <is>
          <t>UPPSALA LÄN</t>
        </is>
      </c>
      <c r="E486" t="inlineStr">
        <is>
          <t>ENKÖPING</t>
        </is>
      </c>
      <c r="G486" t="n">
        <v>2.4</v>
      </c>
      <c r="H486" t="n">
        <v>0</v>
      </c>
      <c r="I486" t="n">
        <v>0</v>
      </c>
      <c r="J486" t="n">
        <v>0</v>
      </c>
      <c r="K486" t="n">
        <v>0</v>
      </c>
      <c r="L486" t="n">
        <v>0</v>
      </c>
      <c r="M486" t="n">
        <v>0</v>
      </c>
      <c r="N486" t="n">
        <v>0</v>
      </c>
      <c r="O486" t="n">
        <v>0</v>
      </c>
      <c r="P486" t="n">
        <v>0</v>
      </c>
      <c r="Q486" t="n">
        <v>0</v>
      </c>
      <c r="R486" s="2" t="inlineStr"/>
    </row>
    <row r="487" ht="15" customHeight="1">
      <c r="A487" t="inlineStr">
        <is>
          <t>A 59379-2025</t>
        </is>
      </c>
      <c r="B487" s="1" t="n">
        <v>45989.4540162037</v>
      </c>
      <c r="C487" s="1" t="n">
        <v>45994</v>
      </c>
      <c r="D487" t="inlineStr">
        <is>
          <t>UPPSALA LÄN</t>
        </is>
      </c>
      <c r="E487" t="inlineStr">
        <is>
          <t>ENKÖPING</t>
        </is>
      </c>
      <c r="G487" t="n">
        <v>10.8</v>
      </c>
      <c r="H487" t="n">
        <v>0</v>
      </c>
      <c r="I487" t="n">
        <v>0</v>
      </c>
      <c r="J487" t="n">
        <v>0</v>
      </c>
      <c r="K487" t="n">
        <v>0</v>
      </c>
      <c r="L487" t="n">
        <v>0</v>
      </c>
      <c r="M487" t="n">
        <v>0</v>
      </c>
      <c r="N487" t="n">
        <v>0</v>
      </c>
      <c r="O487" t="n">
        <v>0</v>
      </c>
      <c r="P487" t="n">
        <v>0</v>
      </c>
      <c r="Q487" t="n">
        <v>0</v>
      </c>
      <c r="R487" s="2" t="inlineStr"/>
    </row>
    <row r="488" ht="15" customHeight="1">
      <c r="A488" t="inlineStr">
        <is>
          <t>A 59668-2025</t>
        </is>
      </c>
      <c r="B488" s="1" t="n">
        <v>45992.45567129629</v>
      </c>
      <c r="C488" s="1" t="n">
        <v>45994</v>
      </c>
      <c r="D488" t="inlineStr">
        <is>
          <t>UPPSALA LÄN</t>
        </is>
      </c>
      <c r="E488" t="inlineStr">
        <is>
          <t>ENKÖPING</t>
        </is>
      </c>
      <c r="G488" t="n">
        <v>3.3</v>
      </c>
      <c r="H488" t="n">
        <v>0</v>
      </c>
      <c r="I488" t="n">
        <v>0</v>
      </c>
      <c r="J488" t="n">
        <v>0</v>
      </c>
      <c r="K488" t="n">
        <v>0</v>
      </c>
      <c r="L488" t="n">
        <v>0</v>
      </c>
      <c r="M488" t="n">
        <v>0</v>
      </c>
      <c r="N488" t="n">
        <v>0</v>
      </c>
      <c r="O488" t="n">
        <v>0</v>
      </c>
      <c r="P488" t="n">
        <v>0</v>
      </c>
      <c r="Q488" t="n">
        <v>0</v>
      </c>
      <c r="R488" s="2" t="inlineStr"/>
    </row>
    <row r="489" ht="15" customHeight="1">
      <c r="A489" t="inlineStr">
        <is>
          <t>A 26017-2025</t>
        </is>
      </c>
      <c r="B489" s="1" t="n">
        <v>45804</v>
      </c>
      <c r="C489" s="1" t="n">
        <v>45994</v>
      </c>
      <c r="D489" t="inlineStr">
        <is>
          <t>UPPSALA LÄN</t>
        </is>
      </c>
      <c r="E489" t="inlineStr">
        <is>
          <t>ENKÖPING</t>
        </is>
      </c>
      <c r="G489" t="n">
        <v>0.4</v>
      </c>
      <c r="H489" t="n">
        <v>0</v>
      </c>
      <c r="I489" t="n">
        <v>0</v>
      </c>
      <c r="J489" t="n">
        <v>0</v>
      </c>
      <c r="K489" t="n">
        <v>0</v>
      </c>
      <c r="L489" t="n">
        <v>0</v>
      </c>
      <c r="M489" t="n">
        <v>0</v>
      </c>
      <c r="N489" t="n">
        <v>0</v>
      </c>
      <c r="O489" t="n">
        <v>0</v>
      </c>
      <c r="P489" t="n">
        <v>0</v>
      </c>
      <c r="Q489" t="n">
        <v>0</v>
      </c>
      <c r="R489" s="2" t="inlineStr"/>
    </row>
    <row r="490">
      <c r="A490" t="inlineStr">
        <is>
          <t>A 59964-2025</t>
        </is>
      </c>
      <c r="B490" s="1" t="n">
        <v>45993.48043981481</v>
      </c>
      <c r="C490" s="1" t="n">
        <v>45994</v>
      </c>
      <c r="D490" t="inlineStr">
        <is>
          <t>UPPSALA LÄN</t>
        </is>
      </c>
      <c r="E490" t="inlineStr">
        <is>
          <t>ENKÖPING</t>
        </is>
      </c>
      <c r="G490" t="n">
        <v>2.1</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2025-12-03T10:23:48Z</dcterms:created>
  <dcterms:modified xmlns:dcterms="http://purl.org/dc/terms/" xmlns:xsi="http://www.w3.org/2001/XMLSchema-instance" xsi:type="dcterms:W3CDTF">2025-12-03T10:23:49Z</dcterms:modified>
</cp:coreProperties>
</file>