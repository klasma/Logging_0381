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45510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45510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45510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45510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45510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45510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45510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45510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45510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45510</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45510</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45510</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45510</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45510</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45510</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45510</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45510</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45510</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45510</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45510</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45510</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45510</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45510</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45510</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45510</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45510</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45510</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45510</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45510</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45510</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45510</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45510</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45510</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45510</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45510</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45510</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45510</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45510</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45510</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45510</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45510</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45510</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28847-2024</t>
        </is>
      </c>
      <c r="B44" s="1" t="n">
        <v>45478</v>
      </c>
      <c r="C44" s="1" t="n">
        <v>45510</v>
      </c>
      <c r="D44" t="inlineStr">
        <is>
          <t>UPPSALA LÄN</t>
        </is>
      </c>
      <c r="E44" t="inlineStr">
        <is>
          <t>ENKÖPING</t>
        </is>
      </c>
      <c r="G44" t="n">
        <v>3</v>
      </c>
      <c r="H44" t="n">
        <v>1</v>
      </c>
      <c r="I44" t="n">
        <v>0</v>
      </c>
      <c r="J44" t="n">
        <v>0</v>
      </c>
      <c r="K44" t="n">
        <v>0</v>
      </c>
      <c r="L44" t="n">
        <v>0</v>
      </c>
      <c r="M44" t="n">
        <v>0</v>
      </c>
      <c r="N44" t="n">
        <v>0</v>
      </c>
      <c r="O44" t="n">
        <v>0</v>
      </c>
      <c r="P44" t="n">
        <v>0</v>
      </c>
      <c r="Q44" t="n">
        <v>1</v>
      </c>
      <c r="R44" s="2" t="inlineStr">
        <is>
          <t>Revlummer</t>
        </is>
      </c>
      <c r="S44">
        <f>HYPERLINK("https://klasma.github.io/Logging_0381/artfynd/A 28847-2024 artfynd.xlsx", "A 28847-2024")</f>
        <v/>
      </c>
      <c r="T44">
        <f>HYPERLINK("https://klasma.github.io/Logging_0381/kartor/A 28847-2024 karta.png", "A 28847-2024")</f>
        <v/>
      </c>
      <c r="V44">
        <f>HYPERLINK("https://klasma.github.io/Logging_0381/klagomål/A 28847-2024 FSC-klagomål.docx", "A 28847-2024")</f>
        <v/>
      </c>
      <c r="W44">
        <f>HYPERLINK("https://klasma.github.io/Logging_0381/klagomålsmail/A 28847-2024 FSC-klagomål mail.docx", "A 28847-2024")</f>
        <v/>
      </c>
      <c r="X44">
        <f>HYPERLINK("https://klasma.github.io/Logging_0381/tillsyn/A 28847-2024 tillsynsbegäran.docx", "A 28847-2024")</f>
        <v/>
      </c>
      <c r="Y44">
        <f>HYPERLINK("https://klasma.github.io/Logging_0381/tillsynsmail/A 28847-2024 tillsynsbegäran mail.docx", "A 28847-2024")</f>
        <v/>
      </c>
    </row>
    <row r="45" ht="15" customHeight="1">
      <c r="A45" t="inlineStr">
        <is>
          <t>A 28900-2024</t>
        </is>
      </c>
      <c r="B45" s="1" t="n">
        <v>45480</v>
      </c>
      <c r="C45" s="1" t="n">
        <v>45510</v>
      </c>
      <c r="D45" t="inlineStr">
        <is>
          <t>UPPSALA LÄN</t>
        </is>
      </c>
      <c r="E45" t="inlineStr">
        <is>
          <t>ENKÖPING</t>
        </is>
      </c>
      <c r="G45" t="n">
        <v>8.6</v>
      </c>
      <c r="H45" t="n">
        <v>1</v>
      </c>
      <c r="I45" t="n">
        <v>0</v>
      </c>
      <c r="J45" t="n">
        <v>0</v>
      </c>
      <c r="K45" t="n">
        <v>0</v>
      </c>
      <c r="L45" t="n">
        <v>0</v>
      </c>
      <c r="M45" t="n">
        <v>0</v>
      </c>
      <c r="N45" t="n">
        <v>0</v>
      </c>
      <c r="O45" t="n">
        <v>0</v>
      </c>
      <c r="P45" t="n">
        <v>0</v>
      </c>
      <c r="Q45" t="n">
        <v>1</v>
      </c>
      <c r="R45" s="2" t="inlineStr">
        <is>
          <t>Blåsippa</t>
        </is>
      </c>
      <c r="S45">
        <f>HYPERLINK("https://klasma.github.io/Logging_0381/artfynd/A 28900-2024 artfynd.xlsx", "A 28900-2024")</f>
        <v/>
      </c>
      <c r="T45">
        <f>HYPERLINK("https://klasma.github.io/Logging_0381/kartor/A 28900-2024 karta.png", "A 28900-2024")</f>
        <v/>
      </c>
      <c r="V45">
        <f>HYPERLINK("https://klasma.github.io/Logging_0381/klagomål/A 28900-2024 FSC-klagomål.docx", "A 28900-2024")</f>
        <v/>
      </c>
      <c r="W45">
        <f>HYPERLINK("https://klasma.github.io/Logging_0381/klagomålsmail/A 28900-2024 FSC-klagomål mail.docx", "A 28900-2024")</f>
        <v/>
      </c>
      <c r="X45">
        <f>HYPERLINK("https://klasma.github.io/Logging_0381/tillsyn/A 28900-2024 tillsynsbegäran.docx", "A 28900-2024")</f>
        <v/>
      </c>
      <c r="Y45">
        <f>HYPERLINK("https://klasma.github.io/Logging_0381/tillsynsmail/A 28900-2024 tillsynsbegäran mail.docx", "A 28900-2024")</f>
        <v/>
      </c>
    </row>
    <row r="46" ht="15" customHeight="1">
      <c r="A46" t="inlineStr">
        <is>
          <t>A 18148-2019</t>
        </is>
      </c>
      <c r="B46" s="1" t="n">
        <v>43558</v>
      </c>
      <c r="C46" s="1" t="n">
        <v>45510</v>
      </c>
      <c r="D46" t="inlineStr">
        <is>
          <t>UPPSALA LÄN</t>
        </is>
      </c>
      <c r="E46" t="inlineStr">
        <is>
          <t>ENKÖPING</t>
        </is>
      </c>
      <c r="G46" t="n">
        <v>4.5</v>
      </c>
      <c r="H46" t="n">
        <v>0</v>
      </c>
      <c r="I46" t="n">
        <v>0</v>
      </c>
      <c r="J46" t="n">
        <v>0</v>
      </c>
      <c r="K46" t="n">
        <v>0</v>
      </c>
      <c r="L46" t="n">
        <v>0</v>
      </c>
      <c r="M46" t="n">
        <v>0</v>
      </c>
      <c r="N46" t="n">
        <v>0</v>
      </c>
      <c r="O46" t="n">
        <v>0</v>
      </c>
      <c r="P46" t="n">
        <v>0</v>
      </c>
      <c r="Q46" t="n">
        <v>0</v>
      </c>
      <c r="R46" s="2" t="inlineStr"/>
    </row>
    <row r="47" ht="15" customHeight="1">
      <c r="A47" t="inlineStr">
        <is>
          <t>A 22750-2019</t>
        </is>
      </c>
      <c r="B47" s="1" t="n">
        <v>43588</v>
      </c>
      <c r="C47" s="1" t="n">
        <v>45510</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23328-2019</t>
        </is>
      </c>
      <c r="B48" s="1" t="n">
        <v>43593</v>
      </c>
      <c r="C48" s="1" t="n">
        <v>45510</v>
      </c>
      <c r="D48" t="inlineStr">
        <is>
          <t>UPPSALA LÄN</t>
        </is>
      </c>
      <c r="E48" t="inlineStr">
        <is>
          <t>ENKÖPING</t>
        </is>
      </c>
      <c r="G48" t="n">
        <v>0.6</v>
      </c>
      <c r="H48" t="n">
        <v>0</v>
      </c>
      <c r="I48" t="n">
        <v>0</v>
      </c>
      <c r="J48" t="n">
        <v>0</v>
      </c>
      <c r="K48" t="n">
        <v>0</v>
      </c>
      <c r="L48" t="n">
        <v>0</v>
      </c>
      <c r="M48" t="n">
        <v>0</v>
      </c>
      <c r="N48" t="n">
        <v>0</v>
      </c>
      <c r="O48" t="n">
        <v>0</v>
      </c>
      <c r="P48" t="n">
        <v>0</v>
      </c>
      <c r="Q48" t="n">
        <v>0</v>
      </c>
      <c r="R48" s="2" t="inlineStr"/>
    </row>
    <row r="49" ht="15" customHeight="1">
      <c r="A49" t="inlineStr">
        <is>
          <t>A 26926-2019</t>
        </is>
      </c>
      <c r="B49" s="1" t="n">
        <v>43613</v>
      </c>
      <c r="C49" s="1" t="n">
        <v>45510</v>
      </c>
      <c r="D49" t="inlineStr">
        <is>
          <t>UPPSALA LÄN</t>
        </is>
      </c>
      <c r="E49" t="inlineStr">
        <is>
          <t>ENKÖPING</t>
        </is>
      </c>
      <c r="G49" t="n">
        <v>1.4</v>
      </c>
      <c r="H49" t="n">
        <v>0</v>
      </c>
      <c r="I49" t="n">
        <v>0</v>
      </c>
      <c r="J49" t="n">
        <v>0</v>
      </c>
      <c r="K49" t="n">
        <v>0</v>
      </c>
      <c r="L49" t="n">
        <v>0</v>
      </c>
      <c r="M49" t="n">
        <v>0</v>
      </c>
      <c r="N49" t="n">
        <v>0</v>
      </c>
      <c r="O49" t="n">
        <v>0</v>
      </c>
      <c r="P49" t="n">
        <v>0</v>
      </c>
      <c r="Q49" t="n">
        <v>0</v>
      </c>
      <c r="R49" s="2" t="inlineStr"/>
    </row>
    <row r="50" ht="15" customHeight="1">
      <c r="A50" t="inlineStr">
        <is>
          <t>A 28134-2019</t>
        </is>
      </c>
      <c r="B50" s="1" t="n">
        <v>43621</v>
      </c>
      <c r="C50" s="1" t="n">
        <v>45510</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30036-2019</t>
        </is>
      </c>
      <c r="B51" s="1" t="n">
        <v>43633</v>
      </c>
      <c r="C51" s="1" t="n">
        <v>45510</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29979-2019</t>
        </is>
      </c>
      <c r="B52" s="1" t="n">
        <v>43633</v>
      </c>
      <c r="C52" s="1" t="n">
        <v>45510</v>
      </c>
      <c r="D52" t="inlineStr">
        <is>
          <t>UPPSALA LÄN</t>
        </is>
      </c>
      <c r="E52" t="inlineStr">
        <is>
          <t>ENKÖPING</t>
        </is>
      </c>
      <c r="G52" t="n">
        <v>2.3</v>
      </c>
      <c r="H52" t="n">
        <v>0</v>
      </c>
      <c r="I52" t="n">
        <v>0</v>
      </c>
      <c r="J52" t="n">
        <v>0</v>
      </c>
      <c r="K52" t="n">
        <v>0</v>
      </c>
      <c r="L52" t="n">
        <v>0</v>
      </c>
      <c r="M52" t="n">
        <v>0</v>
      </c>
      <c r="N52" t="n">
        <v>0</v>
      </c>
      <c r="O52" t="n">
        <v>0</v>
      </c>
      <c r="P52" t="n">
        <v>0</v>
      </c>
      <c r="Q52" t="n">
        <v>0</v>
      </c>
      <c r="R52" s="2" t="inlineStr"/>
    </row>
    <row r="53" ht="15" customHeight="1">
      <c r="A53" t="inlineStr">
        <is>
          <t>A 31081-2019</t>
        </is>
      </c>
      <c r="B53" s="1" t="n">
        <v>43640</v>
      </c>
      <c r="C53" s="1" t="n">
        <v>45510</v>
      </c>
      <c r="D53" t="inlineStr">
        <is>
          <t>UPPSALA LÄN</t>
        </is>
      </c>
      <c r="E53" t="inlineStr">
        <is>
          <t>ENKÖPING</t>
        </is>
      </c>
      <c r="G53" t="n">
        <v>3.1</v>
      </c>
      <c r="H53" t="n">
        <v>0</v>
      </c>
      <c r="I53" t="n">
        <v>0</v>
      </c>
      <c r="J53" t="n">
        <v>0</v>
      </c>
      <c r="K53" t="n">
        <v>0</v>
      </c>
      <c r="L53" t="n">
        <v>0</v>
      </c>
      <c r="M53" t="n">
        <v>0</v>
      </c>
      <c r="N53" t="n">
        <v>0</v>
      </c>
      <c r="O53" t="n">
        <v>0</v>
      </c>
      <c r="P53" t="n">
        <v>0</v>
      </c>
      <c r="Q53" t="n">
        <v>0</v>
      </c>
      <c r="R53" s="2" t="inlineStr"/>
    </row>
    <row r="54" ht="15" customHeight="1">
      <c r="A54" t="inlineStr">
        <is>
          <t>A 31074-2019</t>
        </is>
      </c>
      <c r="B54" s="1" t="n">
        <v>43640</v>
      </c>
      <c r="C54" s="1" t="n">
        <v>45510</v>
      </c>
      <c r="D54" t="inlineStr">
        <is>
          <t>UPPSALA LÄN</t>
        </is>
      </c>
      <c r="E54" t="inlineStr">
        <is>
          <t>ENKÖPING</t>
        </is>
      </c>
      <c r="G54" t="n">
        <v>1.3</v>
      </c>
      <c r="H54" t="n">
        <v>0</v>
      </c>
      <c r="I54" t="n">
        <v>0</v>
      </c>
      <c r="J54" t="n">
        <v>0</v>
      </c>
      <c r="K54" t="n">
        <v>0</v>
      </c>
      <c r="L54" t="n">
        <v>0</v>
      </c>
      <c r="M54" t="n">
        <v>0</v>
      </c>
      <c r="N54" t="n">
        <v>0</v>
      </c>
      <c r="O54" t="n">
        <v>0</v>
      </c>
      <c r="P54" t="n">
        <v>0</v>
      </c>
      <c r="Q54" t="n">
        <v>0</v>
      </c>
      <c r="R54" s="2" t="inlineStr"/>
    </row>
    <row r="55" ht="15" customHeight="1">
      <c r="A55" t="inlineStr">
        <is>
          <t>A 32310-2019</t>
        </is>
      </c>
      <c r="B55" s="1" t="n">
        <v>43644</v>
      </c>
      <c r="C55" s="1" t="n">
        <v>45510</v>
      </c>
      <c r="D55" t="inlineStr">
        <is>
          <t>UPPSALA LÄN</t>
        </is>
      </c>
      <c r="E55" t="inlineStr">
        <is>
          <t>ENKÖPING</t>
        </is>
      </c>
      <c r="G55" t="n">
        <v>2.7</v>
      </c>
      <c r="H55" t="n">
        <v>0</v>
      </c>
      <c r="I55" t="n">
        <v>0</v>
      </c>
      <c r="J55" t="n">
        <v>0</v>
      </c>
      <c r="K55" t="n">
        <v>0</v>
      </c>
      <c r="L55" t="n">
        <v>0</v>
      </c>
      <c r="M55" t="n">
        <v>0</v>
      </c>
      <c r="N55" t="n">
        <v>0</v>
      </c>
      <c r="O55" t="n">
        <v>0</v>
      </c>
      <c r="P55" t="n">
        <v>0</v>
      </c>
      <c r="Q55" t="n">
        <v>0</v>
      </c>
      <c r="R55" s="2" t="inlineStr"/>
    </row>
    <row r="56" ht="15" customHeight="1">
      <c r="A56" t="inlineStr">
        <is>
          <t>A 32640-2019</t>
        </is>
      </c>
      <c r="B56" s="1" t="n">
        <v>43647</v>
      </c>
      <c r="C56" s="1" t="n">
        <v>45510</v>
      </c>
      <c r="D56" t="inlineStr">
        <is>
          <t>UPPSALA LÄN</t>
        </is>
      </c>
      <c r="E56" t="inlineStr">
        <is>
          <t>ENKÖPING</t>
        </is>
      </c>
      <c r="G56" t="n">
        <v>1.5</v>
      </c>
      <c r="H56" t="n">
        <v>0</v>
      </c>
      <c r="I56" t="n">
        <v>0</v>
      </c>
      <c r="J56" t="n">
        <v>0</v>
      </c>
      <c r="K56" t="n">
        <v>0</v>
      </c>
      <c r="L56" t="n">
        <v>0</v>
      </c>
      <c r="M56" t="n">
        <v>0</v>
      </c>
      <c r="N56" t="n">
        <v>0</v>
      </c>
      <c r="O56" t="n">
        <v>0</v>
      </c>
      <c r="P56" t="n">
        <v>0</v>
      </c>
      <c r="Q56" t="n">
        <v>0</v>
      </c>
      <c r="R56" s="2" t="inlineStr"/>
    </row>
    <row r="57" ht="15" customHeight="1">
      <c r="A57" t="inlineStr">
        <is>
          <t>A 33339-2019</t>
        </is>
      </c>
      <c r="B57" s="1" t="n">
        <v>43650</v>
      </c>
      <c r="C57" s="1" t="n">
        <v>45510</v>
      </c>
      <c r="D57" t="inlineStr">
        <is>
          <t>UPPSALA LÄN</t>
        </is>
      </c>
      <c r="E57" t="inlineStr">
        <is>
          <t>ENKÖPING</t>
        </is>
      </c>
      <c r="G57" t="n">
        <v>3.3</v>
      </c>
      <c r="H57" t="n">
        <v>0</v>
      </c>
      <c r="I57" t="n">
        <v>0</v>
      </c>
      <c r="J57" t="n">
        <v>0</v>
      </c>
      <c r="K57" t="n">
        <v>0</v>
      </c>
      <c r="L57" t="n">
        <v>0</v>
      </c>
      <c r="M57" t="n">
        <v>0</v>
      </c>
      <c r="N57" t="n">
        <v>0</v>
      </c>
      <c r="O57" t="n">
        <v>0</v>
      </c>
      <c r="P57" t="n">
        <v>0</v>
      </c>
      <c r="Q57" t="n">
        <v>0</v>
      </c>
      <c r="R57" s="2" t="inlineStr"/>
    </row>
    <row r="58" ht="15" customHeight="1">
      <c r="A58" t="inlineStr">
        <is>
          <t>A 35752-2019</t>
        </is>
      </c>
      <c r="B58" s="1" t="n">
        <v>43665</v>
      </c>
      <c r="C58" s="1" t="n">
        <v>45510</v>
      </c>
      <c r="D58" t="inlineStr">
        <is>
          <t>UPPSALA LÄN</t>
        </is>
      </c>
      <c r="E58" t="inlineStr">
        <is>
          <t>ENKÖPING</t>
        </is>
      </c>
      <c r="G58" t="n">
        <v>2.9</v>
      </c>
      <c r="H58" t="n">
        <v>0</v>
      </c>
      <c r="I58" t="n">
        <v>0</v>
      </c>
      <c r="J58" t="n">
        <v>0</v>
      </c>
      <c r="K58" t="n">
        <v>0</v>
      </c>
      <c r="L58" t="n">
        <v>0</v>
      </c>
      <c r="M58" t="n">
        <v>0</v>
      </c>
      <c r="N58" t="n">
        <v>0</v>
      </c>
      <c r="O58" t="n">
        <v>0</v>
      </c>
      <c r="P58" t="n">
        <v>0</v>
      </c>
      <c r="Q58" t="n">
        <v>0</v>
      </c>
      <c r="R58" s="2" t="inlineStr"/>
    </row>
    <row r="59" ht="15" customHeight="1">
      <c r="A59" t="inlineStr">
        <is>
          <t>A 36370-2019</t>
        </is>
      </c>
      <c r="B59" s="1" t="n">
        <v>43670</v>
      </c>
      <c r="C59" s="1" t="n">
        <v>45510</v>
      </c>
      <c r="D59" t="inlineStr">
        <is>
          <t>UPPSALA LÄN</t>
        </is>
      </c>
      <c r="E59" t="inlineStr">
        <is>
          <t>ENKÖPING</t>
        </is>
      </c>
      <c r="G59" t="n">
        <v>26.9</v>
      </c>
      <c r="H59" t="n">
        <v>0</v>
      </c>
      <c r="I59" t="n">
        <v>0</v>
      </c>
      <c r="J59" t="n">
        <v>0</v>
      </c>
      <c r="K59" t="n">
        <v>0</v>
      </c>
      <c r="L59" t="n">
        <v>0</v>
      </c>
      <c r="M59" t="n">
        <v>0</v>
      </c>
      <c r="N59" t="n">
        <v>0</v>
      </c>
      <c r="O59" t="n">
        <v>0</v>
      </c>
      <c r="P59" t="n">
        <v>0</v>
      </c>
      <c r="Q59" t="n">
        <v>0</v>
      </c>
      <c r="R59" s="2" t="inlineStr"/>
    </row>
    <row r="60" ht="15" customHeight="1">
      <c r="A60" t="inlineStr">
        <is>
          <t>A 36733-2019</t>
        </is>
      </c>
      <c r="B60" s="1" t="n">
        <v>43672</v>
      </c>
      <c r="C60" s="1" t="n">
        <v>45510</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37519-2019</t>
        </is>
      </c>
      <c r="B61" s="1" t="n">
        <v>43679</v>
      </c>
      <c r="C61" s="1" t="n">
        <v>45510</v>
      </c>
      <c r="D61" t="inlineStr">
        <is>
          <t>UPPSALA LÄN</t>
        </is>
      </c>
      <c r="E61" t="inlineStr">
        <is>
          <t>ENKÖPING</t>
        </is>
      </c>
      <c r="G61" t="n">
        <v>1</v>
      </c>
      <c r="H61" t="n">
        <v>0</v>
      </c>
      <c r="I61" t="n">
        <v>0</v>
      </c>
      <c r="J61" t="n">
        <v>0</v>
      </c>
      <c r="K61" t="n">
        <v>0</v>
      </c>
      <c r="L61" t="n">
        <v>0</v>
      </c>
      <c r="M61" t="n">
        <v>0</v>
      </c>
      <c r="N61" t="n">
        <v>0</v>
      </c>
      <c r="O61" t="n">
        <v>0</v>
      </c>
      <c r="P61" t="n">
        <v>0</v>
      </c>
      <c r="Q61" t="n">
        <v>0</v>
      </c>
      <c r="R61" s="2" t="inlineStr"/>
    </row>
    <row r="62" ht="15" customHeight="1">
      <c r="A62" t="inlineStr">
        <is>
          <t>A 37702-2019</t>
        </is>
      </c>
      <c r="B62" s="1" t="n">
        <v>43682</v>
      </c>
      <c r="C62" s="1" t="n">
        <v>45510</v>
      </c>
      <c r="D62" t="inlineStr">
        <is>
          <t>UPPSALA LÄN</t>
        </is>
      </c>
      <c r="E62" t="inlineStr">
        <is>
          <t>ENKÖPING</t>
        </is>
      </c>
      <c r="G62" t="n">
        <v>1.1</v>
      </c>
      <c r="H62" t="n">
        <v>0</v>
      </c>
      <c r="I62" t="n">
        <v>0</v>
      </c>
      <c r="J62" t="n">
        <v>0</v>
      </c>
      <c r="K62" t="n">
        <v>0</v>
      </c>
      <c r="L62" t="n">
        <v>0</v>
      </c>
      <c r="M62" t="n">
        <v>0</v>
      </c>
      <c r="N62" t="n">
        <v>0</v>
      </c>
      <c r="O62" t="n">
        <v>0</v>
      </c>
      <c r="P62" t="n">
        <v>0</v>
      </c>
      <c r="Q62" t="n">
        <v>0</v>
      </c>
      <c r="R62" s="2" t="inlineStr"/>
    </row>
    <row r="63" ht="15" customHeight="1">
      <c r="A63" t="inlineStr">
        <is>
          <t>A 37700-2019</t>
        </is>
      </c>
      <c r="B63" s="1" t="n">
        <v>43682</v>
      </c>
      <c r="C63" s="1" t="n">
        <v>45510</v>
      </c>
      <c r="D63" t="inlineStr">
        <is>
          <t>UPPSALA LÄN</t>
        </is>
      </c>
      <c r="E63" t="inlineStr">
        <is>
          <t>ENKÖPING</t>
        </is>
      </c>
      <c r="G63" t="n">
        <v>2.9</v>
      </c>
      <c r="H63" t="n">
        <v>0</v>
      </c>
      <c r="I63" t="n">
        <v>0</v>
      </c>
      <c r="J63" t="n">
        <v>0</v>
      </c>
      <c r="K63" t="n">
        <v>0</v>
      </c>
      <c r="L63" t="n">
        <v>0</v>
      </c>
      <c r="M63" t="n">
        <v>0</v>
      </c>
      <c r="N63" t="n">
        <v>0</v>
      </c>
      <c r="O63" t="n">
        <v>0</v>
      </c>
      <c r="P63" t="n">
        <v>0</v>
      </c>
      <c r="Q63" t="n">
        <v>0</v>
      </c>
      <c r="R63" s="2" t="inlineStr"/>
    </row>
    <row r="64" ht="15" customHeight="1">
      <c r="A64" t="inlineStr">
        <is>
          <t>A 37936-2019</t>
        </is>
      </c>
      <c r="B64" s="1" t="n">
        <v>43683</v>
      </c>
      <c r="C64" s="1" t="n">
        <v>45510</v>
      </c>
      <c r="D64" t="inlineStr">
        <is>
          <t>UPPSALA LÄN</t>
        </is>
      </c>
      <c r="E64" t="inlineStr">
        <is>
          <t>ENKÖPING</t>
        </is>
      </c>
      <c r="G64" t="n">
        <v>0.9</v>
      </c>
      <c r="H64" t="n">
        <v>0</v>
      </c>
      <c r="I64" t="n">
        <v>0</v>
      </c>
      <c r="J64" t="n">
        <v>0</v>
      </c>
      <c r="K64" t="n">
        <v>0</v>
      </c>
      <c r="L64" t="n">
        <v>0</v>
      </c>
      <c r="M64" t="n">
        <v>0</v>
      </c>
      <c r="N64" t="n">
        <v>0</v>
      </c>
      <c r="O64" t="n">
        <v>0</v>
      </c>
      <c r="P64" t="n">
        <v>0</v>
      </c>
      <c r="Q64" t="n">
        <v>0</v>
      </c>
      <c r="R64" s="2" t="inlineStr"/>
    </row>
    <row r="65" ht="15" customHeight="1">
      <c r="A65" t="inlineStr">
        <is>
          <t>A 38204-2019</t>
        </is>
      </c>
      <c r="B65" s="1" t="n">
        <v>43683</v>
      </c>
      <c r="C65" s="1" t="n">
        <v>45510</v>
      </c>
      <c r="D65" t="inlineStr">
        <is>
          <t>UPPSALA LÄN</t>
        </is>
      </c>
      <c r="E65" t="inlineStr">
        <is>
          <t>ENKÖPING</t>
        </is>
      </c>
      <c r="G65" t="n">
        <v>1.5</v>
      </c>
      <c r="H65" t="n">
        <v>0</v>
      </c>
      <c r="I65" t="n">
        <v>0</v>
      </c>
      <c r="J65" t="n">
        <v>0</v>
      </c>
      <c r="K65" t="n">
        <v>0</v>
      </c>
      <c r="L65" t="n">
        <v>0</v>
      </c>
      <c r="M65" t="n">
        <v>0</v>
      </c>
      <c r="N65" t="n">
        <v>0</v>
      </c>
      <c r="O65" t="n">
        <v>0</v>
      </c>
      <c r="P65" t="n">
        <v>0</v>
      </c>
      <c r="Q65" t="n">
        <v>0</v>
      </c>
      <c r="R65" s="2" t="inlineStr"/>
    </row>
    <row r="66" ht="15" customHeight="1">
      <c r="A66" t="inlineStr">
        <is>
          <t>A 38189-2019</t>
        </is>
      </c>
      <c r="B66" s="1" t="n">
        <v>43684</v>
      </c>
      <c r="C66" s="1" t="n">
        <v>45510</v>
      </c>
      <c r="D66" t="inlineStr">
        <is>
          <t>UPPSALA LÄN</t>
        </is>
      </c>
      <c r="E66" t="inlineStr">
        <is>
          <t>ENKÖPING</t>
        </is>
      </c>
      <c r="G66" t="n">
        <v>1.3</v>
      </c>
      <c r="H66" t="n">
        <v>0</v>
      </c>
      <c r="I66" t="n">
        <v>0</v>
      </c>
      <c r="J66" t="n">
        <v>0</v>
      </c>
      <c r="K66" t="n">
        <v>0</v>
      </c>
      <c r="L66" t="n">
        <v>0</v>
      </c>
      <c r="M66" t="n">
        <v>0</v>
      </c>
      <c r="N66" t="n">
        <v>0</v>
      </c>
      <c r="O66" t="n">
        <v>0</v>
      </c>
      <c r="P66" t="n">
        <v>0</v>
      </c>
      <c r="Q66" t="n">
        <v>0</v>
      </c>
      <c r="R66" s="2" t="inlineStr"/>
    </row>
    <row r="67" ht="15" customHeight="1">
      <c r="A67" t="inlineStr">
        <is>
          <t>A 38205-2019</t>
        </is>
      </c>
      <c r="B67" s="1" t="n">
        <v>43684</v>
      </c>
      <c r="C67" s="1" t="n">
        <v>45510</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38475-2019</t>
        </is>
      </c>
      <c r="B68" s="1" t="n">
        <v>43685</v>
      </c>
      <c r="C68" s="1" t="n">
        <v>45510</v>
      </c>
      <c r="D68" t="inlineStr">
        <is>
          <t>UPPSALA LÄN</t>
        </is>
      </c>
      <c r="E68" t="inlineStr">
        <is>
          <t>ENKÖPING</t>
        </is>
      </c>
      <c r="G68" t="n">
        <v>1.9</v>
      </c>
      <c r="H68" t="n">
        <v>0</v>
      </c>
      <c r="I68" t="n">
        <v>0</v>
      </c>
      <c r="J68" t="n">
        <v>0</v>
      </c>
      <c r="K68" t="n">
        <v>0</v>
      </c>
      <c r="L68" t="n">
        <v>0</v>
      </c>
      <c r="M68" t="n">
        <v>0</v>
      </c>
      <c r="N68" t="n">
        <v>0</v>
      </c>
      <c r="O68" t="n">
        <v>0</v>
      </c>
      <c r="P68" t="n">
        <v>0</v>
      </c>
      <c r="Q68" t="n">
        <v>0</v>
      </c>
      <c r="R68" s="2" t="inlineStr"/>
    </row>
    <row r="69" ht="15" customHeight="1">
      <c r="A69" t="inlineStr">
        <is>
          <t>A 38896-2019</t>
        </is>
      </c>
      <c r="B69" s="1" t="n">
        <v>43689</v>
      </c>
      <c r="C69" s="1" t="n">
        <v>45510</v>
      </c>
      <c r="D69" t="inlineStr">
        <is>
          <t>UPPSALA LÄN</t>
        </is>
      </c>
      <c r="E69" t="inlineStr">
        <is>
          <t>ENKÖPING</t>
        </is>
      </c>
      <c r="G69" t="n">
        <v>0.9</v>
      </c>
      <c r="H69" t="n">
        <v>0</v>
      </c>
      <c r="I69" t="n">
        <v>0</v>
      </c>
      <c r="J69" t="n">
        <v>0</v>
      </c>
      <c r="K69" t="n">
        <v>0</v>
      </c>
      <c r="L69" t="n">
        <v>0</v>
      </c>
      <c r="M69" t="n">
        <v>0</v>
      </c>
      <c r="N69" t="n">
        <v>0</v>
      </c>
      <c r="O69" t="n">
        <v>0</v>
      </c>
      <c r="P69" t="n">
        <v>0</v>
      </c>
      <c r="Q69" t="n">
        <v>0</v>
      </c>
      <c r="R69" s="2" t="inlineStr"/>
    </row>
    <row r="70" ht="15" customHeight="1">
      <c r="A70" t="inlineStr">
        <is>
          <t>A 38899-2019</t>
        </is>
      </c>
      <c r="B70" s="1" t="n">
        <v>43689</v>
      </c>
      <c r="C70" s="1" t="n">
        <v>45510</v>
      </c>
      <c r="D70" t="inlineStr">
        <is>
          <t>UPPSALA LÄN</t>
        </is>
      </c>
      <c r="E70" t="inlineStr">
        <is>
          <t>ENKÖPING</t>
        </is>
      </c>
      <c r="G70" t="n">
        <v>0.5</v>
      </c>
      <c r="H70" t="n">
        <v>0</v>
      </c>
      <c r="I70" t="n">
        <v>0</v>
      </c>
      <c r="J70" t="n">
        <v>0</v>
      </c>
      <c r="K70" t="n">
        <v>0</v>
      </c>
      <c r="L70" t="n">
        <v>0</v>
      </c>
      <c r="M70" t="n">
        <v>0</v>
      </c>
      <c r="N70" t="n">
        <v>0</v>
      </c>
      <c r="O70" t="n">
        <v>0</v>
      </c>
      <c r="P70" t="n">
        <v>0</v>
      </c>
      <c r="Q70" t="n">
        <v>0</v>
      </c>
      <c r="R70" s="2" t="inlineStr"/>
    </row>
    <row r="71" ht="15" customHeight="1">
      <c r="A71" t="inlineStr">
        <is>
          <t>A 40247-2019</t>
        </is>
      </c>
      <c r="B71" s="1" t="n">
        <v>43695</v>
      </c>
      <c r="C71" s="1" t="n">
        <v>45510</v>
      </c>
      <c r="D71" t="inlineStr">
        <is>
          <t>UPPSALA LÄN</t>
        </is>
      </c>
      <c r="E71" t="inlineStr">
        <is>
          <t>ENKÖPING</t>
        </is>
      </c>
      <c r="G71" t="n">
        <v>2.6</v>
      </c>
      <c r="H71" t="n">
        <v>0</v>
      </c>
      <c r="I71" t="n">
        <v>0</v>
      </c>
      <c r="J71" t="n">
        <v>0</v>
      </c>
      <c r="K71" t="n">
        <v>0</v>
      </c>
      <c r="L71" t="n">
        <v>0</v>
      </c>
      <c r="M71" t="n">
        <v>0</v>
      </c>
      <c r="N71" t="n">
        <v>0</v>
      </c>
      <c r="O71" t="n">
        <v>0</v>
      </c>
      <c r="P71" t="n">
        <v>0</v>
      </c>
      <c r="Q71" t="n">
        <v>0</v>
      </c>
      <c r="R71" s="2" t="inlineStr"/>
    </row>
    <row r="72" ht="15" customHeight="1">
      <c r="A72" t="inlineStr">
        <is>
          <t>A 40839-2019</t>
        </is>
      </c>
      <c r="B72" s="1" t="n">
        <v>43697</v>
      </c>
      <c r="C72" s="1" t="n">
        <v>45510</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40843-2019</t>
        </is>
      </c>
      <c r="B73" s="1" t="n">
        <v>43697</v>
      </c>
      <c r="C73" s="1" t="n">
        <v>45510</v>
      </c>
      <c r="D73" t="inlineStr">
        <is>
          <t>UPPSALA LÄN</t>
        </is>
      </c>
      <c r="E73" t="inlineStr">
        <is>
          <t>ENKÖPING</t>
        </is>
      </c>
      <c r="G73" t="n">
        <v>1.6</v>
      </c>
      <c r="H73" t="n">
        <v>0</v>
      </c>
      <c r="I73" t="n">
        <v>0</v>
      </c>
      <c r="J73" t="n">
        <v>0</v>
      </c>
      <c r="K73" t="n">
        <v>0</v>
      </c>
      <c r="L73" t="n">
        <v>0</v>
      </c>
      <c r="M73" t="n">
        <v>0</v>
      </c>
      <c r="N73" t="n">
        <v>0</v>
      </c>
      <c r="O73" t="n">
        <v>0</v>
      </c>
      <c r="P73" t="n">
        <v>0</v>
      </c>
      <c r="Q73" t="n">
        <v>0</v>
      </c>
      <c r="R73" s="2" t="inlineStr"/>
    </row>
    <row r="74" ht="15" customHeight="1">
      <c r="A74" t="inlineStr">
        <is>
          <t>A 41512-2019</t>
        </is>
      </c>
      <c r="B74" s="1" t="n">
        <v>43699</v>
      </c>
      <c r="C74" s="1" t="n">
        <v>45510</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42350-2019</t>
        </is>
      </c>
      <c r="B75" s="1" t="n">
        <v>43703</v>
      </c>
      <c r="C75" s="1" t="n">
        <v>45510</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42624-2019</t>
        </is>
      </c>
      <c r="B76" s="1" t="n">
        <v>43704</v>
      </c>
      <c r="C76" s="1" t="n">
        <v>45510</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42829-2019</t>
        </is>
      </c>
      <c r="B77" s="1" t="n">
        <v>43705</v>
      </c>
      <c r="C77" s="1" t="n">
        <v>45510</v>
      </c>
      <c r="D77" t="inlineStr">
        <is>
          <t>UPPSALA LÄN</t>
        </is>
      </c>
      <c r="E77" t="inlineStr">
        <is>
          <t>ENKÖPING</t>
        </is>
      </c>
      <c r="G77" t="n">
        <v>6.7</v>
      </c>
      <c r="H77" t="n">
        <v>0</v>
      </c>
      <c r="I77" t="n">
        <v>0</v>
      </c>
      <c r="J77" t="n">
        <v>0</v>
      </c>
      <c r="K77" t="n">
        <v>0</v>
      </c>
      <c r="L77" t="n">
        <v>0</v>
      </c>
      <c r="M77" t="n">
        <v>0</v>
      </c>
      <c r="N77" t="n">
        <v>0</v>
      </c>
      <c r="O77" t="n">
        <v>0</v>
      </c>
      <c r="P77" t="n">
        <v>0</v>
      </c>
      <c r="Q77" t="n">
        <v>0</v>
      </c>
      <c r="R77" s="2" t="inlineStr"/>
    </row>
    <row r="78" ht="15" customHeight="1">
      <c r="A78" t="inlineStr">
        <is>
          <t>A 43308-2019</t>
        </is>
      </c>
      <c r="B78" s="1" t="n">
        <v>43706</v>
      </c>
      <c r="C78" s="1" t="n">
        <v>45510</v>
      </c>
      <c r="D78" t="inlineStr">
        <is>
          <t>UPPSALA LÄN</t>
        </is>
      </c>
      <c r="E78" t="inlineStr">
        <is>
          <t>ENKÖPING</t>
        </is>
      </c>
      <c r="G78" t="n">
        <v>3.3</v>
      </c>
      <c r="H78" t="n">
        <v>0</v>
      </c>
      <c r="I78" t="n">
        <v>0</v>
      </c>
      <c r="J78" t="n">
        <v>0</v>
      </c>
      <c r="K78" t="n">
        <v>0</v>
      </c>
      <c r="L78" t="n">
        <v>0</v>
      </c>
      <c r="M78" t="n">
        <v>0</v>
      </c>
      <c r="N78" t="n">
        <v>0</v>
      </c>
      <c r="O78" t="n">
        <v>0</v>
      </c>
      <c r="P78" t="n">
        <v>0</v>
      </c>
      <c r="Q78" t="n">
        <v>0</v>
      </c>
      <c r="R78" s="2" t="inlineStr"/>
    </row>
    <row r="79" ht="15" customHeight="1">
      <c r="A79" t="inlineStr">
        <is>
          <t>A 43998-2019</t>
        </is>
      </c>
      <c r="B79" s="1" t="n">
        <v>43709</v>
      </c>
      <c r="C79" s="1" t="n">
        <v>45510</v>
      </c>
      <c r="D79" t="inlineStr">
        <is>
          <t>UPPSALA LÄN</t>
        </is>
      </c>
      <c r="E79" t="inlineStr">
        <is>
          <t>ENKÖPING</t>
        </is>
      </c>
      <c r="G79" t="n">
        <v>1.3</v>
      </c>
      <c r="H79" t="n">
        <v>0</v>
      </c>
      <c r="I79" t="n">
        <v>0</v>
      </c>
      <c r="J79" t="n">
        <v>0</v>
      </c>
      <c r="K79" t="n">
        <v>0</v>
      </c>
      <c r="L79" t="n">
        <v>0</v>
      </c>
      <c r="M79" t="n">
        <v>0</v>
      </c>
      <c r="N79" t="n">
        <v>0</v>
      </c>
      <c r="O79" t="n">
        <v>0</v>
      </c>
      <c r="P79" t="n">
        <v>0</v>
      </c>
      <c r="Q79" t="n">
        <v>0</v>
      </c>
      <c r="R79" s="2" t="inlineStr"/>
    </row>
    <row r="80" ht="15" customHeight="1">
      <c r="A80" t="inlineStr">
        <is>
          <t>A 43999-2019</t>
        </is>
      </c>
      <c r="B80" s="1" t="n">
        <v>43709</v>
      </c>
      <c r="C80" s="1" t="n">
        <v>45510</v>
      </c>
      <c r="D80" t="inlineStr">
        <is>
          <t>UPPSALA LÄN</t>
        </is>
      </c>
      <c r="E80" t="inlineStr">
        <is>
          <t>ENKÖPING</t>
        </is>
      </c>
      <c r="G80" t="n">
        <v>0.1</v>
      </c>
      <c r="H80" t="n">
        <v>0</v>
      </c>
      <c r="I80" t="n">
        <v>0</v>
      </c>
      <c r="J80" t="n">
        <v>0</v>
      </c>
      <c r="K80" t="n">
        <v>0</v>
      </c>
      <c r="L80" t="n">
        <v>0</v>
      </c>
      <c r="M80" t="n">
        <v>0</v>
      </c>
      <c r="N80" t="n">
        <v>0</v>
      </c>
      <c r="O80" t="n">
        <v>0</v>
      </c>
      <c r="P80" t="n">
        <v>0</v>
      </c>
      <c r="Q80" t="n">
        <v>0</v>
      </c>
      <c r="R80" s="2" t="inlineStr"/>
    </row>
    <row r="81" ht="15" customHeight="1">
      <c r="A81" t="inlineStr">
        <is>
          <t>A 44749-2019</t>
        </is>
      </c>
      <c r="B81" s="1" t="n">
        <v>43712</v>
      </c>
      <c r="C81" s="1" t="n">
        <v>45510</v>
      </c>
      <c r="D81" t="inlineStr">
        <is>
          <t>UPPSALA LÄN</t>
        </is>
      </c>
      <c r="E81" t="inlineStr">
        <is>
          <t>ENKÖPING</t>
        </is>
      </c>
      <c r="G81" t="n">
        <v>2.6</v>
      </c>
      <c r="H81" t="n">
        <v>0</v>
      </c>
      <c r="I81" t="n">
        <v>0</v>
      </c>
      <c r="J81" t="n">
        <v>0</v>
      </c>
      <c r="K81" t="n">
        <v>0</v>
      </c>
      <c r="L81" t="n">
        <v>0</v>
      </c>
      <c r="M81" t="n">
        <v>0</v>
      </c>
      <c r="N81" t="n">
        <v>0</v>
      </c>
      <c r="O81" t="n">
        <v>0</v>
      </c>
      <c r="P81" t="n">
        <v>0</v>
      </c>
      <c r="Q81" t="n">
        <v>0</v>
      </c>
      <c r="R81" s="2" t="inlineStr"/>
    </row>
    <row r="82" ht="15" customHeight="1">
      <c r="A82" t="inlineStr">
        <is>
          <t>A 45007-2019</t>
        </is>
      </c>
      <c r="B82" s="1" t="n">
        <v>43713</v>
      </c>
      <c r="C82" s="1" t="n">
        <v>45510</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45481-2019</t>
        </is>
      </c>
      <c r="B83" s="1" t="n">
        <v>43714</v>
      </c>
      <c r="C83" s="1" t="n">
        <v>45510</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45729-2019</t>
        </is>
      </c>
      <c r="B84" s="1" t="n">
        <v>43717</v>
      </c>
      <c r="C84" s="1" t="n">
        <v>45510</v>
      </c>
      <c r="D84" t="inlineStr">
        <is>
          <t>UPPSALA LÄN</t>
        </is>
      </c>
      <c r="E84" t="inlineStr">
        <is>
          <t>ENKÖPING</t>
        </is>
      </c>
      <c r="G84" t="n">
        <v>0.3</v>
      </c>
      <c r="H84" t="n">
        <v>0</v>
      </c>
      <c r="I84" t="n">
        <v>0</v>
      </c>
      <c r="J84" t="n">
        <v>0</v>
      </c>
      <c r="K84" t="n">
        <v>0</v>
      </c>
      <c r="L84" t="n">
        <v>0</v>
      </c>
      <c r="M84" t="n">
        <v>0</v>
      </c>
      <c r="N84" t="n">
        <v>0</v>
      </c>
      <c r="O84" t="n">
        <v>0</v>
      </c>
      <c r="P84" t="n">
        <v>0</v>
      </c>
      <c r="Q84" t="n">
        <v>0</v>
      </c>
      <c r="R84" s="2" t="inlineStr"/>
    </row>
    <row r="85" ht="15" customHeight="1">
      <c r="A85" t="inlineStr">
        <is>
          <t>A 45767-2019</t>
        </is>
      </c>
      <c r="B85" s="1" t="n">
        <v>43717</v>
      </c>
      <c r="C85" s="1" t="n">
        <v>45510</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45784-2019</t>
        </is>
      </c>
      <c r="B86" s="1" t="n">
        <v>43717</v>
      </c>
      <c r="C86" s="1" t="n">
        <v>45510</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46292-2019</t>
        </is>
      </c>
      <c r="B87" s="1" t="n">
        <v>43718</v>
      </c>
      <c r="C87" s="1" t="n">
        <v>45510</v>
      </c>
      <c r="D87" t="inlineStr">
        <is>
          <t>UPPSALA LÄN</t>
        </is>
      </c>
      <c r="E87" t="inlineStr">
        <is>
          <t>ENKÖPING</t>
        </is>
      </c>
      <c r="G87" t="n">
        <v>1</v>
      </c>
      <c r="H87" t="n">
        <v>0</v>
      </c>
      <c r="I87" t="n">
        <v>0</v>
      </c>
      <c r="J87" t="n">
        <v>0</v>
      </c>
      <c r="K87" t="n">
        <v>0</v>
      </c>
      <c r="L87" t="n">
        <v>0</v>
      </c>
      <c r="M87" t="n">
        <v>0</v>
      </c>
      <c r="N87" t="n">
        <v>0</v>
      </c>
      <c r="O87" t="n">
        <v>0</v>
      </c>
      <c r="P87" t="n">
        <v>0</v>
      </c>
      <c r="Q87" t="n">
        <v>0</v>
      </c>
      <c r="R87" s="2" t="inlineStr"/>
    </row>
    <row r="88" ht="15" customHeight="1">
      <c r="A88" t="inlineStr">
        <is>
          <t>A 46274-2019</t>
        </is>
      </c>
      <c r="B88" s="1" t="n">
        <v>43718</v>
      </c>
      <c r="C88" s="1" t="n">
        <v>45510</v>
      </c>
      <c r="D88" t="inlineStr">
        <is>
          <t>UPPSALA LÄN</t>
        </is>
      </c>
      <c r="E88" t="inlineStr">
        <is>
          <t>ENKÖPING</t>
        </is>
      </c>
      <c r="G88" t="n">
        <v>1</v>
      </c>
      <c r="H88" t="n">
        <v>0</v>
      </c>
      <c r="I88" t="n">
        <v>0</v>
      </c>
      <c r="J88" t="n">
        <v>0</v>
      </c>
      <c r="K88" t="n">
        <v>0</v>
      </c>
      <c r="L88" t="n">
        <v>0</v>
      </c>
      <c r="M88" t="n">
        <v>0</v>
      </c>
      <c r="N88" t="n">
        <v>0</v>
      </c>
      <c r="O88" t="n">
        <v>0</v>
      </c>
      <c r="P88" t="n">
        <v>0</v>
      </c>
      <c r="Q88" t="n">
        <v>0</v>
      </c>
      <c r="R88" s="2" t="inlineStr"/>
    </row>
    <row r="89" ht="15" customHeight="1">
      <c r="A89" t="inlineStr">
        <is>
          <t>A 46971-2019</t>
        </is>
      </c>
      <c r="B89" s="1" t="n">
        <v>43720</v>
      </c>
      <c r="C89" s="1" t="n">
        <v>45510</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47039-2019</t>
        </is>
      </c>
      <c r="B90" s="1" t="n">
        <v>43720</v>
      </c>
      <c r="C90" s="1" t="n">
        <v>45510</v>
      </c>
      <c r="D90" t="inlineStr">
        <is>
          <t>UPPSALA LÄN</t>
        </is>
      </c>
      <c r="E90" t="inlineStr">
        <is>
          <t>ENKÖPING</t>
        </is>
      </c>
      <c r="G90" t="n">
        <v>0.3</v>
      </c>
      <c r="H90" t="n">
        <v>0</v>
      </c>
      <c r="I90" t="n">
        <v>0</v>
      </c>
      <c r="J90" t="n">
        <v>0</v>
      </c>
      <c r="K90" t="n">
        <v>0</v>
      </c>
      <c r="L90" t="n">
        <v>0</v>
      </c>
      <c r="M90" t="n">
        <v>0</v>
      </c>
      <c r="N90" t="n">
        <v>0</v>
      </c>
      <c r="O90" t="n">
        <v>0</v>
      </c>
      <c r="P90" t="n">
        <v>0</v>
      </c>
      <c r="Q90" t="n">
        <v>0</v>
      </c>
      <c r="R90" s="2" t="inlineStr"/>
    </row>
    <row r="91" ht="15" customHeight="1">
      <c r="A91" t="inlineStr">
        <is>
          <t>A 47368-2019</t>
        </is>
      </c>
      <c r="B91" s="1" t="n">
        <v>43721</v>
      </c>
      <c r="C91" s="1" t="n">
        <v>45510</v>
      </c>
      <c r="D91" t="inlineStr">
        <is>
          <t>UPPSALA LÄN</t>
        </is>
      </c>
      <c r="E91" t="inlineStr">
        <is>
          <t>ENKÖPING</t>
        </is>
      </c>
      <c r="G91" t="n">
        <v>0.4</v>
      </c>
      <c r="H91" t="n">
        <v>0</v>
      </c>
      <c r="I91" t="n">
        <v>0</v>
      </c>
      <c r="J91" t="n">
        <v>0</v>
      </c>
      <c r="K91" t="n">
        <v>0</v>
      </c>
      <c r="L91" t="n">
        <v>0</v>
      </c>
      <c r="M91" t="n">
        <v>0</v>
      </c>
      <c r="N91" t="n">
        <v>0</v>
      </c>
      <c r="O91" t="n">
        <v>0</v>
      </c>
      <c r="P91" t="n">
        <v>0</v>
      </c>
      <c r="Q91" t="n">
        <v>0</v>
      </c>
      <c r="R91" s="2" t="inlineStr"/>
    </row>
    <row r="92" ht="15" customHeight="1">
      <c r="A92" t="inlineStr">
        <is>
          <t>A 47476-2019</t>
        </is>
      </c>
      <c r="B92" s="1" t="n">
        <v>43724</v>
      </c>
      <c r="C92" s="1" t="n">
        <v>45510</v>
      </c>
      <c r="D92" t="inlineStr">
        <is>
          <t>UPPSALA LÄN</t>
        </is>
      </c>
      <c r="E92" t="inlineStr">
        <is>
          <t>ENKÖPING</t>
        </is>
      </c>
      <c r="G92" t="n">
        <v>0.4</v>
      </c>
      <c r="H92" t="n">
        <v>0</v>
      </c>
      <c r="I92" t="n">
        <v>0</v>
      </c>
      <c r="J92" t="n">
        <v>0</v>
      </c>
      <c r="K92" t="n">
        <v>0</v>
      </c>
      <c r="L92" t="n">
        <v>0</v>
      </c>
      <c r="M92" t="n">
        <v>0</v>
      </c>
      <c r="N92" t="n">
        <v>0</v>
      </c>
      <c r="O92" t="n">
        <v>0</v>
      </c>
      <c r="P92" t="n">
        <v>0</v>
      </c>
      <c r="Q92" t="n">
        <v>0</v>
      </c>
      <c r="R92" s="2" t="inlineStr"/>
    </row>
    <row r="93" ht="15" customHeight="1">
      <c r="A93" t="inlineStr">
        <is>
          <t>A 48098-2019</t>
        </is>
      </c>
      <c r="B93" s="1" t="n">
        <v>43725</v>
      </c>
      <c r="C93" s="1" t="n">
        <v>45510</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48095-2019</t>
        </is>
      </c>
      <c r="B94" s="1" t="n">
        <v>43725</v>
      </c>
      <c r="C94" s="1" t="n">
        <v>45510</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48096-2019</t>
        </is>
      </c>
      <c r="B95" s="1" t="n">
        <v>43725</v>
      </c>
      <c r="C95" s="1" t="n">
        <v>45510</v>
      </c>
      <c r="D95" t="inlineStr">
        <is>
          <t>UPPSALA LÄN</t>
        </is>
      </c>
      <c r="E95" t="inlineStr">
        <is>
          <t>ENKÖPING</t>
        </is>
      </c>
      <c r="G95" t="n">
        <v>0.2</v>
      </c>
      <c r="H95" t="n">
        <v>0</v>
      </c>
      <c r="I95" t="n">
        <v>0</v>
      </c>
      <c r="J95" t="n">
        <v>0</v>
      </c>
      <c r="K95" t="n">
        <v>0</v>
      </c>
      <c r="L95" t="n">
        <v>0</v>
      </c>
      <c r="M95" t="n">
        <v>0</v>
      </c>
      <c r="N95" t="n">
        <v>0</v>
      </c>
      <c r="O95" t="n">
        <v>0</v>
      </c>
      <c r="P95" t="n">
        <v>0</v>
      </c>
      <c r="Q95" t="n">
        <v>0</v>
      </c>
      <c r="R95" s="2" t="inlineStr"/>
    </row>
    <row r="96" ht="15" customHeight="1">
      <c r="A96" t="inlineStr">
        <is>
          <t>A 48515-2019</t>
        </is>
      </c>
      <c r="B96" s="1" t="n">
        <v>43727</v>
      </c>
      <c r="C96" s="1" t="n">
        <v>45510</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48511-2019</t>
        </is>
      </c>
      <c r="B97" s="1" t="n">
        <v>43727</v>
      </c>
      <c r="C97" s="1" t="n">
        <v>45510</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49856-2019</t>
        </is>
      </c>
      <c r="B98" s="1" t="n">
        <v>43733</v>
      </c>
      <c r="C98" s="1" t="n">
        <v>45510</v>
      </c>
      <c r="D98" t="inlineStr">
        <is>
          <t>UPPSALA LÄN</t>
        </is>
      </c>
      <c r="E98" t="inlineStr">
        <is>
          <t>ENKÖPING</t>
        </is>
      </c>
      <c r="G98" t="n">
        <v>9.9</v>
      </c>
      <c r="H98" t="n">
        <v>0</v>
      </c>
      <c r="I98" t="n">
        <v>0</v>
      </c>
      <c r="J98" t="n">
        <v>0</v>
      </c>
      <c r="K98" t="n">
        <v>0</v>
      </c>
      <c r="L98" t="n">
        <v>0</v>
      </c>
      <c r="M98" t="n">
        <v>0</v>
      </c>
      <c r="N98" t="n">
        <v>0</v>
      </c>
      <c r="O98" t="n">
        <v>0</v>
      </c>
      <c r="P98" t="n">
        <v>0</v>
      </c>
      <c r="Q98" t="n">
        <v>0</v>
      </c>
      <c r="R98" s="2" t="inlineStr"/>
    </row>
    <row r="99" ht="15" customHeight="1">
      <c r="A99" t="inlineStr">
        <is>
          <t>A 49941-2019</t>
        </is>
      </c>
      <c r="B99" s="1" t="n">
        <v>43733</v>
      </c>
      <c r="C99" s="1" t="n">
        <v>45510</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50893-2019</t>
        </is>
      </c>
      <c r="B100" s="1" t="n">
        <v>43738</v>
      </c>
      <c r="C100" s="1" t="n">
        <v>45510</v>
      </c>
      <c r="D100" t="inlineStr">
        <is>
          <t>UPPSALA LÄN</t>
        </is>
      </c>
      <c r="E100" t="inlineStr">
        <is>
          <t>ENKÖPING</t>
        </is>
      </c>
      <c r="G100" t="n">
        <v>4.3</v>
      </c>
      <c r="H100" t="n">
        <v>0</v>
      </c>
      <c r="I100" t="n">
        <v>0</v>
      </c>
      <c r="J100" t="n">
        <v>0</v>
      </c>
      <c r="K100" t="n">
        <v>0</v>
      </c>
      <c r="L100" t="n">
        <v>0</v>
      </c>
      <c r="M100" t="n">
        <v>0</v>
      </c>
      <c r="N100" t="n">
        <v>0</v>
      </c>
      <c r="O100" t="n">
        <v>0</v>
      </c>
      <c r="P100" t="n">
        <v>0</v>
      </c>
      <c r="Q100" t="n">
        <v>0</v>
      </c>
      <c r="R100" s="2" t="inlineStr"/>
    </row>
    <row r="101" ht="15" customHeight="1">
      <c r="A101" t="inlineStr">
        <is>
          <t>A 52516-2019</t>
        </is>
      </c>
      <c r="B101" s="1" t="n">
        <v>43738</v>
      </c>
      <c r="C101" s="1" t="n">
        <v>45510</v>
      </c>
      <c r="D101" t="inlineStr">
        <is>
          <t>UPPSALA LÄN</t>
        </is>
      </c>
      <c r="E101" t="inlineStr">
        <is>
          <t>ENKÖPING</t>
        </is>
      </c>
      <c r="G101" t="n">
        <v>1.7</v>
      </c>
      <c r="H101" t="n">
        <v>0</v>
      </c>
      <c r="I101" t="n">
        <v>0</v>
      </c>
      <c r="J101" t="n">
        <v>0</v>
      </c>
      <c r="K101" t="n">
        <v>0</v>
      </c>
      <c r="L101" t="n">
        <v>0</v>
      </c>
      <c r="M101" t="n">
        <v>0</v>
      </c>
      <c r="N101" t="n">
        <v>0</v>
      </c>
      <c r="O101" t="n">
        <v>0</v>
      </c>
      <c r="P101" t="n">
        <v>0</v>
      </c>
      <c r="Q101" t="n">
        <v>0</v>
      </c>
      <c r="R101" s="2" t="inlineStr"/>
    </row>
    <row r="102" ht="15" customHeight="1">
      <c r="A102" t="inlineStr">
        <is>
          <t>A 51782-2019</t>
        </is>
      </c>
      <c r="B102" s="1" t="n">
        <v>43741</v>
      </c>
      <c r="C102" s="1" t="n">
        <v>45510</v>
      </c>
      <c r="D102" t="inlineStr">
        <is>
          <t>UPPSALA LÄN</t>
        </is>
      </c>
      <c r="E102" t="inlineStr">
        <is>
          <t>ENKÖPING</t>
        </is>
      </c>
      <c r="G102" t="n">
        <v>2.5</v>
      </c>
      <c r="H102" t="n">
        <v>0</v>
      </c>
      <c r="I102" t="n">
        <v>0</v>
      </c>
      <c r="J102" t="n">
        <v>0</v>
      </c>
      <c r="K102" t="n">
        <v>0</v>
      </c>
      <c r="L102" t="n">
        <v>0</v>
      </c>
      <c r="M102" t="n">
        <v>0</v>
      </c>
      <c r="N102" t="n">
        <v>0</v>
      </c>
      <c r="O102" t="n">
        <v>0</v>
      </c>
      <c r="P102" t="n">
        <v>0</v>
      </c>
      <c r="Q102" t="n">
        <v>0</v>
      </c>
      <c r="R102" s="2" t="inlineStr"/>
    </row>
    <row r="103" ht="15" customHeight="1">
      <c r="A103" t="inlineStr">
        <is>
          <t>A 51802-2019</t>
        </is>
      </c>
      <c r="B103" s="1" t="n">
        <v>43741</v>
      </c>
      <c r="C103" s="1" t="n">
        <v>45510</v>
      </c>
      <c r="D103" t="inlineStr">
        <is>
          <t>UPPSALA LÄN</t>
        </is>
      </c>
      <c r="E103" t="inlineStr">
        <is>
          <t>ENKÖPING</t>
        </is>
      </c>
      <c r="G103" t="n">
        <v>0.8</v>
      </c>
      <c r="H103" t="n">
        <v>0</v>
      </c>
      <c r="I103" t="n">
        <v>0</v>
      </c>
      <c r="J103" t="n">
        <v>0</v>
      </c>
      <c r="K103" t="n">
        <v>0</v>
      </c>
      <c r="L103" t="n">
        <v>0</v>
      </c>
      <c r="M103" t="n">
        <v>0</v>
      </c>
      <c r="N103" t="n">
        <v>0</v>
      </c>
      <c r="O103" t="n">
        <v>0</v>
      </c>
      <c r="P103" t="n">
        <v>0</v>
      </c>
      <c r="Q103" t="n">
        <v>0</v>
      </c>
      <c r="R103" s="2" t="inlineStr"/>
    </row>
    <row r="104" ht="15" customHeight="1">
      <c r="A104" t="inlineStr">
        <is>
          <t>A 51836-2019</t>
        </is>
      </c>
      <c r="B104" s="1" t="n">
        <v>43741</v>
      </c>
      <c r="C104" s="1" t="n">
        <v>45510</v>
      </c>
      <c r="D104" t="inlineStr">
        <is>
          <t>UPPSALA LÄN</t>
        </is>
      </c>
      <c r="E104" t="inlineStr">
        <is>
          <t>ENKÖPING</t>
        </is>
      </c>
      <c r="G104" t="n">
        <v>0.8</v>
      </c>
      <c r="H104" t="n">
        <v>0</v>
      </c>
      <c r="I104" t="n">
        <v>0</v>
      </c>
      <c r="J104" t="n">
        <v>0</v>
      </c>
      <c r="K104" t="n">
        <v>0</v>
      </c>
      <c r="L104" t="n">
        <v>0</v>
      </c>
      <c r="M104" t="n">
        <v>0</v>
      </c>
      <c r="N104" t="n">
        <v>0</v>
      </c>
      <c r="O104" t="n">
        <v>0</v>
      </c>
      <c r="P104" t="n">
        <v>0</v>
      </c>
      <c r="Q104" t="n">
        <v>0</v>
      </c>
      <c r="R104" s="2" t="inlineStr"/>
    </row>
    <row r="105" ht="15" customHeight="1">
      <c r="A105" t="inlineStr">
        <is>
          <t>A 51805-2019</t>
        </is>
      </c>
      <c r="B105" s="1" t="n">
        <v>43741</v>
      </c>
      <c r="C105" s="1" t="n">
        <v>45510</v>
      </c>
      <c r="D105" t="inlineStr">
        <is>
          <t>UPPSALA LÄN</t>
        </is>
      </c>
      <c r="E105" t="inlineStr">
        <is>
          <t>ENKÖPING</t>
        </is>
      </c>
      <c r="G105" t="n">
        <v>2.5</v>
      </c>
      <c r="H105" t="n">
        <v>0</v>
      </c>
      <c r="I105" t="n">
        <v>0</v>
      </c>
      <c r="J105" t="n">
        <v>0</v>
      </c>
      <c r="K105" t="n">
        <v>0</v>
      </c>
      <c r="L105" t="n">
        <v>0</v>
      </c>
      <c r="M105" t="n">
        <v>0</v>
      </c>
      <c r="N105" t="n">
        <v>0</v>
      </c>
      <c r="O105" t="n">
        <v>0</v>
      </c>
      <c r="P105" t="n">
        <v>0</v>
      </c>
      <c r="Q105" t="n">
        <v>0</v>
      </c>
      <c r="R105" s="2" t="inlineStr"/>
    </row>
    <row r="106" ht="15" customHeight="1">
      <c r="A106" t="inlineStr">
        <is>
          <t>A 51905-2019</t>
        </is>
      </c>
      <c r="B106" s="1" t="n">
        <v>43741</v>
      </c>
      <c r="C106" s="1" t="n">
        <v>45510</v>
      </c>
      <c r="D106" t="inlineStr">
        <is>
          <t>UPPSALA LÄN</t>
        </is>
      </c>
      <c r="E106" t="inlineStr">
        <is>
          <t>ENKÖPING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51912-2019</t>
        </is>
      </c>
      <c r="B107" s="1" t="n">
        <v>43741</v>
      </c>
      <c r="C107" s="1" t="n">
        <v>45510</v>
      </c>
      <c r="D107" t="inlineStr">
        <is>
          <t>UPPSALA LÄN</t>
        </is>
      </c>
      <c r="E107" t="inlineStr">
        <is>
          <t>ENKÖPING</t>
        </is>
      </c>
      <c r="G107" t="n">
        <v>3</v>
      </c>
      <c r="H107" t="n">
        <v>0</v>
      </c>
      <c r="I107" t="n">
        <v>0</v>
      </c>
      <c r="J107" t="n">
        <v>0</v>
      </c>
      <c r="K107" t="n">
        <v>0</v>
      </c>
      <c r="L107" t="n">
        <v>0</v>
      </c>
      <c r="M107" t="n">
        <v>0</v>
      </c>
      <c r="N107" t="n">
        <v>0</v>
      </c>
      <c r="O107" t="n">
        <v>0</v>
      </c>
      <c r="P107" t="n">
        <v>0</v>
      </c>
      <c r="Q107" t="n">
        <v>0</v>
      </c>
      <c r="R107" s="2" t="inlineStr"/>
    </row>
    <row r="108" ht="15" customHeight="1">
      <c r="A108" t="inlineStr">
        <is>
          <t>A 52524-2019</t>
        </is>
      </c>
      <c r="B108" s="1" t="n">
        <v>43745</v>
      </c>
      <c r="C108" s="1" t="n">
        <v>45510</v>
      </c>
      <c r="D108" t="inlineStr">
        <is>
          <t>UPPSALA LÄN</t>
        </is>
      </c>
      <c r="E108" t="inlineStr">
        <is>
          <t>ENKÖPING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52394-2019</t>
        </is>
      </c>
      <c r="B109" s="1" t="n">
        <v>43745</v>
      </c>
      <c r="C109" s="1" t="n">
        <v>45510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52726-2019</t>
        </is>
      </c>
      <c r="B110" s="1" t="n">
        <v>43746</v>
      </c>
      <c r="C110" s="1" t="n">
        <v>45510</v>
      </c>
      <c r="D110" t="inlineStr">
        <is>
          <t>UPPSALA LÄN</t>
        </is>
      </c>
      <c r="E110" t="inlineStr">
        <is>
          <t>ENKÖPING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53840-2019</t>
        </is>
      </c>
      <c r="B111" s="1" t="n">
        <v>43752</v>
      </c>
      <c r="C111" s="1" t="n">
        <v>45510</v>
      </c>
      <c r="D111" t="inlineStr">
        <is>
          <t>UPPSALA LÄN</t>
        </is>
      </c>
      <c r="E111" t="inlineStr">
        <is>
          <t>ENKÖPING</t>
        </is>
      </c>
      <c r="G111" t="n">
        <v>10.1</v>
      </c>
      <c r="H111" t="n">
        <v>0</v>
      </c>
      <c r="I111" t="n">
        <v>0</v>
      </c>
      <c r="J111" t="n">
        <v>0</v>
      </c>
      <c r="K111" t="n">
        <v>0</v>
      </c>
      <c r="L111" t="n">
        <v>0</v>
      </c>
      <c r="M111" t="n">
        <v>0</v>
      </c>
      <c r="N111" t="n">
        <v>0</v>
      </c>
      <c r="O111" t="n">
        <v>0</v>
      </c>
      <c r="P111" t="n">
        <v>0</v>
      </c>
      <c r="Q111" t="n">
        <v>0</v>
      </c>
      <c r="R111" s="2" t="inlineStr"/>
    </row>
    <row r="112" ht="15" customHeight="1">
      <c r="A112" t="inlineStr">
        <is>
          <t>A 56153-2019</t>
        </is>
      </c>
      <c r="B112" s="1" t="n">
        <v>43756</v>
      </c>
      <c r="C112" s="1" t="n">
        <v>45510</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55516-2019</t>
        </is>
      </c>
      <c r="B113" s="1" t="n">
        <v>43759</v>
      </c>
      <c r="C113" s="1" t="n">
        <v>45510</v>
      </c>
      <c r="D113" t="inlineStr">
        <is>
          <t>UPPSALA LÄN</t>
        </is>
      </c>
      <c r="E113" t="inlineStr">
        <is>
          <t>ENKÖPING</t>
        </is>
      </c>
      <c r="G113" t="n">
        <v>0.6</v>
      </c>
      <c r="H113" t="n">
        <v>0</v>
      </c>
      <c r="I113" t="n">
        <v>0</v>
      </c>
      <c r="J113" t="n">
        <v>0</v>
      </c>
      <c r="K113" t="n">
        <v>0</v>
      </c>
      <c r="L113" t="n">
        <v>0</v>
      </c>
      <c r="M113" t="n">
        <v>0</v>
      </c>
      <c r="N113" t="n">
        <v>0</v>
      </c>
      <c r="O113" t="n">
        <v>0</v>
      </c>
      <c r="P113" t="n">
        <v>0</v>
      </c>
      <c r="Q113" t="n">
        <v>0</v>
      </c>
      <c r="R113" s="2" t="inlineStr"/>
    </row>
    <row r="114" ht="15" customHeight="1">
      <c r="A114" t="inlineStr">
        <is>
          <t>A 55872-2019</t>
        </is>
      </c>
      <c r="B114" s="1" t="n">
        <v>43759</v>
      </c>
      <c r="C114" s="1" t="n">
        <v>45510</v>
      </c>
      <c r="D114" t="inlineStr">
        <is>
          <t>UPPSALA LÄN</t>
        </is>
      </c>
      <c r="E114" t="inlineStr">
        <is>
          <t>ENKÖPING</t>
        </is>
      </c>
      <c r="G114" t="n">
        <v>0.7</v>
      </c>
      <c r="H114" t="n">
        <v>0</v>
      </c>
      <c r="I114" t="n">
        <v>0</v>
      </c>
      <c r="J114" t="n">
        <v>0</v>
      </c>
      <c r="K114" t="n">
        <v>0</v>
      </c>
      <c r="L114" t="n">
        <v>0</v>
      </c>
      <c r="M114" t="n">
        <v>0</v>
      </c>
      <c r="N114" t="n">
        <v>0</v>
      </c>
      <c r="O114" t="n">
        <v>0</v>
      </c>
      <c r="P114" t="n">
        <v>0</v>
      </c>
      <c r="Q114" t="n">
        <v>0</v>
      </c>
      <c r="R114" s="2" t="inlineStr"/>
    </row>
    <row r="115" ht="15" customHeight="1">
      <c r="A115" t="inlineStr">
        <is>
          <t>A 55512-2019</t>
        </is>
      </c>
      <c r="B115" s="1" t="n">
        <v>43759</v>
      </c>
      <c r="C115" s="1" t="n">
        <v>45510</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56309-2019</t>
        </is>
      </c>
      <c r="B116" s="1" t="n">
        <v>43762</v>
      </c>
      <c r="C116" s="1" t="n">
        <v>45510</v>
      </c>
      <c r="D116" t="inlineStr">
        <is>
          <t>UPPSALA LÄN</t>
        </is>
      </c>
      <c r="E116" t="inlineStr">
        <is>
          <t>ENKÖPING</t>
        </is>
      </c>
      <c r="G116" t="n">
        <v>2.6</v>
      </c>
      <c r="H116" t="n">
        <v>0</v>
      </c>
      <c r="I116" t="n">
        <v>0</v>
      </c>
      <c r="J116" t="n">
        <v>0</v>
      </c>
      <c r="K116" t="n">
        <v>0</v>
      </c>
      <c r="L116" t="n">
        <v>0</v>
      </c>
      <c r="M116" t="n">
        <v>0</v>
      </c>
      <c r="N116" t="n">
        <v>0</v>
      </c>
      <c r="O116" t="n">
        <v>0</v>
      </c>
      <c r="P116" t="n">
        <v>0</v>
      </c>
      <c r="Q116" t="n">
        <v>0</v>
      </c>
      <c r="R116" s="2" t="inlineStr"/>
    </row>
    <row r="117" ht="15" customHeight="1">
      <c r="A117" t="inlineStr">
        <is>
          <t>A 56932-2019</t>
        </is>
      </c>
      <c r="B117" s="1" t="n">
        <v>43766</v>
      </c>
      <c r="C117" s="1" t="n">
        <v>45510</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56910-2019</t>
        </is>
      </c>
      <c r="B118" s="1" t="n">
        <v>43766</v>
      </c>
      <c r="C118" s="1" t="n">
        <v>45510</v>
      </c>
      <c r="D118" t="inlineStr">
        <is>
          <t>UPPSALA LÄN</t>
        </is>
      </c>
      <c r="E118" t="inlineStr">
        <is>
          <t>ENKÖPING</t>
        </is>
      </c>
      <c r="G118" t="n">
        <v>1.4</v>
      </c>
      <c r="H118" t="n">
        <v>0</v>
      </c>
      <c r="I118" t="n">
        <v>0</v>
      </c>
      <c r="J118" t="n">
        <v>0</v>
      </c>
      <c r="K118" t="n">
        <v>0</v>
      </c>
      <c r="L118" t="n">
        <v>0</v>
      </c>
      <c r="M118" t="n">
        <v>0</v>
      </c>
      <c r="N118" t="n">
        <v>0</v>
      </c>
      <c r="O118" t="n">
        <v>0</v>
      </c>
      <c r="P118" t="n">
        <v>0</v>
      </c>
      <c r="Q118" t="n">
        <v>0</v>
      </c>
      <c r="R118" s="2" t="inlineStr"/>
    </row>
    <row r="119" ht="15" customHeight="1">
      <c r="A119" t="inlineStr">
        <is>
          <t>A 57066-2019</t>
        </is>
      </c>
      <c r="B119" s="1" t="n">
        <v>43766</v>
      </c>
      <c r="C119" s="1" t="n">
        <v>45510</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56897-2019</t>
        </is>
      </c>
      <c r="B120" s="1" t="n">
        <v>43766</v>
      </c>
      <c r="C120" s="1" t="n">
        <v>45510</v>
      </c>
      <c r="D120" t="inlineStr">
        <is>
          <t>UPPSALA LÄN</t>
        </is>
      </c>
      <c r="E120" t="inlineStr">
        <is>
          <t>ENKÖPING</t>
        </is>
      </c>
      <c r="G120" t="n">
        <v>0.4</v>
      </c>
      <c r="H120" t="n">
        <v>0</v>
      </c>
      <c r="I120" t="n">
        <v>0</v>
      </c>
      <c r="J120" t="n">
        <v>0</v>
      </c>
      <c r="K120" t="n">
        <v>0</v>
      </c>
      <c r="L120" t="n">
        <v>0</v>
      </c>
      <c r="M120" t="n">
        <v>0</v>
      </c>
      <c r="N120" t="n">
        <v>0</v>
      </c>
      <c r="O120" t="n">
        <v>0</v>
      </c>
      <c r="P120" t="n">
        <v>0</v>
      </c>
      <c r="Q120" t="n">
        <v>0</v>
      </c>
      <c r="R120" s="2" t="inlineStr"/>
    </row>
    <row r="121" ht="15" customHeight="1">
      <c r="A121" t="inlineStr">
        <is>
          <t>A 57126-2019</t>
        </is>
      </c>
      <c r="B121" s="1" t="n">
        <v>43766</v>
      </c>
      <c r="C121" s="1" t="n">
        <v>45510</v>
      </c>
      <c r="D121" t="inlineStr">
        <is>
          <t>UPPSALA LÄN</t>
        </is>
      </c>
      <c r="E121" t="inlineStr">
        <is>
          <t>ENKÖPING</t>
        </is>
      </c>
      <c r="G121" t="n">
        <v>3.3</v>
      </c>
      <c r="H121" t="n">
        <v>0</v>
      </c>
      <c r="I121" t="n">
        <v>0</v>
      </c>
      <c r="J121" t="n">
        <v>0</v>
      </c>
      <c r="K121" t="n">
        <v>0</v>
      </c>
      <c r="L121" t="n">
        <v>0</v>
      </c>
      <c r="M121" t="n">
        <v>0</v>
      </c>
      <c r="N121" t="n">
        <v>0</v>
      </c>
      <c r="O121" t="n">
        <v>0</v>
      </c>
      <c r="P121" t="n">
        <v>0</v>
      </c>
      <c r="Q121" t="n">
        <v>0</v>
      </c>
      <c r="R121" s="2" t="inlineStr"/>
    </row>
    <row r="122" ht="15" customHeight="1">
      <c r="A122" t="inlineStr">
        <is>
          <t>A 57813-2019</t>
        </is>
      </c>
      <c r="B122" s="1" t="n">
        <v>43768</v>
      </c>
      <c r="C122" s="1" t="n">
        <v>45510</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57821-2019</t>
        </is>
      </c>
      <c r="B123" s="1" t="n">
        <v>43768</v>
      </c>
      <c r="C123" s="1" t="n">
        <v>45510</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57820-2019</t>
        </is>
      </c>
      <c r="B124" s="1" t="n">
        <v>43768</v>
      </c>
      <c r="C124" s="1" t="n">
        <v>45510</v>
      </c>
      <c r="D124" t="inlineStr">
        <is>
          <t>UPPSALA LÄN</t>
        </is>
      </c>
      <c r="E124" t="inlineStr">
        <is>
          <t>ENKÖPING</t>
        </is>
      </c>
      <c r="G124" t="n">
        <v>0.3</v>
      </c>
      <c r="H124" t="n">
        <v>0</v>
      </c>
      <c r="I124" t="n">
        <v>0</v>
      </c>
      <c r="J124" t="n">
        <v>0</v>
      </c>
      <c r="K124" t="n">
        <v>0</v>
      </c>
      <c r="L124" t="n">
        <v>0</v>
      </c>
      <c r="M124" t="n">
        <v>0</v>
      </c>
      <c r="N124" t="n">
        <v>0</v>
      </c>
      <c r="O124" t="n">
        <v>0</v>
      </c>
      <c r="P124" t="n">
        <v>0</v>
      </c>
      <c r="Q124" t="n">
        <v>0</v>
      </c>
      <c r="R124" s="2" t="inlineStr"/>
    </row>
    <row r="125" ht="15" customHeight="1">
      <c r="A125" t="inlineStr">
        <is>
          <t>A 58491-2019</t>
        </is>
      </c>
      <c r="B125" s="1" t="n">
        <v>43773</v>
      </c>
      <c r="C125" s="1" t="n">
        <v>45510</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58558-2019</t>
        </is>
      </c>
      <c r="B126" s="1" t="n">
        <v>43773</v>
      </c>
      <c r="C126" s="1" t="n">
        <v>45510</v>
      </c>
      <c r="D126" t="inlineStr">
        <is>
          <t>UPPSALA LÄN</t>
        </is>
      </c>
      <c r="E126" t="inlineStr">
        <is>
          <t>ENKÖPING</t>
        </is>
      </c>
      <c r="G126" t="n">
        <v>2.3</v>
      </c>
      <c r="H126" t="n">
        <v>0</v>
      </c>
      <c r="I126" t="n">
        <v>0</v>
      </c>
      <c r="J126" t="n">
        <v>0</v>
      </c>
      <c r="K126" t="n">
        <v>0</v>
      </c>
      <c r="L126" t="n">
        <v>0</v>
      </c>
      <c r="M126" t="n">
        <v>0</v>
      </c>
      <c r="N126" t="n">
        <v>0</v>
      </c>
      <c r="O126" t="n">
        <v>0</v>
      </c>
      <c r="P126" t="n">
        <v>0</v>
      </c>
      <c r="Q126" t="n">
        <v>0</v>
      </c>
      <c r="R126" s="2" t="inlineStr"/>
    </row>
    <row r="127" ht="15" customHeight="1">
      <c r="A127" t="inlineStr">
        <is>
          <t>A 60054-2019</t>
        </is>
      </c>
      <c r="B127" s="1" t="n">
        <v>43775</v>
      </c>
      <c r="C127" s="1" t="n">
        <v>45510</v>
      </c>
      <c r="D127" t="inlineStr">
        <is>
          <t>UPPSALA LÄN</t>
        </is>
      </c>
      <c r="E127" t="inlineStr">
        <is>
          <t>ENKÖPING</t>
        </is>
      </c>
      <c r="G127" t="n">
        <v>18.4</v>
      </c>
      <c r="H127" t="n">
        <v>0</v>
      </c>
      <c r="I127" t="n">
        <v>0</v>
      </c>
      <c r="J127" t="n">
        <v>0</v>
      </c>
      <c r="K127" t="n">
        <v>0</v>
      </c>
      <c r="L127" t="n">
        <v>0</v>
      </c>
      <c r="M127" t="n">
        <v>0</v>
      </c>
      <c r="N127" t="n">
        <v>0</v>
      </c>
      <c r="O127" t="n">
        <v>0</v>
      </c>
      <c r="P127" t="n">
        <v>0</v>
      </c>
      <c r="Q127" t="n">
        <v>0</v>
      </c>
      <c r="R127" s="2" t="inlineStr"/>
    </row>
    <row r="128" ht="15" customHeight="1">
      <c r="A128" t="inlineStr">
        <is>
          <t>A 59600-2019</t>
        </is>
      </c>
      <c r="B128" s="1" t="n">
        <v>43776</v>
      </c>
      <c r="C128" s="1" t="n">
        <v>45510</v>
      </c>
      <c r="D128" t="inlineStr">
        <is>
          <t>UPPSALA LÄN</t>
        </is>
      </c>
      <c r="E128" t="inlineStr">
        <is>
          <t>ENKÖPING</t>
        </is>
      </c>
      <c r="G128" t="n">
        <v>1.7</v>
      </c>
      <c r="H128" t="n">
        <v>0</v>
      </c>
      <c r="I128" t="n">
        <v>0</v>
      </c>
      <c r="J128" t="n">
        <v>0</v>
      </c>
      <c r="K128" t="n">
        <v>0</v>
      </c>
      <c r="L128" t="n">
        <v>0</v>
      </c>
      <c r="M128" t="n">
        <v>0</v>
      </c>
      <c r="N128" t="n">
        <v>0</v>
      </c>
      <c r="O128" t="n">
        <v>0</v>
      </c>
      <c r="P128" t="n">
        <v>0</v>
      </c>
      <c r="Q128" t="n">
        <v>0</v>
      </c>
      <c r="R128" s="2" t="inlineStr"/>
    </row>
    <row r="129" ht="15" customHeight="1">
      <c r="A129" t="inlineStr">
        <is>
          <t>A 60070-2019</t>
        </is>
      </c>
      <c r="B129" s="1" t="n">
        <v>43777</v>
      </c>
      <c r="C129" s="1" t="n">
        <v>45510</v>
      </c>
      <c r="D129" t="inlineStr">
        <is>
          <t>UPPSALA LÄN</t>
        </is>
      </c>
      <c r="E129" t="inlineStr">
        <is>
          <t>ENKÖPING</t>
        </is>
      </c>
      <c r="G129" t="n">
        <v>2</v>
      </c>
      <c r="H129" t="n">
        <v>0</v>
      </c>
      <c r="I129" t="n">
        <v>0</v>
      </c>
      <c r="J129" t="n">
        <v>0</v>
      </c>
      <c r="K129" t="n">
        <v>0</v>
      </c>
      <c r="L129" t="n">
        <v>0</v>
      </c>
      <c r="M129" t="n">
        <v>0</v>
      </c>
      <c r="N129" t="n">
        <v>0</v>
      </c>
      <c r="O129" t="n">
        <v>0</v>
      </c>
      <c r="P129" t="n">
        <v>0</v>
      </c>
      <c r="Q129" t="n">
        <v>0</v>
      </c>
      <c r="R129" s="2" t="inlineStr"/>
    </row>
    <row r="130" ht="15" customHeight="1">
      <c r="A130" t="inlineStr">
        <is>
          <t>A 60062-2019</t>
        </is>
      </c>
      <c r="B130" s="1" t="n">
        <v>43777</v>
      </c>
      <c r="C130" s="1" t="n">
        <v>45510</v>
      </c>
      <c r="D130" t="inlineStr">
        <is>
          <t>UPPSALA LÄN</t>
        </is>
      </c>
      <c r="E130" t="inlineStr">
        <is>
          <t>ENKÖPING</t>
        </is>
      </c>
      <c r="G130" t="n">
        <v>6.4</v>
      </c>
      <c r="H130" t="n">
        <v>0</v>
      </c>
      <c r="I130" t="n">
        <v>0</v>
      </c>
      <c r="J130" t="n">
        <v>0</v>
      </c>
      <c r="K130" t="n">
        <v>0</v>
      </c>
      <c r="L130" t="n">
        <v>0</v>
      </c>
      <c r="M130" t="n">
        <v>0</v>
      </c>
      <c r="N130" t="n">
        <v>0</v>
      </c>
      <c r="O130" t="n">
        <v>0</v>
      </c>
      <c r="P130" t="n">
        <v>0</v>
      </c>
      <c r="Q130" t="n">
        <v>0</v>
      </c>
      <c r="R130" s="2" t="inlineStr"/>
    </row>
    <row r="131" ht="15" customHeight="1">
      <c r="A131" t="inlineStr">
        <is>
          <t>A 61005-2019</t>
        </is>
      </c>
      <c r="B131" s="1" t="n">
        <v>43782</v>
      </c>
      <c r="C131" s="1" t="n">
        <v>45510</v>
      </c>
      <c r="D131" t="inlineStr">
        <is>
          <t>UPPSALA LÄN</t>
        </is>
      </c>
      <c r="E131" t="inlineStr">
        <is>
          <t>ENKÖPING</t>
        </is>
      </c>
      <c r="G131" t="n">
        <v>11.8</v>
      </c>
      <c r="H131" t="n">
        <v>0</v>
      </c>
      <c r="I131" t="n">
        <v>0</v>
      </c>
      <c r="J131" t="n">
        <v>0</v>
      </c>
      <c r="K131" t="n">
        <v>0</v>
      </c>
      <c r="L131" t="n">
        <v>0</v>
      </c>
      <c r="M131" t="n">
        <v>0</v>
      </c>
      <c r="N131" t="n">
        <v>0</v>
      </c>
      <c r="O131" t="n">
        <v>0</v>
      </c>
      <c r="P131" t="n">
        <v>0</v>
      </c>
      <c r="Q131" t="n">
        <v>0</v>
      </c>
      <c r="R131" s="2" t="inlineStr"/>
    </row>
    <row r="132" ht="15" customHeight="1">
      <c r="A132" t="inlineStr">
        <is>
          <t>A 62868-2019</t>
        </is>
      </c>
      <c r="B132" s="1" t="n">
        <v>43790</v>
      </c>
      <c r="C132" s="1" t="n">
        <v>45510</v>
      </c>
      <c r="D132" t="inlineStr">
        <is>
          <t>UPPSALA LÄN</t>
        </is>
      </c>
      <c r="E132" t="inlineStr">
        <is>
          <t>ENKÖPING</t>
        </is>
      </c>
      <c r="G132" t="n">
        <v>0.4</v>
      </c>
      <c r="H132" t="n">
        <v>0</v>
      </c>
      <c r="I132" t="n">
        <v>0</v>
      </c>
      <c r="J132" t="n">
        <v>0</v>
      </c>
      <c r="K132" t="n">
        <v>0</v>
      </c>
      <c r="L132" t="n">
        <v>0</v>
      </c>
      <c r="M132" t="n">
        <v>0</v>
      </c>
      <c r="N132" t="n">
        <v>0</v>
      </c>
      <c r="O132" t="n">
        <v>0</v>
      </c>
      <c r="P132" t="n">
        <v>0</v>
      </c>
      <c r="Q132" t="n">
        <v>0</v>
      </c>
      <c r="R132" s="2" t="inlineStr"/>
    </row>
    <row r="133" ht="15" customHeight="1">
      <c r="A133" t="inlineStr">
        <is>
          <t>A 65182-2019</t>
        </is>
      </c>
      <c r="B133" s="1" t="n">
        <v>43802</v>
      </c>
      <c r="C133" s="1" t="n">
        <v>45510</v>
      </c>
      <c r="D133" t="inlineStr">
        <is>
          <t>UPPSALA LÄN</t>
        </is>
      </c>
      <c r="E133" t="inlineStr">
        <is>
          <t>ENKÖPING</t>
        </is>
      </c>
      <c r="G133" t="n">
        <v>1.5</v>
      </c>
      <c r="H133" t="n">
        <v>0</v>
      </c>
      <c r="I133" t="n">
        <v>0</v>
      </c>
      <c r="J133" t="n">
        <v>0</v>
      </c>
      <c r="K133" t="n">
        <v>0</v>
      </c>
      <c r="L133" t="n">
        <v>0</v>
      </c>
      <c r="M133" t="n">
        <v>0</v>
      </c>
      <c r="N133" t="n">
        <v>0</v>
      </c>
      <c r="O133" t="n">
        <v>0</v>
      </c>
      <c r="P133" t="n">
        <v>0</v>
      </c>
      <c r="Q133" t="n">
        <v>0</v>
      </c>
      <c r="R133" s="2" t="inlineStr"/>
    </row>
    <row r="134" ht="15" customHeight="1">
      <c r="A134" t="inlineStr">
        <is>
          <t>A 66556-2019</t>
        </is>
      </c>
      <c r="B134" s="1" t="n">
        <v>43803</v>
      </c>
      <c r="C134" s="1" t="n">
        <v>45510</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66298-2019</t>
        </is>
      </c>
      <c r="B135" s="1" t="n">
        <v>43808</v>
      </c>
      <c r="C135" s="1" t="n">
        <v>45510</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67190-2019</t>
        </is>
      </c>
      <c r="B136" s="1" t="n">
        <v>43811</v>
      </c>
      <c r="C136" s="1" t="n">
        <v>45510</v>
      </c>
      <c r="D136" t="inlineStr">
        <is>
          <t>UPPSALA LÄN</t>
        </is>
      </c>
      <c r="E136" t="inlineStr">
        <is>
          <t>ENKÖPING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67196-2019</t>
        </is>
      </c>
      <c r="B137" s="1" t="n">
        <v>43811</v>
      </c>
      <c r="C137" s="1" t="n">
        <v>45510</v>
      </c>
      <c r="D137" t="inlineStr">
        <is>
          <t>UPPSALA LÄN</t>
        </is>
      </c>
      <c r="E137" t="inlineStr">
        <is>
          <t>ENKÖPING</t>
        </is>
      </c>
      <c r="G137" t="n">
        <v>2.9</v>
      </c>
      <c r="H137" t="n">
        <v>0</v>
      </c>
      <c r="I137" t="n">
        <v>0</v>
      </c>
      <c r="J137" t="n">
        <v>0</v>
      </c>
      <c r="K137" t="n">
        <v>0</v>
      </c>
      <c r="L137" t="n">
        <v>0</v>
      </c>
      <c r="M137" t="n">
        <v>0</v>
      </c>
      <c r="N137" t="n">
        <v>0</v>
      </c>
      <c r="O137" t="n">
        <v>0</v>
      </c>
      <c r="P137" t="n">
        <v>0</v>
      </c>
      <c r="Q137" t="n">
        <v>0</v>
      </c>
      <c r="R137" s="2" t="inlineStr"/>
    </row>
    <row r="138" ht="15" customHeight="1">
      <c r="A138" t="inlineStr">
        <is>
          <t>A 67244-2019</t>
        </is>
      </c>
      <c r="B138" s="1" t="n">
        <v>43812</v>
      </c>
      <c r="C138" s="1" t="n">
        <v>45510</v>
      </c>
      <c r="D138" t="inlineStr">
        <is>
          <t>UPPSALA LÄN</t>
        </is>
      </c>
      <c r="E138" t="inlineStr">
        <is>
          <t>ENKÖPING</t>
        </is>
      </c>
      <c r="G138" t="n">
        <v>3.2</v>
      </c>
      <c r="H138" t="n">
        <v>0</v>
      </c>
      <c r="I138" t="n">
        <v>0</v>
      </c>
      <c r="J138" t="n">
        <v>0</v>
      </c>
      <c r="K138" t="n">
        <v>0</v>
      </c>
      <c r="L138" t="n">
        <v>0</v>
      </c>
      <c r="M138" t="n">
        <v>0</v>
      </c>
      <c r="N138" t="n">
        <v>0</v>
      </c>
      <c r="O138" t="n">
        <v>0</v>
      </c>
      <c r="P138" t="n">
        <v>0</v>
      </c>
      <c r="Q138" t="n">
        <v>0</v>
      </c>
      <c r="R138" s="2" t="inlineStr"/>
    </row>
    <row r="139" ht="15" customHeight="1">
      <c r="A139" t="inlineStr">
        <is>
          <t>A 67448-2019</t>
        </is>
      </c>
      <c r="B139" s="1" t="n">
        <v>43812</v>
      </c>
      <c r="C139" s="1" t="n">
        <v>45510</v>
      </c>
      <c r="D139" t="inlineStr">
        <is>
          <t>UPPSALA LÄN</t>
        </is>
      </c>
      <c r="E139" t="inlineStr">
        <is>
          <t>ENKÖPING</t>
        </is>
      </c>
      <c r="F139" t="inlineStr">
        <is>
          <t>Allmännings- och besparingsskogar</t>
        </is>
      </c>
      <c r="G139" t="n">
        <v>15.1</v>
      </c>
      <c r="H139" t="n">
        <v>0</v>
      </c>
      <c r="I139" t="n">
        <v>0</v>
      </c>
      <c r="J139" t="n">
        <v>0</v>
      </c>
      <c r="K139" t="n">
        <v>0</v>
      </c>
      <c r="L139" t="n">
        <v>0</v>
      </c>
      <c r="M139" t="n">
        <v>0</v>
      </c>
      <c r="N139" t="n">
        <v>0</v>
      </c>
      <c r="O139" t="n">
        <v>0</v>
      </c>
      <c r="P139" t="n">
        <v>0</v>
      </c>
      <c r="Q139" t="n">
        <v>0</v>
      </c>
      <c r="R139" s="2" t="inlineStr"/>
    </row>
    <row r="140" ht="15" customHeight="1">
      <c r="A140" t="inlineStr">
        <is>
          <t>A 68186-2019</t>
        </is>
      </c>
      <c r="B140" s="1" t="n">
        <v>43817</v>
      </c>
      <c r="C140" s="1" t="n">
        <v>45510</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68188-2019</t>
        </is>
      </c>
      <c r="B141" s="1" t="n">
        <v>43817</v>
      </c>
      <c r="C141" s="1" t="n">
        <v>45510</v>
      </c>
      <c r="D141" t="inlineStr">
        <is>
          <t>UPPSALA LÄN</t>
        </is>
      </c>
      <c r="E141" t="inlineStr">
        <is>
          <t>ENKÖPING</t>
        </is>
      </c>
      <c r="G141" t="n">
        <v>1.2</v>
      </c>
      <c r="H141" t="n">
        <v>0</v>
      </c>
      <c r="I141" t="n">
        <v>0</v>
      </c>
      <c r="J141" t="n">
        <v>0</v>
      </c>
      <c r="K141" t="n">
        <v>0</v>
      </c>
      <c r="L141" t="n">
        <v>0</v>
      </c>
      <c r="M141" t="n">
        <v>0</v>
      </c>
      <c r="N141" t="n">
        <v>0</v>
      </c>
      <c r="O141" t="n">
        <v>0</v>
      </c>
      <c r="P141" t="n">
        <v>0</v>
      </c>
      <c r="Q141" t="n">
        <v>0</v>
      </c>
      <c r="R141" s="2" t="inlineStr"/>
    </row>
    <row r="142" ht="15" customHeight="1">
      <c r="A142" t="inlineStr">
        <is>
          <t>A 69015-2019</t>
        </is>
      </c>
      <c r="B142" s="1" t="n">
        <v>43826</v>
      </c>
      <c r="C142" s="1" t="n">
        <v>45510</v>
      </c>
      <c r="D142" t="inlineStr">
        <is>
          <t>UPPSALA LÄN</t>
        </is>
      </c>
      <c r="E142" t="inlineStr">
        <is>
          <t>ENKÖPING</t>
        </is>
      </c>
      <c r="G142" t="n">
        <v>15.7</v>
      </c>
      <c r="H142" t="n">
        <v>0</v>
      </c>
      <c r="I142" t="n">
        <v>0</v>
      </c>
      <c r="J142" t="n">
        <v>0</v>
      </c>
      <c r="K142" t="n">
        <v>0</v>
      </c>
      <c r="L142" t="n">
        <v>0</v>
      </c>
      <c r="M142" t="n">
        <v>0</v>
      </c>
      <c r="N142" t="n">
        <v>0</v>
      </c>
      <c r="O142" t="n">
        <v>0</v>
      </c>
      <c r="P142" t="n">
        <v>0</v>
      </c>
      <c r="Q142" t="n">
        <v>0</v>
      </c>
      <c r="R142" s="2" t="inlineStr"/>
    </row>
    <row r="143" ht="15" customHeight="1">
      <c r="A143" t="inlineStr">
        <is>
          <t>A 69029-2019</t>
        </is>
      </c>
      <c r="B143" s="1" t="n">
        <v>43826</v>
      </c>
      <c r="C143" s="1" t="n">
        <v>45510</v>
      </c>
      <c r="D143" t="inlineStr">
        <is>
          <t>UPPSALA LÄN</t>
        </is>
      </c>
      <c r="E143" t="inlineStr">
        <is>
          <t>ENKÖPING</t>
        </is>
      </c>
      <c r="G143" t="n">
        <v>0.7</v>
      </c>
      <c r="H143" t="n">
        <v>0</v>
      </c>
      <c r="I143" t="n">
        <v>0</v>
      </c>
      <c r="J143" t="n">
        <v>0</v>
      </c>
      <c r="K143" t="n">
        <v>0</v>
      </c>
      <c r="L143" t="n">
        <v>0</v>
      </c>
      <c r="M143" t="n">
        <v>0</v>
      </c>
      <c r="N143" t="n">
        <v>0</v>
      </c>
      <c r="O143" t="n">
        <v>0</v>
      </c>
      <c r="P143" t="n">
        <v>0</v>
      </c>
      <c r="Q143" t="n">
        <v>0</v>
      </c>
      <c r="R143" s="2" t="inlineStr"/>
    </row>
    <row r="144" ht="15" customHeight="1">
      <c r="A144" t="inlineStr">
        <is>
          <t>A 69016-2019</t>
        </is>
      </c>
      <c r="B144" s="1" t="n">
        <v>43826</v>
      </c>
      <c r="C144" s="1" t="n">
        <v>45510</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69020-2019</t>
        </is>
      </c>
      <c r="B145" s="1" t="n">
        <v>43826</v>
      </c>
      <c r="C145" s="1" t="n">
        <v>45510</v>
      </c>
      <c r="D145" t="inlineStr">
        <is>
          <t>UPPSALA LÄN</t>
        </is>
      </c>
      <c r="E145" t="inlineStr">
        <is>
          <t>ENKÖPING</t>
        </is>
      </c>
      <c r="G145" t="n">
        <v>1.4</v>
      </c>
      <c r="H145" t="n">
        <v>0</v>
      </c>
      <c r="I145" t="n">
        <v>0</v>
      </c>
      <c r="J145" t="n">
        <v>0</v>
      </c>
      <c r="K145" t="n">
        <v>0</v>
      </c>
      <c r="L145" t="n">
        <v>0</v>
      </c>
      <c r="M145" t="n">
        <v>0</v>
      </c>
      <c r="N145" t="n">
        <v>0</v>
      </c>
      <c r="O145" t="n">
        <v>0</v>
      </c>
      <c r="P145" t="n">
        <v>0</v>
      </c>
      <c r="Q145" t="n">
        <v>0</v>
      </c>
      <c r="R145" s="2" t="inlineStr"/>
    </row>
    <row r="146" ht="15" customHeight="1">
      <c r="A146" t="inlineStr">
        <is>
          <t>A 38-2020</t>
        </is>
      </c>
      <c r="B146" s="1" t="n">
        <v>43832</v>
      </c>
      <c r="C146" s="1" t="n">
        <v>45510</v>
      </c>
      <c r="D146" t="inlineStr">
        <is>
          <t>UPPSALA LÄN</t>
        </is>
      </c>
      <c r="E146" t="inlineStr">
        <is>
          <t>ENKÖPING</t>
        </is>
      </c>
      <c r="G146" t="n">
        <v>1.7</v>
      </c>
      <c r="H146" t="n">
        <v>0</v>
      </c>
      <c r="I146" t="n">
        <v>0</v>
      </c>
      <c r="J146" t="n">
        <v>0</v>
      </c>
      <c r="K146" t="n">
        <v>0</v>
      </c>
      <c r="L146" t="n">
        <v>0</v>
      </c>
      <c r="M146" t="n">
        <v>0</v>
      </c>
      <c r="N146" t="n">
        <v>0</v>
      </c>
      <c r="O146" t="n">
        <v>0</v>
      </c>
      <c r="P146" t="n">
        <v>0</v>
      </c>
      <c r="Q146" t="n">
        <v>0</v>
      </c>
      <c r="R146" s="2" t="inlineStr"/>
    </row>
    <row r="147" ht="15" customHeight="1">
      <c r="A147" t="inlineStr">
        <is>
          <t>A 499-2020</t>
        </is>
      </c>
      <c r="B147" s="1" t="n">
        <v>43837</v>
      </c>
      <c r="C147" s="1" t="n">
        <v>45510</v>
      </c>
      <c r="D147" t="inlineStr">
        <is>
          <t>UPPSALA LÄN</t>
        </is>
      </c>
      <c r="E147" t="inlineStr">
        <is>
          <t>ENKÖPING</t>
        </is>
      </c>
      <c r="G147" t="n">
        <v>4.9</v>
      </c>
      <c r="H147" t="n">
        <v>0</v>
      </c>
      <c r="I147" t="n">
        <v>0</v>
      </c>
      <c r="J147" t="n">
        <v>0</v>
      </c>
      <c r="K147" t="n">
        <v>0</v>
      </c>
      <c r="L147" t="n">
        <v>0</v>
      </c>
      <c r="M147" t="n">
        <v>0</v>
      </c>
      <c r="N147" t="n">
        <v>0</v>
      </c>
      <c r="O147" t="n">
        <v>0</v>
      </c>
      <c r="P147" t="n">
        <v>0</v>
      </c>
      <c r="Q147" t="n">
        <v>0</v>
      </c>
      <c r="R147" s="2" t="inlineStr"/>
    </row>
    <row r="148" ht="15" customHeight="1">
      <c r="A148" t="inlineStr">
        <is>
          <t>A 724-2020</t>
        </is>
      </c>
      <c r="B148" s="1" t="n">
        <v>43838</v>
      </c>
      <c r="C148" s="1" t="n">
        <v>45510</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892-2020</t>
        </is>
      </c>
      <c r="B149" s="1" t="n">
        <v>43839</v>
      </c>
      <c r="C149" s="1" t="n">
        <v>45510</v>
      </c>
      <c r="D149" t="inlineStr">
        <is>
          <t>UPPSALA LÄN</t>
        </is>
      </c>
      <c r="E149" t="inlineStr">
        <is>
          <t>ENKÖPING</t>
        </is>
      </c>
      <c r="G149" t="n">
        <v>2.1</v>
      </c>
      <c r="H149" t="n">
        <v>0</v>
      </c>
      <c r="I149" t="n">
        <v>0</v>
      </c>
      <c r="J149" t="n">
        <v>0</v>
      </c>
      <c r="K149" t="n">
        <v>0</v>
      </c>
      <c r="L149" t="n">
        <v>0</v>
      </c>
      <c r="M149" t="n">
        <v>0</v>
      </c>
      <c r="N149" t="n">
        <v>0</v>
      </c>
      <c r="O149" t="n">
        <v>0</v>
      </c>
      <c r="P149" t="n">
        <v>0</v>
      </c>
      <c r="Q149" t="n">
        <v>0</v>
      </c>
      <c r="R149" s="2" t="inlineStr"/>
    </row>
    <row r="150" ht="15" customHeight="1">
      <c r="A150" t="inlineStr">
        <is>
          <t>A 1348-2020</t>
        </is>
      </c>
      <c r="B150" s="1" t="n">
        <v>43843</v>
      </c>
      <c r="C150" s="1" t="n">
        <v>45510</v>
      </c>
      <c r="D150" t="inlineStr">
        <is>
          <t>UPPSALA LÄN</t>
        </is>
      </c>
      <c r="E150" t="inlineStr">
        <is>
          <t>ENKÖPING</t>
        </is>
      </c>
      <c r="G150" t="n">
        <v>0.3</v>
      </c>
      <c r="H150" t="n">
        <v>0</v>
      </c>
      <c r="I150" t="n">
        <v>0</v>
      </c>
      <c r="J150" t="n">
        <v>0</v>
      </c>
      <c r="K150" t="n">
        <v>0</v>
      </c>
      <c r="L150" t="n">
        <v>0</v>
      </c>
      <c r="M150" t="n">
        <v>0</v>
      </c>
      <c r="N150" t="n">
        <v>0</v>
      </c>
      <c r="O150" t="n">
        <v>0</v>
      </c>
      <c r="P150" t="n">
        <v>0</v>
      </c>
      <c r="Q150" t="n">
        <v>0</v>
      </c>
      <c r="R150" s="2" t="inlineStr"/>
    </row>
    <row r="151" ht="15" customHeight="1">
      <c r="A151" t="inlineStr">
        <is>
          <t>A 2182-2020</t>
        </is>
      </c>
      <c r="B151" s="1" t="n">
        <v>43846</v>
      </c>
      <c r="C151" s="1" t="n">
        <v>45510</v>
      </c>
      <c r="D151" t="inlineStr">
        <is>
          <t>UPPSALA LÄN</t>
        </is>
      </c>
      <c r="E151" t="inlineStr">
        <is>
          <t>ENKÖPING</t>
        </is>
      </c>
      <c r="F151" t="inlineStr">
        <is>
          <t>Övriga statliga verk och myndigheter</t>
        </is>
      </c>
      <c r="G151" t="n">
        <v>7.7</v>
      </c>
      <c r="H151" t="n">
        <v>0</v>
      </c>
      <c r="I151" t="n">
        <v>0</v>
      </c>
      <c r="J151" t="n">
        <v>0</v>
      </c>
      <c r="K151" t="n">
        <v>0</v>
      </c>
      <c r="L151" t="n">
        <v>0</v>
      </c>
      <c r="M151" t="n">
        <v>0</v>
      </c>
      <c r="N151" t="n">
        <v>0</v>
      </c>
      <c r="O151" t="n">
        <v>0</v>
      </c>
      <c r="P151" t="n">
        <v>0</v>
      </c>
      <c r="Q151" t="n">
        <v>0</v>
      </c>
      <c r="R151" s="2" t="inlineStr"/>
    </row>
    <row r="152" ht="15" customHeight="1">
      <c r="A152" t="inlineStr">
        <is>
          <t>A 2205-2020</t>
        </is>
      </c>
      <c r="B152" s="1" t="n">
        <v>43846</v>
      </c>
      <c r="C152" s="1" t="n">
        <v>45510</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2177-2020</t>
        </is>
      </c>
      <c r="B153" s="1" t="n">
        <v>43846</v>
      </c>
      <c r="C153" s="1" t="n">
        <v>45510</v>
      </c>
      <c r="D153" t="inlineStr">
        <is>
          <t>UPPSALA LÄN</t>
        </is>
      </c>
      <c r="E153" t="inlineStr">
        <is>
          <t>ENKÖPING</t>
        </is>
      </c>
      <c r="F153" t="inlineStr">
        <is>
          <t>Övriga statliga verk och myndigheter</t>
        </is>
      </c>
      <c r="G153" t="n">
        <v>10.2</v>
      </c>
      <c r="H153" t="n">
        <v>0</v>
      </c>
      <c r="I153" t="n">
        <v>0</v>
      </c>
      <c r="J153" t="n">
        <v>0</v>
      </c>
      <c r="K153" t="n">
        <v>0</v>
      </c>
      <c r="L153" t="n">
        <v>0</v>
      </c>
      <c r="M153" t="n">
        <v>0</v>
      </c>
      <c r="N153" t="n">
        <v>0</v>
      </c>
      <c r="O153" t="n">
        <v>0</v>
      </c>
      <c r="P153" t="n">
        <v>0</v>
      </c>
      <c r="Q153" t="n">
        <v>0</v>
      </c>
      <c r="R153" s="2" t="inlineStr"/>
    </row>
    <row r="154" ht="15" customHeight="1">
      <c r="A154" t="inlineStr">
        <is>
          <t>A 2220-2020</t>
        </is>
      </c>
      <c r="B154" s="1" t="n">
        <v>43846</v>
      </c>
      <c r="C154" s="1" t="n">
        <v>45510</v>
      </c>
      <c r="D154" t="inlineStr">
        <is>
          <t>UPPSALA LÄN</t>
        </is>
      </c>
      <c r="E154" t="inlineStr">
        <is>
          <t>ENKÖPING</t>
        </is>
      </c>
      <c r="F154" t="inlineStr">
        <is>
          <t>Övriga statliga verk och myndigheter</t>
        </is>
      </c>
      <c r="G154" t="n">
        <v>11.8</v>
      </c>
      <c r="H154" t="n">
        <v>0</v>
      </c>
      <c r="I154" t="n">
        <v>0</v>
      </c>
      <c r="J154" t="n">
        <v>0</v>
      </c>
      <c r="K154" t="n">
        <v>0</v>
      </c>
      <c r="L154" t="n">
        <v>0</v>
      </c>
      <c r="M154" t="n">
        <v>0</v>
      </c>
      <c r="N154" t="n">
        <v>0</v>
      </c>
      <c r="O154" t="n">
        <v>0</v>
      </c>
      <c r="P154" t="n">
        <v>0</v>
      </c>
      <c r="Q154" t="n">
        <v>0</v>
      </c>
      <c r="R154" s="2" t="inlineStr"/>
    </row>
    <row r="155" ht="15" customHeight="1">
      <c r="A155" t="inlineStr">
        <is>
          <t>A 2186-2020</t>
        </is>
      </c>
      <c r="B155" s="1" t="n">
        <v>43846</v>
      </c>
      <c r="C155" s="1" t="n">
        <v>45510</v>
      </c>
      <c r="D155" t="inlineStr">
        <is>
          <t>UPPSALA LÄN</t>
        </is>
      </c>
      <c r="E155" t="inlineStr">
        <is>
          <t>ENKÖPING</t>
        </is>
      </c>
      <c r="F155" t="inlineStr">
        <is>
          <t>Övriga statliga verk och myndigheter</t>
        </is>
      </c>
      <c r="G155" t="n">
        <v>12.3</v>
      </c>
      <c r="H155" t="n">
        <v>0</v>
      </c>
      <c r="I155" t="n">
        <v>0</v>
      </c>
      <c r="J155" t="n">
        <v>0</v>
      </c>
      <c r="K155" t="n">
        <v>0</v>
      </c>
      <c r="L155" t="n">
        <v>0</v>
      </c>
      <c r="M155" t="n">
        <v>0</v>
      </c>
      <c r="N155" t="n">
        <v>0</v>
      </c>
      <c r="O155" t="n">
        <v>0</v>
      </c>
      <c r="P155" t="n">
        <v>0</v>
      </c>
      <c r="Q155" t="n">
        <v>0</v>
      </c>
      <c r="R155" s="2" t="inlineStr"/>
    </row>
    <row r="156" ht="15" customHeight="1">
      <c r="A156" t="inlineStr">
        <is>
          <t>A 2225-2020</t>
        </is>
      </c>
      <c r="B156" s="1" t="n">
        <v>43846</v>
      </c>
      <c r="C156" s="1" t="n">
        <v>45510</v>
      </c>
      <c r="D156" t="inlineStr">
        <is>
          <t>UPPSALA LÄN</t>
        </is>
      </c>
      <c r="E156" t="inlineStr">
        <is>
          <t>ENKÖPING</t>
        </is>
      </c>
      <c r="F156" t="inlineStr">
        <is>
          <t>Övriga statliga verk och myndigheter</t>
        </is>
      </c>
      <c r="G156" t="n">
        <v>5.2</v>
      </c>
      <c r="H156" t="n">
        <v>0</v>
      </c>
      <c r="I156" t="n">
        <v>0</v>
      </c>
      <c r="J156" t="n">
        <v>0</v>
      </c>
      <c r="K156" t="n">
        <v>0</v>
      </c>
      <c r="L156" t="n">
        <v>0</v>
      </c>
      <c r="M156" t="n">
        <v>0</v>
      </c>
      <c r="N156" t="n">
        <v>0</v>
      </c>
      <c r="O156" t="n">
        <v>0</v>
      </c>
      <c r="P156" t="n">
        <v>0</v>
      </c>
      <c r="Q156" t="n">
        <v>0</v>
      </c>
      <c r="R156" s="2" t="inlineStr"/>
    </row>
    <row r="157" ht="15" customHeight="1">
      <c r="A157" t="inlineStr">
        <is>
          <t>A 2217-2020</t>
        </is>
      </c>
      <c r="B157" s="1" t="n">
        <v>43846</v>
      </c>
      <c r="C157" s="1" t="n">
        <v>45510</v>
      </c>
      <c r="D157" t="inlineStr">
        <is>
          <t>UPPSALA LÄN</t>
        </is>
      </c>
      <c r="E157" t="inlineStr">
        <is>
          <t>ENKÖPING</t>
        </is>
      </c>
      <c r="F157" t="inlineStr">
        <is>
          <t>Övriga statliga verk och myndigheter</t>
        </is>
      </c>
      <c r="G157" t="n">
        <v>7.7</v>
      </c>
      <c r="H157" t="n">
        <v>0</v>
      </c>
      <c r="I157" t="n">
        <v>0</v>
      </c>
      <c r="J157" t="n">
        <v>0</v>
      </c>
      <c r="K157" t="n">
        <v>0</v>
      </c>
      <c r="L157" t="n">
        <v>0</v>
      </c>
      <c r="M157" t="n">
        <v>0</v>
      </c>
      <c r="N157" t="n">
        <v>0</v>
      </c>
      <c r="O157" t="n">
        <v>0</v>
      </c>
      <c r="P157" t="n">
        <v>0</v>
      </c>
      <c r="Q157" t="n">
        <v>0</v>
      </c>
      <c r="R157" s="2" t="inlineStr"/>
    </row>
    <row r="158" ht="15" customHeight="1">
      <c r="A158" t="inlineStr">
        <is>
          <t>A 2222-2020</t>
        </is>
      </c>
      <c r="B158" s="1" t="n">
        <v>43846</v>
      </c>
      <c r="C158" s="1" t="n">
        <v>45510</v>
      </c>
      <c r="D158" t="inlineStr">
        <is>
          <t>UPPSALA LÄN</t>
        </is>
      </c>
      <c r="E158" t="inlineStr">
        <is>
          <t>ENKÖPING</t>
        </is>
      </c>
      <c r="F158" t="inlineStr">
        <is>
          <t>Övriga statliga verk och myndigheter</t>
        </is>
      </c>
      <c r="G158" t="n">
        <v>3.3</v>
      </c>
      <c r="H158" t="n">
        <v>0</v>
      </c>
      <c r="I158" t="n">
        <v>0</v>
      </c>
      <c r="J158" t="n">
        <v>0</v>
      </c>
      <c r="K158" t="n">
        <v>0</v>
      </c>
      <c r="L158" t="n">
        <v>0</v>
      </c>
      <c r="M158" t="n">
        <v>0</v>
      </c>
      <c r="N158" t="n">
        <v>0</v>
      </c>
      <c r="O158" t="n">
        <v>0</v>
      </c>
      <c r="P158" t="n">
        <v>0</v>
      </c>
      <c r="Q158" t="n">
        <v>0</v>
      </c>
      <c r="R158" s="2" t="inlineStr"/>
    </row>
    <row r="159" ht="15" customHeight="1">
      <c r="A159" t="inlineStr">
        <is>
          <t>A 4073-2020</t>
        </is>
      </c>
      <c r="B159" s="1" t="n">
        <v>43857</v>
      </c>
      <c r="C159" s="1" t="n">
        <v>45510</v>
      </c>
      <c r="D159" t="inlineStr">
        <is>
          <t>UPPSALA LÄN</t>
        </is>
      </c>
      <c r="E159" t="inlineStr">
        <is>
          <t>ENKÖPING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5032-2020</t>
        </is>
      </c>
      <c r="B160" s="1" t="n">
        <v>43859</v>
      </c>
      <c r="C160" s="1" t="n">
        <v>45510</v>
      </c>
      <c r="D160" t="inlineStr">
        <is>
          <t>UPPSALA LÄN</t>
        </is>
      </c>
      <c r="E160" t="inlineStr">
        <is>
          <t>ENKÖPING</t>
        </is>
      </c>
      <c r="G160" t="n">
        <v>0.9</v>
      </c>
      <c r="H160" t="n">
        <v>0</v>
      </c>
      <c r="I160" t="n">
        <v>0</v>
      </c>
      <c r="J160" t="n">
        <v>0</v>
      </c>
      <c r="K160" t="n">
        <v>0</v>
      </c>
      <c r="L160" t="n">
        <v>0</v>
      </c>
      <c r="M160" t="n">
        <v>0</v>
      </c>
      <c r="N160" t="n">
        <v>0</v>
      </c>
      <c r="O160" t="n">
        <v>0</v>
      </c>
      <c r="P160" t="n">
        <v>0</v>
      </c>
      <c r="Q160" t="n">
        <v>0</v>
      </c>
      <c r="R160" s="2" t="inlineStr"/>
    </row>
    <row r="161" ht="15" customHeight="1">
      <c r="A161" t="inlineStr">
        <is>
          <t>A 5345-2020</t>
        </is>
      </c>
      <c r="B161" s="1" t="n">
        <v>43860</v>
      </c>
      <c r="C161" s="1" t="n">
        <v>45510</v>
      </c>
      <c r="D161" t="inlineStr">
        <is>
          <t>UPPSALA LÄN</t>
        </is>
      </c>
      <c r="E161" t="inlineStr">
        <is>
          <t>ENKÖPING</t>
        </is>
      </c>
      <c r="G161" t="n">
        <v>2.3</v>
      </c>
      <c r="H161" t="n">
        <v>0</v>
      </c>
      <c r="I161" t="n">
        <v>0</v>
      </c>
      <c r="J161" t="n">
        <v>0</v>
      </c>
      <c r="K161" t="n">
        <v>0</v>
      </c>
      <c r="L161" t="n">
        <v>0</v>
      </c>
      <c r="M161" t="n">
        <v>0</v>
      </c>
      <c r="N161" t="n">
        <v>0</v>
      </c>
      <c r="O161" t="n">
        <v>0</v>
      </c>
      <c r="P161" t="n">
        <v>0</v>
      </c>
      <c r="Q161" t="n">
        <v>0</v>
      </c>
      <c r="R161" s="2" t="inlineStr"/>
    </row>
    <row r="162" ht="15" customHeight="1">
      <c r="A162" t="inlineStr">
        <is>
          <t>A 5178-2020</t>
        </is>
      </c>
      <c r="B162" s="1" t="n">
        <v>43860</v>
      </c>
      <c r="C162" s="1" t="n">
        <v>45510</v>
      </c>
      <c r="D162" t="inlineStr">
        <is>
          <t>UPPSALA LÄN</t>
        </is>
      </c>
      <c r="E162" t="inlineStr">
        <is>
          <t>ENKÖPING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6045-2020</t>
        </is>
      </c>
      <c r="B163" s="1" t="n">
        <v>43865</v>
      </c>
      <c r="C163" s="1" t="n">
        <v>45510</v>
      </c>
      <c r="D163" t="inlineStr">
        <is>
          <t>UPPSALA LÄN</t>
        </is>
      </c>
      <c r="E163" t="inlineStr">
        <is>
          <t>ENKÖPING</t>
        </is>
      </c>
      <c r="G163" t="n">
        <v>1.7</v>
      </c>
      <c r="H163" t="n">
        <v>0</v>
      </c>
      <c r="I163" t="n">
        <v>0</v>
      </c>
      <c r="J163" t="n">
        <v>0</v>
      </c>
      <c r="K163" t="n">
        <v>0</v>
      </c>
      <c r="L163" t="n">
        <v>0</v>
      </c>
      <c r="M163" t="n">
        <v>0</v>
      </c>
      <c r="N163" t="n">
        <v>0</v>
      </c>
      <c r="O163" t="n">
        <v>0</v>
      </c>
      <c r="P163" t="n">
        <v>0</v>
      </c>
      <c r="Q163" t="n">
        <v>0</v>
      </c>
      <c r="R163" s="2" t="inlineStr"/>
    </row>
    <row r="164" ht="15" customHeight="1">
      <c r="A164" t="inlineStr">
        <is>
          <t>A 6075-2020</t>
        </is>
      </c>
      <c r="B164" s="1" t="n">
        <v>43865</v>
      </c>
      <c r="C164" s="1" t="n">
        <v>45510</v>
      </c>
      <c r="D164" t="inlineStr">
        <is>
          <t>UPPSALA LÄN</t>
        </is>
      </c>
      <c r="E164" t="inlineStr">
        <is>
          <t>ENKÖPING</t>
        </is>
      </c>
      <c r="G164" t="n">
        <v>7.3</v>
      </c>
      <c r="H164" t="n">
        <v>0</v>
      </c>
      <c r="I164" t="n">
        <v>0</v>
      </c>
      <c r="J164" t="n">
        <v>0</v>
      </c>
      <c r="K164" t="n">
        <v>0</v>
      </c>
      <c r="L164" t="n">
        <v>0</v>
      </c>
      <c r="M164" t="n">
        <v>0</v>
      </c>
      <c r="N164" t="n">
        <v>0</v>
      </c>
      <c r="O164" t="n">
        <v>0</v>
      </c>
      <c r="P164" t="n">
        <v>0</v>
      </c>
      <c r="Q164" t="n">
        <v>0</v>
      </c>
      <c r="R164" s="2" t="inlineStr"/>
    </row>
    <row r="165" ht="15" customHeight="1">
      <c r="A165" t="inlineStr">
        <is>
          <t>A 6320-2020</t>
        </is>
      </c>
      <c r="B165" s="1" t="n">
        <v>43866</v>
      </c>
      <c r="C165" s="1" t="n">
        <v>45510</v>
      </c>
      <c r="D165" t="inlineStr">
        <is>
          <t>UPPSALA LÄN</t>
        </is>
      </c>
      <c r="E165" t="inlineStr">
        <is>
          <t>ENKÖPING</t>
        </is>
      </c>
      <c r="F165" t="inlineStr">
        <is>
          <t>Övriga statliga verk och myndigheter</t>
        </is>
      </c>
      <c r="G165" t="n">
        <v>1.6</v>
      </c>
      <c r="H165" t="n">
        <v>0</v>
      </c>
      <c r="I165" t="n">
        <v>0</v>
      </c>
      <c r="J165" t="n">
        <v>0</v>
      </c>
      <c r="K165" t="n">
        <v>0</v>
      </c>
      <c r="L165" t="n">
        <v>0</v>
      </c>
      <c r="M165" t="n">
        <v>0</v>
      </c>
      <c r="N165" t="n">
        <v>0</v>
      </c>
      <c r="O165" t="n">
        <v>0</v>
      </c>
      <c r="P165" t="n">
        <v>0</v>
      </c>
      <c r="Q165" t="n">
        <v>0</v>
      </c>
      <c r="R165" s="2" t="inlineStr"/>
    </row>
    <row r="166" ht="15" customHeight="1">
      <c r="A166" t="inlineStr">
        <is>
          <t>A 6345-2020</t>
        </is>
      </c>
      <c r="B166" s="1" t="n">
        <v>43866</v>
      </c>
      <c r="C166" s="1" t="n">
        <v>45510</v>
      </c>
      <c r="D166" t="inlineStr">
        <is>
          <t>UPPSALA LÄN</t>
        </is>
      </c>
      <c r="E166" t="inlineStr">
        <is>
          <t>ENKÖPING</t>
        </is>
      </c>
      <c r="G166" t="n">
        <v>1.5</v>
      </c>
      <c r="H166" t="n">
        <v>0</v>
      </c>
      <c r="I166" t="n">
        <v>0</v>
      </c>
      <c r="J166" t="n">
        <v>0</v>
      </c>
      <c r="K166" t="n">
        <v>0</v>
      </c>
      <c r="L166" t="n">
        <v>0</v>
      </c>
      <c r="M166" t="n">
        <v>0</v>
      </c>
      <c r="N166" t="n">
        <v>0</v>
      </c>
      <c r="O166" t="n">
        <v>0</v>
      </c>
      <c r="P166" t="n">
        <v>0</v>
      </c>
      <c r="Q166" t="n">
        <v>0</v>
      </c>
      <c r="R166" s="2" t="inlineStr"/>
    </row>
    <row r="167" ht="15" customHeight="1">
      <c r="A167" t="inlineStr">
        <is>
          <t>A 6700-2020</t>
        </is>
      </c>
      <c r="B167" s="1" t="n">
        <v>43866</v>
      </c>
      <c r="C167" s="1" t="n">
        <v>45510</v>
      </c>
      <c r="D167" t="inlineStr">
        <is>
          <t>UPPSALA LÄN</t>
        </is>
      </c>
      <c r="E167" t="inlineStr">
        <is>
          <t>ENKÖPING</t>
        </is>
      </c>
      <c r="G167" t="n">
        <v>2.6</v>
      </c>
      <c r="H167" t="n">
        <v>0</v>
      </c>
      <c r="I167" t="n">
        <v>0</v>
      </c>
      <c r="J167" t="n">
        <v>0</v>
      </c>
      <c r="K167" t="n">
        <v>0</v>
      </c>
      <c r="L167" t="n">
        <v>0</v>
      </c>
      <c r="M167" t="n">
        <v>0</v>
      </c>
      <c r="N167" t="n">
        <v>0</v>
      </c>
      <c r="O167" t="n">
        <v>0</v>
      </c>
      <c r="P167" t="n">
        <v>0</v>
      </c>
      <c r="Q167" t="n">
        <v>0</v>
      </c>
      <c r="R167" s="2" t="inlineStr"/>
    </row>
    <row r="168" ht="15" customHeight="1">
      <c r="A168" t="inlineStr">
        <is>
          <t>A 6434-2020</t>
        </is>
      </c>
      <c r="B168" s="1" t="n">
        <v>43866</v>
      </c>
      <c r="C168" s="1" t="n">
        <v>45510</v>
      </c>
      <c r="D168" t="inlineStr">
        <is>
          <t>UPPSALA LÄN</t>
        </is>
      </c>
      <c r="E168" t="inlineStr">
        <is>
          <t>ENKÖPING</t>
        </is>
      </c>
      <c r="G168" t="n">
        <v>8.4</v>
      </c>
      <c r="H168" t="n">
        <v>0</v>
      </c>
      <c r="I168" t="n">
        <v>0</v>
      </c>
      <c r="J168" t="n">
        <v>0</v>
      </c>
      <c r="K168" t="n">
        <v>0</v>
      </c>
      <c r="L168" t="n">
        <v>0</v>
      </c>
      <c r="M168" t="n">
        <v>0</v>
      </c>
      <c r="N168" t="n">
        <v>0</v>
      </c>
      <c r="O168" t="n">
        <v>0</v>
      </c>
      <c r="P168" t="n">
        <v>0</v>
      </c>
      <c r="Q168" t="n">
        <v>0</v>
      </c>
      <c r="R168" s="2" t="inlineStr"/>
    </row>
    <row r="169" ht="15" customHeight="1">
      <c r="A169" t="inlineStr">
        <is>
          <t>A 6990-2020</t>
        </is>
      </c>
      <c r="B169" s="1" t="n">
        <v>43868</v>
      </c>
      <c r="C169" s="1" t="n">
        <v>45510</v>
      </c>
      <c r="D169" t="inlineStr">
        <is>
          <t>UPPSALA LÄN</t>
        </is>
      </c>
      <c r="E169" t="inlineStr">
        <is>
          <t>ENKÖPING</t>
        </is>
      </c>
      <c r="G169" t="n">
        <v>2.9</v>
      </c>
      <c r="H169" t="n">
        <v>0</v>
      </c>
      <c r="I169" t="n">
        <v>0</v>
      </c>
      <c r="J169" t="n">
        <v>0</v>
      </c>
      <c r="K169" t="n">
        <v>0</v>
      </c>
      <c r="L169" t="n">
        <v>0</v>
      </c>
      <c r="M169" t="n">
        <v>0</v>
      </c>
      <c r="N169" t="n">
        <v>0</v>
      </c>
      <c r="O169" t="n">
        <v>0</v>
      </c>
      <c r="P169" t="n">
        <v>0</v>
      </c>
      <c r="Q169" t="n">
        <v>0</v>
      </c>
      <c r="R169" s="2" t="inlineStr"/>
    </row>
    <row r="170" ht="15" customHeight="1">
      <c r="A170" t="inlineStr">
        <is>
          <t>A 8185-2020</t>
        </is>
      </c>
      <c r="B170" s="1" t="n">
        <v>43874</v>
      </c>
      <c r="C170" s="1" t="n">
        <v>45510</v>
      </c>
      <c r="D170" t="inlineStr">
        <is>
          <t>UPPSALA LÄN</t>
        </is>
      </c>
      <c r="E170" t="inlineStr">
        <is>
          <t>ENKÖPING</t>
        </is>
      </c>
      <c r="G170" t="n">
        <v>4.7</v>
      </c>
      <c r="H170" t="n">
        <v>0</v>
      </c>
      <c r="I170" t="n">
        <v>0</v>
      </c>
      <c r="J170" t="n">
        <v>0</v>
      </c>
      <c r="K170" t="n">
        <v>0</v>
      </c>
      <c r="L170" t="n">
        <v>0</v>
      </c>
      <c r="M170" t="n">
        <v>0</v>
      </c>
      <c r="N170" t="n">
        <v>0</v>
      </c>
      <c r="O170" t="n">
        <v>0</v>
      </c>
      <c r="P170" t="n">
        <v>0</v>
      </c>
      <c r="Q170" t="n">
        <v>0</v>
      </c>
      <c r="R170" s="2" t="inlineStr"/>
    </row>
    <row r="171" ht="15" customHeight="1">
      <c r="A171" t="inlineStr">
        <is>
          <t>A 8320-2020</t>
        </is>
      </c>
      <c r="B171" s="1" t="n">
        <v>43875</v>
      </c>
      <c r="C171" s="1" t="n">
        <v>45510</v>
      </c>
      <c r="D171" t="inlineStr">
        <is>
          <t>UPPSALA LÄN</t>
        </is>
      </c>
      <c r="E171" t="inlineStr">
        <is>
          <t>ENKÖPING</t>
        </is>
      </c>
      <c r="G171" t="n">
        <v>6.1</v>
      </c>
      <c r="H171" t="n">
        <v>0</v>
      </c>
      <c r="I171" t="n">
        <v>0</v>
      </c>
      <c r="J171" t="n">
        <v>0</v>
      </c>
      <c r="K171" t="n">
        <v>0</v>
      </c>
      <c r="L171" t="n">
        <v>0</v>
      </c>
      <c r="M171" t="n">
        <v>0</v>
      </c>
      <c r="N171" t="n">
        <v>0</v>
      </c>
      <c r="O171" t="n">
        <v>0</v>
      </c>
      <c r="P171" t="n">
        <v>0</v>
      </c>
      <c r="Q171" t="n">
        <v>0</v>
      </c>
      <c r="R171" s="2" t="inlineStr"/>
    </row>
    <row r="172" ht="15" customHeight="1">
      <c r="A172" t="inlineStr">
        <is>
          <t>A 8344-2020</t>
        </is>
      </c>
      <c r="B172" s="1" t="n">
        <v>43875</v>
      </c>
      <c r="C172" s="1" t="n">
        <v>45510</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8692-2020</t>
        </is>
      </c>
      <c r="B173" s="1" t="n">
        <v>43878</v>
      </c>
      <c r="C173" s="1" t="n">
        <v>45510</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8700-2020</t>
        </is>
      </c>
      <c r="B174" s="1" t="n">
        <v>43878</v>
      </c>
      <c r="C174" s="1" t="n">
        <v>45510</v>
      </c>
      <c r="D174" t="inlineStr">
        <is>
          <t>UPPSALA LÄN</t>
        </is>
      </c>
      <c r="E174" t="inlineStr">
        <is>
          <t>ENKÖPING</t>
        </is>
      </c>
      <c r="F174" t="inlineStr">
        <is>
          <t>Kyrkan</t>
        </is>
      </c>
      <c r="G174" t="n">
        <v>1.5</v>
      </c>
      <c r="H174" t="n">
        <v>0</v>
      </c>
      <c r="I174" t="n">
        <v>0</v>
      </c>
      <c r="J174" t="n">
        <v>0</v>
      </c>
      <c r="K174" t="n">
        <v>0</v>
      </c>
      <c r="L174" t="n">
        <v>0</v>
      </c>
      <c r="M174" t="n">
        <v>0</v>
      </c>
      <c r="N174" t="n">
        <v>0</v>
      </c>
      <c r="O174" t="n">
        <v>0</v>
      </c>
      <c r="P174" t="n">
        <v>0</v>
      </c>
      <c r="Q174" t="n">
        <v>0</v>
      </c>
      <c r="R174" s="2" t="inlineStr"/>
    </row>
    <row r="175" ht="15" customHeight="1">
      <c r="A175" t="inlineStr">
        <is>
          <t>A 9122-2020</t>
        </is>
      </c>
      <c r="B175" s="1" t="n">
        <v>43879</v>
      </c>
      <c r="C175" s="1" t="n">
        <v>45510</v>
      </c>
      <c r="D175" t="inlineStr">
        <is>
          <t>UPPSALA LÄN</t>
        </is>
      </c>
      <c r="E175" t="inlineStr">
        <is>
          <t>ENKÖPING</t>
        </is>
      </c>
      <c r="G175" t="n">
        <v>0.9</v>
      </c>
      <c r="H175" t="n">
        <v>0</v>
      </c>
      <c r="I175" t="n">
        <v>0</v>
      </c>
      <c r="J175" t="n">
        <v>0</v>
      </c>
      <c r="K175" t="n">
        <v>0</v>
      </c>
      <c r="L175" t="n">
        <v>0</v>
      </c>
      <c r="M175" t="n">
        <v>0</v>
      </c>
      <c r="N175" t="n">
        <v>0</v>
      </c>
      <c r="O175" t="n">
        <v>0</v>
      </c>
      <c r="P175" t="n">
        <v>0</v>
      </c>
      <c r="Q175" t="n">
        <v>0</v>
      </c>
      <c r="R175" s="2" t="inlineStr"/>
    </row>
    <row r="176" ht="15" customHeight="1">
      <c r="A176" t="inlineStr">
        <is>
          <t>A 9351-2020</t>
        </is>
      </c>
      <c r="B176" s="1" t="n">
        <v>43880</v>
      </c>
      <c r="C176" s="1" t="n">
        <v>45510</v>
      </c>
      <c r="D176" t="inlineStr">
        <is>
          <t>UPPSALA LÄN</t>
        </is>
      </c>
      <c r="E176" t="inlineStr">
        <is>
          <t>ENKÖPING</t>
        </is>
      </c>
      <c r="G176" t="n">
        <v>2.3</v>
      </c>
      <c r="H176" t="n">
        <v>0</v>
      </c>
      <c r="I176" t="n">
        <v>0</v>
      </c>
      <c r="J176" t="n">
        <v>0</v>
      </c>
      <c r="K176" t="n">
        <v>0</v>
      </c>
      <c r="L176" t="n">
        <v>0</v>
      </c>
      <c r="M176" t="n">
        <v>0</v>
      </c>
      <c r="N176" t="n">
        <v>0</v>
      </c>
      <c r="O176" t="n">
        <v>0</v>
      </c>
      <c r="P176" t="n">
        <v>0</v>
      </c>
      <c r="Q176" t="n">
        <v>0</v>
      </c>
      <c r="R176" s="2" t="inlineStr"/>
    </row>
    <row r="177" ht="15" customHeight="1">
      <c r="A177" t="inlineStr">
        <is>
          <t>A 9380-2020</t>
        </is>
      </c>
      <c r="B177" s="1" t="n">
        <v>43880</v>
      </c>
      <c r="C177" s="1" t="n">
        <v>45510</v>
      </c>
      <c r="D177" t="inlineStr">
        <is>
          <t>UPPSALA LÄN</t>
        </is>
      </c>
      <c r="E177" t="inlineStr">
        <is>
          <t>ENKÖPING</t>
        </is>
      </c>
      <c r="G177" t="n">
        <v>1.5</v>
      </c>
      <c r="H177" t="n">
        <v>0</v>
      </c>
      <c r="I177" t="n">
        <v>0</v>
      </c>
      <c r="J177" t="n">
        <v>0</v>
      </c>
      <c r="K177" t="n">
        <v>0</v>
      </c>
      <c r="L177" t="n">
        <v>0</v>
      </c>
      <c r="M177" t="n">
        <v>0</v>
      </c>
      <c r="N177" t="n">
        <v>0</v>
      </c>
      <c r="O177" t="n">
        <v>0</v>
      </c>
      <c r="P177" t="n">
        <v>0</v>
      </c>
      <c r="Q177" t="n">
        <v>0</v>
      </c>
      <c r="R177" s="2" t="inlineStr"/>
    </row>
    <row r="178" ht="15" customHeight="1">
      <c r="A178" t="inlineStr">
        <is>
          <t>A 10795-2020</t>
        </is>
      </c>
      <c r="B178" s="1" t="n">
        <v>43888</v>
      </c>
      <c r="C178" s="1" t="n">
        <v>45510</v>
      </c>
      <c r="D178" t="inlineStr">
        <is>
          <t>UPPSALA LÄN</t>
        </is>
      </c>
      <c r="E178" t="inlineStr">
        <is>
          <t>ENKÖPING</t>
        </is>
      </c>
      <c r="G178" t="n">
        <v>1.9</v>
      </c>
      <c r="H178" t="n">
        <v>0</v>
      </c>
      <c r="I178" t="n">
        <v>0</v>
      </c>
      <c r="J178" t="n">
        <v>0</v>
      </c>
      <c r="K178" t="n">
        <v>0</v>
      </c>
      <c r="L178" t="n">
        <v>0</v>
      </c>
      <c r="M178" t="n">
        <v>0</v>
      </c>
      <c r="N178" t="n">
        <v>0</v>
      </c>
      <c r="O178" t="n">
        <v>0</v>
      </c>
      <c r="P178" t="n">
        <v>0</v>
      </c>
      <c r="Q178" t="n">
        <v>0</v>
      </c>
      <c r="R178" s="2" t="inlineStr"/>
    </row>
    <row r="179" ht="15" customHeight="1">
      <c r="A179" t="inlineStr">
        <is>
          <t>A 11060-2020</t>
        </is>
      </c>
      <c r="B179" s="1" t="n">
        <v>43889</v>
      </c>
      <c r="C179" s="1" t="n">
        <v>45510</v>
      </c>
      <c r="D179" t="inlineStr">
        <is>
          <t>UPPSALA LÄN</t>
        </is>
      </c>
      <c r="E179" t="inlineStr">
        <is>
          <t>ENKÖPING</t>
        </is>
      </c>
      <c r="G179" t="n">
        <v>22.7</v>
      </c>
      <c r="H179" t="n">
        <v>0</v>
      </c>
      <c r="I179" t="n">
        <v>0</v>
      </c>
      <c r="J179" t="n">
        <v>0</v>
      </c>
      <c r="K179" t="n">
        <v>0</v>
      </c>
      <c r="L179" t="n">
        <v>0</v>
      </c>
      <c r="M179" t="n">
        <v>0</v>
      </c>
      <c r="N179" t="n">
        <v>0</v>
      </c>
      <c r="O179" t="n">
        <v>0</v>
      </c>
      <c r="P179" t="n">
        <v>0</v>
      </c>
      <c r="Q179" t="n">
        <v>0</v>
      </c>
      <c r="R179" s="2" t="inlineStr"/>
    </row>
    <row r="180" ht="15" customHeight="1">
      <c r="A180" t="inlineStr">
        <is>
          <t>A 11228-2020</t>
        </is>
      </c>
      <c r="B180" s="1" t="n">
        <v>43892</v>
      </c>
      <c r="C180" s="1" t="n">
        <v>45510</v>
      </c>
      <c r="D180" t="inlineStr">
        <is>
          <t>UPPSALA LÄN</t>
        </is>
      </c>
      <c r="E180" t="inlineStr">
        <is>
          <t>ENKÖPING</t>
        </is>
      </c>
      <c r="G180" t="n">
        <v>3.1</v>
      </c>
      <c r="H180" t="n">
        <v>0</v>
      </c>
      <c r="I180" t="n">
        <v>0</v>
      </c>
      <c r="J180" t="n">
        <v>0</v>
      </c>
      <c r="K180" t="n">
        <v>0</v>
      </c>
      <c r="L180" t="n">
        <v>0</v>
      </c>
      <c r="M180" t="n">
        <v>0</v>
      </c>
      <c r="N180" t="n">
        <v>0</v>
      </c>
      <c r="O180" t="n">
        <v>0</v>
      </c>
      <c r="P180" t="n">
        <v>0</v>
      </c>
      <c r="Q180" t="n">
        <v>0</v>
      </c>
      <c r="R180" s="2" t="inlineStr"/>
    </row>
    <row r="181" ht="15" customHeight="1">
      <c r="A181" t="inlineStr">
        <is>
          <t>A 12272-2020</t>
        </is>
      </c>
      <c r="B181" s="1" t="n">
        <v>43895</v>
      </c>
      <c r="C181" s="1" t="n">
        <v>45510</v>
      </c>
      <c r="D181" t="inlineStr">
        <is>
          <t>UPPSALA LÄN</t>
        </is>
      </c>
      <c r="E181" t="inlineStr">
        <is>
          <t>ENKÖPING</t>
        </is>
      </c>
      <c r="G181" t="n">
        <v>1.3</v>
      </c>
      <c r="H181" t="n">
        <v>0</v>
      </c>
      <c r="I181" t="n">
        <v>0</v>
      </c>
      <c r="J181" t="n">
        <v>0</v>
      </c>
      <c r="K181" t="n">
        <v>0</v>
      </c>
      <c r="L181" t="n">
        <v>0</v>
      </c>
      <c r="M181" t="n">
        <v>0</v>
      </c>
      <c r="N181" t="n">
        <v>0</v>
      </c>
      <c r="O181" t="n">
        <v>0</v>
      </c>
      <c r="P181" t="n">
        <v>0</v>
      </c>
      <c r="Q181" t="n">
        <v>0</v>
      </c>
      <c r="R181" s="2" t="inlineStr"/>
    </row>
    <row r="182" ht="15" customHeight="1">
      <c r="A182" t="inlineStr">
        <is>
          <t>A 16320-2020</t>
        </is>
      </c>
      <c r="B182" s="1" t="n">
        <v>43917</v>
      </c>
      <c r="C182" s="1" t="n">
        <v>45510</v>
      </c>
      <c r="D182" t="inlineStr">
        <is>
          <t>UPPSALA LÄN</t>
        </is>
      </c>
      <c r="E182" t="inlineStr">
        <is>
          <t>ENKÖPING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17888-2020</t>
        </is>
      </c>
      <c r="B183" s="1" t="n">
        <v>43924</v>
      </c>
      <c r="C183" s="1" t="n">
        <v>45510</v>
      </c>
      <c r="D183" t="inlineStr">
        <is>
          <t>UPPSALA LÄN</t>
        </is>
      </c>
      <c r="E183" t="inlineStr">
        <is>
          <t>ENKÖPING</t>
        </is>
      </c>
      <c r="G183" t="n">
        <v>1.4</v>
      </c>
      <c r="H183" t="n">
        <v>0</v>
      </c>
      <c r="I183" t="n">
        <v>0</v>
      </c>
      <c r="J183" t="n">
        <v>0</v>
      </c>
      <c r="K183" t="n">
        <v>0</v>
      </c>
      <c r="L183" t="n">
        <v>0</v>
      </c>
      <c r="M183" t="n">
        <v>0</v>
      </c>
      <c r="N183" t="n">
        <v>0</v>
      </c>
      <c r="O183" t="n">
        <v>0</v>
      </c>
      <c r="P183" t="n">
        <v>0</v>
      </c>
      <c r="Q183" t="n">
        <v>0</v>
      </c>
      <c r="R183" s="2" t="inlineStr"/>
    </row>
    <row r="184" ht="15" customHeight="1">
      <c r="A184" t="inlineStr">
        <is>
          <t>A 18101-2020</t>
        </is>
      </c>
      <c r="B184" s="1" t="n">
        <v>43927</v>
      </c>
      <c r="C184" s="1" t="n">
        <v>45510</v>
      </c>
      <c r="D184" t="inlineStr">
        <is>
          <t>UPPSALA LÄN</t>
        </is>
      </c>
      <c r="E184" t="inlineStr">
        <is>
          <t>ENKÖPING</t>
        </is>
      </c>
      <c r="G184" t="n">
        <v>0.4</v>
      </c>
      <c r="H184" t="n">
        <v>0</v>
      </c>
      <c r="I184" t="n">
        <v>0</v>
      </c>
      <c r="J184" t="n">
        <v>0</v>
      </c>
      <c r="K184" t="n">
        <v>0</v>
      </c>
      <c r="L184" t="n">
        <v>0</v>
      </c>
      <c r="M184" t="n">
        <v>0</v>
      </c>
      <c r="N184" t="n">
        <v>0</v>
      </c>
      <c r="O184" t="n">
        <v>0</v>
      </c>
      <c r="P184" t="n">
        <v>0</v>
      </c>
      <c r="Q184" t="n">
        <v>0</v>
      </c>
      <c r="R184" s="2" t="inlineStr"/>
    </row>
    <row r="185" ht="15" customHeight="1">
      <c r="A185" t="inlineStr">
        <is>
          <t>A 18097-2020</t>
        </is>
      </c>
      <c r="B185" s="1" t="n">
        <v>43927</v>
      </c>
      <c r="C185" s="1" t="n">
        <v>45510</v>
      </c>
      <c r="D185" t="inlineStr">
        <is>
          <t>UPPSALA LÄN</t>
        </is>
      </c>
      <c r="E185" t="inlineStr">
        <is>
          <t>ENKÖPING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18489-2020</t>
        </is>
      </c>
      <c r="B186" s="1" t="n">
        <v>43929</v>
      </c>
      <c r="C186" s="1" t="n">
        <v>45510</v>
      </c>
      <c r="D186" t="inlineStr">
        <is>
          <t>UPPSALA LÄN</t>
        </is>
      </c>
      <c r="E186" t="inlineStr">
        <is>
          <t>ENKÖPING</t>
        </is>
      </c>
      <c r="G186" t="n">
        <v>2.7</v>
      </c>
      <c r="H186" t="n">
        <v>0</v>
      </c>
      <c r="I186" t="n">
        <v>0</v>
      </c>
      <c r="J186" t="n">
        <v>0</v>
      </c>
      <c r="K186" t="n">
        <v>0</v>
      </c>
      <c r="L186" t="n">
        <v>0</v>
      </c>
      <c r="M186" t="n">
        <v>0</v>
      </c>
      <c r="N186" t="n">
        <v>0</v>
      </c>
      <c r="O186" t="n">
        <v>0</v>
      </c>
      <c r="P186" t="n">
        <v>0</v>
      </c>
      <c r="Q186" t="n">
        <v>0</v>
      </c>
      <c r="R186" s="2" t="inlineStr"/>
    </row>
    <row r="187" ht="15" customHeight="1">
      <c r="A187" t="inlineStr">
        <is>
          <t>A 18486-2020</t>
        </is>
      </c>
      <c r="B187" s="1" t="n">
        <v>43929</v>
      </c>
      <c r="C187" s="1" t="n">
        <v>45510</v>
      </c>
      <c r="D187" t="inlineStr">
        <is>
          <t>UPPSALA LÄN</t>
        </is>
      </c>
      <c r="E187" t="inlineStr">
        <is>
          <t>ENKÖPING</t>
        </is>
      </c>
      <c r="G187" t="n">
        <v>2.4</v>
      </c>
      <c r="H187" t="n">
        <v>0</v>
      </c>
      <c r="I187" t="n">
        <v>0</v>
      </c>
      <c r="J187" t="n">
        <v>0</v>
      </c>
      <c r="K187" t="n">
        <v>0</v>
      </c>
      <c r="L187" t="n">
        <v>0</v>
      </c>
      <c r="M187" t="n">
        <v>0</v>
      </c>
      <c r="N187" t="n">
        <v>0</v>
      </c>
      <c r="O187" t="n">
        <v>0</v>
      </c>
      <c r="P187" t="n">
        <v>0</v>
      </c>
      <c r="Q187" t="n">
        <v>0</v>
      </c>
      <c r="R187" s="2" t="inlineStr"/>
    </row>
    <row r="188" ht="15" customHeight="1">
      <c r="A188" t="inlineStr">
        <is>
          <t>A 19499-2020</t>
        </is>
      </c>
      <c r="B188" s="1" t="n">
        <v>43938</v>
      </c>
      <c r="C188" s="1" t="n">
        <v>45510</v>
      </c>
      <c r="D188" t="inlineStr">
        <is>
          <t>UPPSALA LÄN</t>
        </is>
      </c>
      <c r="E188" t="inlineStr">
        <is>
          <t>ENKÖPING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19463-2020</t>
        </is>
      </c>
      <c r="B189" s="1" t="n">
        <v>43938</v>
      </c>
      <c r="C189" s="1" t="n">
        <v>45510</v>
      </c>
      <c r="D189" t="inlineStr">
        <is>
          <t>UPPSALA LÄN</t>
        </is>
      </c>
      <c r="E189" t="inlineStr">
        <is>
          <t>ENKÖPING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20286-2020</t>
        </is>
      </c>
      <c r="B190" s="1" t="n">
        <v>43945</v>
      </c>
      <c r="C190" s="1" t="n">
        <v>45510</v>
      </c>
      <c r="D190" t="inlineStr">
        <is>
          <t>UPPSALA LÄN</t>
        </is>
      </c>
      <c r="E190" t="inlineStr">
        <is>
          <t>ENKÖPING</t>
        </is>
      </c>
      <c r="G190" t="n">
        <v>1.2</v>
      </c>
      <c r="H190" t="n">
        <v>0</v>
      </c>
      <c r="I190" t="n">
        <v>0</v>
      </c>
      <c r="J190" t="n">
        <v>0</v>
      </c>
      <c r="K190" t="n">
        <v>0</v>
      </c>
      <c r="L190" t="n">
        <v>0</v>
      </c>
      <c r="M190" t="n">
        <v>0</v>
      </c>
      <c r="N190" t="n">
        <v>0</v>
      </c>
      <c r="O190" t="n">
        <v>0</v>
      </c>
      <c r="P190" t="n">
        <v>0</v>
      </c>
      <c r="Q190" t="n">
        <v>0</v>
      </c>
      <c r="R190" s="2" t="inlineStr"/>
    </row>
    <row r="191" ht="15" customHeight="1">
      <c r="A191" t="inlineStr">
        <is>
          <t>A 20552-2020</t>
        </is>
      </c>
      <c r="B191" s="1" t="n">
        <v>43948</v>
      </c>
      <c r="C191" s="1" t="n">
        <v>45510</v>
      </c>
      <c r="D191" t="inlineStr">
        <is>
          <t>UPPSALA LÄN</t>
        </is>
      </c>
      <c r="E191" t="inlineStr">
        <is>
          <t>ENKÖPING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21573-2020</t>
        </is>
      </c>
      <c r="B192" s="1" t="n">
        <v>43956</v>
      </c>
      <c r="C192" s="1" t="n">
        <v>45510</v>
      </c>
      <c r="D192" t="inlineStr">
        <is>
          <t>UPPSALA LÄN</t>
        </is>
      </c>
      <c r="E192" t="inlineStr">
        <is>
          <t>ENKÖPING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21651-2020</t>
        </is>
      </c>
      <c r="B193" s="1" t="n">
        <v>43957</v>
      </c>
      <c r="C193" s="1" t="n">
        <v>45510</v>
      </c>
      <c r="D193" t="inlineStr">
        <is>
          <t>UPPSALA LÄN</t>
        </is>
      </c>
      <c r="E193" t="inlineStr">
        <is>
          <t>ENKÖPING</t>
        </is>
      </c>
      <c r="G193" t="n">
        <v>0.5</v>
      </c>
      <c r="H193" t="n">
        <v>0</v>
      </c>
      <c r="I193" t="n">
        <v>0</v>
      </c>
      <c r="J193" t="n">
        <v>0</v>
      </c>
      <c r="K193" t="n">
        <v>0</v>
      </c>
      <c r="L193" t="n">
        <v>0</v>
      </c>
      <c r="M193" t="n">
        <v>0</v>
      </c>
      <c r="N193" t="n">
        <v>0</v>
      </c>
      <c r="O193" t="n">
        <v>0</v>
      </c>
      <c r="P193" t="n">
        <v>0</v>
      </c>
      <c r="Q193" t="n">
        <v>0</v>
      </c>
      <c r="R193" s="2" t="inlineStr"/>
    </row>
    <row r="194" ht="15" customHeight="1">
      <c r="A194" t="inlineStr">
        <is>
          <t>A 21666-2020</t>
        </is>
      </c>
      <c r="B194" s="1" t="n">
        <v>43957</v>
      </c>
      <c r="C194" s="1" t="n">
        <v>45510</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21896-2020</t>
        </is>
      </c>
      <c r="B195" s="1" t="n">
        <v>43958</v>
      </c>
      <c r="C195" s="1" t="n">
        <v>45510</v>
      </c>
      <c r="D195" t="inlineStr">
        <is>
          <t>UPPSALA LÄN</t>
        </is>
      </c>
      <c r="E195" t="inlineStr">
        <is>
          <t>ENKÖPING</t>
        </is>
      </c>
      <c r="G195" t="n">
        <v>0.3</v>
      </c>
      <c r="H195" t="n">
        <v>0</v>
      </c>
      <c r="I195" t="n">
        <v>0</v>
      </c>
      <c r="J195" t="n">
        <v>0</v>
      </c>
      <c r="K195" t="n">
        <v>0</v>
      </c>
      <c r="L195" t="n">
        <v>0</v>
      </c>
      <c r="M195" t="n">
        <v>0</v>
      </c>
      <c r="N195" t="n">
        <v>0</v>
      </c>
      <c r="O195" t="n">
        <v>0</v>
      </c>
      <c r="P195" t="n">
        <v>0</v>
      </c>
      <c r="Q195" t="n">
        <v>0</v>
      </c>
      <c r="R195" s="2" t="inlineStr"/>
    </row>
    <row r="196" ht="15" customHeight="1">
      <c r="A196" t="inlineStr">
        <is>
          <t>A 22772-2020</t>
        </is>
      </c>
      <c r="B196" s="1" t="n">
        <v>43964</v>
      </c>
      <c r="C196" s="1" t="n">
        <v>45510</v>
      </c>
      <c r="D196" t="inlineStr">
        <is>
          <t>UPPSALA LÄN</t>
        </is>
      </c>
      <c r="E196" t="inlineStr">
        <is>
          <t>ENKÖPING</t>
        </is>
      </c>
      <c r="G196" t="n">
        <v>0.6</v>
      </c>
      <c r="H196" t="n">
        <v>0</v>
      </c>
      <c r="I196" t="n">
        <v>0</v>
      </c>
      <c r="J196" t="n">
        <v>0</v>
      </c>
      <c r="K196" t="n">
        <v>0</v>
      </c>
      <c r="L196" t="n">
        <v>0</v>
      </c>
      <c r="M196" t="n">
        <v>0</v>
      </c>
      <c r="N196" t="n">
        <v>0</v>
      </c>
      <c r="O196" t="n">
        <v>0</v>
      </c>
      <c r="P196" t="n">
        <v>0</v>
      </c>
      <c r="Q196" t="n">
        <v>0</v>
      </c>
      <c r="R196" s="2" t="inlineStr"/>
    </row>
    <row r="197" ht="15" customHeight="1">
      <c r="A197" t="inlineStr">
        <is>
          <t>A 22816-2020</t>
        </is>
      </c>
      <c r="B197" s="1" t="n">
        <v>43964</v>
      </c>
      <c r="C197" s="1" t="n">
        <v>45510</v>
      </c>
      <c r="D197" t="inlineStr">
        <is>
          <t>UPPSALA LÄN</t>
        </is>
      </c>
      <c r="E197" t="inlineStr">
        <is>
          <t>ENKÖPING</t>
        </is>
      </c>
      <c r="G197" t="n">
        <v>3.3</v>
      </c>
      <c r="H197" t="n">
        <v>0</v>
      </c>
      <c r="I197" t="n">
        <v>0</v>
      </c>
      <c r="J197" t="n">
        <v>0</v>
      </c>
      <c r="K197" t="n">
        <v>0</v>
      </c>
      <c r="L197" t="n">
        <v>0</v>
      </c>
      <c r="M197" t="n">
        <v>0</v>
      </c>
      <c r="N197" t="n">
        <v>0</v>
      </c>
      <c r="O197" t="n">
        <v>0</v>
      </c>
      <c r="P197" t="n">
        <v>0</v>
      </c>
      <c r="Q197" t="n">
        <v>0</v>
      </c>
      <c r="R197" s="2" t="inlineStr"/>
    </row>
    <row r="198" ht="15" customHeight="1">
      <c r="A198" t="inlineStr">
        <is>
          <t>A 22970-2020</t>
        </is>
      </c>
      <c r="B198" s="1" t="n">
        <v>43965</v>
      </c>
      <c r="C198" s="1" t="n">
        <v>45510</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23782-2020</t>
        </is>
      </c>
      <c r="B199" s="1" t="n">
        <v>43970</v>
      </c>
      <c r="C199" s="1" t="n">
        <v>45510</v>
      </c>
      <c r="D199" t="inlineStr">
        <is>
          <t>UPPSALA LÄN</t>
        </is>
      </c>
      <c r="E199" t="inlineStr">
        <is>
          <t>ENKÖPING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23809-2020</t>
        </is>
      </c>
      <c r="B200" s="1" t="n">
        <v>43970</v>
      </c>
      <c r="C200" s="1" t="n">
        <v>45510</v>
      </c>
      <c r="D200" t="inlineStr">
        <is>
          <t>UPPSALA LÄN</t>
        </is>
      </c>
      <c r="E200" t="inlineStr">
        <is>
          <t>ENKÖPING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23808-2020</t>
        </is>
      </c>
      <c r="B201" s="1" t="n">
        <v>43970</v>
      </c>
      <c r="C201" s="1" t="n">
        <v>45510</v>
      </c>
      <c r="D201" t="inlineStr">
        <is>
          <t>UPPSALA LÄN</t>
        </is>
      </c>
      <c r="E201" t="inlineStr">
        <is>
          <t>ENKÖPING</t>
        </is>
      </c>
      <c r="G201" t="n">
        <v>2.2</v>
      </c>
      <c r="H201" t="n">
        <v>0</v>
      </c>
      <c r="I201" t="n">
        <v>0</v>
      </c>
      <c r="J201" t="n">
        <v>0</v>
      </c>
      <c r="K201" t="n">
        <v>0</v>
      </c>
      <c r="L201" t="n">
        <v>0</v>
      </c>
      <c r="M201" t="n">
        <v>0</v>
      </c>
      <c r="N201" t="n">
        <v>0</v>
      </c>
      <c r="O201" t="n">
        <v>0</v>
      </c>
      <c r="P201" t="n">
        <v>0</v>
      </c>
      <c r="Q201" t="n">
        <v>0</v>
      </c>
      <c r="R201" s="2" t="inlineStr"/>
    </row>
    <row r="202" ht="15" customHeight="1">
      <c r="A202" t="inlineStr">
        <is>
          <t>A 24476-2020</t>
        </is>
      </c>
      <c r="B202" s="1" t="n">
        <v>43977</v>
      </c>
      <c r="C202" s="1" t="n">
        <v>45510</v>
      </c>
      <c r="D202" t="inlineStr">
        <is>
          <t>UPPSALA LÄN</t>
        </is>
      </c>
      <c r="E202" t="inlineStr">
        <is>
          <t>ENKÖPING</t>
        </is>
      </c>
      <c r="G202" t="n">
        <v>1</v>
      </c>
      <c r="H202" t="n">
        <v>0</v>
      </c>
      <c r="I202" t="n">
        <v>0</v>
      </c>
      <c r="J202" t="n">
        <v>0</v>
      </c>
      <c r="K202" t="n">
        <v>0</v>
      </c>
      <c r="L202" t="n">
        <v>0</v>
      </c>
      <c r="M202" t="n">
        <v>0</v>
      </c>
      <c r="N202" t="n">
        <v>0</v>
      </c>
      <c r="O202" t="n">
        <v>0</v>
      </c>
      <c r="P202" t="n">
        <v>0</v>
      </c>
      <c r="Q202" t="n">
        <v>0</v>
      </c>
      <c r="R202" s="2" t="inlineStr"/>
    </row>
    <row r="203" ht="15" customHeight="1">
      <c r="A203" t="inlineStr">
        <is>
          <t>A 24496-2020</t>
        </is>
      </c>
      <c r="B203" s="1" t="n">
        <v>43977</v>
      </c>
      <c r="C203" s="1" t="n">
        <v>45510</v>
      </c>
      <c r="D203" t="inlineStr">
        <is>
          <t>UPPSALA LÄN</t>
        </is>
      </c>
      <c r="E203" t="inlineStr">
        <is>
          <t>ENKÖPING</t>
        </is>
      </c>
      <c r="G203" t="n">
        <v>2.4</v>
      </c>
      <c r="H203" t="n">
        <v>0</v>
      </c>
      <c r="I203" t="n">
        <v>0</v>
      </c>
      <c r="J203" t="n">
        <v>0</v>
      </c>
      <c r="K203" t="n">
        <v>0</v>
      </c>
      <c r="L203" t="n">
        <v>0</v>
      </c>
      <c r="M203" t="n">
        <v>0</v>
      </c>
      <c r="N203" t="n">
        <v>0</v>
      </c>
      <c r="O203" t="n">
        <v>0</v>
      </c>
      <c r="P203" t="n">
        <v>0</v>
      </c>
      <c r="Q203" t="n">
        <v>0</v>
      </c>
      <c r="R203" s="2" t="inlineStr"/>
    </row>
    <row r="204" ht="15" customHeight="1">
      <c r="A204" t="inlineStr">
        <is>
          <t>A 25081-2020</t>
        </is>
      </c>
      <c r="B204" s="1" t="n">
        <v>43979</v>
      </c>
      <c r="C204" s="1" t="n">
        <v>45510</v>
      </c>
      <c r="D204" t="inlineStr">
        <is>
          <t>UPPSALA LÄN</t>
        </is>
      </c>
      <c r="E204" t="inlineStr">
        <is>
          <t>ENKÖPING</t>
        </is>
      </c>
      <c r="G204" t="n">
        <v>5.5</v>
      </c>
      <c r="H204" t="n">
        <v>0</v>
      </c>
      <c r="I204" t="n">
        <v>0</v>
      </c>
      <c r="J204" t="n">
        <v>0</v>
      </c>
      <c r="K204" t="n">
        <v>0</v>
      </c>
      <c r="L204" t="n">
        <v>0</v>
      </c>
      <c r="M204" t="n">
        <v>0</v>
      </c>
      <c r="N204" t="n">
        <v>0</v>
      </c>
      <c r="O204" t="n">
        <v>0</v>
      </c>
      <c r="P204" t="n">
        <v>0</v>
      </c>
      <c r="Q204" t="n">
        <v>0</v>
      </c>
      <c r="R204" s="2" t="inlineStr"/>
    </row>
    <row r="205" ht="15" customHeight="1">
      <c r="A205" t="inlineStr">
        <is>
          <t>A 25895-2020</t>
        </is>
      </c>
      <c r="B205" s="1" t="n">
        <v>43984</v>
      </c>
      <c r="C205" s="1" t="n">
        <v>45510</v>
      </c>
      <c r="D205" t="inlineStr">
        <is>
          <t>UPPSALA LÄN</t>
        </is>
      </c>
      <c r="E205" t="inlineStr">
        <is>
          <t>ENKÖPING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26032-2020</t>
        </is>
      </c>
      <c r="B206" s="1" t="n">
        <v>43985</v>
      </c>
      <c r="C206" s="1" t="n">
        <v>45510</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26151-2020</t>
        </is>
      </c>
      <c r="B207" s="1" t="n">
        <v>43985</v>
      </c>
      <c r="C207" s="1" t="n">
        <v>45510</v>
      </c>
      <c r="D207" t="inlineStr">
        <is>
          <t>UPPSALA LÄN</t>
        </is>
      </c>
      <c r="E207" t="inlineStr">
        <is>
          <t>ENKÖPING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26860-2020</t>
        </is>
      </c>
      <c r="B208" s="1" t="n">
        <v>43990</v>
      </c>
      <c r="C208" s="1" t="n">
        <v>45510</v>
      </c>
      <c r="D208" t="inlineStr">
        <is>
          <t>UPPSALA LÄN</t>
        </is>
      </c>
      <c r="E208" t="inlineStr">
        <is>
          <t>ENKÖPING</t>
        </is>
      </c>
      <c r="G208" t="n">
        <v>3.7</v>
      </c>
      <c r="H208" t="n">
        <v>0</v>
      </c>
      <c r="I208" t="n">
        <v>0</v>
      </c>
      <c r="J208" t="n">
        <v>0</v>
      </c>
      <c r="K208" t="n">
        <v>0</v>
      </c>
      <c r="L208" t="n">
        <v>0</v>
      </c>
      <c r="M208" t="n">
        <v>0</v>
      </c>
      <c r="N208" t="n">
        <v>0</v>
      </c>
      <c r="O208" t="n">
        <v>0</v>
      </c>
      <c r="P208" t="n">
        <v>0</v>
      </c>
      <c r="Q208" t="n">
        <v>0</v>
      </c>
      <c r="R208" s="2" t="inlineStr"/>
    </row>
    <row r="209" ht="15" customHeight="1">
      <c r="A209" t="inlineStr">
        <is>
          <t>A 28799-2020</t>
        </is>
      </c>
      <c r="B209" s="1" t="n">
        <v>44000</v>
      </c>
      <c r="C209" s="1" t="n">
        <v>45510</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28801-2020</t>
        </is>
      </c>
      <c r="B210" s="1" t="n">
        <v>44000</v>
      </c>
      <c r="C210" s="1" t="n">
        <v>45510</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29934-2020</t>
        </is>
      </c>
      <c r="B211" s="1" t="n">
        <v>44006</v>
      </c>
      <c r="C211" s="1" t="n">
        <v>45510</v>
      </c>
      <c r="D211" t="inlineStr">
        <is>
          <t>UPPSALA LÄN</t>
        </is>
      </c>
      <c r="E211" t="inlineStr">
        <is>
          <t>ENKÖPING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29948-2020</t>
        </is>
      </c>
      <c r="B212" s="1" t="n">
        <v>44006</v>
      </c>
      <c r="C212" s="1" t="n">
        <v>45510</v>
      </c>
      <c r="D212" t="inlineStr">
        <is>
          <t>UPPSALA LÄN</t>
        </is>
      </c>
      <c r="E212" t="inlineStr">
        <is>
          <t>ENKÖPING</t>
        </is>
      </c>
      <c r="G212" t="n">
        <v>1.1</v>
      </c>
      <c r="H212" t="n">
        <v>0</v>
      </c>
      <c r="I212" t="n">
        <v>0</v>
      </c>
      <c r="J212" t="n">
        <v>0</v>
      </c>
      <c r="K212" t="n">
        <v>0</v>
      </c>
      <c r="L212" t="n">
        <v>0</v>
      </c>
      <c r="M212" t="n">
        <v>0</v>
      </c>
      <c r="N212" t="n">
        <v>0</v>
      </c>
      <c r="O212" t="n">
        <v>0</v>
      </c>
      <c r="P212" t="n">
        <v>0</v>
      </c>
      <c r="Q212" t="n">
        <v>0</v>
      </c>
      <c r="R212" s="2" t="inlineStr"/>
    </row>
    <row r="213" ht="15" customHeight="1">
      <c r="A213" t="inlineStr">
        <is>
          <t>A 30280-2020</t>
        </is>
      </c>
      <c r="B213" s="1" t="n">
        <v>44007</v>
      </c>
      <c r="C213" s="1" t="n">
        <v>45510</v>
      </c>
      <c r="D213" t="inlineStr">
        <is>
          <t>UPPSALA LÄN</t>
        </is>
      </c>
      <c r="E213" t="inlineStr">
        <is>
          <t>ENKÖPING</t>
        </is>
      </c>
      <c r="G213" t="n">
        <v>1.4</v>
      </c>
      <c r="H213" t="n">
        <v>0</v>
      </c>
      <c r="I213" t="n">
        <v>0</v>
      </c>
      <c r="J213" t="n">
        <v>0</v>
      </c>
      <c r="K213" t="n">
        <v>0</v>
      </c>
      <c r="L213" t="n">
        <v>0</v>
      </c>
      <c r="M213" t="n">
        <v>0</v>
      </c>
      <c r="N213" t="n">
        <v>0</v>
      </c>
      <c r="O213" t="n">
        <v>0</v>
      </c>
      <c r="P213" t="n">
        <v>0</v>
      </c>
      <c r="Q213" t="n">
        <v>0</v>
      </c>
      <c r="R213" s="2" t="inlineStr"/>
    </row>
    <row r="214" ht="15" customHeight="1">
      <c r="A214" t="inlineStr">
        <is>
          <t>A 30571-2020</t>
        </is>
      </c>
      <c r="B214" s="1" t="n">
        <v>44008</v>
      </c>
      <c r="C214" s="1" t="n">
        <v>45510</v>
      </c>
      <c r="D214" t="inlineStr">
        <is>
          <t>UPPSALA LÄN</t>
        </is>
      </c>
      <c r="E214" t="inlineStr">
        <is>
          <t>ENKÖPING</t>
        </is>
      </c>
      <c r="G214" t="n">
        <v>8.9</v>
      </c>
      <c r="H214" t="n">
        <v>0</v>
      </c>
      <c r="I214" t="n">
        <v>0</v>
      </c>
      <c r="J214" t="n">
        <v>0</v>
      </c>
      <c r="K214" t="n">
        <v>0</v>
      </c>
      <c r="L214" t="n">
        <v>0</v>
      </c>
      <c r="M214" t="n">
        <v>0</v>
      </c>
      <c r="N214" t="n">
        <v>0</v>
      </c>
      <c r="O214" t="n">
        <v>0</v>
      </c>
      <c r="P214" t="n">
        <v>0</v>
      </c>
      <c r="Q214" t="n">
        <v>0</v>
      </c>
      <c r="R214" s="2" t="inlineStr"/>
    </row>
    <row r="215" ht="15" customHeight="1">
      <c r="A215" t="inlineStr">
        <is>
          <t>A 31472-2020</t>
        </is>
      </c>
      <c r="B215" s="1" t="n">
        <v>44013</v>
      </c>
      <c r="C215" s="1" t="n">
        <v>45510</v>
      </c>
      <c r="D215" t="inlineStr">
        <is>
          <t>UPPSALA LÄN</t>
        </is>
      </c>
      <c r="E215" t="inlineStr">
        <is>
          <t>ENKÖPING</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31473-2020</t>
        </is>
      </c>
      <c r="B216" s="1" t="n">
        <v>44013</v>
      </c>
      <c r="C216" s="1" t="n">
        <v>45510</v>
      </c>
      <c r="D216" t="inlineStr">
        <is>
          <t>UPPSALA LÄN</t>
        </is>
      </c>
      <c r="E216" t="inlineStr">
        <is>
          <t>ENKÖPING</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32209-2020</t>
        </is>
      </c>
      <c r="B217" s="1" t="n">
        <v>44015</v>
      </c>
      <c r="C217" s="1" t="n">
        <v>45510</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32047-2020</t>
        </is>
      </c>
      <c r="B218" s="1" t="n">
        <v>44015</v>
      </c>
      <c r="C218" s="1" t="n">
        <v>45510</v>
      </c>
      <c r="D218" t="inlineStr">
        <is>
          <t>UPPSALA LÄN</t>
        </is>
      </c>
      <c r="E218" t="inlineStr">
        <is>
          <t>ENKÖPING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32454-2020</t>
        </is>
      </c>
      <c r="B219" s="1" t="n">
        <v>44018</v>
      </c>
      <c r="C219" s="1" t="n">
        <v>45510</v>
      </c>
      <c r="D219" t="inlineStr">
        <is>
          <t>UPPSALA LÄN</t>
        </is>
      </c>
      <c r="E219" t="inlineStr">
        <is>
          <t>ENKÖPING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32497-2020</t>
        </is>
      </c>
      <c r="B220" s="1" t="n">
        <v>44018</v>
      </c>
      <c r="C220" s="1" t="n">
        <v>45510</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33585-2020</t>
        </is>
      </c>
      <c r="B221" s="1" t="n">
        <v>44022</v>
      </c>
      <c r="C221" s="1" t="n">
        <v>45510</v>
      </c>
      <c r="D221" t="inlineStr">
        <is>
          <t>UPPSALA LÄN</t>
        </is>
      </c>
      <c r="E221" t="inlineStr">
        <is>
          <t>ENKÖPING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37738-2020</t>
        </is>
      </c>
      <c r="B222" s="1" t="n">
        <v>44056</v>
      </c>
      <c r="C222" s="1" t="n">
        <v>45510</v>
      </c>
      <c r="D222" t="inlineStr">
        <is>
          <t>UPPSALA LÄN</t>
        </is>
      </c>
      <c r="E222" t="inlineStr">
        <is>
          <t>ENKÖPING</t>
        </is>
      </c>
      <c r="G222" t="n">
        <v>0.5</v>
      </c>
      <c r="H222" t="n">
        <v>0</v>
      </c>
      <c r="I222" t="n">
        <v>0</v>
      </c>
      <c r="J222" t="n">
        <v>0</v>
      </c>
      <c r="K222" t="n">
        <v>0</v>
      </c>
      <c r="L222" t="n">
        <v>0</v>
      </c>
      <c r="M222" t="n">
        <v>0</v>
      </c>
      <c r="N222" t="n">
        <v>0</v>
      </c>
      <c r="O222" t="n">
        <v>0</v>
      </c>
      <c r="P222" t="n">
        <v>0</v>
      </c>
      <c r="Q222" t="n">
        <v>0</v>
      </c>
      <c r="R222" s="2" t="inlineStr"/>
    </row>
    <row r="223" ht="15" customHeight="1">
      <c r="A223" t="inlineStr">
        <is>
          <t>A 39935-2020</t>
        </is>
      </c>
      <c r="B223" s="1" t="n">
        <v>44067</v>
      </c>
      <c r="C223" s="1" t="n">
        <v>45510</v>
      </c>
      <c r="D223" t="inlineStr">
        <is>
          <t>UPPSALA LÄN</t>
        </is>
      </c>
      <c r="E223" t="inlineStr">
        <is>
          <t>ENKÖPING</t>
        </is>
      </c>
      <c r="G223" t="n">
        <v>4.2</v>
      </c>
      <c r="H223" t="n">
        <v>0</v>
      </c>
      <c r="I223" t="n">
        <v>0</v>
      </c>
      <c r="J223" t="n">
        <v>0</v>
      </c>
      <c r="K223" t="n">
        <v>0</v>
      </c>
      <c r="L223" t="n">
        <v>0</v>
      </c>
      <c r="M223" t="n">
        <v>0</v>
      </c>
      <c r="N223" t="n">
        <v>0</v>
      </c>
      <c r="O223" t="n">
        <v>0</v>
      </c>
      <c r="P223" t="n">
        <v>0</v>
      </c>
      <c r="Q223" t="n">
        <v>0</v>
      </c>
      <c r="R223" s="2" t="inlineStr"/>
    </row>
    <row r="224" ht="15" customHeight="1">
      <c r="A224" t="inlineStr">
        <is>
          <t>A 45378-2020</t>
        </is>
      </c>
      <c r="B224" s="1" t="n">
        <v>44089</v>
      </c>
      <c r="C224" s="1" t="n">
        <v>45510</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46593-2020</t>
        </is>
      </c>
      <c r="B225" s="1" t="n">
        <v>44095</v>
      </c>
      <c r="C225" s="1" t="n">
        <v>45510</v>
      </c>
      <c r="D225" t="inlineStr">
        <is>
          <t>UPPSALA LÄN</t>
        </is>
      </c>
      <c r="E225" t="inlineStr">
        <is>
          <t>ENKÖPING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48362-2020</t>
        </is>
      </c>
      <c r="B226" s="1" t="n">
        <v>44102</v>
      </c>
      <c r="C226" s="1" t="n">
        <v>45510</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48484-2020</t>
        </is>
      </c>
      <c r="B227" s="1" t="n">
        <v>44103</v>
      </c>
      <c r="C227" s="1" t="n">
        <v>45510</v>
      </c>
      <c r="D227" t="inlineStr">
        <is>
          <t>UPPSALA LÄN</t>
        </is>
      </c>
      <c r="E227" t="inlineStr">
        <is>
          <t>ENKÖPING</t>
        </is>
      </c>
      <c r="G227" t="n">
        <v>1.6</v>
      </c>
      <c r="H227" t="n">
        <v>0</v>
      </c>
      <c r="I227" t="n">
        <v>0</v>
      </c>
      <c r="J227" t="n">
        <v>0</v>
      </c>
      <c r="K227" t="n">
        <v>0</v>
      </c>
      <c r="L227" t="n">
        <v>0</v>
      </c>
      <c r="M227" t="n">
        <v>0</v>
      </c>
      <c r="N227" t="n">
        <v>0</v>
      </c>
      <c r="O227" t="n">
        <v>0</v>
      </c>
      <c r="P227" t="n">
        <v>0</v>
      </c>
      <c r="Q227" t="n">
        <v>0</v>
      </c>
      <c r="R227" s="2" t="inlineStr"/>
    </row>
    <row r="228" ht="15" customHeight="1">
      <c r="A228" t="inlineStr">
        <is>
          <t>A 51400-2020</t>
        </is>
      </c>
      <c r="B228" s="1" t="n">
        <v>44106</v>
      </c>
      <c r="C228" s="1" t="n">
        <v>45510</v>
      </c>
      <c r="D228" t="inlineStr">
        <is>
          <t>UPPSALA LÄN</t>
        </is>
      </c>
      <c r="E228" t="inlineStr">
        <is>
          <t>ENKÖPING</t>
        </is>
      </c>
      <c r="G228" t="n">
        <v>1.2</v>
      </c>
      <c r="H228" t="n">
        <v>0</v>
      </c>
      <c r="I228" t="n">
        <v>0</v>
      </c>
      <c r="J228" t="n">
        <v>0</v>
      </c>
      <c r="K228" t="n">
        <v>0</v>
      </c>
      <c r="L228" t="n">
        <v>0</v>
      </c>
      <c r="M228" t="n">
        <v>0</v>
      </c>
      <c r="N228" t="n">
        <v>0</v>
      </c>
      <c r="O228" t="n">
        <v>0</v>
      </c>
      <c r="P228" t="n">
        <v>0</v>
      </c>
      <c r="Q228" t="n">
        <v>0</v>
      </c>
      <c r="R228" s="2" t="inlineStr"/>
    </row>
    <row r="229" ht="15" customHeight="1">
      <c r="A229" t="inlineStr">
        <is>
          <t>A 51092-2020</t>
        </is>
      </c>
      <c r="B229" s="1" t="n">
        <v>44112</v>
      </c>
      <c r="C229" s="1" t="n">
        <v>45510</v>
      </c>
      <c r="D229" t="inlineStr">
        <is>
          <t>UPPSALA LÄN</t>
        </is>
      </c>
      <c r="E229" t="inlineStr">
        <is>
          <t>ENKÖPING</t>
        </is>
      </c>
      <c r="G229" t="n">
        <v>1.2</v>
      </c>
      <c r="H229" t="n">
        <v>0</v>
      </c>
      <c r="I229" t="n">
        <v>0</v>
      </c>
      <c r="J229" t="n">
        <v>0</v>
      </c>
      <c r="K229" t="n">
        <v>0</v>
      </c>
      <c r="L229" t="n">
        <v>0</v>
      </c>
      <c r="M229" t="n">
        <v>0</v>
      </c>
      <c r="N229" t="n">
        <v>0</v>
      </c>
      <c r="O229" t="n">
        <v>0</v>
      </c>
      <c r="P229" t="n">
        <v>0</v>
      </c>
      <c r="Q229" t="n">
        <v>0</v>
      </c>
      <c r="R229" s="2" t="inlineStr"/>
    </row>
    <row r="230" ht="15" customHeight="1">
      <c r="A230" t="inlineStr">
        <is>
          <t>A 51091-2020</t>
        </is>
      </c>
      <c r="B230" s="1" t="n">
        <v>44112</v>
      </c>
      <c r="C230" s="1" t="n">
        <v>45510</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52308-2020</t>
        </is>
      </c>
      <c r="B231" s="1" t="n">
        <v>44117</v>
      </c>
      <c r="C231" s="1" t="n">
        <v>45510</v>
      </c>
      <c r="D231" t="inlineStr">
        <is>
          <t>UPPSALA LÄN</t>
        </is>
      </c>
      <c r="E231" t="inlineStr">
        <is>
          <t>ENKÖPING</t>
        </is>
      </c>
      <c r="G231" t="n">
        <v>0.3</v>
      </c>
      <c r="H231" t="n">
        <v>0</v>
      </c>
      <c r="I231" t="n">
        <v>0</v>
      </c>
      <c r="J231" t="n">
        <v>0</v>
      </c>
      <c r="K231" t="n">
        <v>0</v>
      </c>
      <c r="L231" t="n">
        <v>0</v>
      </c>
      <c r="M231" t="n">
        <v>0</v>
      </c>
      <c r="N231" t="n">
        <v>0</v>
      </c>
      <c r="O231" t="n">
        <v>0</v>
      </c>
      <c r="P231" t="n">
        <v>0</v>
      </c>
      <c r="Q231" t="n">
        <v>0</v>
      </c>
      <c r="R231" s="2" t="inlineStr"/>
    </row>
    <row r="232" ht="15" customHeight="1">
      <c r="A232" t="inlineStr">
        <is>
          <t>A 52102-2020</t>
        </is>
      </c>
      <c r="B232" s="1" t="n">
        <v>44117</v>
      </c>
      <c r="C232" s="1" t="n">
        <v>45510</v>
      </c>
      <c r="D232" t="inlineStr">
        <is>
          <t>UPPSALA LÄN</t>
        </is>
      </c>
      <c r="E232" t="inlineStr">
        <is>
          <t>ENKÖPING</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52169-2020</t>
        </is>
      </c>
      <c r="B233" s="1" t="n">
        <v>44117</v>
      </c>
      <c r="C233" s="1" t="n">
        <v>45510</v>
      </c>
      <c r="D233" t="inlineStr">
        <is>
          <t>UPPSALA LÄN</t>
        </is>
      </c>
      <c r="E233" t="inlineStr">
        <is>
          <t>ENKÖPING</t>
        </is>
      </c>
      <c r="F233" t="inlineStr">
        <is>
          <t>Allmännings- och besparingsskogar</t>
        </is>
      </c>
      <c r="G233" t="n">
        <v>1.5</v>
      </c>
      <c r="H233" t="n">
        <v>0</v>
      </c>
      <c r="I233" t="n">
        <v>0</v>
      </c>
      <c r="J233" t="n">
        <v>0</v>
      </c>
      <c r="K233" t="n">
        <v>0</v>
      </c>
      <c r="L233" t="n">
        <v>0</v>
      </c>
      <c r="M233" t="n">
        <v>0</v>
      </c>
      <c r="N233" t="n">
        <v>0</v>
      </c>
      <c r="O233" t="n">
        <v>0</v>
      </c>
      <c r="P233" t="n">
        <v>0</v>
      </c>
      <c r="Q233" t="n">
        <v>0</v>
      </c>
      <c r="R233" s="2" t="inlineStr"/>
    </row>
    <row r="234" ht="15" customHeight="1">
      <c r="A234" t="inlineStr">
        <is>
          <t>A 52223-2020</t>
        </is>
      </c>
      <c r="B234" s="1" t="n">
        <v>44117</v>
      </c>
      <c r="C234" s="1" t="n">
        <v>45510</v>
      </c>
      <c r="D234" t="inlineStr">
        <is>
          <t>UPPSALA LÄN</t>
        </is>
      </c>
      <c r="E234" t="inlineStr">
        <is>
          <t>ENKÖPING</t>
        </is>
      </c>
      <c r="G234" t="n">
        <v>5.8</v>
      </c>
      <c r="H234" t="n">
        <v>0</v>
      </c>
      <c r="I234" t="n">
        <v>0</v>
      </c>
      <c r="J234" t="n">
        <v>0</v>
      </c>
      <c r="K234" t="n">
        <v>0</v>
      </c>
      <c r="L234" t="n">
        <v>0</v>
      </c>
      <c r="M234" t="n">
        <v>0</v>
      </c>
      <c r="N234" t="n">
        <v>0</v>
      </c>
      <c r="O234" t="n">
        <v>0</v>
      </c>
      <c r="P234" t="n">
        <v>0</v>
      </c>
      <c r="Q234" t="n">
        <v>0</v>
      </c>
      <c r="R234" s="2" t="inlineStr"/>
    </row>
    <row r="235" ht="15" customHeight="1">
      <c r="A235" t="inlineStr">
        <is>
          <t>A 52464-2020</t>
        </is>
      </c>
      <c r="B235" s="1" t="n">
        <v>44118</v>
      </c>
      <c r="C235" s="1" t="n">
        <v>45510</v>
      </c>
      <c r="D235" t="inlineStr">
        <is>
          <t>UPPSALA LÄN</t>
        </is>
      </c>
      <c r="E235" t="inlineStr">
        <is>
          <t>ENKÖPING</t>
        </is>
      </c>
      <c r="G235" t="n">
        <v>4.6</v>
      </c>
      <c r="H235" t="n">
        <v>0</v>
      </c>
      <c r="I235" t="n">
        <v>0</v>
      </c>
      <c r="J235" t="n">
        <v>0</v>
      </c>
      <c r="K235" t="n">
        <v>0</v>
      </c>
      <c r="L235" t="n">
        <v>0</v>
      </c>
      <c r="M235" t="n">
        <v>0</v>
      </c>
      <c r="N235" t="n">
        <v>0</v>
      </c>
      <c r="O235" t="n">
        <v>0</v>
      </c>
      <c r="P235" t="n">
        <v>0</v>
      </c>
      <c r="Q235" t="n">
        <v>0</v>
      </c>
      <c r="R235" s="2" t="inlineStr"/>
    </row>
    <row r="236" ht="15" customHeight="1">
      <c r="A236" t="inlineStr">
        <is>
          <t>A 53149-2020</t>
        </is>
      </c>
      <c r="B236" s="1" t="n">
        <v>44120</v>
      </c>
      <c r="C236" s="1" t="n">
        <v>45510</v>
      </c>
      <c r="D236" t="inlineStr">
        <is>
          <t>UPPSALA LÄN</t>
        </is>
      </c>
      <c r="E236" t="inlineStr">
        <is>
          <t>ENKÖPING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53338-2020</t>
        </is>
      </c>
      <c r="B237" s="1" t="n">
        <v>44123</v>
      </c>
      <c r="C237" s="1" t="n">
        <v>45510</v>
      </c>
      <c r="D237" t="inlineStr">
        <is>
          <t>UPPSALA LÄN</t>
        </is>
      </c>
      <c r="E237" t="inlineStr">
        <is>
          <t>ENKÖPING</t>
        </is>
      </c>
      <c r="G237" t="n">
        <v>12.1</v>
      </c>
      <c r="H237" t="n">
        <v>0</v>
      </c>
      <c r="I237" t="n">
        <v>0</v>
      </c>
      <c r="J237" t="n">
        <v>0</v>
      </c>
      <c r="K237" t="n">
        <v>0</v>
      </c>
      <c r="L237" t="n">
        <v>0</v>
      </c>
      <c r="M237" t="n">
        <v>0</v>
      </c>
      <c r="N237" t="n">
        <v>0</v>
      </c>
      <c r="O237" t="n">
        <v>0</v>
      </c>
      <c r="P237" t="n">
        <v>0</v>
      </c>
      <c r="Q237" t="n">
        <v>0</v>
      </c>
      <c r="R237" s="2" t="inlineStr"/>
    </row>
    <row r="238" ht="15" customHeight="1">
      <c r="A238" t="inlineStr">
        <is>
          <t>A 53352-2020</t>
        </is>
      </c>
      <c r="B238" s="1" t="n">
        <v>44123</v>
      </c>
      <c r="C238" s="1" t="n">
        <v>45510</v>
      </c>
      <c r="D238" t="inlineStr">
        <is>
          <t>UPPSALA LÄN</t>
        </is>
      </c>
      <c r="E238" t="inlineStr">
        <is>
          <t>ENKÖPING</t>
        </is>
      </c>
      <c r="G238" t="n">
        <v>2.9</v>
      </c>
      <c r="H238" t="n">
        <v>0</v>
      </c>
      <c r="I238" t="n">
        <v>0</v>
      </c>
      <c r="J238" t="n">
        <v>0</v>
      </c>
      <c r="K238" t="n">
        <v>0</v>
      </c>
      <c r="L238" t="n">
        <v>0</v>
      </c>
      <c r="M238" t="n">
        <v>0</v>
      </c>
      <c r="N238" t="n">
        <v>0</v>
      </c>
      <c r="O238" t="n">
        <v>0</v>
      </c>
      <c r="P238" t="n">
        <v>0</v>
      </c>
      <c r="Q238" t="n">
        <v>0</v>
      </c>
      <c r="R238" s="2" t="inlineStr"/>
    </row>
    <row r="239" ht="15" customHeight="1">
      <c r="A239" t="inlineStr">
        <is>
          <t>A 53343-2020</t>
        </is>
      </c>
      <c r="B239" s="1" t="n">
        <v>44123</v>
      </c>
      <c r="C239" s="1" t="n">
        <v>45510</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53337-2020</t>
        </is>
      </c>
      <c r="B240" s="1" t="n">
        <v>44123</v>
      </c>
      <c r="C240" s="1" t="n">
        <v>45510</v>
      </c>
      <c r="D240" t="inlineStr">
        <is>
          <t>UPPSALA LÄN</t>
        </is>
      </c>
      <c r="E240" t="inlineStr">
        <is>
          <t>ENKÖPING</t>
        </is>
      </c>
      <c r="G240" t="n">
        <v>6.4</v>
      </c>
      <c r="H240" t="n">
        <v>0</v>
      </c>
      <c r="I240" t="n">
        <v>0</v>
      </c>
      <c r="J240" t="n">
        <v>0</v>
      </c>
      <c r="K240" t="n">
        <v>0</v>
      </c>
      <c r="L240" t="n">
        <v>0</v>
      </c>
      <c r="M240" t="n">
        <v>0</v>
      </c>
      <c r="N240" t="n">
        <v>0</v>
      </c>
      <c r="O240" t="n">
        <v>0</v>
      </c>
      <c r="P240" t="n">
        <v>0</v>
      </c>
      <c r="Q240" t="n">
        <v>0</v>
      </c>
      <c r="R240" s="2" t="inlineStr"/>
    </row>
    <row r="241" ht="15" customHeight="1">
      <c r="A241" t="inlineStr">
        <is>
          <t>A 53344-2020</t>
        </is>
      </c>
      <c r="B241" s="1" t="n">
        <v>44123</v>
      </c>
      <c r="C241" s="1" t="n">
        <v>45510</v>
      </c>
      <c r="D241" t="inlineStr">
        <is>
          <t>UPPSALA LÄN</t>
        </is>
      </c>
      <c r="E241" t="inlineStr">
        <is>
          <t>ENKÖPING</t>
        </is>
      </c>
      <c r="G241" t="n">
        <v>0.8</v>
      </c>
      <c r="H241" t="n">
        <v>0</v>
      </c>
      <c r="I241" t="n">
        <v>0</v>
      </c>
      <c r="J241" t="n">
        <v>0</v>
      </c>
      <c r="K241" t="n">
        <v>0</v>
      </c>
      <c r="L241" t="n">
        <v>0</v>
      </c>
      <c r="M241" t="n">
        <v>0</v>
      </c>
      <c r="N241" t="n">
        <v>0</v>
      </c>
      <c r="O241" t="n">
        <v>0</v>
      </c>
      <c r="P241" t="n">
        <v>0</v>
      </c>
      <c r="Q241" t="n">
        <v>0</v>
      </c>
      <c r="R241" s="2" t="inlineStr"/>
    </row>
    <row r="242" ht="15" customHeight="1">
      <c r="A242" t="inlineStr">
        <is>
          <t>A 55051-2020</t>
        </is>
      </c>
      <c r="B242" s="1" t="n">
        <v>44130</v>
      </c>
      <c r="C242" s="1" t="n">
        <v>45510</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56919-2020</t>
        </is>
      </c>
      <c r="B243" s="1" t="n">
        <v>44138</v>
      </c>
      <c r="C243" s="1" t="n">
        <v>45510</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57802-2020</t>
        </is>
      </c>
      <c r="B244" s="1" t="n">
        <v>44141</v>
      </c>
      <c r="C244" s="1" t="n">
        <v>45510</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58062-2020</t>
        </is>
      </c>
      <c r="B245" s="1" t="n">
        <v>44144</v>
      </c>
      <c r="C245" s="1" t="n">
        <v>45510</v>
      </c>
      <c r="D245" t="inlineStr">
        <is>
          <t>UPPSALA LÄN</t>
        </is>
      </c>
      <c r="E245" t="inlineStr">
        <is>
          <t>ENKÖPING</t>
        </is>
      </c>
      <c r="G245" t="n">
        <v>2.3</v>
      </c>
      <c r="H245" t="n">
        <v>0</v>
      </c>
      <c r="I245" t="n">
        <v>0</v>
      </c>
      <c r="J245" t="n">
        <v>0</v>
      </c>
      <c r="K245" t="n">
        <v>0</v>
      </c>
      <c r="L245" t="n">
        <v>0</v>
      </c>
      <c r="M245" t="n">
        <v>0</v>
      </c>
      <c r="N245" t="n">
        <v>0</v>
      </c>
      <c r="O245" t="n">
        <v>0</v>
      </c>
      <c r="P245" t="n">
        <v>0</v>
      </c>
      <c r="Q245" t="n">
        <v>0</v>
      </c>
      <c r="R245" s="2" t="inlineStr"/>
    </row>
    <row r="246" ht="15" customHeight="1">
      <c r="A246" t="inlineStr">
        <is>
          <t>A 58896-2020</t>
        </is>
      </c>
      <c r="B246" s="1" t="n">
        <v>44146</v>
      </c>
      <c r="C246" s="1" t="n">
        <v>45510</v>
      </c>
      <c r="D246" t="inlineStr">
        <is>
          <t>UPPSALA LÄN</t>
        </is>
      </c>
      <c r="E246" t="inlineStr">
        <is>
          <t>ENKÖPING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58798-2020</t>
        </is>
      </c>
      <c r="B247" s="1" t="n">
        <v>44146</v>
      </c>
      <c r="C247" s="1" t="n">
        <v>45510</v>
      </c>
      <c r="D247" t="inlineStr">
        <is>
          <t>UPPSALA LÄN</t>
        </is>
      </c>
      <c r="E247" t="inlineStr">
        <is>
          <t>ENKÖPING</t>
        </is>
      </c>
      <c r="G247" t="n">
        <v>1.8</v>
      </c>
      <c r="H247" t="n">
        <v>0</v>
      </c>
      <c r="I247" t="n">
        <v>0</v>
      </c>
      <c r="J247" t="n">
        <v>0</v>
      </c>
      <c r="K247" t="n">
        <v>0</v>
      </c>
      <c r="L247" t="n">
        <v>0</v>
      </c>
      <c r="M247" t="n">
        <v>0</v>
      </c>
      <c r="N247" t="n">
        <v>0</v>
      </c>
      <c r="O247" t="n">
        <v>0</v>
      </c>
      <c r="P247" t="n">
        <v>0</v>
      </c>
      <c r="Q247" t="n">
        <v>0</v>
      </c>
      <c r="R247" s="2" t="inlineStr"/>
    </row>
    <row r="248" ht="15" customHeight="1">
      <c r="A248" t="inlineStr">
        <is>
          <t>A 59132-2020</t>
        </is>
      </c>
      <c r="B248" s="1" t="n">
        <v>44147</v>
      </c>
      <c r="C248" s="1" t="n">
        <v>45510</v>
      </c>
      <c r="D248" t="inlineStr">
        <is>
          <t>UPPSALA LÄN</t>
        </is>
      </c>
      <c r="E248" t="inlineStr">
        <is>
          <t>ENKÖPING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59441-2020</t>
        </is>
      </c>
      <c r="B249" s="1" t="n">
        <v>44148</v>
      </c>
      <c r="C249" s="1" t="n">
        <v>45510</v>
      </c>
      <c r="D249" t="inlineStr">
        <is>
          <t>UPPSALA LÄN</t>
        </is>
      </c>
      <c r="E249" t="inlineStr">
        <is>
          <t>ENKÖPING</t>
        </is>
      </c>
      <c r="G249" t="n">
        <v>4.8</v>
      </c>
      <c r="H249" t="n">
        <v>0</v>
      </c>
      <c r="I249" t="n">
        <v>0</v>
      </c>
      <c r="J249" t="n">
        <v>0</v>
      </c>
      <c r="K249" t="n">
        <v>0</v>
      </c>
      <c r="L249" t="n">
        <v>0</v>
      </c>
      <c r="M249" t="n">
        <v>0</v>
      </c>
      <c r="N249" t="n">
        <v>0</v>
      </c>
      <c r="O249" t="n">
        <v>0</v>
      </c>
      <c r="P249" t="n">
        <v>0</v>
      </c>
      <c r="Q249" t="n">
        <v>0</v>
      </c>
      <c r="R249" s="2" t="inlineStr"/>
    </row>
    <row r="250" ht="15" customHeight="1">
      <c r="A250" t="inlineStr">
        <is>
          <t>A 59428-2020</t>
        </is>
      </c>
      <c r="B250" s="1" t="n">
        <v>44148</v>
      </c>
      <c r="C250" s="1" t="n">
        <v>45510</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60138-2020</t>
        </is>
      </c>
      <c r="B251" s="1" t="n">
        <v>44151</v>
      </c>
      <c r="C251" s="1" t="n">
        <v>45510</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61711-2020</t>
        </is>
      </c>
      <c r="B252" s="1" t="n">
        <v>44158</v>
      </c>
      <c r="C252" s="1" t="n">
        <v>45510</v>
      </c>
      <c r="D252" t="inlineStr">
        <is>
          <t>UPPSALA LÄN</t>
        </is>
      </c>
      <c r="E252" t="inlineStr">
        <is>
          <t>ENKÖPING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63715-2020</t>
        </is>
      </c>
      <c r="B253" s="1" t="n">
        <v>44166</v>
      </c>
      <c r="C253" s="1" t="n">
        <v>45510</v>
      </c>
      <c r="D253" t="inlineStr">
        <is>
          <t>UPPSALA LÄN</t>
        </is>
      </c>
      <c r="E253" t="inlineStr">
        <is>
          <t>ENKÖPING</t>
        </is>
      </c>
      <c r="F253" t="inlineStr">
        <is>
          <t>Övriga statliga verk och myndigheter</t>
        </is>
      </c>
      <c r="G253" t="n">
        <v>5.9</v>
      </c>
      <c r="H253" t="n">
        <v>0</v>
      </c>
      <c r="I253" t="n">
        <v>0</v>
      </c>
      <c r="J253" t="n">
        <v>0</v>
      </c>
      <c r="K253" t="n">
        <v>0</v>
      </c>
      <c r="L253" t="n">
        <v>0</v>
      </c>
      <c r="M253" t="n">
        <v>0</v>
      </c>
      <c r="N253" t="n">
        <v>0</v>
      </c>
      <c r="O253" t="n">
        <v>0</v>
      </c>
      <c r="P253" t="n">
        <v>0</v>
      </c>
      <c r="Q253" t="n">
        <v>0</v>
      </c>
      <c r="R253" s="2" t="inlineStr"/>
    </row>
    <row r="254" ht="15" customHeight="1">
      <c r="A254" t="inlineStr">
        <is>
          <t>A 66517-2020</t>
        </is>
      </c>
      <c r="B254" s="1" t="n">
        <v>44178</v>
      </c>
      <c r="C254" s="1" t="n">
        <v>45510</v>
      </c>
      <c r="D254" t="inlineStr">
        <is>
          <t>UPPSALA LÄN</t>
        </is>
      </c>
      <c r="E254" t="inlineStr">
        <is>
          <t>ENKÖPING</t>
        </is>
      </c>
      <c r="G254" t="n">
        <v>4</v>
      </c>
      <c r="H254" t="n">
        <v>0</v>
      </c>
      <c r="I254" t="n">
        <v>0</v>
      </c>
      <c r="J254" t="n">
        <v>0</v>
      </c>
      <c r="K254" t="n">
        <v>0</v>
      </c>
      <c r="L254" t="n">
        <v>0</v>
      </c>
      <c r="M254" t="n">
        <v>0</v>
      </c>
      <c r="N254" t="n">
        <v>0</v>
      </c>
      <c r="O254" t="n">
        <v>0</v>
      </c>
      <c r="P254" t="n">
        <v>0</v>
      </c>
      <c r="Q254" t="n">
        <v>0</v>
      </c>
      <c r="R254" s="2" t="inlineStr"/>
    </row>
    <row r="255" ht="15" customHeight="1">
      <c r="A255" t="inlineStr">
        <is>
          <t>A 67765-2020</t>
        </is>
      </c>
      <c r="B255" s="1" t="n">
        <v>44182</v>
      </c>
      <c r="C255" s="1" t="n">
        <v>45510</v>
      </c>
      <c r="D255" t="inlineStr">
        <is>
          <t>UPPSALA LÄN</t>
        </is>
      </c>
      <c r="E255" t="inlineStr">
        <is>
          <t>ENKÖPING</t>
        </is>
      </c>
      <c r="G255" t="n">
        <v>3.6</v>
      </c>
      <c r="H255" t="n">
        <v>0</v>
      </c>
      <c r="I255" t="n">
        <v>0</v>
      </c>
      <c r="J255" t="n">
        <v>0</v>
      </c>
      <c r="K255" t="n">
        <v>0</v>
      </c>
      <c r="L255" t="n">
        <v>0</v>
      </c>
      <c r="M255" t="n">
        <v>0</v>
      </c>
      <c r="N255" t="n">
        <v>0</v>
      </c>
      <c r="O255" t="n">
        <v>0</v>
      </c>
      <c r="P255" t="n">
        <v>0</v>
      </c>
      <c r="Q255" t="n">
        <v>0</v>
      </c>
      <c r="R255" s="2" t="inlineStr"/>
    </row>
    <row r="256" ht="15" customHeight="1">
      <c r="A256" t="inlineStr">
        <is>
          <t>A 67713-2020</t>
        </is>
      </c>
      <c r="B256" s="1" t="n">
        <v>44182</v>
      </c>
      <c r="C256" s="1" t="n">
        <v>45510</v>
      </c>
      <c r="D256" t="inlineStr">
        <is>
          <t>UPPSALA LÄN</t>
        </is>
      </c>
      <c r="E256" t="inlineStr">
        <is>
          <t>ENKÖPING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69567-2020</t>
        </is>
      </c>
      <c r="B257" s="1" t="n">
        <v>44194</v>
      </c>
      <c r="C257" s="1" t="n">
        <v>45510</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3903-2021</t>
        </is>
      </c>
      <c r="B258" s="1" t="n">
        <v>44217</v>
      </c>
      <c r="C258" s="1" t="n">
        <v>45510</v>
      </c>
      <c r="D258" t="inlineStr">
        <is>
          <t>UPPSALA LÄN</t>
        </is>
      </c>
      <c r="E258" t="inlineStr">
        <is>
          <t>ENKÖPING</t>
        </is>
      </c>
      <c r="G258" t="n">
        <v>1.1</v>
      </c>
      <c r="H258" t="n">
        <v>0</v>
      </c>
      <c r="I258" t="n">
        <v>0</v>
      </c>
      <c r="J258" t="n">
        <v>0</v>
      </c>
      <c r="K258" t="n">
        <v>0</v>
      </c>
      <c r="L258" t="n">
        <v>0</v>
      </c>
      <c r="M258" t="n">
        <v>0</v>
      </c>
      <c r="N258" t="n">
        <v>0</v>
      </c>
      <c r="O258" t="n">
        <v>0</v>
      </c>
      <c r="P258" t="n">
        <v>0</v>
      </c>
      <c r="Q258" t="n">
        <v>0</v>
      </c>
      <c r="R258" s="2" t="inlineStr"/>
    </row>
    <row r="259" ht="15" customHeight="1">
      <c r="A259" t="inlineStr">
        <is>
          <t>A 4203-2021</t>
        </is>
      </c>
      <c r="B259" s="1" t="n">
        <v>44223</v>
      </c>
      <c r="C259" s="1" t="n">
        <v>45510</v>
      </c>
      <c r="D259" t="inlineStr">
        <is>
          <t>UPPSALA LÄN</t>
        </is>
      </c>
      <c r="E259" t="inlineStr">
        <is>
          <t>ENKÖPING</t>
        </is>
      </c>
      <c r="G259" t="n">
        <v>11.6</v>
      </c>
      <c r="H259" t="n">
        <v>0</v>
      </c>
      <c r="I259" t="n">
        <v>0</v>
      </c>
      <c r="J259" t="n">
        <v>0</v>
      </c>
      <c r="K259" t="n">
        <v>0</v>
      </c>
      <c r="L259" t="n">
        <v>0</v>
      </c>
      <c r="M259" t="n">
        <v>0</v>
      </c>
      <c r="N259" t="n">
        <v>0</v>
      </c>
      <c r="O259" t="n">
        <v>0</v>
      </c>
      <c r="P259" t="n">
        <v>0</v>
      </c>
      <c r="Q259" t="n">
        <v>0</v>
      </c>
      <c r="R259" s="2" t="inlineStr"/>
    </row>
    <row r="260" ht="15" customHeight="1">
      <c r="A260" t="inlineStr">
        <is>
          <t>A 4775-2021</t>
        </is>
      </c>
      <c r="B260" s="1" t="n">
        <v>44225</v>
      </c>
      <c r="C260" s="1" t="n">
        <v>45510</v>
      </c>
      <c r="D260" t="inlineStr">
        <is>
          <t>UPPSALA LÄN</t>
        </is>
      </c>
      <c r="E260" t="inlineStr">
        <is>
          <t>ENKÖPING</t>
        </is>
      </c>
      <c r="F260" t="inlineStr">
        <is>
          <t>Allmännings- och besparingsskogar</t>
        </is>
      </c>
      <c r="G260" t="n">
        <v>3.5</v>
      </c>
      <c r="H260" t="n">
        <v>0</v>
      </c>
      <c r="I260" t="n">
        <v>0</v>
      </c>
      <c r="J260" t="n">
        <v>0</v>
      </c>
      <c r="K260" t="n">
        <v>0</v>
      </c>
      <c r="L260" t="n">
        <v>0</v>
      </c>
      <c r="M260" t="n">
        <v>0</v>
      </c>
      <c r="N260" t="n">
        <v>0</v>
      </c>
      <c r="O260" t="n">
        <v>0</v>
      </c>
      <c r="P260" t="n">
        <v>0</v>
      </c>
      <c r="Q260" t="n">
        <v>0</v>
      </c>
      <c r="R260" s="2" t="inlineStr"/>
    </row>
    <row r="261" ht="15" customHeight="1">
      <c r="A261" t="inlineStr">
        <is>
          <t>A 6157-2021</t>
        </is>
      </c>
      <c r="B261" s="1" t="n">
        <v>44232</v>
      </c>
      <c r="C261" s="1" t="n">
        <v>45510</v>
      </c>
      <c r="D261" t="inlineStr">
        <is>
          <t>UPPSALA LÄN</t>
        </is>
      </c>
      <c r="E261" t="inlineStr">
        <is>
          <t>ENKÖPING</t>
        </is>
      </c>
      <c r="G261" t="n">
        <v>3.9</v>
      </c>
      <c r="H261" t="n">
        <v>0</v>
      </c>
      <c r="I261" t="n">
        <v>0</v>
      </c>
      <c r="J261" t="n">
        <v>0</v>
      </c>
      <c r="K261" t="n">
        <v>0</v>
      </c>
      <c r="L261" t="n">
        <v>0</v>
      </c>
      <c r="M261" t="n">
        <v>0</v>
      </c>
      <c r="N261" t="n">
        <v>0</v>
      </c>
      <c r="O261" t="n">
        <v>0</v>
      </c>
      <c r="P261" t="n">
        <v>0</v>
      </c>
      <c r="Q261" t="n">
        <v>0</v>
      </c>
      <c r="R261" s="2" t="inlineStr"/>
    </row>
    <row r="262" ht="15" customHeight="1">
      <c r="A262" t="inlineStr">
        <is>
          <t>A 6147-2021</t>
        </is>
      </c>
      <c r="B262" s="1" t="n">
        <v>44232</v>
      </c>
      <c r="C262" s="1" t="n">
        <v>45510</v>
      </c>
      <c r="D262" t="inlineStr">
        <is>
          <t>UPPSALA LÄN</t>
        </is>
      </c>
      <c r="E262" t="inlineStr">
        <is>
          <t>ENKÖPING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6298-2021</t>
        </is>
      </c>
      <c r="B263" s="1" t="n">
        <v>44235</v>
      </c>
      <c r="C263" s="1" t="n">
        <v>45510</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8306-2021</t>
        </is>
      </c>
      <c r="B264" s="1" t="n">
        <v>44244</v>
      </c>
      <c r="C264" s="1" t="n">
        <v>45510</v>
      </c>
      <c r="D264" t="inlineStr">
        <is>
          <t>UPPSALA LÄN</t>
        </is>
      </c>
      <c r="E264" t="inlineStr">
        <is>
          <t>ENKÖPING</t>
        </is>
      </c>
      <c r="G264" t="n">
        <v>14.9</v>
      </c>
      <c r="H264" t="n">
        <v>0</v>
      </c>
      <c r="I264" t="n">
        <v>0</v>
      </c>
      <c r="J264" t="n">
        <v>0</v>
      </c>
      <c r="K264" t="n">
        <v>0</v>
      </c>
      <c r="L264" t="n">
        <v>0</v>
      </c>
      <c r="M264" t="n">
        <v>0</v>
      </c>
      <c r="N264" t="n">
        <v>0</v>
      </c>
      <c r="O264" t="n">
        <v>0</v>
      </c>
      <c r="P264" t="n">
        <v>0</v>
      </c>
      <c r="Q264" t="n">
        <v>0</v>
      </c>
      <c r="R264" s="2" t="inlineStr"/>
    </row>
    <row r="265" ht="15" customHeight="1">
      <c r="A265" t="inlineStr">
        <is>
          <t>A 10989-2021</t>
        </is>
      </c>
      <c r="B265" s="1" t="n">
        <v>44260</v>
      </c>
      <c r="C265" s="1" t="n">
        <v>45510</v>
      </c>
      <c r="D265" t="inlineStr">
        <is>
          <t>UPPSALA LÄN</t>
        </is>
      </c>
      <c r="E265" t="inlineStr">
        <is>
          <t>ENKÖPING</t>
        </is>
      </c>
      <c r="G265" t="n">
        <v>3.5</v>
      </c>
      <c r="H265" t="n">
        <v>0</v>
      </c>
      <c r="I265" t="n">
        <v>0</v>
      </c>
      <c r="J265" t="n">
        <v>0</v>
      </c>
      <c r="K265" t="n">
        <v>0</v>
      </c>
      <c r="L265" t="n">
        <v>0</v>
      </c>
      <c r="M265" t="n">
        <v>0</v>
      </c>
      <c r="N265" t="n">
        <v>0</v>
      </c>
      <c r="O265" t="n">
        <v>0</v>
      </c>
      <c r="P265" t="n">
        <v>0</v>
      </c>
      <c r="Q265" t="n">
        <v>0</v>
      </c>
      <c r="R265" s="2" t="inlineStr"/>
    </row>
    <row r="266" ht="15" customHeight="1">
      <c r="A266" t="inlineStr">
        <is>
          <t>A 11688-2021</t>
        </is>
      </c>
      <c r="B266" s="1" t="n">
        <v>44264</v>
      </c>
      <c r="C266" s="1" t="n">
        <v>45510</v>
      </c>
      <c r="D266" t="inlineStr">
        <is>
          <t>UPPSALA LÄN</t>
        </is>
      </c>
      <c r="E266" t="inlineStr">
        <is>
          <t>ENKÖPING</t>
        </is>
      </c>
      <c r="G266" t="n">
        <v>4.7</v>
      </c>
      <c r="H266" t="n">
        <v>0</v>
      </c>
      <c r="I266" t="n">
        <v>0</v>
      </c>
      <c r="J266" t="n">
        <v>0</v>
      </c>
      <c r="K266" t="n">
        <v>0</v>
      </c>
      <c r="L266" t="n">
        <v>0</v>
      </c>
      <c r="M266" t="n">
        <v>0</v>
      </c>
      <c r="N266" t="n">
        <v>0</v>
      </c>
      <c r="O266" t="n">
        <v>0</v>
      </c>
      <c r="P266" t="n">
        <v>0</v>
      </c>
      <c r="Q266" t="n">
        <v>0</v>
      </c>
      <c r="R266" s="2" t="inlineStr"/>
    </row>
    <row r="267" ht="15" customHeight="1">
      <c r="A267" t="inlineStr">
        <is>
          <t>A 12434-2021</t>
        </is>
      </c>
      <c r="B267" s="1" t="n">
        <v>44267</v>
      </c>
      <c r="C267" s="1" t="n">
        <v>45510</v>
      </c>
      <c r="D267" t="inlineStr">
        <is>
          <t>UPPSALA LÄN</t>
        </is>
      </c>
      <c r="E267" t="inlineStr">
        <is>
          <t>ENKÖPING</t>
        </is>
      </c>
      <c r="G267" t="n">
        <v>5.3</v>
      </c>
      <c r="H267" t="n">
        <v>0</v>
      </c>
      <c r="I267" t="n">
        <v>0</v>
      </c>
      <c r="J267" t="n">
        <v>0</v>
      </c>
      <c r="K267" t="n">
        <v>0</v>
      </c>
      <c r="L267" t="n">
        <v>0</v>
      </c>
      <c r="M267" t="n">
        <v>0</v>
      </c>
      <c r="N267" t="n">
        <v>0</v>
      </c>
      <c r="O267" t="n">
        <v>0</v>
      </c>
      <c r="P267" t="n">
        <v>0</v>
      </c>
      <c r="Q267" t="n">
        <v>0</v>
      </c>
      <c r="R267" s="2" t="inlineStr"/>
    </row>
    <row r="268" ht="15" customHeight="1">
      <c r="A268" t="inlineStr">
        <is>
          <t>A 12538-2021</t>
        </is>
      </c>
      <c r="B268" s="1" t="n">
        <v>44269</v>
      </c>
      <c r="C268" s="1" t="n">
        <v>45510</v>
      </c>
      <c r="D268" t="inlineStr">
        <is>
          <t>UPPSALA LÄN</t>
        </is>
      </c>
      <c r="E268" t="inlineStr">
        <is>
          <t>ENKÖPING</t>
        </is>
      </c>
      <c r="G268" t="n">
        <v>3.3</v>
      </c>
      <c r="H268" t="n">
        <v>0</v>
      </c>
      <c r="I268" t="n">
        <v>0</v>
      </c>
      <c r="J268" t="n">
        <v>0</v>
      </c>
      <c r="K268" t="n">
        <v>0</v>
      </c>
      <c r="L268" t="n">
        <v>0</v>
      </c>
      <c r="M268" t="n">
        <v>0</v>
      </c>
      <c r="N268" t="n">
        <v>0</v>
      </c>
      <c r="O268" t="n">
        <v>0</v>
      </c>
      <c r="P268" t="n">
        <v>0</v>
      </c>
      <c r="Q268" t="n">
        <v>0</v>
      </c>
      <c r="R268" s="2" t="inlineStr"/>
    </row>
    <row r="269" ht="15" customHeight="1">
      <c r="A269" t="inlineStr">
        <is>
          <t>A 12572-2021</t>
        </is>
      </c>
      <c r="B269" s="1" t="n">
        <v>44270</v>
      </c>
      <c r="C269" s="1" t="n">
        <v>45510</v>
      </c>
      <c r="D269" t="inlineStr">
        <is>
          <t>UPPSALA LÄN</t>
        </is>
      </c>
      <c r="E269" t="inlineStr">
        <is>
          <t>ENKÖPING</t>
        </is>
      </c>
      <c r="G269" t="n">
        <v>3.3</v>
      </c>
      <c r="H269" t="n">
        <v>0</v>
      </c>
      <c r="I269" t="n">
        <v>0</v>
      </c>
      <c r="J269" t="n">
        <v>0</v>
      </c>
      <c r="K269" t="n">
        <v>0</v>
      </c>
      <c r="L269" t="n">
        <v>0</v>
      </c>
      <c r="M269" t="n">
        <v>0</v>
      </c>
      <c r="N269" t="n">
        <v>0</v>
      </c>
      <c r="O269" t="n">
        <v>0</v>
      </c>
      <c r="P269" t="n">
        <v>0</v>
      </c>
      <c r="Q269" t="n">
        <v>0</v>
      </c>
      <c r="R269" s="2" t="inlineStr"/>
    </row>
    <row r="270" ht="15" customHeight="1">
      <c r="A270" t="inlineStr">
        <is>
          <t>A 12729-2021</t>
        </is>
      </c>
      <c r="B270" s="1" t="n">
        <v>44270</v>
      </c>
      <c r="C270" s="1" t="n">
        <v>45510</v>
      </c>
      <c r="D270" t="inlineStr">
        <is>
          <t>UPPSALA LÄN</t>
        </is>
      </c>
      <c r="E270" t="inlineStr">
        <is>
          <t>ENKÖPING</t>
        </is>
      </c>
      <c r="G270" t="n">
        <v>3</v>
      </c>
      <c r="H270" t="n">
        <v>0</v>
      </c>
      <c r="I270" t="n">
        <v>0</v>
      </c>
      <c r="J270" t="n">
        <v>0</v>
      </c>
      <c r="K270" t="n">
        <v>0</v>
      </c>
      <c r="L270" t="n">
        <v>0</v>
      </c>
      <c r="M270" t="n">
        <v>0</v>
      </c>
      <c r="N270" t="n">
        <v>0</v>
      </c>
      <c r="O270" t="n">
        <v>0</v>
      </c>
      <c r="P270" t="n">
        <v>0</v>
      </c>
      <c r="Q270" t="n">
        <v>0</v>
      </c>
      <c r="R270" s="2" t="inlineStr"/>
    </row>
    <row r="271" ht="15" customHeight="1">
      <c r="A271" t="inlineStr">
        <is>
          <t>A 12727-2021</t>
        </is>
      </c>
      <c r="B271" s="1" t="n">
        <v>44270</v>
      </c>
      <c r="C271" s="1" t="n">
        <v>45510</v>
      </c>
      <c r="D271" t="inlineStr">
        <is>
          <t>UPPSALA LÄN</t>
        </is>
      </c>
      <c r="E271" t="inlineStr">
        <is>
          <t>ENKÖPING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12732-2021</t>
        </is>
      </c>
      <c r="B272" s="1" t="n">
        <v>44270</v>
      </c>
      <c r="C272" s="1" t="n">
        <v>45510</v>
      </c>
      <c r="D272" t="inlineStr">
        <is>
          <t>UPPSALA LÄN</t>
        </is>
      </c>
      <c r="E272" t="inlineStr">
        <is>
          <t>ENKÖPING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13201-2021</t>
        </is>
      </c>
      <c r="B273" s="1" t="n">
        <v>44272</v>
      </c>
      <c r="C273" s="1" t="n">
        <v>45510</v>
      </c>
      <c r="D273" t="inlineStr">
        <is>
          <t>UPPSALA LÄN</t>
        </is>
      </c>
      <c r="E273" t="inlineStr">
        <is>
          <t>ENKÖPING</t>
        </is>
      </c>
      <c r="G273" t="n">
        <v>0.1</v>
      </c>
      <c r="H273" t="n">
        <v>0</v>
      </c>
      <c r="I273" t="n">
        <v>0</v>
      </c>
      <c r="J273" t="n">
        <v>0</v>
      </c>
      <c r="K273" t="n">
        <v>0</v>
      </c>
      <c r="L273" t="n">
        <v>0</v>
      </c>
      <c r="M273" t="n">
        <v>0</v>
      </c>
      <c r="N273" t="n">
        <v>0</v>
      </c>
      <c r="O273" t="n">
        <v>0</v>
      </c>
      <c r="P273" t="n">
        <v>0</v>
      </c>
      <c r="Q273" t="n">
        <v>0</v>
      </c>
      <c r="R273" s="2" t="inlineStr"/>
    </row>
    <row r="274" ht="15" customHeight="1">
      <c r="A274" t="inlineStr">
        <is>
          <t>A 13813-2021</t>
        </is>
      </c>
      <c r="B274" s="1" t="n">
        <v>44276</v>
      </c>
      <c r="C274" s="1" t="n">
        <v>45510</v>
      </c>
      <c r="D274" t="inlineStr">
        <is>
          <t>UPPSALA LÄN</t>
        </is>
      </c>
      <c r="E274" t="inlineStr">
        <is>
          <t>ENKÖPING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13816-2021</t>
        </is>
      </c>
      <c r="B275" s="1" t="n">
        <v>44276</v>
      </c>
      <c r="C275" s="1" t="n">
        <v>45510</v>
      </c>
      <c r="D275" t="inlineStr">
        <is>
          <t>UPPSALA LÄN</t>
        </is>
      </c>
      <c r="E275" t="inlineStr">
        <is>
          <t>ENKÖPING</t>
        </is>
      </c>
      <c r="G275" t="n">
        <v>0.4</v>
      </c>
      <c r="H275" t="n">
        <v>0</v>
      </c>
      <c r="I275" t="n">
        <v>0</v>
      </c>
      <c r="J275" t="n">
        <v>0</v>
      </c>
      <c r="K275" t="n">
        <v>0</v>
      </c>
      <c r="L275" t="n">
        <v>0</v>
      </c>
      <c r="M275" t="n">
        <v>0</v>
      </c>
      <c r="N275" t="n">
        <v>0</v>
      </c>
      <c r="O275" t="n">
        <v>0</v>
      </c>
      <c r="P275" t="n">
        <v>0</v>
      </c>
      <c r="Q275" t="n">
        <v>0</v>
      </c>
      <c r="R275" s="2" t="inlineStr"/>
    </row>
    <row r="276" ht="15" customHeight="1">
      <c r="A276" t="inlineStr">
        <is>
          <t>A 14840-2021</t>
        </is>
      </c>
      <c r="B276" s="1" t="n">
        <v>44280</v>
      </c>
      <c r="C276" s="1" t="n">
        <v>45510</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14841-2021</t>
        </is>
      </c>
      <c r="B277" s="1" t="n">
        <v>44280</v>
      </c>
      <c r="C277" s="1" t="n">
        <v>45510</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14839-2021</t>
        </is>
      </c>
      <c r="B278" s="1" t="n">
        <v>44280</v>
      </c>
      <c r="C278" s="1" t="n">
        <v>45510</v>
      </c>
      <c r="D278" t="inlineStr">
        <is>
          <t>UPPSALA LÄN</t>
        </is>
      </c>
      <c r="E278" t="inlineStr">
        <is>
          <t>ENKÖPING</t>
        </is>
      </c>
      <c r="G278" t="n">
        <v>11.4</v>
      </c>
      <c r="H278" t="n">
        <v>0</v>
      </c>
      <c r="I278" t="n">
        <v>0</v>
      </c>
      <c r="J278" t="n">
        <v>0</v>
      </c>
      <c r="K278" t="n">
        <v>0</v>
      </c>
      <c r="L278" t="n">
        <v>0</v>
      </c>
      <c r="M278" t="n">
        <v>0</v>
      </c>
      <c r="N278" t="n">
        <v>0</v>
      </c>
      <c r="O278" t="n">
        <v>0</v>
      </c>
      <c r="P278" t="n">
        <v>0</v>
      </c>
      <c r="Q278" t="n">
        <v>0</v>
      </c>
      <c r="R278" s="2" t="inlineStr"/>
    </row>
    <row r="279" ht="15" customHeight="1">
      <c r="A279" t="inlineStr">
        <is>
          <t>A 15298-2021</t>
        </is>
      </c>
      <c r="B279" s="1" t="n">
        <v>44284</v>
      </c>
      <c r="C279" s="1" t="n">
        <v>45510</v>
      </c>
      <c r="D279" t="inlineStr">
        <is>
          <t>UPPSALA LÄN</t>
        </is>
      </c>
      <c r="E279" t="inlineStr">
        <is>
          <t>ENKÖPING</t>
        </is>
      </c>
      <c r="G279" t="n">
        <v>6</v>
      </c>
      <c r="H279" t="n">
        <v>0</v>
      </c>
      <c r="I279" t="n">
        <v>0</v>
      </c>
      <c r="J279" t="n">
        <v>0</v>
      </c>
      <c r="K279" t="n">
        <v>0</v>
      </c>
      <c r="L279" t="n">
        <v>0</v>
      </c>
      <c r="M279" t="n">
        <v>0</v>
      </c>
      <c r="N279" t="n">
        <v>0</v>
      </c>
      <c r="O279" t="n">
        <v>0</v>
      </c>
      <c r="P279" t="n">
        <v>0</v>
      </c>
      <c r="Q279" t="n">
        <v>0</v>
      </c>
      <c r="R279" s="2" t="inlineStr"/>
    </row>
    <row r="280" ht="15" customHeight="1">
      <c r="A280" t="inlineStr">
        <is>
          <t>A 15997-2021</t>
        </is>
      </c>
      <c r="B280" s="1" t="n">
        <v>44287</v>
      </c>
      <c r="C280" s="1" t="n">
        <v>45510</v>
      </c>
      <c r="D280" t="inlineStr">
        <is>
          <t>UPPSALA LÄN</t>
        </is>
      </c>
      <c r="E280" t="inlineStr">
        <is>
          <t>ENKÖPING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16309-2021</t>
        </is>
      </c>
      <c r="B281" s="1" t="n">
        <v>44292</v>
      </c>
      <c r="C281" s="1" t="n">
        <v>45510</v>
      </c>
      <c r="D281" t="inlineStr">
        <is>
          <t>UPPSALA LÄN</t>
        </is>
      </c>
      <c r="E281" t="inlineStr">
        <is>
          <t>ENKÖPING</t>
        </is>
      </c>
      <c r="G281" t="n">
        <v>1.3</v>
      </c>
      <c r="H281" t="n">
        <v>0</v>
      </c>
      <c r="I281" t="n">
        <v>0</v>
      </c>
      <c r="J281" t="n">
        <v>0</v>
      </c>
      <c r="K281" t="n">
        <v>0</v>
      </c>
      <c r="L281" t="n">
        <v>0</v>
      </c>
      <c r="M281" t="n">
        <v>0</v>
      </c>
      <c r="N281" t="n">
        <v>0</v>
      </c>
      <c r="O281" t="n">
        <v>0</v>
      </c>
      <c r="P281" t="n">
        <v>0</v>
      </c>
      <c r="Q281" t="n">
        <v>0</v>
      </c>
      <c r="R281" s="2" t="inlineStr"/>
    </row>
    <row r="282" ht="15" customHeight="1">
      <c r="A282" t="inlineStr">
        <is>
          <t>A 16498-2021</t>
        </is>
      </c>
      <c r="B282" s="1" t="n">
        <v>44293</v>
      </c>
      <c r="C282" s="1" t="n">
        <v>45510</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16683-2021</t>
        </is>
      </c>
      <c r="B283" s="1" t="n">
        <v>44294</v>
      </c>
      <c r="C283" s="1" t="n">
        <v>45510</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17264-2021</t>
        </is>
      </c>
      <c r="B284" s="1" t="n">
        <v>44298</v>
      </c>
      <c r="C284" s="1" t="n">
        <v>45510</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17268-2021</t>
        </is>
      </c>
      <c r="B285" s="1" t="n">
        <v>44298</v>
      </c>
      <c r="C285" s="1" t="n">
        <v>45510</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18037-2021</t>
        </is>
      </c>
      <c r="B286" s="1" t="n">
        <v>44301</v>
      </c>
      <c r="C286" s="1" t="n">
        <v>45510</v>
      </c>
      <c r="D286" t="inlineStr">
        <is>
          <t>UPPSALA LÄN</t>
        </is>
      </c>
      <c r="E286" t="inlineStr">
        <is>
          <t>ENKÖPING</t>
        </is>
      </c>
      <c r="G286" t="n">
        <v>17.2</v>
      </c>
      <c r="H286" t="n">
        <v>0</v>
      </c>
      <c r="I286" t="n">
        <v>0</v>
      </c>
      <c r="J286" t="n">
        <v>0</v>
      </c>
      <c r="K286" t="n">
        <v>0</v>
      </c>
      <c r="L286" t="n">
        <v>0</v>
      </c>
      <c r="M286" t="n">
        <v>0</v>
      </c>
      <c r="N286" t="n">
        <v>0</v>
      </c>
      <c r="O286" t="n">
        <v>0</v>
      </c>
      <c r="P286" t="n">
        <v>0</v>
      </c>
      <c r="Q286" t="n">
        <v>0</v>
      </c>
      <c r="R286" s="2" t="inlineStr"/>
    </row>
    <row r="287" ht="15" customHeight="1">
      <c r="A287" t="inlineStr">
        <is>
          <t>A 18328-2021</t>
        </is>
      </c>
      <c r="B287" s="1" t="n">
        <v>44305</v>
      </c>
      <c r="C287" s="1" t="n">
        <v>45510</v>
      </c>
      <c r="D287" t="inlineStr">
        <is>
          <t>UPPSALA LÄN</t>
        </is>
      </c>
      <c r="E287" t="inlineStr">
        <is>
          <t>ENKÖPING</t>
        </is>
      </c>
      <c r="G287" t="n">
        <v>9.4</v>
      </c>
      <c r="H287" t="n">
        <v>0</v>
      </c>
      <c r="I287" t="n">
        <v>0</v>
      </c>
      <c r="J287" t="n">
        <v>0</v>
      </c>
      <c r="K287" t="n">
        <v>0</v>
      </c>
      <c r="L287" t="n">
        <v>0</v>
      </c>
      <c r="M287" t="n">
        <v>0</v>
      </c>
      <c r="N287" t="n">
        <v>0</v>
      </c>
      <c r="O287" t="n">
        <v>0</v>
      </c>
      <c r="P287" t="n">
        <v>0</v>
      </c>
      <c r="Q287" t="n">
        <v>0</v>
      </c>
      <c r="R287" s="2" t="inlineStr"/>
    </row>
    <row r="288" ht="15" customHeight="1">
      <c r="A288" t="inlineStr">
        <is>
          <t>A 18584-2021</t>
        </is>
      </c>
      <c r="B288" s="1" t="n">
        <v>44306</v>
      </c>
      <c r="C288" s="1" t="n">
        <v>45510</v>
      </c>
      <c r="D288" t="inlineStr">
        <is>
          <t>UPPSALA LÄN</t>
        </is>
      </c>
      <c r="E288" t="inlineStr">
        <is>
          <t>ENKÖPING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18592-2021</t>
        </is>
      </c>
      <c r="B289" s="1" t="n">
        <v>44306</v>
      </c>
      <c r="C289" s="1" t="n">
        <v>45510</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18583-2021</t>
        </is>
      </c>
      <c r="B290" s="1" t="n">
        <v>44306</v>
      </c>
      <c r="C290" s="1" t="n">
        <v>45510</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19630-2021</t>
        </is>
      </c>
      <c r="B291" s="1" t="n">
        <v>44312</v>
      </c>
      <c r="C291" s="1" t="n">
        <v>45510</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20067-2021</t>
        </is>
      </c>
      <c r="B292" s="1" t="n">
        <v>44314</v>
      </c>
      <c r="C292" s="1" t="n">
        <v>45510</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22057-2021</t>
        </is>
      </c>
      <c r="B293" s="1" t="n">
        <v>44323</v>
      </c>
      <c r="C293" s="1" t="n">
        <v>45510</v>
      </c>
      <c r="D293" t="inlineStr">
        <is>
          <t>UPPSALA LÄN</t>
        </is>
      </c>
      <c r="E293" t="inlineStr">
        <is>
          <t>ENKÖPING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22058-2021</t>
        </is>
      </c>
      <c r="B294" s="1" t="n">
        <v>44323</v>
      </c>
      <c r="C294" s="1" t="n">
        <v>45510</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24399-2021</t>
        </is>
      </c>
      <c r="B295" s="1" t="n">
        <v>44337</v>
      </c>
      <c r="C295" s="1" t="n">
        <v>45510</v>
      </c>
      <c r="D295" t="inlineStr">
        <is>
          <t>UPPSALA LÄN</t>
        </is>
      </c>
      <c r="E295" t="inlineStr">
        <is>
          <t>ENKÖPING</t>
        </is>
      </c>
      <c r="G295" t="n">
        <v>4</v>
      </c>
      <c r="H295" t="n">
        <v>0</v>
      </c>
      <c r="I295" t="n">
        <v>0</v>
      </c>
      <c r="J295" t="n">
        <v>0</v>
      </c>
      <c r="K295" t="n">
        <v>0</v>
      </c>
      <c r="L295" t="n">
        <v>0</v>
      </c>
      <c r="M295" t="n">
        <v>0</v>
      </c>
      <c r="N295" t="n">
        <v>0</v>
      </c>
      <c r="O295" t="n">
        <v>0</v>
      </c>
      <c r="P295" t="n">
        <v>0</v>
      </c>
      <c r="Q295" t="n">
        <v>0</v>
      </c>
      <c r="R295" s="2" t="inlineStr"/>
    </row>
    <row r="296" ht="15" customHeight="1">
      <c r="A296" t="inlineStr">
        <is>
          <t>A 25598-2021</t>
        </is>
      </c>
      <c r="B296" s="1" t="n">
        <v>44343</v>
      </c>
      <c r="C296" s="1" t="n">
        <v>45510</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27676-2021</t>
        </is>
      </c>
      <c r="B297" s="1" t="n">
        <v>44353</v>
      </c>
      <c r="C297" s="1" t="n">
        <v>45510</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28368-2021</t>
        </is>
      </c>
      <c r="B298" s="1" t="n">
        <v>44356</v>
      </c>
      <c r="C298" s="1" t="n">
        <v>45510</v>
      </c>
      <c r="D298" t="inlineStr">
        <is>
          <t>UPPSALA LÄN</t>
        </is>
      </c>
      <c r="E298" t="inlineStr">
        <is>
          <t>ENKÖPING</t>
        </is>
      </c>
      <c r="G298" t="n">
        <v>3.2</v>
      </c>
      <c r="H298" t="n">
        <v>0</v>
      </c>
      <c r="I298" t="n">
        <v>0</v>
      </c>
      <c r="J298" t="n">
        <v>0</v>
      </c>
      <c r="K298" t="n">
        <v>0</v>
      </c>
      <c r="L298" t="n">
        <v>0</v>
      </c>
      <c r="M298" t="n">
        <v>0</v>
      </c>
      <c r="N298" t="n">
        <v>0</v>
      </c>
      <c r="O298" t="n">
        <v>0</v>
      </c>
      <c r="P298" t="n">
        <v>0</v>
      </c>
      <c r="Q298" t="n">
        <v>0</v>
      </c>
      <c r="R298" s="2" t="inlineStr"/>
    </row>
    <row r="299" ht="15" customHeight="1">
      <c r="A299" t="inlineStr">
        <is>
          <t>A 28795-2021</t>
        </is>
      </c>
      <c r="B299" s="1" t="n">
        <v>44357</v>
      </c>
      <c r="C299" s="1" t="n">
        <v>45510</v>
      </c>
      <c r="D299" t="inlineStr">
        <is>
          <t>UPPSALA LÄN</t>
        </is>
      </c>
      <c r="E299" t="inlineStr">
        <is>
          <t>ENKÖPING</t>
        </is>
      </c>
      <c r="F299" t="inlineStr">
        <is>
          <t>Allmännings- och besparingsskogar</t>
        </is>
      </c>
      <c r="G299" t="n">
        <v>2.8</v>
      </c>
      <c r="H299" t="n">
        <v>0</v>
      </c>
      <c r="I299" t="n">
        <v>0</v>
      </c>
      <c r="J299" t="n">
        <v>0</v>
      </c>
      <c r="K299" t="n">
        <v>0</v>
      </c>
      <c r="L299" t="n">
        <v>0</v>
      </c>
      <c r="M299" t="n">
        <v>0</v>
      </c>
      <c r="N299" t="n">
        <v>0</v>
      </c>
      <c r="O299" t="n">
        <v>0</v>
      </c>
      <c r="P299" t="n">
        <v>0</v>
      </c>
      <c r="Q299" t="n">
        <v>0</v>
      </c>
      <c r="R299" s="2" t="inlineStr"/>
    </row>
    <row r="300" ht="15" customHeight="1">
      <c r="A300" t="inlineStr">
        <is>
          <t>A 29983-2021</t>
        </is>
      </c>
      <c r="B300" s="1" t="n">
        <v>44363</v>
      </c>
      <c r="C300" s="1" t="n">
        <v>45510</v>
      </c>
      <c r="D300" t="inlineStr">
        <is>
          <t>UPPSALA LÄN</t>
        </is>
      </c>
      <c r="E300" t="inlineStr">
        <is>
          <t>ENKÖPING</t>
        </is>
      </c>
      <c r="F300" t="inlineStr">
        <is>
          <t>Kommuner</t>
        </is>
      </c>
      <c r="G300" t="n">
        <v>3.1</v>
      </c>
      <c r="H300" t="n">
        <v>0</v>
      </c>
      <c r="I300" t="n">
        <v>0</v>
      </c>
      <c r="J300" t="n">
        <v>0</v>
      </c>
      <c r="K300" t="n">
        <v>0</v>
      </c>
      <c r="L300" t="n">
        <v>0</v>
      </c>
      <c r="M300" t="n">
        <v>0</v>
      </c>
      <c r="N300" t="n">
        <v>0</v>
      </c>
      <c r="O300" t="n">
        <v>0</v>
      </c>
      <c r="P300" t="n">
        <v>0</v>
      </c>
      <c r="Q300" t="n">
        <v>0</v>
      </c>
      <c r="R300" s="2" t="inlineStr"/>
    </row>
    <row r="301" ht="15" customHeight="1">
      <c r="A301" t="inlineStr">
        <is>
          <t>A 30514-2021</t>
        </is>
      </c>
      <c r="B301" s="1" t="n">
        <v>44364</v>
      </c>
      <c r="C301" s="1" t="n">
        <v>45510</v>
      </c>
      <c r="D301" t="inlineStr">
        <is>
          <t>UPPSALA LÄN</t>
        </is>
      </c>
      <c r="E301" t="inlineStr">
        <is>
          <t>ENKÖPING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31112-2021</t>
        </is>
      </c>
      <c r="B302" s="1" t="n">
        <v>44368</v>
      </c>
      <c r="C302" s="1" t="n">
        <v>45510</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31965-2021</t>
        </is>
      </c>
      <c r="B303" s="1" t="n">
        <v>44370</v>
      </c>
      <c r="C303" s="1" t="n">
        <v>45510</v>
      </c>
      <c r="D303" t="inlineStr">
        <is>
          <t>UPPSALA LÄN</t>
        </is>
      </c>
      <c r="E303" t="inlineStr">
        <is>
          <t>ENKÖPING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34124-2021</t>
        </is>
      </c>
      <c r="B304" s="1" t="n">
        <v>44379</v>
      </c>
      <c r="C304" s="1" t="n">
        <v>45510</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35645-2021</t>
        </is>
      </c>
      <c r="B305" s="1" t="n">
        <v>44386</v>
      </c>
      <c r="C305" s="1" t="n">
        <v>45510</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35643-2021</t>
        </is>
      </c>
      <c r="B306" s="1" t="n">
        <v>44386</v>
      </c>
      <c r="C306" s="1" t="n">
        <v>45510</v>
      </c>
      <c r="D306" t="inlineStr">
        <is>
          <t>UPPSALA LÄN</t>
        </is>
      </c>
      <c r="E306" t="inlineStr">
        <is>
          <t>ENKÖPING</t>
        </is>
      </c>
      <c r="G306" t="n">
        <v>1.2</v>
      </c>
      <c r="H306" t="n">
        <v>0</v>
      </c>
      <c r="I306" t="n">
        <v>0</v>
      </c>
      <c r="J306" t="n">
        <v>0</v>
      </c>
      <c r="K306" t="n">
        <v>0</v>
      </c>
      <c r="L306" t="n">
        <v>0</v>
      </c>
      <c r="M306" t="n">
        <v>0</v>
      </c>
      <c r="N306" t="n">
        <v>0</v>
      </c>
      <c r="O306" t="n">
        <v>0</v>
      </c>
      <c r="P306" t="n">
        <v>0</v>
      </c>
      <c r="Q306" t="n">
        <v>0</v>
      </c>
      <c r="R306" s="2" t="inlineStr"/>
    </row>
    <row r="307" ht="15" customHeight="1">
      <c r="A307" t="inlineStr">
        <is>
          <t>A 35638-2021</t>
        </is>
      </c>
      <c r="B307" s="1" t="n">
        <v>44386</v>
      </c>
      <c r="C307" s="1" t="n">
        <v>45510</v>
      </c>
      <c r="D307" t="inlineStr">
        <is>
          <t>UPPSALA LÄN</t>
        </is>
      </c>
      <c r="E307" t="inlineStr">
        <is>
          <t>ENKÖPING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35647-2021</t>
        </is>
      </c>
      <c r="B308" s="1" t="n">
        <v>44386</v>
      </c>
      <c r="C308" s="1" t="n">
        <v>45510</v>
      </c>
      <c r="D308" t="inlineStr">
        <is>
          <t>UPPSALA LÄN</t>
        </is>
      </c>
      <c r="E308" t="inlineStr">
        <is>
          <t>ENKÖPING</t>
        </is>
      </c>
      <c r="G308" t="n">
        <v>1</v>
      </c>
      <c r="H308" t="n">
        <v>0</v>
      </c>
      <c r="I308" t="n">
        <v>0</v>
      </c>
      <c r="J308" t="n">
        <v>0</v>
      </c>
      <c r="K308" t="n">
        <v>0</v>
      </c>
      <c r="L308" t="n">
        <v>0</v>
      </c>
      <c r="M308" t="n">
        <v>0</v>
      </c>
      <c r="N308" t="n">
        <v>0</v>
      </c>
      <c r="O308" t="n">
        <v>0</v>
      </c>
      <c r="P308" t="n">
        <v>0</v>
      </c>
      <c r="Q308" t="n">
        <v>0</v>
      </c>
      <c r="R308" s="2" t="inlineStr"/>
    </row>
    <row r="309" ht="15" customHeight="1">
      <c r="A309" t="inlineStr">
        <is>
          <t>A 35641-2021</t>
        </is>
      </c>
      <c r="B309" s="1" t="n">
        <v>44386</v>
      </c>
      <c r="C309" s="1" t="n">
        <v>45510</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35632-2021</t>
        </is>
      </c>
      <c r="B310" s="1" t="n">
        <v>44386</v>
      </c>
      <c r="C310" s="1" t="n">
        <v>45510</v>
      </c>
      <c r="D310" t="inlineStr">
        <is>
          <t>UPPSALA LÄN</t>
        </is>
      </c>
      <c r="E310" t="inlineStr">
        <is>
          <t>ENKÖPING</t>
        </is>
      </c>
      <c r="G310" t="n">
        <v>3.1</v>
      </c>
      <c r="H310" t="n">
        <v>0</v>
      </c>
      <c r="I310" t="n">
        <v>0</v>
      </c>
      <c r="J310" t="n">
        <v>0</v>
      </c>
      <c r="K310" t="n">
        <v>0</v>
      </c>
      <c r="L310" t="n">
        <v>0</v>
      </c>
      <c r="M310" t="n">
        <v>0</v>
      </c>
      <c r="N310" t="n">
        <v>0</v>
      </c>
      <c r="O310" t="n">
        <v>0</v>
      </c>
      <c r="P310" t="n">
        <v>0</v>
      </c>
      <c r="Q310" t="n">
        <v>0</v>
      </c>
      <c r="R310" s="2" t="inlineStr"/>
    </row>
    <row r="311" ht="15" customHeight="1">
      <c r="A311" t="inlineStr">
        <is>
          <t>A 36523-2021</t>
        </is>
      </c>
      <c r="B311" s="1" t="n">
        <v>44391</v>
      </c>
      <c r="C311" s="1" t="n">
        <v>45510</v>
      </c>
      <c r="D311" t="inlineStr">
        <is>
          <t>UPPSALA LÄN</t>
        </is>
      </c>
      <c r="E311" t="inlineStr">
        <is>
          <t>ENKÖPING</t>
        </is>
      </c>
      <c r="G311" t="n">
        <v>3.5</v>
      </c>
      <c r="H311" t="n">
        <v>0</v>
      </c>
      <c r="I311" t="n">
        <v>0</v>
      </c>
      <c r="J311" t="n">
        <v>0</v>
      </c>
      <c r="K311" t="n">
        <v>0</v>
      </c>
      <c r="L311" t="n">
        <v>0</v>
      </c>
      <c r="M311" t="n">
        <v>0</v>
      </c>
      <c r="N311" t="n">
        <v>0</v>
      </c>
      <c r="O311" t="n">
        <v>0</v>
      </c>
      <c r="P311" t="n">
        <v>0</v>
      </c>
      <c r="Q311" t="n">
        <v>0</v>
      </c>
      <c r="R311" s="2" t="inlineStr"/>
    </row>
    <row r="312" ht="15" customHeight="1">
      <c r="A312" t="inlineStr">
        <is>
          <t>A 37170-2021</t>
        </is>
      </c>
      <c r="B312" s="1" t="n">
        <v>44395</v>
      </c>
      <c r="C312" s="1" t="n">
        <v>45510</v>
      </c>
      <c r="D312" t="inlineStr">
        <is>
          <t>UPPSALA LÄN</t>
        </is>
      </c>
      <c r="E312" t="inlineStr">
        <is>
          <t>ENKÖPING</t>
        </is>
      </c>
      <c r="G312" t="n">
        <v>1.5</v>
      </c>
      <c r="H312" t="n">
        <v>0</v>
      </c>
      <c r="I312" t="n">
        <v>0</v>
      </c>
      <c r="J312" t="n">
        <v>0</v>
      </c>
      <c r="K312" t="n">
        <v>0</v>
      </c>
      <c r="L312" t="n">
        <v>0</v>
      </c>
      <c r="M312" t="n">
        <v>0</v>
      </c>
      <c r="N312" t="n">
        <v>0</v>
      </c>
      <c r="O312" t="n">
        <v>0</v>
      </c>
      <c r="P312" t="n">
        <v>0</v>
      </c>
      <c r="Q312" t="n">
        <v>0</v>
      </c>
      <c r="R312" s="2" t="inlineStr"/>
    </row>
    <row r="313" ht="15" customHeight="1">
      <c r="A313" t="inlineStr">
        <is>
          <t>A 37563-2021</t>
        </is>
      </c>
      <c r="B313" s="1" t="n">
        <v>44399</v>
      </c>
      <c r="C313" s="1" t="n">
        <v>45510</v>
      </c>
      <c r="D313" t="inlineStr">
        <is>
          <t>UPPSALA LÄN</t>
        </is>
      </c>
      <c r="E313" t="inlineStr">
        <is>
          <t>ENKÖPING</t>
        </is>
      </c>
      <c r="G313" t="n">
        <v>5.1</v>
      </c>
      <c r="H313" t="n">
        <v>0</v>
      </c>
      <c r="I313" t="n">
        <v>0</v>
      </c>
      <c r="J313" t="n">
        <v>0</v>
      </c>
      <c r="K313" t="n">
        <v>0</v>
      </c>
      <c r="L313" t="n">
        <v>0</v>
      </c>
      <c r="M313" t="n">
        <v>0</v>
      </c>
      <c r="N313" t="n">
        <v>0</v>
      </c>
      <c r="O313" t="n">
        <v>0</v>
      </c>
      <c r="P313" t="n">
        <v>0</v>
      </c>
      <c r="Q313" t="n">
        <v>0</v>
      </c>
      <c r="R313" s="2" t="inlineStr"/>
    </row>
    <row r="314" ht="15" customHeight="1">
      <c r="A314" t="inlineStr">
        <is>
          <t>A 37570-2021</t>
        </is>
      </c>
      <c r="B314" s="1" t="n">
        <v>44399</v>
      </c>
      <c r="C314" s="1" t="n">
        <v>45510</v>
      </c>
      <c r="D314" t="inlineStr">
        <is>
          <t>UPPSALA LÄN</t>
        </is>
      </c>
      <c r="E314" t="inlineStr">
        <is>
          <t>ENKÖPING</t>
        </is>
      </c>
      <c r="G314" t="n">
        <v>0.4</v>
      </c>
      <c r="H314" t="n">
        <v>0</v>
      </c>
      <c r="I314" t="n">
        <v>0</v>
      </c>
      <c r="J314" t="n">
        <v>0</v>
      </c>
      <c r="K314" t="n">
        <v>0</v>
      </c>
      <c r="L314" t="n">
        <v>0</v>
      </c>
      <c r="M314" t="n">
        <v>0</v>
      </c>
      <c r="N314" t="n">
        <v>0</v>
      </c>
      <c r="O314" t="n">
        <v>0</v>
      </c>
      <c r="P314" t="n">
        <v>0</v>
      </c>
      <c r="Q314" t="n">
        <v>0</v>
      </c>
      <c r="R314" s="2" t="inlineStr"/>
    </row>
    <row r="315" ht="15" customHeight="1">
      <c r="A315" t="inlineStr">
        <is>
          <t>A 37573-2021</t>
        </is>
      </c>
      <c r="B315" s="1" t="n">
        <v>44399</v>
      </c>
      <c r="C315" s="1" t="n">
        <v>45510</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37568-2021</t>
        </is>
      </c>
      <c r="B316" s="1" t="n">
        <v>44399</v>
      </c>
      <c r="C316" s="1" t="n">
        <v>45510</v>
      </c>
      <c r="D316" t="inlineStr">
        <is>
          <t>UPPSALA LÄN</t>
        </is>
      </c>
      <c r="E316" t="inlineStr">
        <is>
          <t>ENKÖPING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37564-2021</t>
        </is>
      </c>
      <c r="B317" s="1" t="n">
        <v>44399</v>
      </c>
      <c r="C317" s="1" t="n">
        <v>45510</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37571-2021</t>
        </is>
      </c>
      <c r="B318" s="1" t="n">
        <v>44399</v>
      </c>
      <c r="C318" s="1" t="n">
        <v>45510</v>
      </c>
      <c r="D318" t="inlineStr">
        <is>
          <t>UPPSALA LÄN</t>
        </is>
      </c>
      <c r="E318" t="inlineStr">
        <is>
          <t>ENKÖPING</t>
        </is>
      </c>
      <c r="G318" t="n">
        <v>4.6</v>
      </c>
      <c r="H318" t="n">
        <v>0</v>
      </c>
      <c r="I318" t="n">
        <v>0</v>
      </c>
      <c r="J318" t="n">
        <v>0</v>
      </c>
      <c r="K318" t="n">
        <v>0</v>
      </c>
      <c r="L318" t="n">
        <v>0</v>
      </c>
      <c r="M318" t="n">
        <v>0</v>
      </c>
      <c r="N318" t="n">
        <v>0</v>
      </c>
      <c r="O318" t="n">
        <v>0</v>
      </c>
      <c r="P318" t="n">
        <v>0</v>
      </c>
      <c r="Q318" t="n">
        <v>0</v>
      </c>
      <c r="R318" s="2" t="inlineStr"/>
    </row>
    <row r="319" ht="15" customHeight="1">
      <c r="A319" t="inlineStr">
        <is>
          <t>A 42021-2021</t>
        </is>
      </c>
      <c r="B319" s="1" t="n">
        <v>44426</v>
      </c>
      <c r="C319" s="1" t="n">
        <v>45510</v>
      </c>
      <c r="D319" t="inlineStr">
        <is>
          <t>UPPSALA LÄN</t>
        </is>
      </c>
      <c r="E319" t="inlineStr">
        <is>
          <t>ENKÖPING</t>
        </is>
      </c>
      <c r="G319" t="n">
        <v>2.2</v>
      </c>
      <c r="H319" t="n">
        <v>0</v>
      </c>
      <c r="I319" t="n">
        <v>0</v>
      </c>
      <c r="J319" t="n">
        <v>0</v>
      </c>
      <c r="K319" t="n">
        <v>0</v>
      </c>
      <c r="L319" t="n">
        <v>0</v>
      </c>
      <c r="M319" t="n">
        <v>0</v>
      </c>
      <c r="N319" t="n">
        <v>0</v>
      </c>
      <c r="O319" t="n">
        <v>0</v>
      </c>
      <c r="P319" t="n">
        <v>0</v>
      </c>
      <c r="Q319" t="n">
        <v>0</v>
      </c>
      <c r="R319" s="2" t="inlineStr"/>
    </row>
    <row r="320" ht="15" customHeight="1">
      <c r="A320" t="inlineStr">
        <is>
          <t>A 42029-2021</t>
        </is>
      </c>
      <c r="B320" s="1" t="n">
        <v>44426</v>
      </c>
      <c r="C320" s="1" t="n">
        <v>45510</v>
      </c>
      <c r="D320" t="inlineStr">
        <is>
          <t>UPPSALA LÄN</t>
        </is>
      </c>
      <c r="E320" t="inlineStr">
        <is>
          <t>ENKÖPING</t>
        </is>
      </c>
      <c r="G320" t="n">
        <v>5.3</v>
      </c>
      <c r="H320" t="n">
        <v>0</v>
      </c>
      <c r="I320" t="n">
        <v>0</v>
      </c>
      <c r="J320" t="n">
        <v>0</v>
      </c>
      <c r="K320" t="n">
        <v>0</v>
      </c>
      <c r="L320" t="n">
        <v>0</v>
      </c>
      <c r="M320" t="n">
        <v>0</v>
      </c>
      <c r="N320" t="n">
        <v>0</v>
      </c>
      <c r="O320" t="n">
        <v>0</v>
      </c>
      <c r="P320" t="n">
        <v>0</v>
      </c>
      <c r="Q320" t="n">
        <v>0</v>
      </c>
      <c r="R320" s="2" t="inlineStr"/>
    </row>
    <row r="321" ht="15" customHeight="1">
      <c r="A321" t="inlineStr">
        <is>
          <t>A 43016-2021</t>
        </is>
      </c>
      <c r="B321" s="1" t="n">
        <v>44431</v>
      </c>
      <c r="C321" s="1" t="n">
        <v>45510</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44727-2021</t>
        </is>
      </c>
      <c r="B322" s="1" t="n">
        <v>44438</v>
      </c>
      <c r="C322" s="1" t="n">
        <v>45510</v>
      </c>
      <c r="D322" t="inlineStr">
        <is>
          <t>UPPSALA LÄN</t>
        </is>
      </c>
      <c r="E322" t="inlineStr">
        <is>
          <t>ENKÖPING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47106-2021</t>
        </is>
      </c>
      <c r="B323" s="1" t="n">
        <v>44446</v>
      </c>
      <c r="C323" s="1" t="n">
        <v>45510</v>
      </c>
      <c r="D323" t="inlineStr">
        <is>
          <t>UPPSALA LÄN</t>
        </is>
      </c>
      <c r="E323" t="inlineStr">
        <is>
          <t>ENKÖPING</t>
        </is>
      </c>
      <c r="G323" t="n">
        <v>7.6</v>
      </c>
      <c r="H323" t="n">
        <v>0</v>
      </c>
      <c r="I323" t="n">
        <v>0</v>
      </c>
      <c r="J323" t="n">
        <v>0</v>
      </c>
      <c r="K323" t="n">
        <v>0</v>
      </c>
      <c r="L323" t="n">
        <v>0</v>
      </c>
      <c r="M323" t="n">
        <v>0</v>
      </c>
      <c r="N323" t="n">
        <v>0</v>
      </c>
      <c r="O323" t="n">
        <v>0</v>
      </c>
      <c r="P323" t="n">
        <v>0</v>
      </c>
      <c r="Q323" t="n">
        <v>0</v>
      </c>
      <c r="R323" s="2" t="inlineStr"/>
    </row>
    <row r="324" ht="15" customHeight="1">
      <c r="A324" t="inlineStr">
        <is>
          <t>A 48981-2021</t>
        </is>
      </c>
      <c r="B324" s="1" t="n">
        <v>44453</v>
      </c>
      <c r="C324" s="1" t="n">
        <v>45510</v>
      </c>
      <c r="D324" t="inlineStr">
        <is>
          <t>UPPSALA LÄN</t>
        </is>
      </c>
      <c r="E324" t="inlineStr">
        <is>
          <t>ENKÖPING</t>
        </is>
      </c>
      <c r="G324" t="n">
        <v>1.7</v>
      </c>
      <c r="H324" t="n">
        <v>0</v>
      </c>
      <c r="I324" t="n">
        <v>0</v>
      </c>
      <c r="J324" t="n">
        <v>0</v>
      </c>
      <c r="K324" t="n">
        <v>0</v>
      </c>
      <c r="L324" t="n">
        <v>0</v>
      </c>
      <c r="M324" t="n">
        <v>0</v>
      </c>
      <c r="N324" t="n">
        <v>0</v>
      </c>
      <c r="O324" t="n">
        <v>0</v>
      </c>
      <c r="P324" t="n">
        <v>0</v>
      </c>
      <c r="Q324" t="n">
        <v>0</v>
      </c>
      <c r="R324" s="2" t="inlineStr"/>
    </row>
    <row r="325" ht="15" customHeight="1">
      <c r="A325" t="inlineStr">
        <is>
          <t>A 49375-2021</t>
        </is>
      </c>
      <c r="B325" s="1" t="n">
        <v>44454</v>
      </c>
      <c r="C325" s="1" t="n">
        <v>45510</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49525-2021</t>
        </is>
      </c>
      <c r="B326" s="1" t="n">
        <v>44455</v>
      </c>
      <c r="C326" s="1" t="n">
        <v>45510</v>
      </c>
      <c r="D326" t="inlineStr">
        <is>
          <t>UPPSALA LÄN</t>
        </is>
      </c>
      <c r="E326" t="inlineStr">
        <is>
          <t>ENKÖPING</t>
        </is>
      </c>
      <c r="G326" t="n">
        <v>1.8</v>
      </c>
      <c r="H326" t="n">
        <v>0</v>
      </c>
      <c r="I326" t="n">
        <v>0</v>
      </c>
      <c r="J326" t="n">
        <v>0</v>
      </c>
      <c r="K326" t="n">
        <v>0</v>
      </c>
      <c r="L326" t="n">
        <v>0</v>
      </c>
      <c r="M326" t="n">
        <v>0</v>
      </c>
      <c r="N326" t="n">
        <v>0</v>
      </c>
      <c r="O326" t="n">
        <v>0</v>
      </c>
      <c r="P326" t="n">
        <v>0</v>
      </c>
      <c r="Q326" t="n">
        <v>0</v>
      </c>
      <c r="R326" s="2" t="inlineStr"/>
    </row>
    <row r="327" ht="15" customHeight="1">
      <c r="A327" t="inlineStr">
        <is>
          <t>A 50893-2021</t>
        </is>
      </c>
      <c r="B327" s="1" t="n">
        <v>44460</v>
      </c>
      <c r="C327" s="1" t="n">
        <v>45510</v>
      </c>
      <c r="D327" t="inlineStr">
        <is>
          <t>UPPSALA LÄN</t>
        </is>
      </c>
      <c r="E327" t="inlineStr">
        <is>
          <t>ENKÖPING</t>
        </is>
      </c>
      <c r="G327" t="n">
        <v>7.3</v>
      </c>
      <c r="H327" t="n">
        <v>0</v>
      </c>
      <c r="I327" t="n">
        <v>0</v>
      </c>
      <c r="J327" t="n">
        <v>0</v>
      </c>
      <c r="K327" t="n">
        <v>0</v>
      </c>
      <c r="L327" t="n">
        <v>0</v>
      </c>
      <c r="M327" t="n">
        <v>0</v>
      </c>
      <c r="N327" t="n">
        <v>0</v>
      </c>
      <c r="O327" t="n">
        <v>0</v>
      </c>
      <c r="P327" t="n">
        <v>0</v>
      </c>
      <c r="Q327" t="n">
        <v>0</v>
      </c>
      <c r="R327" s="2" t="inlineStr"/>
    </row>
    <row r="328" ht="15" customHeight="1">
      <c r="A328" t="inlineStr">
        <is>
          <t>A 52014-2021</t>
        </is>
      </c>
      <c r="B328" s="1" t="n">
        <v>44463</v>
      </c>
      <c r="C328" s="1" t="n">
        <v>45510</v>
      </c>
      <c r="D328" t="inlineStr">
        <is>
          <t>UPPSALA LÄN</t>
        </is>
      </c>
      <c r="E328" t="inlineStr">
        <is>
          <t>ENKÖPING</t>
        </is>
      </c>
      <c r="G328" t="n">
        <v>5.8</v>
      </c>
      <c r="H328" t="n">
        <v>0</v>
      </c>
      <c r="I328" t="n">
        <v>0</v>
      </c>
      <c r="J328" t="n">
        <v>0</v>
      </c>
      <c r="K328" t="n">
        <v>0</v>
      </c>
      <c r="L328" t="n">
        <v>0</v>
      </c>
      <c r="M328" t="n">
        <v>0</v>
      </c>
      <c r="N328" t="n">
        <v>0</v>
      </c>
      <c r="O328" t="n">
        <v>0</v>
      </c>
      <c r="P328" t="n">
        <v>0</v>
      </c>
      <c r="Q328" t="n">
        <v>0</v>
      </c>
      <c r="R328" s="2" t="inlineStr"/>
    </row>
    <row r="329" ht="15" customHeight="1">
      <c r="A329" t="inlineStr">
        <is>
          <t>A 54433-2021</t>
        </is>
      </c>
      <c r="B329" s="1" t="n">
        <v>44473</v>
      </c>
      <c r="C329" s="1" t="n">
        <v>45510</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54595-2021</t>
        </is>
      </c>
      <c r="B330" s="1" t="n">
        <v>44473</v>
      </c>
      <c r="C330" s="1" t="n">
        <v>45510</v>
      </c>
      <c r="D330" t="inlineStr">
        <is>
          <t>UPPSALA LÄN</t>
        </is>
      </c>
      <c r="E330" t="inlineStr">
        <is>
          <t>ENKÖPING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55582-2021</t>
        </is>
      </c>
      <c r="B331" s="1" t="n">
        <v>44475</v>
      </c>
      <c r="C331" s="1" t="n">
        <v>45510</v>
      </c>
      <c r="D331" t="inlineStr">
        <is>
          <t>UPPSALA LÄN</t>
        </is>
      </c>
      <c r="E331" t="inlineStr">
        <is>
          <t>ENKÖPING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56163-2021</t>
        </is>
      </c>
      <c r="B332" s="1" t="n">
        <v>44477</v>
      </c>
      <c r="C332" s="1" t="n">
        <v>45510</v>
      </c>
      <c r="D332" t="inlineStr">
        <is>
          <t>UPPSALA LÄN</t>
        </is>
      </c>
      <c r="E332" t="inlineStr">
        <is>
          <t>ENKÖPING</t>
        </is>
      </c>
      <c r="F332" t="inlineStr">
        <is>
          <t>Allmännings- och besparingsskogar</t>
        </is>
      </c>
      <c r="G332" t="n">
        <v>0.6</v>
      </c>
      <c r="H332" t="n">
        <v>0</v>
      </c>
      <c r="I332" t="n">
        <v>0</v>
      </c>
      <c r="J332" t="n">
        <v>0</v>
      </c>
      <c r="K332" t="n">
        <v>0</v>
      </c>
      <c r="L332" t="n">
        <v>0</v>
      </c>
      <c r="M332" t="n">
        <v>0</v>
      </c>
      <c r="N332" t="n">
        <v>0</v>
      </c>
      <c r="O332" t="n">
        <v>0</v>
      </c>
      <c r="P332" t="n">
        <v>0</v>
      </c>
      <c r="Q332" t="n">
        <v>0</v>
      </c>
      <c r="R332" s="2" t="inlineStr"/>
    </row>
    <row r="333" ht="15" customHeight="1">
      <c r="A333" t="inlineStr">
        <is>
          <t>A 56176-2021</t>
        </is>
      </c>
      <c r="B333" s="1" t="n">
        <v>44477</v>
      </c>
      <c r="C333" s="1" t="n">
        <v>45510</v>
      </c>
      <c r="D333" t="inlineStr">
        <is>
          <t>UPPSALA LÄN</t>
        </is>
      </c>
      <c r="E333" t="inlineStr">
        <is>
          <t>ENKÖPING</t>
        </is>
      </c>
      <c r="G333" t="n">
        <v>2.9</v>
      </c>
      <c r="H333" t="n">
        <v>0</v>
      </c>
      <c r="I333" t="n">
        <v>0</v>
      </c>
      <c r="J333" t="n">
        <v>0</v>
      </c>
      <c r="K333" t="n">
        <v>0</v>
      </c>
      <c r="L333" t="n">
        <v>0</v>
      </c>
      <c r="M333" t="n">
        <v>0</v>
      </c>
      <c r="N333" t="n">
        <v>0</v>
      </c>
      <c r="O333" t="n">
        <v>0</v>
      </c>
      <c r="P333" t="n">
        <v>0</v>
      </c>
      <c r="Q333" t="n">
        <v>0</v>
      </c>
      <c r="R333" s="2" t="inlineStr"/>
    </row>
    <row r="334" ht="15" customHeight="1">
      <c r="A334" t="inlineStr">
        <is>
          <t>A 57043-2021</t>
        </is>
      </c>
      <c r="B334" s="1" t="n">
        <v>44482</v>
      </c>
      <c r="C334" s="1" t="n">
        <v>45510</v>
      </c>
      <c r="D334" t="inlineStr">
        <is>
          <t>UPPSALA LÄN</t>
        </is>
      </c>
      <c r="E334" t="inlineStr">
        <is>
          <t>ENKÖPING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57055-2021</t>
        </is>
      </c>
      <c r="B335" s="1" t="n">
        <v>44482</v>
      </c>
      <c r="C335" s="1" t="n">
        <v>45510</v>
      </c>
      <c r="D335" t="inlineStr">
        <is>
          <t>UPPSALA LÄN</t>
        </is>
      </c>
      <c r="E335" t="inlineStr">
        <is>
          <t>ENKÖPING</t>
        </is>
      </c>
      <c r="G335" t="n">
        <v>3.3</v>
      </c>
      <c r="H335" t="n">
        <v>0</v>
      </c>
      <c r="I335" t="n">
        <v>0</v>
      </c>
      <c r="J335" t="n">
        <v>0</v>
      </c>
      <c r="K335" t="n">
        <v>0</v>
      </c>
      <c r="L335" t="n">
        <v>0</v>
      </c>
      <c r="M335" t="n">
        <v>0</v>
      </c>
      <c r="N335" t="n">
        <v>0</v>
      </c>
      <c r="O335" t="n">
        <v>0</v>
      </c>
      <c r="P335" t="n">
        <v>0</v>
      </c>
      <c r="Q335" t="n">
        <v>0</v>
      </c>
      <c r="R335" s="2" t="inlineStr"/>
    </row>
    <row r="336" ht="15" customHeight="1">
      <c r="A336" t="inlineStr">
        <is>
          <t>A 57066-2021</t>
        </is>
      </c>
      <c r="B336" s="1" t="n">
        <v>44482</v>
      </c>
      <c r="C336" s="1" t="n">
        <v>45510</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57078-2021</t>
        </is>
      </c>
      <c r="B337" s="1" t="n">
        <v>44482</v>
      </c>
      <c r="C337" s="1" t="n">
        <v>45510</v>
      </c>
      <c r="D337" t="inlineStr">
        <is>
          <t>UPPSALA LÄN</t>
        </is>
      </c>
      <c r="E337" t="inlineStr">
        <is>
          <t>ENKÖPING</t>
        </is>
      </c>
      <c r="G337" t="n">
        <v>3</v>
      </c>
      <c r="H337" t="n">
        <v>0</v>
      </c>
      <c r="I337" t="n">
        <v>0</v>
      </c>
      <c r="J337" t="n">
        <v>0</v>
      </c>
      <c r="K337" t="n">
        <v>0</v>
      </c>
      <c r="L337" t="n">
        <v>0</v>
      </c>
      <c r="M337" t="n">
        <v>0</v>
      </c>
      <c r="N337" t="n">
        <v>0</v>
      </c>
      <c r="O337" t="n">
        <v>0</v>
      </c>
      <c r="P337" t="n">
        <v>0</v>
      </c>
      <c r="Q337" t="n">
        <v>0</v>
      </c>
      <c r="R337" s="2" t="inlineStr"/>
    </row>
    <row r="338" ht="15" customHeight="1">
      <c r="A338" t="inlineStr">
        <is>
          <t>A 57142-2021</t>
        </is>
      </c>
      <c r="B338" s="1" t="n">
        <v>44482</v>
      </c>
      <c r="C338" s="1" t="n">
        <v>45510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57153-2021</t>
        </is>
      </c>
      <c r="B339" s="1" t="n">
        <v>44482</v>
      </c>
      <c r="C339" s="1" t="n">
        <v>45510</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57147-2021</t>
        </is>
      </c>
      <c r="B340" s="1" t="n">
        <v>44482</v>
      </c>
      <c r="C340" s="1" t="n">
        <v>45510</v>
      </c>
      <c r="D340" t="inlineStr">
        <is>
          <t>UPPSALA LÄN</t>
        </is>
      </c>
      <c r="E340" t="inlineStr">
        <is>
          <t>ENKÖPING</t>
        </is>
      </c>
      <c r="G340" t="n">
        <v>5.7</v>
      </c>
      <c r="H340" t="n">
        <v>0</v>
      </c>
      <c r="I340" t="n">
        <v>0</v>
      </c>
      <c r="J340" t="n">
        <v>0</v>
      </c>
      <c r="K340" t="n">
        <v>0</v>
      </c>
      <c r="L340" t="n">
        <v>0</v>
      </c>
      <c r="M340" t="n">
        <v>0</v>
      </c>
      <c r="N340" t="n">
        <v>0</v>
      </c>
      <c r="O340" t="n">
        <v>0</v>
      </c>
      <c r="P340" t="n">
        <v>0</v>
      </c>
      <c r="Q340" t="n">
        <v>0</v>
      </c>
      <c r="R340" s="2" t="inlineStr"/>
    </row>
    <row r="341" ht="15" customHeight="1">
      <c r="A341" t="inlineStr">
        <is>
          <t>A 57152-2021</t>
        </is>
      </c>
      <c r="B341" s="1" t="n">
        <v>44482</v>
      </c>
      <c r="C341" s="1" t="n">
        <v>45510</v>
      </c>
      <c r="D341" t="inlineStr">
        <is>
          <t>UPPSALA LÄN</t>
        </is>
      </c>
      <c r="E341" t="inlineStr">
        <is>
          <t>ENKÖPING</t>
        </is>
      </c>
      <c r="G341" t="n">
        <v>1.4</v>
      </c>
      <c r="H341" t="n">
        <v>0</v>
      </c>
      <c r="I341" t="n">
        <v>0</v>
      </c>
      <c r="J341" t="n">
        <v>0</v>
      </c>
      <c r="K341" t="n">
        <v>0</v>
      </c>
      <c r="L341" t="n">
        <v>0</v>
      </c>
      <c r="M341" t="n">
        <v>0</v>
      </c>
      <c r="N341" t="n">
        <v>0</v>
      </c>
      <c r="O341" t="n">
        <v>0</v>
      </c>
      <c r="P341" t="n">
        <v>0</v>
      </c>
      <c r="Q341" t="n">
        <v>0</v>
      </c>
      <c r="R341" s="2" t="inlineStr"/>
    </row>
    <row r="342" ht="15" customHeight="1">
      <c r="A342" t="inlineStr">
        <is>
          <t>A 59121-2021</t>
        </is>
      </c>
      <c r="B342" s="1" t="n">
        <v>44490</v>
      </c>
      <c r="C342" s="1" t="n">
        <v>45510</v>
      </c>
      <c r="D342" t="inlineStr">
        <is>
          <t>UPPSALA LÄN</t>
        </is>
      </c>
      <c r="E342" t="inlineStr">
        <is>
          <t>ENKÖPING</t>
        </is>
      </c>
      <c r="G342" t="n">
        <v>2.4</v>
      </c>
      <c r="H342" t="n">
        <v>0</v>
      </c>
      <c r="I342" t="n">
        <v>0</v>
      </c>
      <c r="J342" t="n">
        <v>0</v>
      </c>
      <c r="K342" t="n">
        <v>0</v>
      </c>
      <c r="L342" t="n">
        <v>0</v>
      </c>
      <c r="M342" t="n">
        <v>0</v>
      </c>
      <c r="N342" t="n">
        <v>0</v>
      </c>
      <c r="O342" t="n">
        <v>0</v>
      </c>
      <c r="P342" t="n">
        <v>0</v>
      </c>
      <c r="Q342" t="n">
        <v>0</v>
      </c>
      <c r="R342" s="2" t="inlineStr"/>
    </row>
    <row r="343" ht="15" customHeight="1">
      <c r="A343" t="inlineStr">
        <is>
          <t>A 60533-2021</t>
        </is>
      </c>
      <c r="B343" s="1" t="n">
        <v>44496</v>
      </c>
      <c r="C343" s="1" t="n">
        <v>45510</v>
      </c>
      <c r="D343" t="inlineStr">
        <is>
          <t>UPPSALA LÄN</t>
        </is>
      </c>
      <c r="E343" t="inlineStr">
        <is>
          <t>ENKÖPING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60874-2021</t>
        </is>
      </c>
      <c r="B344" s="1" t="n">
        <v>44497</v>
      </c>
      <c r="C344" s="1" t="n">
        <v>45510</v>
      </c>
      <c r="D344" t="inlineStr">
        <is>
          <t>UPPSALA LÄN</t>
        </is>
      </c>
      <c r="E344" t="inlineStr">
        <is>
          <t>ENKÖPING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61076-2021</t>
        </is>
      </c>
      <c r="B345" s="1" t="n">
        <v>44497</v>
      </c>
      <c r="C345" s="1" t="n">
        <v>45510</v>
      </c>
      <c r="D345" t="inlineStr">
        <is>
          <t>UPPSALA LÄN</t>
        </is>
      </c>
      <c r="E345" t="inlineStr">
        <is>
          <t>ENKÖPING</t>
        </is>
      </c>
      <c r="G345" t="n">
        <v>0.2</v>
      </c>
      <c r="H345" t="n">
        <v>0</v>
      </c>
      <c r="I345" t="n">
        <v>0</v>
      </c>
      <c r="J345" t="n">
        <v>0</v>
      </c>
      <c r="K345" t="n">
        <v>0</v>
      </c>
      <c r="L345" t="n">
        <v>0</v>
      </c>
      <c r="M345" t="n">
        <v>0</v>
      </c>
      <c r="N345" t="n">
        <v>0</v>
      </c>
      <c r="O345" t="n">
        <v>0</v>
      </c>
      <c r="P345" t="n">
        <v>0</v>
      </c>
      <c r="Q345" t="n">
        <v>0</v>
      </c>
      <c r="R345" s="2" t="inlineStr"/>
    </row>
    <row r="346" ht="15" customHeight="1">
      <c r="A346" t="inlineStr">
        <is>
          <t>A 61553-2021</t>
        </is>
      </c>
      <c r="B346" s="1" t="n">
        <v>44501</v>
      </c>
      <c r="C346" s="1" t="n">
        <v>45510</v>
      </c>
      <c r="D346" t="inlineStr">
        <is>
          <t>UPPSALA LÄN</t>
        </is>
      </c>
      <c r="E346" t="inlineStr">
        <is>
          <t>ENKÖPING</t>
        </is>
      </c>
      <c r="G346" t="n">
        <v>1.3</v>
      </c>
      <c r="H346" t="n">
        <v>0</v>
      </c>
      <c r="I346" t="n">
        <v>0</v>
      </c>
      <c r="J346" t="n">
        <v>0</v>
      </c>
      <c r="K346" t="n">
        <v>0</v>
      </c>
      <c r="L346" t="n">
        <v>0</v>
      </c>
      <c r="M346" t="n">
        <v>0</v>
      </c>
      <c r="N346" t="n">
        <v>0</v>
      </c>
      <c r="O346" t="n">
        <v>0</v>
      </c>
      <c r="P346" t="n">
        <v>0</v>
      </c>
      <c r="Q346" t="n">
        <v>0</v>
      </c>
      <c r="R346" s="2" t="inlineStr"/>
    </row>
    <row r="347" ht="15" customHeight="1">
      <c r="A347" t="inlineStr">
        <is>
          <t>A 61952-2021</t>
        </is>
      </c>
      <c r="B347" s="1" t="n">
        <v>44502</v>
      </c>
      <c r="C347" s="1" t="n">
        <v>45510</v>
      </c>
      <c r="D347" t="inlineStr">
        <is>
          <t>UPPSALA LÄN</t>
        </is>
      </c>
      <c r="E347" t="inlineStr">
        <is>
          <t>ENKÖPING</t>
        </is>
      </c>
      <c r="G347" t="n">
        <v>2.3</v>
      </c>
      <c r="H347" t="n">
        <v>0</v>
      </c>
      <c r="I347" t="n">
        <v>0</v>
      </c>
      <c r="J347" t="n">
        <v>0</v>
      </c>
      <c r="K347" t="n">
        <v>0</v>
      </c>
      <c r="L347" t="n">
        <v>0</v>
      </c>
      <c r="M347" t="n">
        <v>0</v>
      </c>
      <c r="N347" t="n">
        <v>0</v>
      </c>
      <c r="O347" t="n">
        <v>0</v>
      </c>
      <c r="P347" t="n">
        <v>0</v>
      </c>
      <c r="Q347" t="n">
        <v>0</v>
      </c>
      <c r="R347" s="2" t="inlineStr"/>
    </row>
    <row r="348" ht="15" customHeight="1">
      <c r="A348" t="inlineStr">
        <is>
          <t>A 62046-2021</t>
        </is>
      </c>
      <c r="B348" s="1" t="n">
        <v>44502</v>
      </c>
      <c r="C348" s="1" t="n">
        <v>45510</v>
      </c>
      <c r="D348" t="inlineStr">
        <is>
          <t>UPPSALA LÄN</t>
        </is>
      </c>
      <c r="E348" t="inlineStr">
        <is>
          <t>ENKÖPING</t>
        </is>
      </c>
      <c r="G348" t="n">
        <v>1.2</v>
      </c>
      <c r="H348" t="n">
        <v>0</v>
      </c>
      <c r="I348" t="n">
        <v>0</v>
      </c>
      <c r="J348" t="n">
        <v>0</v>
      </c>
      <c r="K348" t="n">
        <v>0</v>
      </c>
      <c r="L348" t="n">
        <v>0</v>
      </c>
      <c r="M348" t="n">
        <v>0</v>
      </c>
      <c r="N348" t="n">
        <v>0</v>
      </c>
      <c r="O348" t="n">
        <v>0</v>
      </c>
      <c r="P348" t="n">
        <v>0</v>
      </c>
      <c r="Q348" t="n">
        <v>0</v>
      </c>
      <c r="R348" s="2" t="inlineStr"/>
    </row>
    <row r="349" ht="15" customHeight="1">
      <c r="A349" t="inlineStr">
        <is>
          <t>A 63310-2021</t>
        </is>
      </c>
      <c r="B349" s="1" t="n">
        <v>44508</v>
      </c>
      <c r="C349" s="1" t="n">
        <v>45510</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63400-2021</t>
        </is>
      </c>
      <c r="B350" s="1" t="n">
        <v>44508</v>
      </c>
      <c r="C350" s="1" t="n">
        <v>45510</v>
      </c>
      <c r="D350" t="inlineStr">
        <is>
          <t>UPPSALA LÄN</t>
        </is>
      </c>
      <c r="E350" t="inlineStr">
        <is>
          <t>ENKÖPING</t>
        </is>
      </c>
      <c r="G350" t="n">
        <v>2.1</v>
      </c>
      <c r="H350" t="n">
        <v>0</v>
      </c>
      <c r="I350" t="n">
        <v>0</v>
      </c>
      <c r="J350" t="n">
        <v>0</v>
      </c>
      <c r="K350" t="n">
        <v>0</v>
      </c>
      <c r="L350" t="n">
        <v>0</v>
      </c>
      <c r="M350" t="n">
        <v>0</v>
      </c>
      <c r="N350" t="n">
        <v>0</v>
      </c>
      <c r="O350" t="n">
        <v>0</v>
      </c>
      <c r="P350" t="n">
        <v>0</v>
      </c>
      <c r="Q350" t="n">
        <v>0</v>
      </c>
      <c r="R350" s="2" t="inlineStr"/>
    </row>
    <row r="351" ht="15" customHeight="1">
      <c r="A351" t="inlineStr">
        <is>
          <t>A 63405-2021</t>
        </is>
      </c>
      <c r="B351" s="1" t="n">
        <v>44508</v>
      </c>
      <c r="C351" s="1" t="n">
        <v>45510</v>
      </c>
      <c r="D351" t="inlineStr">
        <is>
          <t>UPPSALA LÄN</t>
        </is>
      </c>
      <c r="E351" t="inlineStr">
        <is>
          <t>ENKÖPING</t>
        </is>
      </c>
      <c r="G351" t="n">
        <v>1.9</v>
      </c>
      <c r="H351" t="n">
        <v>0</v>
      </c>
      <c r="I351" t="n">
        <v>0</v>
      </c>
      <c r="J351" t="n">
        <v>0</v>
      </c>
      <c r="K351" t="n">
        <v>0</v>
      </c>
      <c r="L351" t="n">
        <v>0</v>
      </c>
      <c r="M351" t="n">
        <v>0</v>
      </c>
      <c r="N351" t="n">
        <v>0</v>
      </c>
      <c r="O351" t="n">
        <v>0</v>
      </c>
      <c r="P351" t="n">
        <v>0</v>
      </c>
      <c r="Q351" t="n">
        <v>0</v>
      </c>
      <c r="R351" s="2" t="inlineStr"/>
    </row>
    <row r="352" ht="15" customHeight="1">
      <c r="A352" t="inlineStr">
        <is>
          <t>A 67982-2021</t>
        </is>
      </c>
      <c r="B352" s="1" t="n">
        <v>44525</v>
      </c>
      <c r="C352" s="1" t="n">
        <v>45510</v>
      </c>
      <c r="D352" t="inlineStr">
        <is>
          <t>UPPSALA LÄN</t>
        </is>
      </c>
      <c r="E352" t="inlineStr">
        <is>
          <t>ENKÖPING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67984-2021</t>
        </is>
      </c>
      <c r="B353" s="1" t="n">
        <v>44525</v>
      </c>
      <c r="C353" s="1" t="n">
        <v>45510</v>
      </c>
      <c r="D353" t="inlineStr">
        <is>
          <t>UPPSALA LÄN</t>
        </is>
      </c>
      <c r="E353" t="inlineStr">
        <is>
          <t>ENKÖPING</t>
        </is>
      </c>
      <c r="G353" t="n">
        <v>1.4</v>
      </c>
      <c r="H353" t="n">
        <v>0</v>
      </c>
      <c r="I353" t="n">
        <v>0</v>
      </c>
      <c r="J353" t="n">
        <v>0</v>
      </c>
      <c r="K353" t="n">
        <v>0</v>
      </c>
      <c r="L353" t="n">
        <v>0</v>
      </c>
      <c r="M353" t="n">
        <v>0</v>
      </c>
      <c r="N353" t="n">
        <v>0</v>
      </c>
      <c r="O353" t="n">
        <v>0</v>
      </c>
      <c r="P353" t="n">
        <v>0</v>
      </c>
      <c r="Q353" t="n">
        <v>0</v>
      </c>
      <c r="R353" s="2" t="inlineStr"/>
    </row>
    <row r="354" ht="15" customHeight="1">
      <c r="A354" t="inlineStr">
        <is>
          <t>A 68118-2021</t>
        </is>
      </c>
      <c r="B354" s="1" t="n">
        <v>44526</v>
      </c>
      <c r="C354" s="1" t="n">
        <v>45510</v>
      </c>
      <c r="D354" t="inlineStr">
        <is>
          <t>UPPSALA LÄN</t>
        </is>
      </c>
      <c r="E354" t="inlineStr">
        <is>
          <t>ENKÖPING</t>
        </is>
      </c>
      <c r="G354" t="n">
        <v>4.7</v>
      </c>
      <c r="H354" t="n">
        <v>0</v>
      </c>
      <c r="I354" t="n">
        <v>0</v>
      </c>
      <c r="J354" t="n">
        <v>0</v>
      </c>
      <c r="K354" t="n">
        <v>0</v>
      </c>
      <c r="L354" t="n">
        <v>0</v>
      </c>
      <c r="M354" t="n">
        <v>0</v>
      </c>
      <c r="N354" t="n">
        <v>0</v>
      </c>
      <c r="O354" t="n">
        <v>0</v>
      </c>
      <c r="P354" t="n">
        <v>0</v>
      </c>
      <c r="Q354" t="n">
        <v>0</v>
      </c>
      <c r="R354" s="2" t="inlineStr"/>
    </row>
    <row r="355" ht="15" customHeight="1">
      <c r="A355" t="inlineStr">
        <is>
          <t>A 68127-2021</t>
        </is>
      </c>
      <c r="B355" s="1" t="n">
        <v>44526</v>
      </c>
      <c r="C355" s="1" t="n">
        <v>45510</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68107-2021</t>
        </is>
      </c>
      <c r="B356" s="1" t="n">
        <v>44526</v>
      </c>
      <c r="C356" s="1" t="n">
        <v>45510</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68130-2021</t>
        </is>
      </c>
      <c r="B357" s="1" t="n">
        <v>44526</v>
      </c>
      <c r="C357" s="1" t="n">
        <v>45510</v>
      </c>
      <c r="D357" t="inlineStr">
        <is>
          <t>UPPSALA LÄN</t>
        </is>
      </c>
      <c r="E357" t="inlineStr">
        <is>
          <t>ENKÖPING</t>
        </is>
      </c>
      <c r="G357" t="n">
        <v>1.3</v>
      </c>
      <c r="H357" t="n">
        <v>0</v>
      </c>
      <c r="I357" t="n">
        <v>0</v>
      </c>
      <c r="J357" t="n">
        <v>0</v>
      </c>
      <c r="K357" t="n">
        <v>0</v>
      </c>
      <c r="L357" t="n">
        <v>0</v>
      </c>
      <c r="M357" t="n">
        <v>0</v>
      </c>
      <c r="N357" t="n">
        <v>0</v>
      </c>
      <c r="O357" t="n">
        <v>0</v>
      </c>
      <c r="P357" t="n">
        <v>0</v>
      </c>
      <c r="Q357" t="n">
        <v>0</v>
      </c>
      <c r="R357" s="2" t="inlineStr"/>
    </row>
    <row r="358" ht="15" customHeight="1">
      <c r="A358" t="inlineStr">
        <is>
          <t>A 68123-2021</t>
        </is>
      </c>
      <c r="B358" s="1" t="n">
        <v>44526</v>
      </c>
      <c r="C358" s="1" t="n">
        <v>45510</v>
      </c>
      <c r="D358" t="inlineStr">
        <is>
          <t>UPPSALA LÄN</t>
        </is>
      </c>
      <c r="E358" t="inlineStr">
        <is>
          <t>ENKÖPING</t>
        </is>
      </c>
      <c r="G358" t="n">
        <v>0.9</v>
      </c>
      <c r="H358" t="n">
        <v>0</v>
      </c>
      <c r="I358" t="n">
        <v>0</v>
      </c>
      <c r="J358" t="n">
        <v>0</v>
      </c>
      <c r="K358" t="n">
        <v>0</v>
      </c>
      <c r="L358" t="n">
        <v>0</v>
      </c>
      <c r="M358" t="n">
        <v>0</v>
      </c>
      <c r="N358" t="n">
        <v>0</v>
      </c>
      <c r="O358" t="n">
        <v>0</v>
      </c>
      <c r="P358" t="n">
        <v>0</v>
      </c>
      <c r="Q358" t="n">
        <v>0</v>
      </c>
      <c r="R358" s="2" t="inlineStr"/>
    </row>
    <row r="359" ht="15" customHeight="1">
      <c r="A359" t="inlineStr">
        <is>
          <t>A 69344-2021</t>
        </is>
      </c>
      <c r="B359" s="1" t="n">
        <v>44531</v>
      </c>
      <c r="C359" s="1" t="n">
        <v>45510</v>
      </c>
      <c r="D359" t="inlineStr">
        <is>
          <t>UPPSALA LÄN</t>
        </is>
      </c>
      <c r="E359" t="inlineStr">
        <is>
          <t>ENKÖPING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69791-2021</t>
        </is>
      </c>
      <c r="B360" s="1" t="n">
        <v>44532</v>
      </c>
      <c r="C360" s="1" t="n">
        <v>45510</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69794-2021</t>
        </is>
      </c>
      <c r="B361" s="1" t="n">
        <v>44532</v>
      </c>
      <c r="C361" s="1" t="n">
        <v>45510</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69879-2021</t>
        </is>
      </c>
      <c r="B362" s="1" t="n">
        <v>44532</v>
      </c>
      <c r="C362" s="1" t="n">
        <v>45510</v>
      </c>
      <c r="D362" t="inlineStr">
        <is>
          <t>UPPSALA LÄN</t>
        </is>
      </c>
      <c r="E362" t="inlineStr">
        <is>
          <t>ENKÖPING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71641-2021</t>
        </is>
      </c>
      <c r="B363" s="1" t="n">
        <v>44543</v>
      </c>
      <c r="C363" s="1" t="n">
        <v>45510</v>
      </c>
      <c r="D363" t="inlineStr">
        <is>
          <t>UPPSALA LÄN</t>
        </is>
      </c>
      <c r="E363" t="inlineStr">
        <is>
          <t>ENKÖPING</t>
        </is>
      </c>
      <c r="G363" t="n">
        <v>3</v>
      </c>
      <c r="H363" t="n">
        <v>0</v>
      </c>
      <c r="I363" t="n">
        <v>0</v>
      </c>
      <c r="J363" t="n">
        <v>0</v>
      </c>
      <c r="K363" t="n">
        <v>0</v>
      </c>
      <c r="L363" t="n">
        <v>0</v>
      </c>
      <c r="M363" t="n">
        <v>0</v>
      </c>
      <c r="N363" t="n">
        <v>0</v>
      </c>
      <c r="O363" t="n">
        <v>0</v>
      </c>
      <c r="P363" t="n">
        <v>0</v>
      </c>
      <c r="Q363" t="n">
        <v>0</v>
      </c>
      <c r="R363" s="2" t="inlineStr"/>
    </row>
    <row r="364" ht="15" customHeight="1">
      <c r="A364" t="inlineStr">
        <is>
          <t>A 72628-2021</t>
        </is>
      </c>
      <c r="B364" s="1" t="n">
        <v>44546</v>
      </c>
      <c r="C364" s="1" t="n">
        <v>45510</v>
      </c>
      <c r="D364" t="inlineStr">
        <is>
          <t>UPPSALA LÄN</t>
        </is>
      </c>
      <c r="E364" t="inlineStr">
        <is>
          <t>ENKÖPING</t>
        </is>
      </c>
      <c r="F364" t="inlineStr">
        <is>
          <t>Allmännings- och besparingsskogar</t>
        </is>
      </c>
      <c r="G364" t="n">
        <v>7.1</v>
      </c>
      <c r="H364" t="n">
        <v>0</v>
      </c>
      <c r="I364" t="n">
        <v>0</v>
      </c>
      <c r="J364" t="n">
        <v>0</v>
      </c>
      <c r="K364" t="n">
        <v>0</v>
      </c>
      <c r="L364" t="n">
        <v>0</v>
      </c>
      <c r="M364" t="n">
        <v>0</v>
      </c>
      <c r="N364" t="n">
        <v>0</v>
      </c>
      <c r="O364" t="n">
        <v>0</v>
      </c>
      <c r="P364" t="n">
        <v>0</v>
      </c>
      <c r="Q364" t="n">
        <v>0</v>
      </c>
      <c r="R364" s="2" t="inlineStr"/>
    </row>
    <row r="365" ht="15" customHeight="1">
      <c r="A365" t="inlineStr">
        <is>
          <t>A 72840-2021</t>
        </is>
      </c>
      <c r="B365" s="1" t="n">
        <v>44547</v>
      </c>
      <c r="C365" s="1" t="n">
        <v>45510</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74090-2021</t>
        </is>
      </c>
      <c r="B366" s="1" t="n">
        <v>44557</v>
      </c>
      <c r="C366" s="1" t="n">
        <v>45510</v>
      </c>
      <c r="D366" t="inlineStr">
        <is>
          <t>UPPSALA LÄN</t>
        </is>
      </c>
      <c r="E366" t="inlineStr">
        <is>
          <t>ENKÖPING</t>
        </is>
      </c>
      <c r="G366" t="n">
        <v>2.1</v>
      </c>
      <c r="H366" t="n">
        <v>0</v>
      </c>
      <c r="I366" t="n">
        <v>0</v>
      </c>
      <c r="J366" t="n">
        <v>0</v>
      </c>
      <c r="K366" t="n">
        <v>0</v>
      </c>
      <c r="L366" t="n">
        <v>0</v>
      </c>
      <c r="M366" t="n">
        <v>0</v>
      </c>
      <c r="N366" t="n">
        <v>0</v>
      </c>
      <c r="O366" t="n">
        <v>0</v>
      </c>
      <c r="P366" t="n">
        <v>0</v>
      </c>
      <c r="Q366" t="n">
        <v>0</v>
      </c>
      <c r="R366" s="2" t="inlineStr"/>
    </row>
    <row r="367" ht="15" customHeight="1">
      <c r="A367" t="inlineStr">
        <is>
          <t>A 74028-2021</t>
        </is>
      </c>
      <c r="B367" s="1" t="n">
        <v>44557</v>
      </c>
      <c r="C367" s="1" t="n">
        <v>45510</v>
      </c>
      <c r="D367" t="inlineStr">
        <is>
          <t>UPPSALA LÄN</t>
        </is>
      </c>
      <c r="E367" t="inlineStr">
        <is>
          <t>ENKÖPING</t>
        </is>
      </c>
      <c r="G367" t="n">
        <v>7.3</v>
      </c>
      <c r="H367" t="n">
        <v>0</v>
      </c>
      <c r="I367" t="n">
        <v>0</v>
      </c>
      <c r="J367" t="n">
        <v>0</v>
      </c>
      <c r="K367" t="n">
        <v>0</v>
      </c>
      <c r="L367" t="n">
        <v>0</v>
      </c>
      <c r="M367" t="n">
        <v>0</v>
      </c>
      <c r="N367" t="n">
        <v>0</v>
      </c>
      <c r="O367" t="n">
        <v>0</v>
      </c>
      <c r="P367" t="n">
        <v>0</v>
      </c>
      <c r="Q367" t="n">
        <v>0</v>
      </c>
      <c r="R367" s="2" t="inlineStr"/>
    </row>
    <row r="368" ht="15" customHeight="1">
      <c r="A368" t="inlineStr">
        <is>
          <t>A 498-2022</t>
        </is>
      </c>
      <c r="B368" s="1" t="n">
        <v>44566</v>
      </c>
      <c r="C368" s="1" t="n">
        <v>45510</v>
      </c>
      <c r="D368" t="inlineStr">
        <is>
          <t>UPPSALA LÄN</t>
        </is>
      </c>
      <c r="E368" t="inlineStr">
        <is>
          <t>ENKÖPING</t>
        </is>
      </c>
      <c r="F368" t="inlineStr">
        <is>
          <t>Övriga statliga verk och myndigheter</t>
        </is>
      </c>
      <c r="G368" t="n">
        <v>11.1</v>
      </c>
      <c r="H368" t="n">
        <v>0</v>
      </c>
      <c r="I368" t="n">
        <v>0</v>
      </c>
      <c r="J368" t="n">
        <v>0</v>
      </c>
      <c r="K368" t="n">
        <v>0</v>
      </c>
      <c r="L368" t="n">
        <v>0</v>
      </c>
      <c r="M368" t="n">
        <v>0</v>
      </c>
      <c r="N368" t="n">
        <v>0</v>
      </c>
      <c r="O368" t="n">
        <v>0</v>
      </c>
      <c r="P368" t="n">
        <v>0</v>
      </c>
      <c r="Q368" t="n">
        <v>0</v>
      </c>
      <c r="R368" s="2" t="inlineStr"/>
    </row>
    <row r="369" ht="15" customHeight="1">
      <c r="A369" t="inlineStr">
        <is>
          <t>A 671-2022</t>
        </is>
      </c>
      <c r="B369" s="1" t="n">
        <v>44568</v>
      </c>
      <c r="C369" s="1" t="n">
        <v>45510</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1971-2022</t>
        </is>
      </c>
      <c r="B370" s="1" t="n">
        <v>44575</v>
      </c>
      <c r="C370" s="1" t="n">
        <v>45510</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1962-2022</t>
        </is>
      </c>
      <c r="B371" s="1" t="n">
        <v>44575</v>
      </c>
      <c r="C371" s="1" t="n">
        <v>45510</v>
      </c>
      <c r="D371" t="inlineStr">
        <is>
          <t>UPPSALA LÄN</t>
        </is>
      </c>
      <c r="E371" t="inlineStr">
        <is>
          <t>ENKÖPING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1979-2022</t>
        </is>
      </c>
      <c r="B372" s="1" t="n">
        <v>44575</v>
      </c>
      <c r="C372" s="1" t="n">
        <v>45510</v>
      </c>
      <c r="D372" t="inlineStr">
        <is>
          <t>UPPSALA LÄN</t>
        </is>
      </c>
      <c r="E372" t="inlineStr">
        <is>
          <t>ENKÖPING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1992-2022</t>
        </is>
      </c>
      <c r="B373" s="1" t="n">
        <v>44575</v>
      </c>
      <c r="C373" s="1" t="n">
        <v>45510</v>
      </c>
      <c r="D373" t="inlineStr">
        <is>
          <t>UPPSALA LÄN</t>
        </is>
      </c>
      <c r="E373" t="inlineStr">
        <is>
          <t>ENKÖPING</t>
        </is>
      </c>
      <c r="G373" t="n">
        <v>2.8</v>
      </c>
      <c r="H373" t="n">
        <v>0</v>
      </c>
      <c r="I373" t="n">
        <v>0</v>
      </c>
      <c r="J373" t="n">
        <v>0</v>
      </c>
      <c r="K373" t="n">
        <v>0</v>
      </c>
      <c r="L373" t="n">
        <v>0</v>
      </c>
      <c r="M373" t="n">
        <v>0</v>
      </c>
      <c r="N373" t="n">
        <v>0</v>
      </c>
      <c r="O373" t="n">
        <v>0</v>
      </c>
      <c r="P373" t="n">
        <v>0</v>
      </c>
      <c r="Q373" t="n">
        <v>0</v>
      </c>
      <c r="R373" s="2" t="inlineStr"/>
    </row>
    <row r="374" ht="15" customHeight="1">
      <c r="A374" t="inlineStr">
        <is>
          <t>A 1960-2022</t>
        </is>
      </c>
      <c r="B374" s="1" t="n">
        <v>44575</v>
      </c>
      <c r="C374" s="1" t="n">
        <v>45510</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1965-2022</t>
        </is>
      </c>
      <c r="B375" s="1" t="n">
        <v>44575</v>
      </c>
      <c r="C375" s="1" t="n">
        <v>45510</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2680-2022</t>
        </is>
      </c>
      <c r="B376" s="1" t="n">
        <v>44580</v>
      </c>
      <c r="C376" s="1" t="n">
        <v>45510</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3861-2022</t>
        </is>
      </c>
      <c r="B377" s="1" t="n">
        <v>44587</v>
      </c>
      <c r="C377" s="1" t="n">
        <v>45510</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4170-2022</t>
        </is>
      </c>
      <c r="B378" s="1" t="n">
        <v>44588</v>
      </c>
      <c r="C378" s="1" t="n">
        <v>45510</v>
      </c>
      <c r="D378" t="inlineStr">
        <is>
          <t>UPPSALA LÄN</t>
        </is>
      </c>
      <c r="E378" t="inlineStr">
        <is>
          <t>ENKÖPING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5188-2022</t>
        </is>
      </c>
      <c r="B379" s="1" t="n">
        <v>44594</v>
      </c>
      <c r="C379" s="1" t="n">
        <v>45510</v>
      </c>
      <c r="D379" t="inlineStr">
        <is>
          <t>UPPSALA LÄN</t>
        </is>
      </c>
      <c r="E379" t="inlineStr">
        <is>
          <t>ENKÖPING</t>
        </is>
      </c>
      <c r="G379" t="n">
        <v>1.6</v>
      </c>
      <c r="H379" t="n">
        <v>0</v>
      </c>
      <c r="I379" t="n">
        <v>0</v>
      </c>
      <c r="J379" t="n">
        <v>0</v>
      </c>
      <c r="K379" t="n">
        <v>0</v>
      </c>
      <c r="L379" t="n">
        <v>0</v>
      </c>
      <c r="M379" t="n">
        <v>0</v>
      </c>
      <c r="N379" t="n">
        <v>0</v>
      </c>
      <c r="O379" t="n">
        <v>0</v>
      </c>
      <c r="P379" t="n">
        <v>0</v>
      </c>
      <c r="Q379" t="n">
        <v>0</v>
      </c>
      <c r="R379" s="2" t="inlineStr"/>
    </row>
    <row r="380" ht="15" customHeight="1">
      <c r="A380" t="inlineStr">
        <is>
          <t>A 5526-2022</t>
        </is>
      </c>
      <c r="B380" s="1" t="n">
        <v>44595</v>
      </c>
      <c r="C380" s="1" t="n">
        <v>45510</v>
      </c>
      <c r="D380" t="inlineStr">
        <is>
          <t>UPPSALA LÄN</t>
        </is>
      </c>
      <c r="E380" t="inlineStr">
        <is>
          <t>ENKÖPING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6356-2022</t>
        </is>
      </c>
      <c r="B381" s="1" t="n">
        <v>44600</v>
      </c>
      <c r="C381" s="1" t="n">
        <v>45510</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7090-2022</t>
        </is>
      </c>
      <c r="B382" s="1" t="n">
        <v>44603</v>
      </c>
      <c r="C382" s="1" t="n">
        <v>45510</v>
      </c>
      <c r="D382" t="inlineStr">
        <is>
          <t>UPPSALA LÄN</t>
        </is>
      </c>
      <c r="E382" t="inlineStr">
        <is>
          <t>ENKÖPING</t>
        </is>
      </c>
      <c r="G382" t="n">
        <v>2.8</v>
      </c>
      <c r="H382" t="n">
        <v>0</v>
      </c>
      <c r="I382" t="n">
        <v>0</v>
      </c>
      <c r="J382" t="n">
        <v>0</v>
      </c>
      <c r="K382" t="n">
        <v>0</v>
      </c>
      <c r="L382" t="n">
        <v>0</v>
      </c>
      <c r="M382" t="n">
        <v>0</v>
      </c>
      <c r="N382" t="n">
        <v>0</v>
      </c>
      <c r="O382" t="n">
        <v>0</v>
      </c>
      <c r="P382" t="n">
        <v>0</v>
      </c>
      <c r="Q382" t="n">
        <v>0</v>
      </c>
      <c r="R382" s="2" t="inlineStr"/>
    </row>
    <row r="383" ht="15" customHeight="1">
      <c r="A383" t="inlineStr">
        <is>
          <t>A 7284-2022</t>
        </is>
      </c>
      <c r="B383" s="1" t="n">
        <v>44606</v>
      </c>
      <c r="C383" s="1" t="n">
        <v>45510</v>
      </c>
      <c r="D383" t="inlineStr">
        <is>
          <t>UPPSALA LÄN</t>
        </is>
      </c>
      <c r="E383" t="inlineStr">
        <is>
          <t>ENKÖPING</t>
        </is>
      </c>
      <c r="G383" t="n">
        <v>6.4</v>
      </c>
      <c r="H383" t="n">
        <v>0</v>
      </c>
      <c r="I383" t="n">
        <v>0</v>
      </c>
      <c r="J383" t="n">
        <v>0</v>
      </c>
      <c r="K383" t="n">
        <v>0</v>
      </c>
      <c r="L383" t="n">
        <v>0</v>
      </c>
      <c r="M383" t="n">
        <v>0</v>
      </c>
      <c r="N383" t="n">
        <v>0</v>
      </c>
      <c r="O383" t="n">
        <v>0</v>
      </c>
      <c r="P383" t="n">
        <v>0</v>
      </c>
      <c r="Q383" t="n">
        <v>0</v>
      </c>
      <c r="R383" s="2" t="inlineStr"/>
    </row>
    <row r="384" ht="15" customHeight="1">
      <c r="A384" t="inlineStr">
        <is>
          <t>A 7463-2022</t>
        </is>
      </c>
      <c r="B384" s="1" t="n">
        <v>44607</v>
      </c>
      <c r="C384" s="1" t="n">
        <v>45510</v>
      </c>
      <c r="D384" t="inlineStr">
        <is>
          <t>UPPSALA LÄN</t>
        </is>
      </c>
      <c r="E384" t="inlineStr">
        <is>
          <t>ENKÖPING</t>
        </is>
      </c>
      <c r="F384" t="inlineStr">
        <is>
          <t>Övriga statliga verk och myndigheter</t>
        </is>
      </c>
      <c r="G384" t="n">
        <v>2.1</v>
      </c>
      <c r="H384" t="n">
        <v>0</v>
      </c>
      <c r="I384" t="n">
        <v>0</v>
      </c>
      <c r="J384" t="n">
        <v>0</v>
      </c>
      <c r="K384" t="n">
        <v>0</v>
      </c>
      <c r="L384" t="n">
        <v>0</v>
      </c>
      <c r="M384" t="n">
        <v>0</v>
      </c>
      <c r="N384" t="n">
        <v>0</v>
      </c>
      <c r="O384" t="n">
        <v>0</v>
      </c>
      <c r="P384" t="n">
        <v>0</v>
      </c>
      <c r="Q384" t="n">
        <v>0</v>
      </c>
      <c r="R384" s="2" t="inlineStr"/>
    </row>
    <row r="385" ht="15" customHeight="1">
      <c r="A385" t="inlineStr">
        <is>
          <t>A 8020-2022</t>
        </is>
      </c>
      <c r="B385" s="1" t="n">
        <v>44609</v>
      </c>
      <c r="C385" s="1" t="n">
        <v>45510</v>
      </c>
      <c r="D385" t="inlineStr">
        <is>
          <t>UPPSALA LÄN</t>
        </is>
      </c>
      <c r="E385" t="inlineStr">
        <is>
          <t>ENKÖPING</t>
        </is>
      </c>
      <c r="G385" t="n">
        <v>6</v>
      </c>
      <c r="H385" t="n">
        <v>0</v>
      </c>
      <c r="I385" t="n">
        <v>0</v>
      </c>
      <c r="J385" t="n">
        <v>0</v>
      </c>
      <c r="K385" t="n">
        <v>0</v>
      </c>
      <c r="L385" t="n">
        <v>0</v>
      </c>
      <c r="M385" t="n">
        <v>0</v>
      </c>
      <c r="N385" t="n">
        <v>0</v>
      </c>
      <c r="O385" t="n">
        <v>0</v>
      </c>
      <c r="P385" t="n">
        <v>0</v>
      </c>
      <c r="Q385" t="n">
        <v>0</v>
      </c>
      <c r="R385" s="2" t="inlineStr"/>
    </row>
    <row r="386" ht="15" customHeight="1">
      <c r="A386" t="inlineStr">
        <is>
          <t>A 8152-2022</t>
        </is>
      </c>
      <c r="B386" s="1" t="n">
        <v>44609</v>
      </c>
      <c r="C386" s="1" t="n">
        <v>45510</v>
      </c>
      <c r="D386" t="inlineStr">
        <is>
          <t>UPPSALA LÄN</t>
        </is>
      </c>
      <c r="E386" t="inlineStr">
        <is>
          <t>ENKÖPING</t>
        </is>
      </c>
      <c r="F386" t="inlineStr">
        <is>
          <t>Kyrkan</t>
        </is>
      </c>
      <c r="G386" t="n">
        <v>1.3</v>
      </c>
      <c r="H386" t="n">
        <v>0</v>
      </c>
      <c r="I386" t="n">
        <v>0</v>
      </c>
      <c r="J386" t="n">
        <v>0</v>
      </c>
      <c r="K386" t="n">
        <v>0</v>
      </c>
      <c r="L386" t="n">
        <v>0</v>
      </c>
      <c r="M386" t="n">
        <v>0</v>
      </c>
      <c r="N386" t="n">
        <v>0</v>
      </c>
      <c r="O386" t="n">
        <v>0</v>
      </c>
      <c r="P386" t="n">
        <v>0</v>
      </c>
      <c r="Q386" t="n">
        <v>0</v>
      </c>
      <c r="R386" s="2" t="inlineStr"/>
    </row>
    <row r="387" ht="15" customHeight="1">
      <c r="A387" t="inlineStr">
        <is>
          <t>A 10202-2022</t>
        </is>
      </c>
      <c r="B387" s="1" t="n">
        <v>44622</v>
      </c>
      <c r="C387" s="1" t="n">
        <v>45510</v>
      </c>
      <c r="D387" t="inlineStr">
        <is>
          <t>UPPSALA LÄN</t>
        </is>
      </c>
      <c r="E387" t="inlineStr">
        <is>
          <t>ENKÖPING</t>
        </is>
      </c>
      <c r="G387" t="n">
        <v>5.6</v>
      </c>
      <c r="H387" t="n">
        <v>0</v>
      </c>
      <c r="I387" t="n">
        <v>0</v>
      </c>
      <c r="J387" t="n">
        <v>0</v>
      </c>
      <c r="K387" t="n">
        <v>0</v>
      </c>
      <c r="L387" t="n">
        <v>0</v>
      </c>
      <c r="M387" t="n">
        <v>0</v>
      </c>
      <c r="N387" t="n">
        <v>0</v>
      </c>
      <c r="O387" t="n">
        <v>0</v>
      </c>
      <c r="P387" t="n">
        <v>0</v>
      </c>
      <c r="Q387" t="n">
        <v>0</v>
      </c>
      <c r="R387" s="2" t="inlineStr"/>
    </row>
    <row r="388" ht="15" customHeight="1">
      <c r="A388" t="inlineStr">
        <is>
          <t>A 10207-2022</t>
        </is>
      </c>
      <c r="B388" s="1" t="n">
        <v>44622</v>
      </c>
      <c r="C388" s="1" t="n">
        <v>45510</v>
      </c>
      <c r="D388" t="inlineStr">
        <is>
          <t>UPPSALA LÄN</t>
        </is>
      </c>
      <c r="E388" t="inlineStr">
        <is>
          <t>ENKÖPING</t>
        </is>
      </c>
      <c r="G388" t="n">
        <v>4.9</v>
      </c>
      <c r="H388" t="n">
        <v>0</v>
      </c>
      <c r="I388" t="n">
        <v>0</v>
      </c>
      <c r="J388" t="n">
        <v>0</v>
      </c>
      <c r="K388" t="n">
        <v>0</v>
      </c>
      <c r="L388" t="n">
        <v>0</v>
      </c>
      <c r="M388" t="n">
        <v>0</v>
      </c>
      <c r="N388" t="n">
        <v>0</v>
      </c>
      <c r="O388" t="n">
        <v>0</v>
      </c>
      <c r="P388" t="n">
        <v>0</v>
      </c>
      <c r="Q388" t="n">
        <v>0</v>
      </c>
      <c r="R388" s="2" t="inlineStr"/>
    </row>
    <row r="389" ht="15" customHeight="1">
      <c r="A389" t="inlineStr">
        <is>
          <t>A 10458-2022</t>
        </is>
      </c>
      <c r="B389" s="1" t="n">
        <v>44623</v>
      </c>
      <c r="C389" s="1" t="n">
        <v>45510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10465-2022</t>
        </is>
      </c>
      <c r="B390" s="1" t="n">
        <v>44623</v>
      </c>
      <c r="C390" s="1" t="n">
        <v>45510</v>
      </c>
      <c r="D390" t="inlineStr">
        <is>
          <t>UPPSALA LÄN</t>
        </is>
      </c>
      <c r="E390" t="inlineStr">
        <is>
          <t>ENKÖPING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14531-2022</t>
        </is>
      </c>
      <c r="B391" s="1" t="n">
        <v>44655</v>
      </c>
      <c r="C391" s="1" t="n">
        <v>45510</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15021-2022</t>
        </is>
      </c>
      <c r="B392" s="1" t="n">
        <v>44657</v>
      </c>
      <c r="C392" s="1" t="n">
        <v>45510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15924-2022</t>
        </is>
      </c>
      <c r="B393" s="1" t="n">
        <v>44664</v>
      </c>
      <c r="C393" s="1" t="n">
        <v>45510</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15942-2022</t>
        </is>
      </c>
      <c r="B394" s="1" t="n">
        <v>44664</v>
      </c>
      <c r="C394" s="1" t="n">
        <v>45510</v>
      </c>
      <c r="D394" t="inlineStr">
        <is>
          <t>UPPSALA LÄN</t>
        </is>
      </c>
      <c r="E394" t="inlineStr">
        <is>
          <t>ENKÖPING</t>
        </is>
      </c>
      <c r="G394" t="n">
        <v>6.6</v>
      </c>
      <c r="H394" t="n">
        <v>0</v>
      </c>
      <c r="I394" t="n">
        <v>0</v>
      </c>
      <c r="J394" t="n">
        <v>0</v>
      </c>
      <c r="K394" t="n">
        <v>0</v>
      </c>
      <c r="L394" t="n">
        <v>0</v>
      </c>
      <c r="M394" t="n">
        <v>0</v>
      </c>
      <c r="N394" t="n">
        <v>0</v>
      </c>
      <c r="O394" t="n">
        <v>0</v>
      </c>
      <c r="P394" t="n">
        <v>0</v>
      </c>
      <c r="Q394" t="n">
        <v>0</v>
      </c>
      <c r="R394" s="2" t="inlineStr"/>
    </row>
    <row r="395" ht="15" customHeight="1">
      <c r="A395" t="inlineStr">
        <is>
          <t>A 15943-2022</t>
        </is>
      </c>
      <c r="B395" s="1" t="n">
        <v>44664</v>
      </c>
      <c r="C395" s="1" t="n">
        <v>45510</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15939-2022</t>
        </is>
      </c>
      <c r="B396" s="1" t="n">
        <v>44664</v>
      </c>
      <c r="C396" s="1" t="n">
        <v>45510</v>
      </c>
      <c r="D396" t="inlineStr">
        <is>
          <t>UPPSALA LÄN</t>
        </is>
      </c>
      <c r="E396" t="inlineStr">
        <is>
          <t>ENKÖPING</t>
        </is>
      </c>
      <c r="G396" t="n">
        <v>2</v>
      </c>
      <c r="H396" t="n">
        <v>0</v>
      </c>
      <c r="I396" t="n">
        <v>0</v>
      </c>
      <c r="J396" t="n">
        <v>0</v>
      </c>
      <c r="K396" t="n">
        <v>0</v>
      </c>
      <c r="L396" t="n">
        <v>0</v>
      </c>
      <c r="M396" t="n">
        <v>0</v>
      </c>
      <c r="N396" t="n">
        <v>0</v>
      </c>
      <c r="O396" t="n">
        <v>0</v>
      </c>
      <c r="P396" t="n">
        <v>0</v>
      </c>
      <c r="Q396" t="n">
        <v>0</v>
      </c>
      <c r="R396" s="2" t="inlineStr"/>
    </row>
    <row r="397" ht="15" customHeight="1">
      <c r="A397" t="inlineStr">
        <is>
          <t>A 16916-2022</t>
        </is>
      </c>
      <c r="B397" s="1" t="n">
        <v>44676</v>
      </c>
      <c r="C397" s="1" t="n">
        <v>45510</v>
      </c>
      <c r="D397" t="inlineStr">
        <is>
          <t>UPPSALA LÄN</t>
        </is>
      </c>
      <c r="E397" t="inlineStr">
        <is>
          <t>ENKÖPING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16967-2022</t>
        </is>
      </c>
      <c r="B398" s="1" t="n">
        <v>44676</v>
      </c>
      <c r="C398" s="1" t="n">
        <v>45510</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17298-2022</t>
        </is>
      </c>
      <c r="B399" s="1" t="n">
        <v>44678</v>
      </c>
      <c r="C399" s="1" t="n">
        <v>45510</v>
      </c>
      <c r="D399" t="inlineStr">
        <is>
          <t>UPPSALA LÄN</t>
        </is>
      </c>
      <c r="E399" t="inlineStr">
        <is>
          <t>ENKÖPING</t>
        </is>
      </c>
      <c r="G399" t="n">
        <v>1.9</v>
      </c>
      <c r="H399" t="n">
        <v>0</v>
      </c>
      <c r="I399" t="n">
        <v>0</v>
      </c>
      <c r="J399" t="n">
        <v>0</v>
      </c>
      <c r="K399" t="n">
        <v>0</v>
      </c>
      <c r="L399" t="n">
        <v>0</v>
      </c>
      <c r="M399" t="n">
        <v>0</v>
      </c>
      <c r="N399" t="n">
        <v>0</v>
      </c>
      <c r="O399" t="n">
        <v>0</v>
      </c>
      <c r="P399" t="n">
        <v>0</v>
      </c>
      <c r="Q399" t="n">
        <v>0</v>
      </c>
      <c r="R399" s="2" t="inlineStr"/>
    </row>
    <row r="400" ht="15" customHeight="1">
      <c r="A400" t="inlineStr">
        <is>
          <t>A 17465-2022</t>
        </is>
      </c>
      <c r="B400" s="1" t="n">
        <v>44679</v>
      </c>
      <c r="C400" s="1" t="n">
        <v>45510</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17467-2022</t>
        </is>
      </c>
      <c r="B401" s="1" t="n">
        <v>44679</v>
      </c>
      <c r="C401" s="1" t="n">
        <v>45510</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17453-2022</t>
        </is>
      </c>
      <c r="B402" s="1" t="n">
        <v>44679</v>
      </c>
      <c r="C402" s="1" t="n">
        <v>45510</v>
      </c>
      <c r="D402" t="inlineStr">
        <is>
          <t>UPPSALA LÄN</t>
        </is>
      </c>
      <c r="E402" t="inlineStr">
        <is>
          <t>ENKÖPING</t>
        </is>
      </c>
      <c r="G402" t="n">
        <v>1.6</v>
      </c>
      <c r="H402" t="n">
        <v>0</v>
      </c>
      <c r="I402" t="n">
        <v>0</v>
      </c>
      <c r="J402" t="n">
        <v>0</v>
      </c>
      <c r="K402" t="n">
        <v>0</v>
      </c>
      <c r="L402" t="n">
        <v>0</v>
      </c>
      <c r="M402" t="n">
        <v>0</v>
      </c>
      <c r="N402" t="n">
        <v>0</v>
      </c>
      <c r="O402" t="n">
        <v>0</v>
      </c>
      <c r="P402" t="n">
        <v>0</v>
      </c>
      <c r="Q402" t="n">
        <v>0</v>
      </c>
      <c r="R402" s="2" t="inlineStr"/>
    </row>
    <row r="403" ht="15" customHeight="1">
      <c r="A403" t="inlineStr">
        <is>
          <t>A 17719-2022</t>
        </is>
      </c>
      <c r="B403" s="1" t="n">
        <v>44680</v>
      </c>
      <c r="C403" s="1" t="n">
        <v>45510</v>
      </c>
      <c r="D403" t="inlineStr">
        <is>
          <t>UPPSALA LÄN</t>
        </is>
      </c>
      <c r="E403" t="inlineStr">
        <is>
          <t>ENKÖPING</t>
        </is>
      </c>
      <c r="G403" t="n">
        <v>2.4</v>
      </c>
      <c r="H403" t="n">
        <v>0</v>
      </c>
      <c r="I403" t="n">
        <v>0</v>
      </c>
      <c r="J403" t="n">
        <v>0</v>
      </c>
      <c r="K403" t="n">
        <v>0</v>
      </c>
      <c r="L403" t="n">
        <v>0</v>
      </c>
      <c r="M403" t="n">
        <v>0</v>
      </c>
      <c r="N403" t="n">
        <v>0</v>
      </c>
      <c r="O403" t="n">
        <v>0</v>
      </c>
      <c r="P403" t="n">
        <v>0</v>
      </c>
      <c r="Q403" t="n">
        <v>0</v>
      </c>
      <c r="R403" s="2" t="inlineStr"/>
    </row>
    <row r="404" ht="15" customHeight="1">
      <c r="A404" t="inlineStr">
        <is>
          <t>A 17704-2022</t>
        </is>
      </c>
      <c r="B404" s="1" t="n">
        <v>44680</v>
      </c>
      <c r="C404" s="1" t="n">
        <v>45510</v>
      </c>
      <c r="D404" t="inlineStr">
        <is>
          <t>UPPSALA LÄN</t>
        </is>
      </c>
      <c r="E404" t="inlineStr">
        <is>
          <t>ENKÖPING</t>
        </is>
      </c>
      <c r="G404" t="n">
        <v>0.8</v>
      </c>
      <c r="H404" t="n">
        <v>0</v>
      </c>
      <c r="I404" t="n">
        <v>0</v>
      </c>
      <c r="J404" t="n">
        <v>0</v>
      </c>
      <c r="K404" t="n">
        <v>0</v>
      </c>
      <c r="L404" t="n">
        <v>0</v>
      </c>
      <c r="M404" t="n">
        <v>0</v>
      </c>
      <c r="N404" t="n">
        <v>0</v>
      </c>
      <c r="O404" t="n">
        <v>0</v>
      </c>
      <c r="P404" t="n">
        <v>0</v>
      </c>
      <c r="Q404" t="n">
        <v>0</v>
      </c>
      <c r="R404" s="2" t="inlineStr"/>
    </row>
    <row r="405" ht="15" customHeight="1">
      <c r="A405" t="inlineStr">
        <is>
          <t>A 18785-2022</t>
        </is>
      </c>
      <c r="B405" s="1" t="n">
        <v>44687</v>
      </c>
      <c r="C405" s="1" t="n">
        <v>45510</v>
      </c>
      <c r="D405" t="inlineStr">
        <is>
          <t>UPPSALA LÄN</t>
        </is>
      </c>
      <c r="E405" t="inlineStr">
        <is>
          <t>ENKÖPING</t>
        </is>
      </c>
      <c r="G405" t="n">
        <v>3.4</v>
      </c>
      <c r="H405" t="n">
        <v>0</v>
      </c>
      <c r="I405" t="n">
        <v>0</v>
      </c>
      <c r="J405" t="n">
        <v>0</v>
      </c>
      <c r="K405" t="n">
        <v>0</v>
      </c>
      <c r="L405" t="n">
        <v>0</v>
      </c>
      <c r="M405" t="n">
        <v>0</v>
      </c>
      <c r="N405" t="n">
        <v>0</v>
      </c>
      <c r="O405" t="n">
        <v>0</v>
      </c>
      <c r="P405" t="n">
        <v>0</v>
      </c>
      <c r="Q405" t="n">
        <v>0</v>
      </c>
      <c r="R405" s="2" t="inlineStr"/>
    </row>
    <row r="406" ht="15" customHeight="1">
      <c r="A406" t="inlineStr">
        <is>
          <t>A 19487-2022</t>
        </is>
      </c>
      <c r="B406" s="1" t="n">
        <v>44693</v>
      </c>
      <c r="C406" s="1" t="n">
        <v>45510</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19488-2022</t>
        </is>
      </c>
      <c r="B407" s="1" t="n">
        <v>44693</v>
      </c>
      <c r="C407" s="1" t="n">
        <v>45510</v>
      </c>
      <c r="D407" t="inlineStr">
        <is>
          <t>UPPSALA LÄN</t>
        </is>
      </c>
      <c r="E407" t="inlineStr">
        <is>
          <t>ENKÖPING</t>
        </is>
      </c>
      <c r="G407" t="n">
        <v>7.8</v>
      </c>
      <c r="H407" t="n">
        <v>0</v>
      </c>
      <c r="I407" t="n">
        <v>0</v>
      </c>
      <c r="J407" t="n">
        <v>0</v>
      </c>
      <c r="K407" t="n">
        <v>0</v>
      </c>
      <c r="L407" t="n">
        <v>0</v>
      </c>
      <c r="M407" t="n">
        <v>0</v>
      </c>
      <c r="N407" t="n">
        <v>0</v>
      </c>
      <c r="O407" t="n">
        <v>0</v>
      </c>
      <c r="P407" t="n">
        <v>0</v>
      </c>
      <c r="Q407" t="n">
        <v>0</v>
      </c>
      <c r="R407" s="2" t="inlineStr"/>
    </row>
    <row r="408" ht="15" customHeight="1">
      <c r="A408" t="inlineStr">
        <is>
          <t>A 19731-2022</t>
        </is>
      </c>
      <c r="B408" s="1" t="n">
        <v>44694</v>
      </c>
      <c r="C408" s="1" t="n">
        <v>45510</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19965-2022</t>
        </is>
      </c>
      <c r="B409" s="1" t="n">
        <v>44697</v>
      </c>
      <c r="C409" s="1" t="n">
        <v>45510</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20321-2022</t>
        </is>
      </c>
      <c r="B410" s="1" t="n">
        <v>44699</v>
      </c>
      <c r="C410" s="1" t="n">
        <v>45510</v>
      </c>
      <c r="D410" t="inlineStr">
        <is>
          <t>UPPSALA LÄN</t>
        </is>
      </c>
      <c r="E410" t="inlineStr">
        <is>
          <t>ENKÖPING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23307-2022</t>
        </is>
      </c>
      <c r="B411" s="1" t="n">
        <v>44720</v>
      </c>
      <c r="C411" s="1" t="n">
        <v>45510</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24141-2022</t>
        </is>
      </c>
      <c r="B412" s="1" t="n">
        <v>44725</v>
      </c>
      <c r="C412" s="1" t="n">
        <v>45510</v>
      </c>
      <c r="D412" t="inlineStr">
        <is>
          <t>UPPSALA LÄN</t>
        </is>
      </c>
      <c r="E412" t="inlineStr">
        <is>
          <t>ENKÖPING</t>
        </is>
      </c>
      <c r="G412" t="n">
        <v>5.2</v>
      </c>
      <c r="H412" t="n">
        <v>0</v>
      </c>
      <c r="I412" t="n">
        <v>0</v>
      </c>
      <c r="J412" t="n">
        <v>0</v>
      </c>
      <c r="K412" t="n">
        <v>0</v>
      </c>
      <c r="L412" t="n">
        <v>0</v>
      </c>
      <c r="M412" t="n">
        <v>0</v>
      </c>
      <c r="N412" t="n">
        <v>0</v>
      </c>
      <c r="O412" t="n">
        <v>0</v>
      </c>
      <c r="P412" t="n">
        <v>0</v>
      </c>
      <c r="Q412" t="n">
        <v>0</v>
      </c>
      <c r="R412" s="2" t="inlineStr"/>
    </row>
    <row r="413" ht="15" customHeight="1">
      <c r="A413" t="inlineStr">
        <is>
          <t>A 24815-2022</t>
        </is>
      </c>
      <c r="B413" s="1" t="n">
        <v>44728</v>
      </c>
      <c r="C413" s="1" t="n">
        <v>45510</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24883-2022</t>
        </is>
      </c>
      <c r="B414" s="1" t="n">
        <v>44728</v>
      </c>
      <c r="C414" s="1" t="n">
        <v>45510</v>
      </c>
      <c r="D414" t="inlineStr">
        <is>
          <t>UPPSALA LÄN</t>
        </is>
      </c>
      <c r="E414" t="inlineStr">
        <is>
          <t>ENKÖPING</t>
        </is>
      </c>
      <c r="G414" t="n">
        <v>2.5</v>
      </c>
      <c r="H414" t="n">
        <v>0</v>
      </c>
      <c r="I414" t="n">
        <v>0</v>
      </c>
      <c r="J414" t="n">
        <v>0</v>
      </c>
      <c r="K414" t="n">
        <v>0</v>
      </c>
      <c r="L414" t="n">
        <v>0</v>
      </c>
      <c r="M414" t="n">
        <v>0</v>
      </c>
      <c r="N414" t="n">
        <v>0</v>
      </c>
      <c r="O414" t="n">
        <v>0</v>
      </c>
      <c r="P414" t="n">
        <v>0</v>
      </c>
      <c r="Q414" t="n">
        <v>0</v>
      </c>
      <c r="R414" s="2" t="inlineStr"/>
    </row>
    <row r="415" ht="15" customHeight="1">
      <c r="A415" t="inlineStr">
        <is>
          <t>A 26292-2022</t>
        </is>
      </c>
      <c r="B415" s="1" t="n">
        <v>44735</v>
      </c>
      <c r="C415" s="1" t="n">
        <v>45510</v>
      </c>
      <c r="D415" t="inlineStr">
        <is>
          <t>UPPSALA LÄN</t>
        </is>
      </c>
      <c r="E415" t="inlineStr">
        <is>
          <t>ENKÖPING</t>
        </is>
      </c>
      <c r="F415" t="inlineStr">
        <is>
          <t>Kyrkan</t>
        </is>
      </c>
      <c r="G415" t="n">
        <v>4.6</v>
      </c>
      <c r="H415" t="n">
        <v>0</v>
      </c>
      <c r="I415" t="n">
        <v>0</v>
      </c>
      <c r="J415" t="n">
        <v>0</v>
      </c>
      <c r="K415" t="n">
        <v>0</v>
      </c>
      <c r="L415" t="n">
        <v>0</v>
      </c>
      <c r="M415" t="n">
        <v>0</v>
      </c>
      <c r="N415" t="n">
        <v>0</v>
      </c>
      <c r="O415" t="n">
        <v>0</v>
      </c>
      <c r="P415" t="n">
        <v>0</v>
      </c>
      <c r="Q415" t="n">
        <v>0</v>
      </c>
      <c r="R415" s="2" t="inlineStr"/>
    </row>
    <row r="416" ht="15" customHeight="1">
      <c r="A416" t="inlineStr">
        <is>
          <t>A 26319-2022</t>
        </is>
      </c>
      <c r="B416" s="1" t="n">
        <v>44735</v>
      </c>
      <c r="C416" s="1" t="n">
        <v>45510</v>
      </c>
      <c r="D416" t="inlineStr">
        <is>
          <t>UPPSALA LÄN</t>
        </is>
      </c>
      <c r="E416" t="inlineStr">
        <is>
          <t>ENKÖPING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29479-2022</t>
        </is>
      </c>
      <c r="B417" s="1" t="n">
        <v>44753</v>
      </c>
      <c r="C417" s="1" t="n">
        <v>45510</v>
      </c>
      <c r="D417" t="inlineStr">
        <is>
          <t>UPPSALA LÄN</t>
        </is>
      </c>
      <c r="E417" t="inlineStr">
        <is>
          <t>ENKÖPING</t>
        </is>
      </c>
      <c r="G417" t="n">
        <v>0.9</v>
      </c>
      <c r="H417" t="n">
        <v>0</v>
      </c>
      <c r="I417" t="n">
        <v>0</v>
      </c>
      <c r="J417" t="n">
        <v>0</v>
      </c>
      <c r="K417" t="n">
        <v>0</v>
      </c>
      <c r="L417" t="n">
        <v>0</v>
      </c>
      <c r="M417" t="n">
        <v>0</v>
      </c>
      <c r="N417" t="n">
        <v>0</v>
      </c>
      <c r="O417" t="n">
        <v>0</v>
      </c>
      <c r="P417" t="n">
        <v>0</v>
      </c>
      <c r="Q417" t="n">
        <v>0</v>
      </c>
      <c r="R417" s="2" t="inlineStr"/>
    </row>
    <row r="418" ht="15" customHeight="1">
      <c r="A418" t="inlineStr">
        <is>
          <t>A 29484-2022</t>
        </is>
      </c>
      <c r="B418" s="1" t="n">
        <v>44753</v>
      </c>
      <c r="C418" s="1" t="n">
        <v>45510</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29435-2022</t>
        </is>
      </c>
      <c r="B419" s="1" t="n">
        <v>44753</v>
      </c>
      <c r="C419" s="1" t="n">
        <v>45510</v>
      </c>
      <c r="D419" t="inlineStr">
        <is>
          <t>UPPSALA LÄN</t>
        </is>
      </c>
      <c r="E419" t="inlineStr">
        <is>
          <t>ENKÖPING</t>
        </is>
      </c>
      <c r="G419" t="n">
        <v>0.7</v>
      </c>
      <c r="H419" t="n">
        <v>0</v>
      </c>
      <c r="I419" t="n">
        <v>0</v>
      </c>
      <c r="J419" t="n">
        <v>0</v>
      </c>
      <c r="K419" t="n">
        <v>0</v>
      </c>
      <c r="L419" t="n">
        <v>0</v>
      </c>
      <c r="M419" t="n">
        <v>0</v>
      </c>
      <c r="N419" t="n">
        <v>0</v>
      </c>
      <c r="O419" t="n">
        <v>0</v>
      </c>
      <c r="P419" t="n">
        <v>0</v>
      </c>
      <c r="Q419" t="n">
        <v>0</v>
      </c>
      <c r="R419" s="2" t="inlineStr"/>
    </row>
    <row r="420" ht="15" customHeight="1">
      <c r="A420" t="inlineStr">
        <is>
          <t>A 29483-2022</t>
        </is>
      </c>
      <c r="B420" s="1" t="n">
        <v>44753</v>
      </c>
      <c r="C420" s="1" t="n">
        <v>45510</v>
      </c>
      <c r="D420" t="inlineStr">
        <is>
          <t>UPPSALA LÄN</t>
        </is>
      </c>
      <c r="E420" t="inlineStr">
        <is>
          <t>ENKÖPING</t>
        </is>
      </c>
      <c r="G420" t="n">
        <v>3.6</v>
      </c>
      <c r="H420" t="n">
        <v>0</v>
      </c>
      <c r="I420" t="n">
        <v>0</v>
      </c>
      <c r="J420" t="n">
        <v>0</v>
      </c>
      <c r="K420" t="n">
        <v>0</v>
      </c>
      <c r="L420" t="n">
        <v>0</v>
      </c>
      <c r="M420" t="n">
        <v>0</v>
      </c>
      <c r="N420" t="n">
        <v>0</v>
      </c>
      <c r="O420" t="n">
        <v>0</v>
      </c>
      <c r="P420" t="n">
        <v>0</v>
      </c>
      <c r="Q420" t="n">
        <v>0</v>
      </c>
      <c r="R420" s="2" t="inlineStr"/>
    </row>
    <row r="421" ht="15" customHeight="1">
      <c r="A421" t="inlineStr">
        <is>
          <t>A 29475-2022</t>
        </is>
      </c>
      <c r="B421" s="1" t="n">
        <v>44753</v>
      </c>
      <c r="C421" s="1" t="n">
        <v>45510</v>
      </c>
      <c r="D421" t="inlineStr">
        <is>
          <t>UPPSALA LÄN</t>
        </is>
      </c>
      <c r="E421" t="inlineStr">
        <is>
          <t>ENKÖPING</t>
        </is>
      </c>
      <c r="G421" t="n">
        <v>6.9</v>
      </c>
      <c r="H421" t="n">
        <v>0</v>
      </c>
      <c r="I421" t="n">
        <v>0</v>
      </c>
      <c r="J421" t="n">
        <v>0</v>
      </c>
      <c r="K421" t="n">
        <v>0</v>
      </c>
      <c r="L421" t="n">
        <v>0</v>
      </c>
      <c r="M421" t="n">
        <v>0</v>
      </c>
      <c r="N421" t="n">
        <v>0</v>
      </c>
      <c r="O421" t="n">
        <v>0</v>
      </c>
      <c r="P421" t="n">
        <v>0</v>
      </c>
      <c r="Q421" t="n">
        <v>0</v>
      </c>
      <c r="R421" s="2" t="inlineStr"/>
    </row>
    <row r="422" ht="15" customHeight="1">
      <c r="A422" t="inlineStr">
        <is>
          <t>A 29425-2022</t>
        </is>
      </c>
      <c r="B422" s="1" t="n">
        <v>44753</v>
      </c>
      <c r="C422" s="1" t="n">
        <v>45510</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29433-2022</t>
        </is>
      </c>
      <c r="B423" s="1" t="n">
        <v>44753</v>
      </c>
      <c r="C423" s="1" t="n">
        <v>45510</v>
      </c>
      <c r="D423" t="inlineStr">
        <is>
          <t>UPPSALA LÄN</t>
        </is>
      </c>
      <c r="E423" t="inlineStr">
        <is>
          <t>ENKÖPING</t>
        </is>
      </c>
      <c r="G423" t="n">
        <v>4.3</v>
      </c>
      <c r="H423" t="n">
        <v>0</v>
      </c>
      <c r="I423" t="n">
        <v>0</v>
      </c>
      <c r="J423" t="n">
        <v>0</v>
      </c>
      <c r="K423" t="n">
        <v>0</v>
      </c>
      <c r="L423" t="n">
        <v>0</v>
      </c>
      <c r="M423" t="n">
        <v>0</v>
      </c>
      <c r="N423" t="n">
        <v>0</v>
      </c>
      <c r="O423" t="n">
        <v>0</v>
      </c>
      <c r="P423" t="n">
        <v>0</v>
      </c>
      <c r="Q423" t="n">
        <v>0</v>
      </c>
      <c r="R423" s="2" t="inlineStr"/>
    </row>
    <row r="424" ht="15" customHeight="1">
      <c r="A424" t="inlineStr">
        <is>
          <t>A 29482-2022</t>
        </is>
      </c>
      <c r="B424" s="1" t="n">
        <v>44753</v>
      </c>
      <c r="C424" s="1" t="n">
        <v>45510</v>
      </c>
      <c r="D424" t="inlineStr">
        <is>
          <t>UPPSALA LÄN</t>
        </is>
      </c>
      <c r="E424" t="inlineStr">
        <is>
          <t>ENKÖPING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30437-2022</t>
        </is>
      </c>
      <c r="B425" s="1" t="n">
        <v>44761</v>
      </c>
      <c r="C425" s="1" t="n">
        <v>45510</v>
      </c>
      <c r="D425" t="inlineStr">
        <is>
          <t>UPPSALA LÄN</t>
        </is>
      </c>
      <c r="E425" t="inlineStr">
        <is>
          <t>ENKÖPING</t>
        </is>
      </c>
      <c r="G425" t="n">
        <v>3.4</v>
      </c>
      <c r="H425" t="n">
        <v>0</v>
      </c>
      <c r="I425" t="n">
        <v>0</v>
      </c>
      <c r="J425" t="n">
        <v>0</v>
      </c>
      <c r="K425" t="n">
        <v>0</v>
      </c>
      <c r="L425" t="n">
        <v>0</v>
      </c>
      <c r="M425" t="n">
        <v>0</v>
      </c>
      <c r="N425" t="n">
        <v>0</v>
      </c>
      <c r="O425" t="n">
        <v>0</v>
      </c>
      <c r="P425" t="n">
        <v>0</v>
      </c>
      <c r="Q425" t="n">
        <v>0</v>
      </c>
      <c r="R425" s="2" t="inlineStr"/>
    </row>
    <row r="426" ht="15" customHeight="1">
      <c r="A426" t="inlineStr">
        <is>
          <t>A 30634-2022</t>
        </is>
      </c>
      <c r="B426" s="1" t="n">
        <v>44763</v>
      </c>
      <c r="C426" s="1" t="n">
        <v>45510</v>
      </c>
      <c r="D426" t="inlineStr">
        <is>
          <t>UPPSALA LÄN</t>
        </is>
      </c>
      <c r="E426" t="inlineStr">
        <is>
          <t>ENKÖPING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31013-2022</t>
        </is>
      </c>
      <c r="B427" s="1" t="n">
        <v>44768</v>
      </c>
      <c r="C427" s="1" t="n">
        <v>45510</v>
      </c>
      <c r="D427" t="inlineStr">
        <is>
          <t>UPPSALA LÄN</t>
        </is>
      </c>
      <c r="E427" t="inlineStr">
        <is>
          <t>ENKÖPING</t>
        </is>
      </c>
      <c r="F427" t="inlineStr">
        <is>
          <t>Allmännings- och besparingsskogar</t>
        </is>
      </c>
      <c r="G427" t="n">
        <v>0.5</v>
      </c>
      <c r="H427" t="n">
        <v>0</v>
      </c>
      <c r="I427" t="n">
        <v>0</v>
      </c>
      <c r="J427" t="n">
        <v>0</v>
      </c>
      <c r="K427" t="n">
        <v>0</v>
      </c>
      <c r="L427" t="n">
        <v>0</v>
      </c>
      <c r="M427" t="n">
        <v>0</v>
      </c>
      <c r="N427" t="n">
        <v>0</v>
      </c>
      <c r="O427" t="n">
        <v>0</v>
      </c>
      <c r="P427" t="n">
        <v>0</v>
      </c>
      <c r="Q427" t="n">
        <v>0</v>
      </c>
      <c r="R427" s="2" t="inlineStr"/>
    </row>
    <row r="428" ht="15" customHeight="1">
      <c r="A428" t="inlineStr">
        <is>
          <t>A 31622-2022</t>
        </is>
      </c>
      <c r="B428" s="1" t="n">
        <v>44775</v>
      </c>
      <c r="C428" s="1" t="n">
        <v>45510</v>
      </c>
      <c r="D428" t="inlineStr">
        <is>
          <t>UPPSALA LÄN</t>
        </is>
      </c>
      <c r="E428" t="inlineStr">
        <is>
          <t>ENKÖPING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33619-2022</t>
        </is>
      </c>
      <c r="B429" s="1" t="n">
        <v>44789</v>
      </c>
      <c r="C429" s="1" t="n">
        <v>45510</v>
      </c>
      <c r="D429" t="inlineStr">
        <is>
          <t>UPPSALA LÄN</t>
        </is>
      </c>
      <c r="E429" t="inlineStr">
        <is>
          <t>ENKÖPING</t>
        </is>
      </c>
      <c r="F429" t="inlineStr">
        <is>
          <t>Allmännings- och besparingsskogar</t>
        </is>
      </c>
      <c r="G429" t="n">
        <v>4.5</v>
      </c>
      <c r="H429" t="n">
        <v>0</v>
      </c>
      <c r="I429" t="n">
        <v>0</v>
      </c>
      <c r="J429" t="n">
        <v>0</v>
      </c>
      <c r="K429" t="n">
        <v>0</v>
      </c>
      <c r="L429" t="n">
        <v>0</v>
      </c>
      <c r="M429" t="n">
        <v>0</v>
      </c>
      <c r="N429" t="n">
        <v>0</v>
      </c>
      <c r="O429" t="n">
        <v>0</v>
      </c>
      <c r="P429" t="n">
        <v>0</v>
      </c>
      <c r="Q429" t="n">
        <v>0</v>
      </c>
      <c r="R429" s="2" t="inlineStr"/>
    </row>
    <row r="430" ht="15" customHeight="1">
      <c r="A430" t="inlineStr">
        <is>
          <t>A 33821-2022</t>
        </is>
      </c>
      <c r="B430" s="1" t="n">
        <v>44790</v>
      </c>
      <c r="C430" s="1" t="n">
        <v>45510</v>
      </c>
      <c r="D430" t="inlineStr">
        <is>
          <t>UPPSALA LÄN</t>
        </is>
      </c>
      <c r="E430" t="inlineStr">
        <is>
          <t>ENKÖPING</t>
        </is>
      </c>
      <c r="G430" t="n">
        <v>0.7</v>
      </c>
      <c r="H430" t="n">
        <v>0</v>
      </c>
      <c r="I430" t="n">
        <v>0</v>
      </c>
      <c r="J430" t="n">
        <v>0</v>
      </c>
      <c r="K430" t="n">
        <v>0</v>
      </c>
      <c r="L430" t="n">
        <v>0</v>
      </c>
      <c r="M430" t="n">
        <v>0</v>
      </c>
      <c r="N430" t="n">
        <v>0</v>
      </c>
      <c r="O430" t="n">
        <v>0</v>
      </c>
      <c r="P430" t="n">
        <v>0</v>
      </c>
      <c r="Q430" t="n">
        <v>0</v>
      </c>
      <c r="R430" s="2" t="inlineStr"/>
    </row>
    <row r="431" ht="15" customHeight="1">
      <c r="A431" t="inlineStr">
        <is>
          <t>A 34617-2022</t>
        </is>
      </c>
      <c r="B431" s="1" t="n">
        <v>44795</v>
      </c>
      <c r="C431" s="1" t="n">
        <v>45510</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37410-2022</t>
        </is>
      </c>
      <c r="B432" s="1" t="n">
        <v>44809</v>
      </c>
      <c r="C432" s="1" t="n">
        <v>45510</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37414-2022</t>
        </is>
      </c>
      <c r="B433" s="1" t="n">
        <v>44809</v>
      </c>
      <c r="C433" s="1" t="n">
        <v>45510</v>
      </c>
      <c r="D433" t="inlineStr">
        <is>
          <t>UPPSALA LÄN</t>
        </is>
      </c>
      <c r="E433" t="inlineStr">
        <is>
          <t>ENKÖPING</t>
        </is>
      </c>
      <c r="G433" t="n">
        <v>1.4</v>
      </c>
      <c r="H433" t="n">
        <v>0</v>
      </c>
      <c r="I433" t="n">
        <v>0</v>
      </c>
      <c r="J433" t="n">
        <v>0</v>
      </c>
      <c r="K433" t="n">
        <v>0</v>
      </c>
      <c r="L433" t="n">
        <v>0</v>
      </c>
      <c r="M433" t="n">
        <v>0</v>
      </c>
      <c r="N433" t="n">
        <v>0</v>
      </c>
      <c r="O433" t="n">
        <v>0</v>
      </c>
      <c r="P433" t="n">
        <v>0</v>
      </c>
      <c r="Q433" t="n">
        <v>0</v>
      </c>
      <c r="R433" s="2" t="inlineStr"/>
    </row>
    <row r="434" ht="15" customHeight="1">
      <c r="A434" t="inlineStr">
        <is>
          <t>A 38005-2022</t>
        </is>
      </c>
      <c r="B434" s="1" t="n">
        <v>44810</v>
      </c>
      <c r="C434" s="1" t="n">
        <v>45510</v>
      </c>
      <c r="D434" t="inlineStr">
        <is>
          <t>UPPSALA LÄN</t>
        </is>
      </c>
      <c r="E434" t="inlineStr">
        <is>
          <t>ENKÖPING</t>
        </is>
      </c>
      <c r="G434" t="n">
        <v>1.5</v>
      </c>
      <c r="H434" t="n">
        <v>0</v>
      </c>
      <c r="I434" t="n">
        <v>0</v>
      </c>
      <c r="J434" t="n">
        <v>0</v>
      </c>
      <c r="K434" t="n">
        <v>0</v>
      </c>
      <c r="L434" t="n">
        <v>0</v>
      </c>
      <c r="M434" t="n">
        <v>0</v>
      </c>
      <c r="N434" t="n">
        <v>0</v>
      </c>
      <c r="O434" t="n">
        <v>0</v>
      </c>
      <c r="P434" t="n">
        <v>0</v>
      </c>
      <c r="Q434" t="n">
        <v>0</v>
      </c>
      <c r="R434" s="2" t="inlineStr"/>
    </row>
    <row r="435" ht="15" customHeight="1">
      <c r="A435" t="inlineStr">
        <is>
          <t>A 38775-2022</t>
        </is>
      </c>
      <c r="B435" s="1" t="n">
        <v>44816</v>
      </c>
      <c r="C435" s="1" t="n">
        <v>45510</v>
      </c>
      <c r="D435" t="inlineStr">
        <is>
          <t>UPPSALA LÄN</t>
        </is>
      </c>
      <c r="E435" t="inlineStr">
        <is>
          <t>ENKÖPING</t>
        </is>
      </c>
      <c r="G435" t="n">
        <v>0.8</v>
      </c>
      <c r="H435" t="n">
        <v>0</v>
      </c>
      <c r="I435" t="n">
        <v>0</v>
      </c>
      <c r="J435" t="n">
        <v>0</v>
      </c>
      <c r="K435" t="n">
        <v>0</v>
      </c>
      <c r="L435" t="n">
        <v>0</v>
      </c>
      <c r="M435" t="n">
        <v>0</v>
      </c>
      <c r="N435" t="n">
        <v>0</v>
      </c>
      <c r="O435" t="n">
        <v>0</v>
      </c>
      <c r="P435" t="n">
        <v>0</v>
      </c>
      <c r="Q435" t="n">
        <v>0</v>
      </c>
      <c r="R435" s="2" t="inlineStr"/>
    </row>
    <row r="436" ht="15" customHeight="1">
      <c r="A436" t="inlineStr">
        <is>
          <t>A 39751-2022</t>
        </is>
      </c>
      <c r="B436" s="1" t="n">
        <v>44819</v>
      </c>
      <c r="C436" s="1" t="n">
        <v>45510</v>
      </c>
      <c r="D436" t="inlineStr">
        <is>
          <t>UPPSALA LÄN</t>
        </is>
      </c>
      <c r="E436" t="inlineStr">
        <is>
          <t>ENKÖPING</t>
        </is>
      </c>
      <c r="G436" t="n">
        <v>7.6</v>
      </c>
      <c r="H436" t="n">
        <v>0</v>
      </c>
      <c r="I436" t="n">
        <v>0</v>
      </c>
      <c r="J436" t="n">
        <v>0</v>
      </c>
      <c r="K436" t="n">
        <v>0</v>
      </c>
      <c r="L436" t="n">
        <v>0</v>
      </c>
      <c r="M436" t="n">
        <v>0</v>
      </c>
      <c r="N436" t="n">
        <v>0</v>
      </c>
      <c r="O436" t="n">
        <v>0</v>
      </c>
      <c r="P436" t="n">
        <v>0</v>
      </c>
      <c r="Q436" t="n">
        <v>0</v>
      </c>
      <c r="R436" s="2" t="inlineStr"/>
    </row>
    <row r="437" ht="15" customHeight="1">
      <c r="A437" t="inlineStr">
        <is>
          <t>A 39922-2022</t>
        </is>
      </c>
      <c r="B437" s="1" t="n">
        <v>44819</v>
      </c>
      <c r="C437" s="1" t="n">
        <v>45510</v>
      </c>
      <c r="D437" t="inlineStr">
        <is>
          <t>UPPSALA LÄN</t>
        </is>
      </c>
      <c r="E437" t="inlineStr">
        <is>
          <t>ENKÖPING</t>
        </is>
      </c>
      <c r="G437" t="n">
        <v>1.7</v>
      </c>
      <c r="H437" t="n">
        <v>0</v>
      </c>
      <c r="I437" t="n">
        <v>0</v>
      </c>
      <c r="J437" t="n">
        <v>0</v>
      </c>
      <c r="K437" t="n">
        <v>0</v>
      </c>
      <c r="L437" t="n">
        <v>0</v>
      </c>
      <c r="M437" t="n">
        <v>0</v>
      </c>
      <c r="N437" t="n">
        <v>0</v>
      </c>
      <c r="O437" t="n">
        <v>0</v>
      </c>
      <c r="P437" t="n">
        <v>0</v>
      </c>
      <c r="Q437" t="n">
        <v>0</v>
      </c>
      <c r="R437" s="2" t="inlineStr"/>
    </row>
    <row r="438" ht="15" customHeight="1">
      <c r="A438" t="inlineStr">
        <is>
          <t>A 40773-2022</t>
        </is>
      </c>
      <c r="B438" s="1" t="n">
        <v>44824</v>
      </c>
      <c r="C438" s="1" t="n">
        <v>45510</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40812-2022</t>
        </is>
      </c>
      <c r="B439" s="1" t="n">
        <v>44824</v>
      </c>
      <c r="C439" s="1" t="n">
        <v>45510</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41736-2022</t>
        </is>
      </c>
      <c r="B440" s="1" t="n">
        <v>44827</v>
      </c>
      <c r="C440" s="1" t="n">
        <v>45510</v>
      </c>
      <c r="D440" t="inlineStr">
        <is>
          <t>UPPSALA LÄN</t>
        </is>
      </c>
      <c r="E440" t="inlineStr">
        <is>
          <t>ENKÖPING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41737-2022</t>
        </is>
      </c>
      <c r="B441" s="1" t="n">
        <v>44827</v>
      </c>
      <c r="C441" s="1" t="n">
        <v>45510</v>
      </c>
      <c r="D441" t="inlineStr">
        <is>
          <t>UPPSALA LÄN</t>
        </is>
      </c>
      <c r="E441" t="inlineStr">
        <is>
          <t>ENKÖPING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41753-2022</t>
        </is>
      </c>
      <c r="B442" s="1" t="n">
        <v>44827</v>
      </c>
      <c r="C442" s="1" t="n">
        <v>45510</v>
      </c>
      <c r="D442" t="inlineStr">
        <is>
          <t>UPPSALA LÄN</t>
        </is>
      </c>
      <c r="E442" t="inlineStr">
        <is>
          <t>ENKÖPING</t>
        </is>
      </c>
      <c r="G442" t="n">
        <v>3</v>
      </c>
      <c r="H442" t="n">
        <v>0</v>
      </c>
      <c r="I442" t="n">
        <v>0</v>
      </c>
      <c r="J442" t="n">
        <v>0</v>
      </c>
      <c r="K442" t="n">
        <v>0</v>
      </c>
      <c r="L442" t="n">
        <v>0</v>
      </c>
      <c r="M442" t="n">
        <v>0</v>
      </c>
      <c r="N442" t="n">
        <v>0</v>
      </c>
      <c r="O442" t="n">
        <v>0</v>
      </c>
      <c r="P442" t="n">
        <v>0</v>
      </c>
      <c r="Q442" t="n">
        <v>0</v>
      </c>
      <c r="R442" s="2" t="inlineStr"/>
    </row>
    <row r="443" ht="15" customHeight="1">
      <c r="A443" t="inlineStr">
        <is>
          <t>A 42589-2022</t>
        </is>
      </c>
      <c r="B443" s="1" t="n">
        <v>44831</v>
      </c>
      <c r="C443" s="1" t="n">
        <v>45510</v>
      </c>
      <c r="D443" t="inlineStr">
        <is>
          <t>UPPSALA LÄN</t>
        </is>
      </c>
      <c r="E443" t="inlineStr">
        <is>
          <t>ENKÖPING</t>
        </is>
      </c>
      <c r="G443" t="n">
        <v>20</v>
      </c>
      <c r="H443" t="n">
        <v>0</v>
      </c>
      <c r="I443" t="n">
        <v>0</v>
      </c>
      <c r="J443" t="n">
        <v>0</v>
      </c>
      <c r="K443" t="n">
        <v>0</v>
      </c>
      <c r="L443" t="n">
        <v>0</v>
      </c>
      <c r="M443" t="n">
        <v>0</v>
      </c>
      <c r="N443" t="n">
        <v>0</v>
      </c>
      <c r="O443" t="n">
        <v>0</v>
      </c>
      <c r="P443" t="n">
        <v>0</v>
      </c>
      <c r="Q443" t="n">
        <v>0</v>
      </c>
      <c r="R443" s="2" t="inlineStr"/>
    </row>
    <row r="444" ht="15" customHeight="1">
      <c r="A444" t="inlineStr">
        <is>
          <t>A 42592-2022</t>
        </is>
      </c>
      <c r="B444" s="1" t="n">
        <v>44831</v>
      </c>
      <c r="C444" s="1" t="n">
        <v>45510</v>
      </c>
      <c r="D444" t="inlineStr">
        <is>
          <t>UPPSALA LÄN</t>
        </is>
      </c>
      <c r="E444" t="inlineStr">
        <is>
          <t>ENKÖPING</t>
        </is>
      </c>
      <c r="G444" t="n">
        <v>4.5</v>
      </c>
      <c r="H444" t="n">
        <v>0</v>
      </c>
      <c r="I444" t="n">
        <v>0</v>
      </c>
      <c r="J444" t="n">
        <v>0</v>
      </c>
      <c r="K444" t="n">
        <v>0</v>
      </c>
      <c r="L444" t="n">
        <v>0</v>
      </c>
      <c r="M444" t="n">
        <v>0</v>
      </c>
      <c r="N444" t="n">
        <v>0</v>
      </c>
      <c r="O444" t="n">
        <v>0</v>
      </c>
      <c r="P444" t="n">
        <v>0</v>
      </c>
      <c r="Q444" t="n">
        <v>0</v>
      </c>
      <c r="R444" s="2" t="inlineStr"/>
    </row>
    <row r="445" ht="15" customHeight="1">
      <c r="A445" t="inlineStr">
        <is>
          <t>A 43896-2022</t>
        </is>
      </c>
      <c r="B445" s="1" t="n">
        <v>44838</v>
      </c>
      <c r="C445" s="1" t="n">
        <v>45510</v>
      </c>
      <c r="D445" t="inlineStr">
        <is>
          <t>UPPSALA LÄN</t>
        </is>
      </c>
      <c r="E445" t="inlineStr">
        <is>
          <t>ENKÖPING</t>
        </is>
      </c>
      <c r="G445" t="n">
        <v>5.3</v>
      </c>
      <c r="H445" t="n">
        <v>0</v>
      </c>
      <c r="I445" t="n">
        <v>0</v>
      </c>
      <c r="J445" t="n">
        <v>0</v>
      </c>
      <c r="K445" t="n">
        <v>0</v>
      </c>
      <c r="L445" t="n">
        <v>0</v>
      </c>
      <c r="M445" t="n">
        <v>0</v>
      </c>
      <c r="N445" t="n">
        <v>0</v>
      </c>
      <c r="O445" t="n">
        <v>0</v>
      </c>
      <c r="P445" t="n">
        <v>0</v>
      </c>
      <c r="Q445" t="n">
        <v>0</v>
      </c>
      <c r="R445" s="2" t="inlineStr"/>
    </row>
    <row r="446" ht="15" customHeight="1">
      <c r="A446" t="inlineStr">
        <is>
          <t>A 45362-2022</t>
        </is>
      </c>
      <c r="B446" s="1" t="n">
        <v>44844</v>
      </c>
      <c r="C446" s="1" t="n">
        <v>45510</v>
      </c>
      <c r="D446" t="inlineStr">
        <is>
          <t>UPPSALA LÄN</t>
        </is>
      </c>
      <c r="E446" t="inlineStr">
        <is>
          <t>ENKÖPING</t>
        </is>
      </c>
      <c r="G446" t="n">
        <v>1.8</v>
      </c>
      <c r="H446" t="n">
        <v>0</v>
      </c>
      <c r="I446" t="n">
        <v>0</v>
      </c>
      <c r="J446" t="n">
        <v>0</v>
      </c>
      <c r="K446" t="n">
        <v>0</v>
      </c>
      <c r="L446" t="n">
        <v>0</v>
      </c>
      <c r="M446" t="n">
        <v>0</v>
      </c>
      <c r="N446" t="n">
        <v>0</v>
      </c>
      <c r="O446" t="n">
        <v>0</v>
      </c>
      <c r="P446" t="n">
        <v>0</v>
      </c>
      <c r="Q446" t="n">
        <v>0</v>
      </c>
      <c r="R446" s="2" t="inlineStr"/>
    </row>
    <row r="447" ht="15" customHeight="1">
      <c r="A447" t="inlineStr">
        <is>
          <t>A 45283-2022</t>
        </is>
      </c>
      <c r="B447" s="1" t="n">
        <v>44844</v>
      </c>
      <c r="C447" s="1" t="n">
        <v>45510</v>
      </c>
      <c r="D447" t="inlineStr">
        <is>
          <t>UPPSALA LÄN</t>
        </is>
      </c>
      <c r="E447" t="inlineStr">
        <is>
          <t>ENKÖPING</t>
        </is>
      </c>
      <c r="G447" t="n">
        <v>5.9</v>
      </c>
      <c r="H447" t="n">
        <v>0</v>
      </c>
      <c r="I447" t="n">
        <v>0</v>
      </c>
      <c r="J447" t="n">
        <v>0</v>
      </c>
      <c r="K447" t="n">
        <v>0</v>
      </c>
      <c r="L447" t="n">
        <v>0</v>
      </c>
      <c r="M447" t="n">
        <v>0</v>
      </c>
      <c r="N447" t="n">
        <v>0</v>
      </c>
      <c r="O447" t="n">
        <v>0</v>
      </c>
      <c r="P447" t="n">
        <v>0</v>
      </c>
      <c r="Q447" t="n">
        <v>0</v>
      </c>
      <c r="R447" s="2" t="inlineStr"/>
    </row>
    <row r="448" ht="15" customHeight="1">
      <c r="A448" t="inlineStr">
        <is>
          <t>A 45852-2022</t>
        </is>
      </c>
      <c r="B448" s="1" t="n">
        <v>44846</v>
      </c>
      <c r="C448" s="1" t="n">
        <v>45510</v>
      </c>
      <c r="D448" t="inlineStr">
        <is>
          <t>UPPSALA LÄN</t>
        </is>
      </c>
      <c r="E448" t="inlineStr">
        <is>
          <t>ENKÖPING</t>
        </is>
      </c>
      <c r="G448" t="n">
        <v>6</v>
      </c>
      <c r="H448" t="n">
        <v>0</v>
      </c>
      <c r="I448" t="n">
        <v>0</v>
      </c>
      <c r="J448" t="n">
        <v>0</v>
      </c>
      <c r="K448" t="n">
        <v>0</v>
      </c>
      <c r="L448" t="n">
        <v>0</v>
      </c>
      <c r="M448" t="n">
        <v>0</v>
      </c>
      <c r="N448" t="n">
        <v>0</v>
      </c>
      <c r="O448" t="n">
        <v>0</v>
      </c>
      <c r="P448" t="n">
        <v>0</v>
      </c>
      <c r="Q448" t="n">
        <v>0</v>
      </c>
      <c r="R448" s="2" t="inlineStr"/>
    </row>
    <row r="449" ht="15" customHeight="1">
      <c r="A449" t="inlineStr">
        <is>
          <t>A 46749-2022</t>
        </is>
      </c>
      <c r="B449" s="1" t="n">
        <v>44851</v>
      </c>
      <c r="C449" s="1" t="n">
        <v>45510</v>
      </c>
      <c r="D449" t="inlineStr">
        <is>
          <t>UPPSALA LÄN</t>
        </is>
      </c>
      <c r="E449" t="inlineStr">
        <is>
          <t>ENKÖPING</t>
        </is>
      </c>
      <c r="G449" t="n">
        <v>6.6</v>
      </c>
      <c r="H449" t="n">
        <v>0</v>
      </c>
      <c r="I449" t="n">
        <v>0</v>
      </c>
      <c r="J449" t="n">
        <v>0</v>
      </c>
      <c r="K449" t="n">
        <v>0</v>
      </c>
      <c r="L449" t="n">
        <v>0</v>
      </c>
      <c r="M449" t="n">
        <v>0</v>
      </c>
      <c r="N449" t="n">
        <v>0</v>
      </c>
      <c r="O449" t="n">
        <v>0</v>
      </c>
      <c r="P449" t="n">
        <v>0</v>
      </c>
      <c r="Q449" t="n">
        <v>0</v>
      </c>
      <c r="R449" s="2" t="inlineStr"/>
    </row>
    <row r="450" ht="15" customHeight="1">
      <c r="A450" t="inlineStr">
        <is>
          <t>A 47431-2022</t>
        </is>
      </c>
      <c r="B450" s="1" t="n">
        <v>44853</v>
      </c>
      <c r="C450" s="1" t="n">
        <v>45510</v>
      </c>
      <c r="D450" t="inlineStr">
        <is>
          <t>UPPSALA LÄN</t>
        </is>
      </c>
      <c r="E450" t="inlineStr">
        <is>
          <t>ENKÖPING</t>
        </is>
      </c>
      <c r="G450" t="n">
        <v>1.9</v>
      </c>
      <c r="H450" t="n">
        <v>0</v>
      </c>
      <c r="I450" t="n">
        <v>0</v>
      </c>
      <c r="J450" t="n">
        <v>0</v>
      </c>
      <c r="K450" t="n">
        <v>0</v>
      </c>
      <c r="L450" t="n">
        <v>0</v>
      </c>
      <c r="M450" t="n">
        <v>0</v>
      </c>
      <c r="N450" t="n">
        <v>0</v>
      </c>
      <c r="O450" t="n">
        <v>0</v>
      </c>
      <c r="P450" t="n">
        <v>0</v>
      </c>
      <c r="Q450" t="n">
        <v>0</v>
      </c>
      <c r="R450" s="2" t="inlineStr"/>
    </row>
    <row r="451" ht="15" customHeight="1">
      <c r="A451" t="inlineStr">
        <is>
          <t>A 47516-2022</t>
        </is>
      </c>
      <c r="B451" s="1" t="n">
        <v>44853</v>
      </c>
      <c r="C451" s="1" t="n">
        <v>45510</v>
      </c>
      <c r="D451" t="inlineStr">
        <is>
          <t>UPPSALA LÄN</t>
        </is>
      </c>
      <c r="E451" t="inlineStr">
        <is>
          <t>ENKÖPING</t>
        </is>
      </c>
      <c r="G451" t="n">
        <v>1</v>
      </c>
      <c r="H451" t="n">
        <v>0</v>
      </c>
      <c r="I451" t="n">
        <v>0</v>
      </c>
      <c r="J451" t="n">
        <v>0</v>
      </c>
      <c r="K451" t="n">
        <v>0</v>
      </c>
      <c r="L451" t="n">
        <v>0</v>
      </c>
      <c r="M451" t="n">
        <v>0</v>
      </c>
      <c r="N451" t="n">
        <v>0</v>
      </c>
      <c r="O451" t="n">
        <v>0</v>
      </c>
      <c r="P451" t="n">
        <v>0</v>
      </c>
      <c r="Q451" t="n">
        <v>0</v>
      </c>
      <c r="R451" s="2" t="inlineStr"/>
    </row>
    <row r="452" ht="15" customHeight="1">
      <c r="A452" t="inlineStr">
        <is>
          <t>A 48230-2022</t>
        </is>
      </c>
      <c r="B452" s="1" t="n">
        <v>44858</v>
      </c>
      <c r="C452" s="1" t="n">
        <v>45510</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48233-2022</t>
        </is>
      </c>
      <c r="B453" s="1" t="n">
        <v>44858</v>
      </c>
      <c r="C453" s="1" t="n">
        <v>45510</v>
      </c>
      <c r="D453" t="inlineStr">
        <is>
          <t>UPPSALA LÄN</t>
        </is>
      </c>
      <c r="E453" t="inlineStr">
        <is>
          <t>ENKÖPING</t>
        </is>
      </c>
      <c r="G453" t="n">
        <v>0.7</v>
      </c>
      <c r="H453" t="n">
        <v>0</v>
      </c>
      <c r="I453" t="n">
        <v>0</v>
      </c>
      <c r="J453" t="n">
        <v>0</v>
      </c>
      <c r="K453" t="n">
        <v>0</v>
      </c>
      <c r="L453" t="n">
        <v>0</v>
      </c>
      <c r="M453" t="n">
        <v>0</v>
      </c>
      <c r="N453" t="n">
        <v>0</v>
      </c>
      <c r="O453" t="n">
        <v>0</v>
      </c>
      <c r="P453" t="n">
        <v>0</v>
      </c>
      <c r="Q453" t="n">
        <v>0</v>
      </c>
      <c r="R453" s="2" t="inlineStr"/>
    </row>
    <row r="454" ht="15" customHeight="1">
      <c r="A454" t="inlineStr">
        <is>
          <t>A 48864-2022</t>
        </is>
      </c>
      <c r="B454" s="1" t="n">
        <v>44859</v>
      </c>
      <c r="C454" s="1" t="n">
        <v>45510</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49557-2022</t>
        </is>
      </c>
      <c r="B455" s="1" t="n">
        <v>44862</v>
      </c>
      <c r="C455" s="1" t="n">
        <v>45510</v>
      </c>
      <c r="D455" t="inlineStr">
        <is>
          <t>UPPSALA LÄN</t>
        </is>
      </c>
      <c r="E455" t="inlineStr">
        <is>
          <t>ENKÖPING</t>
        </is>
      </c>
      <c r="G455" t="n">
        <v>2.9</v>
      </c>
      <c r="H455" t="n">
        <v>0</v>
      </c>
      <c r="I455" t="n">
        <v>0</v>
      </c>
      <c r="J455" t="n">
        <v>0</v>
      </c>
      <c r="K455" t="n">
        <v>0</v>
      </c>
      <c r="L455" t="n">
        <v>0</v>
      </c>
      <c r="M455" t="n">
        <v>0</v>
      </c>
      <c r="N455" t="n">
        <v>0</v>
      </c>
      <c r="O455" t="n">
        <v>0</v>
      </c>
      <c r="P455" t="n">
        <v>0</v>
      </c>
      <c r="Q455" t="n">
        <v>0</v>
      </c>
      <c r="R455" s="2" t="inlineStr"/>
    </row>
    <row r="456" ht="15" customHeight="1">
      <c r="A456" t="inlineStr">
        <is>
          <t>A 49562-2022</t>
        </is>
      </c>
      <c r="B456" s="1" t="n">
        <v>44862</v>
      </c>
      <c r="C456" s="1" t="n">
        <v>45510</v>
      </c>
      <c r="D456" t="inlineStr">
        <is>
          <t>UPPSALA LÄN</t>
        </is>
      </c>
      <c r="E456" t="inlineStr">
        <is>
          <t>ENKÖPING</t>
        </is>
      </c>
      <c r="G456" t="n">
        <v>2</v>
      </c>
      <c r="H456" t="n">
        <v>0</v>
      </c>
      <c r="I456" t="n">
        <v>0</v>
      </c>
      <c r="J456" t="n">
        <v>0</v>
      </c>
      <c r="K456" t="n">
        <v>0</v>
      </c>
      <c r="L456" t="n">
        <v>0</v>
      </c>
      <c r="M456" t="n">
        <v>0</v>
      </c>
      <c r="N456" t="n">
        <v>0</v>
      </c>
      <c r="O456" t="n">
        <v>0</v>
      </c>
      <c r="P456" t="n">
        <v>0</v>
      </c>
      <c r="Q456" t="n">
        <v>0</v>
      </c>
      <c r="R456" s="2" t="inlineStr"/>
    </row>
    <row r="457" ht="15" customHeight="1">
      <c r="A457" t="inlineStr">
        <is>
          <t>A 49560-2022</t>
        </is>
      </c>
      <c r="B457" s="1" t="n">
        <v>44862</v>
      </c>
      <c r="C457" s="1" t="n">
        <v>45510</v>
      </c>
      <c r="D457" t="inlineStr">
        <is>
          <t>UPPSALA LÄN</t>
        </is>
      </c>
      <c r="E457" t="inlineStr">
        <is>
          <t>ENKÖPING</t>
        </is>
      </c>
      <c r="G457" t="n">
        <v>1.8</v>
      </c>
      <c r="H457" t="n">
        <v>0</v>
      </c>
      <c r="I457" t="n">
        <v>0</v>
      </c>
      <c r="J457" t="n">
        <v>0</v>
      </c>
      <c r="K457" t="n">
        <v>0</v>
      </c>
      <c r="L457" t="n">
        <v>0</v>
      </c>
      <c r="M457" t="n">
        <v>0</v>
      </c>
      <c r="N457" t="n">
        <v>0</v>
      </c>
      <c r="O457" t="n">
        <v>0</v>
      </c>
      <c r="P457" t="n">
        <v>0</v>
      </c>
      <c r="Q457" t="n">
        <v>0</v>
      </c>
      <c r="R457" s="2" t="inlineStr"/>
    </row>
    <row r="458" ht="15" customHeight="1">
      <c r="A458" t="inlineStr">
        <is>
          <t>A 49568-2022</t>
        </is>
      </c>
      <c r="B458" s="1" t="n">
        <v>44862</v>
      </c>
      <c r="C458" s="1" t="n">
        <v>45510</v>
      </c>
      <c r="D458" t="inlineStr">
        <is>
          <t>UPPSALA LÄN</t>
        </is>
      </c>
      <c r="E458" t="inlineStr">
        <is>
          <t>ENKÖPING</t>
        </is>
      </c>
      <c r="G458" t="n">
        <v>0.9</v>
      </c>
      <c r="H458" t="n">
        <v>0</v>
      </c>
      <c r="I458" t="n">
        <v>0</v>
      </c>
      <c r="J458" t="n">
        <v>0</v>
      </c>
      <c r="K458" t="n">
        <v>0</v>
      </c>
      <c r="L458" t="n">
        <v>0</v>
      </c>
      <c r="M458" t="n">
        <v>0</v>
      </c>
      <c r="N458" t="n">
        <v>0</v>
      </c>
      <c r="O458" t="n">
        <v>0</v>
      </c>
      <c r="P458" t="n">
        <v>0</v>
      </c>
      <c r="Q458" t="n">
        <v>0</v>
      </c>
      <c r="R458" s="2" t="inlineStr"/>
    </row>
    <row r="459" ht="15" customHeight="1">
      <c r="A459" t="inlineStr">
        <is>
          <t>A 50747-2022</t>
        </is>
      </c>
      <c r="B459" s="1" t="n">
        <v>44867</v>
      </c>
      <c r="C459" s="1" t="n">
        <v>45510</v>
      </c>
      <c r="D459" t="inlineStr">
        <is>
          <t>UPPSALA LÄN</t>
        </is>
      </c>
      <c r="E459" t="inlineStr">
        <is>
          <t>ENKÖPING</t>
        </is>
      </c>
      <c r="G459" t="n">
        <v>1.5</v>
      </c>
      <c r="H459" t="n">
        <v>0</v>
      </c>
      <c r="I459" t="n">
        <v>0</v>
      </c>
      <c r="J459" t="n">
        <v>0</v>
      </c>
      <c r="K459" t="n">
        <v>0</v>
      </c>
      <c r="L459" t="n">
        <v>0</v>
      </c>
      <c r="M459" t="n">
        <v>0</v>
      </c>
      <c r="N459" t="n">
        <v>0</v>
      </c>
      <c r="O459" t="n">
        <v>0</v>
      </c>
      <c r="P459" t="n">
        <v>0</v>
      </c>
      <c r="Q459" t="n">
        <v>0</v>
      </c>
      <c r="R459" s="2" t="inlineStr"/>
    </row>
    <row r="460" ht="15" customHeight="1">
      <c r="A460" t="inlineStr">
        <is>
          <t>A 51524-2022</t>
        </is>
      </c>
      <c r="B460" s="1" t="n">
        <v>44869</v>
      </c>
      <c r="C460" s="1" t="n">
        <v>45510</v>
      </c>
      <c r="D460" t="inlineStr">
        <is>
          <t>UPPSALA LÄN</t>
        </is>
      </c>
      <c r="E460" t="inlineStr">
        <is>
          <t>ENKÖPING</t>
        </is>
      </c>
      <c r="G460" t="n">
        <v>6.6</v>
      </c>
      <c r="H460" t="n">
        <v>0</v>
      </c>
      <c r="I460" t="n">
        <v>0</v>
      </c>
      <c r="J460" t="n">
        <v>0</v>
      </c>
      <c r="K460" t="n">
        <v>0</v>
      </c>
      <c r="L460" t="n">
        <v>0</v>
      </c>
      <c r="M460" t="n">
        <v>0</v>
      </c>
      <c r="N460" t="n">
        <v>0</v>
      </c>
      <c r="O460" t="n">
        <v>0</v>
      </c>
      <c r="P460" t="n">
        <v>0</v>
      </c>
      <c r="Q460" t="n">
        <v>0</v>
      </c>
      <c r="R460" s="2" t="inlineStr"/>
    </row>
    <row r="461" ht="15" customHeight="1">
      <c r="A461" t="inlineStr">
        <is>
          <t>A 51932-2022</t>
        </is>
      </c>
      <c r="B461" s="1" t="n">
        <v>44872</v>
      </c>
      <c r="C461" s="1" t="n">
        <v>45510</v>
      </c>
      <c r="D461" t="inlineStr">
        <is>
          <t>UPPSALA LÄN</t>
        </is>
      </c>
      <c r="E461" t="inlineStr">
        <is>
          <t>ENKÖPING</t>
        </is>
      </c>
      <c r="G461" t="n">
        <v>5.5</v>
      </c>
      <c r="H461" t="n">
        <v>0</v>
      </c>
      <c r="I461" t="n">
        <v>0</v>
      </c>
      <c r="J461" t="n">
        <v>0</v>
      </c>
      <c r="K461" t="n">
        <v>0</v>
      </c>
      <c r="L461" t="n">
        <v>0</v>
      </c>
      <c r="M461" t="n">
        <v>0</v>
      </c>
      <c r="N461" t="n">
        <v>0</v>
      </c>
      <c r="O461" t="n">
        <v>0</v>
      </c>
      <c r="P461" t="n">
        <v>0</v>
      </c>
      <c r="Q461" t="n">
        <v>0</v>
      </c>
      <c r="R461" s="2" t="inlineStr"/>
    </row>
    <row r="462" ht="15" customHeight="1">
      <c r="A462" t="inlineStr">
        <is>
          <t>A 52895-2022</t>
        </is>
      </c>
      <c r="B462" s="1" t="n">
        <v>44875</v>
      </c>
      <c r="C462" s="1" t="n">
        <v>45510</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52893-2022</t>
        </is>
      </c>
      <c r="B463" s="1" t="n">
        <v>44875</v>
      </c>
      <c r="C463" s="1" t="n">
        <v>45510</v>
      </c>
      <c r="D463" t="inlineStr">
        <is>
          <t>UPPSALA LÄN</t>
        </is>
      </c>
      <c r="E463" t="inlineStr">
        <is>
          <t>ENKÖPING</t>
        </is>
      </c>
      <c r="G463" t="n">
        <v>2.8</v>
      </c>
      <c r="H463" t="n">
        <v>0</v>
      </c>
      <c r="I463" t="n">
        <v>0</v>
      </c>
      <c r="J463" t="n">
        <v>0</v>
      </c>
      <c r="K463" t="n">
        <v>0</v>
      </c>
      <c r="L463" t="n">
        <v>0</v>
      </c>
      <c r="M463" t="n">
        <v>0</v>
      </c>
      <c r="N463" t="n">
        <v>0</v>
      </c>
      <c r="O463" t="n">
        <v>0</v>
      </c>
      <c r="P463" t="n">
        <v>0</v>
      </c>
      <c r="Q463" t="n">
        <v>0</v>
      </c>
      <c r="R463" s="2" t="inlineStr"/>
    </row>
    <row r="464" ht="15" customHeight="1">
      <c r="A464" t="inlineStr">
        <is>
          <t>A 52889-2022</t>
        </is>
      </c>
      <c r="B464" s="1" t="n">
        <v>44875</v>
      </c>
      <c r="C464" s="1" t="n">
        <v>45510</v>
      </c>
      <c r="D464" t="inlineStr">
        <is>
          <t>UPPSALA LÄN</t>
        </is>
      </c>
      <c r="E464" t="inlineStr">
        <is>
          <t>ENKÖPING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52896-2022</t>
        </is>
      </c>
      <c r="B465" s="1" t="n">
        <v>44875</v>
      </c>
      <c r="C465" s="1" t="n">
        <v>45510</v>
      </c>
      <c r="D465" t="inlineStr">
        <is>
          <t>UPPSALA LÄN</t>
        </is>
      </c>
      <c r="E465" t="inlineStr">
        <is>
          <t>ENKÖPING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53496-2022</t>
        </is>
      </c>
      <c r="B466" s="1" t="n">
        <v>44879</v>
      </c>
      <c r="C466" s="1" t="n">
        <v>45510</v>
      </c>
      <c r="D466" t="inlineStr">
        <is>
          <t>UPPSALA LÄN</t>
        </is>
      </c>
      <c r="E466" t="inlineStr">
        <is>
          <t>ENKÖPING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56526-2022</t>
        </is>
      </c>
      <c r="B467" s="1" t="n">
        <v>44893</v>
      </c>
      <c r="C467" s="1" t="n">
        <v>45510</v>
      </c>
      <c r="D467" t="inlineStr">
        <is>
          <t>UPPSALA LÄN</t>
        </is>
      </c>
      <c r="E467" t="inlineStr">
        <is>
          <t>ENKÖPING</t>
        </is>
      </c>
      <c r="G467" t="n">
        <v>3.8</v>
      </c>
      <c r="H467" t="n">
        <v>0</v>
      </c>
      <c r="I467" t="n">
        <v>0</v>
      </c>
      <c r="J467" t="n">
        <v>0</v>
      </c>
      <c r="K467" t="n">
        <v>0</v>
      </c>
      <c r="L467" t="n">
        <v>0</v>
      </c>
      <c r="M467" t="n">
        <v>0</v>
      </c>
      <c r="N467" t="n">
        <v>0</v>
      </c>
      <c r="O467" t="n">
        <v>0</v>
      </c>
      <c r="P467" t="n">
        <v>0</v>
      </c>
      <c r="Q467" t="n">
        <v>0</v>
      </c>
      <c r="R467" s="2" t="inlineStr"/>
    </row>
    <row r="468" ht="15" customHeight="1">
      <c r="A468" t="inlineStr">
        <is>
          <t>A 57563-2022</t>
        </is>
      </c>
      <c r="B468" s="1" t="n">
        <v>44896</v>
      </c>
      <c r="C468" s="1" t="n">
        <v>45510</v>
      </c>
      <c r="D468" t="inlineStr">
        <is>
          <t>UPPSALA LÄN</t>
        </is>
      </c>
      <c r="E468" t="inlineStr">
        <is>
          <t>ENKÖPING</t>
        </is>
      </c>
      <c r="G468" t="n">
        <v>3.2</v>
      </c>
      <c r="H468" t="n">
        <v>0</v>
      </c>
      <c r="I468" t="n">
        <v>0</v>
      </c>
      <c r="J468" t="n">
        <v>0</v>
      </c>
      <c r="K468" t="n">
        <v>0</v>
      </c>
      <c r="L468" t="n">
        <v>0</v>
      </c>
      <c r="M468" t="n">
        <v>0</v>
      </c>
      <c r="N468" t="n">
        <v>0</v>
      </c>
      <c r="O468" t="n">
        <v>0</v>
      </c>
      <c r="P468" t="n">
        <v>0</v>
      </c>
      <c r="Q468" t="n">
        <v>0</v>
      </c>
      <c r="R468" s="2" t="inlineStr"/>
    </row>
    <row r="469" ht="15" customHeight="1">
      <c r="A469" t="inlineStr">
        <is>
          <t>A 57940-2022</t>
        </is>
      </c>
      <c r="B469" s="1" t="n">
        <v>44900</v>
      </c>
      <c r="C469" s="1" t="n">
        <v>45510</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58384-2022</t>
        </is>
      </c>
      <c r="B470" s="1" t="n">
        <v>44901</v>
      </c>
      <c r="C470" s="1" t="n">
        <v>45510</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59190-2022</t>
        </is>
      </c>
      <c r="B471" s="1" t="n">
        <v>44904</v>
      </c>
      <c r="C471" s="1" t="n">
        <v>45510</v>
      </c>
      <c r="D471" t="inlineStr">
        <is>
          <t>UPPSALA LÄN</t>
        </is>
      </c>
      <c r="E471" t="inlineStr">
        <is>
          <t>ENKÖPING</t>
        </is>
      </c>
      <c r="G471" t="n">
        <v>2.3</v>
      </c>
      <c r="H471" t="n">
        <v>0</v>
      </c>
      <c r="I471" t="n">
        <v>0</v>
      </c>
      <c r="J471" t="n">
        <v>0</v>
      </c>
      <c r="K471" t="n">
        <v>0</v>
      </c>
      <c r="L471" t="n">
        <v>0</v>
      </c>
      <c r="M471" t="n">
        <v>0</v>
      </c>
      <c r="N471" t="n">
        <v>0</v>
      </c>
      <c r="O471" t="n">
        <v>0</v>
      </c>
      <c r="P471" t="n">
        <v>0</v>
      </c>
      <c r="Q471" t="n">
        <v>0</v>
      </c>
      <c r="R471" s="2" t="inlineStr"/>
    </row>
    <row r="472" ht="15" customHeight="1">
      <c r="A472" t="inlineStr">
        <is>
          <t>A 59200-2022</t>
        </is>
      </c>
      <c r="B472" s="1" t="n">
        <v>44904</v>
      </c>
      <c r="C472" s="1" t="n">
        <v>45510</v>
      </c>
      <c r="D472" t="inlineStr">
        <is>
          <t>UPPSALA LÄN</t>
        </is>
      </c>
      <c r="E472" t="inlineStr">
        <is>
          <t>ENKÖPING</t>
        </is>
      </c>
      <c r="G472" t="n">
        <v>3.1</v>
      </c>
      <c r="H472" t="n">
        <v>0</v>
      </c>
      <c r="I472" t="n">
        <v>0</v>
      </c>
      <c r="J472" t="n">
        <v>0</v>
      </c>
      <c r="K472" t="n">
        <v>0</v>
      </c>
      <c r="L472" t="n">
        <v>0</v>
      </c>
      <c r="M472" t="n">
        <v>0</v>
      </c>
      <c r="N472" t="n">
        <v>0</v>
      </c>
      <c r="O472" t="n">
        <v>0</v>
      </c>
      <c r="P472" t="n">
        <v>0</v>
      </c>
      <c r="Q472" t="n">
        <v>0</v>
      </c>
      <c r="R472" s="2" t="inlineStr"/>
    </row>
    <row r="473" ht="15" customHeight="1">
      <c r="A473" t="inlineStr">
        <is>
          <t>A 59337-2022</t>
        </is>
      </c>
      <c r="B473" s="1" t="n">
        <v>44904</v>
      </c>
      <c r="C473" s="1" t="n">
        <v>45510</v>
      </c>
      <c r="D473" t="inlineStr">
        <is>
          <t>UPPSALA LÄN</t>
        </is>
      </c>
      <c r="E473" t="inlineStr">
        <is>
          <t>ENKÖPING</t>
        </is>
      </c>
      <c r="G473" t="n">
        <v>8.4</v>
      </c>
      <c r="H473" t="n">
        <v>0</v>
      </c>
      <c r="I473" t="n">
        <v>0</v>
      </c>
      <c r="J473" t="n">
        <v>0</v>
      </c>
      <c r="K473" t="n">
        <v>0</v>
      </c>
      <c r="L473" t="n">
        <v>0</v>
      </c>
      <c r="M473" t="n">
        <v>0</v>
      </c>
      <c r="N473" t="n">
        <v>0</v>
      </c>
      <c r="O473" t="n">
        <v>0</v>
      </c>
      <c r="P473" t="n">
        <v>0</v>
      </c>
      <c r="Q473" t="n">
        <v>0</v>
      </c>
      <c r="R473" s="2" t="inlineStr"/>
    </row>
    <row r="474" ht="15" customHeight="1">
      <c r="A474" t="inlineStr">
        <is>
          <t>A 59203-2022</t>
        </is>
      </c>
      <c r="B474" s="1" t="n">
        <v>44904</v>
      </c>
      <c r="C474" s="1" t="n">
        <v>45510</v>
      </c>
      <c r="D474" t="inlineStr">
        <is>
          <t>UPPSALA LÄN</t>
        </is>
      </c>
      <c r="E474" t="inlineStr">
        <is>
          <t>ENKÖPING</t>
        </is>
      </c>
      <c r="G474" t="n">
        <v>4.3</v>
      </c>
      <c r="H474" t="n">
        <v>0</v>
      </c>
      <c r="I474" t="n">
        <v>0</v>
      </c>
      <c r="J474" t="n">
        <v>0</v>
      </c>
      <c r="K474" t="n">
        <v>0</v>
      </c>
      <c r="L474" t="n">
        <v>0</v>
      </c>
      <c r="M474" t="n">
        <v>0</v>
      </c>
      <c r="N474" t="n">
        <v>0</v>
      </c>
      <c r="O474" t="n">
        <v>0</v>
      </c>
      <c r="P474" t="n">
        <v>0</v>
      </c>
      <c r="Q474" t="n">
        <v>0</v>
      </c>
      <c r="R474" s="2" t="inlineStr"/>
    </row>
    <row r="475" ht="15" customHeight="1">
      <c r="A475" t="inlineStr">
        <is>
          <t>A 59344-2022</t>
        </is>
      </c>
      <c r="B475" s="1" t="n">
        <v>44904</v>
      </c>
      <c r="C475" s="1" t="n">
        <v>45510</v>
      </c>
      <c r="D475" t="inlineStr">
        <is>
          <t>UPPSALA LÄN</t>
        </is>
      </c>
      <c r="E475" t="inlineStr">
        <is>
          <t>ENKÖPING</t>
        </is>
      </c>
      <c r="G475" t="n">
        <v>1.9</v>
      </c>
      <c r="H475" t="n">
        <v>0</v>
      </c>
      <c r="I475" t="n">
        <v>0</v>
      </c>
      <c r="J475" t="n">
        <v>0</v>
      </c>
      <c r="K475" t="n">
        <v>0</v>
      </c>
      <c r="L475" t="n">
        <v>0</v>
      </c>
      <c r="M475" t="n">
        <v>0</v>
      </c>
      <c r="N475" t="n">
        <v>0</v>
      </c>
      <c r="O475" t="n">
        <v>0</v>
      </c>
      <c r="P475" t="n">
        <v>0</v>
      </c>
      <c r="Q475" t="n">
        <v>0</v>
      </c>
      <c r="R475" s="2" t="inlineStr"/>
    </row>
    <row r="476" ht="15" customHeight="1">
      <c r="A476" t="inlineStr">
        <is>
          <t>A 59345-2022</t>
        </is>
      </c>
      <c r="B476" s="1" t="n">
        <v>44904</v>
      </c>
      <c r="C476" s="1" t="n">
        <v>45510</v>
      </c>
      <c r="D476" t="inlineStr">
        <is>
          <t>UPPSALA LÄN</t>
        </is>
      </c>
      <c r="E476" t="inlineStr">
        <is>
          <t>ENKÖPING</t>
        </is>
      </c>
      <c r="G476" t="n">
        <v>4.9</v>
      </c>
      <c r="H476" t="n">
        <v>0</v>
      </c>
      <c r="I476" t="n">
        <v>0</v>
      </c>
      <c r="J476" t="n">
        <v>0</v>
      </c>
      <c r="K476" t="n">
        <v>0</v>
      </c>
      <c r="L476" t="n">
        <v>0</v>
      </c>
      <c r="M476" t="n">
        <v>0</v>
      </c>
      <c r="N476" t="n">
        <v>0</v>
      </c>
      <c r="O476" t="n">
        <v>0</v>
      </c>
      <c r="P476" t="n">
        <v>0</v>
      </c>
      <c r="Q476" t="n">
        <v>0</v>
      </c>
      <c r="R476" s="2" t="inlineStr"/>
    </row>
    <row r="477" ht="15" customHeight="1">
      <c r="A477" t="inlineStr">
        <is>
          <t>A 59609-2022</t>
        </is>
      </c>
      <c r="B477" s="1" t="n">
        <v>44907</v>
      </c>
      <c r="C477" s="1" t="n">
        <v>45510</v>
      </c>
      <c r="D477" t="inlineStr">
        <is>
          <t>UPPSALA LÄN</t>
        </is>
      </c>
      <c r="E477" t="inlineStr">
        <is>
          <t>ENKÖPING</t>
        </is>
      </c>
      <c r="G477" t="n">
        <v>1.7</v>
      </c>
      <c r="H477" t="n">
        <v>0</v>
      </c>
      <c r="I477" t="n">
        <v>0</v>
      </c>
      <c r="J477" t="n">
        <v>0</v>
      </c>
      <c r="K477" t="n">
        <v>0</v>
      </c>
      <c r="L477" t="n">
        <v>0</v>
      </c>
      <c r="M477" t="n">
        <v>0</v>
      </c>
      <c r="N477" t="n">
        <v>0</v>
      </c>
      <c r="O477" t="n">
        <v>0</v>
      </c>
      <c r="P477" t="n">
        <v>0</v>
      </c>
      <c r="Q477" t="n">
        <v>0</v>
      </c>
      <c r="R477" s="2" t="inlineStr"/>
    </row>
    <row r="478" ht="15" customHeight="1">
      <c r="A478" t="inlineStr">
        <is>
          <t>A 59608-2022</t>
        </is>
      </c>
      <c r="B478" s="1" t="n">
        <v>44907</v>
      </c>
      <c r="C478" s="1" t="n">
        <v>45510</v>
      </c>
      <c r="D478" t="inlineStr">
        <is>
          <t>UPPSALA LÄN</t>
        </is>
      </c>
      <c r="E478" t="inlineStr">
        <is>
          <t>ENKÖPING</t>
        </is>
      </c>
      <c r="G478" t="n">
        <v>2.8</v>
      </c>
      <c r="H478" t="n">
        <v>0</v>
      </c>
      <c r="I478" t="n">
        <v>0</v>
      </c>
      <c r="J478" t="n">
        <v>0</v>
      </c>
      <c r="K478" t="n">
        <v>0</v>
      </c>
      <c r="L478" t="n">
        <v>0</v>
      </c>
      <c r="M478" t="n">
        <v>0</v>
      </c>
      <c r="N478" t="n">
        <v>0</v>
      </c>
      <c r="O478" t="n">
        <v>0</v>
      </c>
      <c r="P478" t="n">
        <v>0</v>
      </c>
      <c r="Q478" t="n">
        <v>0</v>
      </c>
      <c r="R478" s="2" t="inlineStr"/>
    </row>
    <row r="479" ht="15" customHeight="1">
      <c r="A479" t="inlineStr">
        <is>
          <t>A 59602-2022</t>
        </is>
      </c>
      <c r="B479" s="1" t="n">
        <v>44907</v>
      </c>
      <c r="C479" s="1" t="n">
        <v>45510</v>
      </c>
      <c r="D479" t="inlineStr">
        <is>
          <t>UPPSALA LÄN</t>
        </is>
      </c>
      <c r="E479" t="inlineStr">
        <is>
          <t>ENKÖPING</t>
        </is>
      </c>
      <c r="G479" t="n">
        <v>14.2</v>
      </c>
      <c r="H479" t="n">
        <v>0</v>
      </c>
      <c r="I479" t="n">
        <v>0</v>
      </c>
      <c r="J479" t="n">
        <v>0</v>
      </c>
      <c r="K479" t="n">
        <v>0</v>
      </c>
      <c r="L479" t="n">
        <v>0</v>
      </c>
      <c r="M479" t="n">
        <v>0</v>
      </c>
      <c r="N479" t="n">
        <v>0</v>
      </c>
      <c r="O479" t="n">
        <v>0</v>
      </c>
      <c r="P479" t="n">
        <v>0</v>
      </c>
      <c r="Q479" t="n">
        <v>0</v>
      </c>
      <c r="R479" s="2" t="inlineStr"/>
    </row>
    <row r="480" ht="15" customHeight="1">
      <c r="A480" t="inlineStr">
        <is>
          <t>A 59610-2022</t>
        </is>
      </c>
      <c r="B480" s="1" t="n">
        <v>44907</v>
      </c>
      <c r="C480" s="1" t="n">
        <v>45510</v>
      </c>
      <c r="D480" t="inlineStr">
        <is>
          <t>UPPSALA LÄN</t>
        </is>
      </c>
      <c r="E480" t="inlineStr">
        <is>
          <t>ENKÖPING</t>
        </is>
      </c>
      <c r="G480" t="n">
        <v>3.6</v>
      </c>
      <c r="H480" t="n">
        <v>0</v>
      </c>
      <c r="I480" t="n">
        <v>0</v>
      </c>
      <c r="J480" t="n">
        <v>0</v>
      </c>
      <c r="K480" t="n">
        <v>0</v>
      </c>
      <c r="L480" t="n">
        <v>0</v>
      </c>
      <c r="M480" t="n">
        <v>0</v>
      </c>
      <c r="N480" t="n">
        <v>0</v>
      </c>
      <c r="O480" t="n">
        <v>0</v>
      </c>
      <c r="P480" t="n">
        <v>0</v>
      </c>
      <c r="Q480" t="n">
        <v>0</v>
      </c>
      <c r="R480" s="2" t="inlineStr"/>
    </row>
    <row r="481" ht="15" customHeight="1">
      <c r="A481" t="inlineStr">
        <is>
          <t>A 60132-2022</t>
        </is>
      </c>
      <c r="B481" s="1" t="n">
        <v>44909</v>
      </c>
      <c r="C481" s="1" t="n">
        <v>45510</v>
      </c>
      <c r="D481" t="inlineStr">
        <is>
          <t>UPPSALA LÄN</t>
        </is>
      </c>
      <c r="E481" t="inlineStr">
        <is>
          <t>ENKÖPING</t>
        </is>
      </c>
      <c r="F481" t="inlineStr">
        <is>
          <t>Allmännings- och besparingsskogar</t>
        </is>
      </c>
      <c r="G481" t="n">
        <v>5.4</v>
      </c>
      <c r="H481" t="n">
        <v>0</v>
      </c>
      <c r="I481" t="n">
        <v>0</v>
      </c>
      <c r="J481" t="n">
        <v>0</v>
      </c>
      <c r="K481" t="n">
        <v>0</v>
      </c>
      <c r="L481" t="n">
        <v>0</v>
      </c>
      <c r="M481" t="n">
        <v>0</v>
      </c>
      <c r="N481" t="n">
        <v>0</v>
      </c>
      <c r="O481" t="n">
        <v>0</v>
      </c>
      <c r="P481" t="n">
        <v>0</v>
      </c>
      <c r="Q481" t="n">
        <v>0</v>
      </c>
      <c r="R481" s="2" t="inlineStr"/>
    </row>
    <row r="482" ht="15" customHeight="1">
      <c r="A482" t="inlineStr">
        <is>
          <t>A 60289-2022</t>
        </is>
      </c>
      <c r="B482" s="1" t="n">
        <v>44910</v>
      </c>
      <c r="C482" s="1" t="n">
        <v>45510</v>
      </c>
      <c r="D482" t="inlineStr">
        <is>
          <t>UPPSALA LÄN</t>
        </is>
      </c>
      <c r="E482" t="inlineStr">
        <is>
          <t>ENKÖPING</t>
        </is>
      </c>
      <c r="G482" t="n">
        <v>3.2</v>
      </c>
      <c r="H482" t="n">
        <v>0</v>
      </c>
      <c r="I482" t="n">
        <v>0</v>
      </c>
      <c r="J482" t="n">
        <v>0</v>
      </c>
      <c r="K482" t="n">
        <v>0</v>
      </c>
      <c r="L482" t="n">
        <v>0</v>
      </c>
      <c r="M482" t="n">
        <v>0</v>
      </c>
      <c r="N482" t="n">
        <v>0</v>
      </c>
      <c r="O482" t="n">
        <v>0</v>
      </c>
      <c r="P482" t="n">
        <v>0</v>
      </c>
      <c r="Q482" t="n">
        <v>0</v>
      </c>
      <c r="R482" s="2" t="inlineStr"/>
    </row>
    <row r="483" ht="15" customHeight="1">
      <c r="A483" t="inlineStr">
        <is>
          <t>A 60350-2022</t>
        </is>
      </c>
      <c r="B483" s="1" t="n">
        <v>44910</v>
      </c>
      <c r="C483" s="1" t="n">
        <v>45510</v>
      </c>
      <c r="D483" t="inlineStr">
        <is>
          <t>UPPSALA LÄN</t>
        </is>
      </c>
      <c r="E483" t="inlineStr">
        <is>
          <t>ENKÖPING</t>
        </is>
      </c>
      <c r="F483" t="inlineStr">
        <is>
          <t>Allmännings- och besparingsskogar</t>
        </is>
      </c>
      <c r="G483" t="n">
        <v>3.5</v>
      </c>
      <c r="H483" t="n">
        <v>0</v>
      </c>
      <c r="I483" t="n">
        <v>0</v>
      </c>
      <c r="J483" t="n">
        <v>0</v>
      </c>
      <c r="K483" t="n">
        <v>0</v>
      </c>
      <c r="L483" t="n">
        <v>0</v>
      </c>
      <c r="M483" t="n">
        <v>0</v>
      </c>
      <c r="N483" t="n">
        <v>0</v>
      </c>
      <c r="O483" t="n">
        <v>0</v>
      </c>
      <c r="P483" t="n">
        <v>0</v>
      </c>
      <c r="Q483" t="n">
        <v>0</v>
      </c>
      <c r="R483" s="2" t="inlineStr"/>
    </row>
    <row r="484" ht="15" customHeight="1">
      <c r="A484" t="inlineStr">
        <is>
          <t>A 60478-2022</t>
        </is>
      </c>
      <c r="B484" s="1" t="n">
        <v>44911</v>
      </c>
      <c r="C484" s="1" t="n">
        <v>45510</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61125-2022</t>
        </is>
      </c>
      <c r="B485" s="1" t="n">
        <v>44915</v>
      </c>
      <c r="C485" s="1" t="n">
        <v>45510</v>
      </c>
      <c r="D485" t="inlineStr">
        <is>
          <t>UPPSALA LÄN</t>
        </is>
      </c>
      <c r="E485" t="inlineStr">
        <is>
          <t>ENKÖPING</t>
        </is>
      </c>
      <c r="G485" t="n">
        <v>2.2</v>
      </c>
      <c r="H485" t="n">
        <v>0</v>
      </c>
      <c r="I485" t="n">
        <v>0</v>
      </c>
      <c r="J485" t="n">
        <v>0</v>
      </c>
      <c r="K485" t="n">
        <v>0</v>
      </c>
      <c r="L485" t="n">
        <v>0</v>
      </c>
      <c r="M485" t="n">
        <v>0</v>
      </c>
      <c r="N485" t="n">
        <v>0</v>
      </c>
      <c r="O485" t="n">
        <v>0</v>
      </c>
      <c r="P485" t="n">
        <v>0</v>
      </c>
      <c r="Q485" t="n">
        <v>0</v>
      </c>
      <c r="R485" s="2" t="inlineStr"/>
    </row>
    <row r="486" ht="15" customHeight="1">
      <c r="A486" t="inlineStr">
        <is>
          <t>A 61181-2022</t>
        </is>
      </c>
      <c r="B486" s="1" t="n">
        <v>44915</v>
      </c>
      <c r="C486" s="1" t="n">
        <v>45510</v>
      </c>
      <c r="D486" t="inlineStr">
        <is>
          <t>UPPSALA LÄN</t>
        </is>
      </c>
      <c r="E486" t="inlineStr">
        <is>
          <t>ENKÖPING</t>
        </is>
      </c>
      <c r="G486" t="n">
        <v>1.1</v>
      </c>
      <c r="H486" t="n">
        <v>0</v>
      </c>
      <c r="I486" t="n">
        <v>0</v>
      </c>
      <c r="J486" t="n">
        <v>0</v>
      </c>
      <c r="K486" t="n">
        <v>0</v>
      </c>
      <c r="L486" t="n">
        <v>0</v>
      </c>
      <c r="M486" t="n">
        <v>0</v>
      </c>
      <c r="N486" t="n">
        <v>0</v>
      </c>
      <c r="O486" t="n">
        <v>0</v>
      </c>
      <c r="P486" t="n">
        <v>0</v>
      </c>
      <c r="Q486" t="n">
        <v>0</v>
      </c>
      <c r="R486" s="2" t="inlineStr"/>
    </row>
    <row r="487" ht="15" customHeight="1">
      <c r="A487" t="inlineStr">
        <is>
          <t>A 61106-2022</t>
        </is>
      </c>
      <c r="B487" s="1" t="n">
        <v>44915</v>
      </c>
      <c r="C487" s="1" t="n">
        <v>45510</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61800-2022</t>
        </is>
      </c>
      <c r="B488" s="1" t="n">
        <v>44917</v>
      </c>
      <c r="C488" s="1" t="n">
        <v>45510</v>
      </c>
      <c r="D488" t="inlineStr">
        <is>
          <t>UPPSALA LÄN</t>
        </is>
      </c>
      <c r="E488" t="inlineStr">
        <is>
          <t>ENKÖPING</t>
        </is>
      </c>
      <c r="G488" t="n">
        <v>2.5</v>
      </c>
      <c r="H488" t="n">
        <v>0</v>
      </c>
      <c r="I488" t="n">
        <v>0</v>
      </c>
      <c r="J488" t="n">
        <v>0</v>
      </c>
      <c r="K488" t="n">
        <v>0</v>
      </c>
      <c r="L488" t="n">
        <v>0</v>
      </c>
      <c r="M488" t="n">
        <v>0</v>
      </c>
      <c r="N488" t="n">
        <v>0</v>
      </c>
      <c r="O488" t="n">
        <v>0</v>
      </c>
      <c r="P488" t="n">
        <v>0</v>
      </c>
      <c r="Q488" t="n">
        <v>0</v>
      </c>
      <c r="R488" s="2" t="inlineStr"/>
    </row>
    <row r="489" ht="15" customHeight="1">
      <c r="A489" t="inlineStr">
        <is>
          <t>A 62716-2022</t>
        </is>
      </c>
      <c r="B489" s="1" t="n">
        <v>44917</v>
      </c>
      <c r="C489" s="1" t="n">
        <v>45510</v>
      </c>
      <c r="D489" t="inlineStr">
        <is>
          <t>UPPSALA LÄN</t>
        </is>
      </c>
      <c r="E489" t="inlineStr">
        <is>
          <t>ENKÖPING</t>
        </is>
      </c>
      <c r="G489" t="n">
        <v>4.3</v>
      </c>
      <c r="H489" t="n">
        <v>0</v>
      </c>
      <c r="I489" t="n">
        <v>0</v>
      </c>
      <c r="J489" t="n">
        <v>0</v>
      </c>
      <c r="K489" t="n">
        <v>0</v>
      </c>
      <c r="L489" t="n">
        <v>0</v>
      </c>
      <c r="M489" t="n">
        <v>0</v>
      </c>
      <c r="N489" t="n">
        <v>0</v>
      </c>
      <c r="O489" t="n">
        <v>0</v>
      </c>
      <c r="P489" t="n">
        <v>0</v>
      </c>
      <c r="Q489" t="n">
        <v>0</v>
      </c>
      <c r="R489" s="2" t="inlineStr"/>
    </row>
    <row r="490" ht="15" customHeight="1">
      <c r="A490" t="inlineStr">
        <is>
          <t>A 62423-2022</t>
        </is>
      </c>
      <c r="B490" s="1" t="n">
        <v>44924</v>
      </c>
      <c r="C490" s="1" t="n">
        <v>45510</v>
      </c>
      <c r="D490" t="inlineStr">
        <is>
          <t>UPPSALA LÄN</t>
        </is>
      </c>
      <c r="E490" t="inlineStr">
        <is>
          <t>ENKÖPING</t>
        </is>
      </c>
      <c r="G490" t="n">
        <v>2.9</v>
      </c>
      <c r="H490" t="n">
        <v>0</v>
      </c>
      <c r="I490" t="n">
        <v>0</v>
      </c>
      <c r="J490" t="n">
        <v>0</v>
      </c>
      <c r="K490" t="n">
        <v>0</v>
      </c>
      <c r="L490" t="n">
        <v>0</v>
      </c>
      <c r="M490" t="n">
        <v>0</v>
      </c>
      <c r="N490" t="n">
        <v>0</v>
      </c>
      <c r="O490" t="n">
        <v>0</v>
      </c>
      <c r="P490" t="n">
        <v>0</v>
      </c>
      <c r="Q490" t="n">
        <v>0</v>
      </c>
      <c r="R490" s="2" t="inlineStr"/>
    </row>
    <row r="491" ht="15" customHeight="1">
      <c r="A491" t="inlineStr">
        <is>
          <t>A 62419-2022</t>
        </is>
      </c>
      <c r="B491" s="1" t="n">
        <v>44924</v>
      </c>
      <c r="C491" s="1" t="n">
        <v>45510</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799-2023</t>
        </is>
      </c>
      <c r="B492" s="1" t="n">
        <v>44931</v>
      </c>
      <c r="C492" s="1" t="n">
        <v>45510</v>
      </c>
      <c r="D492" t="inlineStr">
        <is>
          <t>UPPSALA LÄN</t>
        </is>
      </c>
      <c r="E492" t="inlineStr">
        <is>
          <t>ENKÖPING</t>
        </is>
      </c>
      <c r="G492" t="n">
        <v>3.1</v>
      </c>
      <c r="H492" t="n">
        <v>0</v>
      </c>
      <c r="I492" t="n">
        <v>0</v>
      </c>
      <c r="J492" t="n">
        <v>0</v>
      </c>
      <c r="K492" t="n">
        <v>0</v>
      </c>
      <c r="L492" t="n">
        <v>0</v>
      </c>
      <c r="M492" t="n">
        <v>0</v>
      </c>
      <c r="N492" t="n">
        <v>0</v>
      </c>
      <c r="O492" t="n">
        <v>0</v>
      </c>
      <c r="P492" t="n">
        <v>0</v>
      </c>
      <c r="Q492" t="n">
        <v>0</v>
      </c>
      <c r="R492" s="2" t="inlineStr"/>
    </row>
    <row r="493" ht="15" customHeight="1">
      <c r="A493" t="inlineStr">
        <is>
          <t>A 1587-2023</t>
        </is>
      </c>
      <c r="B493" s="1" t="n">
        <v>44937</v>
      </c>
      <c r="C493" s="1" t="n">
        <v>45510</v>
      </c>
      <c r="D493" t="inlineStr">
        <is>
          <t>UPPSALA LÄN</t>
        </is>
      </c>
      <c r="E493" t="inlineStr">
        <is>
          <t>ENKÖPING</t>
        </is>
      </c>
      <c r="G493" t="n">
        <v>2.4</v>
      </c>
      <c r="H493" t="n">
        <v>0</v>
      </c>
      <c r="I493" t="n">
        <v>0</v>
      </c>
      <c r="J493" t="n">
        <v>0</v>
      </c>
      <c r="K493" t="n">
        <v>0</v>
      </c>
      <c r="L493" t="n">
        <v>0</v>
      </c>
      <c r="M493" t="n">
        <v>0</v>
      </c>
      <c r="N493" t="n">
        <v>0</v>
      </c>
      <c r="O493" t="n">
        <v>0</v>
      </c>
      <c r="P493" t="n">
        <v>0</v>
      </c>
      <c r="Q493" t="n">
        <v>0</v>
      </c>
      <c r="R493" s="2" t="inlineStr"/>
    </row>
    <row r="494" ht="15" customHeight="1">
      <c r="A494" t="inlineStr">
        <is>
          <t>A 1593-2023</t>
        </is>
      </c>
      <c r="B494" s="1" t="n">
        <v>44937</v>
      </c>
      <c r="C494" s="1" t="n">
        <v>45510</v>
      </c>
      <c r="D494" t="inlineStr">
        <is>
          <t>UPPSALA LÄN</t>
        </is>
      </c>
      <c r="E494" t="inlineStr">
        <is>
          <t>ENKÖPING</t>
        </is>
      </c>
      <c r="G494" t="n">
        <v>2</v>
      </c>
      <c r="H494" t="n">
        <v>0</v>
      </c>
      <c r="I494" t="n">
        <v>0</v>
      </c>
      <c r="J494" t="n">
        <v>0</v>
      </c>
      <c r="K494" t="n">
        <v>0</v>
      </c>
      <c r="L494" t="n">
        <v>0</v>
      </c>
      <c r="M494" t="n">
        <v>0</v>
      </c>
      <c r="N494" t="n">
        <v>0</v>
      </c>
      <c r="O494" t="n">
        <v>0</v>
      </c>
      <c r="P494" t="n">
        <v>0</v>
      </c>
      <c r="Q494" t="n">
        <v>0</v>
      </c>
      <c r="R494" s="2" t="inlineStr"/>
    </row>
    <row r="495" ht="15" customHeight="1">
      <c r="A495" t="inlineStr">
        <is>
          <t>A 2161-2023</t>
        </is>
      </c>
      <c r="B495" s="1" t="n">
        <v>44941</v>
      </c>
      <c r="C495" s="1" t="n">
        <v>45510</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2165-2023</t>
        </is>
      </c>
      <c r="B496" s="1" t="n">
        <v>44941</v>
      </c>
      <c r="C496" s="1" t="n">
        <v>45510</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2162-2023</t>
        </is>
      </c>
      <c r="B497" s="1" t="n">
        <v>44941</v>
      </c>
      <c r="C497" s="1" t="n">
        <v>45510</v>
      </c>
      <c r="D497" t="inlineStr">
        <is>
          <t>UPPSALA LÄN</t>
        </is>
      </c>
      <c r="E497" t="inlineStr">
        <is>
          <t>ENKÖPING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2164-2023</t>
        </is>
      </c>
      <c r="B498" s="1" t="n">
        <v>44941</v>
      </c>
      <c r="C498" s="1" t="n">
        <v>45510</v>
      </c>
      <c r="D498" t="inlineStr">
        <is>
          <t>UPPSALA LÄN</t>
        </is>
      </c>
      <c r="E498" t="inlineStr">
        <is>
          <t>ENKÖPING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3550-2023</t>
        </is>
      </c>
      <c r="B499" s="1" t="n">
        <v>44950</v>
      </c>
      <c r="C499" s="1" t="n">
        <v>45510</v>
      </c>
      <c r="D499" t="inlineStr">
        <is>
          <t>UPPSALA LÄN</t>
        </is>
      </c>
      <c r="E499" t="inlineStr">
        <is>
          <t>ENKÖPING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3538-2023</t>
        </is>
      </c>
      <c r="B500" s="1" t="n">
        <v>44950</v>
      </c>
      <c r="C500" s="1" t="n">
        <v>45510</v>
      </c>
      <c r="D500" t="inlineStr">
        <is>
          <t>UPPSALA LÄN</t>
        </is>
      </c>
      <c r="E500" t="inlineStr">
        <is>
          <t>ENKÖPING</t>
        </is>
      </c>
      <c r="G500" t="n">
        <v>4.2</v>
      </c>
      <c r="H500" t="n">
        <v>0</v>
      </c>
      <c r="I500" t="n">
        <v>0</v>
      </c>
      <c r="J500" t="n">
        <v>0</v>
      </c>
      <c r="K500" t="n">
        <v>0</v>
      </c>
      <c r="L500" t="n">
        <v>0</v>
      </c>
      <c r="M500" t="n">
        <v>0</v>
      </c>
      <c r="N500" t="n">
        <v>0</v>
      </c>
      <c r="O500" t="n">
        <v>0</v>
      </c>
      <c r="P500" t="n">
        <v>0</v>
      </c>
      <c r="Q500" t="n">
        <v>0</v>
      </c>
      <c r="R500" s="2" t="inlineStr"/>
    </row>
    <row r="501" ht="15" customHeight="1">
      <c r="A501" t="inlineStr">
        <is>
          <t>A 4901-2023</t>
        </is>
      </c>
      <c r="B501" s="1" t="n">
        <v>44958</v>
      </c>
      <c r="C501" s="1" t="n">
        <v>45510</v>
      </c>
      <c r="D501" t="inlineStr">
        <is>
          <t>UPPSALA LÄN</t>
        </is>
      </c>
      <c r="E501" t="inlineStr">
        <is>
          <t>ENKÖPING</t>
        </is>
      </c>
      <c r="G501" t="n">
        <v>4.6</v>
      </c>
      <c r="H501" t="n">
        <v>0</v>
      </c>
      <c r="I501" t="n">
        <v>0</v>
      </c>
      <c r="J501" t="n">
        <v>0</v>
      </c>
      <c r="K501" t="n">
        <v>0</v>
      </c>
      <c r="L501" t="n">
        <v>0</v>
      </c>
      <c r="M501" t="n">
        <v>0</v>
      </c>
      <c r="N501" t="n">
        <v>0</v>
      </c>
      <c r="O501" t="n">
        <v>0</v>
      </c>
      <c r="P501" t="n">
        <v>0</v>
      </c>
      <c r="Q501" t="n">
        <v>0</v>
      </c>
      <c r="R501" s="2" t="inlineStr"/>
    </row>
    <row r="502" ht="15" customHeight="1">
      <c r="A502" t="inlineStr">
        <is>
          <t>A 5892-2023</t>
        </is>
      </c>
      <c r="B502" s="1" t="n">
        <v>44963</v>
      </c>
      <c r="C502" s="1" t="n">
        <v>45510</v>
      </c>
      <c r="D502" t="inlineStr">
        <is>
          <t>UPPSALA LÄN</t>
        </is>
      </c>
      <c r="E502" t="inlineStr">
        <is>
          <t>ENKÖPING</t>
        </is>
      </c>
      <c r="G502" t="n">
        <v>5.5</v>
      </c>
      <c r="H502" t="n">
        <v>0</v>
      </c>
      <c r="I502" t="n">
        <v>0</v>
      </c>
      <c r="J502" t="n">
        <v>0</v>
      </c>
      <c r="K502" t="n">
        <v>0</v>
      </c>
      <c r="L502" t="n">
        <v>0</v>
      </c>
      <c r="M502" t="n">
        <v>0</v>
      </c>
      <c r="N502" t="n">
        <v>0</v>
      </c>
      <c r="O502" t="n">
        <v>0</v>
      </c>
      <c r="P502" t="n">
        <v>0</v>
      </c>
      <c r="Q502" t="n">
        <v>0</v>
      </c>
      <c r="R502" s="2" t="inlineStr"/>
    </row>
    <row r="503" ht="15" customHeight="1">
      <c r="A503" t="inlineStr">
        <is>
          <t>A 6172-2023</t>
        </is>
      </c>
      <c r="B503" s="1" t="n">
        <v>44964</v>
      </c>
      <c r="C503" s="1" t="n">
        <v>45510</v>
      </c>
      <c r="D503" t="inlineStr">
        <is>
          <t>UPPSALA LÄN</t>
        </is>
      </c>
      <c r="E503" t="inlineStr">
        <is>
          <t>ENKÖPING</t>
        </is>
      </c>
      <c r="G503" t="n">
        <v>2.6</v>
      </c>
      <c r="H503" t="n">
        <v>0</v>
      </c>
      <c r="I503" t="n">
        <v>0</v>
      </c>
      <c r="J503" t="n">
        <v>0</v>
      </c>
      <c r="K503" t="n">
        <v>0</v>
      </c>
      <c r="L503" t="n">
        <v>0</v>
      </c>
      <c r="M503" t="n">
        <v>0</v>
      </c>
      <c r="N503" t="n">
        <v>0</v>
      </c>
      <c r="O503" t="n">
        <v>0</v>
      </c>
      <c r="P503" t="n">
        <v>0</v>
      </c>
      <c r="Q503" t="n">
        <v>0</v>
      </c>
      <c r="R503" s="2" t="inlineStr"/>
    </row>
    <row r="504" ht="15" customHeight="1">
      <c r="A504" t="inlineStr">
        <is>
          <t>A 6620-2023</t>
        </is>
      </c>
      <c r="B504" s="1" t="n">
        <v>44966</v>
      </c>
      <c r="C504" s="1" t="n">
        <v>45510</v>
      </c>
      <c r="D504" t="inlineStr">
        <is>
          <t>UPPSALA LÄN</t>
        </is>
      </c>
      <c r="E504" t="inlineStr">
        <is>
          <t>ENKÖPING</t>
        </is>
      </c>
      <c r="G504" t="n">
        <v>1.5</v>
      </c>
      <c r="H504" t="n">
        <v>0</v>
      </c>
      <c r="I504" t="n">
        <v>0</v>
      </c>
      <c r="J504" t="n">
        <v>0</v>
      </c>
      <c r="K504" t="n">
        <v>0</v>
      </c>
      <c r="L504" t="n">
        <v>0</v>
      </c>
      <c r="M504" t="n">
        <v>0</v>
      </c>
      <c r="N504" t="n">
        <v>0</v>
      </c>
      <c r="O504" t="n">
        <v>0</v>
      </c>
      <c r="P504" t="n">
        <v>0</v>
      </c>
      <c r="Q504" t="n">
        <v>0</v>
      </c>
      <c r="R504" s="2" t="inlineStr"/>
    </row>
    <row r="505" ht="15" customHeight="1">
      <c r="A505" t="inlineStr">
        <is>
          <t>A 6623-2023</t>
        </is>
      </c>
      <c r="B505" s="1" t="n">
        <v>44966</v>
      </c>
      <c r="C505" s="1" t="n">
        <v>45510</v>
      </c>
      <c r="D505" t="inlineStr">
        <is>
          <t>UPPSALA LÄN</t>
        </is>
      </c>
      <c r="E505" t="inlineStr">
        <is>
          <t>ENKÖPING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6624-2023</t>
        </is>
      </c>
      <c r="B506" s="1" t="n">
        <v>44966</v>
      </c>
      <c r="C506" s="1" t="n">
        <v>45510</v>
      </c>
      <c r="D506" t="inlineStr">
        <is>
          <t>UPPSALA LÄN</t>
        </is>
      </c>
      <c r="E506" t="inlineStr">
        <is>
          <t>ENKÖPING</t>
        </is>
      </c>
      <c r="G506" t="n">
        <v>1.2</v>
      </c>
      <c r="H506" t="n">
        <v>0</v>
      </c>
      <c r="I506" t="n">
        <v>0</v>
      </c>
      <c r="J506" t="n">
        <v>0</v>
      </c>
      <c r="K506" t="n">
        <v>0</v>
      </c>
      <c r="L506" t="n">
        <v>0</v>
      </c>
      <c r="M506" t="n">
        <v>0</v>
      </c>
      <c r="N506" t="n">
        <v>0</v>
      </c>
      <c r="O506" t="n">
        <v>0</v>
      </c>
      <c r="P506" t="n">
        <v>0</v>
      </c>
      <c r="Q506" t="n">
        <v>0</v>
      </c>
      <c r="R506" s="2" t="inlineStr"/>
    </row>
    <row r="507" ht="15" customHeight="1">
      <c r="A507" t="inlineStr">
        <is>
          <t>A 6626-2023</t>
        </is>
      </c>
      <c r="B507" s="1" t="n">
        <v>44966</v>
      </c>
      <c r="C507" s="1" t="n">
        <v>45510</v>
      </c>
      <c r="D507" t="inlineStr">
        <is>
          <t>UPPSALA LÄN</t>
        </is>
      </c>
      <c r="E507" t="inlineStr">
        <is>
          <t>ENKÖPING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9957-2023</t>
        </is>
      </c>
      <c r="B508" s="1" t="n">
        <v>44978</v>
      </c>
      <c r="C508" s="1" t="n">
        <v>45510</v>
      </c>
      <c r="D508" t="inlineStr">
        <is>
          <t>UPPSALA LÄN</t>
        </is>
      </c>
      <c r="E508" t="inlineStr">
        <is>
          <t>ENKÖPING</t>
        </is>
      </c>
      <c r="G508" t="n">
        <v>5.9</v>
      </c>
      <c r="H508" t="n">
        <v>0</v>
      </c>
      <c r="I508" t="n">
        <v>0</v>
      </c>
      <c r="J508" t="n">
        <v>0</v>
      </c>
      <c r="K508" t="n">
        <v>0</v>
      </c>
      <c r="L508" t="n">
        <v>0</v>
      </c>
      <c r="M508" t="n">
        <v>0</v>
      </c>
      <c r="N508" t="n">
        <v>0</v>
      </c>
      <c r="O508" t="n">
        <v>0</v>
      </c>
      <c r="P508" t="n">
        <v>0</v>
      </c>
      <c r="Q508" t="n">
        <v>0</v>
      </c>
      <c r="R508" s="2" t="inlineStr"/>
    </row>
    <row r="509" ht="15" customHeight="1">
      <c r="A509" t="inlineStr">
        <is>
          <t>A 9958-2023</t>
        </is>
      </c>
      <c r="B509" s="1" t="n">
        <v>44978</v>
      </c>
      <c r="C509" s="1" t="n">
        <v>45510</v>
      </c>
      <c r="D509" t="inlineStr">
        <is>
          <t>UPPSALA LÄN</t>
        </is>
      </c>
      <c r="E509" t="inlineStr">
        <is>
          <t>ENKÖPING</t>
        </is>
      </c>
      <c r="G509" t="n">
        <v>1.7</v>
      </c>
      <c r="H509" t="n">
        <v>0</v>
      </c>
      <c r="I509" t="n">
        <v>0</v>
      </c>
      <c r="J509" t="n">
        <v>0</v>
      </c>
      <c r="K509" t="n">
        <v>0</v>
      </c>
      <c r="L509" t="n">
        <v>0</v>
      </c>
      <c r="M509" t="n">
        <v>0</v>
      </c>
      <c r="N509" t="n">
        <v>0</v>
      </c>
      <c r="O509" t="n">
        <v>0</v>
      </c>
      <c r="P509" t="n">
        <v>0</v>
      </c>
      <c r="Q509" t="n">
        <v>0</v>
      </c>
      <c r="R509" s="2" t="inlineStr"/>
    </row>
    <row r="510" ht="15" customHeight="1">
      <c r="A510" t="inlineStr">
        <is>
          <t>A 9041-2023</t>
        </is>
      </c>
      <c r="B510" s="1" t="n">
        <v>44979</v>
      </c>
      <c r="C510" s="1" t="n">
        <v>45510</v>
      </c>
      <c r="D510" t="inlineStr">
        <is>
          <t>UPPSALA LÄN</t>
        </is>
      </c>
      <c r="E510" t="inlineStr">
        <is>
          <t>ENKÖPING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9231-2023</t>
        </is>
      </c>
      <c r="B511" s="1" t="n">
        <v>44980</v>
      </c>
      <c r="C511" s="1" t="n">
        <v>45510</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11005-2023</t>
        </is>
      </c>
      <c r="B512" s="1" t="n">
        <v>44991</v>
      </c>
      <c r="C512" s="1" t="n">
        <v>45510</v>
      </c>
      <c r="D512" t="inlineStr">
        <is>
          <t>UPPSALA LÄN</t>
        </is>
      </c>
      <c r="E512" t="inlineStr">
        <is>
          <t>ENKÖPING</t>
        </is>
      </c>
      <c r="G512" t="n">
        <v>1.1</v>
      </c>
      <c r="H512" t="n">
        <v>0</v>
      </c>
      <c r="I512" t="n">
        <v>0</v>
      </c>
      <c r="J512" t="n">
        <v>0</v>
      </c>
      <c r="K512" t="n">
        <v>0</v>
      </c>
      <c r="L512" t="n">
        <v>0</v>
      </c>
      <c r="M512" t="n">
        <v>0</v>
      </c>
      <c r="N512" t="n">
        <v>0</v>
      </c>
      <c r="O512" t="n">
        <v>0</v>
      </c>
      <c r="P512" t="n">
        <v>0</v>
      </c>
      <c r="Q512" t="n">
        <v>0</v>
      </c>
      <c r="R512" s="2" t="inlineStr"/>
    </row>
    <row r="513" ht="15" customHeight="1">
      <c r="A513" t="inlineStr">
        <is>
          <t>A 12360-2023</t>
        </is>
      </c>
      <c r="B513" s="1" t="n">
        <v>44999</v>
      </c>
      <c r="C513" s="1" t="n">
        <v>45510</v>
      </c>
      <c r="D513" t="inlineStr">
        <is>
          <t>UPPSALA LÄN</t>
        </is>
      </c>
      <c r="E513" t="inlineStr">
        <is>
          <t>ENKÖPING</t>
        </is>
      </c>
      <c r="G513" t="n">
        <v>6.3</v>
      </c>
      <c r="H513" t="n">
        <v>0</v>
      </c>
      <c r="I513" t="n">
        <v>0</v>
      </c>
      <c r="J513" t="n">
        <v>0</v>
      </c>
      <c r="K513" t="n">
        <v>0</v>
      </c>
      <c r="L513" t="n">
        <v>0</v>
      </c>
      <c r="M513" t="n">
        <v>0</v>
      </c>
      <c r="N513" t="n">
        <v>0</v>
      </c>
      <c r="O513" t="n">
        <v>0</v>
      </c>
      <c r="P513" t="n">
        <v>0</v>
      </c>
      <c r="Q513" t="n">
        <v>0</v>
      </c>
      <c r="R513" s="2" t="inlineStr"/>
    </row>
    <row r="514" ht="15" customHeight="1">
      <c r="A514" t="inlineStr">
        <is>
          <t>A 13140-2023</t>
        </is>
      </c>
      <c r="B514" s="1" t="n">
        <v>45001</v>
      </c>
      <c r="C514" s="1" t="n">
        <v>45510</v>
      </c>
      <c r="D514" t="inlineStr">
        <is>
          <t>UPPSALA LÄN</t>
        </is>
      </c>
      <c r="E514" t="inlineStr">
        <is>
          <t>ENKÖPING</t>
        </is>
      </c>
      <c r="G514" t="n">
        <v>2.2</v>
      </c>
      <c r="H514" t="n">
        <v>0</v>
      </c>
      <c r="I514" t="n">
        <v>0</v>
      </c>
      <c r="J514" t="n">
        <v>0</v>
      </c>
      <c r="K514" t="n">
        <v>0</v>
      </c>
      <c r="L514" t="n">
        <v>0</v>
      </c>
      <c r="M514" t="n">
        <v>0</v>
      </c>
      <c r="N514" t="n">
        <v>0</v>
      </c>
      <c r="O514" t="n">
        <v>0</v>
      </c>
      <c r="P514" t="n">
        <v>0</v>
      </c>
      <c r="Q514" t="n">
        <v>0</v>
      </c>
      <c r="R514" s="2" t="inlineStr"/>
    </row>
    <row r="515" ht="15" customHeight="1">
      <c r="A515" t="inlineStr">
        <is>
          <t>A 13099-2023</t>
        </is>
      </c>
      <c r="B515" s="1" t="n">
        <v>45001</v>
      </c>
      <c r="C515" s="1" t="n">
        <v>45510</v>
      </c>
      <c r="D515" t="inlineStr">
        <is>
          <t>UPPSALA LÄN</t>
        </is>
      </c>
      <c r="E515" t="inlineStr">
        <is>
          <t>ENKÖPING</t>
        </is>
      </c>
      <c r="G515" t="n">
        <v>10.5</v>
      </c>
      <c r="H515" t="n">
        <v>0</v>
      </c>
      <c r="I515" t="n">
        <v>0</v>
      </c>
      <c r="J515" t="n">
        <v>0</v>
      </c>
      <c r="K515" t="n">
        <v>0</v>
      </c>
      <c r="L515" t="n">
        <v>0</v>
      </c>
      <c r="M515" t="n">
        <v>0</v>
      </c>
      <c r="N515" t="n">
        <v>0</v>
      </c>
      <c r="O515" t="n">
        <v>0</v>
      </c>
      <c r="P515" t="n">
        <v>0</v>
      </c>
      <c r="Q515" t="n">
        <v>0</v>
      </c>
      <c r="R515" s="2" t="inlineStr"/>
    </row>
    <row r="516" ht="15" customHeight="1">
      <c r="A516" t="inlineStr">
        <is>
          <t>A 13110-2023</t>
        </is>
      </c>
      <c r="B516" s="1" t="n">
        <v>45001</v>
      </c>
      <c r="C516" s="1" t="n">
        <v>45510</v>
      </c>
      <c r="D516" t="inlineStr">
        <is>
          <t>UPPSALA LÄN</t>
        </is>
      </c>
      <c r="E516" t="inlineStr">
        <is>
          <t>ENKÖPING</t>
        </is>
      </c>
      <c r="G516" t="n">
        <v>2.5</v>
      </c>
      <c r="H516" t="n">
        <v>0</v>
      </c>
      <c r="I516" t="n">
        <v>0</v>
      </c>
      <c r="J516" t="n">
        <v>0</v>
      </c>
      <c r="K516" t="n">
        <v>0</v>
      </c>
      <c r="L516" t="n">
        <v>0</v>
      </c>
      <c r="M516" t="n">
        <v>0</v>
      </c>
      <c r="N516" t="n">
        <v>0</v>
      </c>
      <c r="O516" t="n">
        <v>0</v>
      </c>
      <c r="P516" t="n">
        <v>0</v>
      </c>
      <c r="Q516" t="n">
        <v>0</v>
      </c>
      <c r="R516" s="2" t="inlineStr"/>
    </row>
    <row r="517" ht="15" customHeight="1">
      <c r="A517" t="inlineStr">
        <is>
          <t>A 13836-2023</t>
        </is>
      </c>
      <c r="B517" s="1" t="n">
        <v>45007</v>
      </c>
      <c r="C517" s="1" t="n">
        <v>45510</v>
      </c>
      <c r="D517" t="inlineStr">
        <is>
          <t>UPPSALA LÄN</t>
        </is>
      </c>
      <c r="E517" t="inlineStr">
        <is>
          <t>ENKÖPING</t>
        </is>
      </c>
      <c r="G517" t="n">
        <v>4.2</v>
      </c>
      <c r="H517" t="n">
        <v>0</v>
      </c>
      <c r="I517" t="n">
        <v>0</v>
      </c>
      <c r="J517" t="n">
        <v>0</v>
      </c>
      <c r="K517" t="n">
        <v>0</v>
      </c>
      <c r="L517" t="n">
        <v>0</v>
      </c>
      <c r="M517" t="n">
        <v>0</v>
      </c>
      <c r="N517" t="n">
        <v>0</v>
      </c>
      <c r="O517" t="n">
        <v>0</v>
      </c>
      <c r="P517" t="n">
        <v>0</v>
      </c>
      <c r="Q517" t="n">
        <v>0</v>
      </c>
      <c r="R517" s="2" t="inlineStr"/>
    </row>
    <row r="518" ht="15" customHeight="1">
      <c r="A518" t="inlineStr">
        <is>
          <t>A 13853-2023</t>
        </is>
      </c>
      <c r="B518" s="1" t="n">
        <v>45007</v>
      </c>
      <c r="C518" s="1" t="n">
        <v>45510</v>
      </c>
      <c r="D518" t="inlineStr">
        <is>
          <t>UPPSALA LÄN</t>
        </is>
      </c>
      <c r="E518" t="inlineStr">
        <is>
          <t>ENKÖPING</t>
        </is>
      </c>
      <c r="G518" t="n">
        <v>0.6</v>
      </c>
      <c r="H518" t="n">
        <v>0</v>
      </c>
      <c r="I518" t="n">
        <v>0</v>
      </c>
      <c r="J518" t="n">
        <v>0</v>
      </c>
      <c r="K518" t="n">
        <v>0</v>
      </c>
      <c r="L518" t="n">
        <v>0</v>
      </c>
      <c r="M518" t="n">
        <v>0</v>
      </c>
      <c r="N518" t="n">
        <v>0</v>
      </c>
      <c r="O518" t="n">
        <v>0</v>
      </c>
      <c r="P518" t="n">
        <v>0</v>
      </c>
      <c r="Q518" t="n">
        <v>0</v>
      </c>
      <c r="R518" s="2" t="inlineStr"/>
    </row>
    <row r="519" ht="15" customHeight="1">
      <c r="A519" t="inlineStr">
        <is>
          <t>A 13867-2023</t>
        </is>
      </c>
      <c r="B519" s="1" t="n">
        <v>45007</v>
      </c>
      <c r="C519" s="1" t="n">
        <v>45510</v>
      </c>
      <c r="D519" t="inlineStr">
        <is>
          <t>UPPSALA LÄN</t>
        </is>
      </c>
      <c r="E519" t="inlineStr">
        <is>
          <t>ENKÖPING</t>
        </is>
      </c>
      <c r="G519" t="n">
        <v>2</v>
      </c>
      <c r="H519" t="n">
        <v>0</v>
      </c>
      <c r="I519" t="n">
        <v>0</v>
      </c>
      <c r="J519" t="n">
        <v>0</v>
      </c>
      <c r="K519" t="n">
        <v>0</v>
      </c>
      <c r="L519" t="n">
        <v>0</v>
      </c>
      <c r="M519" t="n">
        <v>0</v>
      </c>
      <c r="N519" t="n">
        <v>0</v>
      </c>
      <c r="O519" t="n">
        <v>0</v>
      </c>
      <c r="P519" t="n">
        <v>0</v>
      </c>
      <c r="Q519" t="n">
        <v>0</v>
      </c>
      <c r="R519" s="2" t="inlineStr"/>
    </row>
    <row r="520" ht="15" customHeight="1">
      <c r="A520" t="inlineStr">
        <is>
          <t>A 14004-2023</t>
        </is>
      </c>
      <c r="B520" s="1" t="n">
        <v>45008</v>
      </c>
      <c r="C520" s="1" t="n">
        <v>45510</v>
      </c>
      <c r="D520" t="inlineStr">
        <is>
          <t>UPPSALA LÄN</t>
        </is>
      </c>
      <c r="E520" t="inlineStr">
        <is>
          <t>ENKÖPING</t>
        </is>
      </c>
      <c r="G520" t="n">
        <v>1.3</v>
      </c>
      <c r="H520" t="n">
        <v>0</v>
      </c>
      <c r="I520" t="n">
        <v>0</v>
      </c>
      <c r="J520" t="n">
        <v>0</v>
      </c>
      <c r="K520" t="n">
        <v>0</v>
      </c>
      <c r="L520" t="n">
        <v>0</v>
      </c>
      <c r="M520" t="n">
        <v>0</v>
      </c>
      <c r="N520" t="n">
        <v>0</v>
      </c>
      <c r="O520" t="n">
        <v>0</v>
      </c>
      <c r="P520" t="n">
        <v>0</v>
      </c>
      <c r="Q520" t="n">
        <v>0</v>
      </c>
      <c r="R520" s="2" t="inlineStr"/>
    </row>
    <row r="521" ht="15" customHeight="1">
      <c r="A521" t="inlineStr">
        <is>
          <t>A 14402-2023</t>
        </is>
      </c>
      <c r="B521" s="1" t="n">
        <v>45012</v>
      </c>
      <c r="C521" s="1" t="n">
        <v>45510</v>
      </c>
      <c r="D521" t="inlineStr">
        <is>
          <t>UPPSALA LÄN</t>
        </is>
      </c>
      <c r="E521" t="inlineStr">
        <is>
          <t>ENKÖPING</t>
        </is>
      </c>
      <c r="G521" t="n">
        <v>9.5</v>
      </c>
      <c r="H521" t="n">
        <v>0</v>
      </c>
      <c r="I521" t="n">
        <v>0</v>
      </c>
      <c r="J521" t="n">
        <v>0</v>
      </c>
      <c r="K521" t="n">
        <v>0</v>
      </c>
      <c r="L521" t="n">
        <v>0</v>
      </c>
      <c r="M521" t="n">
        <v>0</v>
      </c>
      <c r="N521" t="n">
        <v>0</v>
      </c>
      <c r="O521" t="n">
        <v>0</v>
      </c>
      <c r="P521" t="n">
        <v>0</v>
      </c>
      <c r="Q521" t="n">
        <v>0</v>
      </c>
      <c r="R521" s="2" t="inlineStr"/>
    </row>
    <row r="522" ht="15" customHeight="1">
      <c r="A522" t="inlineStr">
        <is>
          <t>A 15320-2023</t>
        </is>
      </c>
      <c r="B522" s="1" t="n">
        <v>45019</v>
      </c>
      <c r="C522" s="1" t="n">
        <v>45510</v>
      </c>
      <c r="D522" t="inlineStr">
        <is>
          <t>UPPSALA LÄN</t>
        </is>
      </c>
      <c r="E522" t="inlineStr">
        <is>
          <t>ENKÖPING</t>
        </is>
      </c>
      <c r="G522" t="n">
        <v>8</v>
      </c>
      <c r="H522" t="n">
        <v>0</v>
      </c>
      <c r="I522" t="n">
        <v>0</v>
      </c>
      <c r="J522" t="n">
        <v>0</v>
      </c>
      <c r="K522" t="n">
        <v>0</v>
      </c>
      <c r="L522" t="n">
        <v>0</v>
      </c>
      <c r="M522" t="n">
        <v>0</v>
      </c>
      <c r="N522" t="n">
        <v>0</v>
      </c>
      <c r="O522" t="n">
        <v>0</v>
      </c>
      <c r="P522" t="n">
        <v>0</v>
      </c>
      <c r="Q522" t="n">
        <v>0</v>
      </c>
      <c r="R522" s="2" t="inlineStr"/>
    </row>
    <row r="523" ht="15" customHeight="1">
      <c r="A523" t="inlineStr">
        <is>
          <t>A 15757-2023</t>
        </is>
      </c>
      <c r="B523" s="1" t="n">
        <v>45021</v>
      </c>
      <c r="C523" s="1" t="n">
        <v>45510</v>
      </c>
      <c r="D523" t="inlineStr">
        <is>
          <t>UPPSALA LÄN</t>
        </is>
      </c>
      <c r="E523" t="inlineStr">
        <is>
          <t>ENKÖPING</t>
        </is>
      </c>
      <c r="G523" t="n">
        <v>3</v>
      </c>
      <c r="H523" t="n">
        <v>0</v>
      </c>
      <c r="I523" t="n">
        <v>0</v>
      </c>
      <c r="J523" t="n">
        <v>0</v>
      </c>
      <c r="K523" t="n">
        <v>0</v>
      </c>
      <c r="L523" t="n">
        <v>0</v>
      </c>
      <c r="M523" t="n">
        <v>0</v>
      </c>
      <c r="N523" t="n">
        <v>0</v>
      </c>
      <c r="O523" t="n">
        <v>0</v>
      </c>
      <c r="P523" t="n">
        <v>0</v>
      </c>
      <c r="Q523" t="n">
        <v>0</v>
      </c>
      <c r="R523" s="2" t="inlineStr"/>
    </row>
    <row r="524" ht="15" customHeight="1">
      <c r="A524" t="inlineStr">
        <is>
          <t>A 16320-2023</t>
        </is>
      </c>
      <c r="B524" s="1" t="n">
        <v>45028</v>
      </c>
      <c r="C524" s="1" t="n">
        <v>45510</v>
      </c>
      <c r="D524" t="inlineStr">
        <is>
          <t>UPPSALA LÄN</t>
        </is>
      </c>
      <c r="E524" t="inlineStr">
        <is>
          <t>ENKÖPING</t>
        </is>
      </c>
      <c r="G524" t="n">
        <v>5.2</v>
      </c>
      <c r="H524" t="n">
        <v>0</v>
      </c>
      <c r="I524" t="n">
        <v>0</v>
      </c>
      <c r="J524" t="n">
        <v>0</v>
      </c>
      <c r="K524" t="n">
        <v>0</v>
      </c>
      <c r="L524" t="n">
        <v>0</v>
      </c>
      <c r="M524" t="n">
        <v>0</v>
      </c>
      <c r="N524" t="n">
        <v>0</v>
      </c>
      <c r="O524" t="n">
        <v>0</v>
      </c>
      <c r="P524" t="n">
        <v>0</v>
      </c>
      <c r="Q524" t="n">
        <v>0</v>
      </c>
      <c r="R524" s="2" t="inlineStr"/>
    </row>
    <row r="525" ht="15" customHeight="1">
      <c r="A525" t="inlineStr">
        <is>
          <t>A 16905-2023</t>
        </is>
      </c>
      <c r="B525" s="1" t="n">
        <v>45033</v>
      </c>
      <c r="C525" s="1" t="n">
        <v>45510</v>
      </c>
      <c r="D525" t="inlineStr">
        <is>
          <t>UPPSALA LÄN</t>
        </is>
      </c>
      <c r="E525" t="inlineStr">
        <is>
          <t>ENKÖPING</t>
        </is>
      </c>
      <c r="G525" t="n">
        <v>3.6</v>
      </c>
      <c r="H525" t="n">
        <v>0</v>
      </c>
      <c r="I525" t="n">
        <v>0</v>
      </c>
      <c r="J525" t="n">
        <v>0</v>
      </c>
      <c r="K525" t="n">
        <v>0</v>
      </c>
      <c r="L525" t="n">
        <v>0</v>
      </c>
      <c r="M525" t="n">
        <v>0</v>
      </c>
      <c r="N525" t="n">
        <v>0</v>
      </c>
      <c r="O525" t="n">
        <v>0</v>
      </c>
      <c r="P525" t="n">
        <v>0</v>
      </c>
      <c r="Q525" t="n">
        <v>0</v>
      </c>
      <c r="R525" s="2" t="inlineStr"/>
    </row>
    <row r="526" ht="15" customHeight="1">
      <c r="A526" t="inlineStr">
        <is>
          <t>A 16916-2023</t>
        </is>
      </c>
      <c r="B526" s="1" t="n">
        <v>45033</v>
      </c>
      <c r="C526" s="1" t="n">
        <v>45510</v>
      </c>
      <c r="D526" t="inlineStr">
        <is>
          <t>UPPSALA LÄN</t>
        </is>
      </c>
      <c r="E526" t="inlineStr">
        <is>
          <t>ENKÖPING</t>
        </is>
      </c>
      <c r="G526" t="n">
        <v>0.5</v>
      </c>
      <c r="H526" t="n">
        <v>0</v>
      </c>
      <c r="I526" t="n">
        <v>0</v>
      </c>
      <c r="J526" t="n">
        <v>0</v>
      </c>
      <c r="K526" t="n">
        <v>0</v>
      </c>
      <c r="L526" t="n">
        <v>0</v>
      </c>
      <c r="M526" t="n">
        <v>0</v>
      </c>
      <c r="N526" t="n">
        <v>0</v>
      </c>
      <c r="O526" t="n">
        <v>0</v>
      </c>
      <c r="P526" t="n">
        <v>0</v>
      </c>
      <c r="Q526" t="n">
        <v>0</v>
      </c>
      <c r="R526" s="2" t="inlineStr"/>
    </row>
    <row r="527" ht="15" customHeight="1">
      <c r="A527" t="inlineStr">
        <is>
          <t>A 16920-2023</t>
        </is>
      </c>
      <c r="B527" s="1" t="n">
        <v>45033</v>
      </c>
      <c r="C527" s="1" t="n">
        <v>45510</v>
      </c>
      <c r="D527" t="inlineStr">
        <is>
          <t>UPPSALA LÄN</t>
        </is>
      </c>
      <c r="E527" t="inlineStr">
        <is>
          <t>ENKÖPING</t>
        </is>
      </c>
      <c r="G527" t="n">
        <v>0.6</v>
      </c>
      <c r="H527" t="n">
        <v>0</v>
      </c>
      <c r="I527" t="n">
        <v>0</v>
      </c>
      <c r="J527" t="n">
        <v>0</v>
      </c>
      <c r="K527" t="n">
        <v>0</v>
      </c>
      <c r="L527" t="n">
        <v>0</v>
      </c>
      <c r="M527" t="n">
        <v>0</v>
      </c>
      <c r="N527" t="n">
        <v>0</v>
      </c>
      <c r="O527" t="n">
        <v>0</v>
      </c>
      <c r="P527" t="n">
        <v>0</v>
      </c>
      <c r="Q527" t="n">
        <v>0</v>
      </c>
      <c r="R527" s="2" t="inlineStr"/>
    </row>
    <row r="528" ht="15" customHeight="1">
      <c r="A528" t="inlineStr">
        <is>
          <t>A 17254-2023</t>
        </is>
      </c>
      <c r="B528" s="1" t="n">
        <v>45034</v>
      </c>
      <c r="C528" s="1" t="n">
        <v>45510</v>
      </c>
      <c r="D528" t="inlineStr">
        <is>
          <t>UPPSALA LÄN</t>
        </is>
      </c>
      <c r="E528" t="inlineStr">
        <is>
          <t>ENKÖPING</t>
        </is>
      </c>
      <c r="G528" t="n">
        <v>2.4</v>
      </c>
      <c r="H528" t="n">
        <v>0</v>
      </c>
      <c r="I528" t="n">
        <v>0</v>
      </c>
      <c r="J528" t="n">
        <v>0</v>
      </c>
      <c r="K528" t="n">
        <v>0</v>
      </c>
      <c r="L528" t="n">
        <v>0</v>
      </c>
      <c r="M528" t="n">
        <v>0</v>
      </c>
      <c r="N528" t="n">
        <v>0</v>
      </c>
      <c r="O528" t="n">
        <v>0</v>
      </c>
      <c r="P528" t="n">
        <v>0</v>
      </c>
      <c r="Q528" t="n">
        <v>0</v>
      </c>
      <c r="R528" s="2" t="inlineStr"/>
    </row>
    <row r="529" ht="15" customHeight="1">
      <c r="A529" t="inlineStr">
        <is>
          <t>A 17511-2023</t>
        </is>
      </c>
      <c r="B529" s="1" t="n">
        <v>45034</v>
      </c>
      <c r="C529" s="1" t="n">
        <v>45510</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17373-2023</t>
        </is>
      </c>
      <c r="B530" s="1" t="n">
        <v>45035</v>
      </c>
      <c r="C530" s="1" t="n">
        <v>45510</v>
      </c>
      <c r="D530" t="inlineStr">
        <is>
          <t>UPPSALA LÄN</t>
        </is>
      </c>
      <c r="E530" t="inlineStr">
        <is>
          <t>ENKÖPING</t>
        </is>
      </c>
      <c r="G530" t="n">
        <v>3.1</v>
      </c>
      <c r="H530" t="n">
        <v>0</v>
      </c>
      <c r="I530" t="n">
        <v>0</v>
      </c>
      <c r="J530" t="n">
        <v>0</v>
      </c>
      <c r="K530" t="n">
        <v>0</v>
      </c>
      <c r="L530" t="n">
        <v>0</v>
      </c>
      <c r="M530" t="n">
        <v>0</v>
      </c>
      <c r="N530" t="n">
        <v>0</v>
      </c>
      <c r="O530" t="n">
        <v>0</v>
      </c>
      <c r="P530" t="n">
        <v>0</v>
      </c>
      <c r="Q530" t="n">
        <v>0</v>
      </c>
      <c r="R530" s="2" t="inlineStr"/>
    </row>
    <row r="531" ht="15" customHeight="1">
      <c r="A531" t="inlineStr">
        <is>
          <t>A 17729-2023</t>
        </is>
      </c>
      <c r="B531" s="1" t="n">
        <v>45037</v>
      </c>
      <c r="C531" s="1" t="n">
        <v>45510</v>
      </c>
      <c r="D531" t="inlineStr">
        <is>
          <t>UPPSALA LÄN</t>
        </is>
      </c>
      <c r="E531" t="inlineStr">
        <is>
          <t>ENKÖPING</t>
        </is>
      </c>
      <c r="G531" t="n">
        <v>10.2</v>
      </c>
      <c r="H531" t="n">
        <v>0</v>
      </c>
      <c r="I531" t="n">
        <v>0</v>
      </c>
      <c r="J531" t="n">
        <v>0</v>
      </c>
      <c r="K531" t="n">
        <v>0</v>
      </c>
      <c r="L531" t="n">
        <v>0</v>
      </c>
      <c r="M531" t="n">
        <v>0</v>
      </c>
      <c r="N531" t="n">
        <v>0</v>
      </c>
      <c r="O531" t="n">
        <v>0</v>
      </c>
      <c r="P531" t="n">
        <v>0</v>
      </c>
      <c r="Q531" t="n">
        <v>0</v>
      </c>
      <c r="R531" s="2" t="inlineStr"/>
    </row>
    <row r="532" ht="15" customHeight="1">
      <c r="A532" t="inlineStr">
        <is>
          <t>A 17813-2023</t>
        </is>
      </c>
      <c r="B532" s="1" t="n">
        <v>45037</v>
      </c>
      <c r="C532" s="1" t="n">
        <v>45510</v>
      </c>
      <c r="D532" t="inlineStr">
        <is>
          <t>UPPSALA LÄN</t>
        </is>
      </c>
      <c r="E532" t="inlineStr">
        <is>
          <t>ENKÖPING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18030-2023</t>
        </is>
      </c>
      <c r="B533" s="1" t="n">
        <v>45040</v>
      </c>
      <c r="C533" s="1" t="n">
        <v>45510</v>
      </c>
      <c r="D533" t="inlineStr">
        <is>
          <t>UPPSALA LÄN</t>
        </is>
      </c>
      <c r="E533" t="inlineStr">
        <is>
          <t>ENKÖPING</t>
        </is>
      </c>
      <c r="G533" t="n">
        <v>0.8</v>
      </c>
      <c r="H533" t="n">
        <v>0</v>
      </c>
      <c r="I533" t="n">
        <v>0</v>
      </c>
      <c r="J533" t="n">
        <v>0</v>
      </c>
      <c r="K533" t="n">
        <v>0</v>
      </c>
      <c r="L533" t="n">
        <v>0</v>
      </c>
      <c r="M533" t="n">
        <v>0</v>
      </c>
      <c r="N533" t="n">
        <v>0</v>
      </c>
      <c r="O533" t="n">
        <v>0</v>
      </c>
      <c r="P533" t="n">
        <v>0</v>
      </c>
      <c r="Q533" t="n">
        <v>0</v>
      </c>
      <c r="R533" s="2" t="inlineStr"/>
    </row>
    <row r="534" ht="15" customHeight="1">
      <c r="A534" t="inlineStr">
        <is>
          <t>A 18696-2023</t>
        </is>
      </c>
      <c r="B534" s="1" t="n">
        <v>45043</v>
      </c>
      <c r="C534" s="1" t="n">
        <v>45510</v>
      </c>
      <c r="D534" t="inlineStr">
        <is>
          <t>UPPSALA LÄN</t>
        </is>
      </c>
      <c r="E534" t="inlineStr">
        <is>
          <t>ENKÖPING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18821-2023</t>
        </is>
      </c>
      <c r="B535" s="1" t="n">
        <v>45044</v>
      </c>
      <c r="C535" s="1" t="n">
        <v>45510</v>
      </c>
      <c r="D535" t="inlineStr">
        <is>
          <t>UPPSALA LÄN</t>
        </is>
      </c>
      <c r="E535" t="inlineStr">
        <is>
          <t>ENKÖPING</t>
        </is>
      </c>
      <c r="G535" t="n">
        <v>6</v>
      </c>
      <c r="H535" t="n">
        <v>0</v>
      </c>
      <c r="I535" t="n">
        <v>0</v>
      </c>
      <c r="J535" t="n">
        <v>0</v>
      </c>
      <c r="K535" t="n">
        <v>0</v>
      </c>
      <c r="L535" t="n">
        <v>0</v>
      </c>
      <c r="M535" t="n">
        <v>0</v>
      </c>
      <c r="N535" t="n">
        <v>0</v>
      </c>
      <c r="O535" t="n">
        <v>0</v>
      </c>
      <c r="P535" t="n">
        <v>0</v>
      </c>
      <c r="Q535" t="n">
        <v>0</v>
      </c>
      <c r="R535" s="2" t="inlineStr"/>
    </row>
    <row r="536" ht="15" customHeight="1">
      <c r="A536" t="inlineStr">
        <is>
          <t>A 18831-2023</t>
        </is>
      </c>
      <c r="B536" s="1" t="n">
        <v>45044</v>
      </c>
      <c r="C536" s="1" t="n">
        <v>45510</v>
      </c>
      <c r="D536" t="inlineStr">
        <is>
          <t>UPPSALA LÄN</t>
        </is>
      </c>
      <c r="E536" t="inlineStr">
        <is>
          <t>ENKÖPING</t>
        </is>
      </c>
      <c r="G536" t="n">
        <v>4.3</v>
      </c>
      <c r="H536" t="n">
        <v>0</v>
      </c>
      <c r="I536" t="n">
        <v>0</v>
      </c>
      <c r="J536" t="n">
        <v>0</v>
      </c>
      <c r="K536" t="n">
        <v>0</v>
      </c>
      <c r="L536" t="n">
        <v>0</v>
      </c>
      <c r="M536" t="n">
        <v>0</v>
      </c>
      <c r="N536" t="n">
        <v>0</v>
      </c>
      <c r="O536" t="n">
        <v>0</v>
      </c>
      <c r="P536" t="n">
        <v>0</v>
      </c>
      <c r="Q536" t="n">
        <v>0</v>
      </c>
      <c r="R536" s="2" t="inlineStr"/>
    </row>
    <row r="537" ht="15" customHeight="1">
      <c r="A537" t="inlineStr">
        <is>
          <t>A 19298-2023</t>
        </is>
      </c>
      <c r="B537" s="1" t="n">
        <v>45048</v>
      </c>
      <c r="C537" s="1" t="n">
        <v>45510</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19301-2023</t>
        </is>
      </c>
      <c r="B538" s="1" t="n">
        <v>45048</v>
      </c>
      <c r="C538" s="1" t="n">
        <v>45510</v>
      </c>
      <c r="D538" t="inlineStr">
        <is>
          <t>UPPSALA LÄN</t>
        </is>
      </c>
      <c r="E538" t="inlineStr">
        <is>
          <t>ENKÖPING</t>
        </is>
      </c>
      <c r="G538" t="n">
        <v>1.8</v>
      </c>
      <c r="H538" t="n">
        <v>0</v>
      </c>
      <c r="I538" t="n">
        <v>0</v>
      </c>
      <c r="J538" t="n">
        <v>0</v>
      </c>
      <c r="K538" t="n">
        <v>0</v>
      </c>
      <c r="L538" t="n">
        <v>0</v>
      </c>
      <c r="M538" t="n">
        <v>0</v>
      </c>
      <c r="N538" t="n">
        <v>0</v>
      </c>
      <c r="O538" t="n">
        <v>0</v>
      </c>
      <c r="P538" t="n">
        <v>0</v>
      </c>
      <c r="Q538" t="n">
        <v>0</v>
      </c>
      <c r="R538" s="2" t="inlineStr"/>
    </row>
    <row r="539" ht="15" customHeight="1">
      <c r="A539" t="inlineStr">
        <is>
          <t>A 19415-2023</t>
        </is>
      </c>
      <c r="B539" s="1" t="n">
        <v>45049</v>
      </c>
      <c r="C539" s="1" t="n">
        <v>45510</v>
      </c>
      <c r="D539" t="inlineStr">
        <is>
          <t>UPPSALA LÄN</t>
        </is>
      </c>
      <c r="E539" t="inlineStr">
        <is>
          <t>ENKÖPING</t>
        </is>
      </c>
      <c r="G539" t="n">
        <v>4.3</v>
      </c>
      <c r="H539" t="n">
        <v>0</v>
      </c>
      <c r="I539" t="n">
        <v>0</v>
      </c>
      <c r="J539" t="n">
        <v>0</v>
      </c>
      <c r="K539" t="n">
        <v>0</v>
      </c>
      <c r="L539" t="n">
        <v>0</v>
      </c>
      <c r="M539" t="n">
        <v>0</v>
      </c>
      <c r="N539" t="n">
        <v>0</v>
      </c>
      <c r="O539" t="n">
        <v>0</v>
      </c>
      <c r="P539" t="n">
        <v>0</v>
      </c>
      <c r="Q539" t="n">
        <v>0</v>
      </c>
      <c r="R539" s="2" t="inlineStr"/>
    </row>
    <row r="540" ht="15" customHeight="1">
      <c r="A540" t="inlineStr">
        <is>
          <t>A 20431-2023</t>
        </is>
      </c>
      <c r="B540" s="1" t="n">
        <v>45054</v>
      </c>
      <c r="C540" s="1" t="n">
        <v>45510</v>
      </c>
      <c r="D540" t="inlineStr">
        <is>
          <t>UPPSALA LÄN</t>
        </is>
      </c>
      <c r="E540" t="inlineStr">
        <is>
          <t>ENKÖPING</t>
        </is>
      </c>
      <c r="F540" t="inlineStr">
        <is>
          <t>Övriga statliga verk och myndigheter</t>
        </is>
      </c>
      <c r="G540" t="n">
        <v>3.3</v>
      </c>
      <c r="H540" t="n">
        <v>0</v>
      </c>
      <c r="I540" t="n">
        <v>0</v>
      </c>
      <c r="J540" t="n">
        <v>0</v>
      </c>
      <c r="K540" t="n">
        <v>0</v>
      </c>
      <c r="L540" t="n">
        <v>0</v>
      </c>
      <c r="M540" t="n">
        <v>0</v>
      </c>
      <c r="N540" t="n">
        <v>0</v>
      </c>
      <c r="O540" t="n">
        <v>0</v>
      </c>
      <c r="P540" t="n">
        <v>0</v>
      </c>
      <c r="Q540" t="n">
        <v>0</v>
      </c>
      <c r="R540" s="2" t="inlineStr"/>
    </row>
    <row r="541" ht="15" customHeight="1">
      <c r="A541" t="inlineStr">
        <is>
          <t>A 20179-2023</t>
        </is>
      </c>
      <c r="B541" s="1" t="n">
        <v>45055</v>
      </c>
      <c r="C541" s="1" t="n">
        <v>45510</v>
      </c>
      <c r="D541" t="inlineStr">
        <is>
          <t>UPPSALA LÄN</t>
        </is>
      </c>
      <c r="E541" t="inlineStr">
        <is>
          <t>ENKÖPING</t>
        </is>
      </c>
      <c r="G541" t="n">
        <v>1.3</v>
      </c>
      <c r="H541" t="n">
        <v>0</v>
      </c>
      <c r="I541" t="n">
        <v>0</v>
      </c>
      <c r="J541" t="n">
        <v>0</v>
      </c>
      <c r="K541" t="n">
        <v>0</v>
      </c>
      <c r="L541" t="n">
        <v>0</v>
      </c>
      <c r="M541" t="n">
        <v>0</v>
      </c>
      <c r="N541" t="n">
        <v>0</v>
      </c>
      <c r="O541" t="n">
        <v>0</v>
      </c>
      <c r="P541" t="n">
        <v>0</v>
      </c>
      <c r="Q541" t="n">
        <v>0</v>
      </c>
      <c r="R541" s="2" t="inlineStr"/>
    </row>
    <row r="542" ht="15" customHeight="1">
      <c r="A542" t="inlineStr">
        <is>
          <t>A 20184-2023</t>
        </is>
      </c>
      <c r="B542" s="1" t="n">
        <v>45055</v>
      </c>
      <c r="C542" s="1" t="n">
        <v>45510</v>
      </c>
      <c r="D542" t="inlineStr">
        <is>
          <t>UPPSALA LÄN</t>
        </is>
      </c>
      <c r="E542" t="inlineStr">
        <is>
          <t>ENKÖPING</t>
        </is>
      </c>
      <c r="G542" t="n">
        <v>3.2</v>
      </c>
      <c r="H542" t="n">
        <v>0</v>
      </c>
      <c r="I542" t="n">
        <v>0</v>
      </c>
      <c r="J542" t="n">
        <v>0</v>
      </c>
      <c r="K542" t="n">
        <v>0</v>
      </c>
      <c r="L542" t="n">
        <v>0</v>
      </c>
      <c r="M542" t="n">
        <v>0</v>
      </c>
      <c r="N542" t="n">
        <v>0</v>
      </c>
      <c r="O542" t="n">
        <v>0</v>
      </c>
      <c r="P542" t="n">
        <v>0</v>
      </c>
      <c r="Q542" t="n">
        <v>0</v>
      </c>
      <c r="R542" s="2" t="inlineStr"/>
    </row>
    <row r="543" ht="15" customHeight="1">
      <c r="A543" t="inlineStr">
        <is>
          <t>A 20188-2023</t>
        </is>
      </c>
      <c r="B543" s="1" t="n">
        <v>45055</v>
      </c>
      <c r="C543" s="1" t="n">
        <v>45510</v>
      </c>
      <c r="D543" t="inlineStr">
        <is>
          <t>UPPSALA LÄN</t>
        </is>
      </c>
      <c r="E543" t="inlineStr">
        <is>
          <t>ENKÖPING</t>
        </is>
      </c>
      <c r="G543" t="n">
        <v>4.9</v>
      </c>
      <c r="H543" t="n">
        <v>0</v>
      </c>
      <c r="I543" t="n">
        <v>0</v>
      </c>
      <c r="J543" t="n">
        <v>0</v>
      </c>
      <c r="K543" t="n">
        <v>0</v>
      </c>
      <c r="L543" t="n">
        <v>0</v>
      </c>
      <c r="M543" t="n">
        <v>0</v>
      </c>
      <c r="N543" t="n">
        <v>0</v>
      </c>
      <c r="O543" t="n">
        <v>0</v>
      </c>
      <c r="P543" t="n">
        <v>0</v>
      </c>
      <c r="Q543" t="n">
        <v>0</v>
      </c>
      <c r="R543" s="2" t="inlineStr"/>
    </row>
    <row r="544" ht="15" customHeight="1">
      <c r="A544" t="inlineStr">
        <is>
          <t>A 20201-2023</t>
        </is>
      </c>
      <c r="B544" s="1" t="n">
        <v>45055</v>
      </c>
      <c r="C544" s="1" t="n">
        <v>45510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20181-2023</t>
        </is>
      </c>
      <c r="B545" s="1" t="n">
        <v>45055</v>
      </c>
      <c r="C545" s="1" t="n">
        <v>45510</v>
      </c>
      <c r="D545" t="inlineStr">
        <is>
          <t>UPPSALA LÄN</t>
        </is>
      </c>
      <c r="E545" t="inlineStr">
        <is>
          <t>ENKÖPING</t>
        </is>
      </c>
      <c r="G545" t="n">
        <v>1.4</v>
      </c>
      <c r="H545" t="n">
        <v>0</v>
      </c>
      <c r="I545" t="n">
        <v>0</v>
      </c>
      <c r="J545" t="n">
        <v>0</v>
      </c>
      <c r="K545" t="n">
        <v>0</v>
      </c>
      <c r="L545" t="n">
        <v>0</v>
      </c>
      <c r="M545" t="n">
        <v>0</v>
      </c>
      <c r="N545" t="n">
        <v>0</v>
      </c>
      <c r="O545" t="n">
        <v>0</v>
      </c>
      <c r="P545" t="n">
        <v>0</v>
      </c>
      <c r="Q545" t="n">
        <v>0</v>
      </c>
      <c r="R545" s="2" t="inlineStr"/>
    </row>
    <row r="546" ht="15" customHeight="1">
      <c r="A546" t="inlineStr">
        <is>
          <t>A 20186-2023</t>
        </is>
      </c>
      <c r="B546" s="1" t="n">
        <v>45055</v>
      </c>
      <c r="C546" s="1" t="n">
        <v>45510</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20199-2023</t>
        </is>
      </c>
      <c r="B547" s="1" t="n">
        <v>45055</v>
      </c>
      <c r="C547" s="1" t="n">
        <v>45510</v>
      </c>
      <c r="D547" t="inlineStr">
        <is>
          <t>UPPSALA LÄN</t>
        </is>
      </c>
      <c r="E547" t="inlineStr">
        <is>
          <t>ENKÖPING</t>
        </is>
      </c>
      <c r="G547" t="n">
        <v>1.2</v>
      </c>
      <c r="H547" t="n">
        <v>0</v>
      </c>
      <c r="I547" t="n">
        <v>0</v>
      </c>
      <c r="J547" t="n">
        <v>0</v>
      </c>
      <c r="K547" t="n">
        <v>0</v>
      </c>
      <c r="L547" t="n">
        <v>0</v>
      </c>
      <c r="M547" t="n">
        <v>0</v>
      </c>
      <c r="N547" t="n">
        <v>0</v>
      </c>
      <c r="O547" t="n">
        <v>0</v>
      </c>
      <c r="P547" t="n">
        <v>0</v>
      </c>
      <c r="Q547" t="n">
        <v>0</v>
      </c>
      <c r="R547" s="2" t="inlineStr"/>
    </row>
    <row r="548" ht="15" customHeight="1">
      <c r="A548" t="inlineStr">
        <is>
          <t>A 20261-2023</t>
        </is>
      </c>
      <c r="B548" s="1" t="n">
        <v>45055</v>
      </c>
      <c r="C548" s="1" t="n">
        <v>45510</v>
      </c>
      <c r="D548" t="inlineStr">
        <is>
          <t>UPPSALA LÄN</t>
        </is>
      </c>
      <c r="E548" t="inlineStr">
        <is>
          <t>ENKÖPING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20396-2023</t>
        </is>
      </c>
      <c r="B549" s="1" t="n">
        <v>45056</v>
      </c>
      <c r="C549" s="1" t="n">
        <v>45510</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20845-2023</t>
        </is>
      </c>
      <c r="B550" s="1" t="n">
        <v>45056</v>
      </c>
      <c r="C550" s="1" t="n">
        <v>45510</v>
      </c>
      <c r="D550" t="inlineStr">
        <is>
          <t>UPPSALA LÄN</t>
        </is>
      </c>
      <c r="E550" t="inlineStr">
        <is>
          <t>ENKÖPING</t>
        </is>
      </c>
      <c r="G550" t="n">
        <v>3.1</v>
      </c>
      <c r="H550" t="n">
        <v>0</v>
      </c>
      <c r="I550" t="n">
        <v>0</v>
      </c>
      <c r="J550" t="n">
        <v>0</v>
      </c>
      <c r="K550" t="n">
        <v>0</v>
      </c>
      <c r="L550" t="n">
        <v>0</v>
      </c>
      <c r="M550" t="n">
        <v>0</v>
      </c>
      <c r="N550" t="n">
        <v>0</v>
      </c>
      <c r="O550" t="n">
        <v>0</v>
      </c>
      <c r="P550" t="n">
        <v>0</v>
      </c>
      <c r="Q550" t="n">
        <v>0</v>
      </c>
      <c r="R550" s="2" t="inlineStr"/>
    </row>
    <row r="551" ht="15" customHeight="1">
      <c r="A551" t="inlineStr">
        <is>
          <t>A 20897-2023</t>
        </is>
      </c>
      <c r="B551" s="1" t="n">
        <v>45059</v>
      </c>
      <c r="C551" s="1" t="n">
        <v>45510</v>
      </c>
      <c r="D551" t="inlineStr">
        <is>
          <t>UPPSALA LÄN</t>
        </is>
      </c>
      <c r="E551" t="inlineStr">
        <is>
          <t>ENKÖPING</t>
        </is>
      </c>
      <c r="G551" t="n">
        <v>2</v>
      </c>
      <c r="H551" t="n">
        <v>0</v>
      </c>
      <c r="I551" t="n">
        <v>0</v>
      </c>
      <c r="J551" t="n">
        <v>0</v>
      </c>
      <c r="K551" t="n">
        <v>0</v>
      </c>
      <c r="L551" t="n">
        <v>0</v>
      </c>
      <c r="M551" t="n">
        <v>0</v>
      </c>
      <c r="N551" t="n">
        <v>0</v>
      </c>
      <c r="O551" t="n">
        <v>0</v>
      </c>
      <c r="P551" t="n">
        <v>0</v>
      </c>
      <c r="Q551" t="n">
        <v>0</v>
      </c>
      <c r="R551" s="2" t="inlineStr"/>
    </row>
    <row r="552" ht="15" customHeight="1">
      <c r="A552" t="inlineStr">
        <is>
          <t>A 21020-2023</t>
        </is>
      </c>
      <c r="B552" s="1" t="n">
        <v>45061</v>
      </c>
      <c r="C552" s="1" t="n">
        <v>45510</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21017-2023</t>
        </is>
      </c>
      <c r="B553" s="1" t="n">
        <v>45061</v>
      </c>
      <c r="C553" s="1" t="n">
        <v>45510</v>
      </c>
      <c r="D553" t="inlineStr">
        <is>
          <t>UPPSALA LÄN</t>
        </is>
      </c>
      <c r="E553" t="inlineStr">
        <is>
          <t>ENKÖPING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21620-2023</t>
        </is>
      </c>
      <c r="B554" s="1" t="n">
        <v>45063</v>
      </c>
      <c r="C554" s="1" t="n">
        <v>45510</v>
      </c>
      <c r="D554" t="inlineStr">
        <is>
          <t>UPPSALA LÄN</t>
        </is>
      </c>
      <c r="E554" t="inlineStr">
        <is>
          <t>ENKÖPING</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21612-2023</t>
        </is>
      </c>
      <c r="B555" s="1" t="n">
        <v>45063</v>
      </c>
      <c r="C555" s="1" t="n">
        <v>45510</v>
      </c>
      <c r="D555" t="inlineStr">
        <is>
          <t>UPPSALA LÄN</t>
        </is>
      </c>
      <c r="E555" t="inlineStr">
        <is>
          <t>ENKÖPING</t>
        </is>
      </c>
      <c r="F555" t="inlineStr">
        <is>
          <t>Allmännings- och besparingsskogar</t>
        </is>
      </c>
      <c r="G555" t="n">
        <v>1</v>
      </c>
      <c r="H555" t="n">
        <v>0</v>
      </c>
      <c r="I555" t="n">
        <v>0</v>
      </c>
      <c r="J555" t="n">
        <v>0</v>
      </c>
      <c r="K555" t="n">
        <v>0</v>
      </c>
      <c r="L555" t="n">
        <v>0</v>
      </c>
      <c r="M555" t="n">
        <v>0</v>
      </c>
      <c r="N555" t="n">
        <v>0</v>
      </c>
      <c r="O555" t="n">
        <v>0</v>
      </c>
      <c r="P555" t="n">
        <v>0</v>
      </c>
      <c r="Q555" t="n">
        <v>0</v>
      </c>
      <c r="R555" s="2" t="inlineStr"/>
    </row>
    <row r="556" ht="15" customHeight="1">
      <c r="A556" t="inlineStr">
        <is>
          <t>A 22094-2023</t>
        </is>
      </c>
      <c r="B556" s="1" t="n">
        <v>45069</v>
      </c>
      <c r="C556" s="1" t="n">
        <v>45510</v>
      </c>
      <c r="D556" t="inlineStr">
        <is>
          <t>UPPSALA LÄN</t>
        </is>
      </c>
      <c r="E556" t="inlineStr">
        <is>
          <t>ENKÖPING</t>
        </is>
      </c>
      <c r="G556" t="n">
        <v>2.1</v>
      </c>
      <c r="H556" t="n">
        <v>0</v>
      </c>
      <c r="I556" t="n">
        <v>0</v>
      </c>
      <c r="J556" t="n">
        <v>0</v>
      </c>
      <c r="K556" t="n">
        <v>0</v>
      </c>
      <c r="L556" t="n">
        <v>0</v>
      </c>
      <c r="M556" t="n">
        <v>0</v>
      </c>
      <c r="N556" t="n">
        <v>0</v>
      </c>
      <c r="O556" t="n">
        <v>0</v>
      </c>
      <c r="P556" t="n">
        <v>0</v>
      </c>
      <c r="Q556" t="n">
        <v>0</v>
      </c>
      <c r="R556" s="2" t="inlineStr"/>
    </row>
    <row r="557" ht="15" customHeight="1">
      <c r="A557" t="inlineStr">
        <is>
          <t>A 25333-2023</t>
        </is>
      </c>
      <c r="B557" s="1" t="n">
        <v>45083</v>
      </c>
      <c r="C557" s="1" t="n">
        <v>45510</v>
      </c>
      <c r="D557" t="inlineStr">
        <is>
          <t>UPPSALA LÄN</t>
        </is>
      </c>
      <c r="E557" t="inlineStr">
        <is>
          <t>ENKÖPING</t>
        </is>
      </c>
      <c r="G557" t="n">
        <v>2.7</v>
      </c>
      <c r="H557" t="n">
        <v>0</v>
      </c>
      <c r="I557" t="n">
        <v>0</v>
      </c>
      <c r="J557" t="n">
        <v>0</v>
      </c>
      <c r="K557" t="n">
        <v>0</v>
      </c>
      <c r="L557" t="n">
        <v>0</v>
      </c>
      <c r="M557" t="n">
        <v>0</v>
      </c>
      <c r="N557" t="n">
        <v>0</v>
      </c>
      <c r="O557" t="n">
        <v>0</v>
      </c>
      <c r="P557" t="n">
        <v>0</v>
      </c>
      <c r="Q557" t="n">
        <v>0</v>
      </c>
      <c r="R557" s="2" t="inlineStr"/>
    </row>
    <row r="558" ht="15" customHeight="1">
      <c r="A558" t="inlineStr">
        <is>
          <t>A 25334-2023</t>
        </is>
      </c>
      <c r="B558" s="1" t="n">
        <v>45083</v>
      </c>
      <c r="C558" s="1" t="n">
        <v>45510</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24962-2023</t>
        </is>
      </c>
      <c r="B559" s="1" t="n">
        <v>45085</v>
      </c>
      <c r="C559" s="1" t="n">
        <v>45510</v>
      </c>
      <c r="D559" t="inlineStr">
        <is>
          <t>UPPSALA LÄN</t>
        </is>
      </c>
      <c r="E559" t="inlineStr">
        <is>
          <t>ENKÖPING</t>
        </is>
      </c>
      <c r="G559" t="n">
        <v>2.8</v>
      </c>
      <c r="H559" t="n">
        <v>0</v>
      </c>
      <c r="I559" t="n">
        <v>0</v>
      </c>
      <c r="J559" t="n">
        <v>0</v>
      </c>
      <c r="K559" t="n">
        <v>0</v>
      </c>
      <c r="L559" t="n">
        <v>0</v>
      </c>
      <c r="M559" t="n">
        <v>0</v>
      </c>
      <c r="N559" t="n">
        <v>0</v>
      </c>
      <c r="O559" t="n">
        <v>0</v>
      </c>
      <c r="P559" t="n">
        <v>0</v>
      </c>
      <c r="Q559" t="n">
        <v>0</v>
      </c>
      <c r="R559" s="2" t="inlineStr"/>
    </row>
    <row r="560" ht="15" customHeight="1">
      <c r="A560" t="inlineStr">
        <is>
          <t>A 24960-2023</t>
        </is>
      </c>
      <c r="B560" s="1" t="n">
        <v>45085</v>
      </c>
      <c r="C560" s="1" t="n">
        <v>45510</v>
      </c>
      <c r="D560" t="inlineStr">
        <is>
          <t>UPPSALA LÄN</t>
        </is>
      </c>
      <c r="E560" t="inlineStr">
        <is>
          <t>ENKÖPING</t>
        </is>
      </c>
      <c r="G560" t="n">
        <v>2.1</v>
      </c>
      <c r="H560" t="n">
        <v>0</v>
      </c>
      <c r="I560" t="n">
        <v>0</v>
      </c>
      <c r="J560" t="n">
        <v>0</v>
      </c>
      <c r="K560" t="n">
        <v>0</v>
      </c>
      <c r="L560" t="n">
        <v>0</v>
      </c>
      <c r="M560" t="n">
        <v>0</v>
      </c>
      <c r="N560" t="n">
        <v>0</v>
      </c>
      <c r="O560" t="n">
        <v>0</v>
      </c>
      <c r="P560" t="n">
        <v>0</v>
      </c>
      <c r="Q560" t="n">
        <v>0</v>
      </c>
      <c r="R560" s="2" t="inlineStr"/>
    </row>
    <row r="561" ht="15" customHeight="1">
      <c r="A561" t="inlineStr">
        <is>
          <t>A 24974-2023</t>
        </is>
      </c>
      <c r="B561" s="1" t="n">
        <v>45085</v>
      </c>
      <c r="C561" s="1" t="n">
        <v>45510</v>
      </c>
      <c r="D561" t="inlineStr">
        <is>
          <t>UPPSALA LÄN</t>
        </is>
      </c>
      <c r="E561" t="inlineStr">
        <is>
          <t>ENKÖPING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24978-2023</t>
        </is>
      </c>
      <c r="B562" s="1" t="n">
        <v>45085</v>
      </c>
      <c r="C562" s="1" t="n">
        <v>45510</v>
      </c>
      <c r="D562" t="inlineStr">
        <is>
          <t>UPPSALA LÄN</t>
        </is>
      </c>
      <c r="E562" t="inlineStr">
        <is>
          <t>ENKÖPING</t>
        </is>
      </c>
      <c r="G562" t="n">
        <v>0.7</v>
      </c>
      <c r="H562" t="n">
        <v>0</v>
      </c>
      <c r="I562" t="n">
        <v>0</v>
      </c>
      <c r="J562" t="n">
        <v>0</v>
      </c>
      <c r="K562" t="n">
        <v>0</v>
      </c>
      <c r="L562" t="n">
        <v>0</v>
      </c>
      <c r="M562" t="n">
        <v>0</v>
      </c>
      <c r="N562" t="n">
        <v>0</v>
      </c>
      <c r="O562" t="n">
        <v>0</v>
      </c>
      <c r="P562" t="n">
        <v>0</v>
      </c>
      <c r="Q562" t="n">
        <v>0</v>
      </c>
      <c r="R562" s="2" t="inlineStr"/>
    </row>
    <row r="563" ht="15" customHeight="1">
      <c r="A563" t="inlineStr">
        <is>
          <t>A 26577-2023</t>
        </is>
      </c>
      <c r="B563" s="1" t="n">
        <v>45092</v>
      </c>
      <c r="C563" s="1" t="n">
        <v>45510</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27178-2023</t>
        </is>
      </c>
      <c r="B564" s="1" t="n">
        <v>45096</v>
      </c>
      <c r="C564" s="1" t="n">
        <v>45510</v>
      </c>
      <c r="D564" t="inlineStr">
        <is>
          <t>UPPSALA LÄN</t>
        </is>
      </c>
      <c r="E564" t="inlineStr">
        <is>
          <t>ENKÖPING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27538-2023</t>
        </is>
      </c>
      <c r="B565" s="1" t="n">
        <v>45097</v>
      </c>
      <c r="C565" s="1" t="n">
        <v>45510</v>
      </c>
      <c r="D565" t="inlineStr">
        <is>
          <t>UPPSALA LÄN</t>
        </is>
      </c>
      <c r="E565" t="inlineStr">
        <is>
          <t>ENKÖPING</t>
        </is>
      </c>
      <c r="G565" t="n">
        <v>5.8</v>
      </c>
      <c r="H565" t="n">
        <v>0</v>
      </c>
      <c r="I565" t="n">
        <v>0</v>
      </c>
      <c r="J565" t="n">
        <v>0</v>
      </c>
      <c r="K565" t="n">
        <v>0</v>
      </c>
      <c r="L565" t="n">
        <v>0</v>
      </c>
      <c r="M565" t="n">
        <v>0</v>
      </c>
      <c r="N565" t="n">
        <v>0</v>
      </c>
      <c r="O565" t="n">
        <v>0</v>
      </c>
      <c r="P565" t="n">
        <v>0</v>
      </c>
      <c r="Q565" t="n">
        <v>0</v>
      </c>
      <c r="R565" s="2" t="inlineStr"/>
    </row>
    <row r="566" ht="15" customHeight="1">
      <c r="A566" t="inlineStr">
        <is>
          <t>A 27730-2023</t>
        </is>
      </c>
      <c r="B566" s="1" t="n">
        <v>45097</v>
      </c>
      <c r="C566" s="1" t="n">
        <v>45510</v>
      </c>
      <c r="D566" t="inlineStr">
        <is>
          <t>UPPSALA LÄN</t>
        </is>
      </c>
      <c r="E566" t="inlineStr">
        <is>
          <t>ENKÖPING</t>
        </is>
      </c>
      <c r="G566" t="n">
        <v>1.3</v>
      </c>
      <c r="H566" t="n">
        <v>0</v>
      </c>
      <c r="I566" t="n">
        <v>0</v>
      </c>
      <c r="J566" t="n">
        <v>0</v>
      </c>
      <c r="K566" t="n">
        <v>0</v>
      </c>
      <c r="L566" t="n">
        <v>0</v>
      </c>
      <c r="M566" t="n">
        <v>0</v>
      </c>
      <c r="N566" t="n">
        <v>0</v>
      </c>
      <c r="O566" t="n">
        <v>0</v>
      </c>
      <c r="P566" t="n">
        <v>0</v>
      </c>
      <c r="Q566" t="n">
        <v>0</v>
      </c>
      <c r="R566" s="2" t="inlineStr"/>
    </row>
    <row r="567" ht="15" customHeight="1">
      <c r="A567" t="inlineStr">
        <is>
          <t>A 27805-2023</t>
        </is>
      </c>
      <c r="B567" s="1" t="n">
        <v>45098</v>
      </c>
      <c r="C567" s="1" t="n">
        <v>45510</v>
      </c>
      <c r="D567" t="inlineStr">
        <is>
          <t>UPPSALA LÄN</t>
        </is>
      </c>
      <c r="E567" t="inlineStr">
        <is>
          <t>ENKÖPING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27839-2023</t>
        </is>
      </c>
      <c r="B568" s="1" t="n">
        <v>45098</v>
      </c>
      <c r="C568" s="1" t="n">
        <v>45510</v>
      </c>
      <c r="D568" t="inlineStr">
        <is>
          <t>UPPSALA LÄN</t>
        </is>
      </c>
      <c r="E568" t="inlineStr">
        <is>
          <t>ENKÖPING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27786-2023</t>
        </is>
      </c>
      <c r="B569" s="1" t="n">
        <v>45098</v>
      </c>
      <c r="C569" s="1" t="n">
        <v>45510</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27855-2023</t>
        </is>
      </c>
      <c r="B570" s="1" t="n">
        <v>45098</v>
      </c>
      <c r="C570" s="1" t="n">
        <v>45510</v>
      </c>
      <c r="D570" t="inlineStr">
        <is>
          <t>UPPSALA LÄN</t>
        </is>
      </c>
      <c r="E570" t="inlineStr">
        <is>
          <t>ENKÖPING</t>
        </is>
      </c>
      <c r="G570" t="n">
        <v>2.4</v>
      </c>
      <c r="H570" t="n">
        <v>0</v>
      </c>
      <c r="I570" t="n">
        <v>0</v>
      </c>
      <c r="J570" t="n">
        <v>0</v>
      </c>
      <c r="K570" t="n">
        <v>0</v>
      </c>
      <c r="L570" t="n">
        <v>0</v>
      </c>
      <c r="M570" t="n">
        <v>0</v>
      </c>
      <c r="N570" t="n">
        <v>0</v>
      </c>
      <c r="O570" t="n">
        <v>0</v>
      </c>
      <c r="P570" t="n">
        <v>0</v>
      </c>
      <c r="Q570" t="n">
        <v>0</v>
      </c>
      <c r="R570" s="2" t="inlineStr"/>
    </row>
    <row r="571" ht="15" customHeight="1">
      <c r="A571" t="inlineStr">
        <is>
          <t>A 27928-2023</t>
        </is>
      </c>
      <c r="B571" s="1" t="n">
        <v>45098</v>
      </c>
      <c r="C571" s="1" t="n">
        <v>45510</v>
      </c>
      <c r="D571" t="inlineStr">
        <is>
          <t>UPPSALA LÄN</t>
        </is>
      </c>
      <c r="E571" t="inlineStr">
        <is>
          <t>ENKÖPING</t>
        </is>
      </c>
      <c r="G571" t="n">
        <v>11.5</v>
      </c>
      <c r="H571" t="n">
        <v>0</v>
      </c>
      <c r="I571" t="n">
        <v>0</v>
      </c>
      <c r="J571" t="n">
        <v>0</v>
      </c>
      <c r="K571" t="n">
        <v>0</v>
      </c>
      <c r="L571" t="n">
        <v>0</v>
      </c>
      <c r="M571" t="n">
        <v>0</v>
      </c>
      <c r="N571" t="n">
        <v>0</v>
      </c>
      <c r="O571" t="n">
        <v>0</v>
      </c>
      <c r="P571" t="n">
        <v>0</v>
      </c>
      <c r="Q571" t="n">
        <v>0</v>
      </c>
      <c r="R571" s="2" t="inlineStr"/>
    </row>
    <row r="572" ht="15" customHeight="1">
      <c r="A572" t="inlineStr">
        <is>
          <t>A 28243-2023</t>
        </is>
      </c>
      <c r="B572" s="1" t="n">
        <v>45099</v>
      </c>
      <c r="C572" s="1" t="n">
        <v>45510</v>
      </c>
      <c r="D572" t="inlineStr">
        <is>
          <t>UPPSALA LÄN</t>
        </is>
      </c>
      <c r="E572" t="inlineStr">
        <is>
          <t>ENKÖPING</t>
        </is>
      </c>
      <c r="G572" t="n">
        <v>1.9</v>
      </c>
      <c r="H572" t="n">
        <v>0</v>
      </c>
      <c r="I572" t="n">
        <v>0</v>
      </c>
      <c r="J572" t="n">
        <v>0</v>
      </c>
      <c r="K572" t="n">
        <v>0</v>
      </c>
      <c r="L572" t="n">
        <v>0</v>
      </c>
      <c r="M572" t="n">
        <v>0</v>
      </c>
      <c r="N572" t="n">
        <v>0</v>
      </c>
      <c r="O572" t="n">
        <v>0</v>
      </c>
      <c r="P572" t="n">
        <v>0</v>
      </c>
      <c r="Q572" t="n">
        <v>0</v>
      </c>
      <c r="R572" s="2" t="inlineStr"/>
    </row>
    <row r="573" ht="15" customHeight="1">
      <c r="A573" t="inlineStr">
        <is>
          <t>A 29917-2023</t>
        </is>
      </c>
      <c r="B573" s="1" t="n">
        <v>45099</v>
      </c>
      <c r="C573" s="1" t="n">
        <v>45510</v>
      </c>
      <c r="D573" t="inlineStr">
        <is>
          <t>UPPSALA LÄN</t>
        </is>
      </c>
      <c r="E573" t="inlineStr">
        <is>
          <t>ENKÖPING</t>
        </is>
      </c>
      <c r="G573" t="n">
        <v>3.2</v>
      </c>
      <c r="H573" t="n">
        <v>0</v>
      </c>
      <c r="I573" t="n">
        <v>0</v>
      </c>
      <c r="J573" t="n">
        <v>0</v>
      </c>
      <c r="K573" t="n">
        <v>0</v>
      </c>
      <c r="L573" t="n">
        <v>0</v>
      </c>
      <c r="M573" t="n">
        <v>0</v>
      </c>
      <c r="N573" t="n">
        <v>0</v>
      </c>
      <c r="O573" t="n">
        <v>0</v>
      </c>
      <c r="P573" t="n">
        <v>0</v>
      </c>
      <c r="Q573" t="n">
        <v>0</v>
      </c>
      <c r="R573" s="2" t="inlineStr"/>
    </row>
    <row r="574" ht="15" customHeight="1">
      <c r="A574" t="inlineStr">
        <is>
          <t>A 29918-2023</t>
        </is>
      </c>
      <c r="B574" s="1" t="n">
        <v>45099</v>
      </c>
      <c r="C574" s="1" t="n">
        <v>45510</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31573-2023</t>
        </is>
      </c>
      <c r="B575" s="1" t="n">
        <v>45104</v>
      </c>
      <c r="C575" s="1" t="n">
        <v>45510</v>
      </c>
      <c r="D575" t="inlineStr">
        <is>
          <t>UPPSALA LÄN</t>
        </is>
      </c>
      <c r="E575" t="inlineStr">
        <is>
          <t>ENKÖPING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30950-2023</t>
        </is>
      </c>
      <c r="B576" s="1" t="n">
        <v>45113</v>
      </c>
      <c r="C576" s="1" t="n">
        <v>45510</v>
      </c>
      <c r="D576" t="inlineStr">
        <is>
          <t>UPPSALA LÄN</t>
        </is>
      </c>
      <c r="E576" t="inlineStr">
        <is>
          <t>ENKÖPING</t>
        </is>
      </c>
      <c r="G576" t="n">
        <v>6.8</v>
      </c>
      <c r="H576" t="n">
        <v>0</v>
      </c>
      <c r="I576" t="n">
        <v>0</v>
      </c>
      <c r="J576" t="n">
        <v>0</v>
      </c>
      <c r="K576" t="n">
        <v>0</v>
      </c>
      <c r="L576" t="n">
        <v>0</v>
      </c>
      <c r="M576" t="n">
        <v>0</v>
      </c>
      <c r="N576" t="n">
        <v>0</v>
      </c>
      <c r="O576" t="n">
        <v>0</v>
      </c>
      <c r="P576" t="n">
        <v>0</v>
      </c>
      <c r="Q576" t="n">
        <v>0</v>
      </c>
      <c r="R576" s="2" t="inlineStr"/>
    </row>
    <row r="577" ht="15" customHeight="1">
      <c r="A577" t="inlineStr">
        <is>
          <t>A 31163-2023</t>
        </is>
      </c>
      <c r="B577" s="1" t="n">
        <v>45113</v>
      </c>
      <c r="C577" s="1" t="n">
        <v>45510</v>
      </c>
      <c r="D577" t="inlineStr">
        <is>
          <t>UPPSALA LÄN</t>
        </is>
      </c>
      <c r="E577" t="inlineStr">
        <is>
          <t>ENKÖPING</t>
        </is>
      </c>
      <c r="G577" t="n">
        <v>5.6</v>
      </c>
      <c r="H577" t="n">
        <v>0</v>
      </c>
      <c r="I577" t="n">
        <v>0</v>
      </c>
      <c r="J577" t="n">
        <v>0</v>
      </c>
      <c r="K577" t="n">
        <v>0</v>
      </c>
      <c r="L577" t="n">
        <v>0</v>
      </c>
      <c r="M577" t="n">
        <v>0</v>
      </c>
      <c r="N577" t="n">
        <v>0</v>
      </c>
      <c r="O577" t="n">
        <v>0</v>
      </c>
      <c r="P577" t="n">
        <v>0</v>
      </c>
      <c r="Q577" t="n">
        <v>0</v>
      </c>
      <c r="R577" s="2" t="inlineStr"/>
    </row>
    <row r="578" ht="15" customHeight="1">
      <c r="A578" t="inlineStr">
        <is>
          <t>A 31557-2023</t>
        </is>
      </c>
      <c r="B578" s="1" t="n">
        <v>45117</v>
      </c>
      <c r="C578" s="1" t="n">
        <v>45510</v>
      </c>
      <c r="D578" t="inlineStr">
        <is>
          <t>UPPSALA LÄN</t>
        </is>
      </c>
      <c r="E578" t="inlineStr">
        <is>
          <t>ENKÖPING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31559-2023</t>
        </is>
      </c>
      <c r="B579" s="1" t="n">
        <v>45117</v>
      </c>
      <c r="C579" s="1" t="n">
        <v>45510</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31604-2023</t>
        </is>
      </c>
      <c r="B580" s="1" t="n">
        <v>45117</v>
      </c>
      <c r="C580" s="1" t="n">
        <v>45510</v>
      </c>
      <c r="D580" t="inlineStr">
        <is>
          <t>UPPSALA LÄN</t>
        </is>
      </c>
      <c r="E580" t="inlineStr">
        <is>
          <t>ENKÖPING</t>
        </is>
      </c>
      <c r="G580" t="n">
        <v>3.5</v>
      </c>
      <c r="H580" t="n">
        <v>0</v>
      </c>
      <c r="I580" t="n">
        <v>0</v>
      </c>
      <c r="J580" t="n">
        <v>0</v>
      </c>
      <c r="K580" t="n">
        <v>0</v>
      </c>
      <c r="L580" t="n">
        <v>0</v>
      </c>
      <c r="M580" t="n">
        <v>0</v>
      </c>
      <c r="N580" t="n">
        <v>0</v>
      </c>
      <c r="O580" t="n">
        <v>0</v>
      </c>
      <c r="P580" t="n">
        <v>0</v>
      </c>
      <c r="Q580" t="n">
        <v>0</v>
      </c>
      <c r="R580" s="2" t="inlineStr"/>
    </row>
    <row r="581" ht="15" customHeight="1">
      <c r="A581" t="inlineStr">
        <is>
          <t>A 31636-2023</t>
        </is>
      </c>
      <c r="B581" s="1" t="n">
        <v>45117</v>
      </c>
      <c r="C581" s="1" t="n">
        <v>45510</v>
      </c>
      <c r="D581" t="inlineStr">
        <is>
          <t>UPPSALA LÄN</t>
        </is>
      </c>
      <c r="E581" t="inlineStr">
        <is>
          <t>ENKÖPING</t>
        </is>
      </c>
      <c r="G581" t="n">
        <v>22.1</v>
      </c>
      <c r="H581" t="n">
        <v>0</v>
      </c>
      <c r="I581" t="n">
        <v>0</v>
      </c>
      <c r="J581" t="n">
        <v>0</v>
      </c>
      <c r="K581" t="n">
        <v>0</v>
      </c>
      <c r="L581" t="n">
        <v>0</v>
      </c>
      <c r="M581" t="n">
        <v>0</v>
      </c>
      <c r="N581" t="n">
        <v>0</v>
      </c>
      <c r="O581" t="n">
        <v>0</v>
      </c>
      <c r="P581" t="n">
        <v>0</v>
      </c>
      <c r="Q581" t="n">
        <v>0</v>
      </c>
      <c r="R581" s="2" t="inlineStr"/>
    </row>
    <row r="582" ht="15" customHeight="1">
      <c r="A582" t="inlineStr">
        <is>
          <t>A 31642-2023</t>
        </is>
      </c>
      <c r="B582" s="1" t="n">
        <v>45117</v>
      </c>
      <c r="C582" s="1" t="n">
        <v>45510</v>
      </c>
      <c r="D582" t="inlineStr">
        <is>
          <t>UPPSALA LÄN</t>
        </is>
      </c>
      <c r="E582" t="inlineStr">
        <is>
          <t>ENKÖPING</t>
        </is>
      </c>
      <c r="G582" t="n">
        <v>3.9</v>
      </c>
      <c r="H582" t="n">
        <v>0</v>
      </c>
      <c r="I582" t="n">
        <v>0</v>
      </c>
      <c r="J582" t="n">
        <v>0</v>
      </c>
      <c r="K582" t="n">
        <v>0</v>
      </c>
      <c r="L582" t="n">
        <v>0</v>
      </c>
      <c r="M582" t="n">
        <v>0</v>
      </c>
      <c r="N582" t="n">
        <v>0</v>
      </c>
      <c r="O582" t="n">
        <v>0</v>
      </c>
      <c r="P582" t="n">
        <v>0</v>
      </c>
      <c r="Q582" t="n">
        <v>0</v>
      </c>
      <c r="R582" s="2" t="inlineStr"/>
    </row>
    <row r="583" ht="15" customHeight="1">
      <c r="A583" t="inlineStr">
        <is>
          <t>A 31648-2023</t>
        </is>
      </c>
      <c r="B583" s="1" t="n">
        <v>45117</v>
      </c>
      <c r="C583" s="1" t="n">
        <v>45510</v>
      </c>
      <c r="D583" t="inlineStr">
        <is>
          <t>UPPSALA LÄN</t>
        </is>
      </c>
      <c r="E583" t="inlineStr">
        <is>
          <t>ENKÖPING</t>
        </is>
      </c>
      <c r="G583" t="n">
        <v>12.9</v>
      </c>
      <c r="H583" t="n">
        <v>0</v>
      </c>
      <c r="I583" t="n">
        <v>0</v>
      </c>
      <c r="J583" t="n">
        <v>0</v>
      </c>
      <c r="K583" t="n">
        <v>0</v>
      </c>
      <c r="L583" t="n">
        <v>0</v>
      </c>
      <c r="M583" t="n">
        <v>0</v>
      </c>
      <c r="N583" t="n">
        <v>0</v>
      </c>
      <c r="O583" t="n">
        <v>0</v>
      </c>
      <c r="P583" t="n">
        <v>0</v>
      </c>
      <c r="Q583" t="n">
        <v>0</v>
      </c>
      <c r="R583" s="2" t="inlineStr"/>
    </row>
    <row r="584" ht="15" customHeight="1">
      <c r="A584" t="inlineStr">
        <is>
          <t>A 33581-2023</t>
        </is>
      </c>
      <c r="B584" s="1" t="n">
        <v>45131</v>
      </c>
      <c r="C584" s="1" t="n">
        <v>45510</v>
      </c>
      <c r="D584" t="inlineStr">
        <is>
          <t>UPPSALA LÄN</t>
        </is>
      </c>
      <c r="E584" t="inlineStr">
        <is>
          <t>ENKÖPING</t>
        </is>
      </c>
      <c r="G584" t="n">
        <v>3.5</v>
      </c>
      <c r="H584" t="n">
        <v>0</v>
      </c>
      <c r="I584" t="n">
        <v>0</v>
      </c>
      <c r="J584" t="n">
        <v>0</v>
      </c>
      <c r="K584" t="n">
        <v>0</v>
      </c>
      <c r="L584" t="n">
        <v>0</v>
      </c>
      <c r="M584" t="n">
        <v>0</v>
      </c>
      <c r="N584" t="n">
        <v>0</v>
      </c>
      <c r="O584" t="n">
        <v>0</v>
      </c>
      <c r="P584" t="n">
        <v>0</v>
      </c>
      <c r="Q584" t="n">
        <v>0</v>
      </c>
      <c r="R584" s="2" t="inlineStr"/>
    </row>
    <row r="585" ht="15" customHeight="1">
      <c r="A585" t="inlineStr">
        <is>
          <t>A 34735-2023</t>
        </is>
      </c>
      <c r="B585" s="1" t="n">
        <v>45139</v>
      </c>
      <c r="C585" s="1" t="n">
        <v>45510</v>
      </c>
      <c r="D585" t="inlineStr">
        <is>
          <t>UPPSALA LÄN</t>
        </is>
      </c>
      <c r="E585" t="inlineStr">
        <is>
          <t>ENKÖPING</t>
        </is>
      </c>
      <c r="G585" t="n">
        <v>1.4</v>
      </c>
      <c r="H585" t="n">
        <v>0</v>
      </c>
      <c r="I585" t="n">
        <v>0</v>
      </c>
      <c r="J585" t="n">
        <v>0</v>
      </c>
      <c r="K585" t="n">
        <v>0</v>
      </c>
      <c r="L585" t="n">
        <v>0</v>
      </c>
      <c r="M585" t="n">
        <v>0</v>
      </c>
      <c r="N585" t="n">
        <v>0</v>
      </c>
      <c r="O585" t="n">
        <v>0</v>
      </c>
      <c r="P585" t="n">
        <v>0</v>
      </c>
      <c r="Q585" t="n">
        <v>0</v>
      </c>
      <c r="R585" s="2" t="inlineStr"/>
    </row>
    <row r="586" ht="15" customHeight="1">
      <c r="A586" t="inlineStr">
        <is>
          <t>A 34743-2023</t>
        </is>
      </c>
      <c r="B586" s="1" t="n">
        <v>45141</v>
      </c>
      <c r="C586" s="1" t="n">
        <v>45510</v>
      </c>
      <c r="D586" t="inlineStr">
        <is>
          <t>UPPSALA LÄN</t>
        </is>
      </c>
      <c r="E586" t="inlineStr">
        <is>
          <t>ENKÖPING</t>
        </is>
      </c>
      <c r="G586" t="n">
        <v>1.6</v>
      </c>
      <c r="H586" t="n">
        <v>0</v>
      </c>
      <c r="I586" t="n">
        <v>0</v>
      </c>
      <c r="J586" t="n">
        <v>0</v>
      </c>
      <c r="K586" t="n">
        <v>0</v>
      </c>
      <c r="L586" t="n">
        <v>0</v>
      </c>
      <c r="M586" t="n">
        <v>0</v>
      </c>
      <c r="N586" t="n">
        <v>0</v>
      </c>
      <c r="O586" t="n">
        <v>0</v>
      </c>
      <c r="P586" t="n">
        <v>0</v>
      </c>
      <c r="Q586" t="n">
        <v>0</v>
      </c>
      <c r="R586" s="2" t="inlineStr"/>
    </row>
    <row r="587" ht="15" customHeight="1">
      <c r="A587" t="inlineStr">
        <is>
          <t>A 34961-2023</t>
        </is>
      </c>
      <c r="B587" s="1" t="n">
        <v>45142</v>
      </c>
      <c r="C587" s="1" t="n">
        <v>45510</v>
      </c>
      <c r="D587" t="inlineStr">
        <is>
          <t>UPPSALA LÄN</t>
        </is>
      </c>
      <c r="E587" t="inlineStr">
        <is>
          <t>ENKÖPING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34960-2023</t>
        </is>
      </c>
      <c r="B588" s="1" t="n">
        <v>45142</v>
      </c>
      <c r="C588" s="1" t="n">
        <v>45510</v>
      </c>
      <c r="D588" t="inlineStr">
        <is>
          <t>UPPSALA LÄN</t>
        </is>
      </c>
      <c r="E588" t="inlineStr">
        <is>
          <t>ENKÖPING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35367-2023</t>
        </is>
      </c>
      <c r="B589" s="1" t="n">
        <v>45146</v>
      </c>
      <c r="C589" s="1" t="n">
        <v>45510</v>
      </c>
      <c r="D589" t="inlineStr">
        <is>
          <t>UPPSALA LÄN</t>
        </is>
      </c>
      <c r="E589" t="inlineStr">
        <is>
          <t>ENKÖPING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35684-2023</t>
        </is>
      </c>
      <c r="B590" s="1" t="n">
        <v>45147</v>
      </c>
      <c r="C590" s="1" t="n">
        <v>45510</v>
      </c>
      <c r="D590" t="inlineStr">
        <is>
          <t>UPPSALA LÄN</t>
        </is>
      </c>
      <c r="E590" t="inlineStr">
        <is>
          <t>ENKÖPING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37032-2023</t>
        </is>
      </c>
      <c r="B591" s="1" t="n">
        <v>45155</v>
      </c>
      <c r="C591" s="1" t="n">
        <v>45510</v>
      </c>
      <c r="D591" t="inlineStr">
        <is>
          <t>UPPSALA LÄN</t>
        </is>
      </c>
      <c r="E591" t="inlineStr">
        <is>
          <t>ENKÖPING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37035-2023</t>
        </is>
      </c>
      <c r="B592" s="1" t="n">
        <v>45155</v>
      </c>
      <c r="C592" s="1" t="n">
        <v>45510</v>
      </c>
      <c r="D592" t="inlineStr">
        <is>
          <t>UPPSALA LÄN</t>
        </is>
      </c>
      <c r="E592" t="inlineStr">
        <is>
          <t>ENKÖPING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37350-2023</t>
        </is>
      </c>
      <c r="B593" s="1" t="n">
        <v>45156</v>
      </c>
      <c r="C593" s="1" t="n">
        <v>45510</v>
      </c>
      <c r="D593" t="inlineStr">
        <is>
          <t>UPPSALA LÄN</t>
        </is>
      </c>
      <c r="E593" t="inlineStr">
        <is>
          <t>ENKÖPING</t>
        </is>
      </c>
      <c r="G593" t="n">
        <v>3.4</v>
      </c>
      <c r="H593" t="n">
        <v>0</v>
      </c>
      <c r="I593" t="n">
        <v>0</v>
      </c>
      <c r="J593" t="n">
        <v>0</v>
      </c>
      <c r="K593" t="n">
        <v>0</v>
      </c>
      <c r="L593" t="n">
        <v>0</v>
      </c>
      <c r="M593" t="n">
        <v>0</v>
      </c>
      <c r="N593" t="n">
        <v>0</v>
      </c>
      <c r="O593" t="n">
        <v>0</v>
      </c>
      <c r="P593" t="n">
        <v>0</v>
      </c>
      <c r="Q593" t="n">
        <v>0</v>
      </c>
      <c r="R593" s="2" t="inlineStr"/>
    </row>
    <row r="594" ht="15" customHeight="1">
      <c r="A594" t="inlineStr">
        <is>
          <t>A 37353-2023</t>
        </is>
      </c>
      <c r="B594" s="1" t="n">
        <v>45156</v>
      </c>
      <c r="C594" s="1" t="n">
        <v>45510</v>
      </c>
      <c r="D594" t="inlineStr">
        <is>
          <t>UPPSALA LÄN</t>
        </is>
      </c>
      <c r="E594" t="inlineStr">
        <is>
          <t>ENKÖPING</t>
        </is>
      </c>
      <c r="G594" t="n">
        <v>5.8</v>
      </c>
      <c r="H594" t="n">
        <v>0</v>
      </c>
      <c r="I594" t="n">
        <v>0</v>
      </c>
      <c r="J594" t="n">
        <v>0</v>
      </c>
      <c r="K594" t="n">
        <v>0</v>
      </c>
      <c r="L594" t="n">
        <v>0</v>
      </c>
      <c r="M594" t="n">
        <v>0</v>
      </c>
      <c r="N594" t="n">
        <v>0</v>
      </c>
      <c r="O594" t="n">
        <v>0</v>
      </c>
      <c r="P594" t="n">
        <v>0</v>
      </c>
      <c r="Q594" t="n">
        <v>0</v>
      </c>
      <c r="R594" s="2" t="inlineStr"/>
    </row>
    <row r="595" ht="15" customHeight="1">
      <c r="A595" t="inlineStr">
        <is>
          <t>A 37347-2023</t>
        </is>
      </c>
      <c r="B595" s="1" t="n">
        <v>45156</v>
      </c>
      <c r="C595" s="1" t="n">
        <v>45510</v>
      </c>
      <c r="D595" t="inlineStr">
        <is>
          <t>UPPSALA LÄN</t>
        </is>
      </c>
      <c r="E595" t="inlineStr">
        <is>
          <t>ENKÖPING</t>
        </is>
      </c>
      <c r="G595" t="n">
        <v>3.7</v>
      </c>
      <c r="H595" t="n">
        <v>0</v>
      </c>
      <c r="I595" t="n">
        <v>0</v>
      </c>
      <c r="J595" t="n">
        <v>0</v>
      </c>
      <c r="K595" t="n">
        <v>0</v>
      </c>
      <c r="L595" t="n">
        <v>0</v>
      </c>
      <c r="M595" t="n">
        <v>0</v>
      </c>
      <c r="N595" t="n">
        <v>0</v>
      </c>
      <c r="O595" t="n">
        <v>0</v>
      </c>
      <c r="P595" t="n">
        <v>0</v>
      </c>
      <c r="Q595" t="n">
        <v>0</v>
      </c>
      <c r="R595" s="2" t="inlineStr"/>
    </row>
    <row r="596" ht="15" customHeight="1">
      <c r="A596" t="inlineStr">
        <is>
          <t>A 37866-2023</t>
        </is>
      </c>
      <c r="B596" s="1" t="n">
        <v>45160</v>
      </c>
      <c r="C596" s="1" t="n">
        <v>45510</v>
      </c>
      <c r="D596" t="inlineStr">
        <is>
          <t>UPPSALA LÄN</t>
        </is>
      </c>
      <c r="E596" t="inlineStr">
        <is>
          <t>ENKÖPING</t>
        </is>
      </c>
      <c r="G596" t="n">
        <v>7.2</v>
      </c>
      <c r="H596" t="n">
        <v>0</v>
      </c>
      <c r="I596" t="n">
        <v>0</v>
      </c>
      <c r="J596" t="n">
        <v>0</v>
      </c>
      <c r="K596" t="n">
        <v>0</v>
      </c>
      <c r="L596" t="n">
        <v>0</v>
      </c>
      <c r="M596" t="n">
        <v>0</v>
      </c>
      <c r="N596" t="n">
        <v>0</v>
      </c>
      <c r="O596" t="n">
        <v>0</v>
      </c>
      <c r="P596" t="n">
        <v>0</v>
      </c>
      <c r="Q596" t="n">
        <v>0</v>
      </c>
      <c r="R596" s="2" t="inlineStr"/>
    </row>
    <row r="597" ht="15" customHeight="1">
      <c r="A597" t="inlineStr">
        <is>
          <t>A 37870-2023</t>
        </is>
      </c>
      <c r="B597" s="1" t="n">
        <v>45160</v>
      </c>
      <c r="C597" s="1" t="n">
        <v>45510</v>
      </c>
      <c r="D597" t="inlineStr">
        <is>
          <t>UPPSALA LÄN</t>
        </is>
      </c>
      <c r="E597" t="inlineStr">
        <is>
          <t>ENKÖPING</t>
        </is>
      </c>
      <c r="G597" t="n">
        <v>3.5</v>
      </c>
      <c r="H597" t="n">
        <v>0</v>
      </c>
      <c r="I597" t="n">
        <v>0</v>
      </c>
      <c r="J597" t="n">
        <v>0</v>
      </c>
      <c r="K597" t="n">
        <v>0</v>
      </c>
      <c r="L597" t="n">
        <v>0</v>
      </c>
      <c r="M597" t="n">
        <v>0</v>
      </c>
      <c r="N597" t="n">
        <v>0</v>
      </c>
      <c r="O597" t="n">
        <v>0</v>
      </c>
      <c r="P597" t="n">
        <v>0</v>
      </c>
      <c r="Q597" t="n">
        <v>0</v>
      </c>
      <c r="R597" s="2" t="inlineStr"/>
    </row>
    <row r="598" ht="15" customHeight="1">
      <c r="A598" t="inlineStr">
        <is>
          <t>A 39624-2023</t>
        </is>
      </c>
      <c r="B598" s="1" t="n">
        <v>45164</v>
      </c>
      <c r="C598" s="1" t="n">
        <v>45510</v>
      </c>
      <c r="D598" t="inlineStr">
        <is>
          <t>UPPSALA LÄN</t>
        </is>
      </c>
      <c r="E598" t="inlineStr">
        <is>
          <t>ENKÖPING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40306-2023</t>
        </is>
      </c>
      <c r="B599" s="1" t="n">
        <v>45169</v>
      </c>
      <c r="C599" s="1" t="n">
        <v>45510</v>
      </c>
      <c r="D599" t="inlineStr">
        <is>
          <t>UPPSALA LÄN</t>
        </is>
      </c>
      <c r="E599" t="inlineStr">
        <is>
          <t>ENKÖPING</t>
        </is>
      </c>
      <c r="G599" t="n">
        <v>3.1</v>
      </c>
      <c r="H599" t="n">
        <v>0</v>
      </c>
      <c r="I599" t="n">
        <v>0</v>
      </c>
      <c r="J599" t="n">
        <v>0</v>
      </c>
      <c r="K599" t="n">
        <v>0</v>
      </c>
      <c r="L599" t="n">
        <v>0</v>
      </c>
      <c r="M599" t="n">
        <v>0</v>
      </c>
      <c r="N599" t="n">
        <v>0</v>
      </c>
      <c r="O599" t="n">
        <v>0</v>
      </c>
      <c r="P599" t="n">
        <v>0</v>
      </c>
      <c r="Q599" t="n">
        <v>0</v>
      </c>
      <c r="R599" s="2" t="inlineStr"/>
    </row>
    <row r="600" ht="15" customHeight="1">
      <c r="A600" t="inlineStr">
        <is>
          <t>A 41478-2023</t>
        </is>
      </c>
      <c r="B600" s="1" t="n">
        <v>45173</v>
      </c>
      <c r="C600" s="1" t="n">
        <v>45510</v>
      </c>
      <c r="D600" t="inlineStr">
        <is>
          <t>UPPSALA LÄN</t>
        </is>
      </c>
      <c r="E600" t="inlineStr">
        <is>
          <t>ENKÖPING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41549-2023</t>
        </is>
      </c>
      <c r="B601" s="1" t="n">
        <v>45173</v>
      </c>
      <c r="C601" s="1" t="n">
        <v>45510</v>
      </c>
      <c r="D601" t="inlineStr">
        <is>
          <t>UPPSALA LÄN</t>
        </is>
      </c>
      <c r="E601" t="inlineStr">
        <is>
          <t>ENKÖPING</t>
        </is>
      </c>
      <c r="G601" t="n">
        <v>4.5</v>
      </c>
      <c r="H601" t="n">
        <v>0</v>
      </c>
      <c r="I601" t="n">
        <v>0</v>
      </c>
      <c r="J601" t="n">
        <v>0</v>
      </c>
      <c r="K601" t="n">
        <v>0</v>
      </c>
      <c r="L601" t="n">
        <v>0</v>
      </c>
      <c r="M601" t="n">
        <v>0</v>
      </c>
      <c r="N601" t="n">
        <v>0</v>
      </c>
      <c r="O601" t="n">
        <v>0</v>
      </c>
      <c r="P601" t="n">
        <v>0</v>
      </c>
      <c r="Q601" t="n">
        <v>0</v>
      </c>
      <c r="R601" s="2" t="inlineStr"/>
    </row>
    <row r="602" ht="15" customHeight="1">
      <c r="A602" t="inlineStr">
        <is>
          <t>A 41945-2023</t>
        </is>
      </c>
      <c r="B602" s="1" t="n">
        <v>45177</v>
      </c>
      <c r="C602" s="1" t="n">
        <v>45510</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43494-2023</t>
        </is>
      </c>
      <c r="B603" s="1" t="n">
        <v>45181</v>
      </c>
      <c r="C603" s="1" t="n">
        <v>45510</v>
      </c>
      <c r="D603" t="inlineStr">
        <is>
          <t>UPPSALA LÄN</t>
        </is>
      </c>
      <c r="E603" t="inlineStr">
        <is>
          <t>ENKÖPING</t>
        </is>
      </c>
      <c r="G603" t="n">
        <v>2.5</v>
      </c>
      <c r="H603" t="n">
        <v>0</v>
      </c>
      <c r="I603" t="n">
        <v>0</v>
      </c>
      <c r="J603" t="n">
        <v>0</v>
      </c>
      <c r="K603" t="n">
        <v>0</v>
      </c>
      <c r="L603" t="n">
        <v>0</v>
      </c>
      <c r="M603" t="n">
        <v>0</v>
      </c>
      <c r="N603" t="n">
        <v>0</v>
      </c>
      <c r="O603" t="n">
        <v>0</v>
      </c>
      <c r="P603" t="n">
        <v>0</v>
      </c>
      <c r="Q603" t="n">
        <v>0</v>
      </c>
      <c r="R603" s="2" t="inlineStr"/>
    </row>
    <row r="604" ht="15" customHeight="1">
      <c r="A604" t="inlineStr">
        <is>
          <t>A 43510-2023</t>
        </is>
      </c>
      <c r="B604" s="1" t="n">
        <v>45181</v>
      </c>
      <c r="C604" s="1" t="n">
        <v>45510</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43506-2023</t>
        </is>
      </c>
      <c r="B605" s="1" t="n">
        <v>45181</v>
      </c>
      <c r="C605" s="1" t="n">
        <v>45510</v>
      </c>
      <c r="D605" t="inlineStr">
        <is>
          <t>UPPSALA LÄN</t>
        </is>
      </c>
      <c r="E605" t="inlineStr">
        <is>
          <t>ENKÖPING</t>
        </is>
      </c>
      <c r="G605" t="n">
        <v>0.5</v>
      </c>
      <c r="H605" t="n">
        <v>0</v>
      </c>
      <c r="I605" t="n">
        <v>0</v>
      </c>
      <c r="J605" t="n">
        <v>0</v>
      </c>
      <c r="K605" t="n">
        <v>0</v>
      </c>
      <c r="L605" t="n">
        <v>0</v>
      </c>
      <c r="M605" t="n">
        <v>0</v>
      </c>
      <c r="N605" t="n">
        <v>0</v>
      </c>
      <c r="O605" t="n">
        <v>0</v>
      </c>
      <c r="P605" t="n">
        <v>0</v>
      </c>
      <c r="Q605" t="n">
        <v>0</v>
      </c>
      <c r="R605" s="2" t="inlineStr"/>
    </row>
    <row r="606" ht="15" customHeight="1">
      <c r="A606" t="inlineStr">
        <is>
          <t>A 43488-2023</t>
        </is>
      </c>
      <c r="B606" s="1" t="n">
        <v>45181</v>
      </c>
      <c r="C606" s="1" t="n">
        <v>45510</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43492-2023</t>
        </is>
      </c>
      <c r="B607" s="1" t="n">
        <v>45181</v>
      </c>
      <c r="C607" s="1" t="n">
        <v>45510</v>
      </c>
      <c r="D607" t="inlineStr">
        <is>
          <t>UPPSALA LÄN</t>
        </is>
      </c>
      <c r="E607" t="inlineStr">
        <is>
          <t>ENKÖPING</t>
        </is>
      </c>
      <c r="G607" t="n">
        <v>1.6</v>
      </c>
      <c r="H607" t="n">
        <v>0</v>
      </c>
      <c r="I607" t="n">
        <v>0</v>
      </c>
      <c r="J607" t="n">
        <v>0</v>
      </c>
      <c r="K607" t="n">
        <v>0</v>
      </c>
      <c r="L607" t="n">
        <v>0</v>
      </c>
      <c r="M607" t="n">
        <v>0</v>
      </c>
      <c r="N607" t="n">
        <v>0</v>
      </c>
      <c r="O607" t="n">
        <v>0</v>
      </c>
      <c r="P607" t="n">
        <v>0</v>
      </c>
      <c r="Q607" t="n">
        <v>0</v>
      </c>
      <c r="R607" s="2" t="inlineStr"/>
    </row>
    <row r="608" ht="15" customHeight="1">
      <c r="A608" t="inlineStr">
        <is>
          <t>A 43499-2023</t>
        </is>
      </c>
      <c r="B608" s="1" t="n">
        <v>45181</v>
      </c>
      <c r="C608" s="1" t="n">
        <v>45510</v>
      </c>
      <c r="D608" t="inlineStr">
        <is>
          <t>UPPSALA LÄN</t>
        </is>
      </c>
      <c r="E608" t="inlineStr">
        <is>
          <t>ENKÖPING</t>
        </is>
      </c>
      <c r="G608" t="n">
        <v>7.3</v>
      </c>
      <c r="H608" t="n">
        <v>0</v>
      </c>
      <c r="I608" t="n">
        <v>0</v>
      </c>
      <c r="J608" t="n">
        <v>0</v>
      </c>
      <c r="K608" t="n">
        <v>0</v>
      </c>
      <c r="L608" t="n">
        <v>0</v>
      </c>
      <c r="M608" t="n">
        <v>0</v>
      </c>
      <c r="N608" t="n">
        <v>0</v>
      </c>
      <c r="O608" t="n">
        <v>0</v>
      </c>
      <c r="P608" t="n">
        <v>0</v>
      </c>
      <c r="Q608" t="n">
        <v>0</v>
      </c>
      <c r="R608" s="2" t="inlineStr"/>
    </row>
    <row r="609" ht="15" customHeight="1">
      <c r="A609" t="inlineStr">
        <is>
          <t>A 43230-2023</t>
        </is>
      </c>
      <c r="B609" s="1" t="n">
        <v>45183</v>
      </c>
      <c r="C609" s="1" t="n">
        <v>45510</v>
      </c>
      <c r="D609" t="inlineStr">
        <is>
          <t>UPPSALA LÄN</t>
        </is>
      </c>
      <c r="E609" t="inlineStr">
        <is>
          <t>ENKÖPING</t>
        </is>
      </c>
      <c r="G609" t="n">
        <v>2.1</v>
      </c>
      <c r="H609" t="n">
        <v>0</v>
      </c>
      <c r="I609" t="n">
        <v>0</v>
      </c>
      <c r="J609" t="n">
        <v>0</v>
      </c>
      <c r="K609" t="n">
        <v>0</v>
      </c>
      <c r="L609" t="n">
        <v>0</v>
      </c>
      <c r="M609" t="n">
        <v>0</v>
      </c>
      <c r="N609" t="n">
        <v>0</v>
      </c>
      <c r="O609" t="n">
        <v>0</v>
      </c>
      <c r="P609" t="n">
        <v>0</v>
      </c>
      <c r="Q609" t="n">
        <v>0</v>
      </c>
      <c r="R609" s="2" t="inlineStr"/>
    </row>
    <row r="610" ht="15" customHeight="1">
      <c r="A610" t="inlineStr">
        <is>
          <t>A 44131-2023</t>
        </is>
      </c>
      <c r="B610" s="1" t="n">
        <v>45188</v>
      </c>
      <c r="C610" s="1" t="n">
        <v>45510</v>
      </c>
      <c r="D610" t="inlineStr">
        <is>
          <t>UPPSALA LÄN</t>
        </is>
      </c>
      <c r="E610" t="inlineStr">
        <is>
          <t>ENKÖPING</t>
        </is>
      </c>
      <c r="G610" t="n">
        <v>0.3</v>
      </c>
      <c r="H610" t="n">
        <v>0</v>
      </c>
      <c r="I610" t="n">
        <v>0</v>
      </c>
      <c r="J610" t="n">
        <v>0</v>
      </c>
      <c r="K610" t="n">
        <v>0</v>
      </c>
      <c r="L610" t="n">
        <v>0</v>
      </c>
      <c r="M610" t="n">
        <v>0</v>
      </c>
      <c r="N610" t="n">
        <v>0</v>
      </c>
      <c r="O610" t="n">
        <v>0</v>
      </c>
      <c r="P610" t="n">
        <v>0</v>
      </c>
      <c r="Q610" t="n">
        <v>0</v>
      </c>
      <c r="R610" s="2" t="inlineStr"/>
    </row>
    <row r="611" ht="15" customHeight="1">
      <c r="A611" t="inlineStr">
        <is>
          <t>A 44326-2023</t>
        </is>
      </c>
      <c r="B611" s="1" t="n">
        <v>45188</v>
      </c>
      <c r="C611" s="1" t="n">
        <v>45510</v>
      </c>
      <c r="D611" t="inlineStr">
        <is>
          <t>UPPSALA LÄN</t>
        </is>
      </c>
      <c r="E611" t="inlineStr">
        <is>
          <t>ENKÖPING</t>
        </is>
      </c>
      <c r="G611" t="n">
        <v>2.3</v>
      </c>
      <c r="H611" t="n">
        <v>0</v>
      </c>
      <c r="I611" t="n">
        <v>0</v>
      </c>
      <c r="J611" t="n">
        <v>0</v>
      </c>
      <c r="K611" t="n">
        <v>0</v>
      </c>
      <c r="L611" t="n">
        <v>0</v>
      </c>
      <c r="M611" t="n">
        <v>0</v>
      </c>
      <c r="N611" t="n">
        <v>0</v>
      </c>
      <c r="O611" t="n">
        <v>0</v>
      </c>
      <c r="P611" t="n">
        <v>0</v>
      </c>
      <c r="Q611" t="n">
        <v>0</v>
      </c>
      <c r="R611" s="2" t="inlineStr"/>
    </row>
    <row r="612" ht="15" customHeight="1">
      <c r="A612" t="inlineStr">
        <is>
          <t>A 46103-2023</t>
        </is>
      </c>
      <c r="B612" s="1" t="n">
        <v>45190</v>
      </c>
      <c r="C612" s="1" t="n">
        <v>45510</v>
      </c>
      <c r="D612" t="inlineStr">
        <is>
          <t>UPPSALA LÄN</t>
        </is>
      </c>
      <c r="E612" t="inlineStr">
        <is>
          <t>ENKÖPING</t>
        </is>
      </c>
      <c r="G612" t="n">
        <v>4.6</v>
      </c>
      <c r="H612" t="n">
        <v>0</v>
      </c>
      <c r="I612" t="n">
        <v>0</v>
      </c>
      <c r="J612" t="n">
        <v>0</v>
      </c>
      <c r="K612" t="n">
        <v>0</v>
      </c>
      <c r="L612" t="n">
        <v>0</v>
      </c>
      <c r="M612" t="n">
        <v>0</v>
      </c>
      <c r="N612" t="n">
        <v>0</v>
      </c>
      <c r="O612" t="n">
        <v>0</v>
      </c>
      <c r="P612" t="n">
        <v>0</v>
      </c>
      <c r="Q612" t="n">
        <v>0</v>
      </c>
      <c r="R612" s="2" t="inlineStr"/>
    </row>
    <row r="613" ht="15" customHeight="1">
      <c r="A613" t="inlineStr">
        <is>
          <t>A 45058-2023</t>
        </is>
      </c>
      <c r="B613" s="1" t="n">
        <v>45191</v>
      </c>
      <c r="C613" s="1" t="n">
        <v>45510</v>
      </c>
      <c r="D613" t="inlineStr">
        <is>
          <t>UPPSALA LÄN</t>
        </is>
      </c>
      <c r="E613" t="inlineStr">
        <is>
          <t>ENKÖPING</t>
        </is>
      </c>
      <c r="G613" t="n">
        <v>2.7</v>
      </c>
      <c r="H613" t="n">
        <v>0</v>
      </c>
      <c r="I613" t="n">
        <v>0</v>
      </c>
      <c r="J613" t="n">
        <v>0</v>
      </c>
      <c r="K613" t="n">
        <v>0</v>
      </c>
      <c r="L613" t="n">
        <v>0</v>
      </c>
      <c r="M613" t="n">
        <v>0</v>
      </c>
      <c r="N613" t="n">
        <v>0</v>
      </c>
      <c r="O613" t="n">
        <v>0</v>
      </c>
      <c r="P613" t="n">
        <v>0</v>
      </c>
      <c r="Q613" t="n">
        <v>0</v>
      </c>
      <c r="R613" s="2" t="inlineStr"/>
    </row>
    <row r="614" ht="15" customHeight="1">
      <c r="A614" t="inlineStr">
        <is>
          <t>A 45142-2023</t>
        </is>
      </c>
      <c r="B614" s="1" t="n">
        <v>45191</v>
      </c>
      <c r="C614" s="1" t="n">
        <v>45510</v>
      </c>
      <c r="D614" t="inlineStr">
        <is>
          <t>UPPSALA LÄN</t>
        </is>
      </c>
      <c r="E614" t="inlineStr">
        <is>
          <t>ENKÖPING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45095-2023</t>
        </is>
      </c>
      <c r="B615" s="1" t="n">
        <v>45191</v>
      </c>
      <c r="C615" s="1" t="n">
        <v>45510</v>
      </c>
      <c r="D615" t="inlineStr">
        <is>
          <t>UPPSALA LÄN</t>
        </is>
      </c>
      <c r="E615" t="inlineStr">
        <is>
          <t>ENKÖPING</t>
        </is>
      </c>
      <c r="G615" t="n">
        <v>4.1</v>
      </c>
      <c r="H615" t="n">
        <v>0</v>
      </c>
      <c r="I615" t="n">
        <v>0</v>
      </c>
      <c r="J615" t="n">
        <v>0</v>
      </c>
      <c r="K615" t="n">
        <v>0</v>
      </c>
      <c r="L615" t="n">
        <v>0</v>
      </c>
      <c r="M615" t="n">
        <v>0</v>
      </c>
      <c r="N615" t="n">
        <v>0</v>
      </c>
      <c r="O615" t="n">
        <v>0</v>
      </c>
      <c r="P615" t="n">
        <v>0</v>
      </c>
      <c r="Q615" t="n">
        <v>0</v>
      </c>
      <c r="R615" s="2" t="inlineStr"/>
    </row>
    <row r="616" ht="15" customHeight="1">
      <c r="A616" t="inlineStr">
        <is>
          <t>A 45208-2023</t>
        </is>
      </c>
      <c r="B616" s="1" t="n">
        <v>45191</v>
      </c>
      <c r="C616" s="1" t="n">
        <v>45510</v>
      </c>
      <c r="D616" t="inlineStr">
        <is>
          <t>UPPSALA LÄN</t>
        </is>
      </c>
      <c r="E616" t="inlineStr">
        <is>
          <t>ENKÖPING</t>
        </is>
      </c>
      <c r="G616" t="n">
        <v>2.7</v>
      </c>
      <c r="H616" t="n">
        <v>0</v>
      </c>
      <c r="I616" t="n">
        <v>0</v>
      </c>
      <c r="J616" t="n">
        <v>0</v>
      </c>
      <c r="K616" t="n">
        <v>0</v>
      </c>
      <c r="L616" t="n">
        <v>0</v>
      </c>
      <c r="M616" t="n">
        <v>0</v>
      </c>
      <c r="N616" t="n">
        <v>0</v>
      </c>
      <c r="O616" t="n">
        <v>0</v>
      </c>
      <c r="P616" t="n">
        <v>0</v>
      </c>
      <c r="Q616" t="n">
        <v>0</v>
      </c>
      <c r="R616" s="2" t="inlineStr"/>
    </row>
    <row r="617" ht="15" customHeight="1">
      <c r="A617" t="inlineStr">
        <is>
          <t>A 46186-2023</t>
        </is>
      </c>
      <c r="B617" s="1" t="n">
        <v>45196</v>
      </c>
      <c r="C617" s="1" t="n">
        <v>45510</v>
      </c>
      <c r="D617" t="inlineStr">
        <is>
          <t>UPPSALA LÄN</t>
        </is>
      </c>
      <c r="E617" t="inlineStr">
        <is>
          <t>ENKÖPING</t>
        </is>
      </c>
      <c r="G617" t="n">
        <v>0.8</v>
      </c>
      <c r="H617" t="n">
        <v>0</v>
      </c>
      <c r="I617" t="n">
        <v>0</v>
      </c>
      <c r="J617" t="n">
        <v>0</v>
      </c>
      <c r="K617" t="n">
        <v>0</v>
      </c>
      <c r="L617" t="n">
        <v>0</v>
      </c>
      <c r="M617" t="n">
        <v>0</v>
      </c>
      <c r="N617" t="n">
        <v>0</v>
      </c>
      <c r="O617" t="n">
        <v>0</v>
      </c>
      <c r="P617" t="n">
        <v>0</v>
      </c>
      <c r="Q617" t="n">
        <v>0</v>
      </c>
      <c r="R617" s="2" t="inlineStr"/>
    </row>
    <row r="618" ht="15" customHeight="1">
      <c r="A618" t="inlineStr">
        <is>
          <t>A 47428-2023</t>
        </is>
      </c>
      <c r="B618" s="1" t="n">
        <v>45202</v>
      </c>
      <c r="C618" s="1" t="n">
        <v>45510</v>
      </c>
      <c r="D618" t="inlineStr">
        <is>
          <t>UPPSALA LÄN</t>
        </is>
      </c>
      <c r="E618" t="inlineStr">
        <is>
          <t>ENKÖPING</t>
        </is>
      </c>
      <c r="G618" t="n">
        <v>3</v>
      </c>
      <c r="H618" t="n">
        <v>0</v>
      </c>
      <c r="I618" t="n">
        <v>0</v>
      </c>
      <c r="J618" t="n">
        <v>0</v>
      </c>
      <c r="K618" t="n">
        <v>0</v>
      </c>
      <c r="L618" t="n">
        <v>0</v>
      </c>
      <c r="M618" t="n">
        <v>0</v>
      </c>
      <c r="N618" t="n">
        <v>0</v>
      </c>
      <c r="O618" t="n">
        <v>0</v>
      </c>
      <c r="P618" t="n">
        <v>0</v>
      </c>
      <c r="Q618" t="n">
        <v>0</v>
      </c>
      <c r="R618" s="2" t="inlineStr"/>
    </row>
    <row r="619" ht="15" customHeight="1">
      <c r="A619" t="inlineStr">
        <is>
          <t>A 47553-2023</t>
        </is>
      </c>
      <c r="B619" s="1" t="n">
        <v>45203</v>
      </c>
      <c r="C619" s="1" t="n">
        <v>45510</v>
      </c>
      <c r="D619" t="inlineStr">
        <is>
          <t>UPPSALA LÄN</t>
        </is>
      </c>
      <c r="E619" t="inlineStr">
        <is>
          <t>ENKÖPING</t>
        </is>
      </c>
      <c r="G619" t="n">
        <v>13.3</v>
      </c>
      <c r="H619" t="n">
        <v>0</v>
      </c>
      <c r="I619" t="n">
        <v>0</v>
      </c>
      <c r="J619" t="n">
        <v>0</v>
      </c>
      <c r="K619" t="n">
        <v>0</v>
      </c>
      <c r="L619" t="n">
        <v>0</v>
      </c>
      <c r="M619" t="n">
        <v>0</v>
      </c>
      <c r="N619" t="n">
        <v>0</v>
      </c>
      <c r="O619" t="n">
        <v>0</v>
      </c>
      <c r="P619" t="n">
        <v>0</v>
      </c>
      <c r="Q619" t="n">
        <v>0</v>
      </c>
      <c r="R619" s="2" t="inlineStr"/>
    </row>
    <row r="620" ht="15" customHeight="1">
      <c r="A620" t="inlineStr">
        <is>
          <t>A 48843-2023</t>
        </is>
      </c>
      <c r="B620" s="1" t="n">
        <v>45209</v>
      </c>
      <c r="C620" s="1" t="n">
        <v>45510</v>
      </c>
      <c r="D620" t="inlineStr">
        <is>
          <t>UPPSALA LÄN</t>
        </is>
      </c>
      <c r="E620" t="inlineStr">
        <is>
          <t>ENKÖPING</t>
        </is>
      </c>
      <c r="G620" t="n">
        <v>1.3</v>
      </c>
      <c r="H620" t="n">
        <v>0</v>
      </c>
      <c r="I620" t="n">
        <v>0</v>
      </c>
      <c r="J620" t="n">
        <v>0</v>
      </c>
      <c r="K620" t="n">
        <v>0</v>
      </c>
      <c r="L620" t="n">
        <v>0</v>
      </c>
      <c r="M620" t="n">
        <v>0</v>
      </c>
      <c r="N620" t="n">
        <v>0</v>
      </c>
      <c r="O620" t="n">
        <v>0</v>
      </c>
      <c r="P620" t="n">
        <v>0</v>
      </c>
      <c r="Q620" t="n">
        <v>0</v>
      </c>
      <c r="R620" s="2" t="inlineStr"/>
    </row>
    <row r="621" ht="15" customHeight="1">
      <c r="A621" t="inlineStr">
        <is>
          <t>A 50006-2023</t>
        </is>
      </c>
      <c r="B621" s="1" t="n">
        <v>45215</v>
      </c>
      <c r="C621" s="1" t="n">
        <v>45510</v>
      </c>
      <c r="D621" t="inlineStr">
        <is>
          <t>UPPSALA LÄN</t>
        </is>
      </c>
      <c r="E621" t="inlineStr">
        <is>
          <t>ENKÖPING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50419-2023</t>
        </is>
      </c>
      <c r="B622" s="1" t="n">
        <v>45216</v>
      </c>
      <c r="C622" s="1" t="n">
        <v>45510</v>
      </c>
      <c r="D622" t="inlineStr">
        <is>
          <t>UPPSALA LÄN</t>
        </is>
      </c>
      <c r="E622" t="inlineStr">
        <is>
          <t>ENKÖPING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51120-2023</t>
        </is>
      </c>
      <c r="B623" s="1" t="n">
        <v>45219</v>
      </c>
      <c r="C623" s="1" t="n">
        <v>45510</v>
      </c>
      <c r="D623" t="inlineStr">
        <is>
          <t>UPPSALA LÄN</t>
        </is>
      </c>
      <c r="E623" t="inlineStr">
        <is>
          <t>ENKÖPING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51313-2023</t>
        </is>
      </c>
      <c r="B624" s="1" t="n">
        <v>45219</v>
      </c>
      <c r="C624" s="1" t="n">
        <v>45510</v>
      </c>
      <c r="D624" t="inlineStr">
        <is>
          <t>UPPSALA LÄN</t>
        </is>
      </c>
      <c r="E624" t="inlineStr">
        <is>
          <t>ENKÖPING</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51688-2023</t>
        </is>
      </c>
      <c r="B625" s="1" t="n">
        <v>45222</v>
      </c>
      <c r="C625" s="1" t="n">
        <v>45510</v>
      </c>
      <c r="D625" t="inlineStr">
        <is>
          <t>UPPSALA LÄN</t>
        </is>
      </c>
      <c r="E625" t="inlineStr">
        <is>
          <t>ENKÖPING</t>
        </is>
      </c>
      <c r="G625" t="n">
        <v>2</v>
      </c>
      <c r="H625" t="n">
        <v>0</v>
      </c>
      <c r="I625" t="n">
        <v>0</v>
      </c>
      <c r="J625" t="n">
        <v>0</v>
      </c>
      <c r="K625" t="n">
        <v>0</v>
      </c>
      <c r="L625" t="n">
        <v>0</v>
      </c>
      <c r="M625" t="n">
        <v>0</v>
      </c>
      <c r="N625" t="n">
        <v>0</v>
      </c>
      <c r="O625" t="n">
        <v>0</v>
      </c>
      <c r="P625" t="n">
        <v>0</v>
      </c>
      <c r="Q625" t="n">
        <v>0</v>
      </c>
      <c r="R625" s="2" t="inlineStr"/>
    </row>
    <row r="626" ht="15" customHeight="1">
      <c r="A626" t="inlineStr">
        <is>
          <t>A 51835-2023</t>
        </is>
      </c>
      <c r="B626" s="1" t="n">
        <v>45223</v>
      </c>
      <c r="C626" s="1" t="n">
        <v>45510</v>
      </c>
      <c r="D626" t="inlineStr">
        <is>
          <t>UPPSALA LÄN</t>
        </is>
      </c>
      <c r="E626" t="inlineStr">
        <is>
          <t>ENKÖPING</t>
        </is>
      </c>
      <c r="G626" t="n">
        <v>4.7</v>
      </c>
      <c r="H626" t="n">
        <v>0</v>
      </c>
      <c r="I626" t="n">
        <v>0</v>
      </c>
      <c r="J626" t="n">
        <v>0</v>
      </c>
      <c r="K626" t="n">
        <v>0</v>
      </c>
      <c r="L626" t="n">
        <v>0</v>
      </c>
      <c r="M626" t="n">
        <v>0</v>
      </c>
      <c r="N626" t="n">
        <v>0</v>
      </c>
      <c r="O626" t="n">
        <v>0</v>
      </c>
      <c r="P626" t="n">
        <v>0</v>
      </c>
      <c r="Q626" t="n">
        <v>0</v>
      </c>
      <c r="R626" s="2" t="inlineStr"/>
    </row>
    <row r="627" ht="15" customHeight="1">
      <c r="A627" t="inlineStr">
        <is>
          <t>A 53595-2023</t>
        </is>
      </c>
      <c r="B627" s="1" t="n">
        <v>45223</v>
      </c>
      <c r="C627" s="1" t="n">
        <v>45510</v>
      </c>
      <c r="D627" t="inlineStr">
        <is>
          <t>UPPSALA LÄN</t>
        </is>
      </c>
      <c r="E627" t="inlineStr">
        <is>
          <t>ENKÖPING</t>
        </is>
      </c>
      <c r="G627" t="n">
        <v>2.6</v>
      </c>
      <c r="H627" t="n">
        <v>0</v>
      </c>
      <c r="I627" t="n">
        <v>0</v>
      </c>
      <c r="J627" t="n">
        <v>0</v>
      </c>
      <c r="K627" t="n">
        <v>0</v>
      </c>
      <c r="L627" t="n">
        <v>0</v>
      </c>
      <c r="M627" t="n">
        <v>0</v>
      </c>
      <c r="N627" t="n">
        <v>0</v>
      </c>
      <c r="O627" t="n">
        <v>0</v>
      </c>
      <c r="P627" t="n">
        <v>0</v>
      </c>
      <c r="Q627" t="n">
        <v>0</v>
      </c>
      <c r="R627" s="2" t="inlineStr"/>
    </row>
    <row r="628" ht="15" customHeight="1">
      <c r="A628" t="inlineStr">
        <is>
          <t>A 52299-2023</t>
        </is>
      </c>
      <c r="B628" s="1" t="n">
        <v>45224</v>
      </c>
      <c r="C628" s="1" t="n">
        <v>45510</v>
      </c>
      <c r="D628" t="inlineStr">
        <is>
          <t>UPPSALA LÄN</t>
        </is>
      </c>
      <c r="E628" t="inlineStr">
        <is>
          <t>ENKÖPING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52366-2023</t>
        </is>
      </c>
      <c r="B629" s="1" t="n">
        <v>45224</v>
      </c>
      <c r="C629" s="1" t="n">
        <v>45510</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54356-2023</t>
        </is>
      </c>
      <c r="B630" s="1" t="n">
        <v>45225</v>
      </c>
      <c r="C630" s="1" t="n">
        <v>45510</v>
      </c>
      <c r="D630" t="inlineStr">
        <is>
          <t>UPPSALA LÄN</t>
        </is>
      </c>
      <c r="E630" t="inlineStr">
        <is>
          <t>ENKÖPING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54357-2023</t>
        </is>
      </c>
      <c r="B631" s="1" t="n">
        <v>45225</v>
      </c>
      <c r="C631" s="1" t="n">
        <v>45510</v>
      </c>
      <c r="D631" t="inlineStr">
        <is>
          <t>UPPSALA LÄN</t>
        </is>
      </c>
      <c r="E631" t="inlineStr">
        <is>
          <t>ENKÖPING</t>
        </is>
      </c>
      <c r="G631" t="n">
        <v>1.8</v>
      </c>
      <c r="H631" t="n">
        <v>0</v>
      </c>
      <c r="I631" t="n">
        <v>0</v>
      </c>
      <c r="J631" t="n">
        <v>0</v>
      </c>
      <c r="K631" t="n">
        <v>0</v>
      </c>
      <c r="L631" t="n">
        <v>0</v>
      </c>
      <c r="M631" t="n">
        <v>0</v>
      </c>
      <c r="N631" t="n">
        <v>0</v>
      </c>
      <c r="O631" t="n">
        <v>0</v>
      </c>
      <c r="P631" t="n">
        <v>0</v>
      </c>
      <c r="Q631" t="n">
        <v>0</v>
      </c>
      <c r="R631" s="2" t="inlineStr"/>
    </row>
    <row r="632" ht="15" customHeight="1">
      <c r="A632" t="inlineStr">
        <is>
          <t>A 53208-2023</t>
        </is>
      </c>
      <c r="B632" s="1" t="n">
        <v>45226</v>
      </c>
      <c r="C632" s="1" t="n">
        <v>45510</v>
      </c>
      <c r="D632" t="inlineStr">
        <is>
          <t>UPPSALA LÄN</t>
        </is>
      </c>
      <c r="E632" t="inlineStr">
        <is>
          <t>ENKÖPING</t>
        </is>
      </c>
      <c r="G632" t="n">
        <v>4.3</v>
      </c>
      <c r="H632" t="n">
        <v>0</v>
      </c>
      <c r="I632" t="n">
        <v>0</v>
      </c>
      <c r="J632" t="n">
        <v>0</v>
      </c>
      <c r="K632" t="n">
        <v>0</v>
      </c>
      <c r="L632" t="n">
        <v>0</v>
      </c>
      <c r="M632" t="n">
        <v>0</v>
      </c>
      <c r="N632" t="n">
        <v>0</v>
      </c>
      <c r="O632" t="n">
        <v>0</v>
      </c>
      <c r="P632" t="n">
        <v>0</v>
      </c>
      <c r="Q632" t="n">
        <v>0</v>
      </c>
      <c r="R632" s="2" t="inlineStr"/>
    </row>
    <row r="633" ht="15" customHeight="1">
      <c r="A633" t="inlineStr">
        <is>
          <t>A 53333-2023</t>
        </is>
      </c>
      <c r="B633" s="1" t="n">
        <v>45229</v>
      </c>
      <c r="C633" s="1" t="n">
        <v>45510</v>
      </c>
      <c r="D633" t="inlineStr">
        <is>
          <t>UPPSALA LÄN</t>
        </is>
      </c>
      <c r="E633" t="inlineStr">
        <is>
          <t>ENKÖPING</t>
        </is>
      </c>
      <c r="G633" t="n">
        <v>3.6</v>
      </c>
      <c r="H633" t="n">
        <v>0</v>
      </c>
      <c r="I633" t="n">
        <v>0</v>
      </c>
      <c r="J633" t="n">
        <v>0</v>
      </c>
      <c r="K633" t="n">
        <v>0</v>
      </c>
      <c r="L633" t="n">
        <v>0</v>
      </c>
      <c r="M633" t="n">
        <v>0</v>
      </c>
      <c r="N633" t="n">
        <v>0</v>
      </c>
      <c r="O633" t="n">
        <v>0</v>
      </c>
      <c r="P633" t="n">
        <v>0</v>
      </c>
      <c r="Q633" t="n">
        <v>0</v>
      </c>
      <c r="R633" s="2" t="inlineStr"/>
    </row>
    <row r="634" ht="15" customHeight="1">
      <c r="A634" t="inlineStr">
        <is>
          <t>A 53338-2023</t>
        </is>
      </c>
      <c r="B634" s="1" t="n">
        <v>45229</v>
      </c>
      <c r="C634" s="1" t="n">
        <v>45510</v>
      </c>
      <c r="D634" t="inlineStr">
        <is>
          <t>UPPSALA LÄN</t>
        </is>
      </c>
      <c r="E634" t="inlineStr">
        <is>
          <t>ENKÖPING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53607-2023</t>
        </is>
      </c>
      <c r="B635" s="1" t="n">
        <v>45230</v>
      </c>
      <c r="C635" s="1" t="n">
        <v>45510</v>
      </c>
      <c r="D635" t="inlineStr">
        <is>
          <t>UPPSALA LÄN</t>
        </is>
      </c>
      <c r="E635" t="inlineStr">
        <is>
          <t>ENKÖPING</t>
        </is>
      </c>
      <c r="F635" t="inlineStr">
        <is>
          <t>Allmännings- och besparingsskogar</t>
        </is>
      </c>
      <c r="G635" t="n">
        <v>6.3</v>
      </c>
      <c r="H635" t="n">
        <v>0</v>
      </c>
      <c r="I635" t="n">
        <v>0</v>
      </c>
      <c r="J635" t="n">
        <v>0</v>
      </c>
      <c r="K635" t="n">
        <v>0</v>
      </c>
      <c r="L635" t="n">
        <v>0</v>
      </c>
      <c r="M635" t="n">
        <v>0</v>
      </c>
      <c r="N635" t="n">
        <v>0</v>
      </c>
      <c r="O635" t="n">
        <v>0</v>
      </c>
      <c r="P635" t="n">
        <v>0</v>
      </c>
      <c r="Q635" t="n">
        <v>0</v>
      </c>
      <c r="R635" s="2" t="inlineStr"/>
    </row>
    <row r="636" ht="15" customHeight="1">
      <c r="A636" t="inlineStr">
        <is>
          <t>A 54208-2023</t>
        </is>
      </c>
      <c r="B636" s="1" t="n">
        <v>45232</v>
      </c>
      <c r="C636" s="1" t="n">
        <v>45510</v>
      </c>
      <c r="D636" t="inlineStr">
        <is>
          <t>UPPSALA LÄN</t>
        </is>
      </c>
      <c r="E636" t="inlineStr">
        <is>
          <t>ENKÖPING</t>
        </is>
      </c>
      <c r="G636" t="n">
        <v>4.3</v>
      </c>
      <c r="H636" t="n">
        <v>0</v>
      </c>
      <c r="I636" t="n">
        <v>0</v>
      </c>
      <c r="J636" t="n">
        <v>0</v>
      </c>
      <c r="K636" t="n">
        <v>0</v>
      </c>
      <c r="L636" t="n">
        <v>0</v>
      </c>
      <c r="M636" t="n">
        <v>0</v>
      </c>
      <c r="N636" t="n">
        <v>0</v>
      </c>
      <c r="O636" t="n">
        <v>0</v>
      </c>
      <c r="P636" t="n">
        <v>0</v>
      </c>
      <c r="Q636" t="n">
        <v>0</v>
      </c>
      <c r="R636" s="2" t="inlineStr"/>
    </row>
    <row r="637" ht="15" customHeight="1">
      <c r="A637" t="inlineStr">
        <is>
          <t>A 54224-2023</t>
        </is>
      </c>
      <c r="B637" s="1" t="n">
        <v>45232</v>
      </c>
      <c r="C637" s="1" t="n">
        <v>45510</v>
      </c>
      <c r="D637" t="inlineStr">
        <is>
          <t>UPPSALA LÄN</t>
        </is>
      </c>
      <c r="E637" t="inlineStr">
        <is>
          <t>ENKÖPING</t>
        </is>
      </c>
      <c r="G637" t="n">
        <v>5.4</v>
      </c>
      <c r="H637" t="n">
        <v>0</v>
      </c>
      <c r="I637" t="n">
        <v>0</v>
      </c>
      <c r="J637" t="n">
        <v>0</v>
      </c>
      <c r="K637" t="n">
        <v>0</v>
      </c>
      <c r="L637" t="n">
        <v>0</v>
      </c>
      <c r="M637" t="n">
        <v>0</v>
      </c>
      <c r="N637" t="n">
        <v>0</v>
      </c>
      <c r="O637" t="n">
        <v>0</v>
      </c>
      <c r="P637" t="n">
        <v>0</v>
      </c>
      <c r="Q637" t="n">
        <v>0</v>
      </c>
      <c r="R637" s="2" t="inlineStr"/>
    </row>
    <row r="638" ht="15" customHeight="1">
      <c r="A638" t="inlineStr">
        <is>
          <t>A 55609-2023</t>
        </is>
      </c>
      <c r="B638" s="1" t="n">
        <v>45238</v>
      </c>
      <c r="C638" s="1" t="n">
        <v>45510</v>
      </c>
      <c r="D638" t="inlineStr">
        <is>
          <t>UPPSALA LÄN</t>
        </is>
      </c>
      <c r="E638" t="inlineStr">
        <is>
          <t>ENKÖPING</t>
        </is>
      </c>
      <c r="F638" t="inlineStr">
        <is>
          <t>Allmännings- och besparingsskogar</t>
        </is>
      </c>
      <c r="G638" t="n">
        <v>13.3</v>
      </c>
      <c r="H638" t="n">
        <v>0</v>
      </c>
      <c r="I638" t="n">
        <v>0</v>
      </c>
      <c r="J638" t="n">
        <v>0</v>
      </c>
      <c r="K638" t="n">
        <v>0</v>
      </c>
      <c r="L638" t="n">
        <v>0</v>
      </c>
      <c r="M638" t="n">
        <v>0</v>
      </c>
      <c r="N638" t="n">
        <v>0</v>
      </c>
      <c r="O638" t="n">
        <v>0</v>
      </c>
      <c r="P638" t="n">
        <v>0</v>
      </c>
      <c r="Q638" t="n">
        <v>0</v>
      </c>
      <c r="R638" s="2" t="inlineStr"/>
    </row>
    <row r="639" ht="15" customHeight="1">
      <c r="A639" t="inlineStr">
        <is>
          <t>A 56886-2023</t>
        </is>
      </c>
      <c r="B639" s="1" t="n">
        <v>45239</v>
      </c>
      <c r="C639" s="1" t="n">
        <v>45510</v>
      </c>
      <c r="D639" t="inlineStr">
        <is>
          <t>UPPSALA LÄN</t>
        </is>
      </c>
      <c r="E639" t="inlineStr">
        <is>
          <t>ENKÖPING</t>
        </is>
      </c>
      <c r="G639" t="n">
        <v>2</v>
      </c>
      <c r="H639" t="n">
        <v>0</v>
      </c>
      <c r="I639" t="n">
        <v>0</v>
      </c>
      <c r="J639" t="n">
        <v>0</v>
      </c>
      <c r="K639" t="n">
        <v>0</v>
      </c>
      <c r="L639" t="n">
        <v>0</v>
      </c>
      <c r="M639" t="n">
        <v>0</v>
      </c>
      <c r="N639" t="n">
        <v>0</v>
      </c>
      <c r="O639" t="n">
        <v>0</v>
      </c>
      <c r="P639" t="n">
        <v>0</v>
      </c>
      <c r="Q639" t="n">
        <v>0</v>
      </c>
      <c r="R639" s="2" t="inlineStr"/>
    </row>
    <row r="640" ht="15" customHeight="1">
      <c r="A640" t="inlineStr">
        <is>
          <t>A 57018-2023</t>
        </is>
      </c>
      <c r="B640" s="1" t="n">
        <v>45244</v>
      </c>
      <c r="C640" s="1" t="n">
        <v>45510</v>
      </c>
      <c r="D640" t="inlineStr">
        <is>
          <t>UPPSALA LÄN</t>
        </is>
      </c>
      <c r="E640" t="inlineStr">
        <is>
          <t>ENKÖPING</t>
        </is>
      </c>
      <c r="G640" t="n">
        <v>3.9</v>
      </c>
      <c r="H640" t="n">
        <v>0</v>
      </c>
      <c r="I640" t="n">
        <v>0</v>
      </c>
      <c r="J640" t="n">
        <v>0</v>
      </c>
      <c r="K640" t="n">
        <v>0</v>
      </c>
      <c r="L640" t="n">
        <v>0</v>
      </c>
      <c r="M640" t="n">
        <v>0</v>
      </c>
      <c r="N640" t="n">
        <v>0</v>
      </c>
      <c r="O640" t="n">
        <v>0</v>
      </c>
      <c r="P640" t="n">
        <v>0</v>
      </c>
      <c r="Q640" t="n">
        <v>0</v>
      </c>
      <c r="R640" s="2" t="inlineStr"/>
    </row>
    <row r="641" ht="15" customHeight="1">
      <c r="A641" t="inlineStr">
        <is>
          <t>A 57662-2023</t>
        </is>
      </c>
      <c r="B641" s="1" t="n">
        <v>45246</v>
      </c>
      <c r="C641" s="1" t="n">
        <v>45510</v>
      </c>
      <c r="D641" t="inlineStr">
        <is>
          <t>UPPSALA LÄN</t>
        </is>
      </c>
      <c r="E641" t="inlineStr">
        <is>
          <t>ENKÖPING</t>
        </is>
      </c>
      <c r="G641" t="n">
        <v>10.9</v>
      </c>
      <c r="H641" t="n">
        <v>0</v>
      </c>
      <c r="I641" t="n">
        <v>0</v>
      </c>
      <c r="J641" t="n">
        <v>0</v>
      </c>
      <c r="K641" t="n">
        <v>0</v>
      </c>
      <c r="L641" t="n">
        <v>0</v>
      </c>
      <c r="M641" t="n">
        <v>0</v>
      </c>
      <c r="N641" t="n">
        <v>0</v>
      </c>
      <c r="O641" t="n">
        <v>0</v>
      </c>
      <c r="P641" t="n">
        <v>0</v>
      </c>
      <c r="Q641" t="n">
        <v>0</v>
      </c>
      <c r="R641" s="2" t="inlineStr"/>
    </row>
    <row r="642" ht="15" customHeight="1">
      <c r="A642" t="inlineStr">
        <is>
          <t>A 58114-2023</t>
        </is>
      </c>
      <c r="B642" s="1" t="n">
        <v>45249</v>
      </c>
      <c r="C642" s="1" t="n">
        <v>45510</v>
      </c>
      <c r="D642" t="inlineStr">
        <is>
          <t>UPPSALA LÄN</t>
        </is>
      </c>
      <c r="E642" t="inlineStr">
        <is>
          <t>ENKÖPING</t>
        </is>
      </c>
      <c r="G642" t="n">
        <v>15.4</v>
      </c>
      <c r="H642" t="n">
        <v>0</v>
      </c>
      <c r="I642" t="n">
        <v>0</v>
      </c>
      <c r="J642" t="n">
        <v>0</v>
      </c>
      <c r="K642" t="n">
        <v>0</v>
      </c>
      <c r="L642" t="n">
        <v>0</v>
      </c>
      <c r="M642" t="n">
        <v>0</v>
      </c>
      <c r="N642" t="n">
        <v>0</v>
      </c>
      <c r="O642" t="n">
        <v>0</v>
      </c>
      <c r="P642" t="n">
        <v>0</v>
      </c>
      <c r="Q642" t="n">
        <v>0</v>
      </c>
      <c r="R642" s="2" t="inlineStr"/>
    </row>
    <row r="643" ht="15" customHeight="1">
      <c r="A643" t="inlineStr">
        <is>
          <t>A 59866-2023</t>
        </is>
      </c>
      <c r="B643" s="1" t="n">
        <v>45257</v>
      </c>
      <c r="C643" s="1" t="n">
        <v>45510</v>
      </c>
      <c r="D643" t="inlineStr">
        <is>
          <t>UPPSALA LÄN</t>
        </is>
      </c>
      <c r="E643" t="inlineStr">
        <is>
          <t>ENKÖPING</t>
        </is>
      </c>
      <c r="G643" t="n">
        <v>3.5</v>
      </c>
      <c r="H643" t="n">
        <v>0</v>
      </c>
      <c r="I643" t="n">
        <v>0</v>
      </c>
      <c r="J643" t="n">
        <v>0</v>
      </c>
      <c r="K643" t="n">
        <v>0</v>
      </c>
      <c r="L643" t="n">
        <v>0</v>
      </c>
      <c r="M643" t="n">
        <v>0</v>
      </c>
      <c r="N643" t="n">
        <v>0</v>
      </c>
      <c r="O643" t="n">
        <v>0</v>
      </c>
      <c r="P643" t="n">
        <v>0</v>
      </c>
      <c r="Q643" t="n">
        <v>0</v>
      </c>
      <c r="R643" s="2" t="inlineStr"/>
    </row>
    <row r="644" ht="15" customHeight="1">
      <c r="A644" t="inlineStr">
        <is>
          <t>A 60200-2023</t>
        </is>
      </c>
      <c r="B644" s="1" t="n">
        <v>45258</v>
      </c>
      <c r="C644" s="1" t="n">
        <v>45510</v>
      </c>
      <c r="D644" t="inlineStr">
        <is>
          <t>UPPSALA LÄN</t>
        </is>
      </c>
      <c r="E644" t="inlineStr">
        <is>
          <t>ENKÖPING</t>
        </is>
      </c>
      <c r="F644" t="inlineStr">
        <is>
          <t>Allmännings- och besparingsskogar</t>
        </is>
      </c>
      <c r="G644" t="n">
        <v>9.4</v>
      </c>
      <c r="H644" t="n">
        <v>0</v>
      </c>
      <c r="I644" t="n">
        <v>0</v>
      </c>
      <c r="J644" t="n">
        <v>0</v>
      </c>
      <c r="K644" t="n">
        <v>0</v>
      </c>
      <c r="L644" t="n">
        <v>0</v>
      </c>
      <c r="M644" t="n">
        <v>0</v>
      </c>
      <c r="N644" t="n">
        <v>0</v>
      </c>
      <c r="O644" t="n">
        <v>0</v>
      </c>
      <c r="P644" t="n">
        <v>0</v>
      </c>
      <c r="Q644" t="n">
        <v>0</v>
      </c>
      <c r="R644" s="2" t="inlineStr"/>
    </row>
    <row r="645" ht="15" customHeight="1">
      <c r="A645" t="inlineStr">
        <is>
          <t>A 60641-2023</t>
        </is>
      </c>
      <c r="B645" s="1" t="n">
        <v>45260</v>
      </c>
      <c r="C645" s="1" t="n">
        <v>45510</v>
      </c>
      <c r="D645" t="inlineStr">
        <is>
          <t>UPPSALA LÄN</t>
        </is>
      </c>
      <c r="E645" t="inlineStr">
        <is>
          <t>ENKÖPING</t>
        </is>
      </c>
      <c r="G645" t="n">
        <v>13.1</v>
      </c>
      <c r="H645" t="n">
        <v>0</v>
      </c>
      <c r="I645" t="n">
        <v>0</v>
      </c>
      <c r="J645" t="n">
        <v>0</v>
      </c>
      <c r="K645" t="n">
        <v>0</v>
      </c>
      <c r="L645" t="n">
        <v>0</v>
      </c>
      <c r="M645" t="n">
        <v>0</v>
      </c>
      <c r="N645" t="n">
        <v>0</v>
      </c>
      <c r="O645" t="n">
        <v>0</v>
      </c>
      <c r="P645" t="n">
        <v>0</v>
      </c>
      <c r="Q645" t="n">
        <v>0</v>
      </c>
      <c r="R645" s="2" t="inlineStr"/>
    </row>
    <row r="646" ht="15" customHeight="1">
      <c r="A646" t="inlineStr">
        <is>
          <t>A 61040-2023</t>
        </is>
      </c>
      <c r="B646" s="1" t="n">
        <v>45260</v>
      </c>
      <c r="C646" s="1" t="n">
        <v>45510</v>
      </c>
      <c r="D646" t="inlineStr">
        <is>
          <t>UPPSALA LÄN</t>
        </is>
      </c>
      <c r="E646" t="inlineStr">
        <is>
          <t>ENKÖPING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60874-2023</t>
        </is>
      </c>
      <c r="B647" s="1" t="n">
        <v>45261</v>
      </c>
      <c r="C647" s="1" t="n">
        <v>45510</v>
      </c>
      <c r="D647" t="inlineStr">
        <is>
          <t>UPPSALA LÄN</t>
        </is>
      </c>
      <c r="E647" t="inlineStr">
        <is>
          <t>ENKÖPING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61207-2023</t>
        </is>
      </c>
      <c r="B648" s="1" t="n">
        <v>45264</v>
      </c>
      <c r="C648" s="1" t="n">
        <v>45510</v>
      </c>
      <c r="D648" t="inlineStr">
        <is>
          <t>UPPSALA LÄN</t>
        </is>
      </c>
      <c r="E648" t="inlineStr">
        <is>
          <t>ENKÖPING</t>
        </is>
      </c>
      <c r="G648" t="n">
        <v>10.8</v>
      </c>
      <c r="H648" t="n">
        <v>0</v>
      </c>
      <c r="I648" t="n">
        <v>0</v>
      </c>
      <c r="J648" t="n">
        <v>0</v>
      </c>
      <c r="K648" t="n">
        <v>0</v>
      </c>
      <c r="L648" t="n">
        <v>0</v>
      </c>
      <c r="M648" t="n">
        <v>0</v>
      </c>
      <c r="N648" t="n">
        <v>0</v>
      </c>
      <c r="O648" t="n">
        <v>0</v>
      </c>
      <c r="P648" t="n">
        <v>0</v>
      </c>
      <c r="Q648" t="n">
        <v>0</v>
      </c>
      <c r="R648" s="2" t="inlineStr"/>
    </row>
    <row r="649" ht="15" customHeight="1">
      <c r="A649" t="inlineStr">
        <is>
          <t>A 61710-2023</t>
        </is>
      </c>
      <c r="B649" s="1" t="n">
        <v>45265</v>
      </c>
      <c r="C649" s="1" t="n">
        <v>45510</v>
      </c>
      <c r="D649" t="inlineStr">
        <is>
          <t>UPPSALA LÄN</t>
        </is>
      </c>
      <c r="E649" t="inlineStr">
        <is>
          <t>ENKÖPING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62158-2023</t>
        </is>
      </c>
      <c r="B650" s="1" t="n">
        <v>45267</v>
      </c>
      <c r="C650" s="1" t="n">
        <v>45510</v>
      </c>
      <c r="D650" t="inlineStr">
        <is>
          <t>UPPSALA LÄN</t>
        </is>
      </c>
      <c r="E650" t="inlineStr">
        <is>
          <t>ENKÖPING</t>
        </is>
      </c>
      <c r="G650" t="n">
        <v>1.4</v>
      </c>
      <c r="H650" t="n">
        <v>0</v>
      </c>
      <c r="I650" t="n">
        <v>0</v>
      </c>
      <c r="J650" t="n">
        <v>0</v>
      </c>
      <c r="K650" t="n">
        <v>0</v>
      </c>
      <c r="L650" t="n">
        <v>0</v>
      </c>
      <c r="M650" t="n">
        <v>0</v>
      </c>
      <c r="N650" t="n">
        <v>0</v>
      </c>
      <c r="O650" t="n">
        <v>0</v>
      </c>
      <c r="P650" t="n">
        <v>0</v>
      </c>
      <c r="Q650" t="n">
        <v>0</v>
      </c>
      <c r="R650" s="2" t="inlineStr"/>
    </row>
    <row r="651" ht="15" customHeight="1">
      <c r="A651" t="inlineStr">
        <is>
          <t>A 62265-2023</t>
        </is>
      </c>
      <c r="B651" s="1" t="n">
        <v>45267</v>
      </c>
      <c r="C651" s="1" t="n">
        <v>45510</v>
      </c>
      <c r="D651" t="inlineStr">
        <is>
          <t>UPPSALA LÄN</t>
        </is>
      </c>
      <c r="E651" t="inlineStr">
        <is>
          <t>ENKÖPING</t>
        </is>
      </c>
      <c r="G651" t="n">
        <v>4.5</v>
      </c>
      <c r="H651" t="n">
        <v>0</v>
      </c>
      <c r="I651" t="n">
        <v>0</v>
      </c>
      <c r="J651" t="n">
        <v>0</v>
      </c>
      <c r="K651" t="n">
        <v>0</v>
      </c>
      <c r="L651" t="n">
        <v>0</v>
      </c>
      <c r="M651" t="n">
        <v>0</v>
      </c>
      <c r="N651" t="n">
        <v>0</v>
      </c>
      <c r="O651" t="n">
        <v>0</v>
      </c>
      <c r="P651" t="n">
        <v>0</v>
      </c>
      <c r="Q651" t="n">
        <v>0</v>
      </c>
      <c r="R651" s="2" t="inlineStr"/>
    </row>
    <row r="652" ht="15" customHeight="1">
      <c r="A652" t="inlineStr">
        <is>
          <t>A 63431-2023</t>
        </is>
      </c>
      <c r="B652" s="1" t="n">
        <v>45274</v>
      </c>
      <c r="C652" s="1" t="n">
        <v>45510</v>
      </c>
      <c r="D652" t="inlineStr">
        <is>
          <t>UPPSALA LÄN</t>
        </is>
      </c>
      <c r="E652" t="inlineStr">
        <is>
          <t>ENKÖPING</t>
        </is>
      </c>
      <c r="G652" t="n">
        <v>1.8</v>
      </c>
      <c r="H652" t="n">
        <v>0</v>
      </c>
      <c r="I652" t="n">
        <v>0</v>
      </c>
      <c r="J652" t="n">
        <v>0</v>
      </c>
      <c r="K652" t="n">
        <v>0</v>
      </c>
      <c r="L652" t="n">
        <v>0</v>
      </c>
      <c r="M652" t="n">
        <v>0</v>
      </c>
      <c r="N652" t="n">
        <v>0</v>
      </c>
      <c r="O652" t="n">
        <v>0</v>
      </c>
      <c r="P652" t="n">
        <v>0</v>
      </c>
      <c r="Q652" t="n">
        <v>0</v>
      </c>
      <c r="R652" s="2" t="inlineStr"/>
    </row>
    <row r="653" ht="15" customHeight="1">
      <c r="A653" t="inlineStr">
        <is>
          <t>A 63404-2023</t>
        </is>
      </c>
      <c r="B653" s="1" t="n">
        <v>45274</v>
      </c>
      <c r="C653" s="1" t="n">
        <v>45510</v>
      </c>
      <c r="D653" t="inlineStr">
        <is>
          <t>UPPSALA LÄN</t>
        </is>
      </c>
      <c r="E653" t="inlineStr">
        <is>
          <t>ENKÖPING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63402-2023</t>
        </is>
      </c>
      <c r="B654" s="1" t="n">
        <v>45274</v>
      </c>
      <c r="C654" s="1" t="n">
        <v>45510</v>
      </c>
      <c r="D654" t="inlineStr">
        <is>
          <t>UPPSALA LÄN</t>
        </is>
      </c>
      <c r="E654" t="inlineStr">
        <is>
          <t>ENKÖPING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63406-2023</t>
        </is>
      </c>
      <c r="B655" s="1" t="n">
        <v>45274</v>
      </c>
      <c r="C655" s="1" t="n">
        <v>45510</v>
      </c>
      <c r="D655" t="inlineStr">
        <is>
          <t>UPPSALA LÄN</t>
        </is>
      </c>
      <c r="E655" t="inlineStr">
        <is>
          <t>ENKÖPING</t>
        </is>
      </c>
      <c r="G655" t="n">
        <v>0.3</v>
      </c>
      <c r="H655" t="n">
        <v>0</v>
      </c>
      <c r="I655" t="n">
        <v>0</v>
      </c>
      <c r="J655" t="n">
        <v>0</v>
      </c>
      <c r="K655" t="n">
        <v>0</v>
      </c>
      <c r="L655" t="n">
        <v>0</v>
      </c>
      <c r="M655" t="n">
        <v>0</v>
      </c>
      <c r="N655" t="n">
        <v>0</v>
      </c>
      <c r="O655" t="n">
        <v>0</v>
      </c>
      <c r="P655" t="n">
        <v>0</v>
      </c>
      <c r="Q655" t="n">
        <v>0</v>
      </c>
      <c r="R655" s="2" t="inlineStr"/>
    </row>
    <row r="656" ht="15" customHeight="1">
      <c r="A656" t="inlineStr">
        <is>
          <t>A 64800-2023</t>
        </is>
      </c>
      <c r="B656" s="1" t="n">
        <v>45282</v>
      </c>
      <c r="C656" s="1" t="n">
        <v>45510</v>
      </c>
      <c r="D656" t="inlineStr">
        <is>
          <t>UPPSALA LÄN</t>
        </is>
      </c>
      <c r="E656" t="inlineStr">
        <is>
          <t>ENKÖPING</t>
        </is>
      </c>
      <c r="G656" t="n">
        <v>2.1</v>
      </c>
      <c r="H656" t="n">
        <v>0</v>
      </c>
      <c r="I656" t="n">
        <v>0</v>
      </c>
      <c r="J656" t="n">
        <v>0</v>
      </c>
      <c r="K656" t="n">
        <v>0</v>
      </c>
      <c r="L656" t="n">
        <v>0</v>
      </c>
      <c r="M656" t="n">
        <v>0</v>
      </c>
      <c r="N656" t="n">
        <v>0</v>
      </c>
      <c r="O656" t="n">
        <v>0</v>
      </c>
      <c r="P656" t="n">
        <v>0</v>
      </c>
      <c r="Q656" t="n">
        <v>0</v>
      </c>
      <c r="R656" s="2" t="inlineStr"/>
    </row>
    <row r="657" ht="15" customHeight="1">
      <c r="A657" t="inlineStr">
        <is>
          <t>A 351-2024</t>
        </is>
      </c>
      <c r="B657" s="1" t="n">
        <v>45295</v>
      </c>
      <c r="C657" s="1" t="n">
        <v>45510</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352-2024</t>
        </is>
      </c>
      <c r="B658" s="1" t="n">
        <v>45295</v>
      </c>
      <c r="C658" s="1" t="n">
        <v>45510</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353-2024</t>
        </is>
      </c>
      <c r="B659" s="1" t="n">
        <v>45295</v>
      </c>
      <c r="C659" s="1" t="n">
        <v>45510</v>
      </c>
      <c r="D659" t="inlineStr">
        <is>
          <t>UPPSALA LÄN</t>
        </is>
      </c>
      <c r="E659" t="inlineStr">
        <is>
          <t>ENKÖPING</t>
        </is>
      </c>
      <c r="G659" t="n">
        <v>4.3</v>
      </c>
      <c r="H659" t="n">
        <v>0</v>
      </c>
      <c r="I659" t="n">
        <v>0</v>
      </c>
      <c r="J659" t="n">
        <v>0</v>
      </c>
      <c r="K659" t="n">
        <v>0</v>
      </c>
      <c r="L659" t="n">
        <v>0</v>
      </c>
      <c r="M659" t="n">
        <v>0</v>
      </c>
      <c r="N659" t="n">
        <v>0</v>
      </c>
      <c r="O659" t="n">
        <v>0</v>
      </c>
      <c r="P659" t="n">
        <v>0</v>
      </c>
      <c r="Q659" t="n">
        <v>0</v>
      </c>
      <c r="R659" s="2" t="inlineStr"/>
    </row>
    <row r="660" ht="15" customHeight="1">
      <c r="A660" t="inlineStr">
        <is>
          <t>A 422-2024</t>
        </is>
      </c>
      <c r="B660" s="1" t="n">
        <v>45296</v>
      </c>
      <c r="C660" s="1" t="n">
        <v>45510</v>
      </c>
      <c r="D660" t="inlineStr">
        <is>
          <t>UPPSALA LÄN</t>
        </is>
      </c>
      <c r="E660" t="inlineStr">
        <is>
          <t>ENKÖPING</t>
        </is>
      </c>
      <c r="G660" t="n">
        <v>4.6</v>
      </c>
      <c r="H660" t="n">
        <v>0</v>
      </c>
      <c r="I660" t="n">
        <v>0</v>
      </c>
      <c r="J660" t="n">
        <v>0</v>
      </c>
      <c r="K660" t="n">
        <v>0</v>
      </c>
      <c r="L660" t="n">
        <v>0</v>
      </c>
      <c r="M660" t="n">
        <v>0</v>
      </c>
      <c r="N660" t="n">
        <v>0</v>
      </c>
      <c r="O660" t="n">
        <v>0</v>
      </c>
      <c r="P660" t="n">
        <v>0</v>
      </c>
      <c r="Q660" t="n">
        <v>0</v>
      </c>
      <c r="R660" s="2" t="inlineStr"/>
    </row>
    <row r="661" ht="15" customHeight="1">
      <c r="A661" t="inlineStr">
        <is>
          <t>A 420-2024</t>
        </is>
      </c>
      <c r="B661" s="1" t="n">
        <v>45296</v>
      </c>
      <c r="C661" s="1" t="n">
        <v>45510</v>
      </c>
      <c r="D661" t="inlineStr">
        <is>
          <t>UPPSALA LÄN</t>
        </is>
      </c>
      <c r="E661" t="inlineStr">
        <is>
          <t>ENKÖPING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582-2024</t>
        </is>
      </c>
      <c r="B662" s="1" t="n">
        <v>45299</v>
      </c>
      <c r="C662" s="1" t="n">
        <v>45510</v>
      </c>
      <c r="D662" t="inlineStr">
        <is>
          <t>UPPSALA LÄN</t>
        </is>
      </c>
      <c r="E662" t="inlineStr">
        <is>
          <t>ENKÖPING</t>
        </is>
      </c>
      <c r="G662" t="n">
        <v>3.7</v>
      </c>
      <c r="H662" t="n">
        <v>0</v>
      </c>
      <c r="I662" t="n">
        <v>0</v>
      </c>
      <c r="J662" t="n">
        <v>0</v>
      </c>
      <c r="K662" t="n">
        <v>0</v>
      </c>
      <c r="L662" t="n">
        <v>0</v>
      </c>
      <c r="M662" t="n">
        <v>0</v>
      </c>
      <c r="N662" t="n">
        <v>0</v>
      </c>
      <c r="O662" t="n">
        <v>0</v>
      </c>
      <c r="P662" t="n">
        <v>0</v>
      </c>
      <c r="Q662" t="n">
        <v>0</v>
      </c>
      <c r="R662" s="2" t="inlineStr"/>
    </row>
    <row r="663" ht="15" customHeight="1">
      <c r="A663" t="inlineStr">
        <is>
          <t>A 580-2024</t>
        </is>
      </c>
      <c r="B663" s="1" t="n">
        <v>45299</v>
      </c>
      <c r="C663" s="1" t="n">
        <v>45510</v>
      </c>
      <c r="D663" t="inlineStr">
        <is>
          <t>UPPSALA LÄN</t>
        </is>
      </c>
      <c r="E663" t="inlineStr">
        <is>
          <t>ENKÖPING</t>
        </is>
      </c>
      <c r="G663" t="n">
        <v>3.3</v>
      </c>
      <c r="H663" t="n">
        <v>0</v>
      </c>
      <c r="I663" t="n">
        <v>0</v>
      </c>
      <c r="J663" t="n">
        <v>0</v>
      </c>
      <c r="K663" t="n">
        <v>0</v>
      </c>
      <c r="L663" t="n">
        <v>0</v>
      </c>
      <c r="M663" t="n">
        <v>0</v>
      </c>
      <c r="N663" t="n">
        <v>0</v>
      </c>
      <c r="O663" t="n">
        <v>0</v>
      </c>
      <c r="P663" t="n">
        <v>0</v>
      </c>
      <c r="Q663" t="n">
        <v>0</v>
      </c>
      <c r="R663" s="2" t="inlineStr"/>
    </row>
    <row r="664" ht="15" customHeight="1">
      <c r="A664" t="inlineStr">
        <is>
          <t>A 1536-2024</t>
        </is>
      </c>
      <c r="B664" s="1" t="n">
        <v>45306</v>
      </c>
      <c r="C664" s="1" t="n">
        <v>45510</v>
      </c>
      <c r="D664" t="inlineStr">
        <is>
          <t>UPPSALA LÄN</t>
        </is>
      </c>
      <c r="E664" t="inlineStr">
        <is>
          <t>ENKÖPING</t>
        </is>
      </c>
      <c r="F664" t="inlineStr">
        <is>
          <t>Kyrkan</t>
        </is>
      </c>
      <c r="G664" t="n">
        <v>5.6</v>
      </c>
      <c r="H664" t="n">
        <v>0</v>
      </c>
      <c r="I664" t="n">
        <v>0</v>
      </c>
      <c r="J664" t="n">
        <v>0</v>
      </c>
      <c r="K664" t="n">
        <v>0</v>
      </c>
      <c r="L664" t="n">
        <v>0</v>
      </c>
      <c r="M664" t="n">
        <v>0</v>
      </c>
      <c r="N664" t="n">
        <v>0</v>
      </c>
      <c r="O664" t="n">
        <v>0</v>
      </c>
      <c r="P664" t="n">
        <v>0</v>
      </c>
      <c r="Q664" t="n">
        <v>0</v>
      </c>
      <c r="R664" s="2" t="inlineStr"/>
    </row>
    <row r="665" ht="15" customHeight="1">
      <c r="A665" t="inlineStr">
        <is>
          <t>A 1651-2024</t>
        </is>
      </c>
      <c r="B665" s="1" t="n">
        <v>45306</v>
      </c>
      <c r="C665" s="1" t="n">
        <v>45510</v>
      </c>
      <c r="D665" t="inlineStr">
        <is>
          <t>UPPSALA LÄN</t>
        </is>
      </c>
      <c r="E665" t="inlineStr">
        <is>
          <t>ENKÖPING</t>
        </is>
      </c>
      <c r="G665" t="n">
        <v>10.2</v>
      </c>
      <c r="H665" t="n">
        <v>0</v>
      </c>
      <c r="I665" t="n">
        <v>0</v>
      </c>
      <c r="J665" t="n">
        <v>0</v>
      </c>
      <c r="K665" t="n">
        <v>0</v>
      </c>
      <c r="L665" t="n">
        <v>0</v>
      </c>
      <c r="M665" t="n">
        <v>0</v>
      </c>
      <c r="N665" t="n">
        <v>0</v>
      </c>
      <c r="O665" t="n">
        <v>0</v>
      </c>
      <c r="P665" t="n">
        <v>0</v>
      </c>
      <c r="Q665" t="n">
        <v>0</v>
      </c>
      <c r="R665" s="2" t="inlineStr"/>
    </row>
    <row r="666" ht="15" customHeight="1">
      <c r="A666" t="inlineStr">
        <is>
          <t>A 2221-2024</t>
        </is>
      </c>
      <c r="B666" s="1" t="n">
        <v>45309</v>
      </c>
      <c r="C666" s="1" t="n">
        <v>45510</v>
      </c>
      <c r="D666" t="inlineStr">
        <is>
          <t>UPPSALA LÄN</t>
        </is>
      </c>
      <c r="E666" t="inlineStr">
        <is>
          <t>ENKÖPING</t>
        </is>
      </c>
      <c r="G666" t="n">
        <v>1.3</v>
      </c>
      <c r="H666" t="n">
        <v>0</v>
      </c>
      <c r="I666" t="n">
        <v>0</v>
      </c>
      <c r="J666" t="n">
        <v>0</v>
      </c>
      <c r="K666" t="n">
        <v>0</v>
      </c>
      <c r="L666" t="n">
        <v>0</v>
      </c>
      <c r="M666" t="n">
        <v>0</v>
      </c>
      <c r="N666" t="n">
        <v>0</v>
      </c>
      <c r="O666" t="n">
        <v>0</v>
      </c>
      <c r="P666" t="n">
        <v>0</v>
      </c>
      <c r="Q666" t="n">
        <v>0</v>
      </c>
      <c r="R666" s="2" t="inlineStr"/>
    </row>
    <row r="667" ht="15" customHeight="1">
      <c r="A667" t="inlineStr">
        <is>
          <t>A 2322-2024</t>
        </is>
      </c>
      <c r="B667" s="1" t="n">
        <v>45309</v>
      </c>
      <c r="C667" s="1" t="n">
        <v>45510</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2456-2024</t>
        </is>
      </c>
      <c r="B668" s="1" t="n">
        <v>45312</v>
      </c>
      <c r="C668" s="1" t="n">
        <v>45510</v>
      </c>
      <c r="D668" t="inlineStr">
        <is>
          <t>UPPSALA LÄN</t>
        </is>
      </c>
      <c r="E668" t="inlineStr">
        <is>
          <t>ENKÖPING</t>
        </is>
      </c>
      <c r="G668" t="n">
        <v>2.6</v>
      </c>
      <c r="H668" t="n">
        <v>0</v>
      </c>
      <c r="I668" t="n">
        <v>0</v>
      </c>
      <c r="J668" t="n">
        <v>0</v>
      </c>
      <c r="K668" t="n">
        <v>0</v>
      </c>
      <c r="L668" t="n">
        <v>0</v>
      </c>
      <c r="M668" t="n">
        <v>0</v>
      </c>
      <c r="N668" t="n">
        <v>0</v>
      </c>
      <c r="O668" t="n">
        <v>0</v>
      </c>
      <c r="P668" t="n">
        <v>0</v>
      </c>
      <c r="Q668" t="n">
        <v>0</v>
      </c>
      <c r="R668" s="2" t="inlineStr"/>
    </row>
    <row r="669" ht="15" customHeight="1">
      <c r="A669" t="inlineStr">
        <is>
          <t>A 2983-2024</t>
        </is>
      </c>
      <c r="B669" s="1" t="n">
        <v>45315</v>
      </c>
      <c r="C669" s="1" t="n">
        <v>45510</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3051-2024</t>
        </is>
      </c>
      <c r="B670" s="1" t="n">
        <v>45316</v>
      </c>
      <c r="C670" s="1" t="n">
        <v>45510</v>
      </c>
      <c r="D670" t="inlineStr">
        <is>
          <t>UPPSALA LÄN</t>
        </is>
      </c>
      <c r="E670" t="inlineStr">
        <is>
          <t>ENKÖPING</t>
        </is>
      </c>
      <c r="G670" t="n">
        <v>2.1</v>
      </c>
      <c r="H670" t="n">
        <v>0</v>
      </c>
      <c r="I670" t="n">
        <v>0</v>
      </c>
      <c r="J670" t="n">
        <v>0</v>
      </c>
      <c r="K670" t="n">
        <v>0</v>
      </c>
      <c r="L670" t="n">
        <v>0</v>
      </c>
      <c r="M670" t="n">
        <v>0</v>
      </c>
      <c r="N670" t="n">
        <v>0</v>
      </c>
      <c r="O670" t="n">
        <v>0</v>
      </c>
      <c r="P670" t="n">
        <v>0</v>
      </c>
      <c r="Q670" t="n">
        <v>0</v>
      </c>
      <c r="R670" s="2" t="inlineStr"/>
    </row>
    <row r="671" ht="15" customHeight="1">
      <c r="A671" t="inlineStr">
        <is>
          <t>A 3130-2024</t>
        </is>
      </c>
      <c r="B671" s="1" t="n">
        <v>45316</v>
      </c>
      <c r="C671" s="1" t="n">
        <v>45510</v>
      </c>
      <c r="D671" t="inlineStr">
        <is>
          <t>UPPSALA LÄN</t>
        </is>
      </c>
      <c r="E671" t="inlineStr">
        <is>
          <t>ENKÖPING</t>
        </is>
      </c>
      <c r="G671" t="n">
        <v>1.8</v>
      </c>
      <c r="H671" t="n">
        <v>0</v>
      </c>
      <c r="I671" t="n">
        <v>0</v>
      </c>
      <c r="J671" t="n">
        <v>0</v>
      </c>
      <c r="K671" t="n">
        <v>0</v>
      </c>
      <c r="L671" t="n">
        <v>0</v>
      </c>
      <c r="M671" t="n">
        <v>0</v>
      </c>
      <c r="N671" t="n">
        <v>0</v>
      </c>
      <c r="O671" t="n">
        <v>0</v>
      </c>
      <c r="P671" t="n">
        <v>0</v>
      </c>
      <c r="Q671" t="n">
        <v>0</v>
      </c>
      <c r="R671" s="2" t="inlineStr"/>
    </row>
    <row r="672" ht="15" customHeight="1">
      <c r="A672" t="inlineStr">
        <is>
          <t>A 3977-2024</t>
        </is>
      </c>
      <c r="B672" s="1" t="n">
        <v>45322</v>
      </c>
      <c r="C672" s="1" t="n">
        <v>45510</v>
      </c>
      <c r="D672" t="inlineStr">
        <is>
          <t>UPPSALA LÄN</t>
        </is>
      </c>
      <c r="E672" t="inlineStr">
        <is>
          <t>ENKÖPING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4044-2024</t>
        </is>
      </c>
      <c r="B673" s="1" t="n">
        <v>45323</v>
      </c>
      <c r="C673" s="1" t="n">
        <v>45510</v>
      </c>
      <c r="D673" t="inlineStr">
        <is>
          <t>UPPSALA LÄN</t>
        </is>
      </c>
      <c r="E673" t="inlineStr">
        <is>
          <t>ENKÖPING</t>
        </is>
      </c>
      <c r="G673" t="n">
        <v>2.1</v>
      </c>
      <c r="H673" t="n">
        <v>0</v>
      </c>
      <c r="I673" t="n">
        <v>0</v>
      </c>
      <c r="J673" t="n">
        <v>0</v>
      </c>
      <c r="K673" t="n">
        <v>0</v>
      </c>
      <c r="L673" t="n">
        <v>0</v>
      </c>
      <c r="M673" t="n">
        <v>0</v>
      </c>
      <c r="N673" t="n">
        <v>0</v>
      </c>
      <c r="O673" t="n">
        <v>0</v>
      </c>
      <c r="P673" t="n">
        <v>0</v>
      </c>
      <c r="Q673" t="n">
        <v>0</v>
      </c>
      <c r="R673" s="2" t="inlineStr"/>
    </row>
    <row r="674" ht="15" customHeight="1">
      <c r="A674" t="inlineStr">
        <is>
          <t>A 5211-2024</t>
        </is>
      </c>
      <c r="B674" s="1" t="n">
        <v>45330</v>
      </c>
      <c r="C674" s="1" t="n">
        <v>45510</v>
      </c>
      <c r="D674" t="inlineStr">
        <is>
          <t>UPPSALA LÄN</t>
        </is>
      </c>
      <c r="E674" t="inlineStr">
        <is>
          <t>ENKÖPING</t>
        </is>
      </c>
      <c r="G674" t="n">
        <v>0.8</v>
      </c>
      <c r="H674" t="n">
        <v>0</v>
      </c>
      <c r="I674" t="n">
        <v>0</v>
      </c>
      <c r="J674" t="n">
        <v>0</v>
      </c>
      <c r="K674" t="n">
        <v>0</v>
      </c>
      <c r="L674" t="n">
        <v>0</v>
      </c>
      <c r="M674" t="n">
        <v>0</v>
      </c>
      <c r="N674" t="n">
        <v>0</v>
      </c>
      <c r="O674" t="n">
        <v>0</v>
      </c>
      <c r="P674" t="n">
        <v>0</v>
      </c>
      <c r="Q674" t="n">
        <v>0</v>
      </c>
      <c r="R674" s="2" t="inlineStr"/>
    </row>
    <row r="675" ht="15" customHeight="1">
      <c r="A675" t="inlineStr">
        <is>
          <t>A 5521-2024</t>
        </is>
      </c>
      <c r="B675" s="1" t="n">
        <v>45334</v>
      </c>
      <c r="C675" s="1" t="n">
        <v>45510</v>
      </c>
      <c r="D675" t="inlineStr">
        <is>
          <t>UPPSALA LÄN</t>
        </is>
      </c>
      <c r="E675" t="inlineStr">
        <is>
          <t>ENKÖPING</t>
        </is>
      </c>
      <c r="G675" t="n">
        <v>8.4</v>
      </c>
      <c r="H675" t="n">
        <v>0</v>
      </c>
      <c r="I675" t="n">
        <v>0</v>
      </c>
      <c r="J675" t="n">
        <v>0</v>
      </c>
      <c r="K675" t="n">
        <v>0</v>
      </c>
      <c r="L675" t="n">
        <v>0</v>
      </c>
      <c r="M675" t="n">
        <v>0</v>
      </c>
      <c r="N675" t="n">
        <v>0</v>
      </c>
      <c r="O675" t="n">
        <v>0</v>
      </c>
      <c r="P675" t="n">
        <v>0</v>
      </c>
      <c r="Q675" t="n">
        <v>0</v>
      </c>
      <c r="R675" s="2" t="inlineStr"/>
    </row>
    <row r="676" ht="15" customHeight="1">
      <c r="A676" t="inlineStr">
        <is>
          <t>A 6247-2024</t>
        </is>
      </c>
      <c r="B676" s="1" t="n">
        <v>45337</v>
      </c>
      <c r="C676" s="1" t="n">
        <v>45510</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6144-2024</t>
        </is>
      </c>
      <c r="B677" s="1" t="n">
        <v>45337</v>
      </c>
      <c r="C677" s="1" t="n">
        <v>45510</v>
      </c>
      <c r="D677" t="inlineStr">
        <is>
          <t>UPPSALA LÄN</t>
        </is>
      </c>
      <c r="E677" t="inlineStr">
        <is>
          <t>ENKÖPING</t>
        </is>
      </c>
      <c r="G677" t="n">
        <v>13.8</v>
      </c>
      <c r="H677" t="n">
        <v>0</v>
      </c>
      <c r="I677" t="n">
        <v>0</v>
      </c>
      <c r="J677" t="n">
        <v>0</v>
      </c>
      <c r="K677" t="n">
        <v>0</v>
      </c>
      <c r="L677" t="n">
        <v>0</v>
      </c>
      <c r="M677" t="n">
        <v>0</v>
      </c>
      <c r="N677" t="n">
        <v>0</v>
      </c>
      <c r="O677" t="n">
        <v>0</v>
      </c>
      <c r="P677" t="n">
        <v>0</v>
      </c>
      <c r="Q677" t="n">
        <v>0</v>
      </c>
      <c r="R677" s="2" t="inlineStr"/>
    </row>
    <row r="678" ht="15" customHeight="1">
      <c r="A678" t="inlineStr">
        <is>
          <t>A 7868-2024</t>
        </is>
      </c>
      <c r="B678" s="1" t="n">
        <v>45350</v>
      </c>
      <c r="C678" s="1" t="n">
        <v>45510</v>
      </c>
      <c r="D678" t="inlineStr">
        <is>
          <t>UPPSALA LÄN</t>
        </is>
      </c>
      <c r="E678" t="inlineStr">
        <is>
          <t>ENKÖPING</t>
        </is>
      </c>
      <c r="G678" t="n">
        <v>0.3</v>
      </c>
      <c r="H678" t="n">
        <v>0</v>
      </c>
      <c r="I678" t="n">
        <v>0</v>
      </c>
      <c r="J678" t="n">
        <v>0</v>
      </c>
      <c r="K678" t="n">
        <v>0</v>
      </c>
      <c r="L678" t="n">
        <v>0</v>
      </c>
      <c r="M678" t="n">
        <v>0</v>
      </c>
      <c r="N678" t="n">
        <v>0</v>
      </c>
      <c r="O678" t="n">
        <v>0</v>
      </c>
      <c r="P678" t="n">
        <v>0</v>
      </c>
      <c r="Q678" t="n">
        <v>0</v>
      </c>
      <c r="R678" s="2" t="inlineStr"/>
    </row>
    <row r="679" ht="15" customHeight="1">
      <c r="A679" t="inlineStr">
        <is>
          <t>A 7866-2024</t>
        </is>
      </c>
      <c r="B679" s="1" t="n">
        <v>45350</v>
      </c>
      <c r="C679" s="1" t="n">
        <v>45510</v>
      </c>
      <c r="D679" t="inlineStr">
        <is>
          <t>UPPSALA LÄN</t>
        </is>
      </c>
      <c r="E679" t="inlineStr">
        <is>
          <t>ENKÖPING</t>
        </is>
      </c>
      <c r="G679" t="n">
        <v>3.5</v>
      </c>
      <c r="H679" t="n">
        <v>0</v>
      </c>
      <c r="I679" t="n">
        <v>0</v>
      </c>
      <c r="J679" t="n">
        <v>0</v>
      </c>
      <c r="K679" t="n">
        <v>0</v>
      </c>
      <c r="L679" t="n">
        <v>0</v>
      </c>
      <c r="M679" t="n">
        <v>0</v>
      </c>
      <c r="N679" t="n">
        <v>0</v>
      </c>
      <c r="O679" t="n">
        <v>0</v>
      </c>
      <c r="P679" t="n">
        <v>0</v>
      </c>
      <c r="Q679" t="n">
        <v>0</v>
      </c>
      <c r="R679" s="2" t="inlineStr"/>
    </row>
    <row r="680" ht="15" customHeight="1">
      <c r="A680" t="inlineStr">
        <is>
          <t>A 7870-2024</t>
        </is>
      </c>
      <c r="B680" s="1" t="n">
        <v>45350</v>
      </c>
      <c r="C680" s="1" t="n">
        <v>45510</v>
      </c>
      <c r="D680" t="inlineStr">
        <is>
          <t>UPPSALA LÄN</t>
        </is>
      </c>
      <c r="E680" t="inlineStr">
        <is>
          <t>ENKÖPING</t>
        </is>
      </c>
      <c r="G680" t="n">
        <v>0.6</v>
      </c>
      <c r="H680" t="n">
        <v>0</v>
      </c>
      <c r="I680" t="n">
        <v>0</v>
      </c>
      <c r="J680" t="n">
        <v>0</v>
      </c>
      <c r="K680" t="n">
        <v>0</v>
      </c>
      <c r="L680" t="n">
        <v>0</v>
      </c>
      <c r="M680" t="n">
        <v>0</v>
      </c>
      <c r="N680" t="n">
        <v>0</v>
      </c>
      <c r="O680" t="n">
        <v>0</v>
      </c>
      <c r="P680" t="n">
        <v>0</v>
      </c>
      <c r="Q680" t="n">
        <v>0</v>
      </c>
      <c r="R680" s="2" t="inlineStr"/>
    </row>
    <row r="681" ht="15" customHeight="1">
      <c r="A681" t="inlineStr">
        <is>
          <t>A 8103-2024</t>
        </is>
      </c>
      <c r="B681" s="1" t="n">
        <v>45351</v>
      </c>
      <c r="C681" s="1" t="n">
        <v>45510</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8217-2024</t>
        </is>
      </c>
      <c r="B682" s="1" t="n">
        <v>45351</v>
      </c>
      <c r="C682" s="1" t="n">
        <v>45510</v>
      </c>
      <c r="D682" t="inlineStr">
        <is>
          <t>UPPSALA LÄN</t>
        </is>
      </c>
      <c r="E682" t="inlineStr">
        <is>
          <t>ENKÖPING</t>
        </is>
      </c>
      <c r="G682" t="n">
        <v>3.1</v>
      </c>
      <c r="H682" t="n">
        <v>0</v>
      </c>
      <c r="I682" t="n">
        <v>0</v>
      </c>
      <c r="J682" t="n">
        <v>0</v>
      </c>
      <c r="K682" t="n">
        <v>0</v>
      </c>
      <c r="L682" t="n">
        <v>0</v>
      </c>
      <c r="M682" t="n">
        <v>0</v>
      </c>
      <c r="N682" t="n">
        <v>0</v>
      </c>
      <c r="O682" t="n">
        <v>0</v>
      </c>
      <c r="P682" t="n">
        <v>0</v>
      </c>
      <c r="Q682" t="n">
        <v>0</v>
      </c>
      <c r="R682" s="2" t="inlineStr"/>
    </row>
    <row r="683" ht="15" customHeight="1">
      <c r="A683" t="inlineStr">
        <is>
          <t>A 9185-2024</t>
        </is>
      </c>
      <c r="B683" s="1" t="n">
        <v>45358</v>
      </c>
      <c r="C683" s="1" t="n">
        <v>45510</v>
      </c>
      <c r="D683" t="inlineStr">
        <is>
          <t>UPPSALA LÄN</t>
        </is>
      </c>
      <c r="E683" t="inlineStr">
        <is>
          <t>ENKÖPING</t>
        </is>
      </c>
      <c r="G683" t="n">
        <v>4.4</v>
      </c>
      <c r="H683" t="n">
        <v>0</v>
      </c>
      <c r="I683" t="n">
        <v>0</v>
      </c>
      <c r="J683" t="n">
        <v>0</v>
      </c>
      <c r="K683" t="n">
        <v>0</v>
      </c>
      <c r="L683" t="n">
        <v>0</v>
      </c>
      <c r="M683" t="n">
        <v>0</v>
      </c>
      <c r="N683" t="n">
        <v>0</v>
      </c>
      <c r="O683" t="n">
        <v>0</v>
      </c>
      <c r="P683" t="n">
        <v>0</v>
      </c>
      <c r="Q683" t="n">
        <v>0</v>
      </c>
      <c r="R683" s="2" t="inlineStr"/>
    </row>
    <row r="684" ht="15" customHeight="1">
      <c r="A684" t="inlineStr">
        <is>
          <t>A 9174-2024</t>
        </is>
      </c>
      <c r="B684" s="1" t="n">
        <v>45358</v>
      </c>
      <c r="C684" s="1" t="n">
        <v>45510</v>
      </c>
      <c r="D684" t="inlineStr">
        <is>
          <t>UPPSALA LÄN</t>
        </is>
      </c>
      <c r="E684" t="inlineStr">
        <is>
          <t>ENKÖPING</t>
        </is>
      </c>
      <c r="G684" t="n">
        <v>3.3</v>
      </c>
      <c r="H684" t="n">
        <v>0</v>
      </c>
      <c r="I684" t="n">
        <v>0</v>
      </c>
      <c r="J684" t="n">
        <v>0</v>
      </c>
      <c r="K684" t="n">
        <v>0</v>
      </c>
      <c r="L684" t="n">
        <v>0</v>
      </c>
      <c r="M684" t="n">
        <v>0</v>
      </c>
      <c r="N684" t="n">
        <v>0</v>
      </c>
      <c r="O684" t="n">
        <v>0</v>
      </c>
      <c r="P684" t="n">
        <v>0</v>
      </c>
      <c r="Q684" t="n">
        <v>0</v>
      </c>
      <c r="R684" s="2" t="inlineStr"/>
    </row>
    <row r="685" ht="15" customHeight="1">
      <c r="A685" t="inlineStr">
        <is>
          <t>A 9171-2024</t>
        </is>
      </c>
      <c r="B685" s="1" t="n">
        <v>45358</v>
      </c>
      <c r="C685" s="1" t="n">
        <v>45510</v>
      </c>
      <c r="D685" t="inlineStr">
        <is>
          <t>UPPSALA LÄN</t>
        </is>
      </c>
      <c r="E685" t="inlineStr">
        <is>
          <t>ENKÖPING</t>
        </is>
      </c>
      <c r="G685" t="n">
        <v>1.8</v>
      </c>
      <c r="H685" t="n">
        <v>0</v>
      </c>
      <c r="I685" t="n">
        <v>0</v>
      </c>
      <c r="J685" t="n">
        <v>0</v>
      </c>
      <c r="K685" t="n">
        <v>0</v>
      </c>
      <c r="L685" t="n">
        <v>0</v>
      </c>
      <c r="M685" t="n">
        <v>0</v>
      </c>
      <c r="N685" t="n">
        <v>0</v>
      </c>
      <c r="O685" t="n">
        <v>0</v>
      </c>
      <c r="P685" t="n">
        <v>0</v>
      </c>
      <c r="Q685" t="n">
        <v>0</v>
      </c>
      <c r="R685" s="2" t="inlineStr"/>
    </row>
    <row r="686" ht="15" customHeight="1">
      <c r="A686" t="inlineStr">
        <is>
          <t>A 9175-2024</t>
        </is>
      </c>
      <c r="B686" s="1" t="n">
        <v>45358</v>
      </c>
      <c r="C686" s="1" t="n">
        <v>45510</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9192-2024</t>
        </is>
      </c>
      <c r="B687" s="1" t="n">
        <v>45358</v>
      </c>
      <c r="C687" s="1" t="n">
        <v>45510</v>
      </c>
      <c r="D687" t="inlineStr">
        <is>
          <t>UPPSALA LÄN</t>
        </is>
      </c>
      <c r="E687" t="inlineStr">
        <is>
          <t>ENKÖPING</t>
        </is>
      </c>
      <c r="G687" t="n">
        <v>0.7</v>
      </c>
      <c r="H687" t="n">
        <v>0</v>
      </c>
      <c r="I687" t="n">
        <v>0</v>
      </c>
      <c r="J687" t="n">
        <v>0</v>
      </c>
      <c r="K687" t="n">
        <v>0</v>
      </c>
      <c r="L687" t="n">
        <v>0</v>
      </c>
      <c r="M687" t="n">
        <v>0</v>
      </c>
      <c r="N687" t="n">
        <v>0</v>
      </c>
      <c r="O687" t="n">
        <v>0</v>
      </c>
      <c r="P687" t="n">
        <v>0</v>
      </c>
      <c r="Q687" t="n">
        <v>0</v>
      </c>
      <c r="R687" s="2" t="inlineStr"/>
    </row>
    <row r="688" ht="15" customHeight="1">
      <c r="A688" t="inlineStr">
        <is>
          <t>A 9667-2024</t>
        </is>
      </c>
      <c r="B688" s="1" t="n">
        <v>45362</v>
      </c>
      <c r="C688" s="1" t="n">
        <v>45510</v>
      </c>
      <c r="D688" t="inlineStr">
        <is>
          <t>UPPSALA LÄN</t>
        </is>
      </c>
      <c r="E688" t="inlineStr">
        <is>
          <t>ENKÖPING</t>
        </is>
      </c>
      <c r="G688" t="n">
        <v>0.5</v>
      </c>
      <c r="H688" t="n">
        <v>0</v>
      </c>
      <c r="I688" t="n">
        <v>0</v>
      </c>
      <c r="J688" t="n">
        <v>0</v>
      </c>
      <c r="K688" t="n">
        <v>0</v>
      </c>
      <c r="L688" t="n">
        <v>0</v>
      </c>
      <c r="M688" t="n">
        <v>0</v>
      </c>
      <c r="N688" t="n">
        <v>0</v>
      </c>
      <c r="O688" t="n">
        <v>0</v>
      </c>
      <c r="P688" t="n">
        <v>0</v>
      </c>
      <c r="Q688" t="n">
        <v>0</v>
      </c>
      <c r="R688" s="2" t="inlineStr"/>
    </row>
    <row r="689" ht="15" customHeight="1">
      <c r="A689" t="inlineStr">
        <is>
          <t>A 10829-2024</t>
        </is>
      </c>
      <c r="B689" s="1" t="n">
        <v>45369</v>
      </c>
      <c r="C689" s="1" t="n">
        <v>45510</v>
      </c>
      <c r="D689" t="inlineStr">
        <is>
          <t>UPPSALA LÄN</t>
        </is>
      </c>
      <c r="E689" t="inlineStr">
        <is>
          <t>ENKÖPING</t>
        </is>
      </c>
      <c r="G689" t="n">
        <v>2.1</v>
      </c>
      <c r="H689" t="n">
        <v>0</v>
      </c>
      <c r="I689" t="n">
        <v>0</v>
      </c>
      <c r="J689" t="n">
        <v>0</v>
      </c>
      <c r="K689" t="n">
        <v>0</v>
      </c>
      <c r="L689" t="n">
        <v>0</v>
      </c>
      <c r="M689" t="n">
        <v>0</v>
      </c>
      <c r="N689" t="n">
        <v>0</v>
      </c>
      <c r="O689" t="n">
        <v>0</v>
      </c>
      <c r="P689" t="n">
        <v>0</v>
      </c>
      <c r="Q689" t="n">
        <v>0</v>
      </c>
      <c r="R689" s="2" t="inlineStr"/>
    </row>
    <row r="690" ht="15" customHeight="1">
      <c r="A690" t="inlineStr">
        <is>
          <t>A 10756-2024</t>
        </is>
      </c>
      <c r="B690" s="1" t="n">
        <v>45369</v>
      </c>
      <c r="C690" s="1" t="n">
        <v>45510</v>
      </c>
      <c r="D690" t="inlineStr">
        <is>
          <t>UPPSALA LÄN</t>
        </is>
      </c>
      <c r="E690" t="inlineStr">
        <is>
          <t>ENKÖPING</t>
        </is>
      </c>
      <c r="G690" t="n">
        <v>1.1</v>
      </c>
      <c r="H690" t="n">
        <v>0</v>
      </c>
      <c r="I690" t="n">
        <v>0</v>
      </c>
      <c r="J690" t="n">
        <v>0</v>
      </c>
      <c r="K690" t="n">
        <v>0</v>
      </c>
      <c r="L690" t="n">
        <v>0</v>
      </c>
      <c r="M690" t="n">
        <v>0</v>
      </c>
      <c r="N690" t="n">
        <v>0</v>
      </c>
      <c r="O690" t="n">
        <v>0</v>
      </c>
      <c r="P690" t="n">
        <v>0</v>
      </c>
      <c r="Q690" t="n">
        <v>0</v>
      </c>
      <c r="R690" s="2" t="inlineStr"/>
    </row>
    <row r="691" ht="15" customHeight="1">
      <c r="A691" t="inlineStr">
        <is>
          <t>A 10752-2024</t>
        </is>
      </c>
      <c r="B691" s="1" t="n">
        <v>45369</v>
      </c>
      <c r="C691" s="1" t="n">
        <v>45510</v>
      </c>
      <c r="D691" t="inlineStr">
        <is>
          <t>UPPSALA LÄN</t>
        </is>
      </c>
      <c r="E691" t="inlineStr">
        <is>
          <t>ENKÖPING</t>
        </is>
      </c>
      <c r="G691" t="n">
        <v>2.7</v>
      </c>
      <c r="H691" t="n">
        <v>0</v>
      </c>
      <c r="I691" t="n">
        <v>0</v>
      </c>
      <c r="J691" t="n">
        <v>0</v>
      </c>
      <c r="K691" t="n">
        <v>0</v>
      </c>
      <c r="L691" t="n">
        <v>0</v>
      </c>
      <c r="M691" t="n">
        <v>0</v>
      </c>
      <c r="N691" t="n">
        <v>0</v>
      </c>
      <c r="O691" t="n">
        <v>0</v>
      </c>
      <c r="P691" t="n">
        <v>0</v>
      </c>
      <c r="Q691" t="n">
        <v>0</v>
      </c>
      <c r="R691" s="2" t="inlineStr"/>
    </row>
    <row r="692" ht="15" customHeight="1">
      <c r="A692" t="inlineStr">
        <is>
          <t>A 10832-2024</t>
        </is>
      </c>
      <c r="B692" s="1" t="n">
        <v>45369</v>
      </c>
      <c r="C692" s="1" t="n">
        <v>45510</v>
      </c>
      <c r="D692" t="inlineStr">
        <is>
          <t>UPPSALA LÄN</t>
        </is>
      </c>
      <c r="E692" t="inlineStr">
        <is>
          <t>ENKÖPING</t>
        </is>
      </c>
      <c r="G692" t="n">
        <v>7.3</v>
      </c>
      <c r="H692" t="n">
        <v>0</v>
      </c>
      <c r="I692" t="n">
        <v>0</v>
      </c>
      <c r="J692" t="n">
        <v>0</v>
      </c>
      <c r="K692" t="n">
        <v>0</v>
      </c>
      <c r="L692" t="n">
        <v>0</v>
      </c>
      <c r="M692" t="n">
        <v>0</v>
      </c>
      <c r="N692" t="n">
        <v>0</v>
      </c>
      <c r="O692" t="n">
        <v>0</v>
      </c>
      <c r="P692" t="n">
        <v>0</v>
      </c>
      <c r="Q692" t="n">
        <v>0</v>
      </c>
      <c r="R692" s="2" t="inlineStr"/>
    </row>
    <row r="693" ht="15" customHeight="1">
      <c r="A693" t="inlineStr">
        <is>
          <t>A 10831-2024</t>
        </is>
      </c>
      <c r="B693" s="1" t="n">
        <v>45369</v>
      </c>
      <c r="C693" s="1" t="n">
        <v>45510</v>
      </c>
      <c r="D693" t="inlineStr">
        <is>
          <t>UPPSALA LÄN</t>
        </is>
      </c>
      <c r="E693" t="inlineStr">
        <is>
          <t>ENKÖPING</t>
        </is>
      </c>
      <c r="G693" t="n">
        <v>2.9</v>
      </c>
      <c r="H693" t="n">
        <v>0</v>
      </c>
      <c r="I693" t="n">
        <v>0</v>
      </c>
      <c r="J693" t="n">
        <v>0</v>
      </c>
      <c r="K693" t="n">
        <v>0</v>
      </c>
      <c r="L693" t="n">
        <v>0</v>
      </c>
      <c r="M693" t="n">
        <v>0</v>
      </c>
      <c r="N693" t="n">
        <v>0</v>
      </c>
      <c r="O693" t="n">
        <v>0</v>
      </c>
      <c r="P693" t="n">
        <v>0</v>
      </c>
      <c r="Q693" t="n">
        <v>0</v>
      </c>
      <c r="R693" s="2" t="inlineStr"/>
    </row>
    <row r="694" ht="15" customHeight="1">
      <c r="A694" t="inlineStr">
        <is>
          <t>A 11503-2024</t>
        </is>
      </c>
      <c r="B694" s="1" t="n">
        <v>45372</v>
      </c>
      <c r="C694" s="1" t="n">
        <v>45510</v>
      </c>
      <c r="D694" t="inlineStr">
        <is>
          <t>UPPSALA LÄN</t>
        </is>
      </c>
      <c r="E694" t="inlineStr">
        <is>
          <t>ENKÖPING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11908-2024</t>
        </is>
      </c>
      <c r="B695" s="1" t="n">
        <v>45376</v>
      </c>
      <c r="C695" s="1" t="n">
        <v>45510</v>
      </c>
      <c r="D695" t="inlineStr">
        <is>
          <t>UPPSALA LÄN</t>
        </is>
      </c>
      <c r="E695" t="inlineStr">
        <is>
          <t>ENKÖPING</t>
        </is>
      </c>
      <c r="G695" t="n">
        <v>7.9</v>
      </c>
      <c r="H695" t="n">
        <v>0</v>
      </c>
      <c r="I695" t="n">
        <v>0</v>
      </c>
      <c r="J695" t="n">
        <v>0</v>
      </c>
      <c r="K695" t="n">
        <v>0</v>
      </c>
      <c r="L695" t="n">
        <v>0</v>
      </c>
      <c r="M695" t="n">
        <v>0</v>
      </c>
      <c r="N695" t="n">
        <v>0</v>
      </c>
      <c r="O695" t="n">
        <v>0</v>
      </c>
      <c r="P695" t="n">
        <v>0</v>
      </c>
      <c r="Q695" t="n">
        <v>0</v>
      </c>
      <c r="R695" s="2" t="inlineStr"/>
    </row>
    <row r="696" ht="15" customHeight="1">
      <c r="A696" t="inlineStr">
        <is>
          <t>A 12020-2024</t>
        </is>
      </c>
      <c r="B696" s="1" t="n">
        <v>45377</v>
      </c>
      <c r="C696" s="1" t="n">
        <v>45510</v>
      </c>
      <c r="D696" t="inlineStr">
        <is>
          <t>UPPSALA LÄN</t>
        </is>
      </c>
      <c r="E696" t="inlineStr">
        <is>
          <t>ENKÖPING</t>
        </is>
      </c>
      <c r="G696" t="n">
        <v>2</v>
      </c>
      <c r="H696" t="n">
        <v>0</v>
      </c>
      <c r="I696" t="n">
        <v>0</v>
      </c>
      <c r="J696" t="n">
        <v>0</v>
      </c>
      <c r="K696" t="n">
        <v>0</v>
      </c>
      <c r="L696" t="n">
        <v>0</v>
      </c>
      <c r="M696" t="n">
        <v>0</v>
      </c>
      <c r="N696" t="n">
        <v>0</v>
      </c>
      <c r="O696" t="n">
        <v>0</v>
      </c>
      <c r="P696" t="n">
        <v>0</v>
      </c>
      <c r="Q696" t="n">
        <v>0</v>
      </c>
      <c r="R696" s="2" t="inlineStr"/>
    </row>
    <row r="697" ht="15" customHeight="1">
      <c r="A697" t="inlineStr">
        <is>
          <t>A 12102-2024</t>
        </is>
      </c>
      <c r="B697" s="1" t="n">
        <v>45377</v>
      </c>
      <c r="C697" s="1" t="n">
        <v>45510</v>
      </c>
      <c r="D697" t="inlineStr">
        <is>
          <t>UPPSALA LÄN</t>
        </is>
      </c>
      <c r="E697" t="inlineStr">
        <is>
          <t>ENKÖPING</t>
        </is>
      </c>
      <c r="G697" t="n">
        <v>0.6</v>
      </c>
      <c r="H697" t="n">
        <v>0</v>
      </c>
      <c r="I697" t="n">
        <v>0</v>
      </c>
      <c r="J697" t="n">
        <v>0</v>
      </c>
      <c r="K697" t="n">
        <v>0</v>
      </c>
      <c r="L697" t="n">
        <v>0</v>
      </c>
      <c r="M697" t="n">
        <v>0</v>
      </c>
      <c r="N697" t="n">
        <v>0</v>
      </c>
      <c r="O697" t="n">
        <v>0</v>
      </c>
      <c r="P697" t="n">
        <v>0</v>
      </c>
      <c r="Q697" t="n">
        <v>0</v>
      </c>
      <c r="R697" s="2" t="inlineStr"/>
    </row>
    <row r="698" ht="15" customHeight="1">
      <c r="A698" t="inlineStr">
        <is>
          <t>A 12751-2024</t>
        </is>
      </c>
      <c r="B698" s="1" t="n">
        <v>45384</v>
      </c>
      <c r="C698" s="1" t="n">
        <v>45510</v>
      </c>
      <c r="D698" t="inlineStr">
        <is>
          <t>UPPSALA LÄN</t>
        </is>
      </c>
      <c r="E698" t="inlineStr">
        <is>
          <t>ENKÖPING</t>
        </is>
      </c>
      <c r="G698" t="n">
        <v>0.8</v>
      </c>
      <c r="H698" t="n">
        <v>0</v>
      </c>
      <c r="I698" t="n">
        <v>0</v>
      </c>
      <c r="J698" t="n">
        <v>0</v>
      </c>
      <c r="K698" t="n">
        <v>0</v>
      </c>
      <c r="L698" t="n">
        <v>0</v>
      </c>
      <c r="M698" t="n">
        <v>0</v>
      </c>
      <c r="N698" t="n">
        <v>0</v>
      </c>
      <c r="O698" t="n">
        <v>0</v>
      </c>
      <c r="P698" t="n">
        <v>0</v>
      </c>
      <c r="Q698" t="n">
        <v>0</v>
      </c>
      <c r="R698" s="2" t="inlineStr"/>
    </row>
    <row r="699" ht="15" customHeight="1">
      <c r="A699" t="inlineStr">
        <is>
          <t>A 12958-2024</t>
        </is>
      </c>
      <c r="B699" s="1" t="n">
        <v>45385</v>
      </c>
      <c r="C699" s="1" t="n">
        <v>45510</v>
      </c>
      <c r="D699" t="inlineStr">
        <is>
          <t>UPPSALA LÄN</t>
        </is>
      </c>
      <c r="E699" t="inlineStr">
        <is>
          <t>ENKÖPING</t>
        </is>
      </c>
      <c r="G699" t="n">
        <v>2.1</v>
      </c>
      <c r="H699" t="n">
        <v>0</v>
      </c>
      <c r="I699" t="n">
        <v>0</v>
      </c>
      <c r="J699" t="n">
        <v>0</v>
      </c>
      <c r="K699" t="n">
        <v>0</v>
      </c>
      <c r="L699" t="n">
        <v>0</v>
      </c>
      <c r="M699" t="n">
        <v>0</v>
      </c>
      <c r="N699" t="n">
        <v>0</v>
      </c>
      <c r="O699" t="n">
        <v>0</v>
      </c>
      <c r="P699" t="n">
        <v>0</v>
      </c>
      <c r="Q699" t="n">
        <v>0</v>
      </c>
      <c r="R699" s="2" t="inlineStr"/>
    </row>
    <row r="700" ht="15" customHeight="1">
      <c r="A700" t="inlineStr">
        <is>
          <t>A 13247-2024</t>
        </is>
      </c>
      <c r="B700" s="1" t="n">
        <v>45386</v>
      </c>
      <c r="C700" s="1" t="n">
        <v>45510</v>
      </c>
      <c r="D700" t="inlineStr">
        <is>
          <t>UPPSALA LÄN</t>
        </is>
      </c>
      <c r="E700" t="inlineStr">
        <is>
          <t>ENKÖPING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13168-2024</t>
        </is>
      </c>
      <c r="B701" s="1" t="n">
        <v>45386</v>
      </c>
      <c r="C701" s="1" t="n">
        <v>45510</v>
      </c>
      <c r="D701" t="inlineStr">
        <is>
          <t>UPPSALA LÄN</t>
        </is>
      </c>
      <c r="E701" t="inlineStr">
        <is>
          <t>ENKÖPING</t>
        </is>
      </c>
      <c r="G701" t="n">
        <v>3.5</v>
      </c>
      <c r="H701" t="n">
        <v>0</v>
      </c>
      <c r="I701" t="n">
        <v>0</v>
      </c>
      <c r="J701" t="n">
        <v>0</v>
      </c>
      <c r="K701" t="n">
        <v>0</v>
      </c>
      <c r="L701" t="n">
        <v>0</v>
      </c>
      <c r="M701" t="n">
        <v>0</v>
      </c>
      <c r="N701" t="n">
        <v>0</v>
      </c>
      <c r="O701" t="n">
        <v>0</v>
      </c>
      <c r="P701" t="n">
        <v>0</v>
      </c>
      <c r="Q701" t="n">
        <v>0</v>
      </c>
      <c r="R701" s="2" t="inlineStr"/>
    </row>
    <row r="702" ht="15" customHeight="1">
      <c r="A702" t="inlineStr">
        <is>
          <t>A 13530-2024</t>
        </is>
      </c>
      <c r="B702" s="1" t="n">
        <v>45387</v>
      </c>
      <c r="C702" s="1" t="n">
        <v>45510</v>
      </c>
      <c r="D702" t="inlineStr">
        <is>
          <t>UPPSALA LÄN</t>
        </is>
      </c>
      <c r="E702" t="inlineStr">
        <is>
          <t>ENKÖPING</t>
        </is>
      </c>
      <c r="G702" t="n">
        <v>2.6</v>
      </c>
      <c r="H702" t="n">
        <v>0</v>
      </c>
      <c r="I702" t="n">
        <v>0</v>
      </c>
      <c r="J702" t="n">
        <v>0</v>
      </c>
      <c r="K702" t="n">
        <v>0</v>
      </c>
      <c r="L702" t="n">
        <v>0</v>
      </c>
      <c r="M702" t="n">
        <v>0</v>
      </c>
      <c r="N702" t="n">
        <v>0</v>
      </c>
      <c r="O702" t="n">
        <v>0</v>
      </c>
      <c r="P702" t="n">
        <v>0</v>
      </c>
      <c r="Q702" t="n">
        <v>0</v>
      </c>
      <c r="R702" s="2" t="inlineStr"/>
    </row>
    <row r="703" ht="15" customHeight="1">
      <c r="A703" t="inlineStr">
        <is>
          <t>A 13528-2024</t>
        </is>
      </c>
      <c r="B703" s="1" t="n">
        <v>45387</v>
      </c>
      <c r="C703" s="1" t="n">
        <v>45510</v>
      </c>
      <c r="D703" t="inlineStr">
        <is>
          <t>UPPSALA LÄN</t>
        </is>
      </c>
      <c r="E703" t="inlineStr">
        <is>
          <t>ENKÖPING</t>
        </is>
      </c>
      <c r="G703" t="n">
        <v>5.7</v>
      </c>
      <c r="H703" t="n">
        <v>0</v>
      </c>
      <c r="I703" t="n">
        <v>0</v>
      </c>
      <c r="J703" t="n">
        <v>0</v>
      </c>
      <c r="K703" t="n">
        <v>0</v>
      </c>
      <c r="L703" t="n">
        <v>0</v>
      </c>
      <c r="M703" t="n">
        <v>0</v>
      </c>
      <c r="N703" t="n">
        <v>0</v>
      </c>
      <c r="O703" t="n">
        <v>0</v>
      </c>
      <c r="P703" t="n">
        <v>0</v>
      </c>
      <c r="Q703" t="n">
        <v>0</v>
      </c>
      <c r="R703" s="2" t="inlineStr"/>
    </row>
    <row r="704" ht="15" customHeight="1">
      <c r="A704" t="inlineStr">
        <is>
          <t>A 14334-2024</t>
        </is>
      </c>
      <c r="B704" s="1" t="n">
        <v>45393</v>
      </c>
      <c r="C704" s="1" t="n">
        <v>45510</v>
      </c>
      <c r="D704" t="inlineStr">
        <is>
          <t>UPPSALA LÄN</t>
        </is>
      </c>
      <c r="E704" t="inlineStr">
        <is>
          <t>ENKÖPING</t>
        </is>
      </c>
      <c r="G704" t="n">
        <v>1.8</v>
      </c>
      <c r="H704" t="n">
        <v>0</v>
      </c>
      <c r="I704" t="n">
        <v>0</v>
      </c>
      <c r="J704" t="n">
        <v>0</v>
      </c>
      <c r="K704" t="n">
        <v>0</v>
      </c>
      <c r="L704" t="n">
        <v>0</v>
      </c>
      <c r="M704" t="n">
        <v>0</v>
      </c>
      <c r="N704" t="n">
        <v>0</v>
      </c>
      <c r="O704" t="n">
        <v>0</v>
      </c>
      <c r="P704" t="n">
        <v>0</v>
      </c>
      <c r="Q704" t="n">
        <v>0</v>
      </c>
      <c r="R704" s="2" t="inlineStr"/>
    </row>
    <row r="705" ht="15" customHeight="1">
      <c r="A705" t="inlineStr">
        <is>
          <t>A 14332-2024</t>
        </is>
      </c>
      <c r="B705" s="1" t="n">
        <v>45393</v>
      </c>
      <c r="C705" s="1" t="n">
        <v>45510</v>
      </c>
      <c r="D705" t="inlineStr">
        <is>
          <t>UPPSALA LÄN</t>
        </is>
      </c>
      <c r="E705" t="inlineStr">
        <is>
          <t>ENKÖPING</t>
        </is>
      </c>
      <c r="G705" t="n">
        <v>0.9</v>
      </c>
      <c r="H705" t="n">
        <v>0</v>
      </c>
      <c r="I705" t="n">
        <v>0</v>
      </c>
      <c r="J705" t="n">
        <v>0</v>
      </c>
      <c r="K705" t="n">
        <v>0</v>
      </c>
      <c r="L705" t="n">
        <v>0</v>
      </c>
      <c r="M705" t="n">
        <v>0</v>
      </c>
      <c r="N705" t="n">
        <v>0</v>
      </c>
      <c r="O705" t="n">
        <v>0</v>
      </c>
      <c r="P705" t="n">
        <v>0</v>
      </c>
      <c r="Q705" t="n">
        <v>0</v>
      </c>
      <c r="R705" s="2" t="inlineStr"/>
    </row>
    <row r="706" ht="15" customHeight="1">
      <c r="A706" t="inlineStr">
        <is>
          <t>A 15823-2024</t>
        </is>
      </c>
      <c r="B706" s="1" t="n">
        <v>45404</v>
      </c>
      <c r="C706" s="1" t="n">
        <v>45510</v>
      </c>
      <c r="D706" t="inlineStr">
        <is>
          <t>UPPSALA LÄN</t>
        </is>
      </c>
      <c r="E706" t="inlineStr">
        <is>
          <t>ENKÖPING</t>
        </is>
      </c>
      <c r="G706" t="n">
        <v>1.4</v>
      </c>
      <c r="H706" t="n">
        <v>0</v>
      </c>
      <c r="I706" t="n">
        <v>0</v>
      </c>
      <c r="J706" t="n">
        <v>0</v>
      </c>
      <c r="K706" t="n">
        <v>0</v>
      </c>
      <c r="L706" t="n">
        <v>0</v>
      </c>
      <c r="M706" t="n">
        <v>0</v>
      </c>
      <c r="N706" t="n">
        <v>0</v>
      </c>
      <c r="O706" t="n">
        <v>0</v>
      </c>
      <c r="P706" t="n">
        <v>0</v>
      </c>
      <c r="Q706" t="n">
        <v>0</v>
      </c>
      <c r="R706" s="2" t="inlineStr"/>
    </row>
    <row r="707" ht="15" customHeight="1">
      <c r="A707" t="inlineStr">
        <is>
          <t>A 15816-2024</t>
        </is>
      </c>
      <c r="B707" s="1" t="n">
        <v>45404</v>
      </c>
      <c r="C707" s="1" t="n">
        <v>45510</v>
      </c>
      <c r="D707" t="inlineStr">
        <is>
          <t>UPPSALA LÄN</t>
        </is>
      </c>
      <c r="E707" t="inlineStr">
        <is>
          <t>ENKÖPING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15824-2024</t>
        </is>
      </c>
      <c r="B708" s="1" t="n">
        <v>45404</v>
      </c>
      <c r="C708" s="1" t="n">
        <v>45510</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15814-2024</t>
        </is>
      </c>
      <c r="B709" s="1" t="n">
        <v>45404</v>
      </c>
      <c r="C709" s="1" t="n">
        <v>45510</v>
      </c>
      <c r="D709" t="inlineStr">
        <is>
          <t>UPPSALA LÄN</t>
        </is>
      </c>
      <c r="E709" t="inlineStr">
        <is>
          <t>ENKÖPING</t>
        </is>
      </c>
      <c r="G709" t="n">
        <v>3.3</v>
      </c>
      <c r="H709" t="n">
        <v>0</v>
      </c>
      <c r="I709" t="n">
        <v>0</v>
      </c>
      <c r="J709" t="n">
        <v>0</v>
      </c>
      <c r="K709" t="n">
        <v>0</v>
      </c>
      <c r="L709" t="n">
        <v>0</v>
      </c>
      <c r="M709" t="n">
        <v>0</v>
      </c>
      <c r="N709" t="n">
        <v>0</v>
      </c>
      <c r="O709" t="n">
        <v>0</v>
      </c>
      <c r="P709" t="n">
        <v>0</v>
      </c>
      <c r="Q709" t="n">
        <v>0</v>
      </c>
      <c r="R709" s="2" t="inlineStr"/>
    </row>
    <row r="710" ht="15" customHeight="1">
      <c r="A710" t="inlineStr">
        <is>
          <t>A 15826-2024</t>
        </is>
      </c>
      <c r="B710" s="1" t="n">
        <v>45404</v>
      </c>
      <c r="C710" s="1" t="n">
        <v>45510</v>
      </c>
      <c r="D710" t="inlineStr">
        <is>
          <t>UPPSALA LÄN</t>
        </is>
      </c>
      <c r="E710" t="inlineStr">
        <is>
          <t>ENKÖPING</t>
        </is>
      </c>
      <c r="G710" t="n">
        <v>0.7</v>
      </c>
      <c r="H710" t="n">
        <v>0</v>
      </c>
      <c r="I710" t="n">
        <v>0</v>
      </c>
      <c r="J710" t="n">
        <v>0</v>
      </c>
      <c r="K710" t="n">
        <v>0</v>
      </c>
      <c r="L710" t="n">
        <v>0</v>
      </c>
      <c r="M710" t="n">
        <v>0</v>
      </c>
      <c r="N710" t="n">
        <v>0</v>
      </c>
      <c r="O710" t="n">
        <v>0</v>
      </c>
      <c r="P710" t="n">
        <v>0</v>
      </c>
      <c r="Q710" t="n">
        <v>0</v>
      </c>
      <c r="R710" s="2" t="inlineStr"/>
    </row>
    <row r="711" ht="15" customHeight="1">
      <c r="A711" t="inlineStr">
        <is>
          <t>A 15813-2024</t>
        </is>
      </c>
      <c r="B711" s="1" t="n">
        <v>45404</v>
      </c>
      <c r="C711" s="1" t="n">
        <v>45510</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15878-2024</t>
        </is>
      </c>
      <c r="B712" s="1" t="n">
        <v>45405</v>
      </c>
      <c r="C712" s="1" t="n">
        <v>45510</v>
      </c>
      <c r="D712" t="inlineStr">
        <is>
          <t>UPPSALA LÄN</t>
        </is>
      </c>
      <c r="E712" t="inlineStr">
        <is>
          <t>ENKÖPING</t>
        </is>
      </c>
      <c r="G712" t="n">
        <v>2.1</v>
      </c>
      <c r="H712" t="n">
        <v>0</v>
      </c>
      <c r="I712" t="n">
        <v>0</v>
      </c>
      <c r="J712" t="n">
        <v>0</v>
      </c>
      <c r="K712" t="n">
        <v>0</v>
      </c>
      <c r="L712" t="n">
        <v>0</v>
      </c>
      <c r="M712" t="n">
        <v>0</v>
      </c>
      <c r="N712" t="n">
        <v>0</v>
      </c>
      <c r="O712" t="n">
        <v>0</v>
      </c>
      <c r="P712" t="n">
        <v>0</v>
      </c>
      <c r="Q712" t="n">
        <v>0</v>
      </c>
      <c r="R712" s="2" t="inlineStr"/>
    </row>
    <row r="713" ht="15" customHeight="1">
      <c r="A713" t="inlineStr">
        <is>
          <t>A 15893-2024</t>
        </is>
      </c>
      <c r="B713" s="1" t="n">
        <v>45405</v>
      </c>
      <c r="C713" s="1" t="n">
        <v>45510</v>
      </c>
      <c r="D713" t="inlineStr">
        <is>
          <t>UPPSALA LÄN</t>
        </is>
      </c>
      <c r="E713" t="inlineStr">
        <is>
          <t>ENKÖPING</t>
        </is>
      </c>
      <c r="G713" t="n">
        <v>1.9</v>
      </c>
      <c r="H713" t="n">
        <v>0</v>
      </c>
      <c r="I713" t="n">
        <v>0</v>
      </c>
      <c r="J713" t="n">
        <v>0</v>
      </c>
      <c r="K713" t="n">
        <v>0</v>
      </c>
      <c r="L713" t="n">
        <v>0</v>
      </c>
      <c r="M713" t="n">
        <v>0</v>
      </c>
      <c r="N713" t="n">
        <v>0</v>
      </c>
      <c r="O713" t="n">
        <v>0</v>
      </c>
      <c r="P713" t="n">
        <v>0</v>
      </c>
      <c r="Q713" t="n">
        <v>0</v>
      </c>
      <c r="R713" s="2" t="inlineStr"/>
    </row>
    <row r="714" ht="15" customHeight="1">
      <c r="A714" t="inlineStr">
        <is>
          <t>A 19147-2024</t>
        </is>
      </c>
      <c r="B714" s="1" t="n">
        <v>45428</v>
      </c>
      <c r="C714" s="1" t="n">
        <v>45510</v>
      </c>
      <c r="D714" t="inlineStr">
        <is>
          <t>UPPSALA LÄN</t>
        </is>
      </c>
      <c r="E714" t="inlineStr">
        <is>
          <t>ENKÖPING</t>
        </is>
      </c>
      <c r="G714" t="n">
        <v>1.9</v>
      </c>
      <c r="H714" t="n">
        <v>0</v>
      </c>
      <c r="I714" t="n">
        <v>0</v>
      </c>
      <c r="J714" t="n">
        <v>0</v>
      </c>
      <c r="K714" t="n">
        <v>0</v>
      </c>
      <c r="L714" t="n">
        <v>0</v>
      </c>
      <c r="M714" t="n">
        <v>0</v>
      </c>
      <c r="N714" t="n">
        <v>0</v>
      </c>
      <c r="O714" t="n">
        <v>0</v>
      </c>
      <c r="P714" t="n">
        <v>0</v>
      </c>
      <c r="Q714" t="n">
        <v>0</v>
      </c>
      <c r="R714" s="2" t="inlineStr"/>
    </row>
    <row r="715" ht="15" customHeight="1">
      <c r="A715" t="inlineStr">
        <is>
          <t>A 19378-2024</t>
        </is>
      </c>
      <c r="B715" s="1" t="n">
        <v>45429</v>
      </c>
      <c r="C715" s="1" t="n">
        <v>45510</v>
      </c>
      <c r="D715" t="inlineStr">
        <is>
          <t>UPPSALA LÄN</t>
        </is>
      </c>
      <c r="E715" t="inlineStr">
        <is>
          <t>ENKÖPING</t>
        </is>
      </c>
      <c r="G715" t="n">
        <v>0.8</v>
      </c>
      <c r="H715" t="n">
        <v>0</v>
      </c>
      <c r="I715" t="n">
        <v>0</v>
      </c>
      <c r="J715" t="n">
        <v>0</v>
      </c>
      <c r="K715" t="n">
        <v>0</v>
      </c>
      <c r="L715" t="n">
        <v>0</v>
      </c>
      <c r="M715" t="n">
        <v>0</v>
      </c>
      <c r="N715" t="n">
        <v>0</v>
      </c>
      <c r="O715" t="n">
        <v>0</v>
      </c>
      <c r="P715" t="n">
        <v>0</v>
      </c>
      <c r="Q715" t="n">
        <v>0</v>
      </c>
      <c r="R715" s="2" t="inlineStr"/>
    </row>
    <row r="716" ht="15" customHeight="1">
      <c r="A716" t="inlineStr">
        <is>
          <t>A 19376-2024</t>
        </is>
      </c>
      <c r="B716" s="1" t="n">
        <v>45429</v>
      </c>
      <c r="C716" s="1" t="n">
        <v>45510</v>
      </c>
      <c r="D716" t="inlineStr">
        <is>
          <t>UPPSALA LÄN</t>
        </is>
      </c>
      <c r="E716" t="inlineStr">
        <is>
          <t>ENKÖPING</t>
        </is>
      </c>
      <c r="G716" t="n">
        <v>1.6</v>
      </c>
      <c r="H716" t="n">
        <v>0</v>
      </c>
      <c r="I716" t="n">
        <v>0</v>
      </c>
      <c r="J716" t="n">
        <v>0</v>
      </c>
      <c r="K716" t="n">
        <v>0</v>
      </c>
      <c r="L716" t="n">
        <v>0</v>
      </c>
      <c r="M716" t="n">
        <v>0</v>
      </c>
      <c r="N716" t="n">
        <v>0</v>
      </c>
      <c r="O716" t="n">
        <v>0</v>
      </c>
      <c r="P716" t="n">
        <v>0</v>
      </c>
      <c r="Q716" t="n">
        <v>0</v>
      </c>
      <c r="R716" s="2" t="inlineStr"/>
    </row>
    <row r="717" ht="15" customHeight="1">
      <c r="A717" t="inlineStr">
        <is>
          <t>A 20112-2024</t>
        </is>
      </c>
      <c r="B717" s="1" t="n">
        <v>45434</v>
      </c>
      <c r="C717" s="1" t="n">
        <v>45510</v>
      </c>
      <c r="D717" t="inlineStr">
        <is>
          <t>UPPSALA LÄN</t>
        </is>
      </c>
      <c r="E717" t="inlineStr">
        <is>
          <t>ENKÖPING</t>
        </is>
      </c>
      <c r="G717" t="n">
        <v>1.8</v>
      </c>
      <c r="H717" t="n">
        <v>0</v>
      </c>
      <c r="I717" t="n">
        <v>0</v>
      </c>
      <c r="J717" t="n">
        <v>0</v>
      </c>
      <c r="K717" t="n">
        <v>0</v>
      </c>
      <c r="L717" t="n">
        <v>0</v>
      </c>
      <c r="M717" t="n">
        <v>0</v>
      </c>
      <c r="N717" t="n">
        <v>0</v>
      </c>
      <c r="O717" t="n">
        <v>0</v>
      </c>
      <c r="P717" t="n">
        <v>0</v>
      </c>
      <c r="Q717" t="n">
        <v>0</v>
      </c>
      <c r="R717" s="2" t="inlineStr"/>
    </row>
    <row r="718" ht="15" customHeight="1">
      <c r="A718" t="inlineStr">
        <is>
          <t>A 20105-2024</t>
        </is>
      </c>
      <c r="B718" s="1" t="n">
        <v>45434</v>
      </c>
      <c r="C718" s="1" t="n">
        <v>45510</v>
      </c>
      <c r="D718" t="inlineStr">
        <is>
          <t>UPPSALA LÄN</t>
        </is>
      </c>
      <c r="E718" t="inlineStr">
        <is>
          <t>ENKÖPING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21435-2024</t>
        </is>
      </c>
      <c r="B719" s="1" t="n">
        <v>45441</v>
      </c>
      <c r="C719" s="1" t="n">
        <v>45510</v>
      </c>
      <c r="D719" t="inlineStr">
        <is>
          <t>UPPSALA LÄN</t>
        </is>
      </c>
      <c r="E719" t="inlineStr">
        <is>
          <t>ENKÖPING</t>
        </is>
      </c>
      <c r="G719" t="n">
        <v>2.6</v>
      </c>
      <c r="H719" t="n">
        <v>0</v>
      </c>
      <c r="I719" t="n">
        <v>0</v>
      </c>
      <c r="J719" t="n">
        <v>0</v>
      </c>
      <c r="K719" t="n">
        <v>0</v>
      </c>
      <c r="L719" t="n">
        <v>0</v>
      </c>
      <c r="M719" t="n">
        <v>0</v>
      </c>
      <c r="N719" t="n">
        <v>0</v>
      </c>
      <c r="O719" t="n">
        <v>0</v>
      </c>
      <c r="P719" t="n">
        <v>0</v>
      </c>
      <c r="Q719" t="n">
        <v>0</v>
      </c>
      <c r="R719" s="2" t="inlineStr"/>
    </row>
    <row r="720" ht="15" customHeight="1">
      <c r="A720" t="inlineStr">
        <is>
          <t>A 22912-2024</t>
        </is>
      </c>
      <c r="B720" s="1" t="n">
        <v>45448</v>
      </c>
      <c r="C720" s="1" t="n">
        <v>45510</v>
      </c>
      <c r="D720" t="inlineStr">
        <is>
          <t>UPPSALA LÄN</t>
        </is>
      </c>
      <c r="E720" t="inlineStr">
        <is>
          <t>ENKÖPING</t>
        </is>
      </c>
      <c r="G720" t="n">
        <v>2.8</v>
      </c>
      <c r="H720" t="n">
        <v>0</v>
      </c>
      <c r="I720" t="n">
        <v>0</v>
      </c>
      <c r="J720" t="n">
        <v>0</v>
      </c>
      <c r="K720" t="n">
        <v>0</v>
      </c>
      <c r="L720" t="n">
        <v>0</v>
      </c>
      <c r="M720" t="n">
        <v>0</v>
      </c>
      <c r="N720" t="n">
        <v>0</v>
      </c>
      <c r="O720" t="n">
        <v>0</v>
      </c>
      <c r="P720" t="n">
        <v>0</v>
      </c>
      <c r="Q720" t="n">
        <v>0</v>
      </c>
      <c r="R720" s="2" t="inlineStr"/>
    </row>
    <row r="721" ht="15" customHeight="1">
      <c r="A721" t="inlineStr">
        <is>
          <t>A 23301-2024</t>
        </is>
      </c>
      <c r="B721" s="1" t="n">
        <v>45453</v>
      </c>
      <c r="C721" s="1" t="n">
        <v>45510</v>
      </c>
      <c r="D721" t="inlineStr">
        <is>
          <t>UPPSALA LÄN</t>
        </is>
      </c>
      <c r="E721" t="inlineStr">
        <is>
          <t>ENKÖPING</t>
        </is>
      </c>
      <c r="G721" t="n">
        <v>4.3</v>
      </c>
      <c r="H721" t="n">
        <v>0</v>
      </c>
      <c r="I721" t="n">
        <v>0</v>
      </c>
      <c r="J721" t="n">
        <v>0</v>
      </c>
      <c r="K721" t="n">
        <v>0</v>
      </c>
      <c r="L721" t="n">
        <v>0</v>
      </c>
      <c r="M721" t="n">
        <v>0</v>
      </c>
      <c r="N721" t="n">
        <v>0</v>
      </c>
      <c r="O721" t="n">
        <v>0</v>
      </c>
      <c r="P721" t="n">
        <v>0</v>
      </c>
      <c r="Q721" t="n">
        <v>0</v>
      </c>
      <c r="R721" s="2" t="inlineStr"/>
    </row>
    <row r="722" ht="15" customHeight="1">
      <c r="A722" t="inlineStr">
        <is>
          <t>A 23264-2024</t>
        </is>
      </c>
      <c r="B722" s="1" t="n">
        <v>45453</v>
      </c>
      <c r="C722" s="1" t="n">
        <v>45510</v>
      </c>
      <c r="D722" t="inlineStr">
        <is>
          <t>UPPSALA LÄN</t>
        </is>
      </c>
      <c r="E722" t="inlineStr">
        <is>
          <t>ENKÖPING</t>
        </is>
      </c>
      <c r="G722" t="n">
        <v>9.4</v>
      </c>
      <c r="H722" t="n">
        <v>0</v>
      </c>
      <c r="I722" t="n">
        <v>0</v>
      </c>
      <c r="J722" t="n">
        <v>0</v>
      </c>
      <c r="K722" t="n">
        <v>0</v>
      </c>
      <c r="L722" t="n">
        <v>0</v>
      </c>
      <c r="M722" t="n">
        <v>0</v>
      </c>
      <c r="N722" t="n">
        <v>0</v>
      </c>
      <c r="O722" t="n">
        <v>0</v>
      </c>
      <c r="P722" t="n">
        <v>0</v>
      </c>
      <c r="Q722" t="n">
        <v>0</v>
      </c>
      <c r="R722" s="2" t="inlineStr"/>
    </row>
    <row r="723" ht="15" customHeight="1">
      <c r="A723" t="inlineStr">
        <is>
          <t>A 24306-2024</t>
        </is>
      </c>
      <c r="B723" s="1" t="n">
        <v>45457</v>
      </c>
      <c r="C723" s="1" t="n">
        <v>45510</v>
      </c>
      <c r="D723" t="inlineStr">
        <is>
          <t>UPPSALA LÄN</t>
        </is>
      </c>
      <c r="E723" t="inlineStr">
        <is>
          <t>ENKÖPING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24259-2024</t>
        </is>
      </c>
      <c r="B724" s="1" t="n">
        <v>45457</v>
      </c>
      <c r="C724" s="1" t="n">
        <v>45510</v>
      </c>
      <c r="D724" t="inlineStr">
        <is>
          <t>UPPSALA LÄN</t>
        </is>
      </c>
      <c r="E724" t="inlineStr">
        <is>
          <t>ENKÖPING</t>
        </is>
      </c>
      <c r="G724" t="n">
        <v>1.1</v>
      </c>
      <c r="H724" t="n">
        <v>0</v>
      </c>
      <c r="I724" t="n">
        <v>0</v>
      </c>
      <c r="J724" t="n">
        <v>0</v>
      </c>
      <c r="K724" t="n">
        <v>0</v>
      </c>
      <c r="L724" t="n">
        <v>0</v>
      </c>
      <c r="M724" t="n">
        <v>0</v>
      </c>
      <c r="N724" t="n">
        <v>0</v>
      </c>
      <c r="O724" t="n">
        <v>0</v>
      </c>
      <c r="P724" t="n">
        <v>0</v>
      </c>
      <c r="Q724" t="n">
        <v>0</v>
      </c>
      <c r="R724" s="2" t="inlineStr"/>
    </row>
    <row r="725" ht="15" customHeight="1">
      <c r="A725" t="inlineStr">
        <is>
          <t>A 24291-2024</t>
        </is>
      </c>
      <c r="B725" s="1" t="n">
        <v>45457</v>
      </c>
      <c r="C725" s="1" t="n">
        <v>45510</v>
      </c>
      <c r="D725" t="inlineStr">
        <is>
          <t>UPPSALA LÄN</t>
        </is>
      </c>
      <c r="E725" t="inlineStr">
        <is>
          <t>ENKÖPING</t>
        </is>
      </c>
      <c r="G725" t="n">
        <v>0.5</v>
      </c>
      <c r="H725" t="n">
        <v>0</v>
      </c>
      <c r="I725" t="n">
        <v>0</v>
      </c>
      <c r="J725" t="n">
        <v>0</v>
      </c>
      <c r="K725" t="n">
        <v>0</v>
      </c>
      <c r="L725" t="n">
        <v>0</v>
      </c>
      <c r="M725" t="n">
        <v>0</v>
      </c>
      <c r="N725" t="n">
        <v>0</v>
      </c>
      <c r="O725" t="n">
        <v>0</v>
      </c>
      <c r="P725" t="n">
        <v>0</v>
      </c>
      <c r="Q725" t="n">
        <v>0</v>
      </c>
      <c r="R725" s="2" t="inlineStr"/>
    </row>
    <row r="726" ht="15" customHeight="1">
      <c r="A726" t="inlineStr">
        <is>
          <t>A 24323-2024</t>
        </is>
      </c>
      <c r="B726" s="1" t="n">
        <v>45457</v>
      </c>
      <c r="C726" s="1" t="n">
        <v>45510</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24411-2024</t>
        </is>
      </c>
      <c r="B727" s="1" t="n">
        <v>45457</v>
      </c>
      <c r="C727" s="1" t="n">
        <v>45510</v>
      </c>
      <c r="D727" t="inlineStr">
        <is>
          <t>UPPSALA LÄN</t>
        </is>
      </c>
      <c r="E727" t="inlineStr">
        <is>
          <t>ENKÖPING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25607-2024</t>
        </is>
      </c>
      <c r="B728" s="1" t="n">
        <v>45463</v>
      </c>
      <c r="C728" s="1" t="n">
        <v>45510</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25595-2024</t>
        </is>
      </c>
      <c r="B729" s="1" t="n">
        <v>45463</v>
      </c>
      <c r="C729" s="1" t="n">
        <v>45510</v>
      </c>
      <c r="D729" t="inlineStr">
        <is>
          <t>UPPSALA LÄN</t>
        </is>
      </c>
      <c r="E729" t="inlineStr">
        <is>
          <t>ENKÖPING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25601-2024</t>
        </is>
      </c>
      <c r="B730" s="1" t="n">
        <v>45463</v>
      </c>
      <c r="C730" s="1" t="n">
        <v>45510</v>
      </c>
      <c r="D730" t="inlineStr">
        <is>
          <t>UPPSALA LÄN</t>
        </is>
      </c>
      <c r="E730" t="inlineStr">
        <is>
          <t>ENKÖPING</t>
        </is>
      </c>
      <c r="G730" t="n">
        <v>1.3</v>
      </c>
      <c r="H730" t="n">
        <v>0</v>
      </c>
      <c r="I730" t="n">
        <v>0</v>
      </c>
      <c r="J730" t="n">
        <v>0</v>
      </c>
      <c r="K730" t="n">
        <v>0</v>
      </c>
      <c r="L730" t="n">
        <v>0</v>
      </c>
      <c r="M730" t="n">
        <v>0</v>
      </c>
      <c r="N730" t="n">
        <v>0</v>
      </c>
      <c r="O730" t="n">
        <v>0</v>
      </c>
      <c r="P730" t="n">
        <v>0</v>
      </c>
      <c r="Q730" t="n">
        <v>0</v>
      </c>
      <c r="R730" s="2" t="inlineStr"/>
    </row>
    <row r="731" ht="15" customHeight="1">
      <c r="A731" t="inlineStr">
        <is>
          <t>A 25930-2024</t>
        </is>
      </c>
      <c r="B731" s="1" t="n">
        <v>45467</v>
      </c>
      <c r="C731" s="1" t="n">
        <v>45510</v>
      </c>
      <c r="D731" t="inlineStr">
        <is>
          <t>UPPSALA LÄN</t>
        </is>
      </c>
      <c r="E731" t="inlineStr">
        <is>
          <t>ENKÖPING</t>
        </is>
      </c>
      <c r="G731" t="n">
        <v>5.7</v>
      </c>
      <c r="H731" t="n">
        <v>0</v>
      </c>
      <c r="I731" t="n">
        <v>0</v>
      </c>
      <c r="J731" t="n">
        <v>0</v>
      </c>
      <c r="K731" t="n">
        <v>0</v>
      </c>
      <c r="L731" t="n">
        <v>0</v>
      </c>
      <c r="M731" t="n">
        <v>0</v>
      </c>
      <c r="N731" t="n">
        <v>0</v>
      </c>
      <c r="O731" t="n">
        <v>0</v>
      </c>
      <c r="P731" t="n">
        <v>0</v>
      </c>
      <c r="Q731" t="n">
        <v>0</v>
      </c>
      <c r="R731" s="2" t="inlineStr"/>
    </row>
    <row r="732" ht="15" customHeight="1">
      <c r="A732" t="inlineStr">
        <is>
          <t>A 27172-2024</t>
        </is>
      </c>
      <c r="B732" s="1" t="n">
        <v>45471</v>
      </c>
      <c r="C732" s="1" t="n">
        <v>45510</v>
      </c>
      <c r="D732" t="inlineStr">
        <is>
          <t>UPPSALA LÄN</t>
        </is>
      </c>
      <c r="E732" t="inlineStr">
        <is>
          <t>ENKÖPING</t>
        </is>
      </c>
      <c r="G732" t="n">
        <v>2.3</v>
      </c>
      <c r="H732" t="n">
        <v>0</v>
      </c>
      <c r="I732" t="n">
        <v>0</v>
      </c>
      <c r="J732" t="n">
        <v>0</v>
      </c>
      <c r="K732" t="n">
        <v>0</v>
      </c>
      <c r="L732" t="n">
        <v>0</v>
      </c>
      <c r="M732" t="n">
        <v>0</v>
      </c>
      <c r="N732" t="n">
        <v>0</v>
      </c>
      <c r="O732" t="n">
        <v>0</v>
      </c>
      <c r="P732" t="n">
        <v>0</v>
      </c>
      <c r="Q732" t="n">
        <v>0</v>
      </c>
      <c r="R732" s="2" t="inlineStr"/>
    </row>
    <row r="733" ht="15" customHeight="1">
      <c r="A733" t="inlineStr">
        <is>
          <t>A 27998-2024</t>
        </is>
      </c>
      <c r="B733" s="1" t="n">
        <v>45476</v>
      </c>
      <c r="C733" s="1" t="n">
        <v>45510</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27983-2024</t>
        </is>
      </c>
      <c r="B734" s="1" t="n">
        <v>45476</v>
      </c>
      <c r="C734" s="1" t="n">
        <v>45510</v>
      </c>
      <c r="D734" t="inlineStr">
        <is>
          <t>UPPSALA LÄN</t>
        </is>
      </c>
      <c r="E734" t="inlineStr">
        <is>
          <t>ENKÖPING</t>
        </is>
      </c>
      <c r="G734" t="n">
        <v>3.2</v>
      </c>
      <c r="H734" t="n">
        <v>0</v>
      </c>
      <c r="I734" t="n">
        <v>0</v>
      </c>
      <c r="J734" t="n">
        <v>0</v>
      </c>
      <c r="K734" t="n">
        <v>0</v>
      </c>
      <c r="L734" t="n">
        <v>0</v>
      </c>
      <c r="M734" t="n">
        <v>0</v>
      </c>
      <c r="N734" t="n">
        <v>0</v>
      </c>
      <c r="O734" t="n">
        <v>0</v>
      </c>
      <c r="P734" t="n">
        <v>0</v>
      </c>
      <c r="Q734" t="n">
        <v>0</v>
      </c>
      <c r="R734" s="2" t="inlineStr"/>
    </row>
    <row r="735" ht="15" customHeight="1">
      <c r="A735" t="inlineStr">
        <is>
          <t>A 27993-2024</t>
        </is>
      </c>
      <c r="B735" s="1" t="n">
        <v>45476</v>
      </c>
      <c r="C735" s="1" t="n">
        <v>45510</v>
      </c>
      <c r="D735" t="inlineStr">
        <is>
          <t>UPPSALA LÄN</t>
        </is>
      </c>
      <c r="E735" t="inlineStr">
        <is>
          <t>ENKÖPING</t>
        </is>
      </c>
      <c r="G735" t="n">
        <v>3.3</v>
      </c>
      <c r="H735" t="n">
        <v>0</v>
      </c>
      <c r="I735" t="n">
        <v>0</v>
      </c>
      <c r="J735" t="n">
        <v>0</v>
      </c>
      <c r="K735" t="n">
        <v>0</v>
      </c>
      <c r="L735" t="n">
        <v>0</v>
      </c>
      <c r="M735" t="n">
        <v>0</v>
      </c>
      <c r="N735" t="n">
        <v>0</v>
      </c>
      <c r="O735" t="n">
        <v>0</v>
      </c>
      <c r="P735" t="n">
        <v>0</v>
      </c>
      <c r="Q735" t="n">
        <v>0</v>
      </c>
      <c r="R735" s="2" t="inlineStr"/>
    </row>
    <row r="736" ht="15" customHeight="1">
      <c r="A736" t="inlineStr">
        <is>
          <t>A 28325-2024</t>
        </is>
      </c>
      <c r="B736" s="1" t="n">
        <v>45477</v>
      </c>
      <c r="C736" s="1" t="n">
        <v>45510</v>
      </c>
      <c r="D736" t="inlineStr">
        <is>
          <t>UPPSALA LÄN</t>
        </is>
      </c>
      <c r="E736" t="inlineStr">
        <is>
          <t>ENKÖPING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28518-2024</t>
        </is>
      </c>
      <c r="B737" s="1" t="n">
        <v>45477</v>
      </c>
      <c r="C737" s="1" t="n">
        <v>45510</v>
      </c>
      <c r="D737" t="inlineStr">
        <is>
          <t>UPPSALA LÄN</t>
        </is>
      </c>
      <c r="E737" t="inlineStr">
        <is>
          <t>ENKÖPING</t>
        </is>
      </c>
      <c r="G737" t="n">
        <v>3.4</v>
      </c>
      <c r="H737" t="n">
        <v>0</v>
      </c>
      <c r="I737" t="n">
        <v>0</v>
      </c>
      <c r="J737" t="n">
        <v>0</v>
      </c>
      <c r="K737" t="n">
        <v>0</v>
      </c>
      <c r="L737" t="n">
        <v>0</v>
      </c>
      <c r="M737" t="n">
        <v>0</v>
      </c>
      <c r="N737" t="n">
        <v>0</v>
      </c>
      <c r="O737" t="n">
        <v>0</v>
      </c>
      <c r="P737" t="n">
        <v>0</v>
      </c>
      <c r="Q737" t="n">
        <v>0</v>
      </c>
      <c r="R737" s="2" t="inlineStr"/>
    </row>
    <row r="738" ht="15" customHeight="1">
      <c r="A738" t="inlineStr">
        <is>
          <t>A 28318-2024</t>
        </is>
      </c>
      <c r="B738" s="1" t="n">
        <v>45477</v>
      </c>
      <c r="C738" s="1" t="n">
        <v>45510</v>
      </c>
      <c r="D738" t="inlineStr">
        <is>
          <t>UPPSALA LÄN</t>
        </is>
      </c>
      <c r="E738" t="inlineStr">
        <is>
          <t>ENKÖPING</t>
        </is>
      </c>
      <c r="G738" t="n">
        <v>0.5</v>
      </c>
      <c r="H738" t="n">
        <v>0</v>
      </c>
      <c r="I738" t="n">
        <v>0</v>
      </c>
      <c r="J738" t="n">
        <v>0</v>
      </c>
      <c r="K738" t="n">
        <v>0</v>
      </c>
      <c r="L738" t="n">
        <v>0</v>
      </c>
      <c r="M738" t="n">
        <v>0</v>
      </c>
      <c r="N738" t="n">
        <v>0</v>
      </c>
      <c r="O738" t="n">
        <v>0</v>
      </c>
      <c r="P738" t="n">
        <v>0</v>
      </c>
      <c r="Q738" t="n">
        <v>0</v>
      </c>
      <c r="R738" s="2" t="inlineStr"/>
    </row>
    <row r="739" ht="15" customHeight="1">
      <c r="A739" t="inlineStr">
        <is>
          <t>A 28515-2024</t>
        </is>
      </c>
      <c r="B739" s="1" t="n">
        <v>45477</v>
      </c>
      <c r="C739" s="1" t="n">
        <v>45510</v>
      </c>
      <c r="D739" t="inlineStr">
        <is>
          <t>UPPSALA LÄN</t>
        </is>
      </c>
      <c r="E739" t="inlineStr">
        <is>
          <t>ENKÖPING</t>
        </is>
      </c>
      <c r="G739" t="n">
        <v>5.9</v>
      </c>
      <c r="H739" t="n">
        <v>0</v>
      </c>
      <c r="I739" t="n">
        <v>0</v>
      </c>
      <c r="J739" t="n">
        <v>0</v>
      </c>
      <c r="K739" t="n">
        <v>0</v>
      </c>
      <c r="L739" t="n">
        <v>0</v>
      </c>
      <c r="M739" t="n">
        <v>0</v>
      </c>
      <c r="N739" t="n">
        <v>0</v>
      </c>
      <c r="O739" t="n">
        <v>0</v>
      </c>
      <c r="P739" t="n">
        <v>0</v>
      </c>
      <c r="Q739" t="n">
        <v>0</v>
      </c>
      <c r="R739" s="2" t="inlineStr"/>
    </row>
    <row r="740" ht="15" customHeight="1">
      <c r="A740" t="inlineStr">
        <is>
          <t>A 28848-2024</t>
        </is>
      </c>
      <c r="B740" s="1" t="n">
        <v>45478</v>
      </c>
      <c r="C740" s="1" t="n">
        <v>45510</v>
      </c>
      <c r="D740" t="inlineStr">
        <is>
          <t>UPPSALA LÄN</t>
        </is>
      </c>
      <c r="E740" t="inlineStr">
        <is>
          <t>ENKÖPING</t>
        </is>
      </c>
      <c r="G740" t="n">
        <v>0.8</v>
      </c>
      <c r="H740" t="n">
        <v>0</v>
      </c>
      <c r="I740" t="n">
        <v>0</v>
      </c>
      <c r="J740" t="n">
        <v>0</v>
      </c>
      <c r="K740" t="n">
        <v>0</v>
      </c>
      <c r="L740" t="n">
        <v>0</v>
      </c>
      <c r="M740" t="n">
        <v>0</v>
      </c>
      <c r="N740" t="n">
        <v>0</v>
      </c>
      <c r="O740" t="n">
        <v>0</v>
      </c>
      <c r="P740" t="n">
        <v>0</v>
      </c>
      <c r="Q740" t="n">
        <v>0</v>
      </c>
      <c r="R740" s="2" t="inlineStr"/>
    </row>
    <row r="741" ht="15" customHeight="1">
      <c r="A741" t="inlineStr">
        <is>
          <t>A 30092-2024</t>
        </is>
      </c>
      <c r="B741" s="1" t="n">
        <v>45489</v>
      </c>
      <c r="C741" s="1" t="n">
        <v>45510</v>
      </c>
      <c r="D741" t="inlineStr">
        <is>
          <t>UPPSALA LÄN</t>
        </is>
      </c>
      <c r="E741" t="inlineStr">
        <is>
          <t>ENKÖPING</t>
        </is>
      </c>
      <c r="G741" t="n">
        <v>2.3</v>
      </c>
      <c r="H741" t="n">
        <v>0</v>
      </c>
      <c r="I741" t="n">
        <v>0</v>
      </c>
      <c r="J741" t="n">
        <v>0</v>
      </c>
      <c r="K741" t="n">
        <v>0</v>
      </c>
      <c r="L741" t="n">
        <v>0</v>
      </c>
      <c r="M741" t="n">
        <v>0</v>
      </c>
      <c r="N741" t="n">
        <v>0</v>
      </c>
      <c r="O741" t="n">
        <v>0</v>
      </c>
      <c r="P741" t="n">
        <v>0</v>
      </c>
      <c r="Q741" t="n">
        <v>0</v>
      </c>
      <c r="R741" s="2" t="inlineStr"/>
    </row>
    <row r="742" ht="15" customHeight="1">
      <c r="A742" t="inlineStr">
        <is>
          <t>A 30087-2024</t>
        </is>
      </c>
      <c r="B742" s="1" t="n">
        <v>45489</v>
      </c>
      <c r="C742" s="1" t="n">
        <v>45510</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30098-2024</t>
        </is>
      </c>
      <c r="B743" s="1" t="n">
        <v>45489</v>
      </c>
      <c r="C743" s="1" t="n">
        <v>45510</v>
      </c>
      <c r="D743" t="inlineStr">
        <is>
          <t>UPPSALA LÄN</t>
        </is>
      </c>
      <c r="E743" t="inlineStr">
        <is>
          <t>ENKÖPING</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45510</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45510</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31240-2024</t>
        </is>
      </c>
      <c r="B746" s="1" t="n">
        <v>45503</v>
      </c>
      <c r="C746" s="1" t="n">
        <v>45510</v>
      </c>
      <c r="D746" t="inlineStr">
        <is>
          <t>UPPSALA LÄN</t>
        </is>
      </c>
      <c r="E746" t="inlineStr">
        <is>
          <t>ENKÖPING</t>
        </is>
      </c>
      <c r="G746" t="n">
        <v>1.5</v>
      </c>
      <c r="H746" t="n">
        <v>0</v>
      </c>
      <c r="I746" t="n">
        <v>0</v>
      </c>
      <c r="J746" t="n">
        <v>0</v>
      </c>
      <c r="K746" t="n">
        <v>0</v>
      </c>
      <c r="L746" t="n">
        <v>0</v>
      </c>
      <c r="M746" t="n">
        <v>0</v>
      </c>
      <c r="N746" t="n">
        <v>0</v>
      </c>
      <c r="O746" t="n">
        <v>0</v>
      </c>
      <c r="P746" t="n">
        <v>0</v>
      </c>
      <c r="Q746" t="n">
        <v>0</v>
      </c>
      <c r="R746" s="2" t="inlineStr"/>
    </row>
    <row r="747" ht="15" customHeight="1">
      <c r="A747" t="inlineStr">
        <is>
          <t>A 31253-2024</t>
        </is>
      </c>
      <c r="B747" s="1" t="n">
        <v>45503</v>
      </c>
      <c r="C747" s="1" t="n">
        <v>45510</v>
      </c>
      <c r="D747" t="inlineStr">
        <is>
          <t>UPPSALA LÄN</t>
        </is>
      </c>
      <c r="E747" t="inlineStr">
        <is>
          <t>ENKÖPING</t>
        </is>
      </c>
      <c r="G747" t="n">
        <v>1.1</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45510</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c r="A749" t="inlineStr">
        <is>
          <t>A 31252-2024</t>
        </is>
      </c>
      <c r="B749" s="1" t="n">
        <v>45503</v>
      </c>
      <c r="C749" s="1" t="n">
        <v>45510</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2024-08-06T10:57:42Z</dcterms:created>
  <dcterms:modified xmlns:dcterms="http://purl.org/dc/terms/" xmlns:xsi="http://www.w3.org/2001/XMLSchema-instance" xsi:type="dcterms:W3CDTF">2024-08-06T10:57:42Z</dcterms:modified>
</cp:coreProperties>
</file>