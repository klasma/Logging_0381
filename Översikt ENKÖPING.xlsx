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46073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46073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46073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46073</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46073</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46073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21970-2025</t>
        </is>
      </c>
      <c r="B14" s="1" t="n">
        <v>45784.63335648148</v>
      </c>
      <c r="C14" s="1" t="n">
        <v>46073</v>
      </c>
      <c r="D14" t="inlineStr">
        <is>
          <t>UPPSALA LÄN</t>
        </is>
      </c>
      <c r="E14" t="inlineStr">
        <is>
          <t>ENKÖPING</t>
        </is>
      </c>
      <c r="G14" t="n">
        <v>5.3</v>
      </c>
      <c r="H14" t="n">
        <v>1</v>
      </c>
      <c r="I14" t="n">
        <v>0</v>
      </c>
      <c r="J14" t="n">
        <v>1</v>
      </c>
      <c r="K14" t="n">
        <v>0</v>
      </c>
      <c r="L14" t="n">
        <v>0</v>
      </c>
      <c r="M14" t="n">
        <v>0</v>
      </c>
      <c r="N14" t="n">
        <v>0</v>
      </c>
      <c r="O14" t="n">
        <v>1</v>
      </c>
      <c r="P14" t="n">
        <v>0</v>
      </c>
      <c r="Q14" t="n">
        <v>2</v>
      </c>
      <c r="R14" s="2" t="inlineStr">
        <is>
          <t>Flattoppad klubbsvamp
Blåsippa</t>
        </is>
      </c>
      <c r="S14">
        <f>HYPERLINK("https://klasma.github.io/Logging_0381/artfynd/A 21970-2025 artfynd.xlsx", "A 21970-2025")</f>
        <v/>
      </c>
      <c r="T14">
        <f>HYPERLINK("https://klasma.github.io/Logging_0381/kartor/A 21970-2025 karta.png", "A 21970-2025")</f>
        <v/>
      </c>
      <c r="V14">
        <f>HYPERLINK("https://klasma.github.io/Logging_0381/klagomål/A 21970-2025 FSC-klagomål.docx", "A 21970-2025")</f>
        <v/>
      </c>
      <c r="W14">
        <f>HYPERLINK("https://klasma.github.io/Logging_0381/klagomålsmail/A 21970-2025 FSC-klagomål mail.docx", "A 21970-2025")</f>
        <v/>
      </c>
      <c r="X14">
        <f>HYPERLINK("https://klasma.github.io/Logging_0381/tillsyn/A 21970-2025 tillsynsbegäran.docx", "A 21970-2025")</f>
        <v/>
      </c>
      <c r="Y14">
        <f>HYPERLINK("https://klasma.github.io/Logging_0381/tillsynsmail/A 21970-2025 tillsynsbegäran mail.docx", "A 21970-2025")</f>
        <v/>
      </c>
    </row>
    <row r="15" ht="15" customHeight="1">
      <c r="A15" t="inlineStr">
        <is>
          <t>A 52092-2022</t>
        </is>
      </c>
      <c r="B15" s="1" t="n">
        <v>44873</v>
      </c>
      <c r="C15" s="1" t="n">
        <v>46073</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46073</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46073</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50105-2023</t>
        </is>
      </c>
      <c r="B18" s="1" t="n">
        <v>45215</v>
      </c>
      <c r="C18" s="1" t="n">
        <v>46073</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46073</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46073</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46073</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46073</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52439-2025</t>
        </is>
      </c>
      <c r="B23" s="1" t="n">
        <v>45954.40697916667</v>
      </c>
      <c r="C23" s="1" t="n">
        <v>46073</v>
      </c>
      <c r="D23" t="inlineStr">
        <is>
          <t>UPPSALA LÄN</t>
        </is>
      </c>
      <c r="E23" t="inlineStr">
        <is>
          <t>ENKÖPING</t>
        </is>
      </c>
      <c r="F23" t="inlineStr">
        <is>
          <t>Allmännings- och besparingsskogar</t>
        </is>
      </c>
      <c r="G23" t="n">
        <v>2.2</v>
      </c>
      <c r="H23" t="n">
        <v>0</v>
      </c>
      <c r="I23" t="n">
        <v>0</v>
      </c>
      <c r="J23" t="n">
        <v>1</v>
      </c>
      <c r="K23" t="n">
        <v>0</v>
      </c>
      <c r="L23" t="n">
        <v>0</v>
      </c>
      <c r="M23" t="n">
        <v>0</v>
      </c>
      <c r="N23" t="n">
        <v>0</v>
      </c>
      <c r="O23" t="n">
        <v>1</v>
      </c>
      <c r="P23" t="n">
        <v>0</v>
      </c>
      <c r="Q23" t="n">
        <v>1</v>
      </c>
      <c r="R23" s="2" t="inlineStr">
        <is>
          <t>Igelkott</t>
        </is>
      </c>
      <c r="S23">
        <f>HYPERLINK("https://klasma.github.io/Logging_0381/artfynd/A 52439-2025 artfynd.xlsx", "A 52439-2025")</f>
        <v/>
      </c>
      <c r="T23">
        <f>HYPERLINK("https://klasma.github.io/Logging_0381/kartor/A 52439-2025 karta.png", "A 52439-2025")</f>
        <v/>
      </c>
      <c r="V23">
        <f>HYPERLINK("https://klasma.github.io/Logging_0381/klagomål/A 52439-2025 FSC-klagomål.docx", "A 52439-2025")</f>
        <v/>
      </c>
      <c r="W23">
        <f>HYPERLINK("https://klasma.github.io/Logging_0381/klagomålsmail/A 52439-2025 FSC-klagomål mail.docx", "A 52439-2025")</f>
        <v/>
      </c>
      <c r="X23">
        <f>HYPERLINK("https://klasma.github.io/Logging_0381/tillsyn/A 52439-2025 tillsynsbegäran.docx", "A 52439-2025")</f>
        <v/>
      </c>
      <c r="Y23">
        <f>HYPERLINK("https://klasma.github.io/Logging_0381/tillsynsmail/A 52439-2025 tillsynsbegäran mail.docx", "A 52439-2025")</f>
        <v/>
      </c>
    </row>
    <row r="24" ht="15" customHeight="1">
      <c r="A24" t="inlineStr">
        <is>
          <t>A 29510-2025</t>
        </is>
      </c>
      <c r="B24" s="1" t="n">
        <v>45825</v>
      </c>
      <c r="C24" s="1" t="n">
        <v>46073</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26347-2025</t>
        </is>
      </c>
      <c r="B25" s="1" t="n">
        <v>45805.7403125</v>
      </c>
      <c r="C25" s="1" t="n">
        <v>46073</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27060-2025</t>
        </is>
      </c>
      <c r="B26" s="1" t="n">
        <v>45811.63590277778</v>
      </c>
      <c r="C26" s="1" t="n">
        <v>46073</v>
      </c>
      <c r="D26" t="inlineStr">
        <is>
          <t>UPPSALA LÄN</t>
        </is>
      </c>
      <c r="E26" t="inlineStr">
        <is>
          <t>ENKÖPING</t>
        </is>
      </c>
      <c r="G26" t="n">
        <v>2.6</v>
      </c>
      <c r="H26" t="n">
        <v>0</v>
      </c>
      <c r="I26" t="n">
        <v>1</v>
      </c>
      <c r="J26" t="n">
        <v>0</v>
      </c>
      <c r="K26" t="n">
        <v>0</v>
      </c>
      <c r="L26" t="n">
        <v>0</v>
      </c>
      <c r="M26" t="n">
        <v>0</v>
      </c>
      <c r="N26" t="n">
        <v>0</v>
      </c>
      <c r="O26" t="n">
        <v>0</v>
      </c>
      <c r="P26" t="n">
        <v>0</v>
      </c>
      <c r="Q26" t="n">
        <v>1</v>
      </c>
      <c r="R26" s="2" t="inlineStr">
        <is>
          <t>Granbarkgnagare</t>
        </is>
      </c>
      <c r="S26">
        <f>HYPERLINK("https://klasma.github.io/Logging_0381/artfynd/A 27060-2025 artfynd.xlsx", "A 27060-2025")</f>
        <v/>
      </c>
      <c r="T26">
        <f>HYPERLINK("https://klasma.github.io/Logging_0381/kartor/A 27060-2025 karta.png", "A 27060-2025")</f>
        <v/>
      </c>
      <c r="V26">
        <f>HYPERLINK("https://klasma.github.io/Logging_0381/klagomål/A 27060-2025 FSC-klagomål.docx", "A 27060-2025")</f>
        <v/>
      </c>
      <c r="W26">
        <f>HYPERLINK("https://klasma.github.io/Logging_0381/klagomålsmail/A 27060-2025 FSC-klagomål mail.docx", "A 27060-2025")</f>
        <v/>
      </c>
      <c r="X26">
        <f>HYPERLINK("https://klasma.github.io/Logging_0381/tillsyn/A 27060-2025 tillsynsbegäran.docx", "A 27060-2025")</f>
        <v/>
      </c>
      <c r="Y26">
        <f>HYPERLINK("https://klasma.github.io/Logging_0381/tillsynsmail/A 27060-2025 tillsynsbegäran mail.docx", "A 27060-2025")</f>
        <v/>
      </c>
    </row>
    <row r="27" ht="15" customHeight="1">
      <c r="A27" t="inlineStr">
        <is>
          <t>A 23961-2022</t>
        </is>
      </c>
      <c r="B27" s="1" t="n">
        <v>44722</v>
      </c>
      <c r="C27" s="1" t="n">
        <v>46073</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28900-2024</t>
        </is>
      </c>
      <c r="B28" s="1" t="n">
        <v>45480</v>
      </c>
      <c r="C28" s="1" t="n">
        <v>46073</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17942-2024</t>
        </is>
      </c>
      <c r="B29" s="1" t="n">
        <v>45419</v>
      </c>
      <c r="C29" s="1" t="n">
        <v>46073</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4166-2026</t>
        </is>
      </c>
      <c r="B30" s="1" t="n">
        <v>46044.66402777778</v>
      </c>
      <c r="C30" s="1" t="n">
        <v>46073</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1524-2023</t>
        </is>
      </c>
      <c r="B31" s="1" t="n">
        <v>44935</v>
      </c>
      <c r="C31" s="1" t="n">
        <v>46073</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Skogsduva</t>
        </is>
      </c>
      <c r="S31">
        <f>HYPERLINK("https://klasma.github.io/Logging_0381/artfynd/A 1524-2023 artfynd.xlsx", "A 1524-2023")</f>
        <v/>
      </c>
      <c r="T31">
        <f>HYPERLINK("https://klasma.github.io/Logging_0381/kartor/A 1524-2023 karta.png", "A 1524-2023")</f>
        <v/>
      </c>
      <c r="V31">
        <f>HYPERLINK("https://klasma.github.io/Logging_0381/klagomål/A 1524-2023 FSC-klagomål.docx", "A 1524-2023")</f>
        <v/>
      </c>
      <c r="W31">
        <f>HYPERLINK("https://klasma.github.io/Logging_0381/klagomålsmail/A 1524-2023 FSC-klagomål mail.docx", "A 1524-2023")</f>
        <v/>
      </c>
      <c r="X31">
        <f>HYPERLINK("https://klasma.github.io/Logging_0381/tillsyn/A 1524-2023 tillsynsbegäran.docx", "A 1524-2023")</f>
        <v/>
      </c>
      <c r="Y31">
        <f>HYPERLINK("https://klasma.github.io/Logging_0381/tillsynsmail/A 1524-2023 tillsynsbegäran mail.docx", "A 1524-2023")</f>
        <v/>
      </c>
      <c r="Z31">
        <f>HYPERLINK("https://klasma.github.io/Logging_0381/fåglar/A 1524-2023 prioriterade fågelarter.docx", "A 1524-2023")</f>
        <v/>
      </c>
    </row>
    <row r="32" ht="15" customHeight="1">
      <c r="A32" t="inlineStr">
        <is>
          <t>A 33339-2024</t>
        </is>
      </c>
      <c r="B32" s="1" t="n">
        <v>45519</v>
      </c>
      <c r="C32" s="1" t="n">
        <v>46073</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45116-2023</t>
        </is>
      </c>
      <c r="B33" s="1" t="n">
        <v>45191</v>
      </c>
      <c r="C33" s="1" t="n">
        <v>46073</v>
      </c>
      <c r="D33" t="inlineStr">
        <is>
          <t>UPPSALA LÄN</t>
        </is>
      </c>
      <c r="E33" t="inlineStr">
        <is>
          <t>ENKÖPING</t>
        </is>
      </c>
      <c r="G33" t="n">
        <v>2</v>
      </c>
      <c r="H33" t="n">
        <v>0</v>
      </c>
      <c r="I33" t="n">
        <v>1</v>
      </c>
      <c r="J33" t="n">
        <v>0</v>
      </c>
      <c r="K33" t="n">
        <v>0</v>
      </c>
      <c r="L33" t="n">
        <v>0</v>
      </c>
      <c r="M33" t="n">
        <v>0</v>
      </c>
      <c r="N33" t="n">
        <v>0</v>
      </c>
      <c r="O33" t="n">
        <v>0</v>
      </c>
      <c r="P33" t="n">
        <v>0</v>
      </c>
      <c r="Q33" t="n">
        <v>1</v>
      </c>
      <c r="R33" s="2" t="inlineStr">
        <is>
          <t>Rävticka</t>
        </is>
      </c>
      <c r="S33">
        <f>HYPERLINK("https://klasma.github.io/Logging_0381/artfynd/A 45116-2023 artfynd.xlsx", "A 45116-2023")</f>
        <v/>
      </c>
      <c r="T33">
        <f>HYPERLINK("https://klasma.github.io/Logging_0381/kartor/A 45116-2023 karta.png", "A 45116-2023")</f>
        <v/>
      </c>
      <c r="V33">
        <f>HYPERLINK("https://klasma.github.io/Logging_0381/klagomål/A 45116-2023 FSC-klagomål.docx", "A 45116-2023")</f>
        <v/>
      </c>
      <c r="W33">
        <f>HYPERLINK("https://klasma.github.io/Logging_0381/klagomålsmail/A 45116-2023 FSC-klagomål mail.docx", "A 45116-2023")</f>
        <v/>
      </c>
      <c r="X33">
        <f>HYPERLINK("https://klasma.github.io/Logging_0381/tillsyn/A 45116-2023 tillsynsbegäran.docx", "A 45116-2023")</f>
        <v/>
      </c>
      <c r="Y33">
        <f>HYPERLINK("https://klasma.github.io/Logging_0381/tillsynsmail/A 45116-2023 tillsynsbegäran mail.docx", "A 45116-2023")</f>
        <v/>
      </c>
    </row>
    <row r="34" ht="15" customHeight="1">
      <c r="A34" t="inlineStr">
        <is>
          <t>A 46749-2024</t>
        </is>
      </c>
      <c r="B34" s="1" t="n">
        <v>45583.48347222222</v>
      </c>
      <c r="C34" s="1" t="n">
        <v>46073</v>
      </c>
      <c r="D34" t="inlineStr">
        <is>
          <t>UPPSALA LÄN</t>
        </is>
      </c>
      <c r="E34" t="inlineStr">
        <is>
          <t>ENKÖPING</t>
        </is>
      </c>
      <c r="G34" t="n">
        <v>8.5</v>
      </c>
      <c r="H34" t="n">
        <v>0</v>
      </c>
      <c r="I34" t="n">
        <v>0</v>
      </c>
      <c r="J34" t="n">
        <v>1</v>
      </c>
      <c r="K34" t="n">
        <v>0</v>
      </c>
      <c r="L34" t="n">
        <v>0</v>
      </c>
      <c r="M34" t="n">
        <v>0</v>
      </c>
      <c r="N34" t="n">
        <v>0</v>
      </c>
      <c r="O34" t="n">
        <v>1</v>
      </c>
      <c r="P34" t="n">
        <v>0</v>
      </c>
      <c r="Q34" t="n">
        <v>1</v>
      </c>
      <c r="R34" s="2" t="inlineStr">
        <is>
          <t>Leptoporus erubescens</t>
        </is>
      </c>
      <c r="S34">
        <f>HYPERLINK("https://klasma.github.io/Logging_0381/artfynd/A 46749-2024 artfynd.xlsx", "A 46749-2024")</f>
        <v/>
      </c>
      <c r="T34">
        <f>HYPERLINK("https://klasma.github.io/Logging_0381/kartor/A 46749-2024 karta.png", "A 46749-2024")</f>
        <v/>
      </c>
      <c r="V34">
        <f>HYPERLINK("https://klasma.github.io/Logging_0381/klagomål/A 46749-2024 FSC-klagomål.docx", "A 46749-2024")</f>
        <v/>
      </c>
      <c r="W34">
        <f>HYPERLINK("https://klasma.github.io/Logging_0381/klagomålsmail/A 46749-2024 FSC-klagomål mail.docx", "A 46749-2024")</f>
        <v/>
      </c>
      <c r="X34">
        <f>HYPERLINK("https://klasma.github.io/Logging_0381/tillsyn/A 46749-2024 tillsynsbegäran.docx", "A 46749-2024")</f>
        <v/>
      </c>
      <c r="Y34">
        <f>HYPERLINK("https://klasma.github.io/Logging_0381/tillsynsmail/A 46749-2024 tillsynsbegäran mail.docx", "A 46749-2024")</f>
        <v/>
      </c>
    </row>
    <row r="35" ht="15" customHeight="1">
      <c r="A35" t="inlineStr">
        <is>
          <t>A 16683-2021</t>
        </is>
      </c>
      <c r="B35" s="1" t="n">
        <v>44294.58495370371</v>
      </c>
      <c r="C35" s="1" t="n">
        <v>46073</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46073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46073</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46073</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46073</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46073</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46073</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46073</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46073</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46073</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46073</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46073</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46073</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46073</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46073</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46073</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46073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46073</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46073</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46073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10202-2022</t>
        </is>
      </c>
      <c r="B55" s="1" t="n">
        <v>44622</v>
      </c>
      <c r="C55" s="1" t="n">
        <v>46073</v>
      </c>
      <c r="D55" t="inlineStr">
        <is>
          <t>UPPSALA LÄN</t>
        </is>
      </c>
      <c r="E55" t="inlineStr">
        <is>
          <t>ENKÖPING</t>
        </is>
      </c>
      <c r="G55" t="n">
        <v>5.6</v>
      </c>
      <c r="H55" t="n">
        <v>0</v>
      </c>
      <c r="I55" t="n">
        <v>0</v>
      </c>
      <c r="J55" t="n">
        <v>0</v>
      </c>
      <c r="K55" t="n">
        <v>0</v>
      </c>
      <c r="L55" t="n">
        <v>0</v>
      </c>
      <c r="M55" t="n">
        <v>0</v>
      </c>
      <c r="N55" t="n">
        <v>0</v>
      </c>
      <c r="O55" t="n">
        <v>0</v>
      </c>
      <c r="P55" t="n">
        <v>0</v>
      </c>
      <c r="Q55" t="n">
        <v>0</v>
      </c>
      <c r="R55" s="2" t="inlineStr"/>
    </row>
    <row r="56" ht="15" customHeight="1">
      <c r="A56" t="inlineStr">
        <is>
          <t>A 10207-2022</t>
        </is>
      </c>
      <c r="B56" s="1" t="n">
        <v>44622</v>
      </c>
      <c r="C56" s="1" t="n">
        <v>46073</v>
      </c>
      <c r="D56" t="inlineStr">
        <is>
          <t>UPPSALA LÄN</t>
        </is>
      </c>
      <c r="E56" t="inlineStr">
        <is>
          <t>ENKÖPING</t>
        </is>
      </c>
      <c r="G56" t="n">
        <v>4.9</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46073</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46073</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46073</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46073</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46073</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46073</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46073</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46073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46073</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46073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46073</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46073</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46073</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46073</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46073</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46073</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46073</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46073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46073</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46073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46073</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46073</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46073</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46073</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14839-2021</t>
        </is>
      </c>
      <c r="B81" s="1" t="n">
        <v>44280</v>
      </c>
      <c r="C81" s="1" t="n">
        <v>46073</v>
      </c>
      <c r="D81" t="inlineStr">
        <is>
          <t>UPPSALA LÄN</t>
        </is>
      </c>
      <c r="E81" t="inlineStr">
        <is>
          <t>ENKÖPING</t>
        </is>
      </c>
      <c r="G81" t="n">
        <v>11.4</v>
      </c>
      <c r="H81" t="n">
        <v>0</v>
      </c>
      <c r="I81" t="n">
        <v>0</v>
      </c>
      <c r="J81" t="n">
        <v>0</v>
      </c>
      <c r="K81" t="n">
        <v>0</v>
      </c>
      <c r="L81" t="n">
        <v>0</v>
      </c>
      <c r="M81" t="n">
        <v>0</v>
      </c>
      <c r="N81" t="n">
        <v>0</v>
      </c>
      <c r="O81" t="n">
        <v>0</v>
      </c>
      <c r="P81" t="n">
        <v>0</v>
      </c>
      <c r="Q81" t="n">
        <v>0</v>
      </c>
      <c r="R81" s="2" t="inlineStr"/>
    </row>
    <row r="82" ht="15" customHeight="1">
      <c r="A82" t="inlineStr">
        <is>
          <t>A 11688-2021</t>
        </is>
      </c>
      <c r="B82" s="1" t="n">
        <v>44264</v>
      </c>
      <c r="C82" s="1" t="n">
        <v>46073</v>
      </c>
      <c r="D82" t="inlineStr">
        <is>
          <t>UPPSALA LÄN</t>
        </is>
      </c>
      <c r="E82" t="inlineStr">
        <is>
          <t>ENKÖPING</t>
        </is>
      </c>
      <c r="G82" t="n">
        <v>4.7</v>
      </c>
      <c r="H82" t="n">
        <v>0</v>
      </c>
      <c r="I82" t="n">
        <v>0</v>
      </c>
      <c r="J82" t="n">
        <v>0</v>
      </c>
      <c r="K82" t="n">
        <v>0</v>
      </c>
      <c r="L82" t="n">
        <v>0</v>
      </c>
      <c r="M82" t="n">
        <v>0</v>
      </c>
      <c r="N82" t="n">
        <v>0</v>
      </c>
      <c r="O82" t="n">
        <v>0</v>
      </c>
      <c r="P82" t="n">
        <v>0</v>
      </c>
      <c r="Q82" t="n">
        <v>0</v>
      </c>
      <c r="R82" s="2" t="inlineStr"/>
    </row>
    <row r="83" ht="15" customHeight="1">
      <c r="A83" t="inlineStr">
        <is>
          <t>A 12538-2021</t>
        </is>
      </c>
      <c r="B83" s="1" t="n">
        <v>44269</v>
      </c>
      <c r="C83" s="1" t="n">
        <v>46073</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46073</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46073</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46073</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46073</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46073</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46073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46073</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46073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46073</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46073</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46073</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46073</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46073</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46073</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46073</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46073</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46073</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46073</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46073</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46073</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46073</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46073</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46073</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46073</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46073</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46073</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46073</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46073</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10468-2025</t>
        </is>
      </c>
      <c r="B112" s="1" t="n">
        <v>45720</v>
      </c>
      <c r="C112" s="1" t="n">
        <v>46073</v>
      </c>
      <c r="D112" t="inlineStr">
        <is>
          <t>UPPSALA LÄN</t>
        </is>
      </c>
      <c r="E112" t="inlineStr">
        <is>
          <t>ENKÖPING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46073</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43488-2023</t>
        </is>
      </c>
      <c r="B114" s="1" t="n">
        <v>45181</v>
      </c>
      <c r="C114" s="1" t="n">
        <v>46073</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46103-2023</t>
        </is>
      </c>
      <c r="B115" s="1" t="n">
        <v>45190</v>
      </c>
      <c r="C115" s="1" t="n">
        <v>46073</v>
      </c>
      <c r="D115" t="inlineStr">
        <is>
          <t>UPPSALA LÄN</t>
        </is>
      </c>
      <c r="E115" t="inlineStr">
        <is>
          <t>ENKÖPING</t>
        </is>
      </c>
      <c r="G115" t="n">
        <v>4.6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46073</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12878-2025</t>
        </is>
      </c>
      <c r="B117" s="1" t="n">
        <v>45733.68571759259</v>
      </c>
      <c r="C117" s="1" t="n">
        <v>46073</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52889-2022</t>
        </is>
      </c>
      <c r="B118" s="1" t="n">
        <v>44875</v>
      </c>
      <c r="C118" s="1" t="n">
        <v>46073</v>
      </c>
      <c r="D118" t="inlineStr">
        <is>
          <t>UPPSALA LÄN</t>
        </is>
      </c>
      <c r="E118" t="inlineStr">
        <is>
          <t>ENKÖPING</t>
        </is>
      </c>
      <c r="G118" t="n">
        <v>1.7</v>
      </c>
      <c r="H118" t="n">
        <v>0</v>
      </c>
      <c r="I118" t="n">
        <v>0</v>
      </c>
      <c r="J118" t="n">
        <v>0</v>
      </c>
      <c r="K118" t="n">
        <v>0</v>
      </c>
      <c r="L118" t="n">
        <v>0</v>
      </c>
      <c r="M118" t="n">
        <v>0</v>
      </c>
      <c r="N118" t="n">
        <v>0</v>
      </c>
      <c r="O118" t="n">
        <v>0</v>
      </c>
      <c r="P118" t="n">
        <v>0</v>
      </c>
      <c r="Q118" t="n">
        <v>0</v>
      </c>
      <c r="R118" s="2" t="inlineStr"/>
    </row>
    <row r="119" ht="15" customHeight="1">
      <c r="A119" t="inlineStr">
        <is>
          <t>A 25333-2023</t>
        </is>
      </c>
      <c r="B119" s="1" t="n">
        <v>45083</v>
      </c>
      <c r="C119" s="1" t="n">
        <v>46073</v>
      </c>
      <c r="D119" t="inlineStr">
        <is>
          <t>UPPSALA LÄN</t>
        </is>
      </c>
      <c r="E119" t="inlineStr">
        <is>
          <t>ENKÖPING</t>
        </is>
      </c>
      <c r="G119" t="n">
        <v>2.7</v>
      </c>
      <c r="H119" t="n">
        <v>0</v>
      </c>
      <c r="I119" t="n">
        <v>0</v>
      </c>
      <c r="J119" t="n">
        <v>0</v>
      </c>
      <c r="K119" t="n">
        <v>0</v>
      </c>
      <c r="L119" t="n">
        <v>0</v>
      </c>
      <c r="M119" t="n">
        <v>0</v>
      </c>
      <c r="N119" t="n">
        <v>0</v>
      </c>
      <c r="O119" t="n">
        <v>0</v>
      </c>
      <c r="P119" t="n">
        <v>0</v>
      </c>
      <c r="Q119" t="n">
        <v>0</v>
      </c>
      <c r="R119" s="2" t="inlineStr"/>
    </row>
    <row r="120" ht="15" customHeight="1">
      <c r="A120" t="inlineStr">
        <is>
          <t>A 47681-2024</t>
        </is>
      </c>
      <c r="B120" s="1" t="n">
        <v>45588</v>
      </c>
      <c r="C120" s="1" t="n">
        <v>46073</v>
      </c>
      <c r="D120" t="inlineStr">
        <is>
          <t>UPPSALA LÄN</t>
        </is>
      </c>
      <c r="E120" t="inlineStr">
        <is>
          <t>ENKÖPING</t>
        </is>
      </c>
      <c r="G120" t="n">
        <v>4.2</v>
      </c>
      <c r="H120" t="n">
        <v>0</v>
      </c>
      <c r="I120" t="n">
        <v>0</v>
      </c>
      <c r="J120" t="n">
        <v>0</v>
      </c>
      <c r="K120" t="n">
        <v>0</v>
      </c>
      <c r="L120" t="n">
        <v>0</v>
      </c>
      <c r="M120" t="n">
        <v>0</v>
      </c>
      <c r="N120" t="n">
        <v>0</v>
      </c>
      <c r="O120" t="n">
        <v>0</v>
      </c>
      <c r="P120" t="n">
        <v>0</v>
      </c>
      <c r="Q120" t="n">
        <v>0</v>
      </c>
      <c r="R120" s="2" t="inlineStr"/>
    </row>
    <row r="121" ht="15" customHeight="1">
      <c r="A121" t="inlineStr">
        <is>
          <t>A 12754-2025</t>
        </is>
      </c>
      <c r="B121" s="1" t="n">
        <v>45733.56331018519</v>
      </c>
      <c r="C121" s="1" t="n">
        <v>46073</v>
      </c>
      <c r="D121" t="inlineStr">
        <is>
          <t>UPPSALA LÄN</t>
        </is>
      </c>
      <c r="E121" t="inlineStr">
        <is>
          <t>ENKÖPING</t>
        </is>
      </c>
      <c r="G121" t="n">
        <v>0.7</v>
      </c>
      <c r="H121" t="n">
        <v>0</v>
      </c>
      <c r="I121" t="n">
        <v>0</v>
      </c>
      <c r="J121" t="n">
        <v>0</v>
      </c>
      <c r="K121" t="n">
        <v>0</v>
      </c>
      <c r="L121" t="n">
        <v>0</v>
      </c>
      <c r="M121" t="n">
        <v>0</v>
      </c>
      <c r="N121" t="n">
        <v>0</v>
      </c>
      <c r="O121" t="n">
        <v>0</v>
      </c>
      <c r="P121" t="n">
        <v>0</v>
      </c>
      <c r="Q121" t="n">
        <v>0</v>
      </c>
      <c r="R121" s="2" t="inlineStr"/>
    </row>
    <row r="122" ht="15" customHeight="1">
      <c r="A122" t="inlineStr">
        <is>
          <t>A 54588-2024</t>
        </is>
      </c>
      <c r="B122" s="1" t="n">
        <v>45617</v>
      </c>
      <c r="C122" s="1" t="n">
        <v>46073</v>
      </c>
      <c r="D122" t="inlineStr">
        <is>
          <t>UPPSALA LÄN</t>
        </is>
      </c>
      <c r="E122" t="inlineStr">
        <is>
          <t>ENKÖPING</t>
        </is>
      </c>
      <c r="G122" t="n">
        <v>3.7</v>
      </c>
      <c r="H122" t="n">
        <v>0</v>
      </c>
      <c r="I122" t="n">
        <v>0</v>
      </c>
      <c r="J122" t="n">
        <v>0</v>
      </c>
      <c r="K122" t="n">
        <v>0</v>
      </c>
      <c r="L122" t="n">
        <v>0</v>
      </c>
      <c r="M122" t="n">
        <v>0</v>
      </c>
      <c r="N122" t="n">
        <v>0</v>
      </c>
      <c r="O122" t="n">
        <v>0</v>
      </c>
      <c r="P122" t="n">
        <v>0</v>
      </c>
      <c r="Q122" t="n">
        <v>0</v>
      </c>
      <c r="R122" s="2" t="inlineStr"/>
    </row>
    <row r="123" ht="15" customHeight="1">
      <c r="A123" t="inlineStr">
        <is>
          <t>A 56713-2024</t>
        </is>
      </c>
      <c r="B123" s="1" t="n">
        <v>45628</v>
      </c>
      <c r="C123" s="1" t="n">
        <v>46073</v>
      </c>
      <c r="D123" t="inlineStr">
        <is>
          <t>UPPSALA LÄN</t>
        </is>
      </c>
      <c r="E123" t="inlineStr">
        <is>
          <t>ENKÖPING</t>
        </is>
      </c>
      <c r="G123" t="n">
        <v>1.7</v>
      </c>
      <c r="H123" t="n">
        <v>0</v>
      </c>
      <c r="I123" t="n">
        <v>0</v>
      </c>
      <c r="J123" t="n">
        <v>0</v>
      </c>
      <c r="K123" t="n">
        <v>0</v>
      </c>
      <c r="L123" t="n">
        <v>0</v>
      </c>
      <c r="M123" t="n">
        <v>0</v>
      </c>
      <c r="N123" t="n">
        <v>0</v>
      </c>
      <c r="O123" t="n">
        <v>0</v>
      </c>
      <c r="P123" t="n">
        <v>0</v>
      </c>
      <c r="Q123" t="n">
        <v>0</v>
      </c>
      <c r="R123" s="2" t="inlineStr"/>
    </row>
    <row r="124" ht="15" customHeight="1">
      <c r="A124" t="inlineStr">
        <is>
          <t>A 51524-2022</t>
        </is>
      </c>
      <c r="B124" s="1" t="n">
        <v>44869</v>
      </c>
      <c r="C124" s="1" t="n">
        <v>46073</v>
      </c>
      <c r="D124" t="inlineStr">
        <is>
          <t>UPPSALA LÄN</t>
        </is>
      </c>
      <c r="E124" t="inlineStr">
        <is>
          <t>ENKÖPING</t>
        </is>
      </c>
      <c r="G124" t="n">
        <v>6.6</v>
      </c>
      <c r="H124" t="n">
        <v>0</v>
      </c>
      <c r="I124" t="n">
        <v>0</v>
      </c>
      <c r="J124" t="n">
        <v>0</v>
      </c>
      <c r="K124" t="n">
        <v>0</v>
      </c>
      <c r="L124" t="n">
        <v>0</v>
      </c>
      <c r="M124" t="n">
        <v>0</v>
      </c>
      <c r="N124" t="n">
        <v>0</v>
      </c>
      <c r="O124" t="n">
        <v>0</v>
      </c>
      <c r="P124" t="n">
        <v>0</v>
      </c>
      <c r="Q124" t="n">
        <v>0</v>
      </c>
      <c r="R124" s="2" t="inlineStr"/>
    </row>
    <row r="125" ht="15" customHeight="1">
      <c r="A125" t="inlineStr">
        <is>
          <t>A 50747-2022</t>
        </is>
      </c>
      <c r="B125" s="1" t="n">
        <v>44867.40162037037</v>
      </c>
      <c r="C125" s="1" t="n">
        <v>46073</v>
      </c>
      <c r="D125" t="inlineStr">
        <is>
          <t>UPPSALA LÄN</t>
        </is>
      </c>
      <c r="E125" t="inlineStr">
        <is>
          <t>ENKÖPING</t>
        </is>
      </c>
      <c r="G125" t="n">
        <v>1.5</v>
      </c>
      <c r="H125" t="n">
        <v>0</v>
      </c>
      <c r="I125" t="n">
        <v>0</v>
      </c>
      <c r="J125" t="n">
        <v>0</v>
      </c>
      <c r="K125" t="n">
        <v>0</v>
      </c>
      <c r="L125" t="n">
        <v>0</v>
      </c>
      <c r="M125" t="n">
        <v>0</v>
      </c>
      <c r="N125" t="n">
        <v>0</v>
      </c>
      <c r="O125" t="n">
        <v>0</v>
      </c>
      <c r="P125" t="n">
        <v>0</v>
      </c>
      <c r="Q125" t="n">
        <v>0</v>
      </c>
      <c r="R125" s="2" t="inlineStr"/>
    </row>
    <row r="126" ht="15" customHeight="1">
      <c r="A126" t="inlineStr">
        <is>
          <t>A 57152-2021</t>
        </is>
      </c>
      <c r="B126" s="1" t="n">
        <v>44482</v>
      </c>
      <c r="C126" s="1" t="n">
        <v>46073</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8137-2025</t>
        </is>
      </c>
      <c r="B127" s="1" t="n">
        <v>45707.8561574074</v>
      </c>
      <c r="C127" s="1" t="n">
        <v>46073</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7868-2024</t>
        </is>
      </c>
      <c r="B128" s="1" t="n">
        <v>45350.33020833333</v>
      </c>
      <c r="C128" s="1" t="n">
        <v>46073</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30437-2022</t>
        </is>
      </c>
      <c r="B129" s="1" t="n">
        <v>44761</v>
      </c>
      <c r="C129" s="1" t="n">
        <v>46073</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12572-2021</t>
        </is>
      </c>
      <c r="B130" s="1" t="n">
        <v>44270.36438657407</v>
      </c>
      <c r="C130" s="1" t="n">
        <v>46073</v>
      </c>
      <c r="D130" t="inlineStr">
        <is>
          <t>UPPSALA LÄN</t>
        </is>
      </c>
      <c r="E130" t="inlineStr">
        <is>
          <t>ENKÖPING</t>
        </is>
      </c>
      <c r="G130" t="n">
        <v>3.3</v>
      </c>
      <c r="H130" t="n">
        <v>0</v>
      </c>
      <c r="I130" t="n">
        <v>0</v>
      </c>
      <c r="J130" t="n">
        <v>0</v>
      </c>
      <c r="K130" t="n">
        <v>0</v>
      </c>
      <c r="L130" t="n">
        <v>0</v>
      </c>
      <c r="M130" t="n">
        <v>0</v>
      </c>
      <c r="N130" t="n">
        <v>0</v>
      </c>
      <c r="O130" t="n">
        <v>0</v>
      </c>
      <c r="P130" t="n">
        <v>0</v>
      </c>
      <c r="Q130" t="n">
        <v>0</v>
      </c>
      <c r="R130" s="2" t="inlineStr"/>
    </row>
    <row r="131" ht="15" customHeight="1">
      <c r="A131" t="inlineStr">
        <is>
          <t>A 69344-2021</t>
        </is>
      </c>
      <c r="B131" s="1" t="n">
        <v>44531</v>
      </c>
      <c r="C131" s="1" t="n">
        <v>46073</v>
      </c>
      <c r="D131" t="inlineStr">
        <is>
          <t>UPPSALA LÄN</t>
        </is>
      </c>
      <c r="E131" t="inlineStr">
        <is>
          <t>ENKÖPING</t>
        </is>
      </c>
      <c r="G131" t="n">
        <v>2.9</v>
      </c>
      <c r="H131" t="n">
        <v>0</v>
      </c>
      <c r="I131" t="n">
        <v>0</v>
      </c>
      <c r="J131" t="n">
        <v>0</v>
      </c>
      <c r="K131" t="n">
        <v>0</v>
      </c>
      <c r="L131" t="n">
        <v>0</v>
      </c>
      <c r="M131" t="n">
        <v>0</v>
      </c>
      <c r="N131" t="n">
        <v>0</v>
      </c>
      <c r="O131" t="n">
        <v>0</v>
      </c>
      <c r="P131" t="n">
        <v>0</v>
      </c>
      <c r="Q131" t="n">
        <v>0</v>
      </c>
      <c r="R131" s="2" t="inlineStr"/>
    </row>
    <row r="132" ht="15" customHeight="1">
      <c r="A132" t="inlineStr">
        <is>
          <t>A 20112-2024</t>
        </is>
      </c>
      <c r="B132" s="1" t="n">
        <v>45434</v>
      </c>
      <c r="C132" s="1" t="n">
        <v>46073</v>
      </c>
      <c r="D132" t="inlineStr">
        <is>
          <t>UPPSALA LÄN</t>
        </is>
      </c>
      <c r="E132" t="inlineStr">
        <is>
          <t>ENKÖPING</t>
        </is>
      </c>
      <c r="G132" t="n">
        <v>1.8</v>
      </c>
      <c r="H132" t="n">
        <v>0</v>
      </c>
      <c r="I132" t="n">
        <v>0</v>
      </c>
      <c r="J132" t="n">
        <v>0</v>
      </c>
      <c r="K132" t="n">
        <v>0</v>
      </c>
      <c r="L132" t="n">
        <v>0</v>
      </c>
      <c r="M132" t="n">
        <v>0</v>
      </c>
      <c r="N132" t="n">
        <v>0</v>
      </c>
      <c r="O132" t="n">
        <v>0</v>
      </c>
      <c r="P132" t="n">
        <v>0</v>
      </c>
      <c r="Q132" t="n">
        <v>0</v>
      </c>
      <c r="R132" s="2" t="inlineStr"/>
    </row>
    <row r="133" ht="15" customHeight="1">
      <c r="A133" t="inlineStr">
        <is>
          <t>A 48423-2025</t>
        </is>
      </c>
      <c r="B133" s="1" t="n">
        <v>45934.68024305555</v>
      </c>
      <c r="C133" s="1" t="n">
        <v>46073</v>
      </c>
      <c r="D133" t="inlineStr">
        <is>
          <t>UPPSALA LÄN</t>
        </is>
      </c>
      <c r="E133" t="inlineStr">
        <is>
          <t>ENKÖPING</t>
        </is>
      </c>
      <c r="G133" t="n">
        <v>4.3</v>
      </c>
      <c r="H133" t="n">
        <v>0</v>
      </c>
      <c r="I133" t="n">
        <v>0</v>
      </c>
      <c r="J133" t="n">
        <v>0</v>
      </c>
      <c r="K133" t="n">
        <v>0</v>
      </c>
      <c r="L133" t="n">
        <v>0</v>
      </c>
      <c r="M133" t="n">
        <v>0</v>
      </c>
      <c r="N133" t="n">
        <v>0</v>
      </c>
      <c r="O133" t="n">
        <v>0</v>
      </c>
      <c r="P133" t="n">
        <v>0</v>
      </c>
      <c r="Q133" t="n">
        <v>0</v>
      </c>
      <c r="R133" s="2" t="inlineStr"/>
    </row>
    <row r="134" ht="15" customHeight="1">
      <c r="A134" t="inlineStr">
        <is>
          <t>A 48424-2025</t>
        </is>
      </c>
      <c r="B134" s="1" t="n">
        <v>45934.69131944444</v>
      </c>
      <c r="C134" s="1" t="n">
        <v>46073</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51008-2024</t>
        </is>
      </c>
      <c r="B135" s="1" t="n">
        <v>45603.39041666667</v>
      </c>
      <c r="C135" s="1" t="n">
        <v>46073</v>
      </c>
      <c r="D135" t="inlineStr">
        <is>
          <t>UPPSALA LÄN</t>
        </is>
      </c>
      <c r="E135" t="inlineStr">
        <is>
          <t>ENKÖPING</t>
        </is>
      </c>
      <c r="G135" t="n">
        <v>2.4</v>
      </c>
      <c r="H135" t="n">
        <v>0</v>
      </c>
      <c r="I135" t="n">
        <v>0</v>
      </c>
      <c r="J135" t="n">
        <v>0</v>
      </c>
      <c r="K135" t="n">
        <v>0</v>
      </c>
      <c r="L135" t="n">
        <v>0</v>
      </c>
      <c r="M135" t="n">
        <v>0</v>
      </c>
      <c r="N135" t="n">
        <v>0</v>
      </c>
      <c r="O135" t="n">
        <v>0</v>
      </c>
      <c r="P135" t="n">
        <v>0</v>
      </c>
      <c r="Q135" t="n">
        <v>0</v>
      </c>
      <c r="R135" s="2" t="inlineStr"/>
    </row>
    <row r="136" ht="15" customHeight="1">
      <c r="A136" t="inlineStr">
        <is>
          <t>A 48678-2025</t>
        </is>
      </c>
      <c r="B136" s="1" t="n">
        <v>45936.59168981481</v>
      </c>
      <c r="C136" s="1" t="n">
        <v>46073</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35052-2024</t>
        </is>
      </c>
      <c r="B137" s="1" t="n">
        <v>45527.6516087963</v>
      </c>
      <c r="C137" s="1" t="n">
        <v>46073</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51932-2022</t>
        </is>
      </c>
      <c r="B138" s="1" t="n">
        <v>44872</v>
      </c>
      <c r="C138" s="1" t="n">
        <v>46073</v>
      </c>
      <c r="D138" t="inlineStr">
        <is>
          <t>UPPSALA LÄN</t>
        </is>
      </c>
      <c r="E138" t="inlineStr">
        <is>
          <t>ENKÖPING</t>
        </is>
      </c>
      <c r="G138" t="n">
        <v>5.5</v>
      </c>
      <c r="H138" t="n">
        <v>0</v>
      </c>
      <c r="I138" t="n">
        <v>0</v>
      </c>
      <c r="J138" t="n">
        <v>0</v>
      </c>
      <c r="K138" t="n">
        <v>0</v>
      </c>
      <c r="L138" t="n">
        <v>0</v>
      </c>
      <c r="M138" t="n">
        <v>0</v>
      </c>
      <c r="N138" t="n">
        <v>0</v>
      </c>
      <c r="O138" t="n">
        <v>0</v>
      </c>
      <c r="P138" t="n">
        <v>0</v>
      </c>
      <c r="Q138" t="n">
        <v>0</v>
      </c>
      <c r="R138" s="2" t="inlineStr"/>
    </row>
    <row r="139" ht="15" customHeight="1">
      <c r="A139" t="inlineStr">
        <is>
          <t>A 49068-2025</t>
        </is>
      </c>
      <c r="B139" s="1" t="n">
        <v>45937.64766203704</v>
      </c>
      <c r="C139" s="1" t="n">
        <v>46073</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12958-2024</t>
        </is>
      </c>
      <c r="B140" s="1" t="n">
        <v>45385</v>
      </c>
      <c r="C140" s="1" t="n">
        <v>46073</v>
      </c>
      <c r="D140" t="inlineStr">
        <is>
          <t>UPPSALA LÄN</t>
        </is>
      </c>
      <c r="E140" t="inlineStr">
        <is>
          <t>ENKÖPING</t>
        </is>
      </c>
      <c r="G140" t="n">
        <v>2.1</v>
      </c>
      <c r="H140" t="n">
        <v>0</v>
      </c>
      <c r="I140" t="n">
        <v>0</v>
      </c>
      <c r="J140" t="n">
        <v>0</v>
      </c>
      <c r="K140" t="n">
        <v>0</v>
      </c>
      <c r="L140" t="n">
        <v>0</v>
      </c>
      <c r="M140" t="n">
        <v>0</v>
      </c>
      <c r="N140" t="n">
        <v>0</v>
      </c>
      <c r="O140" t="n">
        <v>0</v>
      </c>
      <c r="P140" t="n">
        <v>0</v>
      </c>
      <c r="Q140" t="n">
        <v>0</v>
      </c>
      <c r="R140" s="2" t="inlineStr"/>
    </row>
    <row r="141" ht="15" customHeight="1">
      <c r="A141" t="inlineStr">
        <is>
          <t>A 40812-2022</t>
        </is>
      </c>
      <c r="B141" s="1" t="n">
        <v>44824.68791666667</v>
      </c>
      <c r="C141" s="1" t="n">
        <v>46073</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24291-2024</t>
        </is>
      </c>
      <c r="B142" s="1" t="n">
        <v>45457.4584837963</v>
      </c>
      <c r="C142" s="1" t="n">
        <v>46073</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14518-2025</t>
        </is>
      </c>
      <c r="B143" s="1" t="n">
        <v>45741</v>
      </c>
      <c r="C143" s="1" t="n">
        <v>46073</v>
      </c>
      <c r="D143" t="inlineStr">
        <is>
          <t>UPPSALA LÄN</t>
        </is>
      </c>
      <c r="E143" t="inlineStr">
        <is>
          <t>ENKÖPING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54776-2024</t>
        </is>
      </c>
      <c r="B144" s="1" t="n">
        <v>45618</v>
      </c>
      <c r="C144" s="1" t="n">
        <v>46073</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44232-2022</t>
        </is>
      </c>
      <c r="B145" s="1" t="n">
        <v>44839</v>
      </c>
      <c r="C145" s="1" t="n">
        <v>46073</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22150-2025</t>
        </is>
      </c>
      <c r="B146" s="1" t="n">
        <v>45785.56398148148</v>
      </c>
      <c r="C146" s="1" t="n">
        <v>46073</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47428-2023</t>
        </is>
      </c>
      <c r="B147" s="1" t="n">
        <v>45202.66664351852</v>
      </c>
      <c r="C147" s="1" t="n">
        <v>46073</v>
      </c>
      <c r="D147" t="inlineStr">
        <is>
          <t>UPPSALA LÄN</t>
        </is>
      </c>
      <c r="E147" t="inlineStr">
        <is>
          <t>ENKÖPING</t>
        </is>
      </c>
      <c r="G147" t="n">
        <v>3</v>
      </c>
      <c r="H147" t="n">
        <v>0</v>
      </c>
      <c r="I147" t="n">
        <v>0</v>
      </c>
      <c r="J147" t="n">
        <v>0</v>
      </c>
      <c r="K147" t="n">
        <v>0</v>
      </c>
      <c r="L147" t="n">
        <v>0</v>
      </c>
      <c r="M147" t="n">
        <v>0</v>
      </c>
      <c r="N147" t="n">
        <v>0</v>
      </c>
      <c r="O147" t="n">
        <v>0</v>
      </c>
      <c r="P147" t="n">
        <v>0</v>
      </c>
      <c r="Q147" t="n">
        <v>0</v>
      </c>
      <c r="R147" s="2" t="inlineStr"/>
    </row>
    <row r="148" ht="15" customHeight="1">
      <c r="A148" t="inlineStr">
        <is>
          <t>A 22156-2025</t>
        </is>
      </c>
      <c r="B148" s="1" t="n">
        <v>45785.57512731481</v>
      </c>
      <c r="C148" s="1" t="n">
        <v>46073</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39746-2025</t>
        </is>
      </c>
      <c r="B149" s="1" t="n">
        <v>45891</v>
      </c>
      <c r="C149" s="1" t="n">
        <v>46073</v>
      </c>
      <c r="D149" t="inlineStr">
        <is>
          <t>UPPSALA LÄN</t>
        </is>
      </c>
      <c r="E149" t="inlineStr">
        <is>
          <t>ENKÖPING</t>
        </is>
      </c>
      <c r="G149" t="n">
        <v>7.4</v>
      </c>
      <c r="H149" t="n">
        <v>0</v>
      </c>
      <c r="I149" t="n">
        <v>0</v>
      </c>
      <c r="J149" t="n">
        <v>0</v>
      </c>
      <c r="K149" t="n">
        <v>0</v>
      </c>
      <c r="L149" t="n">
        <v>0</v>
      </c>
      <c r="M149" t="n">
        <v>0</v>
      </c>
      <c r="N149" t="n">
        <v>0</v>
      </c>
      <c r="O149" t="n">
        <v>0</v>
      </c>
      <c r="P149" t="n">
        <v>0</v>
      </c>
      <c r="Q149" t="n">
        <v>0</v>
      </c>
      <c r="R149" s="2" t="inlineStr"/>
    </row>
    <row r="150" ht="15" customHeight="1">
      <c r="A150" t="inlineStr">
        <is>
          <t>A 30087-2024</t>
        </is>
      </c>
      <c r="B150" s="1" t="n">
        <v>45489.39447916667</v>
      </c>
      <c r="C150" s="1" t="n">
        <v>46073</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45362-2022</t>
        </is>
      </c>
      <c r="B151" s="1" t="n">
        <v>44844.62366898148</v>
      </c>
      <c r="C151" s="1" t="n">
        <v>46073</v>
      </c>
      <c r="D151" t="inlineStr">
        <is>
          <t>UPPSALA LÄN</t>
        </is>
      </c>
      <c r="E151" t="inlineStr">
        <is>
          <t>ENKÖPING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56526-2022</t>
        </is>
      </c>
      <c r="B152" s="1" t="n">
        <v>44893</v>
      </c>
      <c r="C152" s="1" t="n">
        <v>46073</v>
      </c>
      <c r="D152" t="inlineStr">
        <is>
          <t>UPPSALA LÄN</t>
        </is>
      </c>
      <c r="E152" t="inlineStr">
        <is>
          <t>ENKÖPING</t>
        </is>
      </c>
      <c r="G152" t="n">
        <v>3.8</v>
      </c>
      <c r="H152" t="n">
        <v>0</v>
      </c>
      <c r="I152" t="n">
        <v>0</v>
      </c>
      <c r="J152" t="n">
        <v>0</v>
      </c>
      <c r="K152" t="n">
        <v>0</v>
      </c>
      <c r="L152" t="n">
        <v>0</v>
      </c>
      <c r="M152" t="n">
        <v>0</v>
      </c>
      <c r="N152" t="n">
        <v>0</v>
      </c>
      <c r="O152" t="n">
        <v>0</v>
      </c>
      <c r="P152" t="n">
        <v>0</v>
      </c>
      <c r="Q152" t="n">
        <v>0</v>
      </c>
      <c r="R152" s="2" t="inlineStr"/>
    </row>
    <row r="153" ht="15" customHeight="1">
      <c r="A153" t="inlineStr">
        <is>
          <t>A 22677-2025</t>
        </is>
      </c>
      <c r="B153" s="1" t="n">
        <v>45789.49515046296</v>
      </c>
      <c r="C153" s="1" t="n">
        <v>46073</v>
      </c>
      <c r="D153" t="inlineStr">
        <is>
          <t>UPPSALA LÄN</t>
        </is>
      </c>
      <c r="E153" t="inlineStr">
        <is>
          <t>ENKÖPING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22679-2025</t>
        </is>
      </c>
      <c r="B154" s="1" t="n">
        <v>45789.49747685185</v>
      </c>
      <c r="C154" s="1" t="n">
        <v>46073</v>
      </c>
      <c r="D154" t="inlineStr">
        <is>
          <t>UPPSALA LÄN</t>
        </is>
      </c>
      <c r="E154" t="inlineStr">
        <is>
          <t>ENKÖPING</t>
        </is>
      </c>
      <c r="G154" t="n">
        <v>1.1</v>
      </c>
      <c r="H154" t="n">
        <v>0</v>
      </c>
      <c r="I154" t="n">
        <v>0</v>
      </c>
      <c r="J154" t="n">
        <v>0</v>
      </c>
      <c r="K154" t="n">
        <v>0</v>
      </c>
      <c r="L154" t="n">
        <v>0</v>
      </c>
      <c r="M154" t="n">
        <v>0</v>
      </c>
      <c r="N154" t="n">
        <v>0</v>
      </c>
      <c r="O154" t="n">
        <v>0</v>
      </c>
      <c r="P154" t="n">
        <v>0</v>
      </c>
      <c r="Q154" t="n">
        <v>0</v>
      </c>
      <c r="R154" s="2" t="inlineStr"/>
    </row>
    <row r="155" ht="15" customHeight="1">
      <c r="A155" t="inlineStr">
        <is>
          <t>A 22729-2025</t>
        </is>
      </c>
      <c r="B155" s="1" t="n">
        <v>45789.57790509259</v>
      </c>
      <c r="C155" s="1" t="n">
        <v>46073</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22786-2025</t>
        </is>
      </c>
      <c r="B156" s="1" t="n">
        <v>45789.64643518518</v>
      </c>
      <c r="C156" s="1" t="n">
        <v>46073</v>
      </c>
      <c r="D156" t="inlineStr">
        <is>
          <t>UPPSALA LÄN</t>
        </is>
      </c>
      <c r="E156" t="inlineStr">
        <is>
          <t>ENKÖPING</t>
        </is>
      </c>
      <c r="G156" t="n">
        <v>0.9</v>
      </c>
      <c r="H156" t="n">
        <v>0</v>
      </c>
      <c r="I156" t="n">
        <v>0</v>
      </c>
      <c r="J156" t="n">
        <v>0</v>
      </c>
      <c r="K156" t="n">
        <v>0</v>
      </c>
      <c r="L156" t="n">
        <v>0</v>
      </c>
      <c r="M156" t="n">
        <v>0</v>
      </c>
      <c r="N156" t="n">
        <v>0</v>
      </c>
      <c r="O156" t="n">
        <v>0</v>
      </c>
      <c r="P156" t="n">
        <v>0</v>
      </c>
      <c r="Q156" t="n">
        <v>0</v>
      </c>
      <c r="R156" s="2" t="inlineStr"/>
    </row>
    <row r="157" ht="15" customHeight="1">
      <c r="A157" t="inlineStr">
        <is>
          <t>A 22795-2025</t>
        </is>
      </c>
      <c r="B157" s="1" t="n">
        <v>45789.65944444444</v>
      </c>
      <c r="C157" s="1" t="n">
        <v>46073</v>
      </c>
      <c r="D157" t="inlineStr">
        <is>
          <t>UPPSALA LÄN</t>
        </is>
      </c>
      <c r="E157" t="inlineStr">
        <is>
          <t>ENKÖPING</t>
        </is>
      </c>
      <c r="G157" t="n">
        <v>10.4</v>
      </c>
      <c r="H157" t="n">
        <v>0</v>
      </c>
      <c r="I157" t="n">
        <v>0</v>
      </c>
      <c r="J157" t="n">
        <v>0</v>
      </c>
      <c r="K157" t="n">
        <v>0</v>
      </c>
      <c r="L157" t="n">
        <v>0</v>
      </c>
      <c r="M157" t="n">
        <v>0</v>
      </c>
      <c r="N157" t="n">
        <v>0</v>
      </c>
      <c r="O157" t="n">
        <v>0</v>
      </c>
      <c r="P157" t="n">
        <v>0</v>
      </c>
      <c r="Q157" t="n">
        <v>0</v>
      </c>
      <c r="R157" s="2" t="inlineStr"/>
    </row>
    <row r="158" ht="15" customHeight="1">
      <c r="A158" t="inlineStr">
        <is>
          <t>A 22802-2025</t>
        </is>
      </c>
      <c r="B158" s="1" t="n">
        <v>45789.6686574074</v>
      </c>
      <c r="C158" s="1" t="n">
        <v>46073</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60350-2022</t>
        </is>
      </c>
      <c r="B159" s="1" t="n">
        <v>44910</v>
      </c>
      <c r="C159" s="1" t="n">
        <v>46073</v>
      </c>
      <c r="D159" t="inlineStr">
        <is>
          <t>UPPSALA LÄN</t>
        </is>
      </c>
      <c r="E159" t="inlineStr">
        <is>
          <t>ENKÖPING</t>
        </is>
      </c>
      <c r="F159" t="inlineStr">
        <is>
          <t>Allmännings- och besparingsskogar</t>
        </is>
      </c>
      <c r="G159" t="n">
        <v>3.5</v>
      </c>
      <c r="H159" t="n">
        <v>0</v>
      </c>
      <c r="I159" t="n">
        <v>0</v>
      </c>
      <c r="J159" t="n">
        <v>0</v>
      </c>
      <c r="K159" t="n">
        <v>0</v>
      </c>
      <c r="L159" t="n">
        <v>0</v>
      </c>
      <c r="M159" t="n">
        <v>0</v>
      </c>
      <c r="N159" t="n">
        <v>0</v>
      </c>
      <c r="O159" t="n">
        <v>0</v>
      </c>
      <c r="P159" t="n">
        <v>0</v>
      </c>
      <c r="Q159" t="n">
        <v>0</v>
      </c>
      <c r="R159" s="2" t="inlineStr"/>
    </row>
    <row r="160" ht="15" customHeight="1">
      <c r="A160" t="inlineStr">
        <is>
          <t>A 28518-2024</t>
        </is>
      </c>
      <c r="B160" s="1" t="n">
        <v>45477</v>
      </c>
      <c r="C160" s="1" t="n">
        <v>46073</v>
      </c>
      <c r="D160" t="inlineStr">
        <is>
          <t>UPPSALA LÄN</t>
        </is>
      </c>
      <c r="E160" t="inlineStr">
        <is>
          <t>ENKÖPING</t>
        </is>
      </c>
      <c r="G160" t="n">
        <v>3.4</v>
      </c>
      <c r="H160" t="n">
        <v>0</v>
      </c>
      <c r="I160" t="n">
        <v>0</v>
      </c>
      <c r="J160" t="n">
        <v>0</v>
      </c>
      <c r="K160" t="n">
        <v>0</v>
      </c>
      <c r="L160" t="n">
        <v>0</v>
      </c>
      <c r="M160" t="n">
        <v>0</v>
      </c>
      <c r="N160" t="n">
        <v>0</v>
      </c>
      <c r="O160" t="n">
        <v>0</v>
      </c>
      <c r="P160" t="n">
        <v>0</v>
      </c>
      <c r="Q160" t="n">
        <v>0</v>
      </c>
      <c r="R160" s="2" t="inlineStr"/>
    </row>
    <row r="161" ht="15" customHeight="1">
      <c r="A161" t="inlineStr">
        <is>
          <t>A 22680-2025</t>
        </is>
      </c>
      <c r="B161" s="1" t="n">
        <v>45789.5005787037</v>
      </c>
      <c r="C161" s="1" t="n">
        <v>46073</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6981-2025</t>
        </is>
      </c>
      <c r="B162" s="1" t="n">
        <v>45701</v>
      </c>
      <c r="C162" s="1" t="n">
        <v>46073</v>
      </c>
      <c r="D162" t="inlineStr">
        <is>
          <t>UPPSALA LÄN</t>
        </is>
      </c>
      <c r="E162" t="inlineStr">
        <is>
          <t>ENKÖPING</t>
        </is>
      </c>
      <c r="G162" t="n">
        <v>0.9</v>
      </c>
      <c r="H162" t="n">
        <v>0</v>
      </c>
      <c r="I162" t="n">
        <v>0</v>
      </c>
      <c r="J162" t="n">
        <v>0</v>
      </c>
      <c r="K162" t="n">
        <v>0</v>
      </c>
      <c r="L162" t="n">
        <v>0</v>
      </c>
      <c r="M162" t="n">
        <v>0</v>
      </c>
      <c r="N162" t="n">
        <v>0</v>
      </c>
      <c r="O162" t="n">
        <v>0</v>
      </c>
      <c r="P162" t="n">
        <v>0</v>
      </c>
      <c r="Q162" t="n">
        <v>0</v>
      </c>
      <c r="R162" s="2" t="inlineStr"/>
    </row>
    <row r="163" ht="15" customHeight="1">
      <c r="A163" t="inlineStr">
        <is>
          <t>A 22770-2025</t>
        </is>
      </c>
      <c r="B163" s="1" t="n">
        <v>45789.63454861111</v>
      </c>
      <c r="C163" s="1" t="n">
        <v>46073</v>
      </c>
      <c r="D163" t="inlineStr">
        <is>
          <t>UPPSALA LÄN</t>
        </is>
      </c>
      <c r="E163" t="inlineStr">
        <is>
          <t>ENKÖPING</t>
        </is>
      </c>
      <c r="G163" t="n">
        <v>4.5</v>
      </c>
      <c r="H163" t="n">
        <v>0</v>
      </c>
      <c r="I163" t="n">
        <v>0</v>
      </c>
      <c r="J163" t="n">
        <v>0</v>
      </c>
      <c r="K163" t="n">
        <v>0</v>
      </c>
      <c r="L163" t="n">
        <v>0</v>
      </c>
      <c r="M163" t="n">
        <v>0</v>
      </c>
      <c r="N163" t="n">
        <v>0</v>
      </c>
      <c r="O163" t="n">
        <v>0</v>
      </c>
      <c r="P163" t="n">
        <v>0</v>
      </c>
      <c r="Q163" t="n">
        <v>0</v>
      </c>
      <c r="R163" s="2" t="inlineStr"/>
    </row>
    <row r="164" ht="15" customHeight="1">
      <c r="A164" t="inlineStr">
        <is>
          <t>A 22725-2025</t>
        </is>
      </c>
      <c r="B164" s="1" t="n">
        <v>45789.57371527778</v>
      </c>
      <c r="C164" s="1" t="n">
        <v>46073</v>
      </c>
      <c r="D164" t="inlineStr">
        <is>
          <t>UPPSALA LÄN</t>
        </is>
      </c>
      <c r="E164" t="inlineStr">
        <is>
          <t>ENKÖPING</t>
        </is>
      </c>
      <c r="G164" t="n">
        <v>4.8</v>
      </c>
      <c r="H164" t="n">
        <v>0</v>
      </c>
      <c r="I164" t="n">
        <v>0</v>
      </c>
      <c r="J164" t="n">
        <v>0</v>
      </c>
      <c r="K164" t="n">
        <v>0</v>
      </c>
      <c r="L164" t="n">
        <v>0</v>
      </c>
      <c r="M164" t="n">
        <v>0</v>
      </c>
      <c r="N164" t="n">
        <v>0</v>
      </c>
      <c r="O164" t="n">
        <v>0</v>
      </c>
      <c r="P164" t="n">
        <v>0</v>
      </c>
      <c r="Q164" t="n">
        <v>0</v>
      </c>
      <c r="R164" s="2" t="inlineStr"/>
    </row>
    <row r="165" ht="15" customHeight="1">
      <c r="A165" t="inlineStr">
        <is>
          <t>A 22981-2025</t>
        </is>
      </c>
      <c r="B165" s="1" t="n">
        <v>45790.56964120371</v>
      </c>
      <c r="C165" s="1" t="n">
        <v>46073</v>
      </c>
      <c r="D165" t="inlineStr">
        <is>
          <t>UPPSALA LÄN</t>
        </is>
      </c>
      <c r="E165" t="inlineStr">
        <is>
          <t>ENKÖPING</t>
        </is>
      </c>
      <c r="G165" t="n">
        <v>1.5</v>
      </c>
      <c r="H165" t="n">
        <v>0</v>
      </c>
      <c r="I165" t="n">
        <v>0</v>
      </c>
      <c r="J165" t="n">
        <v>0</v>
      </c>
      <c r="K165" t="n">
        <v>0</v>
      </c>
      <c r="L165" t="n">
        <v>0</v>
      </c>
      <c r="M165" t="n">
        <v>0</v>
      </c>
      <c r="N165" t="n">
        <v>0</v>
      </c>
      <c r="O165" t="n">
        <v>0</v>
      </c>
      <c r="P165" t="n">
        <v>0</v>
      </c>
      <c r="Q165" t="n">
        <v>0</v>
      </c>
      <c r="R165" s="2" t="inlineStr"/>
    </row>
    <row r="166" ht="15" customHeight="1">
      <c r="A166" t="inlineStr">
        <is>
          <t>A 68123-2021</t>
        </is>
      </c>
      <c r="B166" s="1" t="n">
        <v>44526.39126157408</v>
      </c>
      <c r="C166" s="1" t="n">
        <v>46073</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22793-2025</t>
        </is>
      </c>
      <c r="B167" s="1" t="n">
        <v>45789.65693287037</v>
      </c>
      <c r="C167" s="1" t="n">
        <v>46073</v>
      </c>
      <c r="D167" t="inlineStr">
        <is>
          <t>UPPSALA LÄN</t>
        </is>
      </c>
      <c r="E167" t="inlineStr">
        <is>
          <t>ENKÖPING</t>
        </is>
      </c>
      <c r="G167" t="n">
        <v>3.2</v>
      </c>
      <c r="H167" t="n">
        <v>0</v>
      </c>
      <c r="I167" t="n">
        <v>0</v>
      </c>
      <c r="J167" t="n">
        <v>0</v>
      </c>
      <c r="K167" t="n">
        <v>0</v>
      </c>
      <c r="L167" t="n">
        <v>0</v>
      </c>
      <c r="M167" t="n">
        <v>0</v>
      </c>
      <c r="N167" t="n">
        <v>0</v>
      </c>
      <c r="O167" t="n">
        <v>0</v>
      </c>
      <c r="P167" t="n">
        <v>0</v>
      </c>
      <c r="Q167" t="n">
        <v>0</v>
      </c>
      <c r="R167" s="2" t="inlineStr"/>
    </row>
    <row r="168" ht="15" customHeight="1">
      <c r="A168" t="inlineStr">
        <is>
          <t>A 22800-2025</t>
        </is>
      </c>
      <c r="B168" s="1" t="n">
        <v>45789.6669212963</v>
      </c>
      <c r="C168" s="1" t="n">
        <v>46073</v>
      </c>
      <c r="D168" t="inlineStr">
        <is>
          <t>UPPSALA LÄN</t>
        </is>
      </c>
      <c r="E168" t="inlineStr">
        <is>
          <t>ENKÖPING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30098-2024</t>
        </is>
      </c>
      <c r="B169" s="1" t="n">
        <v>45489.41609953704</v>
      </c>
      <c r="C169" s="1" t="n">
        <v>46073</v>
      </c>
      <c r="D169" t="inlineStr">
        <is>
          <t>UPPSALA LÄN</t>
        </is>
      </c>
      <c r="E169" t="inlineStr">
        <is>
          <t>ENKÖPING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41618-2025</t>
        </is>
      </c>
      <c r="B170" s="1" t="n">
        <v>45901.70085648148</v>
      </c>
      <c r="C170" s="1" t="n">
        <v>46073</v>
      </c>
      <c r="D170" t="inlineStr">
        <is>
          <t>UPPSALA LÄN</t>
        </is>
      </c>
      <c r="E170" t="inlineStr">
        <is>
          <t>ENKÖPING</t>
        </is>
      </c>
      <c r="F170" t="inlineStr">
        <is>
          <t>Allmännings- och besparingsskogar</t>
        </is>
      </c>
      <c r="G170" t="n">
        <v>5.3</v>
      </c>
      <c r="H170" t="n">
        <v>0</v>
      </c>
      <c r="I170" t="n">
        <v>0</v>
      </c>
      <c r="J170" t="n">
        <v>0</v>
      </c>
      <c r="K170" t="n">
        <v>0</v>
      </c>
      <c r="L170" t="n">
        <v>0</v>
      </c>
      <c r="M170" t="n">
        <v>0</v>
      </c>
      <c r="N170" t="n">
        <v>0</v>
      </c>
      <c r="O170" t="n">
        <v>0</v>
      </c>
      <c r="P170" t="n">
        <v>0</v>
      </c>
      <c r="Q170" t="n">
        <v>0</v>
      </c>
      <c r="R170" s="2" t="inlineStr"/>
    </row>
    <row r="171" ht="15" customHeight="1">
      <c r="A171" t="inlineStr">
        <is>
          <t>A 1651-2024</t>
        </is>
      </c>
      <c r="B171" s="1" t="n">
        <v>45306.73770833333</v>
      </c>
      <c r="C171" s="1" t="n">
        <v>46073</v>
      </c>
      <c r="D171" t="inlineStr">
        <is>
          <t>UPPSALA LÄN</t>
        </is>
      </c>
      <c r="E171" t="inlineStr">
        <is>
          <t>ENKÖPING</t>
        </is>
      </c>
      <c r="G171" t="n">
        <v>10.2</v>
      </c>
      <c r="H171" t="n">
        <v>0</v>
      </c>
      <c r="I171" t="n">
        <v>0</v>
      </c>
      <c r="J171" t="n">
        <v>0</v>
      </c>
      <c r="K171" t="n">
        <v>0</v>
      </c>
      <c r="L171" t="n">
        <v>0</v>
      </c>
      <c r="M171" t="n">
        <v>0</v>
      </c>
      <c r="N171" t="n">
        <v>0</v>
      </c>
      <c r="O171" t="n">
        <v>0</v>
      </c>
      <c r="P171" t="n">
        <v>0</v>
      </c>
      <c r="Q171" t="n">
        <v>0</v>
      </c>
      <c r="R171" s="2" t="inlineStr"/>
    </row>
    <row r="172" ht="15" customHeight="1">
      <c r="A172" t="inlineStr">
        <is>
          <t>A 60289-2022</t>
        </is>
      </c>
      <c r="B172" s="1" t="n">
        <v>44910.53026620371</v>
      </c>
      <c r="C172" s="1" t="n">
        <v>46073</v>
      </c>
      <c r="D172" t="inlineStr">
        <is>
          <t>UPPSALA LÄN</t>
        </is>
      </c>
      <c r="E172" t="inlineStr">
        <is>
          <t>ENKÖPING</t>
        </is>
      </c>
      <c r="G172" t="n">
        <v>3.2</v>
      </c>
      <c r="H172" t="n">
        <v>0</v>
      </c>
      <c r="I172" t="n">
        <v>0</v>
      </c>
      <c r="J172" t="n">
        <v>0</v>
      </c>
      <c r="K172" t="n">
        <v>0</v>
      </c>
      <c r="L172" t="n">
        <v>0</v>
      </c>
      <c r="M172" t="n">
        <v>0</v>
      </c>
      <c r="N172" t="n">
        <v>0</v>
      </c>
      <c r="O172" t="n">
        <v>0</v>
      </c>
      <c r="P172" t="n">
        <v>0</v>
      </c>
      <c r="Q172" t="n">
        <v>0</v>
      </c>
      <c r="R172" s="2" t="inlineStr"/>
    </row>
    <row r="173" ht="15" customHeight="1">
      <c r="A173" t="inlineStr">
        <is>
          <t>A 41765-2025</t>
        </is>
      </c>
      <c r="B173" s="1" t="n">
        <v>45902</v>
      </c>
      <c r="C173" s="1" t="n">
        <v>46073</v>
      </c>
      <c r="D173" t="inlineStr">
        <is>
          <t>UPPSALA LÄN</t>
        </is>
      </c>
      <c r="E173" t="inlineStr">
        <is>
          <t>ENKÖPING</t>
        </is>
      </c>
      <c r="G173" t="n">
        <v>2.7</v>
      </c>
      <c r="H173" t="n">
        <v>0</v>
      </c>
      <c r="I173" t="n">
        <v>0</v>
      </c>
      <c r="J173" t="n">
        <v>0</v>
      </c>
      <c r="K173" t="n">
        <v>0</v>
      </c>
      <c r="L173" t="n">
        <v>0</v>
      </c>
      <c r="M173" t="n">
        <v>0</v>
      </c>
      <c r="N173" t="n">
        <v>0</v>
      </c>
      <c r="O173" t="n">
        <v>0</v>
      </c>
      <c r="P173" t="n">
        <v>0</v>
      </c>
      <c r="Q173" t="n">
        <v>0</v>
      </c>
      <c r="R173" s="2" t="inlineStr"/>
    </row>
    <row r="174" ht="15" customHeight="1">
      <c r="A174" t="inlineStr">
        <is>
          <t>A 41616-2025</t>
        </is>
      </c>
      <c r="B174" s="1" t="n">
        <v>45901.69684027778</v>
      </c>
      <c r="C174" s="1" t="n">
        <v>46073</v>
      </c>
      <c r="D174" t="inlineStr">
        <is>
          <t>UPPSALA LÄN</t>
        </is>
      </c>
      <c r="E174" t="inlineStr">
        <is>
          <t>ENKÖPING</t>
        </is>
      </c>
      <c r="F174" t="inlineStr">
        <is>
          <t>Allmännings- och besparingsskogar</t>
        </is>
      </c>
      <c r="G174" t="n">
        <v>17.3</v>
      </c>
      <c r="H174" t="n">
        <v>0</v>
      </c>
      <c r="I174" t="n">
        <v>0</v>
      </c>
      <c r="J174" t="n">
        <v>0</v>
      </c>
      <c r="K174" t="n">
        <v>0</v>
      </c>
      <c r="L174" t="n">
        <v>0</v>
      </c>
      <c r="M174" t="n">
        <v>0</v>
      </c>
      <c r="N174" t="n">
        <v>0</v>
      </c>
      <c r="O174" t="n">
        <v>0</v>
      </c>
      <c r="P174" t="n">
        <v>0</v>
      </c>
      <c r="Q174" t="n">
        <v>0</v>
      </c>
      <c r="R174" s="2" t="inlineStr"/>
    </row>
    <row r="175" ht="15" customHeight="1">
      <c r="A175" t="inlineStr">
        <is>
          <t>A 41637-2025</t>
        </is>
      </c>
      <c r="B175" s="1" t="n">
        <v>45901</v>
      </c>
      <c r="C175" s="1" t="n">
        <v>46073</v>
      </c>
      <c r="D175" t="inlineStr">
        <is>
          <t>UPPSALA LÄN</t>
        </is>
      </c>
      <c r="E175" t="inlineStr">
        <is>
          <t>ENKÖPING</t>
        </is>
      </c>
      <c r="F175" t="inlineStr">
        <is>
          <t>Allmännings- och besparingsskogar</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39439-2025</t>
        </is>
      </c>
      <c r="B176" s="1" t="n">
        <v>45889</v>
      </c>
      <c r="C176" s="1" t="n">
        <v>46073</v>
      </c>
      <c r="D176" t="inlineStr">
        <is>
          <t>UPPSALA LÄN</t>
        </is>
      </c>
      <c r="E176" t="inlineStr">
        <is>
          <t>ENKÖPING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17729-2023</t>
        </is>
      </c>
      <c r="B177" s="1" t="n">
        <v>45037</v>
      </c>
      <c r="C177" s="1" t="n">
        <v>46073</v>
      </c>
      <c r="D177" t="inlineStr">
        <is>
          <t>UPPSALA LÄN</t>
        </is>
      </c>
      <c r="E177" t="inlineStr">
        <is>
          <t>ENKÖPING</t>
        </is>
      </c>
      <c r="G177" t="n">
        <v>10.2</v>
      </c>
      <c r="H177" t="n">
        <v>0</v>
      </c>
      <c r="I177" t="n">
        <v>0</v>
      </c>
      <c r="J177" t="n">
        <v>0</v>
      </c>
      <c r="K177" t="n">
        <v>0</v>
      </c>
      <c r="L177" t="n">
        <v>0</v>
      </c>
      <c r="M177" t="n">
        <v>0</v>
      </c>
      <c r="N177" t="n">
        <v>0</v>
      </c>
      <c r="O177" t="n">
        <v>0</v>
      </c>
      <c r="P177" t="n">
        <v>0</v>
      </c>
      <c r="Q177" t="n">
        <v>0</v>
      </c>
      <c r="R177" s="2" t="inlineStr"/>
    </row>
    <row r="178" ht="15" customHeight="1">
      <c r="A178" t="inlineStr">
        <is>
          <t>A 5749-2025</t>
        </is>
      </c>
      <c r="B178" s="1" t="n">
        <v>45694</v>
      </c>
      <c r="C178" s="1" t="n">
        <v>46073</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47516-2022</t>
        </is>
      </c>
      <c r="B179" s="1" t="n">
        <v>44853.68895833333</v>
      </c>
      <c r="C179" s="1" t="n">
        <v>46073</v>
      </c>
      <c r="D179" t="inlineStr">
        <is>
          <t>UPPSALA LÄN</t>
        </is>
      </c>
      <c r="E179" t="inlineStr">
        <is>
          <t>ENKÖPING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43103-2025</t>
        </is>
      </c>
      <c r="B180" s="1" t="n">
        <v>45909</v>
      </c>
      <c r="C180" s="1" t="n">
        <v>46073</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8020-2022</t>
        </is>
      </c>
      <c r="B181" s="1" t="n">
        <v>44609</v>
      </c>
      <c r="C181" s="1" t="n">
        <v>46073</v>
      </c>
      <c r="D181" t="inlineStr">
        <is>
          <t>UPPSALA LÄN</t>
        </is>
      </c>
      <c r="E181" t="inlineStr">
        <is>
          <t>ENKÖPING</t>
        </is>
      </c>
      <c r="G181" t="n">
        <v>6</v>
      </c>
      <c r="H181" t="n">
        <v>0</v>
      </c>
      <c r="I181" t="n">
        <v>0</v>
      </c>
      <c r="J181" t="n">
        <v>0</v>
      </c>
      <c r="K181" t="n">
        <v>0</v>
      </c>
      <c r="L181" t="n">
        <v>0</v>
      </c>
      <c r="M181" t="n">
        <v>0</v>
      </c>
      <c r="N181" t="n">
        <v>0</v>
      </c>
      <c r="O181" t="n">
        <v>0</v>
      </c>
      <c r="P181" t="n">
        <v>0</v>
      </c>
      <c r="Q181" t="n">
        <v>0</v>
      </c>
      <c r="R181" s="2" t="inlineStr"/>
    </row>
    <row r="182" ht="15" customHeight="1">
      <c r="A182" t="inlineStr">
        <is>
          <t>A 49073-2025</t>
        </is>
      </c>
      <c r="B182" s="1" t="n">
        <v>45937.65512731481</v>
      </c>
      <c r="C182" s="1" t="n">
        <v>46073</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34805-2024</t>
        </is>
      </c>
      <c r="B183" s="1" t="n">
        <v>45526</v>
      </c>
      <c r="C183" s="1" t="n">
        <v>46073</v>
      </c>
      <c r="D183" t="inlineStr">
        <is>
          <t>UPPSALA LÄN</t>
        </is>
      </c>
      <c r="E183" t="inlineStr">
        <is>
          <t>ENKÖPING</t>
        </is>
      </c>
      <c r="G183" t="n">
        <v>3.6</v>
      </c>
      <c r="H183" t="n">
        <v>0</v>
      </c>
      <c r="I183" t="n">
        <v>0</v>
      </c>
      <c r="J183" t="n">
        <v>0</v>
      </c>
      <c r="K183" t="n">
        <v>0</v>
      </c>
      <c r="L183" t="n">
        <v>0</v>
      </c>
      <c r="M183" t="n">
        <v>0</v>
      </c>
      <c r="N183" t="n">
        <v>0</v>
      </c>
      <c r="O183" t="n">
        <v>0</v>
      </c>
      <c r="P183" t="n">
        <v>0</v>
      </c>
      <c r="Q183" t="n">
        <v>0</v>
      </c>
      <c r="R183" s="2" t="inlineStr"/>
    </row>
    <row r="184" ht="15" customHeight="1">
      <c r="A184" t="inlineStr">
        <is>
          <t>A 314-2025</t>
        </is>
      </c>
      <c r="B184" s="1" t="n">
        <v>45656</v>
      </c>
      <c r="C184" s="1" t="n">
        <v>46073</v>
      </c>
      <c r="D184" t="inlineStr">
        <is>
          <t>UPPSALA LÄN</t>
        </is>
      </c>
      <c r="E184" t="inlineStr">
        <is>
          <t>ENKÖPING</t>
        </is>
      </c>
      <c r="G184" t="n">
        <v>9</v>
      </c>
      <c r="H184" t="n">
        <v>0</v>
      </c>
      <c r="I184" t="n">
        <v>0</v>
      </c>
      <c r="J184" t="n">
        <v>0</v>
      </c>
      <c r="K184" t="n">
        <v>0</v>
      </c>
      <c r="L184" t="n">
        <v>0</v>
      </c>
      <c r="M184" t="n">
        <v>0</v>
      </c>
      <c r="N184" t="n">
        <v>0</v>
      </c>
      <c r="O184" t="n">
        <v>0</v>
      </c>
      <c r="P184" t="n">
        <v>0</v>
      </c>
      <c r="Q184" t="n">
        <v>0</v>
      </c>
      <c r="R184" s="2" t="inlineStr"/>
    </row>
    <row r="185" ht="15" customHeight="1">
      <c r="A185" t="inlineStr">
        <is>
          <t>A 10831-2024</t>
        </is>
      </c>
      <c r="B185" s="1" t="n">
        <v>45369</v>
      </c>
      <c r="C185" s="1" t="n">
        <v>46073</v>
      </c>
      <c r="D185" t="inlineStr">
        <is>
          <t>UPPSALA LÄN</t>
        </is>
      </c>
      <c r="E185" t="inlineStr">
        <is>
          <t>ENKÖPING</t>
        </is>
      </c>
      <c r="G185" t="n">
        <v>2.9</v>
      </c>
      <c r="H185" t="n">
        <v>0</v>
      </c>
      <c r="I185" t="n">
        <v>0</v>
      </c>
      <c r="J185" t="n">
        <v>0</v>
      </c>
      <c r="K185" t="n">
        <v>0</v>
      </c>
      <c r="L185" t="n">
        <v>0</v>
      </c>
      <c r="M185" t="n">
        <v>0</v>
      </c>
      <c r="N185" t="n">
        <v>0</v>
      </c>
      <c r="O185" t="n">
        <v>0</v>
      </c>
      <c r="P185" t="n">
        <v>0</v>
      </c>
      <c r="Q185" t="n">
        <v>0</v>
      </c>
      <c r="R185" s="2" t="inlineStr"/>
    </row>
    <row r="186" ht="15" customHeight="1">
      <c r="A186" t="inlineStr">
        <is>
          <t>A 42029-2025</t>
        </is>
      </c>
      <c r="B186" s="1" t="n">
        <v>45903</v>
      </c>
      <c r="C186" s="1" t="n">
        <v>46073</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5712-2025</t>
        </is>
      </c>
      <c r="B187" s="1" t="n">
        <v>45694</v>
      </c>
      <c r="C187" s="1" t="n">
        <v>46073</v>
      </c>
      <c r="D187" t="inlineStr">
        <is>
          <t>UPPSALA LÄN</t>
        </is>
      </c>
      <c r="E187" t="inlineStr">
        <is>
          <t>ENKÖPING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31242-2024</t>
        </is>
      </c>
      <c r="B188" s="1" t="n">
        <v>45503</v>
      </c>
      <c r="C188" s="1" t="n">
        <v>46073</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42756-2025</t>
        </is>
      </c>
      <c r="B189" s="1" t="n">
        <v>45908</v>
      </c>
      <c r="C189" s="1" t="n">
        <v>46073</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45956-2024</t>
        </is>
      </c>
      <c r="B190" s="1" t="n">
        <v>45580</v>
      </c>
      <c r="C190" s="1" t="n">
        <v>46073</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2162-2023</t>
        </is>
      </c>
      <c r="B191" s="1" t="n">
        <v>44941</v>
      </c>
      <c r="C191" s="1" t="n">
        <v>46073</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56163-2021</t>
        </is>
      </c>
      <c r="B192" s="1" t="n">
        <v>44477</v>
      </c>
      <c r="C192" s="1" t="n">
        <v>46073</v>
      </c>
      <c r="D192" t="inlineStr">
        <is>
          <t>UPPSALA LÄN</t>
        </is>
      </c>
      <c r="E192" t="inlineStr">
        <is>
          <t>ENKÖPING</t>
        </is>
      </c>
      <c r="F192" t="inlineStr">
        <is>
          <t>Allmännings- och besparingsskogar</t>
        </is>
      </c>
      <c r="G192" t="n">
        <v>0.6</v>
      </c>
      <c r="H192" t="n">
        <v>0</v>
      </c>
      <c r="I192" t="n">
        <v>0</v>
      </c>
      <c r="J192" t="n">
        <v>0</v>
      </c>
      <c r="K192" t="n">
        <v>0</v>
      </c>
      <c r="L192" t="n">
        <v>0</v>
      </c>
      <c r="M192" t="n">
        <v>0</v>
      </c>
      <c r="N192" t="n">
        <v>0</v>
      </c>
      <c r="O192" t="n">
        <v>0</v>
      </c>
      <c r="P192" t="n">
        <v>0</v>
      </c>
      <c r="Q192" t="n">
        <v>0</v>
      </c>
      <c r="R192" s="2" t="inlineStr"/>
    </row>
    <row r="193" ht="15" customHeight="1">
      <c r="A193" t="inlineStr">
        <is>
          <t>A 11627-2025</t>
        </is>
      </c>
      <c r="B193" s="1" t="n">
        <v>45727</v>
      </c>
      <c r="C193" s="1" t="n">
        <v>46073</v>
      </c>
      <c r="D193" t="inlineStr">
        <is>
          <t>UPPSALA LÄN</t>
        </is>
      </c>
      <c r="E193" t="inlineStr">
        <is>
          <t>ENKÖPING</t>
        </is>
      </c>
      <c r="G193" t="n">
        <v>5.5</v>
      </c>
      <c r="H193" t="n">
        <v>0</v>
      </c>
      <c r="I193" t="n">
        <v>0</v>
      </c>
      <c r="J193" t="n">
        <v>0</v>
      </c>
      <c r="K193" t="n">
        <v>0</v>
      </c>
      <c r="L193" t="n">
        <v>0</v>
      </c>
      <c r="M193" t="n">
        <v>0</v>
      </c>
      <c r="N193" t="n">
        <v>0</v>
      </c>
      <c r="O193" t="n">
        <v>0</v>
      </c>
      <c r="P193" t="n">
        <v>0</v>
      </c>
      <c r="Q193" t="n">
        <v>0</v>
      </c>
      <c r="R193" s="2" t="inlineStr"/>
    </row>
    <row r="194" ht="15" customHeight="1">
      <c r="A194" t="inlineStr">
        <is>
          <t>A 74090-2021</t>
        </is>
      </c>
      <c r="B194" s="1" t="n">
        <v>44557</v>
      </c>
      <c r="C194" s="1" t="n">
        <v>46073</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51162-2025</t>
        </is>
      </c>
      <c r="B195" s="1" t="n">
        <v>45947.58820601852</v>
      </c>
      <c r="C195" s="1" t="n">
        <v>46073</v>
      </c>
      <c r="D195" t="inlineStr">
        <is>
          <t>UPPSALA LÄN</t>
        </is>
      </c>
      <c r="E195" t="inlineStr">
        <is>
          <t>ENKÖPING</t>
        </is>
      </c>
      <c r="G195" t="n">
        <v>3.4</v>
      </c>
      <c r="H195" t="n">
        <v>0</v>
      </c>
      <c r="I195" t="n">
        <v>0</v>
      </c>
      <c r="J195" t="n">
        <v>0</v>
      </c>
      <c r="K195" t="n">
        <v>0</v>
      </c>
      <c r="L195" t="n">
        <v>0</v>
      </c>
      <c r="M195" t="n">
        <v>0</v>
      </c>
      <c r="N195" t="n">
        <v>0</v>
      </c>
      <c r="O195" t="n">
        <v>0</v>
      </c>
      <c r="P195" t="n">
        <v>0</v>
      </c>
      <c r="Q195" t="n">
        <v>0</v>
      </c>
      <c r="R195" s="2" t="inlineStr"/>
    </row>
    <row r="196" ht="15" customHeight="1">
      <c r="A196" t="inlineStr">
        <is>
          <t>A 51133-2025</t>
        </is>
      </c>
      <c r="B196" s="1" t="n">
        <v>45947.55598379629</v>
      </c>
      <c r="C196" s="1" t="n">
        <v>46073</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28318-2024</t>
        </is>
      </c>
      <c r="B197" s="1" t="n">
        <v>45477</v>
      </c>
      <c r="C197" s="1" t="n">
        <v>46073</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26017-2025</t>
        </is>
      </c>
      <c r="B198" s="1" t="n">
        <v>45804</v>
      </c>
      <c r="C198" s="1" t="n">
        <v>46073</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14402-2023</t>
        </is>
      </c>
      <c r="B199" s="1" t="n">
        <v>45012</v>
      </c>
      <c r="C199" s="1" t="n">
        <v>46073</v>
      </c>
      <c r="D199" t="inlineStr">
        <is>
          <t>UPPSALA LÄN</t>
        </is>
      </c>
      <c r="E199" t="inlineStr">
        <is>
          <t>ENKÖPING</t>
        </is>
      </c>
      <c r="G199" t="n">
        <v>9.5</v>
      </c>
      <c r="H199" t="n">
        <v>0</v>
      </c>
      <c r="I199" t="n">
        <v>0</v>
      </c>
      <c r="J199" t="n">
        <v>0</v>
      </c>
      <c r="K199" t="n">
        <v>0</v>
      </c>
      <c r="L199" t="n">
        <v>0</v>
      </c>
      <c r="M199" t="n">
        <v>0</v>
      </c>
      <c r="N199" t="n">
        <v>0</v>
      </c>
      <c r="O199" t="n">
        <v>0</v>
      </c>
      <c r="P199" t="n">
        <v>0</v>
      </c>
      <c r="Q199" t="n">
        <v>0</v>
      </c>
      <c r="R199" s="2" t="inlineStr"/>
    </row>
    <row r="200" ht="15" customHeight="1">
      <c r="A200" t="inlineStr">
        <is>
          <t>A 39115-2024</t>
        </is>
      </c>
      <c r="B200" s="1" t="n">
        <v>45548</v>
      </c>
      <c r="C200" s="1" t="n">
        <v>46073</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12020-2024</t>
        </is>
      </c>
      <c r="B201" s="1" t="n">
        <v>45377</v>
      </c>
      <c r="C201" s="1" t="n">
        <v>46073</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26011-2025</t>
        </is>
      </c>
      <c r="B202" s="1" t="n">
        <v>45804.67412037037</v>
      </c>
      <c r="C202" s="1" t="n">
        <v>46073</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41764-2025</t>
        </is>
      </c>
      <c r="B203" s="1" t="n">
        <v>45902</v>
      </c>
      <c r="C203" s="1" t="n">
        <v>46073</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51042-2024</t>
        </is>
      </c>
      <c r="B204" s="1" t="n">
        <v>45603.4342824074</v>
      </c>
      <c r="C204" s="1" t="n">
        <v>46073</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22632-2025</t>
        </is>
      </c>
      <c r="B205" s="1" t="n">
        <v>45789.44361111111</v>
      </c>
      <c r="C205" s="1" t="n">
        <v>46073</v>
      </c>
      <c r="D205" t="inlineStr">
        <is>
          <t>UPPSALA LÄN</t>
        </is>
      </c>
      <c r="E205" t="inlineStr">
        <is>
          <t>ENKÖPING</t>
        </is>
      </c>
      <c r="G205" t="n">
        <v>2.1</v>
      </c>
      <c r="H205" t="n">
        <v>0</v>
      </c>
      <c r="I205" t="n">
        <v>0</v>
      </c>
      <c r="J205" t="n">
        <v>0</v>
      </c>
      <c r="K205" t="n">
        <v>0</v>
      </c>
      <c r="L205" t="n">
        <v>0</v>
      </c>
      <c r="M205" t="n">
        <v>0</v>
      </c>
      <c r="N205" t="n">
        <v>0</v>
      </c>
      <c r="O205" t="n">
        <v>0</v>
      </c>
      <c r="P205" t="n">
        <v>0</v>
      </c>
      <c r="Q205" t="n">
        <v>0</v>
      </c>
      <c r="R205" s="2" t="inlineStr"/>
    </row>
    <row r="206" ht="15" customHeight="1">
      <c r="A206" t="inlineStr">
        <is>
          <t>A 58092-2024</t>
        </is>
      </c>
      <c r="B206" s="1" t="n">
        <v>45632</v>
      </c>
      <c r="C206" s="1" t="n">
        <v>46073</v>
      </c>
      <c r="D206" t="inlineStr">
        <is>
          <t>UPPSALA LÄN</t>
        </is>
      </c>
      <c r="E206" t="inlineStr">
        <is>
          <t>ENKÖPING</t>
        </is>
      </c>
      <c r="G206" t="n">
        <v>4.8</v>
      </c>
      <c r="H206" t="n">
        <v>0</v>
      </c>
      <c r="I206" t="n">
        <v>0</v>
      </c>
      <c r="J206" t="n">
        <v>0</v>
      </c>
      <c r="K206" t="n">
        <v>0</v>
      </c>
      <c r="L206" t="n">
        <v>0</v>
      </c>
      <c r="M206" t="n">
        <v>0</v>
      </c>
      <c r="N206" t="n">
        <v>0</v>
      </c>
      <c r="O206" t="n">
        <v>0</v>
      </c>
      <c r="P206" t="n">
        <v>0</v>
      </c>
      <c r="Q206" t="n">
        <v>0</v>
      </c>
      <c r="R206" s="2" t="inlineStr"/>
    </row>
    <row r="207" ht="15" customHeight="1">
      <c r="A207" t="inlineStr">
        <is>
          <t>A 51037-2024</t>
        </is>
      </c>
      <c r="B207" s="1" t="n">
        <v>45603.43005787037</v>
      </c>
      <c r="C207" s="1" t="n">
        <v>46073</v>
      </c>
      <c r="D207" t="inlineStr">
        <is>
          <t>UPPSALA LÄN</t>
        </is>
      </c>
      <c r="E207" t="inlineStr">
        <is>
          <t>ENKÖPING</t>
        </is>
      </c>
      <c r="G207" t="n">
        <v>5.7</v>
      </c>
      <c r="H207" t="n">
        <v>0</v>
      </c>
      <c r="I207" t="n">
        <v>0</v>
      </c>
      <c r="J207" t="n">
        <v>0</v>
      </c>
      <c r="K207" t="n">
        <v>0</v>
      </c>
      <c r="L207" t="n">
        <v>0</v>
      </c>
      <c r="M207" t="n">
        <v>0</v>
      </c>
      <c r="N207" t="n">
        <v>0</v>
      </c>
      <c r="O207" t="n">
        <v>0</v>
      </c>
      <c r="P207" t="n">
        <v>0</v>
      </c>
      <c r="Q207" t="n">
        <v>0</v>
      </c>
      <c r="R207" s="2" t="inlineStr"/>
    </row>
    <row r="208" ht="15" customHeight="1">
      <c r="A208" t="inlineStr">
        <is>
          <t>A 54263-2025</t>
        </is>
      </c>
      <c r="B208" s="1" t="n">
        <v>45964.66271990741</v>
      </c>
      <c r="C208" s="1" t="n">
        <v>46073</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2850-2025</t>
        </is>
      </c>
      <c r="B209" s="1" t="n">
        <v>45677</v>
      </c>
      <c r="C209" s="1" t="n">
        <v>46073</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69344-2021</t>
        </is>
      </c>
      <c r="B210" s="1" t="n">
        <v>44531</v>
      </c>
      <c r="C210" s="1" t="n">
        <v>46073</v>
      </c>
      <c r="D210" t="inlineStr">
        <is>
          <t>UPPSALA LÄN</t>
        </is>
      </c>
      <c r="E210" t="inlineStr">
        <is>
          <t>ENKÖPING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51027-2024</t>
        </is>
      </c>
      <c r="B211" s="1" t="n">
        <v>45603</v>
      </c>
      <c r="C211" s="1" t="n">
        <v>46073</v>
      </c>
      <c r="D211" t="inlineStr">
        <is>
          <t>UPPSALA LÄN</t>
        </is>
      </c>
      <c r="E211" t="inlineStr">
        <is>
          <t>ENKÖPING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24411-2024</t>
        </is>
      </c>
      <c r="B212" s="1" t="n">
        <v>45457</v>
      </c>
      <c r="C212" s="1" t="n">
        <v>46073</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25988-2025</t>
        </is>
      </c>
      <c r="B213" s="1" t="n">
        <v>45804.64814814815</v>
      </c>
      <c r="C213" s="1" t="n">
        <v>46073</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26024-2025</t>
        </is>
      </c>
      <c r="B214" s="1" t="n">
        <v>45804.6831712963</v>
      </c>
      <c r="C214" s="1" t="n">
        <v>46073</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26042-2025</t>
        </is>
      </c>
      <c r="B215" s="1" t="n">
        <v>45804.70018518518</v>
      </c>
      <c r="C215" s="1" t="n">
        <v>46073</v>
      </c>
      <c r="D215" t="inlineStr">
        <is>
          <t>UPPSALA LÄN</t>
        </is>
      </c>
      <c r="E215" t="inlineStr">
        <is>
          <t>ENKÖPING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26030-2025</t>
        </is>
      </c>
      <c r="B216" s="1" t="n">
        <v>45804.68815972222</v>
      </c>
      <c r="C216" s="1" t="n">
        <v>46073</v>
      </c>
      <c r="D216" t="inlineStr">
        <is>
          <t>UPPSALA LÄN</t>
        </is>
      </c>
      <c r="E216" t="inlineStr">
        <is>
          <t>ENKÖPING</t>
        </is>
      </c>
      <c r="G216" t="n">
        <v>0.3</v>
      </c>
      <c r="H216" t="n">
        <v>0</v>
      </c>
      <c r="I216" t="n">
        <v>0</v>
      </c>
      <c r="J216" t="n">
        <v>0</v>
      </c>
      <c r="K216" t="n">
        <v>0</v>
      </c>
      <c r="L216" t="n">
        <v>0</v>
      </c>
      <c r="M216" t="n">
        <v>0</v>
      </c>
      <c r="N216" t="n">
        <v>0</v>
      </c>
      <c r="O216" t="n">
        <v>0</v>
      </c>
      <c r="P216" t="n">
        <v>0</v>
      </c>
      <c r="Q216" t="n">
        <v>0</v>
      </c>
      <c r="R216" s="2" t="inlineStr"/>
    </row>
    <row r="217" ht="15" customHeight="1">
      <c r="A217" t="inlineStr">
        <is>
          <t>A 44419-2025</t>
        </is>
      </c>
      <c r="B217" s="1" t="n">
        <v>45916.54671296296</v>
      </c>
      <c r="C217" s="1" t="n">
        <v>46073</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46073</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32477-2025</t>
        </is>
      </c>
      <c r="B219" s="1" t="n">
        <v>45838.43098379629</v>
      </c>
      <c r="C219" s="1" t="n">
        <v>46073</v>
      </c>
      <c r="D219" t="inlineStr">
        <is>
          <t>UPPSALA LÄN</t>
        </is>
      </c>
      <c r="E219" t="inlineStr">
        <is>
          <t>ENKÖPING</t>
        </is>
      </c>
      <c r="G219" t="n">
        <v>2.7</v>
      </c>
      <c r="H219" t="n">
        <v>0</v>
      </c>
      <c r="I219" t="n">
        <v>0</v>
      </c>
      <c r="J219" t="n">
        <v>0</v>
      </c>
      <c r="K219" t="n">
        <v>0</v>
      </c>
      <c r="L219" t="n">
        <v>0</v>
      </c>
      <c r="M219" t="n">
        <v>0</v>
      </c>
      <c r="N219" t="n">
        <v>0</v>
      </c>
      <c r="O219" t="n">
        <v>0</v>
      </c>
      <c r="P219" t="n">
        <v>0</v>
      </c>
      <c r="Q219" t="n">
        <v>0</v>
      </c>
      <c r="R219" s="2" t="inlineStr"/>
    </row>
    <row r="220" ht="15" customHeight="1">
      <c r="A220" t="inlineStr">
        <is>
          <t>A 54844-2025</t>
        </is>
      </c>
      <c r="B220" s="1" t="n">
        <v>45966.69570601852</v>
      </c>
      <c r="C220" s="1" t="n">
        <v>46073</v>
      </c>
      <c r="D220" t="inlineStr">
        <is>
          <t>UPPSALA LÄN</t>
        </is>
      </c>
      <c r="E220" t="inlineStr">
        <is>
          <t>ENKÖPING</t>
        </is>
      </c>
      <c r="G220" t="n">
        <v>5.5</v>
      </c>
      <c r="H220" t="n">
        <v>0</v>
      </c>
      <c r="I220" t="n">
        <v>0</v>
      </c>
      <c r="J220" t="n">
        <v>0</v>
      </c>
      <c r="K220" t="n">
        <v>0</v>
      </c>
      <c r="L220" t="n">
        <v>0</v>
      </c>
      <c r="M220" t="n">
        <v>0</v>
      </c>
      <c r="N220" t="n">
        <v>0</v>
      </c>
      <c r="O220" t="n">
        <v>0</v>
      </c>
      <c r="P220" t="n">
        <v>0</v>
      </c>
      <c r="Q220" t="n">
        <v>0</v>
      </c>
      <c r="R220" s="2" t="inlineStr"/>
    </row>
    <row r="221" ht="15" customHeight="1">
      <c r="A221" t="inlineStr">
        <is>
          <t>A 26026-2025</t>
        </is>
      </c>
      <c r="B221" s="1" t="n">
        <v>45804.68510416667</v>
      </c>
      <c r="C221" s="1" t="n">
        <v>46073</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26047-2025</t>
        </is>
      </c>
      <c r="B222" s="1" t="n">
        <v>45804.70835648148</v>
      </c>
      <c r="C222" s="1" t="n">
        <v>46073</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54758-2025</t>
        </is>
      </c>
      <c r="B223" s="1" t="n">
        <v>45966.59737268519</v>
      </c>
      <c r="C223" s="1" t="n">
        <v>46073</v>
      </c>
      <c r="D223" t="inlineStr">
        <is>
          <t>UPPSALA LÄN</t>
        </is>
      </c>
      <c r="E223" t="inlineStr">
        <is>
          <t>ENKÖPING</t>
        </is>
      </c>
      <c r="G223" t="n">
        <v>3.3</v>
      </c>
      <c r="H223" t="n">
        <v>0</v>
      </c>
      <c r="I223" t="n">
        <v>0</v>
      </c>
      <c r="J223" t="n">
        <v>0</v>
      </c>
      <c r="K223" t="n">
        <v>0</v>
      </c>
      <c r="L223" t="n">
        <v>0</v>
      </c>
      <c r="M223" t="n">
        <v>0</v>
      </c>
      <c r="N223" t="n">
        <v>0</v>
      </c>
      <c r="O223" t="n">
        <v>0</v>
      </c>
      <c r="P223" t="n">
        <v>0</v>
      </c>
      <c r="Q223" t="n">
        <v>0</v>
      </c>
      <c r="R223" s="2" t="inlineStr"/>
    </row>
    <row r="224" ht="15" customHeight="1">
      <c r="A224" t="inlineStr">
        <is>
          <t>A 54541-2025</t>
        </is>
      </c>
      <c r="B224" s="1" t="n">
        <v>45965.64733796296</v>
      </c>
      <c r="C224" s="1" t="n">
        <v>46073</v>
      </c>
      <c r="D224" t="inlineStr">
        <is>
          <t>UPPSALA LÄN</t>
        </is>
      </c>
      <c r="E224" t="inlineStr">
        <is>
          <t>ENKÖPING</t>
        </is>
      </c>
      <c r="G224" t="n">
        <v>3.1</v>
      </c>
      <c r="H224" t="n">
        <v>0</v>
      </c>
      <c r="I224" t="n">
        <v>0</v>
      </c>
      <c r="J224" t="n">
        <v>0</v>
      </c>
      <c r="K224" t="n">
        <v>0</v>
      </c>
      <c r="L224" t="n">
        <v>0</v>
      </c>
      <c r="M224" t="n">
        <v>0</v>
      </c>
      <c r="N224" t="n">
        <v>0</v>
      </c>
      <c r="O224" t="n">
        <v>0</v>
      </c>
      <c r="P224" t="n">
        <v>0</v>
      </c>
      <c r="Q224" t="n">
        <v>0</v>
      </c>
      <c r="R224" s="2" t="inlineStr"/>
    </row>
    <row r="225" ht="15" customHeight="1">
      <c r="A225" t="inlineStr">
        <is>
          <t>A 34124-2021</t>
        </is>
      </c>
      <c r="B225" s="1" t="n">
        <v>44379</v>
      </c>
      <c r="C225" s="1" t="n">
        <v>46073</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43697-2024</t>
        </is>
      </c>
      <c r="B226" s="1" t="n">
        <v>45569</v>
      </c>
      <c r="C226" s="1" t="n">
        <v>46073</v>
      </c>
      <c r="D226" t="inlineStr">
        <is>
          <t>UPPSALA LÄN</t>
        </is>
      </c>
      <c r="E226" t="inlineStr">
        <is>
          <t>ENKÖPING</t>
        </is>
      </c>
      <c r="G226" t="n">
        <v>2.1</v>
      </c>
      <c r="H226" t="n">
        <v>0</v>
      </c>
      <c r="I226" t="n">
        <v>0</v>
      </c>
      <c r="J226" t="n">
        <v>0</v>
      </c>
      <c r="K226" t="n">
        <v>0</v>
      </c>
      <c r="L226" t="n">
        <v>0</v>
      </c>
      <c r="M226" t="n">
        <v>0</v>
      </c>
      <c r="N226" t="n">
        <v>0</v>
      </c>
      <c r="O226" t="n">
        <v>0</v>
      </c>
      <c r="P226" t="n">
        <v>0</v>
      </c>
      <c r="Q226" t="n">
        <v>0</v>
      </c>
      <c r="R226" s="2" t="inlineStr"/>
    </row>
    <row r="227" ht="15" customHeight="1">
      <c r="A227" t="inlineStr">
        <is>
          <t>A 25847-2025</t>
        </is>
      </c>
      <c r="B227" s="1" t="n">
        <v>45804</v>
      </c>
      <c r="C227" s="1" t="n">
        <v>46073</v>
      </c>
      <c r="D227" t="inlineStr">
        <is>
          <t>UPPSALA LÄN</t>
        </is>
      </c>
      <c r="E227" t="inlineStr">
        <is>
          <t>ENKÖPING</t>
        </is>
      </c>
      <c r="G227" t="n">
        <v>3.6</v>
      </c>
      <c r="H227" t="n">
        <v>0</v>
      </c>
      <c r="I227" t="n">
        <v>0</v>
      </c>
      <c r="J227" t="n">
        <v>0</v>
      </c>
      <c r="K227" t="n">
        <v>0</v>
      </c>
      <c r="L227" t="n">
        <v>0</v>
      </c>
      <c r="M227" t="n">
        <v>0</v>
      </c>
      <c r="N227" t="n">
        <v>0</v>
      </c>
      <c r="O227" t="n">
        <v>0</v>
      </c>
      <c r="P227" t="n">
        <v>0</v>
      </c>
      <c r="Q227" t="n">
        <v>0</v>
      </c>
      <c r="R227" s="2" t="inlineStr"/>
    </row>
    <row r="228" ht="15" customHeight="1">
      <c r="A228" t="inlineStr">
        <is>
          <t>A 26005-2025</t>
        </is>
      </c>
      <c r="B228" s="1" t="n">
        <v>45804.67055555555</v>
      </c>
      <c r="C228" s="1" t="n">
        <v>46073</v>
      </c>
      <c r="D228" t="inlineStr">
        <is>
          <t>UPPSALA LÄN</t>
        </is>
      </c>
      <c r="E228" t="inlineStr">
        <is>
          <t>ENKÖPING</t>
        </is>
      </c>
      <c r="G228" t="n">
        <v>0.3</v>
      </c>
      <c r="H228" t="n">
        <v>0</v>
      </c>
      <c r="I228" t="n">
        <v>0</v>
      </c>
      <c r="J228" t="n">
        <v>0</v>
      </c>
      <c r="K228" t="n">
        <v>0</v>
      </c>
      <c r="L228" t="n">
        <v>0</v>
      </c>
      <c r="M228" t="n">
        <v>0</v>
      </c>
      <c r="N228" t="n">
        <v>0</v>
      </c>
      <c r="O228" t="n">
        <v>0</v>
      </c>
      <c r="P228" t="n">
        <v>0</v>
      </c>
      <c r="Q228" t="n">
        <v>0</v>
      </c>
      <c r="R228" s="2" t="inlineStr"/>
    </row>
    <row r="229" ht="15" customHeight="1">
      <c r="A229" t="inlineStr">
        <is>
          <t>A 26031-2025</t>
        </is>
      </c>
      <c r="B229" s="1" t="n">
        <v>45804.69050925926</v>
      </c>
      <c r="C229" s="1" t="n">
        <v>46073</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26041-2025</t>
        </is>
      </c>
      <c r="B230" s="1" t="n">
        <v>45804.69883101852</v>
      </c>
      <c r="C230" s="1" t="n">
        <v>46073</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26022-2025</t>
        </is>
      </c>
      <c r="B231" s="1" t="n">
        <v>45804.68006944445</v>
      </c>
      <c r="C231" s="1" t="n">
        <v>46073</v>
      </c>
      <c r="D231" t="inlineStr">
        <is>
          <t>UPPSALA LÄN</t>
        </is>
      </c>
      <c r="E231" t="inlineStr">
        <is>
          <t>ENKÖPING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27983-2024</t>
        </is>
      </c>
      <c r="B232" s="1" t="n">
        <v>45476</v>
      </c>
      <c r="C232" s="1" t="n">
        <v>46073</v>
      </c>
      <c r="D232" t="inlineStr">
        <is>
          <t>UPPSALA LÄN</t>
        </is>
      </c>
      <c r="E232" t="inlineStr">
        <is>
          <t>ENKÖPING</t>
        </is>
      </c>
      <c r="G232" t="n">
        <v>3.2</v>
      </c>
      <c r="H232" t="n">
        <v>0</v>
      </c>
      <c r="I232" t="n">
        <v>0</v>
      </c>
      <c r="J232" t="n">
        <v>0</v>
      </c>
      <c r="K232" t="n">
        <v>0</v>
      </c>
      <c r="L232" t="n">
        <v>0</v>
      </c>
      <c r="M232" t="n">
        <v>0</v>
      </c>
      <c r="N232" t="n">
        <v>0</v>
      </c>
      <c r="O232" t="n">
        <v>0</v>
      </c>
      <c r="P232" t="n">
        <v>0</v>
      </c>
      <c r="Q232" t="n">
        <v>0</v>
      </c>
      <c r="R232" s="2" t="inlineStr"/>
    </row>
    <row r="233" ht="15" customHeight="1">
      <c r="A233" t="inlineStr">
        <is>
          <t>A 51010-2024</t>
        </is>
      </c>
      <c r="B233" s="1" t="n">
        <v>45603.39285879629</v>
      </c>
      <c r="C233" s="1" t="n">
        <v>46073</v>
      </c>
      <c r="D233" t="inlineStr">
        <is>
          <t>UPPSALA LÄN</t>
        </is>
      </c>
      <c r="E233" t="inlineStr">
        <is>
          <t>ENKÖPING</t>
        </is>
      </c>
      <c r="G233" t="n">
        <v>1.7</v>
      </c>
      <c r="H233" t="n">
        <v>0</v>
      </c>
      <c r="I233" t="n">
        <v>0</v>
      </c>
      <c r="J233" t="n">
        <v>0</v>
      </c>
      <c r="K233" t="n">
        <v>0</v>
      </c>
      <c r="L233" t="n">
        <v>0</v>
      </c>
      <c r="M233" t="n">
        <v>0</v>
      </c>
      <c r="N233" t="n">
        <v>0</v>
      </c>
      <c r="O233" t="n">
        <v>0</v>
      </c>
      <c r="P233" t="n">
        <v>0</v>
      </c>
      <c r="Q233" t="n">
        <v>0</v>
      </c>
      <c r="R233" s="2" t="inlineStr"/>
    </row>
    <row r="234" ht="15" customHeight="1">
      <c r="A234" t="inlineStr">
        <is>
          <t>A 55567-2025</t>
        </is>
      </c>
      <c r="B234" s="1" t="n">
        <v>45971.65589120371</v>
      </c>
      <c r="C234" s="1" t="n">
        <v>46073</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22912-2024</t>
        </is>
      </c>
      <c r="B235" s="1" t="n">
        <v>45448.73118055556</v>
      </c>
      <c r="C235" s="1" t="n">
        <v>46073</v>
      </c>
      <c r="D235" t="inlineStr">
        <is>
          <t>UPPSALA LÄN</t>
        </is>
      </c>
      <c r="E235" t="inlineStr">
        <is>
          <t>ENKÖPING</t>
        </is>
      </c>
      <c r="G235" t="n">
        <v>2.8</v>
      </c>
      <c r="H235" t="n">
        <v>0</v>
      </c>
      <c r="I235" t="n">
        <v>0</v>
      </c>
      <c r="J235" t="n">
        <v>0</v>
      </c>
      <c r="K235" t="n">
        <v>0</v>
      </c>
      <c r="L235" t="n">
        <v>0</v>
      </c>
      <c r="M235" t="n">
        <v>0</v>
      </c>
      <c r="N235" t="n">
        <v>0</v>
      </c>
      <c r="O235" t="n">
        <v>0</v>
      </c>
      <c r="P235" t="n">
        <v>0</v>
      </c>
      <c r="Q235" t="n">
        <v>0</v>
      </c>
      <c r="R235" s="2" t="inlineStr"/>
    </row>
    <row r="236" ht="15" customHeight="1">
      <c r="A236" t="inlineStr">
        <is>
          <t>A 35067-2024</t>
        </is>
      </c>
      <c r="B236" s="1" t="n">
        <v>45527.66153935185</v>
      </c>
      <c r="C236" s="1" t="n">
        <v>46073</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9667-2024</t>
        </is>
      </c>
      <c r="B237" s="1" t="n">
        <v>45362.45130787037</v>
      </c>
      <c r="C237" s="1" t="n">
        <v>46073</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45755-2025</t>
        </is>
      </c>
      <c r="B238" s="1" t="n">
        <v>45923.50240740741</v>
      </c>
      <c r="C238" s="1" t="n">
        <v>46073</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46590-2025</t>
        </is>
      </c>
      <c r="B239" s="1" t="n">
        <v>45926.39542824074</v>
      </c>
      <c r="C239" s="1" t="n">
        <v>46073</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43506-2023</t>
        </is>
      </c>
      <c r="B240" s="1" t="n">
        <v>45181</v>
      </c>
      <c r="C240" s="1" t="n">
        <v>46073</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34989-2025</t>
        </is>
      </c>
      <c r="B241" s="1" t="n">
        <v>45849</v>
      </c>
      <c r="C241" s="1" t="n">
        <v>46073</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34990-2025</t>
        </is>
      </c>
      <c r="B242" s="1" t="n">
        <v>45849.78916666667</v>
      </c>
      <c r="C242" s="1" t="n">
        <v>46073</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14004-2023</t>
        </is>
      </c>
      <c r="B243" s="1" t="n">
        <v>45008</v>
      </c>
      <c r="C243" s="1" t="n">
        <v>46073</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27829-2025</t>
        </is>
      </c>
      <c r="B244" s="1" t="n">
        <v>45817</v>
      </c>
      <c r="C244" s="1" t="n">
        <v>46073</v>
      </c>
      <c r="D244" t="inlineStr">
        <is>
          <t>UPPSALA LÄN</t>
        </is>
      </c>
      <c r="E244" t="inlineStr">
        <is>
          <t>ENKÖPING</t>
        </is>
      </c>
      <c r="G244" t="n">
        <v>2.1</v>
      </c>
      <c r="H244" t="n">
        <v>0</v>
      </c>
      <c r="I244" t="n">
        <v>0</v>
      </c>
      <c r="J244" t="n">
        <v>0</v>
      </c>
      <c r="K244" t="n">
        <v>0</v>
      </c>
      <c r="L244" t="n">
        <v>0</v>
      </c>
      <c r="M244" t="n">
        <v>0</v>
      </c>
      <c r="N244" t="n">
        <v>0</v>
      </c>
      <c r="O244" t="n">
        <v>0</v>
      </c>
      <c r="P244" t="n">
        <v>0</v>
      </c>
      <c r="Q244" t="n">
        <v>0</v>
      </c>
      <c r="R244" s="2" t="inlineStr"/>
    </row>
    <row r="245" ht="15" customHeight="1">
      <c r="A245" t="inlineStr">
        <is>
          <t>A 51012-2024</t>
        </is>
      </c>
      <c r="B245" s="1" t="n">
        <v>45603.39686342593</v>
      </c>
      <c r="C245" s="1" t="n">
        <v>46073</v>
      </c>
      <c r="D245" t="inlineStr">
        <is>
          <t>UPPSALA LÄN</t>
        </is>
      </c>
      <c r="E245" t="inlineStr">
        <is>
          <t>ENKÖPING</t>
        </is>
      </c>
      <c r="G245" t="n">
        <v>2.7</v>
      </c>
      <c r="H245" t="n">
        <v>0</v>
      </c>
      <c r="I245" t="n">
        <v>0</v>
      </c>
      <c r="J245" t="n">
        <v>0</v>
      </c>
      <c r="K245" t="n">
        <v>0</v>
      </c>
      <c r="L245" t="n">
        <v>0</v>
      </c>
      <c r="M245" t="n">
        <v>0</v>
      </c>
      <c r="N245" t="n">
        <v>0</v>
      </c>
      <c r="O245" t="n">
        <v>0</v>
      </c>
      <c r="P245" t="n">
        <v>0</v>
      </c>
      <c r="Q245" t="n">
        <v>0</v>
      </c>
      <c r="R245" s="2" t="inlineStr"/>
    </row>
    <row r="246" ht="15" customHeight="1">
      <c r="A246" t="inlineStr">
        <is>
          <t>A 47441-2025</t>
        </is>
      </c>
      <c r="B246" s="1" t="n">
        <v>45930.63986111111</v>
      </c>
      <c r="C246" s="1" t="n">
        <v>46073</v>
      </c>
      <c r="D246" t="inlineStr">
        <is>
          <t>UPPSALA LÄN</t>
        </is>
      </c>
      <c r="E246" t="inlineStr">
        <is>
          <t>ENKÖPING</t>
        </is>
      </c>
      <c r="F246" t="inlineStr">
        <is>
          <t>Allmännings- och besparingsskogar</t>
        </is>
      </c>
      <c r="G246" t="n">
        <v>11.5</v>
      </c>
      <c r="H246" t="n">
        <v>0</v>
      </c>
      <c r="I246" t="n">
        <v>0</v>
      </c>
      <c r="J246" t="n">
        <v>0</v>
      </c>
      <c r="K246" t="n">
        <v>0</v>
      </c>
      <c r="L246" t="n">
        <v>0</v>
      </c>
      <c r="M246" t="n">
        <v>0</v>
      </c>
      <c r="N246" t="n">
        <v>0</v>
      </c>
      <c r="O246" t="n">
        <v>0</v>
      </c>
      <c r="P246" t="n">
        <v>0</v>
      </c>
      <c r="Q246" t="n">
        <v>0</v>
      </c>
      <c r="R246" s="2" t="inlineStr"/>
    </row>
    <row r="247" ht="15" customHeight="1">
      <c r="A247" t="inlineStr">
        <is>
          <t>A 46940-2025</t>
        </is>
      </c>
      <c r="B247" s="1" t="n">
        <v>45929.45483796296</v>
      </c>
      <c r="C247" s="1" t="n">
        <v>46073</v>
      </c>
      <c r="D247" t="inlineStr">
        <is>
          <t>UPPSALA LÄN</t>
        </is>
      </c>
      <c r="E247" t="inlineStr">
        <is>
          <t>ENKÖPING</t>
        </is>
      </c>
      <c r="G247" t="n">
        <v>5.3</v>
      </c>
      <c r="H247" t="n">
        <v>0</v>
      </c>
      <c r="I247" t="n">
        <v>0</v>
      </c>
      <c r="J247" t="n">
        <v>0</v>
      </c>
      <c r="K247" t="n">
        <v>0</v>
      </c>
      <c r="L247" t="n">
        <v>0</v>
      </c>
      <c r="M247" t="n">
        <v>0</v>
      </c>
      <c r="N247" t="n">
        <v>0</v>
      </c>
      <c r="O247" t="n">
        <v>0</v>
      </c>
      <c r="P247" t="n">
        <v>0</v>
      </c>
      <c r="Q247" t="n">
        <v>0</v>
      </c>
      <c r="R247" s="2" t="inlineStr"/>
    </row>
    <row r="248" ht="15" customHeight="1">
      <c r="A248" t="inlineStr">
        <is>
          <t>A 41828-2024</t>
        </is>
      </c>
      <c r="B248" s="1" t="n">
        <v>45561</v>
      </c>
      <c r="C248" s="1" t="n">
        <v>46073</v>
      </c>
      <c r="D248" t="inlineStr">
        <is>
          <t>UPPSALA LÄN</t>
        </is>
      </c>
      <c r="E248" t="inlineStr">
        <is>
          <t>ENKÖPING</t>
        </is>
      </c>
      <c r="G248" t="n">
        <v>2.5</v>
      </c>
      <c r="H248" t="n">
        <v>0</v>
      </c>
      <c r="I248" t="n">
        <v>0</v>
      </c>
      <c r="J248" t="n">
        <v>0</v>
      </c>
      <c r="K248" t="n">
        <v>0</v>
      </c>
      <c r="L248" t="n">
        <v>0</v>
      </c>
      <c r="M248" t="n">
        <v>0</v>
      </c>
      <c r="N248" t="n">
        <v>0</v>
      </c>
      <c r="O248" t="n">
        <v>0</v>
      </c>
      <c r="P248" t="n">
        <v>0</v>
      </c>
      <c r="Q248" t="n">
        <v>0</v>
      </c>
      <c r="R248" s="2" t="inlineStr"/>
    </row>
    <row r="249" ht="15" customHeight="1">
      <c r="A249" t="inlineStr">
        <is>
          <t>A 28855-2025</t>
        </is>
      </c>
      <c r="B249" s="1" t="n">
        <v>45820.58274305556</v>
      </c>
      <c r="C249" s="1" t="n">
        <v>46073</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28758-2025</t>
        </is>
      </c>
      <c r="B250" s="1" t="n">
        <v>45820.41212962963</v>
      </c>
      <c r="C250" s="1" t="n">
        <v>46073</v>
      </c>
      <c r="D250" t="inlineStr">
        <is>
          <t>UPPSALA LÄN</t>
        </is>
      </c>
      <c r="E250" t="inlineStr">
        <is>
          <t>ENKÖPING</t>
        </is>
      </c>
      <c r="G250" t="n">
        <v>2.4</v>
      </c>
      <c r="H250" t="n">
        <v>0</v>
      </c>
      <c r="I250" t="n">
        <v>0</v>
      </c>
      <c r="J250" t="n">
        <v>0</v>
      </c>
      <c r="K250" t="n">
        <v>0</v>
      </c>
      <c r="L250" t="n">
        <v>0</v>
      </c>
      <c r="M250" t="n">
        <v>0</v>
      </c>
      <c r="N250" t="n">
        <v>0</v>
      </c>
      <c r="O250" t="n">
        <v>0</v>
      </c>
      <c r="P250" t="n">
        <v>0</v>
      </c>
      <c r="Q250" t="n">
        <v>0</v>
      </c>
      <c r="R250" s="2" t="inlineStr"/>
    </row>
    <row r="251" ht="15" customHeight="1">
      <c r="A251" t="inlineStr">
        <is>
          <t>A 39009-2024</t>
        </is>
      </c>
      <c r="B251" s="1" t="n">
        <v>45548</v>
      </c>
      <c r="C251" s="1" t="n">
        <v>46073</v>
      </c>
      <c r="D251" t="inlineStr">
        <is>
          <t>UPPSALA LÄN</t>
        </is>
      </c>
      <c r="E251" t="inlineStr">
        <is>
          <t>ENKÖPING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8537-2025</t>
        </is>
      </c>
      <c r="B252" s="1" t="n">
        <v>45709</v>
      </c>
      <c r="C252" s="1" t="n">
        <v>46073</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28862-2025</t>
        </is>
      </c>
      <c r="B253" s="1" t="n">
        <v>45820.59189814814</v>
      </c>
      <c r="C253" s="1" t="n">
        <v>46073</v>
      </c>
      <c r="D253" t="inlineStr">
        <is>
          <t>UPPSALA LÄN</t>
        </is>
      </c>
      <c r="E253" t="inlineStr">
        <is>
          <t>ENKÖPING</t>
        </is>
      </c>
      <c r="G253" t="n">
        <v>2.2</v>
      </c>
      <c r="H253" t="n">
        <v>0</v>
      </c>
      <c r="I253" t="n">
        <v>0</v>
      </c>
      <c r="J253" t="n">
        <v>0</v>
      </c>
      <c r="K253" t="n">
        <v>0</v>
      </c>
      <c r="L253" t="n">
        <v>0</v>
      </c>
      <c r="M253" t="n">
        <v>0</v>
      </c>
      <c r="N253" t="n">
        <v>0</v>
      </c>
      <c r="O253" t="n">
        <v>0</v>
      </c>
      <c r="P253" t="n">
        <v>0</v>
      </c>
      <c r="Q253" t="n">
        <v>0</v>
      </c>
      <c r="R253" s="2" t="inlineStr"/>
    </row>
    <row r="254" ht="15" customHeight="1">
      <c r="A254" t="inlineStr">
        <is>
          <t>A 10465-2022</t>
        </is>
      </c>
      <c r="B254" s="1" t="n">
        <v>44623</v>
      </c>
      <c r="C254" s="1" t="n">
        <v>46073</v>
      </c>
      <c r="D254" t="inlineStr">
        <is>
          <t>UPPSALA LÄN</t>
        </is>
      </c>
      <c r="E254" t="inlineStr">
        <is>
          <t>ENKÖPING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29093-2025</t>
        </is>
      </c>
      <c r="B255" s="1" t="n">
        <v>45821.55743055556</v>
      </c>
      <c r="C255" s="1" t="n">
        <v>46073</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5013-2025</t>
        </is>
      </c>
      <c r="B256" s="1" t="n">
        <v>45691</v>
      </c>
      <c r="C256" s="1" t="n">
        <v>46073</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11503-2024</t>
        </is>
      </c>
      <c r="B257" s="1" t="n">
        <v>45372.68020833333</v>
      </c>
      <c r="C257" s="1" t="n">
        <v>46073</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56625-2025</t>
        </is>
      </c>
      <c r="B258" s="1" t="n">
        <v>45975.60608796297</v>
      </c>
      <c r="C258" s="1" t="n">
        <v>46073</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57294-2025</t>
        </is>
      </c>
      <c r="B259" s="1" t="n">
        <v>45979</v>
      </c>
      <c r="C259" s="1" t="n">
        <v>46073</v>
      </c>
      <c r="D259" t="inlineStr">
        <is>
          <t>UPPSALA LÄN</t>
        </is>
      </c>
      <c r="E259" t="inlineStr">
        <is>
          <t>ENKÖPING</t>
        </is>
      </c>
      <c r="G259" t="n">
        <v>6.2</v>
      </c>
      <c r="H259" t="n">
        <v>0</v>
      </c>
      <c r="I259" t="n">
        <v>0</v>
      </c>
      <c r="J259" t="n">
        <v>0</v>
      </c>
      <c r="K259" t="n">
        <v>0</v>
      </c>
      <c r="L259" t="n">
        <v>0</v>
      </c>
      <c r="M259" t="n">
        <v>0</v>
      </c>
      <c r="N259" t="n">
        <v>0</v>
      </c>
      <c r="O259" t="n">
        <v>0</v>
      </c>
      <c r="P259" t="n">
        <v>0</v>
      </c>
      <c r="Q259" t="n">
        <v>0</v>
      </c>
      <c r="R259" s="2" t="inlineStr"/>
    </row>
    <row r="260" ht="15" customHeight="1">
      <c r="A260" t="inlineStr">
        <is>
          <t>A 30837-2025</t>
        </is>
      </c>
      <c r="B260" s="1" t="n">
        <v>45831.7063425926</v>
      </c>
      <c r="C260" s="1" t="n">
        <v>46073</v>
      </c>
      <c r="D260" t="inlineStr">
        <is>
          <t>UPPSALA LÄN</t>
        </is>
      </c>
      <c r="E260" t="inlineStr">
        <is>
          <t>ENKÖPING</t>
        </is>
      </c>
      <c r="G260" t="n">
        <v>3.8</v>
      </c>
      <c r="H260" t="n">
        <v>0</v>
      </c>
      <c r="I260" t="n">
        <v>0</v>
      </c>
      <c r="J260" t="n">
        <v>0</v>
      </c>
      <c r="K260" t="n">
        <v>0</v>
      </c>
      <c r="L260" t="n">
        <v>0</v>
      </c>
      <c r="M260" t="n">
        <v>0</v>
      </c>
      <c r="N260" t="n">
        <v>0</v>
      </c>
      <c r="O260" t="n">
        <v>0</v>
      </c>
      <c r="P260" t="n">
        <v>0</v>
      </c>
      <c r="Q260" t="n">
        <v>0</v>
      </c>
      <c r="R260" s="2" t="inlineStr"/>
    </row>
    <row r="261" ht="15" customHeight="1">
      <c r="A261" t="inlineStr">
        <is>
          <t>A 2164-2023</t>
        </is>
      </c>
      <c r="B261" s="1" t="n">
        <v>44941</v>
      </c>
      <c r="C261" s="1" t="n">
        <v>46073</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33955-2024</t>
        </is>
      </c>
      <c r="B262" s="1" t="n">
        <v>45523.46952546296</v>
      </c>
      <c r="C262" s="1" t="n">
        <v>46073</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6172-2023</t>
        </is>
      </c>
      <c r="B263" s="1" t="n">
        <v>44964.68663194445</v>
      </c>
      <c r="C263" s="1" t="n">
        <v>46073</v>
      </c>
      <c r="D263" t="inlineStr">
        <is>
          <t>UPPSALA LÄN</t>
        </is>
      </c>
      <c r="E263" t="inlineStr">
        <is>
          <t>ENKÖPING</t>
        </is>
      </c>
      <c r="G263" t="n">
        <v>2.6</v>
      </c>
      <c r="H263" t="n">
        <v>0</v>
      </c>
      <c r="I263" t="n">
        <v>0</v>
      </c>
      <c r="J263" t="n">
        <v>0</v>
      </c>
      <c r="K263" t="n">
        <v>0</v>
      </c>
      <c r="L263" t="n">
        <v>0</v>
      </c>
      <c r="M263" t="n">
        <v>0</v>
      </c>
      <c r="N263" t="n">
        <v>0</v>
      </c>
      <c r="O263" t="n">
        <v>0</v>
      </c>
      <c r="P263" t="n">
        <v>0</v>
      </c>
      <c r="Q263" t="n">
        <v>0</v>
      </c>
      <c r="R263" s="2" t="inlineStr"/>
    </row>
    <row r="264" ht="15" customHeight="1">
      <c r="A264" t="inlineStr">
        <is>
          <t>A 10409-2025</t>
        </is>
      </c>
      <c r="B264" s="1" t="n">
        <v>45720.631875</v>
      </c>
      <c r="C264" s="1" t="n">
        <v>46073</v>
      </c>
      <c r="D264" t="inlineStr">
        <is>
          <t>UPPSALA LÄN</t>
        </is>
      </c>
      <c r="E264" t="inlineStr">
        <is>
          <t>ENKÖPING</t>
        </is>
      </c>
      <c r="G264" t="n">
        <v>2.2</v>
      </c>
      <c r="H264" t="n">
        <v>0</v>
      </c>
      <c r="I264" t="n">
        <v>0</v>
      </c>
      <c r="J264" t="n">
        <v>0</v>
      </c>
      <c r="K264" t="n">
        <v>0</v>
      </c>
      <c r="L264" t="n">
        <v>0</v>
      </c>
      <c r="M264" t="n">
        <v>0</v>
      </c>
      <c r="N264" t="n">
        <v>0</v>
      </c>
      <c r="O264" t="n">
        <v>0</v>
      </c>
      <c r="P264" t="n">
        <v>0</v>
      </c>
      <c r="Q264" t="n">
        <v>0</v>
      </c>
      <c r="R264" s="2" t="inlineStr"/>
    </row>
    <row r="265" ht="15" customHeight="1">
      <c r="A265" t="inlineStr">
        <is>
          <t>A 58025-2025</t>
        </is>
      </c>
      <c r="B265" s="1" t="n">
        <v>45982</v>
      </c>
      <c r="C265" s="1" t="n">
        <v>46073</v>
      </c>
      <c r="D265" t="inlineStr">
        <is>
          <t>UPPSALA LÄN</t>
        </is>
      </c>
      <c r="E265" t="inlineStr">
        <is>
          <t>ENKÖPING</t>
        </is>
      </c>
      <c r="G265" t="n">
        <v>3.2</v>
      </c>
      <c r="H265" t="n">
        <v>0</v>
      </c>
      <c r="I265" t="n">
        <v>0</v>
      </c>
      <c r="J265" t="n">
        <v>0</v>
      </c>
      <c r="K265" t="n">
        <v>0</v>
      </c>
      <c r="L265" t="n">
        <v>0</v>
      </c>
      <c r="M265" t="n">
        <v>0</v>
      </c>
      <c r="N265" t="n">
        <v>0</v>
      </c>
      <c r="O265" t="n">
        <v>0</v>
      </c>
      <c r="P265" t="n">
        <v>0</v>
      </c>
      <c r="Q265" t="n">
        <v>0</v>
      </c>
      <c r="R265" s="2" t="inlineStr"/>
    </row>
    <row r="266" ht="15" customHeight="1">
      <c r="A266" t="inlineStr">
        <is>
          <t>A 32031-2025</t>
        </is>
      </c>
      <c r="B266" s="1" t="n">
        <v>45835.41712962963</v>
      </c>
      <c r="C266" s="1" t="n">
        <v>46073</v>
      </c>
      <c r="D266" t="inlineStr">
        <is>
          <t>UPPSALA LÄN</t>
        </is>
      </c>
      <c r="E266" t="inlineStr">
        <is>
          <t>ENKÖPING</t>
        </is>
      </c>
      <c r="G266" t="n">
        <v>2.7</v>
      </c>
      <c r="H266" t="n">
        <v>0</v>
      </c>
      <c r="I266" t="n">
        <v>0</v>
      </c>
      <c r="J266" t="n">
        <v>0</v>
      </c>
      <c r="K266" t="n">
        <v>0</v>
      </c>
      <c r="L266" t="n">
        <v>0</v>
      </c>
      <c r="M266" t="n">
        <v>0</v>
      </c>
      <c r="N266" t="n">
        <v>0</v>
      </c>
      <c r="O266" t="n">
        <v>0</v>
      </c>
      <c r="P266" t="n">
        <v>0</v>
      </c>
      <c r="Q266" t="n">
        <v>0</v>
      </c>
      <c r="R266" s="2" t="inlineStr"/>
    </row>
    <row r="267" ht="15" customHeight="1">
      <c r="A267" t="inlineStr">
        <is>
          <t>A 32111-2025</t>
        </is>
      </c>
      <c r="B267" s="1" t="n">
        <v>45835</v>
      </c>
      <c r="C267" s="1" t="n">
        <v>46073</v>
      </c>
      <c r="D267" t="inlineStr">
        <is>
          <t>UPPSALA LÄN</t>
        </is>
      </c>
      <c r="E267" t="inlineStr">
        <is>
          <t>ENKÖPING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21686-2022</t>
        </is>
      </c>
      <c r="B268" s="1" t="n">
        <v>44707</v>
      </c>
      <c r="C268" s="1" t="n">
        <v>46073</v>
      </c>
      <c r="D268" t="inlineStr">
        <is>
          <t>UPPSALA LÄN</t>
        </is>
      </c>
      <c r="E268" t="inlineStr">
        <is>
          <t>ENKÖPING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29479-2022</t>
        </is>
      </c>
      <c r="B269" s="1" t="n">
        <v>44753.57265046296</v>
      </c>
      <c r="C269" s="1" t="n">
        <v>46073</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57188-2025</t>
        </is>
      </c>
      <c r="B270" s="1" t="n">
        <v>45979</v>
      </c>
      <c r="C270" s="1" t="n">
        <v>46073</v>
      </c>
      <c r="D270" t="inlineStr">
        <is>
          <t>UPPSALA LÄN</t>
        </is>
      </c>
      <c r="E270" t="inlineStr">
        <is>
          <t>ENKÖPING</t>
        </is>
      </c>
      <c r="G270" t="n">
        <v>1.7</v>
      </c>
      <c r="H270" t="n">
        <v>0</v>
      </c>
      <c r="I270" t="n">
        <v>0</v>
      </c>
      <c r="J270" t="n">
        <v>0</v>
      </c>
      <c r="K270" t="n">
        <v>0</v>
      </c>
      <c r="L270" t="n">
        <v>0</v>
      </c>
      <c r="M270" t="n">
        <v>0</v>
      </c>
      <c r="N270" t="n">
        <v>0</v>
      </c>
      <c r="O270" t="n">
        <v>0</v>
      </c>
      <c r="P270" t="n">
        <v>0</v>
      </c>
      <c r="Q270" t="n">
        <v>0</v>
      </c>
      <c r="R270" s="2" t="inlineStr"/>
    </row>
    <row r="271" ht="15" customHeight="1">
      <c r="A271" t="inlineStr">
        <is>
          <t>A 49525-2021</t>
        </is>
      </c>
      <c r="B271" s="1" t="n">
        <v>44455</v>
      </c>
      <c r="C271" s="1" t="n">
        <v>46073</v>
      </c>
      <c r="D271" t="inlineStr">
        <is>
          <t>UPPSALA LÄN</t>
        </is>
      </c>
      <c r="E271" t="inlineStr">
        <is>
          <t>ENKÖPING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15740-2025</t>
        </is>
      </c>
      <c r="B272" s="1" t="n">
        <v>45748</v>
      </c>
      <c r="C272" s="1" t="n">
        <v>46073</v>
      </c>
      <c r="D272" t="inlineStr">
        <is>
          <t>UPPSALA LÄN</t>
        </is>
      </c>
      <c r="E272" t="inlineStr">
        <is>
          <t>ENKÖPING</t>
        </is>
      </c>
      <c r="G272" t="n">
        <v>0.9</v>
      </c>
      <c r="H272" t="n">
        <v>0</v>
      </c>
      <c r="I272" t="n">
        <v>0</v>
      </c>
      <c r="J272" t="n">
        <v>0</v>
      </c>
      <c r="K272" t="n">
        <v>0</v>
      </c>
      <c r="L272" t="n">
        <v>0</v>
      </c>
      <c r="M272" t="n">
        <v>0</v>
      </c>
      <c r="N272" t="n">
        <v>0</v>
      </c>
      <c r="O272" t="n">
        <v>0</v>
      </c>
      <c r="P272" t="n">
        <v>0</v>
      </c>
      <c r="Q272" t="n">
        <v>0</v>
      </c>
      <c r="R272" s="2" t="inlineStr"/>
    </row>
    <row r="273" ht="15" customHeight="1">
      <c r="A273" t="inlineStr">
        <is>
          <t>A 57848-2024</t>
        </is>
      </c>
      <c r="B273" s="1" t="n">
        <v>45631.40947916666</v>
      </c>
      <c r="C273" s="1" t="n">
        <v>46073</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57328-2024</t>
        </is>
      </c>
      <c r="B274" s="1" t="n">
        <v>45629.62798611111</v>
      </c>
      <c r="C274" s="1" t="n">
        <v>46073</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18994-2025</t>
        </is>
      </c>
      <c r="B275" s="1" t="n">
        <v>45764.57350694444</v>
      </c>
      <c r="C275" s="1" t="n">
        <v>46073</v>
      </c>
      <c r="D275" t="inlineStr">
        <is>
          <t>UPPSALA LÄN</t>
        </is>
      </c>
      <c r="E275" t="inlineStr">
        <is>
          <t>ENKÖPING</t>
        </is>
      </c>
      <c r="G275" t="n">
        <v>3.8</v>
      </c>
      <c r="H275" t="n">
        <v>0</v>
      </c>
      <c r="I275" t="n">
        <v>0</v>
      </c>
      <c r="J275" t="n">
        <v>0</v>
      </c>
      <c r="K275" t="n">
        <v>0</v>
      </c>
      <c r="L275" t="n">
        <v>0</v>
      </c>
      <c r="M275" t="n">
        <v>0</v>
      </c>
      <c r="N275" t="n">
        <v>0</v>
      </c>
      <c r="O275" t="n">
        <v>0</v>
      </c>
      <c r="P275" t="n">
        <v>0</v>
      </c>
      <c r="Q275" t="n">
        <v>0</v>
      </c>
      <c r="R275" s="2" t="inlineStr"/>
    </row>
    <row r="276" ht="15" customHeight="1">
      <c r="A276" t="inlineStr">
        <is>
          <t>A 49601-2024</t>
        </is>
      </c>
      <c r="B276" s="1" t="n">
        <v>45596.56288194445</v>
      </c>
      <c r="C276" s="1" t="n">
        <v>46073</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59668-2025</t>
        </is>
      </c>
      <c r="B277" s="1" t="n">
        <v>45992.45567129629</v>
      </c>
      <c r="C277" s="1" t="n">
        <v>46073</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17844-2025</t>
        </is>
      </c>
      <c r="B278" s="1" t="n">
        <v>45758.59920138889</v>
      </c>
      <c r="C278" s="1" t="n">
        <v>46073</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27837-2025</t>
        </is>
      </c>
      <c r="B279" s="1" t="n">
        <v>45817.37207175926</v>
      </c>
      <c r="C279" s="1" t="n">
        <v>46073</v>
      </c>
      <c r="D279" t="inlineStr">
        <is>
          <t>UPPSALA LÄN</t>
        </is>
      </c>
      <c r="E279" t="inlineStr">
        <is>
          <t>ENKÖPING</t>
        </is>
      </c>
      <c r="G279" t="n">
        <v>7.3</v>
      </c>
      <c r="H279" t="n">
        <v>0</v>
      </c>
      <c r="I279" t="n">
        <v>0</v>
      </c>
      <c r="J279" t="n">
        <v>0</v>
      </c>
      <c r="K279" t="n">
        <v>0</v>
      </c>
      <c r="L279" t="n">
        <v>0</v>
      </c>
      <c r="M279" t="n">
        <v>0</v>
      </c>
      <c r="N279" t="n">
        <v>0</v>
      </c>
      <c r="O279" t="n">
        <v>0</v>
      </c>
      <c r="P279" t="n">
        <v>0</v>
      </c>
      <c r="Q279" t="n">
        <v>0</v>
      </c>
      <c r="R279" s="2" t="inlineStr"/>
    </row>
    <row r="280" ht="15" customHeight="1">
      <c r="A280" t="inlineStr">
        <is>
          <t>A 29513-2025</t>
        </is>
      </c>
      <c r="B280" s="1" t="n">
        <v>45825</v>
      </c>
      <c r="C280" s="1" t="n">
        <v>46073</v>
      </c>
      <c r="D280" t="inlineStr">
        <is>
          <t>UPPSALA LÄN</t>
        </is>
      </c>
      <c r="E280" t="inlineStr">
        <is>
          <t>ENKÖPING</t>
        </is>
      </c>
      <c r="G280" t="n">
        <v>2.6</v>
      </c>
      <c r="H280" t="n">
        <v>0</v>
      </c>
      <c r="I280" t="n">
        <v>0</v>
      </c>
      <c r="J280" t="n">
        <v>0</v>
      </c>
      <c r="K280" t="n">
        <v>0</v>
      </c>
      <c r="L280" t="n">
        <v>0</v>
      </c>
      <c r="M280" t="n">
        <v>0</v>
      </c>
      <c r="N280" t="n">
        <v>0</v>
      </c>
      <c r="O280" t="n">
        <v>0</v>
      </c>
      <c r="P280" t="n">
        <v>0</v>
      </c>
      <c r="Q280" t="n">
        <v>0</v>
      </c>
      <c r="R280" s="2" t="inlineStr"/>
    </row>
    <row r="281" ht="15" customHeight="1">
      <c r="A281" t="inlineStr">
        <is>
          <t>A 2218-2026</t>
        </is>
      </c>
      <c r="B281" s="1" t="n">
        <v>46036.50010416667</v>
      </c>
      <c r="C281" s="1" t="n">
        <v>46073</v>
      </c>
      <c r="D281" t="inlineStr">
        <is>
          <t>UPPSALA LÄN</t>
        </is>
      </c>
      <c r="E281" t="inlineStr">
        <is>
          <t>ENKÖPING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59964-2025</t>
        </is>
      </c>
      <c r="B282" s="1" t="n">
        <v>45993.48043981481</v>
      </c>
      <c r="C282" s="1" t="n">
        <v>46073</v>
      </c>
      <c r="D282" t="inlineStr">
        <is>
          <t>UPPSALA LÄN</t>
        </is>
      </c>
      <c r="E282" t="inlineStr">
        <is>
          <t>ENKÖPING</t>
        </is>
      </c>
      <c r="G282" t="n">
        <v>2.1</v>
      </c>
      <c r="H282" t="n">
        <v>0</v>
      </c>
      <c r="I282" t="n">
        <v>0</v>
      </c>
      <c r="J282" t="n">
        <v>0</v>
      </c>
      <c r="K282" t="n">
        <v>0</v>
      </c>
      <c r="L282" t="n">
        <v>0</v>
      </c>
      <c r="M282" t="n">
        <v>0</v>
      </c>
      <c r="N282" t="n">
        <v>0</v>
      </c>
      <c r="O282" t="n">
        <v>0</v>
      </c>
      <c r="P282" t="n">
        <v>0</v>
      </c>
      <c r="Q282" t="n">
        <v>0</v>
      </c>
      <c r="R282" s="2" t="inlineStr"/>
    </row>
    <row r="283" ht="15" customHeight="1">
      <c r="A283" t="inlineStr">
        <is>
          <t>A 60174-2025</t>
        </is>
      </c>
      <c r="B283" s="1" t="n">
        <v>45994.45039351852</v>
      </c>
      <c r="C283" s="1" t="n">
        <v>46073</v>
      </c>
      <c r="D283" t="inlineStr">
        <is>
          <t>UPPSALA LÄN</t>
        </is>
      </c>
      <c r="E283" t="inlineStr">
        <is>
          <t>ENKÖPING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60175-2025</t>
        </is>
      </c>
      <c r="B284" s="1" t="n">
        <v>45994.45378472222</v>
      </c>
      <c r="C284" s="1" t="n">
        <v>46073</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56837-2024</t>
        </is>
      </c>
      <c r="B285" s="1" t="n">
        <v>45628</v>
      </c>
      <c r="C285" s="1" t="n">
        <v>46073</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21501-2025</t>
        </is>
      </c>
      <c r="B286" s="1" t="n">
        <v>45782</v>
      </c>
      <c r="C286" s="1" t="n">
        <v>46073</v>
      </c>
      <c r="D286" t="inlineStr">
        <is>
          <t>UPPSALA LÄN</t>
        </is>
      </c>
      <c r="E286" t="inlineStr">
        <is>
          <t>ENKÖPING</t>
        </is>
      </c>
      <c r="G286" t="n">
        <v>1</v>
      </c>
      <c r="H286" t="n">
        <v>0</v>
      </c>
      <c r="I286" t="n">
        <v>0</v>
      </c>
      <c r="J286" t="n">
        <v>0</v>
      </c>
      <c r="K286" t="n">
        <v>0</v>
      </c>
      <c r="L286" t="n">
        <v>0</v>
      </c>
      <c r="M286" t="n">
        <v>0</v>
      </c>
      <c r="N286" t="n">
        <v>0</v>
      </c>
      <c r="O286" t="n">
        <v>0</v>
      </c>
      <c r="P286" t="n">
        <v>0</v>
      </c>
      <c r="Q286" t="n">
        <v>0</v>
      </c>
      <c r="R286" s="2" t="inlineStr"/>
    </row>
    <row r="287" ht="15" customHeight="1">
      <c r="A287" t="inlineStr">
        <is>
          <t>A 34987-2025</t>
        </is>
      </c>
      <c r="B287" s="1" t="n">
        <v>45849</v>
      </c>
      <c r="C287" s="1" t="n">
        <v>46073</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34988-2025</t>
        </is>
      </c>
      <c r="B288" s="1" t="n">
        <v>45849</v>
      </c>
      <c r="C288" s="1" t="n">
        <v>46073</v>
      </c>
      <c r="D288" t="inlineStr">
        <is>
          <t>UPPSALA LÄN</t>
        </is>
      </c>
      <c r="E288" t="inlineStr">
        <is>
          <t>ENKÖPING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55876-2024</t>
        </is>
      </c>
      <c r="B289" s="1" t="n">
        <v>45623.5546412037</v>
      </c>
      <c r="C289" s="1" t="n">
        <v>46073</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25334-2023</t>
        </is>
      </c>
      <c r="B290" s="1" t="n">
        <v>45083</v>
      </c>
      <c r="C290" s="1" t="n">
        <v>46073</v>
      </c>
      <c r="D290" t="inlineStr">
        <is>
          <t>UPPSALA LÄN</t>
        </is>
      </c>
      <c r="E290" t="inlineStr">
        <is>
          <t>ENKÖPING</t>
        </is>
      </c>
      <c r="G290" t="n">
        <v>0.2</v>
      </c>
      <c r="H290" t="n">
        <v>0</v>
      </c>
      <c r="I290" t="n">
        <v>0</v>
      </c>
      <c r="J290" t="n">
        <v>0</v>
      </c>
      <c r="K290" t="n">
        <v>0</v>
      </c>
      <c r="L290" t="n">
        <v>0</v>
      </c>
      <c r="M290" t="n">
        <v>0</v>
      </c>
      <c r="N290" t="n">
        <v>0</v>
      </c>
      <c r="O290" t="n">
        <v>0</v>
      </c>
      <c r="P290" t="n">
        <v>0</v>
      </c>
      <c r="Q290" t="n">
        <v>0</v>
      </c>
      <c r="R290" s="2" t="inlineStr"/>
    </row>
    <row r="291" ht="15" customHeight="1">
      <c r="A291" t="inlineStr">
        <is>
          <t>A 36350-2025</t>
        </is>
      </c>
      <c r="B291" s="1" t="n">
        <v>45868</v>
      </c>
      <c r="C291" s="1" t="n">
        <v>46073</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33349-2024</t>
        </is>
      </c>
      <c r="B292" s="1" t="n">
        <v>45519</v>
      </c>
      <c r="C292" s="1" t="n">
        <v>46073</v>
      </c>
      <c r="D292" t="inlineStr">
        <is>
          <t>UPPSALA LÄN</t>
        </is>
      </c>
      <c r="E292" t="inlineStr">
        <is>
          <t>ENKÖPING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36599-2025</t>
        </is>
      </c>
      <c r="B293" s="1" t="n">
        <v>45870.51723379629</v>
      </c>
      <c r="C293" s="1" t="n">
        <v>46073</v>
      </c>
      <c r="D293" t="inlineStr">
        <is>
          <t>UPPSALA LÄN</t>
        </is>
      </c>
      <c r="E293" t="inlineStr">
        <is>
          <t>ENKÖPING</t>
        </is>
      </c>
      <c r="G293" t="n">
        <v>5.9</v>
      </c>
      <c r="H293" t="n">
        <v>0</v>
      </c>
      <c r="I293" t="n">
        <v>0</v>
      </c>
      <c r="J293" t="n">
        <v>0</v>
      </c>
      <c r="K293" t="n">
        <v>0</v>
      </c>
      <c r="L293" t="n">
        <v>0</v>
      </c>
      <c r="M293" t="n">
        <v>0</v>
      </c>
      <c r="N293" t="n">
        <v>0</v>
      </c>
      <c r="O293" t="n">
        <v>0</v>
      </c>
      <c r="P293" t="n">
        <v>0</v>
      </c>
      <c r="Q293" t="n">
        <v>0</v>
      </c>
      <c r="R293" s="2" t="inlineStr"/>
    </row>
    <row r="294" ht="15" customHeight="1">
      <c r="A294" t="inlineStr">
        <is>
          <t>A 60340-2025</t>
        </is>
      </c>
      <c r="B294" s="1" t="n">
        <v>45994.83415509259</v>
      </c>
      <c r="C294" s="1" t="n">
        <v>46073</v>
      </c>
      <c r="D294" t="inlineStr">
        <is>
          <t>UPPSALA LÄN</t>
        </is>
      </c>
      <c r="E294" t="inlineStr">
        <is>
          <t>ENKÖPING</t>
        </is>
      </c>
      <c r="G294" t="n">
        <v>5.6</v>
      </c>
      <c r="H294" t="n">
        <v>0</v>
      </c>
      <c r="I294" t="n">
        <v>0</v>
      </c>
      <c r="J294" t="n">
        <v>0</v>
      </c>
      <c r="K294" t="n">
        <v>0</v>
      </c>
      <c r="L294" t="n">
        <v>0</v>
      </c>
      <c r="M294" t="n">
        <v>0</v>
      </c>
      <c r="N294" t="n">
        <v>0</v>
      </c>
      <c r="O294" t="n">
        <v>0</v>
      </c>
      <c r="P294" t="n">
        <v>0</v>
      </c>
      <c r="Q294" t="n">
        <v>0</v>
      </c>
      <c r="R294" s="2" t="inlineStr"/>
    </row>
    <row r="295" ht="15" customHeight="1">
      <c r="A295" t="inlineStr">
        <is>
          <t>A 36492-2025</t>
        </is>
      </c>
      <c r="B295" s="1" t="n">
        <v>45869</v>
      </c>
      <c r="C295" s="1" t="n">
        <v>46073</v>
      </c>
      <c r="D295" t="inlineStr">
        <is>
          <t>UPPSALA LÄN</t>
        </is>
      </c>
      <c r="E295" t="inlineStr">
        <is>
          <t>ENKÖPING</t>
        </is>
      </c>
      <c r="G295" t="n">
        <v>6.3</v>
      </c>
      <c r="H295" t="n">
        <v>0</v>
      </c>
      <c r="I295" t="n">
        <v>0</v>
      </c>
      <c r="J295" t="n">
        <v>0</v>
      </c>
      <c r="K295" t="n">
        <v>0</v>
      </c>
      <c r="L295" t="n">
        <v>0</v>
      </c>
      <c r="M295" t="n">
        <v>0</v>
      </c>
      <c r="N295" t="n">
        <v>0</v>
      </c>
      <c r="O295" t="n">
        <v>0</v>
      </c>
      <c r="P295" t="n">
        <v>0</v>
      </c>
      <c r="Q295" t="n">
        <v>0</v>
      </c>
      <c r="R295" s="2" t="inlineStr"/>
    </row>
    <row r="296" ht="15" customHeight="1">
      <c r="A296" t="inlineStr">
        <is>
          <t>A 53587-2024</t>
        </is>
      </c>
      <c r="B296" s="1" t="n">
        <v>45614.66953703704</v>
      </c>
      <c r="C296" s="1" t="n">
        <v>46073</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46073</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37319-2025</t>
        </is>
      </c>
      <c r="B298" s="1" t="n">
        <v>45876</v>
      </c>
      <c r="C298" s="1" t="n">
        <v>46073</v>
      </c>
      <c r="D298" t="inlineStr">
        <is>
          <t>UPPSALA LÄN</t>
        </is>
      </c>
      <c r="E298" t="inlineStr">
        <is>
          <t>ENKÖPING</t>
        </is>
      </c>
      <c r="G298" t="n">
        <v>9.5</v>
      </c>
      <c r="H298" t="n">
        <v>0</v>
      </c>
      <c r="I298" t="n">
        <v>0</v>
      </c>
      <c r="J298" t="n">
        <v>0</v>
      </c>
      <c r="K298" t="n">
        <v>0</v>
      </c>
      <c r="L298" t="n">
        <v>0</v>
      </c>
      <c r="M298" t="n">
        <v>0</v>
      </c>
      <c r="N298" t="n">
        <v>0</v>
      </c>
      <c r="O298" t="n">
        <v>0</v>
      </c>
      <c r="P298" t="n">
        <v>0</v>
      </c>
      <c r="Q298" t="n">
        <v>0</v>
      </c>
      <c r="R298" s="2" t="inlineStr"/>
    </row>
    <row r="299" ht="15" customHeight="1">
      <c r="A299" t="inlineStr">
        <is>
          <t>A 37296-2025</t>
        </is>
      </c>
      <c r="B299" s="1" t="n">
        <v>45876</v>
      </c>
      <c r="C299" s="1" t="n">
        <v>46073</v>
      </c>
      <c r="D299" t="inlineStr">
        <is>
          <t>UPPSALA LÄN</t>
        </is>
      </c>
      <c r="E299" t="inlineStr">
        <is>
          <t>ENKÖPING</t>
        </is>
      </c>
      <c r="G299" t="n">
        <v>9.5</v>
      </c>
      <c r="H299" t="n">
        <v>0</v>
      </c>
      <c r="I299" t="n">
        <v>0</v>
      </c>
      <c r="J299" t="n">
        <v>0</v>
      </c>
      <c r="K299" t="n">
        <v>0</v>
      </c>
      <c r="L299" t="n">
        <v>0</v>
      </c>
      <c r="M299" t="n">
        <v>0</v>
      </c>
      <c r="N299" t="n">
        <v>0</v>
      </c>
      <c r="O299" t="n">
        <v>0</v>
      </c>
      <c r="P299" t="n">
        <v>0</v>
      </c>
      <c r="Q299" t="n">
        <v>0</v>
      </c>
      <c r="R299" s="2" t="inlineStr"/>
    </row>
    <row r="300" ht="15" customHeight="1">
      <c r="A300" t="inlineStr">
        <is>
          <t>A 60125-2024</t>
        </is>
      </c>
      <c r="B300" s="1" t="n">
        <v>45642</v>
      </c>
      <c r="C300" s="1" t="n">
        <v>46073</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37498-2025</t>
        </is>
      </c>
      <c r="B301" s="1" t="n">
        <v>45877</v>
      </c>
      <c r="C301" s="1" t="n">
        <v>46073</v>
      </c>
      <c r="D301" t="inlineStr">
        <is>
          <t>UPPSALA LÄN</t>
        </is>
      </c>
      <c r="E301" t="inlineStr">
        <is>
          <t>ENKÖPING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1695-2025</t>
        </is>
      </c>
      <c r="B302" s="1" t="n">
        <v>45670</v>
      </c>
      <c r="C302" s="1" t="n">
        <v>46073</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59027-2024</t>
        </is>
      </c>
      <c r="B303" s="1" t="n">
        <v>45636.68755787037</v>
      </c>
      <c r="C303" s="1" t="n">
        <v>46073</v>
      </c>
      <c r="D303" t="inlineStr">
        <is>
          <t>UPPSALA LÄN</t>
        </is>
      </c>
      <c r="E303" t="inlineStr">
        <is>
          <t>ENKÖPING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49622-2024</t>
        </is>
      </c>
      <c r="B304" s="1" t="n">
        <v>45596.58372685185</v>
      </c>
      <c r="C304" s="1" t="n">
        <v>46073</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60947-2025</t>
        </is>
      </c>
      <c r="B305" s="1" t="n">
        <v>45999</v>
      </c>
      <c r="C305" s="1" t="n">
        <v>46073</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42564-2024</t>
        </is>
      </c>
      <c r="B306" s="1" t="n">
        <v>45565.63358796296</v>
      </c>
      <c r="C306" s="1" t="n">
        <v>46073</v>
      </c>
      <c r="D306" t="inlineStr">
        <is>
          <t>UPPSALA LÄN</t>
        </is>
      </c>
      <c r="E306" t="inlineStr">
        <is>
          <t>ENKÖPING</t>
        </is>
      </c>
      <c r="G306" t="n">
        <v>1.7</v>
      </c>
      <c r="H306" t="n">
        <v>0</v>
      </c>
      <c r="I306" t="n">
        <v>0</v>
      </c>
      <c r="J306" t="n">
        <v>0</v>
      </c>
      <c r="K306" t="n">
        <v>0</v>
      </c>
      <c r="L306" t="n">
        <v>0</v>
      </c>
      <c r="M306" t="n">
        <v>0</v>
      </c>
      <c r="N306" t="n">
        <v>0</v>
      </c>
      <c r="O306" t="n">
        <v>0</v>
      </c>
      <c r="P306" t="n">
        <v>0</v>
      </c>
      <c r="Q306" t="n">
        <v>0</v>
      </c>
      <c r="R306" s="2" t="inlineStr"/>
    </row>
    <row r="307" ht="15" customHeight="1">
      <c r="A307" t="inlineStr">
        <is>
          <t>A 3235-2025</t>
        </is>
      </c>
      <c r="B307" s="1" t="n">
        <v>45679</v>
      </c>
      <c r="C307" s="1" t="n">
        <v>46073</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15711-2025</t>
        </is>
      </c>
      <c r="B308" s="1" t="n">
        <v>45748</v>
      </c>
      <c r="C308" s="1" t="n">
        <v>46073</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21017-2023</t>
        </is>
      </c>
      <c r="B309" s="1" t="n">
        <v>45061</v>
      </c>
      <c r="C309" s="1" t="n">
        <v>46073</v>
      </c>
      <c r="D309" t="inlineStr">
        <is>
          <t>UPPSALA LÄN</t>
        </is>
      </c>
      <c r="E309" t="inlineStr">
        <is>
          <t>ENKÖPING</t>
        </is>
      </c>
      <c r="G309" t="n">
        <v>4.8</v>
      </c>
      <c r="H309" t="n">
        <v>0</v>
      </c>
      <c r="I309" t="n">
        <v>0</v>
      </c>
      <c r="J309" t="n">
        <v>0</v>
      </c>
      <c r="K309" t="n">
        <v>0</v>
      </c>
      <c r="L309" t="n">
        <v>0</v>
      </c>
      <c r="M309" t="n">
        <v>0</v>
      </c>
      <c r="N309" t="n">
        <v>0</v>
      </c>
      <c r="O309" t="n">
        <v>0</v>
      </c>
      <c r="P309" t="n">
        <v>0</v>
      </c>
      <c r="Q309" t="n">
        <v>0</v>
      </c>
      <c r="R309" s="2" t="inlineStr"/>
    </row>
    <row r="310" ht="15" customHeight="1">
      <c r="A310" t="inlineStr">
        <is>
          <t>A 6959-2025</t>
        </is>
      </c>
      <c r="B310" s="1" t="n">
        <v>45701.49315972222</v>
      </c>
      <c r="C310" s="1" t="n">
        <v>46073</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29477-2025</t>
        </is>
      </c>
      <c r="B311" s="1" t="n">
        <v>45824.71537037037</v>
      </c>
      <c r="C311" s="1" t="n">
        <v>46073</v>
      </c>
      <c r="D311" t="inlineStr">
        <is>
          <t>UPPSALA LÄN</t>
        </is>
      </c>
      <c r="E311" t="inlineStr">
        <is>
          <t>ENKÖPING</t>
        </is>
      </c>
      <c r="G311" t="n">
        <v>13.4</v>
      </c>
      <c r="H311" t="n">
        <v>0</v>
      </c>
      <c r="I311" t="n">
        <v>0</v>
      </c>
      <c r="J311" t="n">
        <v>0</v>
      </c>
      <c r="K311" t="n">
        <v>0</v>
      </c>
      <c r="L311" t="n">
        <v>0</v>
      </c>
      <c r="M311" t="n">
        <v>0</v>
      </c>
      <c r="N311" t="n">
        <v>0</v>
      </c>
      <c r="O311" t="n">
        <v>0</v>
      </c>
      <c r="P311" t="n">
        <v>0</v>
      </c>
      <c r="Q311" t="n">
        <v>0</v>
      </c>
      <c r="R311" s="2" t="inlineStr"/>
    </row>
    <row r="312" ht="15" customHeight="1">
      <c r="A312" t="inlineStr">
        <is>
          <t>A 17165-2025</t>
        </is>
      </c>
      <c r="B312" s="1" t="n">
        <v>45756</v>
      </c>
      <c r="C312" s="1" t="n">
        <v>46073</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56176-2021</t>
        </is>
      </c>
      <c r="B313" s="1" t="n">
        <v>44477</v>
      </c>
      <c r="C313" s="1" t="n">
        <v>46073</v>
      </c>
      <c r="D313" t="inlineStr">
        <is>
          <t>UPPSALA LÄN</t>
        </is>
      </c>
      <c r="E313" t="inlineStr">
        <is>
          <t>ENKÖPING</t>
        </is>
      </c>
      <c r="G313" t="n">
        <v>2.9</v>
      </c>
      <c r="H313" t="n">
        <v>0</v>
      </c>
      <c r="I313" t="n">
        <v>0</v>
      </c>
      <c r="J313" t="n">
        <v>0</v>
      </c>
      <c r="K313" t="n">
        <v>0</v>
      </c>
      <c r="L313" t="n">
        <v>0</v>
      </c>
      <c r="M313" t="n">
        <v>0</v>
      </c>
      <c r="N313" t="n">
        <v>0</v>
      </c>
      <c r="O313" t="n">
        <v>0</v>
      </c>
      <c r="P313" t="n">
        <v>0</v>
      </c>
      <c r="Q313" t="n">
        <v>0</v>
      </c>
      <c r="R313" s="2" t="inlineStr"/>
    </row>
    <row r="314" ht="15" customHeight="1">
      <c r="A314" t="inlineStr">
        <is>
          <t>A 60934-2025</t>
        </is>
      </c>
      <c r="B314" s="1" t="n">
        <v>45999</v>
      </c>
      <c r="C314" s="1" t="n">
        <v>46073</v>
      </c>
      <c r="D314" t="inlineStr">
        <is>
          <t>UPPSALA LÄN</t>
        </is>
      </c>
      <c r="E314" t="inlineStr">
        <is>
          <t>ENKÖPING</t>
        </is>
      </c>
      <c r="G314" t="n">
        <v>2.5</v>
      </c>
      <c r="H314" t="n">
        <v>0</v>
      </c>
      <c r="I314" t="n">
        <v>0</v>
      </c>
      <c r="J314" t="n">
        <v>0</v>
      </c>
      <c r="K314" t="n">
        <v>0</v>
      </c>
      <c r="L314" t="n">
        <v>0</v>
      </c>
      <c r="M314" t="n">
        <v>0</v>
      </c>
      <c r="N314" t="n">
        <v>0</v>
      </c>
      <c r="O314" t="n">
        <v>0</v>
      </c>
      <c r="P314" t="n">
        <v>0</v>
      </c>
      <c r="Q314" t="n">
        <v>0</v>
      </c>
      <c r="R314" s="2" t="inlineStr"/>
    </row>
    <row r="315" ht="15" customHeight="1">
      <c r="A315" t="inlineStr">
        <is>
          <t>A 61437-2025</t>
        </is>
      </c>
      <c r="B315" s="1" t="n">
        <v>46001.5659375</v>
      </c>
      <c r="C315" s="1" t="n">
        <v>46073</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52299-2023</t>
        </is>
      </c>
      <c r="B316" s="1" t="n">
        <v>45224.61636574074</v>
      </c>
      <c r="C316" s="1" t="n">
        <v>46073</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44343.4558912037</v>
      </c>
      <c r="C317" s="1" t="n">
        <v>46073</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38941-2025</t>
        </is>
      </c>
      <c r="B318" s="1" t="n">
        <v>45887</v>
      </c>
      <c r="C318" s="1" t="n">
        <v>46073</v>
      </c>
      <c r="D318" t="inlineStr">
        <is>
          <t>UPPSALA LÄN</t>
        </is>
      </c>
      <c r="E318" t="inlineStr">
        <is>
          <t>ENKÖPING</t>
        </is>
      </c>
      <c r="F318" t="inlineStr">
        <is>
          <t>Övriga statliga verk och myndigheter</t>
        </is>
      </c>
      <c r="G318" t="n">
        <v>0.6</v>
      </c>
      <c r="H318" t="n">
        <v>0</v>
      </c>
      <c r="I318" t="n">
        <v>0</v>
      </c>
      <c r="J318" t="n">
        <v>0</v>
      </c>
      <c r="K318" t="n">
        <v>0</v>
      </c>
      <c r="L318" t="n">
        <v>0</v>
      </c>
      <c r="M318" t="n">
        <v>0</v>
      </c>
      <c r="N318" t="n">
        <v>0</v>
      </c>
      <c r="O318" t="n">
        <v>0</v>
      </c>
      <c r="P318" t="n">
        <v>0</v>
      </c>
      <c r="Q318" t="n">
        <v>0</v>
      </c>
      <c r="R318" s="2" t="inlineStr"/>
    </row>
    <row r="319" ht="15" customHeight="1">
      <c r="A319" t="inlineStr">
        <is>
          <t>A 32081-2024</t>
        </is>
      </c>
      <c r="B319" s="1" t="n">
        <v>45511.34605324074</v>
      </c>
      <c r="C319" s="1" t="n">
        <v>46073</v>
      </c>
      <c r="D319" t="inlineStr">
        <is>
          <t>UPPSALA LÄN</t>
        </is>
      </c>
      <c r="E319" t="inlineStr">
        <is>
          <t>ENKÖPING</t>
        </is>
      </c>
      <c r="G319" t="n">
        <v>5.4</v>
      </c>
      <c r="H319" t="n">
        <v>0</v>
      </c>
      <c r="I319" t="n">
        <v>0</v>
      </c>
      <c r="J319" t="n">
        <v>0</v>
      </c>
      <c r="K319" t="n">
        <v>0</v>
      </c>
      <c r="L319" t="n">
        <v>0</v>
      </c>
      <c r="M319" t="n">
        <v>0</v>
      </c>
      <c r="N319" t="n">
        <v>0</v>
      </c>
      <c r="O319" t="n">
        <v>0</v>
      </c>
      <c r="P319" t="n">
        <v>0</v>
      </c>
      <c r="Q319" t="n">
        <v>0</v>
      </c>
      <c r="R319" s="2" t="inlineStr"/>
    </row>
    <row r="320" ht="15" customHeight="1">
      <c r="A320" t="inlineStr">
        <is>
          <t>A 20184-2023</t>
        </is>
      </c>
      <c r="B320" s="1" t="n">
        <v>45055.5670949074</v>
      </c>
      <c r="C320" s="1" t="n">
        <v>46073</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61778-2025</t>
        </is>
      </c>
      <c r="B321" s="1" t="n">
        <v>46002.66555555556</v>
      </c>
      <c r="C321" s="1" t="n">
        <v>46073</v>
      </c>
      <c r="D321" t="inlineStr">
        <is>
          <t>UPPSALA LÄN</t>
        </is>
      </c>
      <c r="E321" t="inlineStr">
        <is>
          <t>ENKÖPING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61952-2021</t>
        </is>
      </c>
      <c r="B322" s="1" t="n">
        <v>44502</v>
      </c>
      <c r="C322" s="1" t="n">
        <v>46073</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61811-2025</t>
        </is>
      </c>
      <c r="B323" s="1" t="n">
        <v>46002.90059027778</v>
      </c>
      <c r="C323" s="1" t="n">
        <v>46073</v>
      </c>
      <c r="D323" t="inlineStr">
        <is>
          <t>UPPSALA LÄN</t>
        </is>
      </c>
      <c r="E323" t="inlineStr">
        <is>
          <t>ENKÖPING</t>
        </is>
      </c>
      <c r="F323" t="inlineStr">
        <is>
          <t>Allmännings- och besparingsskogar</t>
        </is>
      </c>
      <c r="G323" t="n">
        <v>4.7</v>
      </c>
      <c r="H323" t="n">
        <v>0</v>
      </c>
      <c r="I323" t="n">
        <v>0</v>
      </c>
      <c r="J323" t="n">
        <v>0</v>
      </c>
      <c r="K323" t="n">
        <v>0</v>
      </c>
      <c r="L323" t="n">
        <v>0</v>
      </c>
      <c r="M323" t="n">
        <v>0</v>
      </c>
      <c r="N323" t="n">
        <v>0</v>
      </c>
      <c r="O323" t="n">
        <v>0</v>
      </c>
      <c r="P323" t="n">
        <v>0</v>
      </c>
      <c r="Q323" t="n">
        <v>0</v>
      </c>
      <c r="R323" s="2" t="inlineStr"/>
    </row>
    <row r="324" ht="15" customHeight="1">
      <c r="A324" t="inlineStr">
        <is>
          <t>A 59602-2022</t>
        </is>
      </c>
      <c r="B324" s="1" t="n">
        <v>44907.72241898148</v>
      </c>
      <c r="C324" s="1" t="n">
        <v>46073</v>
      </c>
      <c r="D324" t="inlineStr">
        <is>
          <t>UPPSALA LÄN</t>
        </is>
      </c>
      <c r="E324" t="inlineStr">
        <is>
          <t>ENKÖPING</t>
        </is>
      </c>
      <c r="G324" t="n">
        <v>14.2</v>
      </c>
      <c r="H324" t="n">
        <v>0</v>
      </c>
      <c r="I324" t="n">
        <v>0</v>
      </c>
      <c r="J324" t="n">
        <v>0</v>
      </c>
      <c r="K324" t="n">
        <v>0</v>
      </c>
      <c r="L324" t="n">
        <v>0</v>
      </c>
      <c r="M324" t="n">
        <v>0</v>
      </c>
      <c r="N324" t="n">
        <v>0</v>
      </c>
      <c r="O324" t="n">
        <v>0</v>
      </c>
      <c r="P324" t="n">
        <v>0</v>
      </c>
      <c r="Q324" t="n">
        <v>0</v>
      </c>
      <c r="R324" s="2" t="inlineStr"/>
    </row>
    <row r="325" ht="15" customHeight="1">
      <c r="A325" t="inlineStr">
        <is>
          <t>A 42589-2022</t>
        </is>
      </c>
      <c r="B325" s="1" t="n">
        <v>44831</v>
      </c>
      <c r="C325" s="1" t="n">
        <v>46073</v>
      </c>
      <c r="D325" t="inlineStr">
        <is>
          <t>UPPSALA LÄN</t>
        </is>
      </c>
      <c r="E325" t="inlineStr">
        <is>
          <t>ENKÖPING</t>
        </is>
      </c>
      <c r="G325" t="n">
        <v>20</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44386.42</v>
      </c>
      <c r="C326" s="1" t="n">
        <v>46073</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2968-2025</t>
        </is>
      </c>
      <c r="B327" s="1" t="n">
        <v>45678</v>
      </c>
      <c r="C327" s="1" t="n">
        <v>46073</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9487-2025</t>
        </is>
      </c>
      <c r="B328" s="1" t="n">
        <v>45715.49331018519</v>
      </c>
      <c r="C328" s="1" t="n">
        <v>46073</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16176-2025</t>
        </is>
      </c>
      <c r="B329" s="1" t="n">
        <v>45750</v>
      </c>
      <c r="C329" s="1" t="n">
        <v>46073</v>
      </c>
      <c r="D329" t="inlineStr">
        <is>
          <t>UPPSALA LÄN</t>
        </is>
      </c>
      <c r="E329" t="inlineStr">
        <is>
          <t>ENKÖPING</t>
        </is>
      </c>
      <c r="G329" t="n">
        <v>3.9</v>
      </c>
      <c r="H329" t="n">
        <v>0</v>
      </c>
      <c r="I329" t="n">
        <v>0</v>
      </c>
      <c r="J329" t="n">
        <v>0</v>
      </c>
      <c r="K329" t="n">
        <v>0</v>
      </c>
      <c r="L329" t="n">
        <v>0</v>
      </c>
      <c r="M329" t="n">
        <v>0</v>
      </c>
      <c r="N329" t="n">
        <v>0</v>
      </c>
      <c r="O329" t="n">
        <v>0</v>
      </c>
      <c r="P329" t="n">
        <v>0</v>
      </c>
      <c r="Q329" t="n">
        <v>0</v>
      </c>
      <c r="R329" s="2" t="inlineStr"/>
    </row>
    <row r="330" ht="15" customHeight="1">
      <c r="A330" t="inlineStr">
        <is>
          <t>A 61889-2025</t>
        </is>
      </c>
      <c r="B330" s="1" t="n">
        <v>46003.44765046296</v>
      </c>
      <c r="C330" s="1" t="n">
        <v>46073</v>
      </c>
      <c r="D330" t="inlineStr">
        <is>
          <t>UPPSALA LÄN</t>
        </is>
      </c>
      <c r="E330" t="inlineStr">
        <is>
          <t>ENKÖPING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37035-2023</t>
        </is>
      </c>
      <c r="B331" s="1" t="n">
        <v>45155</v>
      </c>
      <c r="C331" s="1" t="n">
        <v>46073</v>
      </c>
      <c r="D331" t="inlineStr">
        <is>
          <t>UPPSALA LÄN</t>
        </is>
      </c>
      <c r="E331" t="inlineStr">
        <is>
          <t>ENKÖPING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46186-2023</t>
        </is>
      </c>
      <c r="B332" s="1" t="n">
        <v>45196</v>
      </c>
      <c r="C332" s="1" t="n">
        <v>46073</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15162-2025</t>
        </is>
      </c>
      <c r="B333" s="1" t="n">
        <v>45744</v>
      </c>
      <c r="C333" s="1" t="n">
        <v>46073</v>
      </c>
      <c r="D333" t="inlineStr">
        <is>
          <t>UPPSALA LÄN</t>
        </is>
      </c>
      <c r="E333" t="inlineStr">
        <is>
          <t>ENKÖPING</t>
        </is>
      </c>
      <c r="G333" t="n">
        <v>4.2</v>
      </c>
      <c r="H333" t="n">
        <v>0</v>
      </c>
      <c r="I333" t="n">
        <v>0</v>
      </c>
      <c r="J333" t="n">
        <v>0</v>
      </c>
      <c r="K333" t="n">
        <v>0</v>
      </c>
      <c r="L333" t="n">
        <v>0</v>
      </c>
      <c r="M333" t="n">
        <v>0</v>
      </c>
      <c r="N333" t="n">
        <v>0</v>
      </c>
      <c r="O333" t="n">
        <v>0</v>
      </c>
      <c r="P333" t="n">
        <v>0</v>
      </c>
      <c r="Q333" t="n">
        <v>0</v>
      </c>
      <c r="R333" s="2" t="inlineStr"/>
    </row>
    <row r="334" ht="15" customHeight="1">
      <c r="A334" t="inlineStr">
        <is>
          <t>A 18299-2025</t>
        </is>
      </c>
      <c r="B334" s="1" t="n">
        <v>45762</v>
      </c>
      <c r="C334" s="1" t="n">
        <v>46073</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62772-2025</t>
        </is>
      </c>
      <c r="B335" s="1" t="n">
        <v>46008.60365740741</v>
      </c>
      <c r="C335" s="1" t="n">
        <v>46073</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62599-2025</t>
        </is>
      </c>
      <c r="B336" s="1" t="n">
        <v>46007.91961805556</v>
      </c>
      <c r="C336" s="1" t="n">
        <v>46073</v>
      </c>
      <c r="D336" t="inlineStr">
        <is>
          <t>UPPSALA LÄN</t>
        </is>
      </c>
      <c r="E336" t="inlineStr">
        <is>
          <t>ENKÖPING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6242-2025</t>
        </is>
      </c>
      <c r="B337" s="1" t="n">
        <v>45697</v>
      </c>
      <c r="C337" s="1" t="n">
        <v>46073</v>
      </c>
      <c r="D337" t="inlineStr">
        <is>
          <t>UPPSALA LÄN</t>
        </is>
      </c>
      <c r="E337" t="inlineStr">
        <is>
          <t>ENKÖPING</t>
        </is>
      </c>
      <c r="G337" t="n">
        <v>17.9</v>
      </c>
      <c r="H337" t="n">
        <v>0</v>
      </c>
      <c r="I337" t="n">
        <v>0</v>
      </c>
      <c r="J337" t="n">
        <v>0</v>
      </c>
      <c r="K337" t="n">
        <v>0</v>
      </c>
      <c r="L337" t="n">
        <v>0</v>
      </c>
      <c r="M337" t="n">
        <v>0</v>
      </c>
      <c r="N337" t="n">
        <v>0</v>
      </c>
      <c r="O337" t="n">
        <v>0</v>
      </c>
      <c r="P337" t="n">
        <v>0</v>
      </c>
      <c r="Q337" t="n">
        <v>0</v>
      </c>
      <c r="R337" s="2" t="inlineStr"/>
    </row>
    <row r="338" ht="15" customHeight="1">
      <c r="A338" t="inlineStr">
        <is>
          <t>A 5104-2026</t>
        </is>
      </c>
      <c r="B338" s="1" t="n">
        <v>46049.56914351852</v>
      </c>
      <c r="C338" s="1" t="n">
        <v>46073</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62601-2025</t>
        </is>
      </c>
      <c r="B339" s="1" t="n">
        <v>46007.92395833333</v>
      </c>
      <c r="C339" s="1" t="n">
        <v>46073</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62602-2025</t>
        </is>
      </c>
      <c r="B340" s="1" t="n">
        <v>46007.92581018519</v>
      </c>
      <c r="C340" s="1" t="n">
        <v>46073</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6144-2024</t>
        </is>
      </c>
      <c r="B341" s="1" t="n">
        <v>45337.4684837963</v>
      </c>
      <c r="C341" s="1" t="n">
        <v>46073</v>
      </c>
      <c r="D341" t="inlineStr">
        <is>
          <t>UPPSALA LÄN</t>
        </is>
      </c>
      <c r="E341" t="inlineStr">
        <is>
          <t>ENKÖPING</t>
        </is>
      </c>
      <c r="G341" t="n">
        <v>13.8</v>
      </c>
      <c r="H341" t="n">
        <v>0</v>
      </c>
      <c r="I341" t="n">
        <v>0</v>
      </c>
      <c r="J341" t="n">
        <v>0</v>
      </c>
      <c r="K341" t="n">
        <v>0</v>
      </c>
      <c r="L341" t="n">
        <v>0</v>
      </c>
      <c r="M341" t="n">
        <v>0</v>
      </c>
      <c r="N341" t="n">
        <v>0</v>
      </c>
      <c r="O341" t="n">
        <v>0</v>
      </c>
      <c r="P341" t="n">
        <v>0</v>
      </c>
      <c r="Q341" t="n">
        <v>0</v>
      </c>
      <c r="R341" s="2" t="inlineStr"/>
    </row>
    <row r="342" ht="15" customHeight="1">
      <c r="A342" t="inlineStr">
        <is>
          <t>A 67984-2021</t>
        </is>
      </c>
      <c r="B342" s="1" t="n">
        <v>44525.70237268518</v>
      </c>
      <c r="C342" s="1" t="n">
        <v>46073</v>
      </c>
      <c r="D342" t="inlineStr">
        <is>
          <t>UPPSALA LÄN</t>
        </is>
      </c>
      <c r="E342" t="inlineStr">
        <is>
          <t>ENKÖPING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62600-2025</t>
        </is>
      </c>
      <c r="B343" s="1" t="n">
        <v>46007.92175925926</v>
      </c>
      <c r="C343" s="1" t="n">
        <v>46073</v>
      </c>
      <c r="D343" t="inlineStr">
        <is>
          <t>UPPSALA LÄN</t>
        </is>
      </c>
      <c r="E343" t="inlineStr">
        <is>
          <t>ENKÖPING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18592-2021</t>
        </is>
      </c>
      <c r="B344" s="1" t="n">
        <v>44306</v>
      </c>
      <c r="C344" s="1" t="n">
        <v>46073</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63128-2025</t>
        </is>
      </c>
      <c r="B345" s="1" t="n">
        <v>46009</v>
      </c>
      <c r="C345" s="1" t="n">
        <v>46073</v>
      </c>
      <c r="D345" t="inlineStr">
        <is>
          <t>UPPSALA LÄN</t>
        </is>
      </c>
      <c r="E345" t="inlineStr">
        <is>
          <t>ENKÖPING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11918-2025</t>
        </is>
      </c>
      <c r="B346" s="1" t="n">
        <v>45728.49331018519</v>
      </c>
      <c r="C346" s="1" t="n">
        <v>46073</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6044-2026</t>
        </is>
      </c>
      <c r="B347" s="1" t="n">
        <v>46052.62506944445</v>
      </c>
      <c r="C347" s="1" t="n">
        <v>46073</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6031-2026</t>
        </is>
      </c>
      <c r="B348" s="1" t="n">
        <v>46052.61201388889</v>
      </c>
      <c r="C348" s="1" t="n">
        <v>46073</v>
      </c>
      <c r="D348" t="inlineStr">
        <is>
          <t>UPPSALA LÄN</t>
        </is>
      </c>
      <c r="E348" t="inlineStr">
        <is>
          <t>ENKÖPING</t>
        </is>
      </c>
      <c r="G348" t="n">
        <v>4.1</v>
      </c>
      <c r="H348" t="n">
        <v>0</v>
      </c>
      <c r="I348" t="n">
        <v>0</v>
      </c>
      <c r="J348" t="n">
        <v>0</v>
      </c>
      <c r="K348" t="n">
        <v>0</v>
      </c>
      <c r="L348" t="n">
        <v>0</v>
      </c>
      <c r="M348" t="n">
        <v>0</v>
      </c>
      <c r="N348" t="n">
        <v>0</v>
      </c>
      <c r="O348" t="n">
        <v>0</v>
      </c>
      <c r="P348" t="n">
        <v>0</v>
      </c>
      <c r="Q348" t="n">
        <v>0</v>
      </c>
      <c r="R348" s="2" t="inlineStr"/>
    </row>
    <row r="349" ht="15" customHeight="1">
      <c r="A349" t="inlineStr">
        <is>
          <t>A 6049-2026</t>
        </is>
      </c>
      <c r="B349" s="1" t="n">
        <v>46052.63005787037</v>
      </c>
      <c r="C349" s="1" t="n">
        <v>46073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6047-2026</t>
        </is>
      </c>
      <c r="B350" s="1" t="n">
        <v>46052.62738425926</v>
      </c>
      <c r="C350" s="1" t="n">
        <v>46073</v>
      </c>
      <c r="D350" t="inlineStr">
        <is>
          <t>UPPSALA LÄN</t>
        </is>
      </c>
      <c r="E350" t="inlineStr">
        <is>
          <t>ENKÖPING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43896-2022</t>
        </is>
      </c>
      <c r="B351" s="1" t="n">
        <v>44838</v>
      </c>
      <c r="C351" s="1" t="n">
        <v>46073</v>
      </c>
      <c r="D351" t="inlineStr">
        <is>
          <t>UPPSALA LÄN</t>
        </is>
      </c>
      <c r="E351" t="inlineStr">
        <is>
          <t>ENKÖPING</t>
        </is>
      </c>
      <c r="G351" t="n">
        <v>5.3</v>
      </c>
      <c r="H351" t="n">
        <v>0</v>
      </c>
      <c r="I351" t="n">
        <v>0</v>
      </c>
      <c r="J351" t="n">
        <v>0</v>
      </c>
      <c r="K351" t="n">
        <v>0</v>
      </c>
      <c r="L351" t="n">
        <v>0</v>
      </c>
      <c r="M351" t="n">
        <v>0</v>
      </c>
      <c r="N351" t="n">
        <v>0</v>
      </c>
      <c r="O351" t="n">
        <v>0</v>
      </c>
      <c r="P351" t="n">
        <v>0</v>
      </c>
      <c r="Q351" t="n">
        <v>0</v>
      </c>
      <c r="R351" s="2" t="inlineStr"/>
    </row>
    <row r="352" ht="15" customHeight="1">
      <c r="A352" t="inlineStr">
        <is>
          <t>A 5953-2026</t>
        </is>
      </c>
      <c r="B352" s="1" t="n">
        <v>46052.49119212963</v>
      </c>
      <c r="C352" s="1" t="n">
        <v>46073</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6041-2026</t>
        </is>
      </c>
      <c r="B353" s="1" t="n">
        <v>46052.62184027778</v>
      </c>
      <c r="C353" s="1" t="n">
        <v>46073</v>
      </c>
      <c r="D353" t="inlineStr">
        <is>
          <t>UPPSALA LÄN</t>
        </is>
      </c>
      <c r="E353" t="inlineStr">
        <is>
          <t>ENKÖPING</t>
        </is>
      </c>
      <c r="G353" t="n">
        <v>4</v>
      </c>
      <c r="H353" t="n">
        <v>0</v>
      </c>
      <c r="I353" t="n">
        <v>0</v>
      </c>
      <c r="J353" t="n">
        <v>0</v>
      </c>
      <c r="K353" t="n">
        <v>0</v>
      </c>
      <c r="L353" t="n">
        <v>0</v>
      </c>
      <c r="M353" t="n">
        <v>0</v>
      </c>
      <c r="N353" t="n">
        <v>0</v>
      </c>
      <c r="O353" t="n">
        <v>0</v>
      </c>
      <c r="P353" t="n">
        <v>0</v>
      </c>
      <c r="Q353" t="n">
        <v>0</v>
      </c>
      <c r="R353" s="2" t="inlineStr"/>
    </row>
    <row r="354" ht="15" customHeight="1">
      <c r="A354" t="inlineStr">
        <is>
          <t>A 20440-2025</t>
        </is>
      </c>
      <c r="B354" s="1" t="n">
        <v>45775</v>
      </c>
      <c r="C354" s="1" t="n">
        <v>46073</v>
      </c>
      <c r="D354" t="inlineStr">
        <is>
          <t>UPPSALA LÄN</t>
        </is>
      </c>
      <c r="E354" t="inlineStr">
        <is>
          <t>ENKÖPING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5569-2026</t>
        </is>
      </c>
      <c r="B355" s="1" t="n">
        <v>46050.89431712963</v>
      </c>
      <c r="C355" s="1" t="n">
        <v>46073</v>
      </c>
      <c r="D355" t="inlineStr">
        <is>
          <t>UPPSALA LÄN</t>
        </is>
      </c>
      <c r="E355" t="inlineStr">
        <is>
          <t>ENKÖPING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41737-2022</t>
        </is>
      </c>
      <c r="B356" s="1" t="n">
        <v>44827.63826388889</v>
      </c>
      <c r="C356" s="1" t="n">
        <v>46073</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5948-2026</t>
        </is>
      </c>
      <c r="B357" s="1" t="n">
        <v>46052</v>
      </c>
      <c r="C357" s="1" t="n">
        <v>46073</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54595-2021</t>
        </is>
      </c>
      <c r="B358" s="1" t="n">
        <v>44473.58824074074</v>
      </c>
      <c r="C358" s="1" t="n">
        <v>46073</v>
      </c>
      <c r="D358" t="inlineStr">
        <is>
          <t>UPPSALA LÄN</t>
        </is>
      </c>
      <c r="E358" t="inlineStr">
        <is>
          <t>ENKÖPING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22094-2023</t>
        </is>
      </c>
      <c r="B359" s="1" t="n">
        <v>45069</v>
      </c>
      <c r="C359" s="1" t="n">
        <v>46073</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35647-2021</t>
        </is>
      </c>
      <c r="B360" s="1" t="n">
        <v>44386</v>
      </c>
      <c r="C360" s="1" t="n">
        <v>46073</v>
      </c>
      <c r="D360" t="inlineStr">
        <is>
          <t>UPPSALA LÄN</t>
        </is>
      </c>
      <c r="E360" t="inlineStr">
        <is>
          <t>ENKÖPING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24962-2023</t>
        </is>
      </c>
      <c r="B361" s="1" t="n">
        <v>45085.60123842592</v>
      </c>
      <c r="C361" s="1" t="n">
        <v>46073</v>
      </c>
      <c r="D361" t="inlineStr">
        <is>
          <t>UPPSALA LÄN</t>
        </is>
      </c>
      <c r="E361" t="inlineStr">
        <is>
          <t>ENKÖPING</t>
        </is>
      </c>
      <c r="G361" t="n">
        <v>2.8</v>
      </c>
      <c r="H361" t="n">
        <v>0</v>
      </c>
      <c r="I361" t="n">
        <v>0</v>
      </c>
      <c r="J361" t="n">
        <v>0</v>
      </c>
      <c r="K361" t="n">
        <v>0</v>
      </c>
      <c r="L361" t="n">
        <v>0</v>
      </c>
      <c r="M361" t="n">
        <v>0</v>
      </c>
      <c r="N361" t="n">
        <v>0</v>
      </c>
      <c r="O361" t="n">
        <v>0</v>
      </c>
      <c r="P361" t="n">
        <v>0</v>
      </c>
      <c r="Q361" t="n">
        <v>0</v>
      </c>
      <c r="R361" s="2" t="inlineStr"/>
    </row>
    <row r="362" ht="15" customHeight="1">
      <c r="A362" t="inlineStr">
        <is>
          <t>A 44131-2023</t>
        </is>
      </c>
      <c r="B362" s="1" t="n">
        <v>45188</v>
      </c>
      <c r="C362" s="1" t="n">
        <v>46073</v>
      </c>
      <c r="D362" t="inlineStr">
        <is>
          <t>UPPSALA LÄN</t>
        </is>
      </c>
      <c r="E362" t="inlineStr">
        <is>
          <t>ENKÖPING</t>
        </is>
      </c>
      <c r="G362" t="n">
        <v>0.3</v>
      </c>
      <c r="H362" t="n">
        <v>0</v>
      </c>
      <c r="I362" t="n">
        <v>0</v>
      </c>
      <c r="J362" t="n">
        <v>0</v>
      </c>
      <c r="K362" t="n">
        <v>0</v>
      </c>
      <c r="L362" t="n">
        <v>0</v>
      </c>
      <c r="M362" t="n">
        <v>0</v>
      </c>
      <c r="N362" t="n">
        <v>0</v>
      </c>
      <c r="O362" t="n">
        <v>0</v>
      </c>
      <c r="P362" t="n">
        <v>0</v>
      </c>
      <c r="Q362" t="n">
        <v>0</v>
      </c>
      <c r="R362" s="2" t="inlineStr"/>
    </row>
    <row r="363" ht="15" customHeight="1">
      <c r="A363" t="inlineStr">
        <is>
          <t>A 7003-2026</t>
        </is>
      </c>
      <c r="B363" s="1" t="n">
        <v>46057.63243055555</v>
      </c>
      <c r="C363" s="1" t="n">
        <v>46073</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29482-2022</t>
        </is>
      </c>
      <c r="B364" s="1" t="n">
        <v>44753.57703703704</v>
      </c>
      <c r="C364" s="1" t="n">
        <v>46073</v>
      </c>
      <c r="D364" t="inlineStr">
        <is>
          <t>UPPSALA LÄN</t>
        </is>
      </c>
      <c r="E364" t="inlineStr">
        <is>
          <t>ENKÖPING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29483-2022</t>
        </is>
      </c>
      <c r="B365" s="1" t="n">
        <v>44753.57829861111</v>
      </c>
      <c r="C365" s="1" t="n">
        <v>46073</v>
      </c>
      <c r="D365" t="inlineStr">
        <is>
          <t>UPPSALA LÄN</t>
        </is>
      </c>
      <c r="E365" t="inlineStr">
        <is>
          <t>ENKÖPING</t>
        </is>
      </c>
      <c r="G365" t="n">
        <v>3.6</v>
      </c>
      <c r="H365" t="n">
        <v>0</v>
      </c>
      <c r="I365" t="n">
        <v>0</v>
      </c>
      <c r="J365" t="n">
        <v>0</v>
      </c>
      <c r="K365" t="n">
        <v>0</v>
      </c>
      <c r="L365" t="n">
        <v>0</v>
      </c>
      <c r="M365" t="n">
        <v>0</v>
      </c>
      <c r="N365" t="n">
        <v>0</v>
      </c>
      <c r="O365" t="n">
        <v>0</v>
      </c>
      <c r="P365" t="n">
        <v>0</v>
      </c>
      <c r="Q365" t="n">
        <v>0</v>
      </c>
      <c r="R365" s="2" t="inlineStr"/>
    </row>
    <row r="366" ht="15" customHeight="1">
      <c r="A366" t="inlineStr">
        <is>
          <t>A 37170-2021</t>
        </is>
      </c>
      <c r="B366" s="1" t="n">
        <v>44395</v>
      </c>
      <c r="C366" s="1" t="n">
        <v>46073</v>
      </c>
      <c r="D366" t="inlineStr">
        <is>
          <t>UPPSALA LÄN</t>
        </is>
      </c>
      <c r="E366" t="inlineStr">
        <is>
          <t>ENKÖPING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7008-2026</t>
        </is>
      </c>
      <c r="B367" s="1" t="n">
        <v>46057.63806712963</v>
      </c>
      <c r="C367" s="1" t="n">
        <v>46073</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7168-2026</t>
        </is>
      </c>
      <c r="B368" s="1" t="n">
        <v>46058.45831018518</v>
      </c>
      <c r="C368" s="1" t="n">
        <v>46073</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7175-2026</t>
        </is>
      </c>
      <c r="B369" s="1" t="n">
        <v>46058.46399305556</v>
      </c>
      <c r="C369" s="1" t="n">
        <v>46073</v>
      </c>
      <c r="D369" t="inlineStr">
        <is>
          <t>UPPSALA LÄN</t>
        </is>
      </c>
      <c r="E369" t="inlineStr">
        <is>
          <t>ENKÖPING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7167-2026</t>
        </is>
      </c>
      <c r="B370" s="1" t="n">
        <v>46058.45677083333</v>
      </c>
      <c r="C370" s="1" t="n">
        <v>46073</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53496-2022</t>
        </is>
      </c>
      <c r="B371" s="1" t="n">
        <v>44879.57217592592</v>
      </c>
      <c r="C371" s="1" t="n">
        <v>46073</v>
      </c>
      <c r="D371" t="inlineStr">
        <is>
          <t>UPPSALA LÄN</t>
        </is>
      </c>
      <c r="E371" t="inlineStr">
        <is>
          <t>ENKÖPING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7172-2026</t>
        </is>
      </c>
      <c r="B372" s="1" t="n">
        <v>46058.46113425926</v>
      </c>
      <c r="C372" s="1" t="n">
        <v>46073</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7870-2024</t>
        </is>
      </c>
      <c r="B373" s="1" t="n">
        <v>45350.33349537037</v>
      </c>
      <c r="C373" s="1" t="n">
        <v>46073</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28243-2023</t>
        </is>
      </c>
      <c r="B374" s="1" t="n">
        <v>45099.58885416666</v>
      </c>
      <c r="C374" s="1" t="n">
        <v>46073</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60848-2025</t>
        </is>
      </c>
      <c r="B375" s="1" t="n">
        <v>45999</v>
      </c>
      <c r="C375" s="1" t="n">
        <v>46073</v>
      </c>
      <c r="D375" t="inlineStr">
        <is>
          <t>UPPSALA LÄN</t>
        </is>
      </c>
      <c r="E375" t="inlineStr">
        <is>
          <t>ENKÖPING</t>
        </is>
      </c>
      <c r="G375" t="n">
        <v>2.5</v>
      </c>
      <c r="H375" t="n">
        <v>0</v>
      </c>
      <c r="I375" t="n">
        <v>0</v>
      </c>
      <c r="J375" t="n">
        <v>0</v>
      </c>
      <c r="K375" t="n">
        <v>0</v>
      </c>
      <c r="L375" t="n">
        <v>0</v>
      </c>
      <c r="M375" t="n">
        <v>0</v>
      </c>
      <c r="N375" t="n">
        <v>0</v>
      </c>
      <c r="O375" t="n">
        <v>0</v>
      </c>
      <c r="P375" t="n">
        <v>0</v>
      </c>
      <c r="Q375" t="n">
        <v>0</v>
      </c>
      <c r="R375" s="2" t="inlineStr"/>
    </row>
    <row r="376" ht="15" customHeight="1">
      <c r="A376" t="inlineStr">
        <is>
          <t>A 10829-2024</t>
        </is>
      </c>
      <c r="B376" s="1" t="n">
        <v>45369</v>
      </c>
      <c r="C376" s="1" t="n">
        <v>46073</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2161-2023</t>
        </is>
      </c>
      <c r="B377" s="1" t="n">
        <v>44941</v>
      </c>
      <c r="C377" s="1" t="n">
        <v>46073</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2165-2023</t>
        </is>
      </c>
      <c r="B378" s="1" t="n">
        <v>44941</v>
      </c>
      <c r="C378" s="1" t="n">
        <v>46073</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13853-2023</t>
        </is>
      </c>
      <c r="B379" s="1" t="n">
        <v>45007</v>
      </c>
      <c r="C379" s="1" t="n">
        <v>46073</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63310-2021</t>
        </is>
      </c>
      <c r="B380" s="1" t="n">
        <v>44508</v>
      </c>
      <c r="C380" s="1" t="n">
        <v>46073</v>
      </c>
      <c r="D380" t="inlineStr">
        <is>
          <t>UPPSALA LÄN</t>
        </is>
      </c>
      <c r="E380" t="inlineStr">
        <is>
          <t>ENKÖPING</t>
        </is>
      </c>
      <c r="G380" t="n">
        <v>3.5</v>
      </c>
      <c r="H380" t="n">
        <v>0</v>
      </c>
      <c r="I380" t="n">
        <v>0</v>
      </c>
      <c r="J380" t="n">
        <v>0</v>
      </c>
      <c r="K380" t="n">
        <v>0</v>
      </c>
      <c r="L380" t="n">
        <v>0</v>
      </c>
      <c r="M380" t="n">
        <v>0</v>
      </c>
      <c r="N380" t="n">
        <v>0</v>
      </c>
      <c r="O380" t="n">
        <v>0</v>
      </c>
      <c r="P380" t="n">
        <v>0</v>
      </c>
      <c r="Q380" t="n">
        <v>0</v>
      </c>
      <c r="R380" s="2" t="inlineStr"/>
    </row>
    <row r="381" ht="15" customHeight="1">
      <c r="A381" t="inlineStr">
        <is>
          <t>A 8309-2026</t>
        </is>
      </c>
      <c r="B381" s="1" t="n">
        <v>46064.59081018518</v>
      </c>
      <c r="C381" s="1" t="n">
        <v>46073</v>
      </c>
      <c r="D381" t="inlineStr">
        <is>
          <t>UPPSALA LÄN</t>
        </is>
      </c>
      <c r="E381" t="inlineStr">
        <is>
          <t>ENKÖPING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61106-2022</t>
        </is>
      </c>
      <c r="B382" s="1" t="n">
        <v>44915.4128587963</v>
      </c>
      <c r="C382" s="1" t="n">
        <v>46073</v>
      </c>
      <c r="D382" t="inlineStr">
        <is>
          <t>UPPSALA LÄN</t>
        </is>
      </c>
      <c r="E382" t="inlineStr">
        <is>
          <t>ENKÖPING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2258-2026</t>
        </is>
      </c>
      <c r="B383" s="1" t="n">
        <v>46036</v>
      </c>
      <c r="C383" s="1" t="n">
        <v>46073</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9171-2024</t>
        </is>
      </c>
      <c r="B384" s="1" t="n">
        <v>45358</v>
      </c>
      <c r="C384" s="1" t="n">
        <v>46073</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671-2022</t>
        </is>
      </c>
      <c r="B385" s="1" t="n">
        <v>44568</v>
      </c>
      <c r="C385" s="1" t="n">
        <v>46073</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11005-2023</t>
        </is>
      </c>
      <c r="B386" s="1" t="n">
        <v>44991</v>
      </c>
      <c r="C386" s="1" t="n">
        <v>46073</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29918-2023</t>
        </is>
      </c>
      <c r="B387" s="1" t="n">
        <v>45099</v>
      </c>
      <c r="C387" s="1" t="n">
        <v>46073</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58384-2022</t>
        </is>
      </c>
      <c r="B388" s="1" t="n">
        <v>44901</v>
      </c>
      <c r="C388" s="1" t="n">
        <v>46073</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43016-2021</t>
        </is>
      </c>
      <c r="B389" s="1" t="n">
        <v>44431</v>
      </c>
      <c r="C389" s="1" t="n">
        <v>46073</v>
      </c>
      <c r="D389" t="inlineStr">
        <is>
          <t>UPPSALA LÄN</t>
        </is>
      </c>
      <c r="E389" t="inlineStr">
        <is>
          <t>ENKÖPING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15893-2024</t>
        </is>
      </c>
      <c r="B390" s="1" t="n">
        <v>45405</v>
      </c>
      <c r="C390" s="1" t="n">
        <v>46073</v>
      </c>
      <c r="D390" t="inlineStr">
        <is>
          <t>UPPSALA LÄN</t>
        </is>
      </c>
      <c r="E390" t="inlineStr">
        <is>
          <t>ENKÖPING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33343-2024</t>
        </is>
      </c>
      <c r="B391" s="1" t="n">
        <v>45519</v>
      </c>
      <c r="C391" s="1" t="n">
        <v>46073</v>
      </c>
      <c r="D391" t="inlineStr">
        <is>
          <t>UPPSALA LÄN</t>
        </is>
      </c>
      <c r="E391" t="inlineStr">
        <is>
          <t>ENKÖPING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57142-2021</t>
        </is>
      </c>
      <c r="B392" s="1" t="n">
        <v>44482</v>
      </c>
      <c r="C392" s="1" t="n">
        <v>46073</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57153-2021</t>
        </is>
      </c>
      <c r="B393" s="1" t="n">
        <v>44482</v>
      </c>
      <c r="C393" s="1" t="n">
        <v>46073</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5188-2022</t>
        </is>
      </c>
      <c r="B394" s="1" t="n">
        <v>44594.4471412037</v>
      </c>
      <c r="C394" s="1" t="n">
        <v>46073</v>
      </c>
      <c r="D394" t="inlineStr">
        <is>
          <t>UPPSALA LÄN</t>
        </is>
      </c>
      <c r="E394" t="inlineStr">
        <is>
          <t>ENKÖPING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19014-2025</t>
        </is>
      </c>
      <c r="B395" s="1" t="n">
        <v>45764.59631944444</v>
      </c>
      <c r="C395" s="1" t="n">
        <v>46073</v>
      </c>
      <c r="D395" t="inlineStr">
        <is>
          <t>UPPSALA LÄN</t>
        </is>
      </c>
      <c r="E395" t="inlineStr">
        <is>
          <t>ENKÖPING</t>
        </is>
      </c>
      <c r="G395" t="n">
        <v>0.2</v>
      </c>
      <c r="H395" t="n">
        <v>0</v>
      </c>
      <c r="I395" t="n">
        <v>0</v>
      </c>
      <c r="J395" t="n">
        <v>0</v>
      </c>
      <c r="K395" t="n">
        <v>0</v>
      </c>
      <c r="L395" t="n">
        <v>0</v>
      </c>
      <c r="M395" t="n">
        <v>0</v>
      </c>
      <c r="N395" t="n">
        <v>0</v>
      </c>
      <c r="O395" t="n">
        <v>0</v>
      </c>
      <c r="P395" t="n">
        <v>0</v>
      </c>
      <c r="Q395" t="n">
        <v>0</v>
      </c>
      <c r="R395" s="2" t="inlineStr"/>
    </row>
    <row r="396" ht="15" customHeight="1">
      <c r="A396" t="inlineStr">
        <is>
          <t>A 43691-2024</t>
        </is>
      </c>
      <c r="B396" s="1" t="n">
        <v>45569</v>
      </c>
      <c r="C396" s="1" t="n">
        <v>46073</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9148-2026</t>
        </is>
      </c>
      <c r="B397" s="1" t="n">
        <v>46070.30946759259</v>
      </c>
      <c r="C397" s="1" t="n">
        <v>46073</v>
      </c>
      <c r="D397" t="inlineStr">
        <is>
          <t>UPPSALA LÄN</t>
        </is>
      </c>
      <c r="E397" t="inlineStr">
        <is>
          <t>ENKÖPING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25989-2025</t>
        </is>
      </c>
      <c r="B398" s="1" t="n">
        <v>45804.65050925926</v>
      </c>
      <c r="C398" s="1" t="n">
        <v>46073</v>
      </c>
      <c r="D398" t="inlineStr">
        <is>
          <t>UPPSALA LÄN</t>
        </is>
      </c>
      <c r="E398" t="inlineStr">
        <is>
          <t>ENKÖPING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9257-2026</t>
        </is>
      </c>
      <c r="B399" s="1" t="n">
        <v>46070.51166666667</v>
      </c>
      <c r="C399" s="1" t="n">
        <v>46073</v>
      </c>
      <c r="D399" t="inlineStr">
        <is>
          <t>UPPSALA LÄN</t>
        </is>
      </c>
      <c r="E399" t="inlineStr">
        <is>
          <t>ENKÖPING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19376-2024</t>
        </is>
      </c>
      <c r="B400" s="1" t="n">
        <v>45429</v>
      </c>
      <c r="C400" s="1" t="n">
        <v>46073</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25990-2025</t>
        </is>
      </c>
      <c r="B401" s="1" t="n">
        <v>45804.65229166667</v>
      </c>
      <c r="C401" s="1" t="n">
        <v>46073</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33670-2024</t>
        </is>
      </c>
      <c r="B402" s="1" t="n">
        <v>45520</v>
      </c>
      <c r="C402" s="1" t="n">
        <v>46073</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192-2026</t>
        </is>
      </c>
      <c r="B403" s="1" t="n">
        <v>46025</v>
      </c>
      <c r="C403" s="1" t="n">
        <v>46073</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9469-2026</t>
        </is>
      </c>
      <c r="B404" s="1" t="n">
        <v>46071.51248842593</v>
      </c>
      <c r="C404" s="1" t="n">
        <v>46073</v>
      </c>
      <c r="D404" t="inlineStr">
        <is>
          <t>UPPSALA LÄN</t>
        </is>
      </c>
      <c r="E404" t="inlineStr">
        <is>
          <t>ENKÖPING</t>
        </is>
      </c>
      <c r="G404" t="n">
        <v>3</v>
      </c>
      <c r="H404" t="n">
        <v>0</v>
      </c>
      <c r="I404" t="n">
        <v>0</v>
      </c>
      <c r="J404" t="n">
        <v>0</v>
      </c>
      <c r="K404" t="n">
        <v>0</v>
      </c>
      <c r="L404" t="n">
        <v>0</v>
      </c>
      <c r="M404" t="n">
        <v>0</v>
      </c>
      <c r="N404" t="n">
        <v>0</v>
      </c>
      <c r="O404" t="n">
        <v>0</v>
      </c>
      <c r="P404" t="n">
        <v>0</v>
      </c>
      <c r="Q404" t="n">
        <v>0</v>
      </c>
      <c r="R404" s="2" t="inlineStr"/>
    </row>
    <row r="405" ht="15" customHeight="1">
      <c r="A405" t="inlineStr">
        <is>
          <t>A 19147-2024</t>
        </is>
      </c>
      <c r="B405" s="1" t="n">
        <v>45428</v>
      </c>
      <c r="C405" s="1" t="n">
        <v>46073</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67982-2021</t>
        </is>
      </c>
      <c r="B406" s="1" t="n">
        <v>44525</v>
      </c>
      <c r="C406" s="1" t="n">
        <v>46073</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9474-2026</t>
        </is>
      </c>
      <c r="B407" s="1" t="n">
        <v>46071.52324074074</v>
      </c>
      <c r="C407" s="1" t="n">
        <v>46073</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57835-2024</t>
        </is>
      </c>
      <c r="B408" s="1" t="n">
        <v>45631.39947916667</v>
      </c>
      <c r="C408" s="1" t="n">
        <v>46073</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21612-2023</t>
        </is>
      </c>
      <c r="B409" s="1" t="n">
        <v>45063</v>
      </c>
      <c r="C409" s="1" t="n">
        <v>46073</v>
      </c>
      <c r="D409" t="inlineStr">
        <is>
          <t>UPPSALA LÄN</t>
        </is>
      </c>
      <c r="E409" t="inlineStr">
        <is>
          <t>ENKÖPING</t>
        </is>
      </c>
      <c r="F409" t="inlineStr">
        <is>
          <t>Allmännings- och besparingsskogar</t>
        </is>
      </c>
      <c r="G409" t="n">
        <v>1</v>
      </c>
      <c r="H409" t="n">
        <v>0</v>
      </c>
      <c r="I409" t="n">
        <v>0</v>
      </c>
      <c r="J409" t="n">
        <v>0</v>
      </c>
      <c r="K409" t="n">
        <v>0</v>
      </c>
      <c r="L409" t="n">
        <v>0</v>
      </c>
      <c r="M409" t="n">
        <v>0</v>
      </c>
      <c r="N409" t="n">
        <v>0</v>
      </c>
      <c r="O409" t="n">
        <v>0</v>
      </c>
      <c r="P409" t="n">
        <v>0</v>
      </c>
      <c r="Q409" t="n">
        <v>0</v>
      </c>
      <c r="R409" s="2" t="inlineStr"/>
    </row>
    <row r="410" ht="15" customHeight="1">
      <c r="A410" t="inlineStr">
        <is>
          <t>A 39624-2023</t>
        </is>
      </c>
      <c r="B410" s="1" t="n">
        <v>45164</v>
      </c>
      <c r="C410" s="1" t="n">
        <v>46073</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861-2026</t>
        </is>
      </c>
      <c r="B411" s="1" t="n">
        <v>46030</v>
      </c>
      <c r="C411" s="1" t="n">
        <v>46073</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5892-2023</t>
        </is>
      </c>
      <c r="B412" s="1" t="n">
        <v>44963.64883101852</v>
      </c>
      <c r="C412" s="1" t="n">
        <v>46073</v>
      </c>
      <c r="D412" t="inlineStr">
        <is>
          <t>UPPSALA LÄN</t>
        </is>
      </c>
      <c r="E412" t="inlineStr">
        <is>
          <t>ENKÖPING</t>
        </is>
      </c>
      <c r="G412" t="n">
        <v>5.5</v>
      </c>
      <c r="H412" t="n">
        <v>0</v>
      </c>
      <c r="I412" t="n">
        <v>0</v>
      </c>
      <c r="J412" t="n">
        <v>0</v>
      </c>
      <c r="K412" t="n">
        <v>0</v>
      </c>
      <c r="L412" t="n">
        <v>0</v>
      </c>
      <c r="M412" t="n">
        <v>0</v>
      </c>
      <c r="N412" t="n">
        <v>0</v>
      </c>
      <c r="O412" t="n">
        <v>0</v>
      </c>
      <c r="P412" t="n">
        <v>0</v>
      </c>
      <c r="Q412" t="n">
        <v>0</v>
      </c>
      <c r="R412" s="2" t="inlineStr"/>
    </row>
    <row r="413" ht="15" customHeight="1">
      <c r="A413" t="inlineStr">
        <is>
          <t>A 39858-2024</t>
        </is>
      </c>
      <c r="B413" s="1" t="n">
        <v>45553</v>
      </c>
      <c r="C413" s="1" t="n">
        <v>46073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9467-2026</t>
        </is>
      </c>
      <c r="B414" s="1" t="n">
        <v>46071.50694444445</v>
      </c>
      <c r="C414" s="1" t="n">
        <v>46073</v>
      </c>
      <c r="D414" t="inlineStr">
        <is>
          <t>UPPSALA LÄN</t>
        </is>
      </c>
      <c r="E414" t="inlineStr">
        <is>
          <t>ENKÖPING</t>
        </is>
      </c>
      <c r="G414" t="n">
        <v>5.9</v>
      </c>
      <c r="H414" t="n">
        <v>0</v>
      </c>
      <c r="I414" t="n">
        <v>0</v>
      </c>
      <c r="J414" t="n">
        <v>0</v>
      </c>
      <c r="K414" t="n">
        <v>0</v>
      </c>
      <c r="L414" t="n">
        <v>0</v>
      </c>
      <c r="M414" t="n">
        <v>0</v>
      </c>
      <c r="N414" t="n">
        <v>0</v>
      </c>
      <c r="O414" t="n">
        <v>0</v>
      </c>
      <c r="P414" t="n">
        <v>0</v>
      </c>
      <c r="Q414" t="n">
        <v>0</v>
      </c>
      <c r="R414" s="2" t="inlineStr"/>
    </row>
    <row r="415" ht="15" customHeight="1">
      <c r="A415" t="inlineStr">
        <is>
          <t>A 9957-2023</t>
        </is>
      </c>
      <c r="B415" s="1" t="n">
        <v>44978</v>
      </c>
      <c r="C415" s="1" t="n">
        <v>46073</v>
      </c>
      <c r="D415" t="inlineStr">
        <is>
          <t>UPPSALA LÄN</t>
        </is>
      </c>
      <c r="E415" t="inlineStr">
        <is>
          <t>ENKÖPING</t>
        </is>
      </c>
      <c r="G415" t="n">
        <v>5.9</v>
      </c>
      <c r="H415" t="n">
        <v>0</v>
      </c>
      <c r="I415" t="n">
        <v>0</v>
      </c>
      <c r="J415" t="n">
        <v>0</v>
      </c>
      <c r="K415" t="n">
        <v>0</v>
      </c>
      <c r="L415" t="n">
        <v>0</v>
      </c>
      <c r="M415" t="n">
        <v>0</v>
      </c>
      <c r="N415" t="n">
        <v>0</v>
      </c>
      <c r="O415" t="n">
        <v>0</v>
      </c>
      <c r="P415" t="n">
        <v>0</v>
      </c>
      <c r="Q415" t="n">
        <v>0</v>
      </c>
      <c r="R415" s="2" t="inlineStr"/>
    </row>
    <row r="416" ht="15" customHeight="1">
      <c r="A416" t="inlineStr">
        <is>
          <t>A 8152-2022</t>
        </is>
      </c>
      <c r="B416" s="1" t="n">
        <v>44609</v>
      </c>
      <c r="C416" s="1" t="n">
        <v>46073</v>
      </c>
      <c r="D416" t="inlineStr">
        <is>
          <t>UPPSALA LÄN</t>
        </is>
      </c>
      <c r="E416" t="inlineStr">
        <is>
          <t>ENKÖPING</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17657-2025</t>
        </is>
      </c>
      <c r="B417" s="1" t="n">
        <v>45758.35006944444</v>
      </c>
      <c r="C417" s="1" t="n">
        <v>46073</v>
      </c>
      <c r="D417" t="inlineStr">
        <is>
          <t>UPPSALA LÄN</t>
        </is>
      </c>
      <c r="E417" t="inlineStr">
        <is>
          <t>ENKÖPING</t>
        </is>
      </c>
      <c r="G417" t="n">
        <v>3</v>
      </c>
      <c r="H417" t="n">
        <v>0</v>
      </c>
      <c r="I417" t="n">
        <v>0</v>
      </c>
      <c r="J417" t="n">
        <v>0</v>
      </c>
      <c r="K417" t="n">
        <v>0</v>
      </c>
      <c r="L417" t="n">
        <v>0</v>
      </c>
      <c r="M417" t="n">
        <v>0</v>
      </c>
      <c r="N417" t="n">
        <v>0</v>
      </c>
      <c r="O417" t="n">
        <v>0</v>
      </c>
      <c r="P417" t="n">
        <v>0</v>
      </c>
      <c r="Q417" t="n">
        <v>0</v>
      </c>
      <c r="R417" s="2" t="inlineStr"/>
    </row>
    <row r="418" ht="15" customHeight="1">
      <c r="A418" t="inlineStr">
        <is>
          <t>A 15939-2022</t>
        </is>
      </c>
      <c r="B418" s="1" t="n">
        <v>44664</v>
      </c>
      <c r="C418" s="1" t="n">
        <v>46073</v>
      </c>
      <c r="D418" t="inlineStr">
        <is>
          <t>UPPSALA LÄN</t>
        </is>
      </c>
      <c r="E418" t="inlineStr">
        <is>
          <t>ENKÖPING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50394-2024</t>
        </is>
      </c>
      <c r="B419" s="1" t="n">
        <v>45600</v>
      </c>
      <c r="C419" s="1" t="n">
        <v>46073</v>
      </c>
      <c r="D419" t="inlineStr">
        <is>
          <t>UPPSALA LÄN</t>
        </is>
      </c>
      <c r="E419" t="inlineStr">
        <is>
          <t>ENKÖPING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72840-2021</t>
        </is>
      </c>
      <c r="B420" s="1" t="n">
        <v>44547</v>
      </c>
      <c r="C420" s="1" t="n">
        <v>46073</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37870-2023</t>
        </is>
      </c>
      <c r="B421" s="1" t="n">
        <v>45160.41996527778</v>
      </c>
      <c r="C421" s="1" t="n">
        <v>46073</v>
      </c>
      <c r="D421" t="inlineStr">
        <is>
          <t>UPPSALA LÄN</t>
        </is>
      </c>
      <c r="E421" t="inlineStr">
        <is>
          <t>ENKÖPING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7090-2022</t>
        </is>
      </c>
      <c r="B422" s="1" t="n">
        <v>44603.59520833333</v>
      </c>
      <c r="C422" s="1" t="n">
        <v>46073</v>
      </c>
      <c r="D422" t="inlineStr">
        <is>
          <t>UPPSALA LÄN</t>
        </is>
      </c>
      <c r="E422" t="inlineStr">
        <is>
          <t>ENKÖPING</t>
        </is>
      </c>
      <c r="G422" t="n">
        <v>2.8</v>
      </c>
      <c r="H422" t="n">
        <v>0</v>
      </c>
      <c r="I422" t="n">
        <v>0</v>
      </c>
      <c r="J422" t="n">
        <v>0</v>
      </c>
      <c r="K422" t="n">
        <v>0</v>
      </c>
      <c r="L422" t="n">
        <v>0</v>
      </c>
      <c r="M422" t="n">
        <v>0</v>
      </c>
      <c r="N422" t="n">
        <v>0</v>
      </c>
      <c r="O422" t="n">
        <v>0</v>
      </c>
      <c r="P422" t="n">
        <v>0</v>
      </c>
      <c r="Q422" t="n">
        <v>0</v>
      </c>
      <c r="R422" s="2" t="inlineStr"/>
    </row>
    <row r="423" ht="15" customHeight="1">
      <c r="A423" t="inlineStr">
        <is>
          <t>A 49063-2024</t>
        </is>
      </c>
      <c r="B423" s="1" t="n">
        <v>45594.59869212963</v>
      </c>
      <c r="C423" s="1" t="n">
        <v>46073</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14083-2025</t>
        </is>
      </c>
      <c r="B424" s="1" t="n">
        <v>45740</v>
      </c>
      <c r="C424" s="1" t="n">
        <v>46073</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19298-2023</t>
        </is>
      </c>
      <c r="B425" s="1" t="n">
        <v>45048</v>
      </c>
      <c r="C425" s="1" t="n">
        <v>46073</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15409-2025</t>
        </is>
      </c>
      <c r="B426" s="1" t="n">
        <v>45747</v>
      </c>
      <c r="C426" s="1" t="n">
        <v>46073</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34617-2022</t>
        </is>
      </c>
      <c r="B427" s="1" t="n">
        <v>44795</v>
      </c>
      <c r="C427" s="1" t="n">
        <v>46073</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40202-2024</t>
        </is>
      </c>
      <c r="B428" s="1" t="n">
        <v>45554</v>
      </c>
      <c r="C428" s="1" t="n">
        <v>46073</v>
      </c>
      <c r="D428" t="inlineStr">
        <is>
          <t>UPPSALA LÄN</t>
        </is>
      </c>
      <c r="E428" t="inlineStr">
        <is>
          <t>ENKÖPING</t>
        </is>
      </c>
      <c r="G428" t="n">
        <v>6.2</v>
      </c>
      <c r="H428" t="n">
        <v>0</v>
      </c>
      <c r="I428" t="n">
        <v>0</v>
      </c>
      <c r="J428" t="n">
        <v>0</v>
      </c>
      <c r="K428" t="n">
        <v>0</v>
      </c>
      <c r="L428" t="n">
        <v>0</v>
      </c>
      <c r="M428" t="n">
        <v>0</v>
      </c>
      <c r="N428" t="n">
        <v>0</v>
      </c>
      <c r="O428" t="n">
        <v>0</v>
      </c>
      <c r="P428" t="n">
        <v>0</v>
      </c>
      <c r="Q428" t="n">
        <v>0</v>
      </c>
      <c r="R428" s="2" t="inlineStr"/>
    </row>
    <row r="429" ht="15" customHeight="1">
      <c r="A429" t="inlineStr">
        <is>
          <t>A 40223-2024</t>
        </is>
      </c>
      <c r="B429" s="1" t="n">
        <v>45554</v>
      </c>
      <c r="C429" s="1" t="n">
        <v>46073</v>
      </c>
      <c r="D429" t="inlineStr">
        <is>
          <t>UPPSALA LÄN</t>
        </is>
      </c>
      <c r="E429" t="inlineStr">
        <is>
          <t>ENKÖPING</t>
        </is>
      </c>
      <c r="G429" t="n">
        <v>1.9</v>
      </c>
      <c r="H429" t="n">
        <v>0</v>
      </c>
      <c r="I429" t="n">
        <v>0</v>
      </c>
      <c r="J429" t="n">
        <v>0</v>
      </c>
      <c r="K429" t="n">
        <v>0</v>
      </c>
      <c r="L429" t="n">
        <v>0</v>
      </c>
      <c r="M429" t="n">
        <v>0</v>
      </c>
      <c r="N429" t="n">
        <v>0</v>
      </c>
      <c r="O429" t="n">
        <v>0</v>
      </c>
      <c r="P429" t="n">
        <v>0</v>
      </c>
      <c r="Q429" t="n">
        <v>0</v>
      </c>
      <c r="R429" s="2" t="inlineStr"/>
    </row>
    <row r="430" ht="15" customHeight="1">
      <c r="A430" t="inlineStr">
        <is>
          <t>A 69879-2021</t>
        </is>
      </c>
      <c r="B430" s="1" t="n">
        <v>44532</v>
      </c>
      <c r="C430" s="1" t="n">
        <v>46073</v>
      </c>
      <c r="D430" t="inlineStr">
        <is>
          <t>UPPSALA LÄN</t>
        </is>
      </c>
      <c r="E430" t="inlineStr">
        <is>
          <t>ENKÖPING</t>
        </is>
      </c>
      <c r="G430" t="n">
        <v>4.2</v>
      </c>
      <c r="H430" t="n">
        <v>0</v>
      </c>
      <c r="I430" t="n">
        <v>0</v>
      </c>
      <c r="J430" t="n">
        <v>0</v>
      </c>
      <c r="K430" t="n">
        <v>0</v>
      </c>
      <c r="L430" t="n">
        <v>0</v>
      </c>
      <c r="M430" t="n">
        <v>0</v>
      </c>
      <c r="N430" t="n">
        <v>0</v>
      </c>
      <c r="O430" t="n">
        <v>0</v>
      </c>
      <c r="P430" t="n">
        <v>0</v>
      </c>
      <c r="Q430" t="n">
        <v>0</v>
      </c>
      <c r="R430" s="2" t="inlineStr"/>
    </row>
    <row r="431" ht="15" customHeight="1">
      <c r="A431" t="inlineStr">
        <is>
          <t>A 19013-2025</t>
        </is>
      </c>
      <c r="B431" s="1" t="n">
        <v>45764.59533564815</v>
      </c>
      <c r="C431" s="1" t="n">
        <v>46073</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57335-2024</t>
        </is>
      </c>
      <c r="B432" s="1" t="n">
        <v>45629.63302083333</v>
      </c>
      <c r="C432" s="1" t="n">
        <v>46073</v>
      </c>
      <c r="D432" t="inlineStr">
        <is>
          <t>UPPSALA LÄN</t>
        </is>
      </c>
      <c r="E432" t="inlineStr">
        <is>
          <t>ENKÖPING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23301-2024</t>
        </is>
      </c>
      <c r="B433" s="1" t="n">
        <v>45453.4396412037</v>
      </c>
      <c r="C433" s="1" t="n">
        <v>46073</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2833-2025</t>
        </is>
      </c>
      <c r="B434" s="1" t="n">
        <v>45677.63206018518</v>
      </c>
      <c r="C434" s="1" t="n">
        <v>46073</v>
      </c>
      <c r="D434" t="inlineStr">
        <is>
          <t>UPPSALA LÄN</t>
        </is>
      </c>
      <c r="E434" t="inlineStr">
        <is>
          <t>ENKÖPING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33619-2022</t>
        </is>
      </c>
      <c r="B435" s="1" t="n">
        <v>44789</v>
      </c>
      <c r="C435" s="1" t="n">
        <v>46073</v>
      </c>
      <c r="D435" t="inlineStr">
        <is>
          <t>UPPSALA LÄN</t>
        </is>
      </c>
      <c r="E435" t="inlineStr">
        <is>
          <t>ENKÖPING</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31604-2023</t>
        </is>
      </c>
      <c r="B436" s="1" t="n">
        <v>45117.50368055556</v>
      </c>
      <c r="C436" s="1" t="n">
        <v>46073</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59602-2024</t>
        </is>
      </c>
      <c r="B437" s="1" t="n">
        <v>45638</v>
      </c>
      <c r="C437" s="1" t="n">
        <v>46073</v>
      </c>
      <c r="D437" t="inlineStr">
        <is>
          <t>UPPSALA LÄN</t>
        </is>
      </c>
      <c r="E437" t="inlineStr">
        <is>
          <t>ENKÖPING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14243-2025</t>
        </is>
      </c>
      <c r="B438" s="1" t="n">
        <v>45740.61288194444</v>
      </c>
      <c r="C438" s="1" t="n">
        <v>46073</v>
      </c>
      <c r="D438" t="inlineStr">
        <is>
          <t>UPPSALA LÄN</t>
        </is>
      </c>
      <c r="E438" t="inlineStr">
        <is>
          <t>ENKÖPING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19488-2022</t>
        </is>
      </c>
      <c r="B439" s="1" t="n">
        <v>44693</v>
      </c>
      <c r="C439" s="1" t="n">
        <v>46073</v>
      </c>
      <c r="D439" t="inlineStr">
        <is>
          <t>UPPSALA LÄN</t>
        </is>
      </c>
      <c r="E439" t="inlineStr">
        <is>
          <t>ENKÖPING</t>
        </is>
      </c>
      <c r="G439" t="n">
        <v>7.8</v>
      </c>
      <c r="H439" t="n">
        <v>0</v>
      </c>
      <c r="I439" t="n">
        <v>0</v>
      </c>
      <c r="J439" t="n">
        <v>0</v>
      </c>
      <c r="K439" t="n">
        <v>0</v>
      </c>
      <c r="L439" t="n">
        <v>0</v>
      </c>
      <c r="M439" t="n">
        <v>0</v>
      </c>
      <c r="N439" t="n">
        <v>0</v>
      </c>
      <c r="O439" t="n">
        <v>0</v>
      </c>
      <c r="P439" t="n">
        <v>0</v>
      </c>
      <c r="Q439" t="n">
        <v>0</v>
      </c>
      <c r="R439" s="2" t="inlineStr"/>
    </row>
    <row r="440" ht="15" customHeight="1">
      <c r="A440" t="inlineStr">
        <is>
          <t>A 41826-2024</t>
        </is>
      </c>
      <c r="B440" s="1" t="n">
        <v>45561</v>
      </c>
      <c r="C440" s="1" t="n">
        <v>46073</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16916-2022</t>
        </is>
      </c>
      <c r="B441" s="1" t="n">
        <v>44676</v>
      </c>
      <c r="C441" s="1" t="n">
        <v>46073</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44115-2024</t>
        </is>
      </c>
      <c r="B442" s="1" t="n">
        <v>45572</v>
      </c>
      <c r="C442" s="1" t="n">
        <v>46073</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30634-2022</t>
        </is>
      </c>
      <c r="B443" s="1" t="n">
        <v>44763.45711805556</v>
      </c>
      <c r="C443" s="1" t="n">
        <v>46073</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3300-2025</t>
        </is>
      </c>
      <c r="B444" s="1" t="n">
        <v>45679</v>
      </c>
      <c r="C444" s="1" t="n">
        <v>46073</v>
      </c>
      <c r="D444" t="inlineStr">
        <is>
          <t>UPPSALA LÄN</t>
        </is>
      </c>
      <c r="E444" t="inlineStr">
        <is>
          <t>ENKÖPING</t>
        </is>
      </c>
      <c r="G444" t="n">
        <v>8.9</v>
      </c>
      <c r="H444" t="n">
        <v>0</v>
      </c>
      <c r="I444" t="n">
        <v>0</v>
      </c>
      <c r="J444" t="n">
        <v>0</v>
      </c>
      <c r="K444" t="n">
        <v>0</v>
      </c>
      <c r="L444" t="n">
        <v>0</v>
      </c>
      <c r="M444" t="n">
        <v>0</v>
      </c>
      <c r="N444" t="n">
        <v>0</v>
      </c>
      <c r="O444" t="n">
        <v>0</v>
      </c>
      <c r="P444" t="n">
        <v>0</v>
      </c>
      <c r="Q444" t="n">
        <v>0</v>
      </c>
      <c r="R444" s="2" t="inlineStr"/>
    </row>
    <row r="445" ht="15" customHeight="1">
      <c r="A445" t="inlineStr">
        <is>
          <t>A 51120-2023</t>
        </is>
      </c>
      <c r="B445" s="1" t="n">
        <v>45219.3088425926</v>
      </c>
      <c r="C445" s="1" t="n">
        <v>46073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26319-2022</t>
        </is>
      </c>
      <c r="B446" s="1" t="n">
        <v>44735</v>
      </c>
      <c r="C446" s="1" t="n">
        <v>46073</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54357-2023</t>
        </is>
      </c>
      <c r="B447" s="1" t="n">
        <v>45225</v>
      </c>
      <c r="C447" s="1" t="n">
        <v>46073</v>
      </c>
      <c r="D447" t="inlineStr">
        <is>
          <t>UPPSALA LÄN</t>
        </is>
      </c>
      <c r="E447" t="inlineStr">
        <is>
          <t>ENKÖPING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13816-2021</t>
        </is>
      </c>
      <c r="B448" s="1" t="n">
        <v>44276</v>
      </c>
      <c r="C448" s="1" t="n">
        <v>46073</v>
      </c>
      <c r="D448" t="inlineStr">
        <is>
          <t>UPPSALA LÄN</t>
        </is>
      </c>
      <c r="E448" t="inlineStr">
        <is>
          <t>ENKÖPING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63402-2023</t>
        </is>
      </c>
      <c r="B449" s="1" t="n">
        <v>45274.50646990741</v>
      </c>
      <c r="C449" s="1" t="n">
        <v>46073</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53208-2023</t>
        </is>
      </c>
      <c r="B450" s="1" t="n">
        <v>45226</v>
      </c>
      <c r="C450" s="1" t="n">
        <v>46073</v>
      </c>
      <c r="D450" t="inlineStr">
        <is>
          <t>UPPSALA LÄN</t>
        </is>
      </c>
      <c r="E450" t="inlineStr">
        <is>
          <t>ENKÖPING</t>
        </is>
      </c>
      <c r="G450" t="n">
        <v>4.3</v>
      </c>
      <c r="H450" t="n">
        <v>0</v>
      </c>
      <c r="I450" t="n">
        <v>0</v>
      </c>
      <c r="J450" t="n">
        <v>0</v>
      </c>
      <c r="K450" t="n">
        <v>0</v>
      </c>
      <c r="L450" t="n">
        <v>0</v>
      </c>
      <c r="M450" t="n">
        <v>0</v>
      </c>
      <c r="N450" t="n">
        <v>0</v>
      </c>
      <c r="O450" t="n">
        <v>0</v>
      </c>
      <c r="P450" t="n">
        <v>0</v>
      </c>
      <c r="Q450" t="n">
        <v>0</v>
      </c>
      <c r="R450" s="2" t="inlineStr"/>
    </row>
    <row r="451" ht="15" customHeight="1">
      <c r="A451" t="inlineStr">
        <is>
          <t>A 18259-2025</t>
        </is>
      </c>
      <c r="B451" s="1" t="n">
        <v>45762</v>
      </c>
      <c r="C451" s="1" t="n">
        <v>46073</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62158-2023</t>
        </is>
      </c>
      <c r="B452" s="1" t="n">
        <v>45267</v>
      </c>
      <c r="C452" s="1" t="n">
        <v>46073</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60874-2023</t>
        </is>
      </c>
      <c r="B453" s="1" t="n">
        <v>45261.06280092592</v>
      </c>
      <c r="C453" s="1" t="n">
        <v>46073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3550-2023</t>
        </is>
      </c>
      <c r="B454" s="1" t="n">
        <v>44950</v>
      </c>
      <c r="C454" s="1" t="n">
        <v>46073</v>
      </c>
      <c r="D454" t="inlineStr">
        <is>
          <t>UPPSALA LÄN</t>
        </is>
      </c>
      <c r="E454" t="inlineStr">
        <is>
          <t>ENKÖPING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26292-2022</t>
        </is>
      </c>
      <c r="B455" s="1" t="n">
        <v>44735</v>
      </c>
      <c r="C455" s="1" t="n">
        <v>46073</v>
      </c>
      <c r="D455" t="inlineStr">
        <is>
          <t>UPPSALA LÄN</t>
        </is>
      </c>
      <c r="E455" t="inlineStr">
        <is>
          <t>ENKÖPING</t>
        </is>
      </c>
      <c r="F455" t="inlineStr">
        <is>
          <t>Kyrkan</t>
        </is>
      </c>
      <c r="G455" t="n">
        <v>4.6</v>
      </c>
      <c r="H455" t="n">
        <v>0</v>
      </c>
      <c r="I455" t="n">
        <v>0</v>
      </c>
      <c r="J455" t="n">
        <v>0</v>
      </c>
      <c r="K455" t="n">
        <v>0</v>
      </c>
      <c r="L455" t="n">
        <v>0</v>
      </c>
      <c r="M455" t="n">
        <v>0</v>
      </c>
      <c r="N455" t="n">
        <v>0</v>
      </c>
      <c r="O455" t="n">
        <v>0</v>
      </c>
      <c r="P455" t="n">
        <v>0</v>
      </c>
      <c r="Q455" t="n">
        <v>0</v>
      </c>
      <c r="R455" s="2" t="inlineStr"/>
    </row>
    <row r="456" ht="15" customHeight="1">
      <c r="A456" t="inlineStr">
        <is>
          <t>A 61207-2023</t>
        </is>
      </c>
      <c r="B456" s="1" t="n">
        <v>45264.39444444444</v>
      </c>
      <c r="C456" s="1" t="n">
        <v>46073</v>
      </c>
      <c r="D456" t="inlineStr">
        <is>
          <t>UPPSALA LÄN</t>
        </is>
      </c>
      <c r="E456" t="inlineStr">
        <is>
          <t>ENKÖPING</t>
        </is>
      </c>
      <c r="G456" t="n">
        <v>10.8</v>
      </c>
      <c r="H456" t="n">
        <v>0</v>
      </c>
      <c r="I456" t="n">
        <v>0</v>
      </c>
      <c r="J456" t="n">
        <v>0</v>
      </c>
      <c r="K456" t="n">
        <v>0</v>
      </c>
      <c r="L456" t="n">
        <v>0</v>
      </c>
      <c r="M456" t="n">
        <v>0</v>
      </c>
      <c r="N456" t="n">
        <v>0</v>
      </c>
      <c r="O456" t="n">
        <v>0</v>
      </c>
      <c r="P456" t="n">
        <v>0</v>
      </c>
      <c r="Q456" t="n">
        <v>0</v>
      </c>
      <c r="R456" s="2" t="inlineStr"/>
    </row>
    <row r="457" ht="15" customHeight="1">
      <c r="A457" t="inlineStr">
        <is>
          <t>A 840-2025</t>
        </is>
      </c>
      <c r="B457" s="1" t="n">
        <v>45665</v>
      </c>
      <c r="C457" s="1" t="n">
        <v>46073</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10458-2022</t>
        </is>
      </c>
      <c r="B458" s="1" t="n">
        <v>44623.56711805556</v>
      </c>
      <c r="C458" s="1" t="n">
        <v>46073</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45142-2023</t>
        </is>
      </c>
      <c r="B459" s="1" t="n">
        <v>45191.4702662037</v>
      </c>
      <c r="C459" s="1" t="n">
        <v>46073</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57998-2024</t>
        </is>
      </c>
      <c r="B460" s="1" t="n">
        <v>45631</v>
      </c>
      <c r="C460" s="1" t="n">
        <v>46073</v>
      </c>
      <c r="D460" t="inlineStr">
        <is>
          <t>UPPSALA LÄN</t>
        </is>
      </c>
      <c r="E460" t="inlineStr">
        <is>
          <t>ENKÖPING</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14332-2024</t>
        </is>
      </c>
      <c r="B461" s="1" t="n">
        <v>45393</v>
      </c>
      <c r="C461" s="1" t="n">
        <v>46073</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18831-2023</t>
        </is>
      </c>
      <c r="B462" s="1" t="n">
        <v>45044.40798611111</v>
      </c>
      <c r="C462" s="1" t="n">
        <v>46073</v>
      </c>
      <c r="D462" t="inlineStr">
        <is>
          <t>UPPSALA LÄN</t>
        </is>
      </c>
      <c r="E462" t="inlineStr">
        <is>
          <t>ENKÖPING</t>
        </is>
      </c>
      <c r="G462" t="n">
        <v>4.3</v>
      </c>
      <c r="H462" t="n">
        <v>0</v>
      </c>
      <c r="I462" t="n">
        <v>0</v>
      </c>
      <c r="J462" t="n">
        <v>0</v>
      </c>
      <c r="K462" t="n">
        <v>0</v>
      </c>
      <c r="L462" t="n">
        <v>0</v>
      </c>
      <c r="M462" t="n">
        <v>0</v>
      </c>
      <c r="N462" t="n">
        <v>0</v>
      </c>
      <c r="O462" t="n">
        <v>0</v>
      </c>
      <c r="P462" t="n">
        <v>0</v>
      </c>
      <c r="Q462" t="n">
        <v>0</v>
      </c>
      <c r="R462" s="2" t="inlineStr"/>
    </row>
    <row r="463" ht="15" customHeight="1">
      <c r="A463" t="inlineStr">
        <is>
          <t>A 33581-2023</t>
        </is>
      </c>
      <c r="B463" s="1" t="n">
        <v>45131</v>
      </c>
      <c r="C463" s="1" t="n">
        <v>46073</v>
      </c>
      <c r="D463" t="inlineStr">
        <is>
          <t>UPPSALA LÄN</t>
        </is>
      </c>
      <c r="E463" t="inlineStr">
        <is>
          <t>ENKÖPING</t>
        </is>
      </c>
      <c r="G463" t="n">
        <v>3.5</v>
      </c>
      <c r="H463" t="n">
        <v>0</v>
      </c>
      <c r="I463" t="n">
        <v>0</v>
      </c>
      <c r="J463" t="n">
        <v>0</v>
      </c>
      <c r="K463" t="n">
        <v>0</v>
      </c>
      <c r="L463" t="n">
        <v>0</v>
      </c>
      <c r="M463" t="n">
        <v>0</v>
      </c>
      <c r="N463" t="n">
        <v>0</v>
      </c>
      <c r="O463" t="n">
        <v>0</v>
      </c>
      <c r="P463" t="n">
        <v>0</v>
      </c>
      <c r="Q463" t="n">
        <v>0</v>
      </c>
      <c r="R463" s="2" t="inlineStr"/>
    </row>
    <row r="464" ht="15" customHeight="1">
      <c r="A464" t="inlineStr">
        <is>
          <t>A 37115-2024</t>
        </is>
      </c>
      <c r="B464" s="1" t="n">
        <v>45539</v>
      </c>
      <c r="C464" s="1" t="n">
        <v>46073</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1960-2022</t>
        </is>
      </c>
      <c r="B465" s="1" t="n">
        <v>44575</v>
      </c>
      <c r="C465" s="1" t="n">
        <v>46073</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18028-2023</t>
        </is>
      </c>
      <c r="B466" s="1" t="n">
        <v>45040</v>
      </c>
      <c r="C466" s="1" t="n">
        <v>46073</v>
      </c>
      <c r="D466" t="inlineStr">
        <is>
          <t>UPPSALA LÄN</t>
        </is>
      </c>
      <c r="E466" t="inlineStr">
        <is>
          <t>ENKÖPING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49568-2022</t>
        </is>
      </c>
      <c r="B467" s="1" t="n">
        <v>44862.32791666667</v>
      </c>
      <c r="C467" s="1" t="n">
        <v>46073</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42459-2024</t>
        </is>
      </c>
      <c r="B468" s="1" t="n">
        <v>45565</v>
      </c>
      <c r="C468" s="1" t="n">
        <v>46073</v>
      </c>
      <c r="D468" t="inlineStr">
        <is>
          <t>UPPSALA LÄN</t>
        </is>
      </c>
      <c r="E468" t="inlineStr">
        <is>
          <t>ENKÖPING</t>
        </is>
      </c>
      <c r="G468" t="n">
        <v>3.6</v>
      </c>
      <c r="H468" t="n">
        <v>0</v>
      </c>
      <c r="I468" t="n">
        <v>0</v>
      </c>
      <c r="J468" t="n">
        <v>0</v>
      </c>
      <c r="K468" t="n">
        <v>0</v>
      </c>
      <c r="L468" t="n">
        <v>0</v>
      </c>
      <c r="M468" t="n">
        <v>0</v>
      </c>
      <c r="N468" t="n">
        <v>0</v>
      </c>
      <c r="O468" t="n">
        <v>0</v>
      </c>
      <c r="P468" t="n">
        <v>0</v>
      </c>
      <c r="Q468" t="n">
        <v>0</v>
      </c>
      <c r="R468" s="2" t="inlineStr"/>
    </row>
    <row r="469" ht="15" customHeight="1">
      <c r="A469" t="inlineStr">
        <is>
          <t>A 48864-2022</t>
        </is>
      </c>
      <c r="B469" s="1" t="n">
        <v>44859</v>
      </c>
      <c r="C469" s="1" t="n">
        <v>46073</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31622-2022</t>
        </is>
      </c>
      <c r="B470" s="1" t="n">
        <v>44775</v>
      </c>
      <c r="C470" s="1" t="n">
        <v>46073</v>
      </c>
      <c r="D470" t="inlineStr">
        <is>
          <t>UPPSALA LÄN</t>
        </is>
      </c>
      <c r="E470" t="inlineStr">
        <is>
          <t>ENKÖPING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6356-2022</t>
        </is>
      </c>
      <c r="B471" s="1" t="n">
        <v>44600</v>
      </c>
      <c r="C471" s="1" t="n">
        <v>46073</v>
      </c>
      <c r="D471" t="inlineStr">
        <is>
          <t>UPPSALA LÄN</t>
        </is>
      </c>
      <c r="E471" t="inlineStr">
        <is>
          <t>ENKÖPING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57147-2021</t>
        </is>
      </c>
      <c r="B472" s="1" t="n">
        <v>44482</v>
      </c>
      <c r="C472" s="1" t="n">
        <v>46073</v>
      </c>
      <c r="D472" t="inlineStr">
        <is>
          <t>UPPSALA LÄN</t>
        </is>
      </c>
      <c r="E472" t="inlineStr">
        <is>
          <t>ENKÖPING</t>
        </is>
      </c>
      <c r="G472" t="n">
        <v>5.7</v>
      </c>
      <c r="H472" t="n">
        <v>0</v>
      </c>
      <c r="I472" t="n">
        <v>0</v>
      </c>
      <c r="J472" t="n">
        <v>0</v>
      </c>
      <c r="K472" t="n">
        <v>0</v>
      </c>
      <c r="L472" t="n">
        <v>0</v>
      </c>
      <c r="M472" t="n">
        <v>0</v>
      </c>
      <c r="N472" t="n">
        <v>0</v>
      </c>
      <c r="O472" t="n">
        <v>0</v>
      </c>
      <c r="P472" t="n">
        <v>0</v>
      </c>
      <c r="Q472" t="n">
        <v>0</v>
      </c>
      <c r="R472" s="2" t="inlineStr"/>
    </row>
    <row r="473" ht="15" customHeight="1">
      <c r="A473" t="inlineStr">
        <is>
          <t>A 47909-2024</t>
        </is>
      </c>
      <c r="B473" s="1" t="n">
        <v>45589.31866898148</v>
      </c>
      <c r="C473" s="1" t="n">
        <v>46073</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52005-2024</t>
        </is>
      </c>
      <c r="B474" s="1" t="n">
        <v>45607.7627662037</v>
      </c>
      <c r="C474" s="1" t="n">
        <v>46073</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53586-2024</t>
        </is>
      </c>
      <c r="B475" s="1" t="n">
        <v>45614</v>
      </c>
      <c r="C475" s="1" t="n">
        <v>46073</v>
      </c>
      <c r="D475" t="inlineStr">
        <is>
          <t>UPPSALA LÄN</t>
        </is>
      </c>
      <c r="E475" t="inlineStr">
        <is>
          <t>ENKÖPING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51034-2024</t>
        </is>
      </c>
      <c r="B476" s="1" t="n">
        <v>45603.4262037037</v>
      </c>
      <c r="C476" s="1" t="n">
        <v>46073</v>
      </c>
      <c r="D476" t="inlineStr">
        <is>
          <t>UPPSALA LÄN</t>
        </is>
      </c>
      <c r="E476" t="inlineStr">
        <is>
          <t>ENKÖPING</t>
        </is>
      </c>
      <c r="G476" t="n">
        <v>1.3</v>
      </c>
      <c r="H476" t="n">
        <v>0</v>
      </c>
      <c r="I476" t="n">
        <v>0</v>
      </c>
      <c r="J476" t="n">
        <v>0</v>
      </c>
      <c r="K476" t="n">
        <v>0</v>
      </c>
      <c r="L476" t="n">
        <v>0</v>
      </c>
      <c r="M476" t="n">
        <v>0</v>
      </c>
      <c r="N476" t="n">
        <v>0</v>
      </c>
      <c r="O476" t="n">
        <v>0</v>
      </c>
      <c r="P476" t="n">
        <v>0</v>
      </c>
      <c r="Q476" t="n">
        <v>0</v>
      </c>
      <c r="R476" s="2" t="inlineStr"/>
    </row>
    <row r="477" ht="15" customHeight="1">
      <c r="A477" t="inlineStr">
        <is>
          <t>A 51036-2024</t>
        </is>
      </c>
      <c r="B477" s="1" t="n">
        <v>45603.42839120371</v>
      </c>
      <c r="C477" s="1" t="n">
        <v>46073</v>
      </c>
      <c r="D477" t="inlineStr">
        <is>
          <t>UPPSALA LÄN</t>
        </is>
      </c>
      <c r="E477" t="inlineStr">
        <is>
          <t>ENKÖPING</t>
        </is>
      </c>
      <c r="G477" t="n">
        <v>2.6</v>
      </c>
      <c r="H477" t="n">
        <v>0</v>
      </c>
      <c r="I477" t="n">
        <v>0</v>
      </c>
      <c r="J477" t="n">
        <v>0</v>
      </c>
      <c r="K477" t="n">
        <v>0</v>
      </c>
      <c r="L477" t="n">
        <v>0</v>
      </c>
      <c r="M477" t="n">
        <v>0</v>
      </c>
      <c r="N477" t="n">
        <v>0</v>
      </c>
      <c r="O477" t="n">
        <v>0</v>
      </c>
      <c r="P477" t="n">
        <v>0</v>
      </c>
      <c r="Q477" t="n">
        <v>0</v>
      </c>
      <c r="R477" s="2" t="inlineStr"/>
    </row>
    <row r="478" ht="15" customHeight="1">
      <c r="A478" t="inlineStr">
        <is>
          <t>A 43492-2023</t>
        </is>
      </c>
      <c r="B478" s="1" t="n">
        <v>45181</v>
      </c>
      <c r="C478" s="1" t="n">
        <v>46073</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1536-2024</t>
        </is>
      </c>
      <c r="B479" s="1" t="n">
        <v>45306</v>
      </c>
      <c r="C479" s="1" t="n">
        <v>46073</v>
      </c>
      <c r="D479" t="inlineStr">
        <is>
          <t>UPPSALA LÄN</t>
        </is>
      </c>
      <c r="E479" t="inlineStr">
        <is>
          <t>ENKÖPING</t>
        </is>
      </c>
      <c r="F479" t="inlineStr">
        <is>
          <t>Kyrkan</t>
        </is>
      </c>
      <c r="G479" t="n">
        <v>5.6</v>
      </c>
      <c r="H479" t="n">
        <v>0</v>
      </c>
      <c r="I479" t="n">
        <v>0</v>
      </c>
      <c r="J479" t="n">
        <v>0</v>
      </c>
      <c r="K479" t="n">
        <v>0</v>
      </c>
      <c r="L479" t="n">
        <v>0</v>
      </c>
      <c r="M479" t="n">
        <v>0</v>
      </c>
      <c r="N479" t="n">
        <v>0</v>
      </c>
      <c r="O479" t="n">
        <v>0</v>
      </c>
      <c r="P479" t="n">
        <v>0</v>
      </c>
      <c r="Q479" t="n">
        <v>0</v>
      </c>
      <c r="R479" s="2" t="inlineStr"/>
    </row>
    <row r="480" ht="15" customHeight="1">
      <c r="A480" t="inlineStr">
        <is>
          <t>A 2974-2025</t>
        </is>
      </c>
      <c r="B480" s="1" t="n">
        <v>45678.47168981482</v>
      </c>
      <c r="C480" s="1" t="n">
        <v>46073</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16916-2023</t>
        </is>
      </c>
      <c r="B481" s="1" t="n">
        <v>45033.58347222222</v>
      </c>
      <c r="C481" s="1" t="n">
        <v>46073</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16920-2023</t>
        </is>
      </c>
      <c r="B482" s="1" t="n">
        <v>45033.59030092593</v>
      </c>
      <c r="C482" s="1" t="n">
        <v>46073</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52388-2024</t>
        </is>
      </c>
      <c r="B483" s="1" t="n">
        <v>45609.42939814815</v>
      </c>
      <c r="C483" s="1" t="n">
        <v>46073</v>
      </c>
      <c r="D483" t="inlineStr">
        <is>
          <t>UPPSALA LÄN</t>
        </is>
      </c>
      <c r="E483" t="inlineStr">
        <is>
          <t>ENKÖPING</t>
        </is>
      </c>
      <c r="G483" t="n">
        <v>1.8</v>
      </c>
      <c r="H483" t="n">
        <v>0</v>
      </c>
      <c r="I483" t="n">
        <v>0</v>
      </c>
      <c r="J483" t="n">
        <v>0</v>
      </c>
      <c r="K483" t="n">
        <v>0</v>
      </c>
      <c r="L483" t="n">
        <v>0</v>
      </c>
      <c r="M483" t="n">
        <v>0</v>
      </c>
      <c r="N483" t="n">
        <v>0</v>
      </c>
      <c r="O483" t="n">
        <v>0</v>
      </c>
      <c r="P483" t="n">
        <v>0</v>
      </c>
      <c r="Q483" t="n">
        <v>0</v>
      </c>
      <c r="R483" s="2" t="inlineStr"/>
    </row>
    <row r="484" ht="15" customHeight="1">
      <c r="A484" t="inlineStr">
        <is>
          <t>A 12434-2021</t>
        </is>
      </c>
      <c r="B484" s="1" t="n">
        <v>44267</v>
      </c>
      <c r="C484" s="1" t="n">
        <v>46073</v>
      </c>
      <c r="D484" t="inlineStr">
        <is>
          <t>UPPSALA LÄN</t>
        </is>
      </c>
      <c r="E484" t="inlineStr">
        <is>
          <t>ENKÖPING</t>
        </is>
      </c>
      <c r="G484" t="n">
        <v>5.3</v>
      </c>
      <c r="H484" t="n">
        <v>0</v>
      </c>
      <c r="I484" t="n">
        <v>0</v>
      </c>
      <c r="J484" t="n">
        <v>0</v>
      </c>
      <c r="K484" t="n">
        <v>0</v>
      </c>
      <c r="L484" t="n">
        <v>0</v>
      </c>
      <c r="M484" t="n">
        <v>0</v>
      </c>
      <c r="N484" t="n">
        <v>0</v>
      </c>
      <c r="O484" t="n">
        <v>0</v>
      </c>
      <c r="P484" t="n">
        <v>0</v>
      </c>
      <c r="Q484" t="n">
        <v>0</v>
      </c>
      <c r="R484" s="2" t="inlineStr"/>
    </row>
    <row r="485" ht="15" customHeight="1">
      <c r="A485" t="inlineStr">
        <is>
          <t>A 1992-2022</t>
        </is>
      </c>
      <c r="B485" s="1" t="n">
        <v>44575.56153935185</v>
      </c>
      <c r="C485" s="1" t="n">
        <v>46073</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6626-2023</t>
        </is>
      </c>
      <c r="B486" s="1" t="n">
        <v>44966.55946759259</v>
      </c>
      <c r="C486" s="1" t="n">
        <v>46073</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48843-2023</t>
        </is>
      </c>
      <c r="B487" s="1" t="n">
        <v>45209</v>
      </c>
      <c r="C487" s="1" t="n">
        <v>46073</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46073</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35079-2024</t>
        </is>
      </c>
      <c r="B489" s="1" t="n">
        <v>45527.66770833333</v>
      </c>
      <c r="C489" s="1" t="n">
        <v>46073</v>
      </c>
      <c r="D489" t="inlineStr">
        <is>
          <t>UPPSALA LÄN</t>
        </is>
      </c>
      <c r="E489" t="inlineStr">
        <is>
          <t>ENKÖPING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53595-2023</t>
        </is>
      </c>
      <c r="B490" s="1" t="n">
        <v>45223</v>
      </c>
      <c r="C490" s="1" t="n">
        <v>46073</v>
      </c>
      <c r="D490" t="inlineStr">
        <is>
          <t>UPPSALA LÄN</t>
        </is>
      </c>
      <c r="E490" t="inlineStr">
        <is>
          <t>ENKÖPING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60533-2021</t>
        </is>
      </c>
      <c r="B491" s="1" t="n">
        <v>44496</v>
      </c>
      <c r="C491" s="1" t="n">
        <v>46073</v>
      </c>
      <c r="D491" t="inlineStr">
        <is>
          <t>UPPSALA LÄN</t>
        </is>
      </c>
      <c r="E491" t="inlineStr">
        <is>
          <t>ENKÖPING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15757-2023</t>
        </is>
      </c>
      <c r="B492" s="1" t="n">
        <v>45021</v>
      </c>
      <c r="C492" s="1" t="n">
        <v>46073</v>
      </c>
      <c r="D492" t="inlineStr">
        <is>
          <t>UPPSALA LÄN</t>
        </is>
      </c>
      <c r="E492" t="inlineStr">
        <is>
          <t>ENKÖPING</t>
        </is>
      </c>
      <c r="G492" t="n">
        <v>3</v>
      </c>
      <c r="H492" t="n">
        <v>0</v>
      </c>
      <c r="I492" t="n">
        <v>0</v>
      </c>
      <c r="J492" t="n">
        <v>0</v>
      </c>
      <c r="K492" t="n">
        <v>0</v>
      </c>
      <c r="L492" t="n">
        <v>0</v>
      </c>
      <c r="M492" t="n">
        <v>0</v>
      </c>
      <c r="N492" t="n">
        <v>0</v>
      </c>
      <c r="O492" t="n">
        <v>0</v>
      </c>
      <c r="P492" t="n">
        <v>0</v>
      </c>
      <c r="Q492" t="n">
        <v>0</v>
      </c>
      <c r="R492" s="2" t="inlineStr"/>
    </row>
    <row r="493" ht="15" customHeight="1">
      <c r="A493" t="inlineStr">
        <is>
          <t>A 43230-2023</t>
        </is>
      </c>
      <c r="B493" s="1" t="n">
        <v>45183</v>
      </c>
      <c r="C493" s="1" t="n">
        <v>46073</v>
      </c>
      <c r="D493" t="inlineStr">
        <is>
          <t>UPPSALA LÄN</t>
        </is>
      </c>
      <c r="E493" t="inlineStr">
        <is>
          <t>ENKÖPING</t>
        </is>
      </c>
      <c r="G493" t="n">
        <v>2.1</v>
      </c>
      <c r="H493" t="n">
        <v>0</v>
      </c>
      <c r="I493" t="n">
        <v>0</v>
      </c>
      <c r="J493" t="n">
        <v>0</v>
      </c>
      <c r="K493" t="n">
        <v>0</v>
      </c>
      <c r="L493" t="n">
        <v>0</v>
      </c>
      <c r="M493" t="n">
        <v>0</v>
      </c>
      <c r="N493" t="n">
        <v>0</v>
      </c>
      <c r="O493" t="n">
        <v>0</v>
      </c>
      <c r="P493" t="n">
        <v>0</v>
      </c>
      <c r="Q493" t="n">
        <v>0</v>
      </c>
      <c r="R493" s="2" t="inlineStr"/>
    </row>
    <row r="494" ht="15" customHeight="1">
      <c r="A494" t="inlineStr">
        <is>
          <t>A 56886-2023</t>
        </is>
      </c>
      <c r="B494" s="1" t="n">
        <v>45239</v>
      </c>
      <c r="C494" s="1" t="n">
        <v>46073</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51011-2024</t>
        </is>
      </c>
      <c r="B495" s="1" t="n">
        <v>45603.39427083333</v>
      </c>
      <c r="C495" s="1" t="n">
        <v>46073</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12102-2024</t>
        </is>
      </c>
      <c r="B496" s="1" t="n">
        <v>45377</v>
      </c>
      <c r="C496" s="1" t="n">
        <v>46073</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58961-2024</t>
        </is>
      </c>
      <c r="B497" s="1" t="n">
        <v>45636.585</v>
      </c>
      <c r="C497" s="1" t="n">
        <v>46073</v>
      </c>
      <c r="D497" t="inlineStr">
        <is>
          <t>UPPSALA LÄN</t>
        </is>
      </c>
      <c r="E497" t="inlineStr">
        <is>
          <t>ENKÖPING</t>
        </is>
      </c>
      <c r="G497" t="n">
        <v>4</v>
      </c>
      <c r="H497" t="n">
        <v>0</v>
      </c>
      <c r="I497" t="n">
        <v>0</v>
      </c>
      <c r="J497" t="n">
        <v>0</v>
      </c>
      <c r="K497" t="n">
        <v>0</v>
      </c>
      <c r="L497" t="n">
        <v>0</v>
      </c>
      <c r="M497" t="n">
        <v>0</v>
      </c>
      <c r="N497" t="n">
        <v>0</v>
      </c>
      <c r="O497" t="n">
        <v>0</v>
      </c>
      <c r="P497" t="n">
        <v>0</v>
      </c>
      <c r="Q497" t="n">
        <v>0</v>
      </c>
      <c r="R497" s="2" t="inlineStr"/>
    </row>
    <row r="498" ht="15" customHeight="1">
      <c r="A498" t="inlineStr">
        <is>
          <t>A 45283-2022</t>
        </is>
      </c>
      <c r="B498" s="1" t="n">
        <v>44844</v>
      </c>
      <c r="C498" s="1" t="n">
        <v>46073</v>
      </c>
      <c r="D498" t="inlineStr">
        <is>
          <t>UPPSALA LÄN</t>
        </is>
      </c>
      <c r="E498" t="inlineStr">
        <is>
          <t>ENKÖPING</t>
        </is>
      </c>
      <c r="G498" t="n">
        <v>5.9</v>
      </c>
      <c r="H498" t="n">
        <v>0</v>
      </c>
      <c r="I498" t="n">
        <v>0</v>
      </c>
      <c r="J498" t="n">
        <v>0</v>
      </c>
      <c r="K498" t="n">
        <v>0</v>
      </c>
      <c r="L498" t="n">
        <v>0</v>
      </c>
      <c r="M498" t="n">
        <v>0</v>
      </c>
      <c r="N498" t="n">
        <v>0</v>
      </c>
      <c r="O498" t="n">
        <v>0</v>
      </c>
      <c r="P498" t="n">
        <v>0</v>
      </c>
      <c r="Q498" t="n">
        <v>0</v>
      </c>
      <c r="R498" s="2" t="inlineStr"/>
    </row>
    <row r="499" ht="15" customHeight="1">
      <c r="A499" t="inlineStr">
        <is>
          <t>A 845-2025</t>
        </is>
      </c>
      <c r="B499" s="1" t="n">
        <v>45665</v>
      </c>
      <c r="C499" s="1" t="n">
        <v>46073</v>
      </c>
      <c r="D499" t="inlineStr">
        <is>
          <t>UPPSALA LÄN</t>
        </is>
      </c>
      <c r="E499" t="inlineStr">
        <is>
          <t>ENKÖPING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849-2025</t>
        </is>
      </c>
      <c r="B500" s="1" t="n">
        <v>45665</v>
      </c>
      <c r="C500" s="1" t="n">
        <v>46073</v>
      </c>
      <c r="D500" t="inlineStr">
        <is>
          <t>UPPSALA LÄN</t>
        </is>
      </c>
      <c r="E500" t="inlineStr">
        <is>
          <t>ENKÖPING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58147-2024</t>
        </is>
      </c>
      <c r="B501" s="1" t="n">
        <v>45632.4334375</v>
      </c>
      <c r="C501" s="1" t="n">
        <v>46073</v>
      </c>
      <c r="D501" t="inlineStr">
        <is>
          <t>UPPSALA LÄN</t>
        </is>
      </c>
      <c r="E501" t="inlineStr">
        <is>
          <t>ENKÖPING</t>
        </is>
      </c>
      <c r="G501" t="n">
        <v>3</v>
      </c>
      <c r="H501" t="n">
        <v>0</v>
      </c>
      <c r="I501" t="n">
        <v>0</v>
      </c>
      <c r="J501" t="n">
        <v>0</v>
      </c>
      <c r="K501" t="n">
        <v>0</v>
      </c>
      <c r="L501" t="n">
        <v>0</v>
      </c>
      <c r="M501" t="n">
        <v>0</v>
      </c>
      <c r="N501" t="n">
        <v>0</v>
      </c>
      <c r="O501" t="n">
        <v>0</v>
      </c>
      <c r="P501" t="n">
        <v>0</v>
      </c>
      <c r="Q501" t="n">
        <v>0</v>
      </c>
      <c r="R501" s="2" t="inlineStr"/>
    </row>
    <row r="502" ht="15" customHeight="1">
      <c r="A502" t="inlineStr">
        <is>
          <t>A 18302-2025</t>
        </is>
      </c>
      <c r="B502" s="1" t="n">
        <v>45762</v>
      </c>
      <c r="C502" s="1" t="n">
        <v>46073</v>
      </c>
      <c r="D502" t="inlineStr">
        <is>
          <t>UPPSALA LÄN</t>
        </is>
      </c>
      <c r="E502" t="inlineStr">
        <is>
          <t>ENKÖPING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34735-2023</t>
        </is>
      </c>
      <c r="B503" s="1" t="n">
        <v>45139</v>
      </c>
      <c r="C503" s="1" t="n">
        <v>46073</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30514-2021</t>
        </is>
      </c>
      <c r="B504" s="1" t="n">
        <v>44364</v>
      </c>
      <c r="C504" s="1" t="n">
        <v>46073</v>
      </c>
      <c r="D504" t="inlineStr">
        <is>
          <t>UPPSALA LÄN</t>
        </is>
      </c>
      <c r="E504" t="inlineStr">
        <is>
          <t>ENKÖPING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57209-2024</t>
        </is>
      </c>
      <c r="B505" s="1" t="n">
        <v>45629.49311342592</v>
      </c>
      <c r="C505" s="1" t="n">
        <v>46073</v>
      </c>
      <c r="D505" t="inlineStr">
        <is>
          <t>UPPSALA LÄN</t>
        </is>
      </c>
      <c r="E505" t="inlineStr">
        <is>
          <t>ENKÖPING</t>
        </is>
      </c>
      <c r="G505" t="n">
        <v>3.2</v>
      </c>
      <c r="H505" t="n">
        <v>0</v>
      </c>
      <c r="I505" t="n">
        <v>0</v>
      </c>
      <c r="J505" t="n">
        <v>0</v>
      </c>
      <c r="K505" t="n">
        <v>0</v>
      </c>
      <c r="L505" t="n">
        <v>0</v>
      </c>
      <c r="M505" t="n">
        <v>0</v>
      </c>
      <c r="N505" t="n">
        <v>0</v>
      </c>
      <c r="O505" t="n">
        <v>0</v>
      </c>
      <c r="P505" t="n">
        <v>0</v>
      </c>
      <c r="Q505" t="n">
        <v>0</v>
      </c>
      <c r="R505" s="2" t="inlineStr"/>
    </row>
    <row r="506" ht="15" customHeight="1">
      <c r="A506" t="inlineStr">
        <is>
          <t>A 13110-2023</t>
        </is>
      </c>
      <c r="B506" s="1" t="n">
        <v>45001</v>
      </c>
      <c r="C506" s="1" t="n">
        <v>46073</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49627-2024</t>
        </is>
      </c>
      <c r="B507" s="1" t="n">
        <v>45596.59140046296</v>
      </c>
      <c r="C507" s="1" t="n">
        <v>46073</v>
      </c>
      <c r="D507" t="inlineStr">
        <is>
          <t>UPPSALA LÄN</t>
        </is>
      </c>
      <c r="E507" t="inlineStr">
        <is>
          <t>ENKÖPING</t>
        </is>
      </c>
      <c r="G507" t="n">
        <v>0.4</v>
      </c>
      <c r="H507" t="n">
        <v>0</v>
      </c>
      <c r="I507" t="n">
        <v>0</v>
      </c>
      <c r="J507" t="n">
        <v>0</v>
      </c>
      <c r="K507" t="n">
        <v>0</v>
      </c>
      <c r="L507" t="n">
        <v>0</v>
      </c>
      <c r="M507" t="n">
        <v>0</v>
      </c>
      <c r="N507" t="n">
        <v>0</v>
      </c>
      <c r="O507" t="n">
        <v>0</v>
      </c>
      <c r="P507" t="n">
        <v>0</v>
      </c>
      <c r="Q507" t="n">
        <v>0</v>
      </c>
      <c r="R507" s="2" t="inlineStr"/>
    </row>
    <row r="508" ht="15" customHeight="1">
      <c r="A508" t="inlineStr">
        <is>
          <t>A 9231-2023</t>
        </is>
      </c>
      <c r="B508" s="1" t="n">
        <v>44980</v>
      </c>
      <c r="C508" s="1" t="n">
        <v>46073</v>
      </c>
      <c r="D508" t="inlineStr">
        <is>
          <t>UPPSALA LÄN</t>
        </is>
      </c>
      <c r="E508" t="inlineStr">
        <is>
          <t>ENKÖPING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27538-2023</t>
        </is>
      </c>
      <c r="B509" s="1" t="n">
        <v>45097</v>
      </c>
      <c r="C509" s="1" t="n">
        <v>46073</v>
      </c>
      <c r="D509" t="inlineStr">
        <is>
          <t>UPPSALA LÄN</t>
        </is>
      </c>
      <c r="E509" t="inlineStr">
        <is>
          <t>ENKÖPING</t>
        </is>
      </c>
      <c r="G509" t="n">
        <v>5.8</v>
      </c>
      <c r="H509" t="n">
        <v>0</v>
      </c>
      <c r="I509" t="n">
        <v>0</v>
      </c>
      <c r="J509" t="n">
        <v>0</v>
      </c>
      <c r="K509" t="n">
        <v>0</v>
      </c>
      <c r="L509" t="n">
        <v>0</v>
      </c>
      <c r="M509" t="n">
        <v>0</v>
      </c>
      <c r="N509" t="n">
        <v>0</v>
      </c>
      <c r="O509" t="n">
        <v>0</v>
      </c>
      <c r="P509" t="n">
        <v>0</v>
      </c>
      <c r="Q509" t="n">
        <v>0</v>
      </c>
      <c r="R509" s="2" t="inlineStr"/>
    </row>
    <row r="510" ht="15" customHeight="1">
      <c r="A510" t="inlineStr">
        <is>
          <t>A 18821-2023</t>
        </is>
      </c>
      <c r="B510" s="1" t="n">
        <v>45044.3782175926</v>
      </c>
      <c r="C510" s="1" t="n">
        <v>46073</v>
      </c>
      <c r="D510" t="inlineStr">
        <is>
          <t>UPPSALA LÄN</t>
        </is>
      </c>
      <c r="E510" t="inlineStr">
        <is>
          <t>ENKÖPING</t>
        </is>
      </c>
      <c r="G510" t="n">
        <v>6</v>
      </c>
      <c r="H510" t="n">
        <v>0</v>
      </c>
      <c r="I510" t="n">
        <v>0</v>
      </c>
      <c r="J510" t="n">
        <v>0</v>
      </c>
      <c r="K510" t="n">
        <v>0</v>
      </c>
      <c r="L510" t="n">
        <v>0</v>
      </c>
      <c r="M510" t="n">
        <v>0</v>
      </c>
      <c r="N510" t="n">
        <v>0</v>
      </c>
      <c r="O510" t="n">
        <v>0</v>
      </c>
      <c r="P510" t="n">
        <v>0</v>
      </c>
      <c r="Q510" t="n">
        <v>0</v>
      </c>
      <c r="R510" s="2" t="inlineStr"/>
    </row>
    <row r="511" ht="15" customHeight="1">
      <c r="A511" t="inlineStr">
        <is>
          <t>A 52380-2024</t>
        </is>
      </c>
      <c r="B511" s="1" t="n">
        <v>45609</v>
      </c>
      <c r="C511" s="1" t="n">
        <v>46073</v>
      </c>
      <c r="D511" t="inlineStr">
        <is>
          <t>UPPSALA LÄN</t>
        </is>
      </c>
      <c r="E511" t="inlineStr">
        <is>
          <t>ENKÖPING</t>
        </is>
      </c>
      <c r="G511" t="n">
        <v>1.8</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46073</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27786-2023</t>
        </is>
      </c>
      <c r="B513" s="1" t="n">
        <v>45098</v>
      </c>
      <c r="C513" s="1" t="n">
        <v>46073</v>
      </c>
      <c r="D513" t="inlineStr">
        <is>
          <t>UPPSALA LÄN</t>
        </is>
      </c>
      <c r="E513" t="inlineStr">
        <is>
          <t>ENKÖPING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15942-2022</t>
        </is>
      </c>
      <c r="B514" s="1" t="n">
        <v>44664</v>
      </c>
      <c r="C514" s="1" t="n">
        <v>46073</v>
      </c>
      <c r="D514" t="inlineStr">
        <is>
          <t>UPPSALA LÄN</t>
        </is>
      </c>
      <c r="E514" t="inlineStr">
        <is>
          <t>ENKÖPING</t>
        </is>
      </c>
      <c r="G514" t="n">
        <v>6.6</v>
      </c>
      <c r="H514" t="n">
        <v>0</v>
      </c>
      <c r="I514" t="n">
        <v>0</v>
      </c>
      <c r="J514" t="n">
        <v>0</v>
      </c>
      <c r="K514" t="n">
        <v>0</v>
      </c>
      <c r="L514" t="n">
        <v>0</v>
      </c>
      <c r="M514" t="n">
        <v>0</v>
      </c>
      <c r="N514" t="n">
        <v>0</v>
      </c>
      <c r="O514" t="n">
        <v>0</v>
      </c>
      <c r="P514" t="n">
        <v>0</v>
      </c>
      <c r="Q514" t="n">
        <v>0</v>
      </c>
      <c r="R514" s="2" t="inlineStr"/>
    </row>
    <row r="515" ht="15" customHeight="1">
      <c r="A515" t="inlineStr">
        <is>
          <t>A 50006-2023</t>
        </is>
      </c>
      <c r="B515" s="1" t="n">
        <v>45215</v>
      </c>
      <c r="C515" s="1" t="n">
        <v>46073</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53607-2023</t>
        </is>
      </c>
      <c r="B516" s="1" t="n">
        <v>45230</v>
      </c>
      <c r="C516" s="1" t="n">
        <v>46073</v>
      </c>
      <c r="D516" t="inlineStr">
        <is>
          <t>UPPSALA LÄN</t>
        </is>
      </c>
      <c r="E516" t="inlineStr">
        <is>
          <t>ENKÖPING</t>
        </is>
      </c>
      <c r="F516" t="inlineStr">
        <is>
          <t>Allmännings- och besparingsskogar</t>
        </is>
      </c>
      <c r="G516" t="n">
        <v>6.3</v>
      </c>
      <c r="H516" t="n">
        <v>0</v>
      </c>
      <c r="I516" t="n">
        <v>0</v>
      </c>
      <c r="J516" t="n">
        <v>0</v>
      </c>
      <c r="K516" t="n">
        <v>0</v>
      </c>
      <c r="L516" t="n">
        <v>0</v>
      </c>
      <c r="M516" t="n">
        <v>0</v>
      </c>
      <c r="N516" t="n">
        <v>0</v>
      </c>
      <c r="O516" t="n">
        <v>0</v>
      </c>
      <c r="P516" t="n">
        <v>0</v>
      </c>
      <c r="Q516" t="n">
        <v>0</v>
      </c>
      <c r="R516" s="2" t="inlineStr"/>
    </row>
    <row r="517" ht="15" customHeight="1">
      <c r="A517" t="inlineStr">
        <is>
          <t>A 59497-2022</t>
        </is>
      </c>
      <c r="B517" s="1" t="n">
        <v>44907.48258101852</v>
      </c>
      <c r="C517" s="1" t="n">
        <v>46073</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49614-2024</t>
        </is>
      </c>
      <c r="B518" s="1" t="n">
        <v>45596.57716435185</v>
      </c>
      <c r="C518" s="1" t="n">
        <v>46073</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49632-2024</t>
        </is>
      </c>
      <c r="B519" s="1" t="n">
        <v>45596</v>
      </c>
      <c r="C519" s="1" t="n">
        <v>46073</v>
      </c>
      <c r="D519" t="inlineStr">
        <is>
          <t>UPPSALA LÄN</t>
        </is>
      </c>
      <c r="E519" t="inlineStr">
        <is>
          <t>ENKÖPING</t>
        </is>
      </c>
      <c r="G519" t="n">
        <v>1.8</v>
      </c>
      <c r="H519" t="n">
        <v>0</v>
      </c>
      <c r="I519" t="n">
        <v>0</v>
      </c>
      <c r="J519" t="n">
        <v>0</v>
      </c>
      <c r="K519" t="n">
        <v>0</v>
      </c>
      <c r="L519" t="n">
        <v>0</v>
      </c>
      <c r="M519" t="n">
        <v>0</v>
      </c>
      <c r="N519" t="n">
        <v>0</v>
      </c>
      <c r="O519" t="n">
        <v>0</v>
      </c>
      <c r="P519" t="n">
        <v>0</v>
      </c>
      <c r="Q519" t="n">
        <v>0</v>
      </c>
      <c r="R519" s="2" t="inlineStr"/>
    </row>
    <row r="520" ht="15" customHeight="1">
      <c r="A520" t="inlineStr">
        <is>
          <t>A 51030-2024</t>
        </is>
      </c>
      <c r="B520" s="1" t="n">
        <v>45603</v>
      </c>
      <c r="C520" s="1" t="n">
        <v>46073</v>
      </c>
      <c r="D520" t="inlineStr">
        <is>
          <t>UPPSALA LÄN</t>
        </is>
      </c>
      <c r="E520" t="inlineStr">
        <is>
          <t>ENKÖPING</t>
        </is>
      </c>
      <c r="G520" t="n">
        <v>2</v>
      </c>
      <c r="H520" t="n">
        <v>0</v>
      </c>
      <c r="I520" t="n">
        <v>0</v>
      </c>
      <c r="J520" t="n">
        <v>0</v>
      </c>
      <c r="K520" t="n">
        <v>0</v>
      </c>
      <c r="L520" t="n">
        <v>0</v>
      </c>
      <c r="M520" t="n">
        <v>0</v>
      </c>
      <c r="N520" t="n">
        <v>0</v>
      </c>
      <c r="O520" t="n">
        <v>0</v>
      </c>
      <c r="P520" t="n">
        <v>0</v>
      </c>
      <c r="Q520" t="n">
        <v>0</v>
      </c>
      <c r="R520" s="2" t="inlineStr"/>
    </row>
    <row r="521">
      <c r="A521" t="inlineStr">
        <is>
          <t>A 15405-2025</t>
        </is>
      </c>
      <c r="B521" s="1" t="n">
        <v>45747.44670138889</v>
      </c>
      <c r="C521" s="1" t="n">
        <v>46073</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2026-02-20T11:01:06Z</dcterms:created>
  <dcterms:modified xmlns:dcterms="http://purl.org/dc/terms/" xmlns:xsi="http://www.w3.org/2001/XMLSchema-instance" xsi:type="dcterms:W3CDTF">2026-02-20T11:01:06Z</dcterms:modified>
</cp:coreProperties>
</file>