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46159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46159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46159</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46159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46159</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46159</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46159</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46159</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46159</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46159</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46159</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46159</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46159</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46159</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46159</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46159</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46159</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46159</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46159</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46159</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46159</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29510-2025</t>
        </is>
      </c>
      <c r="B23" s="1" t="n">
        <v>45825</v>
      </c>
      <c r="C23" s="1" t="n">
        <v>46159</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4166-2026</t>
        </is>
      </c>
      <c r="B24" s="1" t="n">
        <v>46044.66402777778</v>
      </c>
      <c r="C24" s="1" t="n">
        <v>46159</v>
      </c>
      <c r="D24" t="inlineStr">
        <is>
          <t>UPPSALA LÄN</t>
        </is>
      </c>
      <c r="E24" t="inlineStr">
        <is>
          <t>ENKÖPING</t>
        </is>
      </c>
      <c r="G24" t="n">
        <v>1.7</v>
      </c>
      <c r="H24" t="n">
        <v>1</v>
      </c>
      <c r="I24" t="n">
        <v>0</v>
      </c>
      <c r="J24" t="n">
        <v>1</v>
      </c>
      <c r="K24" t="n">
        <v>0</v>
      </c>
      <c r="L24" t="n">
        <v>0</v>
      </c>
      <c r="M24" t="n">
        <v>0</v>
      </c>
      <c r="N24" t="n">
        <v>0</v>
      </c>
      <c r="O24" t="n">
        <v>1</v>
      </c>
      <c r="P24" t="n">
        <v>0</v>
      </c>
      <c r="Q24" t="n">
        <v>1</v>
      </c>
      <c r="R24" s="2" t="inlineStr">
        <is>
          <t>Gulsparv</t>
        </is>
      </c>
      <c r="S24">
        <f>HYPERLINK("https://klasma.github.io/Logging_0381/artfynd/A 4166-2026 artfynd.xlsx", "A 4166-2026")</f>
        <v/>
      </c>
      <c r="T24">
        <f>HYPERLINK("https://klasma.github.io/Logging_0381/kartor/A 4166-2026 karta.png", "A 4166-2026")</f>
        <v/>
      </c>
      <c r="V24">
        <f>HYPERLINK("https://klasma.github.io/Logging_0381/klagomål/A 4166-2026 FSC-klagomål.docx", "A 4166-2026")</f>
        <v/>
      </c>
      <c r="W24">
        <f>HYPERLINK("https://klasma.github.io/Logging_0381/klagomålsmail/A 4166-2026 FSC-klagomål mail.docx", "A 4166-2026")</f>
        <v/>
      </c>
      <c r="X24">
        <f>HYPERLINK("https://klasma.github.io/Logging_0381/tillsyn/A 4166-2026 tillsynsbegäran.docx", "A 4166-2026")</f>
        <v/>
      </c>
      <c r="Y24">
        <f>HYPERLINK("https://klasma.github.io/Logging_0381/tillsynsmail/A 4166-2026 tillsynsbegäran mail.docx", "A 4166-2026")</f>
        <v/>
      </c>
      <c r="Z24">
        <f>HYPERLINK("https://klasma.github.io/Logging_0381/fåglar/A 4166-2026 prioriterade fågelarter.docx", "A 4166-2026")</f>
        <v/>
      </c>
    </row>
    <row r="25" ht="15" customHeight="1">
      <c r="A25" t="inlineStr">
        <is>
          <t>A 23961-2022</t>
        </is>
      </c>
      <c r="B25" s="1" t="n">
        <v>44722</v>
      </c>
      <c r="C25" s="1" t="n">
        <v>46159</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46159</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46159</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46159</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46159</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46159</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46159</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46159</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46159</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46159</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46159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46159</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46159</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46159</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46159</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46159</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46159</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46159</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17704-2022</t>
        </is>
      </c>
      <c r="B43" s="1" t="n">
        <v>44680.61315972222</v>
      </c>
      <c r="C43" s="1" t="n">
        <v>46159</v>
      </c>
      <c r="D43" t="inlineStr">
        <is>
          <t>UPPSALA LÄN</t>
        </is>
      </c>
      <c r="E43" t="inlineStr">
        <is>
          <t>ENKÖPING</t>
        </is>
      </c>
      <c r="G43" t="n">
        <v>0.8</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46159</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46159</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46159</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46159</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39922-2022</t>
        </is>
      </c>
      <c r="B48" s="1" t="n">
        <v>44819</v>
      </c>
      <c r="C48" s="1" t="n">
        <v>46159</v>
      </c>
      <c r="D48" t="inlineStr">
        <is>
          <t>UPPSALA LÄN</t>
        </is>
      </c>
      <c r="E48" t="inlineStr">
        <is>
          <t>ENKÖPING</t>
        </is>
      </c>
      <c r="G48" t="n">
        <v>1.7</v>
      </c>
      <c r="H48" t="n">
        <v>0</v>
      </c>
      <c r="I48" t="n">
        <v>0</v>
      </c>
      <c r="J48" t="n">
        <v>0</v>
      </c>
      <c r="K48" t="n">
        <v>0</v>
      </c>
      <c r="L48" t="n">
        <v>0</v>
      </c>
      <c r="M48" t="n">
        <v>0</v>
      </c>
      <c r="N48" t="n">
        <v>0</v>
      </c>
      <c r="O48" t="n">
        <v>0</v>
      </c>
      <c r="P48" t="n">
        <v>0</v>
      </c>
      <c r="Q48" t="n">
        <v>0</v>
      </c>
      <c r="R48" s="2" t="inlineStr"/>
    </row>
    <row r="49" ht="15" customHeight="1">
      <c r="A49" t="inlineStr">
        <is>
          <t>A 41736-2022</t>
        </is>
      </c>
      <c r="B49" s="1" t="n">
        <v>44827</v>
      </c>
      <c r="C49" s="1" t="n">
        <v>46159</v>
      </c>
      <c r="D49" t="inlineStr">
        <is>
          <t>UPPSALA LÄN</t>
        </is>
      </c>
      <c r="E49" t="inlineStr">
        <is>
          <t>ENKÖPING</t>
        </is>
      </c>
      <c r="G49" t="n">
        <v>0.9</v>
      </c>
      <c r="H49" t="n">
        <v>0</v>
      </c>
      <c r="I49" t="n">
        <v>0</v>
      </c>
      <c r="J49" t="n">
        <v>0</v>
      </c>
      <c r="K49" t="n">
        <v>0</v>
      </c>
      <c r="L49" t="n">
        <v>0</v>
      </c>
      <c r="M49" t="n">
        <v>0</v>
      </c>
      <c r="N49" t="n">
        <v>0</v>
      </c>
      <c r="O49" t="n">
        <v>0</v>
      </c>
      <c r="P49" t="n">
        <v>0</v>
      </c>
      <c r="Q49" t="n">
        <v>0</v>
      </c>
      <c r="R49" s="2" t="inlineStr"/>
    </row>
    <row r="50" ht="15" customHeight="1">
      <c r="A50" t="inlineStr">
        <is>
          <t>A 3861-2022</t>
        </is>
      </c>
      <c r="B50" s="1" t="n">
        <v>44587</v>
      </c>
      <c r="C50" s="1" t="n">
        <v>46159</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16967-2022</t>
        </is>
      </c>
      <c r="B51" s="1" t="n">
        <v>44676</v>
      </c>
      <c r="C51" s="1" t="n">
        <v>46159</v>
      </c>
      <c r="D51" t="inlineStr">
        <is>
          <t>UPPSALA LÄN</t>
        </is>
      </c>
      <c r="E51" t="inlineStr">
        <is>
          <t>ENKÖPING</t>
        </is>
      </c>
      <c r="G51" t="n">
        <v>0.6</v>
      </c>
      <c r="H51" t="n">
        <v>0</v>
      </c>
      <c r="I51" t="n">
        <v>0</v>
      </c>
      <c r="J51" t="n">
        <v>0</v>
      </c>
      <c r="K51" t="n">
        <v>0</v>
      </c>
      <c r="L51" t="n">
        <v>0</v>
      </c>
      <c r="M51" t="n">
        <v>0</v>
      </c>
      <c r="N51" t="n">
        <v>0</v>
      </c>
      <c r="O51" t="n">
        <v>0</v>
      </c>
      <c r="P51" t="n">
        <v>0</v>
      </c>
      <c r="Q51" t="n">
        <v>0</v>
      </c>
      <c r="R51" s="2" t="inlineStr"/>
    </row>
    <row r="52" ht="15" customHeight="1">
      <c r="A52" t="inlineStr">
        <is>
          <t>A 498-2022</t>
        </is>
      </c>
      <c r="B52" s="1" t="n">
        <v>44566</v>
      </c>
      <c r="C52" s="1" t="n">
        <v>46159</v>
      </c>
      <c r="D52" t="inlineStr">
        <is>
          <t>UPPSALA LÄN</t>
        </is>
      </c>
      <c r="E52" t="inlineStr">
        <is>
          <t>ENKÖPING</t>
        </is>
      </c>
      <c r="F52" t="inlineStr">
        <is>
          <t>Övriga statliga verk och myndigheter</t>
        </is>
      </c>
      <c r="G52" t="n">
        <v>11.1</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46159</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48230-2022</t>
        </is>
      </c>
      <c r="B54" s="1" t="n">
        <v>44858.45100694444</v>
      </c>
      <c r="C54" s="1" t="n">
        <v>46159</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14531-2022</t>
        </is>
      </c>
      <c r="B55" s="1" t="n">
        <v>44655</v>
      </c>
      <c r="C55" s="1" t="n">
        <v>46159</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46159</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46159</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46159</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46159</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46159</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46159</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29435-2022</t>
        </is>
      </c>
      <c r="B62" s="1" t="n">
        <v>44753.49215277778</v>
      </c>
      <c r="C62" s="1" t="n">
        <v>46159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52014-2021</t>
        </is>
      </c>
      <c r="B63" s="1" t="n">
        <v>44463.3425462963</v>
      </c>
      <c r="C63" s="1" t="n">
        <v>46159</v>
      </c>
      <c r="D63" t="inlineStr">
        <is>
          <t>UPPSALA LÄN</t>
        </is>
      </c>
      <c r="E63" t="inlineStr">
        <is>
          <t>ENKÖPING</t>
        </is>
      </c>
      <c r="G63" t="n">
        <v>5.8</v>
      </c>
      <c r="H63" t="n">
        <v>0</v>
      </c>
      <c r="I63" t="n">
        <v>0</v>
      </c>
      <c r="J63" t="n">
        <v>0</v>
      </c>
      <c r="K63" t="n">
        <v>0</v>
      </c>
      <c r="L63" t="n">
        <v>0</v>
      </c>
      <c r="M63" t="n">
        <v>0</v>
      </c>
      <c r="N63" t="n">
        <v>0</v>
      </c>
      <c r="O63" t="n">
        <v>0</v>
      </c>
      <c r="P63" t="n">
        <v>0</v>
      </c>
      <c r="Q63" t="n">
        <v>0</v>
      </c>
      <c r="R63" s="2" t="inlineStr"/>
    </row>
    <row r="64" ht="15" customHeight="1">
      <c r="A64" t="inlineStr">
        <is>
          <t>A 37410-2022</t>
        </is>
      </c>
      <c r="B64" s="1" t="n">
        <v>44809</v>
      </c>
      <c r="C64" s="1" t="n">
        <v>46159</v>
      </c>
      <c r="D64" t="inlineStr">
        <is>
          <t>UPPSALA LÄN</t>
        </is>
      </c>
      <c r="E64" t="inlineStr">
        <is>
          <t>ENKÖPING</t>
        </is>
      </c>
      <c r="G64" t="n">
        <v>3.6</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46159</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46159</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28795-2021</t>
        </is>
      </c>
      <c r="B67" s="1" t="n">
        <v>44357</v>
      </c>
      <c r="C67" s="1" t="n">
        <v>46159</v>
      </c>
      <c r="D67" t="inlineStr">
        <is>
          <t>UPPSALA LÄN</t>
        </is>
      </c>
      <c r="E67" t="inlineStr">
        <is>
          <t>ENKÖPING</t>
        </is>
      </c>
      <c r="F67" t="inlineStr">
        <is>
          <t>Allmännings- och besparingsskogar</t>
        </is>
      </c>
      <c r="G67" t="n">
        <v>2.8</v>
      </c>
      <c r="H67" t="n">
        <v>0</v>
      </c>
      <c r="I67" t="n">
        <v>0</v>
      </c>
      <c r="J67" t="n">
        <v>0</v>
      </c>
      <c r="K67" t="n">
        <v>0</v>
      </c>
      <c r="L67" t="n">
        <v>0</v>
      </c>
      <c r="M67" t="n">
        <v>0</v>
      </c>
      <c r="N67" t="n">
        <v>0</v>
      </c>
      <c r="O67" t="n">
        <v>0</v>
      </c>
      <c r="P67" t="n">
        <v>0</v>
      </c>
      <c r="Q67" t="n">
        <v>0</v>
      </c>
      <c r="R67" s="2" t="inlineStr"/>
    </row>
    <row r="68" ht="15" customHeight="1">
      <c r="A68" t="inlineStr">
        <is>
          <t>A 68107-2021</t>
        </is>
      </c>
      <c r="B68" s="1" t="n">
        <v>44526</v>
      </c>
      <c r="C68" s="1" t="n">
        <v>46159</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46159</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46159</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57055-2021</t>
        </is>
      </c>
      <c r="B71" s="1" t="n">
        <v>44482.55201388889</v>
      </c>
      <c r="C71" s="1" t="n">
        <v>46159</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46159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15021-2022</t>
        </is>
      </c>
      <c r="B73" s="1" t="n">
        <v>44657</v>
      </c>
      <c r="C73" s="1" t="n">
        <v>46159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31013-2022</t>
        </is>
      </c>
      <c r="B74" s="1" t="n">
        <v>44768</v>
      </c>
      <c r="C74" s="1" t="n">
        <v>46159</v>
      </c>
      <c r="D74" t="inlineStr">
        <is>
          <t>UPPSALA LÄN</t>
        </is>
      </c>
      <c r="E74" t="inlineStr">
        <is>
          <t>ENKÖPING</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42029-2021</t>
        </is>
      </c>
      <c r="B75" s="1" t="n">
        <v>44426</v>
      </c>
      <c r="C75" s="1" t="n">
        <v>46159</v>
      </c>
      <c r="D75" t="inlineStr">
        <is>
          <t>UPPSALA LÄN</t>
        </is>
      </c>
      <c r="E75" t="inlineStr">
        <is>
          <t>ENKÖPING</t>
        </is>
      </c>
      <c r="G75" t="n">
        <v>5.3</v>
      </c>
      <c r="H75" t="n">
        <v>0</v>
      </c>
      <c r="I75" t="n">
        <v>0</v>
      </c>
      <c r="J75" t="n">
        <v>0</v>
      </c>
      <c r="K75" t="n">
        <v>0</v>
      </c>
      <c r="L75" t="n">
        <v>0</v>
      </c>
      <c r="M75" t="n">
        <v>0</v>
      </c>
      <c r="N75" t="n">
        <v>0</v>
      </c>
      <c r="O75" t="n">
        <v>0</v>
      </c>
      <c r="P75" t="n">
        <v>0</v>
      </c>
      <c r="Q75" t="n">
        <v>0</v>
      </c>
      <c r="R75" s="2" t="inlineStr"/>
    </row>
    <row r="76" ht="15" customHeight="1">
      <c r="A76" t="inlineStr">
        <is>
          <t>A 1971-2022</t>
        </is>
      </c>
      <c r="B76" s="1" t="n">
        <v>44575</v>
      </c>
      <c r="C76" s="1" t="n">
        <v>46159</v>
      </c>
      <c r="D76" t="inlineStr">
        <is>
          <t>UPPSALA LÄN</t>
        </is>
      </c>
      <c r="E76" t="inlineStr">
        <is>
          <t>ENKÖPING</t>
        </is>
      </c>
      <c r="G76" t="n">
        <v>1.4</v>
      </c>
      <c r="H76" t="n">
        <v>0</v>
      </c>
      <c r="I76" t="n">
        <v>0</v>
      </c>
      <c r="J76" t="n">
        <v>0</v>
      </c>
      <c r="K76" t="n">
        <v>0</v>
      </c>
      <c r="L76" t="n">
        <v>0</v>
      </c>
      <c r="M76" t="n">
        <v>0</v>
      </c>
      <c r="N76" t="n">
        <v>0</v>
      </c>
      <c r="O76" t="n">
        <v>0</v>
      </c>
      <c r="P76" t="n">
        <v>0</v>
      </c>
      <c r="Q76" t="n">
        <v>0</v>
      </c>
      <c r="R76" s="2" t="inlineStr"/>
    </row>
    <row r="77" ht="15" customHeight="1">
      <c r="A77" t="inlineStr">
        <is>
          <t>A 15924-2022</t>
        </is>
      </c>
      <c r="B77" s="1" t="n">
        <v>44664</v>
      </c>
      <c r="C77" s="1" t="n">
        <v>46159</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15943-2022</t>
        </is>
      </c>
      <c r="B78" s="1" t="n">
        <v>44664.66428240741</v>
      </c>
      <c r="C78" s="1" t="n">
        <v>46159</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46159</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19731-2022</t>
        </is>
      </c>
      <c r="B80" s="1" t="n">
        <v>44694</v>
      </c>
      <c r="C80" s="1" t="n">
        <v>46159</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46159</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24883-2022</t>
        </is>
      </c>
      <c r="B82" s="1" t="n">
        <v>44728</v>
      </c>
      <c r="C82" s="1" t="n">
        <v>46159</v>
      </c>
      <c r="D82" t="inlineStr">
        <is>
          <t>UPPSALA LÄN</t>
        </is>
      </c>
      <c r="E82" t="inlineStr">
        <is>
          <t>ENKÖPING</t>
        </is>
      </c>
      <c r="G82" t="n">
        <v>2.5</v>
      </c>
      <c r="H82" t="n">
        <v>0</v>
      </c>
      <c r="I82" t="n">
        <v>0</v>
      </c>
      <c r="J82" t="n">
        <v>0</v>
      </c>
      <c r="K82" t="n">
        <v>0</v>
      </c>
      <c r="L82" t="n">
        <v>0</v>
      </c>
      <c r="M82" t="n">
        <v>0</v>
      </c>
      <c r="N82" t="n">
        <v>0</v>
      </c>
      <c r="O82" t="n">
        <v>0</v>
      </c>
      <c r="P82" t="n">
        <v>0</v>
      </c>
      <c r="Q82" t="n">
        <v>0</v>
      </c>
      <c r="R82" s="2" t="inlineStr"/>
    </row>
    <row r="83" ht="15" customHeight="1">
      <c r="A83" t="inlineStr">
        <is>
          <t>A 68127-2021</t>
        </is>
      </c>
      <c r="B83" s="1" t="n">
        <v>44526.39513888889</v>
      </c>
      <c r="C83" s="1" t="n">
        <v>46159</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42021-2021</t>
        </is>
      </c>
      <c r="B84" s="1" t="n">
        <v>44426</v>
      </c>
      <c r="C84" s="1" t="n">
        <v>46159</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17467-2022</t>
        </is>
      </c>
      <c r="B85" s="1" t="n">
        <v>44679</v>
      </c>
      <c r="C85" s="1" t="n">
        <v>46159</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59121-2021</t>
        </is>
      </c>
      <c r="B86" s="1" t="n">
        <v>44490</v>
      </c>
      <c r="C86" s="1" t="n">
        <v>46159</v>
      </c>
      <c r="D86" t="inlineStr">
        <is>
          <t>UPPSALA LÄN</t>
        </is>
      </c>
      <c r="E86" t="inlineStr">
        <is>
          <t>ENKÖPING</t>
        </is>
      </c>
      <c r="G86" t="n">
        <v>2.4</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46159</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46159</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46159</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31965-2021</t>
        </is>
      </c>
      <c r="B90" s="1" t="n">
        <v>44370.56901620371</v>
      </c>
      <c r="C90" s="1" t="n">
        <v>46159</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46103-2023</t>
        </is>
      </c>
      <c r="B91" s="1" t="n">
        <v>45190</v>
      </c>
      <c r="C91" s="1" t="n">
        <v>46159</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5211-2024</t>
        </is>
      </c>
      <c r="B92" s="1" t="n">
        <v>45330</v>
      </c>
      <c r="C92" s="1" t="n">
        <v>46159</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4044-2024</t>
        </is>
      </c>
      <c r="B93" s="1" t="n">
        <v>45323.45954861111</v>
      </c>
      <c r="C93" s="1" t="n">
        <v>46159</v>
      </c>
      <c r="D93" t="inlineStr">
        <is>
          <t>UPPSALA LÄN</t>
        </is>
      </c>
      <c r="E93" t="inlineStr">
        <is>
          <t>ENKÖPING</t>
        </is>
      </c>
      <c r="G93" t="n">
        <v>2.1</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46159</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43488-2023</t>
        </is>
      </c>
      <c r="B95" s="1" t="n">
        <v>45181</v>
      </c>
      <c r="C95" s="1" t="n">
        <v>46159</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12755-2025</t>
        </is>
      </c>
      <c r="B96" s="1" t="n">
        <v>45733.56541666666</v>
      </c>
      <c r="C96" s="1" t="n">
        <v>46159</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30437-2022</t>
        </is>
      </c>
      <c r="B97" s="1" t="n">
        <v>44761</v>
      </c>
      <c r="C97" s="1" t="n">
        <v>46159</v>
      </c>
      <c r="D97" t="inlineStr">
        <is>
          <t>UPPSALA LÄN</t>
        </is>
      </c>
      <c r="E97" t="inlineStr">
        <is>
          <t>ENKÖPING</t>
        </is>
      </c>
      <c r="G97" t="n">
        <v>3.4</v>
      </c>
      <c r="H97" t="n">
        <v>0</v>
      </c>
      <c r="I97" t="n">
        <v>0</v>
      </c>
      <c r="J97" t="n">
        <v>0</v>
      </c>
      <c r="K97" t="n">
        <v>0</v>
      </c>
      <c r="L97" t="n">
        <v>0</v>
      </c>
      <c r="M97" t="n">
        <v>0</v>
      </c>
      <c r="N97" t="n">
        <v>0</v>
      </c>
      <c r="O97" t="n">
        <v>0</v>
      </c>
      <c r="P97" t="n">
        <v>0</v>
      </c>
      <c r="Q97" t="n">
        <v>0</v>
      </c>
      <c r="R97" s="2" t="inlineStr"/>
    </row>
    <row r="98" ht="15" customHeight="1">
      <c r="A98" t="inlineStr">
        <is>
          <t>A 25333-2023</t>
        </is>
      </c>
      <c r="B98" s="1" t="n">
        <v>45083</v>
      </c>
      <c r="C98" s="1" t="n">
        <v>46159</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50747-2022</t>
        </is>
      </c>
      <c r="B99" s="1" t="n">
        <v>44867.40162037037</v>
      </c>
      <c r="C99" s="1" t="n">
        <v>46159</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57152-2021</t>
        </is>
      </c>
      <c r="B100" s="1" t="n">
        <v>44482</v>
      </c>
      <c r="C100" s="1" t="n">
        <v>46159</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20112-2024</t>
        </is>
      </c>
      <c r="B101" s="1" t="n">
        <v>45434</v>
      </c>
      <c r="C101" s="1" t="n">
        <v>46159</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46159</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12958-2024</t>
        </is>
      </c>
      <c r="B103" s="1" t="n">
        <v>45385</v>
      </c>
      <c r="C103" s="1" t="n">
        <v>46159</v>
      </c>
      <c r="D103" t="inlineStr">
        <is>
          <t>UPPSALA LÄN</t>
        </is>
      </c>
      <c r="E103" t="inlineStr">
        <is>
          <t>ENKÖPING</t>
        </is>
      </c>
      <c r="G103" t="n">
        <v>2.1</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46159</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46159</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44232-2022</t>
        </is>
      </c>
      <c r="B106" s="1" t="n">
        <v>44839</v>
      </c>
      <c r="C106" s="1" t="n">
        <v>46159</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47428-2023</t>
        </is>
      </c>
      <c r="B107" s="1" t="n">
        <v>45202.66664351852</v>
      </c>
      <c r="C107" s="1" t="n">
        <v>46159</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46159</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45362-2022</t>
        </is>
      </c>
      <c r="B109" s="1" t="n">
        <v>44844.62366898148</v>
      </c>
      <c r="C109" s="1" t="n">
        <v>46159</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56526-2022</t>
        </is>
      </c>
      <c r="B110" s="1" t="n">
        <v>44893</v>
      </c>
      <c r="C110" s="1" t="n">
        <v>46159</v>
      </c>
      <c r="D110" t="inlineStr">
        <is>
          <t>UPPSALA LÄN</t>
        </is>
      </c>
      <c r="E110" t="inlineStr">
        <is>
          <t>ENKÖPING</t>
        </is>
      </c>
      <c r="G110" t="n">
        <v>3.8</v>
      </c>
      <c r="H110" t="n">
        <v>0</v>
      </c>
      <c r="I110" t="n">
        <v>0</v>
      </c>
      <c r="J110" t="n">
        <v>0</v>
      </c>
      <c r="K110" t="n">
        <v>0</v>
      </c>
      <c r="L110" t="n">
        <v>0</v>
      </c>
      <c r="M110" t="n">
        <v>0</v>
      </c>
      <c r="N110" t="n">
        <v>0</v>
      </c>
      <c r="O110" t="n">
        <v>0</v>
      </c>
      <c r="P110" t="n">
        <v>0</v>
      </c>
      <c r="Q110" t="n">
        <v>0</v>
      </c>
      <c r="R110" s="2" t="inlineStr"/>
    </row>
    <row r="111" ht="15" customHeight="1">
      <c r="A111" t="inlineStr">
        <is>
          <t>A 28518-2024</t>
        </is>
      </c>
      <c r="B111" s="1" t="n">
        <v>45477</v>
      </c>
      <c r="C111" s="1" t="n">
        <v>46159</v>
      </c>
      <c r="D111" t="inlineStr">
        <is>
          <t>UPPSALA LÄN</t>
        </is>
      </c>
      <c r="E111" t="inlineStr">
        <is>
          <t>ENKÖPING</t>
        </is>
      </c>
      <c r="G111" t="n">
        <v>3.4</v>
      </c>
      <c r="H111" t="n">
        <v>0</v>
      </c>
      <c r="I111" t="n">
        <v>0</v>
      </c>
      <c r="J111" t="n">
        <v>0</v>
      </c>
      <c r="K111" t="n">
        <v>0</v>
      </c>
      <c r="L111" t="n">
        <v>0</v>
      </c>
      <c r="M111" t="n">
        <v>0</v>
      </c>
      <c r="N111" t="n">
        <v>0</v>
      </c>
      <c r="O111" t="n">
        <v>0</v>
      </c>
      <c r="P111" t="n">
        <v>0</v>
      </c>
      <c r="Q111" t="n">
        <v>0</v>
      </c>
      <c r="R111" s="2" t="inlineStr"/>
    </row>
    <row r="112" ht="15" customHeight="1">
      <c r="A112" t="inlineStr">
        <is>
          <t>A 30098-2024</t>
        </is>
      </c>
      <c r="B112" s="1" t="n">
        <v>45489.41609953704</v>
      </c>
      <c r="C112" s="1" t="n">
        <v>46159</v>
      </c>
      <c r="D112" t="inlineStr">
        <is>
          <t>UPPSALA LÄN</t>
        </is>
      </c>
      <c r="E112" t="inlineStr">
        <is>
          <t>ENKÖPING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1651-2024</t>
        </is>
      </c>
      <c r="B113" s="1" t="n">
        <v>45306.73770833333</v>
      </c>
      <c r="C113" s="1" t="n">
        <v>46159</v>
      </c>
      <c r="D113" t="inlineStr">
        <is>
          <t>UPPSALA LÄN</t>
        </is>
      </c>
      <c r="E113" t="inlineStr">
        <is>
          <t>ENKÖPING</t>
        </is>
      </c>
      <c r="G113" t="n">
        <v>10.2</v>
      </c>
      <c r="H113" t="n">
        <v>0</v>
      </c>
      <c r="I113" t="n">
        <v>0</v>
      </c>
      <c r="J113" t="n">
        <v>0</v>
      </c>
      <c r="K113" t="n">
        <v>0</v>
      </c>
      <c r="L113" t="n">
        <v>0</v>
      </c>
      <c r="M113" t="n">
        <v>0</v>
      </c>
      <c r="N113" t="n">
        <v>0</v>
      </c>
      <c r="O113" t="n">
        <v>0</v>
      </c>
      <c r="P113" t="n">
        <v>0</v>
      </c>
      <c r="Q113" t="n">
        <v>0</v>
      </c>
      <c r="R113" s="2" t="inlineStr"/>
    </row>
    <row r="114" ht="15" customHeight="1">
      <c r="A114" t="inlineStr">
        <is>
          <t>A 60289-2022</t>
        </is>
      </c>
      <c r="B114" s="1" t="n">
        <v>44910.53026620371</v>
      </c>
      <c r="C114" s="1" t="n">
        <v>46159</v>
      </c>
      <c r="D114" t="inlineStr">
        <is>
          <t>UPPSALA LÄN</t>
        </is>
      </c>
      <c r="E114" t="inlineStr">
        <is>
          <t>ENKÖPING</t>
        </is>
      </c>
      <c r="G114" t="n">
        <v>3.2</v>
      </c>
      <c r="H114" t="n">
        <v>0</v>
      </c>
      <c r="I114" t="n">
        <v>0</v>
      </c>
      <c r="J114" t="n">
        <v>0</v>
      </c>
      <c r="K114" t="n">
        <v>0</v>
      </c>
      <c r="L114" t="n">
        <v>0</v>
      </c>
      <c r="M114" t="n">
        <v>0</v>
      </c>
      <c r="N114" t="n">
        <v>0</v>
      </c>
      <c r="O114" t="n">
        <v>0</v>
      </c>
      <c r="P114" t="n">
        <v>0</v>
      </c>
      <c r="Q114" t="n">
        <v>0</v>
      </c>
      <c r="R114" s="2" t="inlineStr"/>
    </row>
    <row r="115" ht="15" customHeight="1">
      <c r="A115" t="inlineStr">
        <is>
          <t>A 60848-2025</t>
        </is>
      </c>
      <c r="B115" s="1" t="n">
        <v>45999</v>
      </c>
      <c r="C115" s="1" t="n">
        <v>46159</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17729-2023</t>
        </is>
      </c>
      <c r="B116" s="1" t="n">
        <v>45037</v>
      </c>
      <c r="C116" s="1" t="n">
        <v>46159</v>
      </c>
      <c r="D116" t="inlineStr">
        <is>
          <t>UPPSALA LÄN</t>
        </is>
      </c>
      <c r="E116" t="inlineStr">
        <is>
          <t>ENKÖPING</t>
        </is>
      </c>
      <c r="G116" t="n">
        <v>10.2</v>
      </c>
      <c r="H116" t="n">
        <v>0</v>
      </c>
      <c r="I116" t="n">
        <v>0</v>
      </c>
      <c r="J116" t="n">
        <v>0</v>
      </c>
      <c r="K116" t="n">
        <v>0</v>
      </c>
      <c r="L116" t="n">
        <v>0</v>
      </c>
      <c r="M116" t="n">
        <v>0</v>
      </c>
      <c r="N116" t="n">
        <v>0</v>
      </c>
      <c r="O116" t="n">
        <v>0</v>
      </c>
      <c r="P116" t="n">
        <v>0</v>
      </c>
      <c r="Q116" t="n">
        <v>0</v>
      </c>
      <c r="R116" s="2" t="inlineStr"/>
    </row>
    <row r="117" ht="15" customHeight="1">
      <c r="A117" t="inlineStr">
        <is>
          <t>A 69344-2021</t>
        </is>
      </c>
      <c r="B117" s="1" t="n">
        <v>44531</v>
      </c>
      <c r="C117" s="1" t="n">
        <v>46159</v>
      </c>
      <c r="D117" t="inlineStr">
        <is>
          <t>UPPSALA LÄN</t>
        </is>
      </c>
      <c r="E117" t="inlineStr">
        <is>
          <t>ENKÖPING</t>
        </is>
      </c>
      <c r="G117" t="n">
        <v>2.9</v>
      </c>
      <c r="H117" t="n">
        <v>0</v>
      </c>
      <c r="I117" t="n">
        <v>0</v>
      </c>
      <c r="J117" t="n">
        <v>0</v>
      </c>
      <c r="K117" t="n">
        <v>0</v>
      </c>
      <c r="L117" t="n">
        <v>0</v>
      </c>
      <c r="M117" t="n">
        <v>0</v>
      </c>
      <c r="N117" t="n">
        <v>0</v>
      </c>
      <c r="O117" t="n">
        <v>0</v>
      </c>
      <c r="P117" t="n">
        <v>0</v>
      </c>
      <c r="Q117" t="n">
        <v>0</v>
      </c>
      <c r="R117" s="2" t="inlineStr"/>
    </row>
    <row r="118" ht="15" customHeight="1">
      <c r="A118" t="inlineStr">
        <is>
          <t>A 5749-2025</t>
        </is>
      </c>
      <c r="B118" s="1" t="n">
        <v>45694</v>
      </c>
      <c r="C118" s="1" t="n">
        <v>46159</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8020-2022</t>
        </is>
      </c>
      <c r="B119" s="1" t="n">
        <v>44609</v>
      </c>
      <c r="C119" s="1" t="n">
        <v>46159</v>
      </c>
      <c r="D119" t="inlineStr">
        <is>
          <t>UPPSALA LÄN</t>
        </is>
      </c>
      <c r="E119" t="inlineStr">
        <is>
          <t>ENKÖPING</t>
        </is>
      </c>
      <c r="G119" t="n">
        <v>6</v>
      </c>
      <c r="H119" t="n">
        <v>0</v>
      </c>
      <c r="I119" t="n">
        <v>0</v>
      </c>
      <c r="J119" t="n">
        <v>0</v>
      </c>
      <c r="K119" t="n">
        <v>0</v>
      </c>
      <c r="L119" t="n">
        <v>0</v>
      </c>
      <c r="M119" t="n">
        <v>0</v>
      </c>
      <c r="N119" t="n">
        <v>0</v>
      </c>
      <c r="O119" t="n">
        <v>0</v>
      </c>
      <c r="P119" t="n">
        <v>0</v>
      </c>
      <c r="Q119" t="n">
        <v>0</v>
      </c>
      <c r="R119" s="2" t="inlineStr"/>
    </row>
    <row r="120" ht="15" customHeight="1">
      <c r="A120" t="inlineStr">
        <is>
          <t>A 34805-2024</t>
        </is>
      </c>
      <c r="B120" s="1" t="n">
        <v>45526</v>
      </c>
      <c r="C120" s="1" t="n">
        <v>46159</v>
      </c>
      <c r="D120" t="inlineStr">
        <is>
          <t>UPPSALA LÄN</t>
        </is>
      </c>
      <c r="E120" t="inlineStr">
        <is>
          <t>ENKÖPING</t>
        </is>
      </c>
      <c r="G120" t="n">
        <v>3.6</v>
      </c>
      <c r="H120" t="n">
        <v>0</v>
      </c>
      <c r="I120" t="n">
        <v>0</v>
      </c>
      <c r="J120" t="n">
        <v>0</v>
      </c>
      <c r="K120" t="n">
        <v>0</v>
      </c>
      <c r="L120" t="n">
        <v>0</v>
      </c>
      <c r="M120" t="n">
        <v>0</v>
      </c>
      <c r="N120" t="n">
        <v>0</v>
      </c>
      <c r="O120" t="n">
        <v>0</v>
      </c>
      <c r="P120" t="n">
        <v>0</v>
      </c>
      <c r="Q120" t="n">
        <v>0</v>
      </c>
      <c r="R120" s="2" t="inlineStr"/>
    </row>
    <row r="121" ht="15" customHeight="1">
      <c r="A121" t="inlineStr">
        <is>
          <t>A 314-2025</t>
        </is>
      </c>
      <c r="B121" s="1" t="n">
        <v>45656</v>
      </c>
      <c r="C121" s="1" t="n">
        <v>46159</v>
      </c>
      <c r="D121" t="inlineStr">
        <is>
          <t>UPPSALA LÄN</t>
        </is>
      </c>
      <c r="E121" t="inlineStr">
        <is>
          <t>ENKÖPING</t>
        </is>
      </c>
      <c r="G121" t="n">
        <v>9</v>
      </c>
      <c r="H121" t="n">
        <v>0</v>
      </c>
      <c r="I121" t="n">
        <v>0</v>
      </c>
      <c r="J121" t="n">
        <v>0</v>
      </c>
      <c r="K121" t="n">
        <v>0</v>
      </c>
      <c r="L121" t="n">
        <v>0</v>
      </c>
      <c r="M121" t="n">
        <v>0</v>
      </c>
      <c r="N121" t="n">
        <v>0</v>
      </c>
      <c r="O121" t="n">
        <v>0</v>
      </c>
      <c r="P121" t="n">
        <v>0</v>
      </c>
      <c r="Q121" t="n">
        <v>0</v>
      </c>
      <c r="R121" s="2" t="inlineStr"/>
    </row>
    <row r="122" ht="15" customHeight="1">
      <c r="A122" t="inlineStr">
        <is>
          <t>A 10831-2024</t>
        </is>
      </c>
      <c r="B122" s="1" t="n">
        <v>45369</v>
      </c>
      <c r="C122" s="1" t="n">
        <v>46159</v>
      </c>
      <c r="D122" t="inlineStr">
        <is>
          <t>UPPSALA LÄN</t>
        </is>
      </c>
      <c r="E122" t="inlineStr">
        <is>
          <t>ENKÖPING</t>
        </is>
      </c>
      <c r="G122" t="n">
        <v>2.9</v>
      </c>
      <c r="H122" t="n">
        <v>0</v>
      </c>
      <c r="I122" t="n">
        <v>0</v>
      </c>
      <c r="J122" t="n">
        <v>0</v>
      </c>
      <c r="K122" t="n">
        <v>0</v>
      </c>
      <c r="L122" t="n">
        <v>0</v>
      </c>
      <c r="M122" t="n">
        <v>0</v>
      </c>
      <c r="N122" t="n">
        <v>0</v>
      </c>
      <c r="O122" t="n">
        <v>0</v>
      </c>
      <c r="P122" t="n">
        <v>0</v>
      </c>
      <c r="Q122" t="n">
        <v>0</v>
      </c>
      <c r="R122" s="2" t="inlineStr"/>
    </row>
    <row r="123" ht="15" customHeight="1">
      <c r="A123" t="inlineStr">
        <is>
          <t>A 5712-2025</t>
        </is>
      </c>
      <c r="B123" s="1" t="n">
        <v>45694</v>
      </c>
      <c r="C123" s="1" t="n">
        <v>46159</v>
      </c>
      <c r="D123" t="inlineStr">
        <is>
          <t>UPPSALA LÄN</t>
        </is>
      </c>
      <c r="E123" t="inlineStr">
        <is>
          <t>ENKÖPING</t>
        </is>
      </c>
      <c r="G123" t="n">
        <v>5.1</v>
      </c>
      <c r="H123" t="n">
        <v>0</v>
      </c>
      <c r="I123" t="n">
        <v>0</v>
      </c>
      <c r="J123" t="n">
        <v>0</v>
      </c>
      <c r="K123" t="n">
        <v>0</v>
      </c>
      <c r="L123" t="n">
        <v>0</v>
      </c>
      <c r="M123" t="n">
        <v>0</v>
      </c>
      <c r="N123" t="n">
        <v>0</v>
      </c>
      <c r="O123" t="n">
        <v>0</v>
      </c>
      <c r="P123" t="n">
        <v>0</v>
      </c>
      <c r="Q123" t="n">
        <v>0</v>
      </c>
      <c r="R123" s="2" t="inlineStr"/>
    </row>
    <row r="124" ht="15" customHeight="1">
      <c r="A124" t="inlineStr">
        <is>
          <t>A 31242-2024</t>
        </is>
      </c>
      <c r="B124" s="1" t="n">
        <v>45503</v>
      </c>
      <c r="C124" s="1" t="n">
        <v>46159</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45956-2024</t>
        </is>
      </c>
      <c r="B125" s="1" t="n">
        <v>45580</v>
      </c>
      <c r="C125" s="1" t="n">
        <v>46159</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2162-2023</t>
        </is>
      </c>
      <c r="B126" s="1" t="n">
        <v>44941</v>
      </c>
      <c r="C126" s="1" t="n">
        <v>46159</v>
      </c>
      <c r="D126" t="inlineStr">
        <is>
          <t>UPPSALA LÄN</t>
        </is>
      </c>
      <c r="E126" t="inlineStr">
        <is>
          <t>ENKÖPING</t>
        </is>
      </c>
      <c r="G126" t="n">
        <v>2.4</v>
      </c>
      <c r="H126" t="n">
        <v>0</v>
      </c>
      <c r="I126" t="n">
        <v>0</v>
      </c>
      <c r="J126" t="n">
        <v>0</v>
      </c>
      <c r="K126" t="n">
        <v>0</v>
      </c>
      <c r="L126" t="n">
        <v>0</v>
      </c>
      <c r="M126" t="n">
        <v>0</v>
      </c>
      <c r="N126" t="n">
        <v>0</v>
      </c>
      <c r="O126" t="n">
        <v>0</v>
      </c>
      <c r="P126" t="n">
        <v>0</v>
      </c>
      <c r="Q126" t="n">
        <v>0</v>
      </c>
      <c r="R126" s="2" t="inlineStr"/>
    </row>
    <row r="127" ht="15" customHeight="1">
      <c r="A127" t="inlineStr">
        <is>
          <t>A 11627-2025</t>
        </is>
      </c>
      <c r="B127" s="1" t="n">
        <v>45727</v>
      </c>
      <c r="C127" s="1" t="n">
        <v>46159</v>
      </c>
      <c r="D127" t="inlineStr">
        <is>
          <t>UPPSALA LÄN</t>
        </is>
      </c>
      <c r="E127" t="inlineStr">
        <is>
          <t>ENKÖPING</t>
        </is>
      </c>
      <c r="G127" t="n">
        <v>5.5</v>
      </c>
      <c r="H127" t="n">
        <v>0</v>
      </c>
      <c r="I127" t="n">
        <v>0</v>
      </c>
      <c r="J127" t="n">
        <v>0</v>
      </c>
      <c r="K127" t="n">
        <v>0</v>
      </c>
      <c r="L127" t="n">
        <v>0</v>
      </c>
      <c r="M127" t="n">
        <v>0</v>
      </c>
      <c r="N127" t="n">
        <v>0</v>
      </c>
      <c r="O127" t="n">
        <v>0</v>
      </c>
      <c r="P127" t="n">
        <v>0</v>
      </c>
      <c r="Q127" t="n">
        <v>0</v>
      </c>
      <c r="R127" s="2" t="inlineStr"/>
    </row>
    <row r="128" ht="15" customHeight="1">
      <c r="A128" t="inlineStr">
        <is>
          <t>A 74090-2021</t>
        </is>
      </c>
      <c r="B128" s="1" t="n">
        <v>44557</v>
      </c>
      <c r="C128" s="1" t="n">
        <v>46159</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56163-2021</t>
        </is>
      </c>
      <c r="B129" s="1" t="n">
        <v>44477</v>
      </c>
      <c r="C129" s="1" t="n">
        <v>46159</v>
      </c>
      <c r="D129" t="inlineStr">
        <is>
          <t>UPPSALA LÄN</t>
        </is>
      </c>
      <c r="E129" t="inlineStr">
        <is>
          <t>ENKÖPING</t>
        </is>
      </c>
      <c r="F129" t="inlineStr">
        <is>
          <t>Allmännings- och besparingsskogar</t>
        </is>
      </c>
      <c r="G129" t="n">
        <v>0.6</v>
      </c>
      <c r="H129" t="n">
        <v>0</v>
      </c>
      <c r="I129" t="n">
        <v>0</v>
      </c>
      <c r="J129" t="n">
        <v>0</v>
      </c>
      <c r="K129" t="n">
        <v>0</v>
      </c>
      <c r="L129" t="n">
        <v>0</v>
      </c>
      <c r="M129" t="n">
        <v>0</v>
      </c>
      <c r="N129" t="n">
        <v>0</v>
      </c>
      <c r="O129" t="n">
        <v>0</v>
      </c>
      <c r="P129" t="n">
        <v>0</v>
      </c>
      <c r="Q129" t="n">
        <v>0</v>
      </c>
      <c r="R129" s="2" t="inlineStr"/>
    </row>
    <row r="130" ht="15" customHeight="1">
      <c r="A130" t="inlineStr">
        <is>
          <t>A 28318-2024</t>
        </is>
      </c>
      <c r="B130" s="1" t="n">
        <v>45477</v>
      </c>
      <c r="C130" s="1" t="n">
        <v>46159</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46159</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39115-2024</t>
        </is>
      </c>
      <c r="B132" s="1" t="n">
        <v>45548</v>
      </c>
      <c r="C132" s="1" t="n">
        <v>46159</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12020-2024</t>
        </is>
      </c>
      <c r="B133" s="1" t="n">
        <v>45377</v>
      </c>
      <c r="C133" s="1" t="n">
        <v>46159</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58092-2024</t>
        </is>
      </c>
      <c r="B134" s="1" t="n">
        <v>45632</v>
      </c>
      <c r="C134" s="1" t="n">
        <v>46159</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69344-2021</t>
        </is>
      </c>
      <c r="B135" s="1" t="n">
        <v>44531</v>
      </c>
      <c r="C135" s="1" t="n">
        <v>46159</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24411-2024</t>
        </is>
      </c>
      <c r="B136" s="1" t="n">
        <v>45457</v>
      </c>
      <c r="C136" s="1" t="n">
        <v>46159</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25988-2025</t>
        </is>
      </c>
      <c r="B137" s="1" t="n">
        <v>45804.64814814815</v>
      </c>
      <c r="C137" s="1" t="n">
        <v>46159</v>
      </c>
      <c r="D137" t="inlineStr">
        <is>
          <t>UPPSALA LÄN</t>
        </is>
      </c>
      <c r="E137" t="inlineStr">
        <is>
          <t>ENKÖPING</t>
        </is>
      </c>
      <c r="G137" t="n">
        <v>4.7</v>
      </c>
      <c r="H137" t="n">
        <v>0</v>
      </c>
      <c r="I137" t="n">
        <v>0</v>
      </c>
      <c r="J137" t="n">
        <v>0</v>
      </c>
      <c r="K137" t="n">
        <v>0</v>
      </c>
      <c r="L137" t="n">
        <v>0</v>
      </c>
      <c r="M137" t="n">
        <v>0</v>
      </c>
      <c r="N137" t="n">
        <v>0</v>
      </c>
      <c r="O137" t="n">
        <v>0</v>
      </c>
      <c r="P137" t="n">
        <v>0</v>
      </c>
      <c r="Q137" t="n">
        <v>0</v>
      </c>
      <c r="R137" s="2" t="inlineStr"/>
    </row>
    <row r="138" ht="15" customHeight="1">
      <c r="A138" t="inlineStr">
        <is>
          <t>A 34124-2021</t>
        </is>
      </c>
      <c r="B138" s="1" t="n">
        <v>44379</v>
      </c>
      <c r="C138" s="1" t="n">
        <v>46159</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43697-2024</t>
        </is>
      </c>
      <c r="B139" s="1" t="n">
        <v>45569</v>
      </c>
      <c r="C139" s="1" t="n">
        <v>46159</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26024-2025</t>
        </is>
      </c>
      <c r="B140" s="1" t="n">
        <v>45804.6831712963</v>
      </c>
      <c r="C140" s="1" t="n">
        <v>46159</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26042-2025</t>
        </is>
      </c>
      <c r="B141" s="1" t="n">
        <v>45804.70018518518</v>
      </c>
      <c r="C141" s="1" t="n">
        <v>46159</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26030-2025</t>
        </is>
      </c>
      <c r="B142" s="1" t="n">
        <v>45804.68815972222</v>
      </c>
      <c r="C142" s="1" t="n">
        <v>46159</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39746-2025</t>
        </is>
      </c>
      <c r="B143" s="1" t="n">
        <v>45891</v>
      </c>
      <c r="C143" s="1" t="n">
        <v>46159</v>
      </c>
      <c r="D143" t="inlineStr">
        <is>
          <t>UPPSALA LÄN</t>
        </is>
      </c>
      <c r="E143" t="inlineStr">
        <is>
          <t>ENKÖPING</t>
        </is>
      </c>
      <c r="G143" t="n">
        <v>7.4</v>
      </c>
      <c r="H143" t="n">
        <v>0</v>
      </c>
      <c r="I143" t="n">
        <v>0</v>
      </c>
      <c r="J143" t="n">
        <v>0</v>
      </c>
      <c r="K143" t="n">
        <v>0</v>
      </c>
      <c r="L143" t="n">
        <v>0</v>
      </c>
      <c r="M143" t="n">
        <v>0</v>
      </c>
      <c r="N143" t="n">
        <v>0</v>
      </c>
      <c r="O143" t="n">
        <v>0</v>
      </c>
      <c r="P143" t="n">
        <v>0</v>
      </c>
      <c r="Q143" t="n">
        <v>0</v>
      </c>
      <c r="R143" s="2" t="inlineStr"/>
    </row>
    <row r="144" ht="15" customHeight="1">
      <c r="A144" t="inlineStr">
        <is>
          <t>A 26026-2025</t>
        </is>
      </c>
      <c r="B144" s="1" t="n">
        <v>45804.68510416667</v>
      </c>
      <c r="C144" s="1" t="n">
        <v>46159</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46159</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26047-2025</t>
        </is>
      </c>
      <c r="B146" s="1" t="n">
        <v>45804.70835648148</v>
      </c>
      <c r="C146" s="1" t="n">
        <v>46159</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51010-2024</t>
        </is>
      </c>
      <c r="B147" s="1" t="n">
        <v>45603.39285879629</v>
      </c>
      <c r="C147" s="1" t="n">
        <v>46159</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192-2026</t>
        </is>
      </c>
      <c r="B148" s="1" t="n">
        <v>46025</v>
      </c>
      <c r="C148" s="1" t="n">
        <v>46159</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25847-2025</t>
        </is>
      </c>
      <c r="B149" s="1" t="n">
        <v>45804</v>
      </c>
      <c r="C149" s="1" t="n">
        <v>46159</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26005-2025</t>
        </is>
      </c>
      <c r="B150" s="1" t="n">
        <v>45804.67055555555</v>
      </c>
      <c r="C150" s="1" t="n">
        <v>46159</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26031-2025</t>
        </is>
      </c>
      <c r="B151" s="1" t="n">
        <v>45804.69050925926</v>
      </c>
      <c r="C151" s="1" t="n">
        <v>46159</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26041-2025</t>
        </is>
      </c>
      <c r="B152" s="1" t="n">
        <v>45804.69883101852</v>
      </c>
      <c r="C152" s="1" t="n">
        <v>46159</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26022-2025</t>
        </is>
      </c>
      <c r="B153" s="1" t="n">
        <v>45804.68006944445</v>
      </c>
      <c r="C153" s="1" t="n">
        <v>46159</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22912-2024</t>
        </is>
      </c>
      <c r="B154" s="1" t="n">
        <v>45448.73118055556</v>
      </c>
      <c r="C154" s="1" t="n">
        <v>46159</v>
      </c>
      <c r="D154" t="inlineStr">
        <is>
          <t>UPPSALA LÄN</t>
        </is>
      </c>
      <c r="E154" t="inlineStr">
        <is>
          <t>ENKÖPING</t>
        </is>
      </c>
      <c r="G154" t="n">
        <v>2.8</v>
      </c>
      <c r="H154" t="n">
        <v>0</v>
      </c>
      <c r="I154" t="n">
        <v>0</v>
      </c>
      <c r="J154" t="n">
        <v>0</v>
      </c>
      <c r="K154" t="n">
        <v>0</v>
      </c>
      <c r="L154" t="n">
        <v>0</v>
      </c>
      <c r="M154" t="n">
        <v>0</v>
      </c>
      <c r="N154" t="n">
        <v>0</v>
      </c>
      <c r="O154" t="n">
        <v>0</v>
      </c>
      <c r="P154" t="n">
        <v>0</v>
      </c>
      <c r="Q154" t="n">
        <v>0</v>
      </c>
      <c r="R154" s="2" t="inlineStr"/>
    </row>
    <row r="155" ht="15" customHeight="1">
      <c r="A155" t="inlineStr">
        <is>
          <t>A 35067-2024</t>
        </is>
      </c>
      <c r="B155" s="1" t="n">
        <v>45527.66153935185</v>
      </c>
      <c r="C155" s="1" t="n">
        <v>46159</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9667-2024</t>
        </is>
      </c>
      <c r="B156" s="1" t="n">
        <v>45362.45130787037</v>
      </c>
      <c r="C156" s="1" t="n">
        <v>46159</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41618-2025</t>
        </is>
      </c>
      <c r="B157" s="1" t="n">
        <v>45901.70085648148</v>
      </c>
      <c r="C157" s="1" t="n">
        <v>46159</v>
      </c>
      <c r="D157" t="inlineStr">
        <is>
          <t>UPPSALA LÄN</t>
        </is>
      </c>
      <c r="E157" t="inlineStr">
        <is>
          <t>ENKÖPING</t>
        </is>
      </c>
      <c r="F157" t="inlineStr">
        <is>
          <t>Allmännings- och besparingsskogar</t>
        </is>
      </c>
      <c r="G157" t="n">
        <v>5.3</v>
      </c>
      <c r="H157" t="n">
        <v>0</v>
      </c>
      <c r="I157" t="n">
        <v>0</v>
      </c>
      <c r="J157" t="n">
        <v>0</v>
      </c>
      <c r="K157" t="n">
        <v>0</v>
      </c>
      <c r="L157" t="n">
        <v>0</v>
      </c>
      <c r="M157" t="n">
        <v>0</v>
      </c>
      <c r="N157" t="n">
        <v>0</v>
      </c>
      <c r="O157" t="n">
        <v>0</v>
      </c>
      <c r="P157" t="n">
        <v>0</v>
      </c>
      <c r="Q157" t="n">
        <v>0</v>
      </c>
      <c r="R157" s="2" t="inlineStr"/>
    </row>
    <row r="158" ht="15" customHeight="1">
      <c r="A158" t="inlineStr">
        <is>
          <t>A 861-2026</t>
        </is>
      </c>
      <c r="B158" s="1" t="n">
        <v>46030</v>
      </c>
      <c r="C158" s="1" t="n">
        <v>46159</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41765-2025</t>
        </is>
      </c>
      <c r="B159" s="1" t="n">
        <v>45902</v>
      </c>
      <c r="C159" s="1" t="n">
        <v>46159</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41616-2025</t>
        </is>
      </c>
      <c r="B160" s="1" t="n">
        <v>45901.69684027778</v>
      </c>
      <c r="C160" s="1" t="n">
        <v>46159</v>
      </c>
      <c r="D160" t="inlineStr">
        <is>
          <t>UPPSALA LÄN</t>
        </is>
      </c>
      <c r="E160" t="inlineStr">
        <is>
          <t>ENKÖPING</t>
        </is>
      </c>
      <c r="F160" t="inlineStr">
        <is>
          <t>Allmännings- och besparingsskogar</t>
        </is>
      </c>
      <c r="G160" t="n">
        <v>17.3</v>
      </c>
      <c r="H160" t="n">
        <v>0</v>
      </c>
      <c r="I160" t="n">
        <v>0</v>
      </c>
      <c r="J160" t="n">
        <v>0</v>
      </c>
      <c r="K160" t="n">
        <v>0</v>
      </c>
      <c r="L160" t="n">
        <v>0</v>
      </c>
      <c r="M160" t="n">
        <v>0</v>
      </c>
      <c r="N160" t="n">
        <v>0</v>
      </c>
      <c r="O160" t="n">
        <v>0</v>
      </c>
      <c r="P160" t="n">
        <v>0</v>
      </c>
      <c r="Q160" t="n">
        <v>0</v>
      </c>
      <c r="R160" s="2" t="inlineStr"/>
    </row>
    <row r="161" ht="15" customHeight="1">
      <c r="A161" t="inlineStr">
        <is>
          <t>A 43506-2023</t>
        </is>
      </c>
      <c r="B161" s="1" t="n">
        <v>45181</v>
      </c>
      <c r="C161" s="1" t="n">
        <v>46159</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41637-2025</t>
        </is>
      </c>
      <c r="B162" s="1" t="n">
        <v>45901</v>
      </c>
      <c r="C162" s="1" t="n">
        <v>46159</v>
      </c>
      <c r="D162" t="inlineStr">
        <is>
          <t>UPPSALA LÄN</t>
        </is>
      </c>
      <c r="E162" t="inlineStr">
        <is>
          <t>ENKÖPING</t>
        </is>
      </c>
      <c r="F162" t="inlineStr">
        <is>
          <t>Allmännings- och besparingsskogar</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14004-2023</t>
        </is>
      </c>
      <c r="B163" s="1" t="n">
        <v>45008</v>
      </c>
      <c r="C163" s="1" t="n">
        <v>46159</v>
      </c>
      <c r="D163" t="inlineStr">
        <is>
          <t>UPPSALA LÄN</t>
        </is>
      </c>
      <c r="E163" t="inlineStr">
        <is>
          <t>ENKÖPING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51012-2024</t>
        </is>
      </c>
      <c r="B164" s="1" t="n">
        <v>45603.39686342593</v>
      </c>
      <c r="C164" s="1" t="n">
        <v>46159</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27829-2025</t>
        </is>
      </c>
      <c r="B165" s="1" t="n">
        <v>45817</v>
      </c>
      <c r="C165" s="1" t="n">
        <v>46159</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47516-2022</t>
        </is>
      </c>
      <c r="B166" s="1" t="n">
        <v>44853.68895833333</v>
      </c>
      <c r="C166" s="1" t="n">
        <v>46159</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42029-2025</t>
        </is>
      </c>
      <c r="B167" s="1" t="n">
        <v>45903</v>
      </c>
      <c r="C167" s="1" t="n">
        <v>46159</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41828-2024</t>
        </is>
      </c>
      <c r="B168" s="1" t="n">
        <v>45561</v>
      </c>
      <c r="C168" s="1" t="n">
        <v>46159</v>
      </c>
      <c r="D168" t="inlineStr">
        <is>
          <t>UPPSALA LÄN</t>
        </is>
      </c>
      <c r="E168" t="inlineStr">
        <is>
          <t>ENKÖPING</t>
        </is>
      </c>
      <c r="G168" t="n">
        <v>2.5</v>
      </c>
      <c r="H168" t="n">
        <v>0</v>
      </c>
      <c r="I168" t="n">
        <v>0</v>
      </c>
      <c r="J168" t="n">
        <v>0</v>
      </c>
      <c r="K168" t="n">
        <v>0</v>
      </c>
      <c r="L168" t="n">
        <v>0</v>
      </c>
      <c r="M168" t="n">
        <v>0</v>
      </c>
      <c r="N168" t="n">
        <v>0</v>
      </c>
      <c r="O168" t="n">
        <v>0</v>
      </c>
      <c r="P168" t="n">
        <v>0</v>
      </c>
      <c r="Q168" t="n">
        <v>0</v>
      </c>
      <c r="R168" s="2" t="inlineStr"/>
    </row>
    <row r="169" ht="15" customHeight="1">
      <c r="A169" t="inlineStr">
        <is>
          <t>A 28855-2025</t>
        </is>
      </c>
      <c r="B169" s="1" t="n">
        <v>45820.58274305556</v>
      </c>
      <c r="C169" s="1" t="n">
        <v>46159</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42756-2025</t>
        </is>
      </c>
      <c r="B170" s="1" t="n">
        <v>45908</v>
      </c>
      <c r="C170" s="1" t="n">
        <v>46159</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28758-2025</t>
        </is>
      </c>
      <c r="B171" s="1" t="n">
        <v>45820.41212962963</v>
      </c>
      <c r="C171" s="1" t="n">
        <v>46159</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39009-2024</t>
        </is>
      </c>
      <c r="B172" s="1" t="n">
        <v>45548</v>
      </c>
      <c r="C172" s="1" t="n">
        <v>46159</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8537-2025</t>
        </is>
      </c>
      <c r="B173" s="1" t="n">
        <v>45709</v>
      </c>
      <c r="C173" s="1" t="n">
        <v>46159</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10465-2022</t>
        </is>
      </c>
      <c r="B174" s="1" t="n">
        <v>44623</v>
      </c>
      <c r="C174" s="1" t="n">
        <v>46159</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28862-2025</t>
        </is>
      </c>
      <c r="B175" s="1" t="n">
        <v>45820.59189814814</v>
      </c>
      <c r="C175" s="1" t="n">
        <v>46159</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2218-2026</t>
        </is>
      </c>
      <c r="B176" s="1" t="n">
        <v>46036.50010416667</v>
      </c>
      <c r="C176" s="1" t="n">
        <v>46159</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41764-2025</t>
        </is>
      </c>
      <c r="B177" s="1" t="n">
        <v>45902</v>
      </c>
      <c r="C177" s="1" t="n">
        <v>46159</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2258-2026</t>
        </is>
      </c>
      <c r="B178" s="1" t="n">
        <v>46036</v>
      </c>
      <c r="C178" s="1" t="n">
        <v>46159</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51042-2024</t>
        </is>
      </c>
      <c r="B179" s="1" t="n">
        <v>45603.4342824074</v>
      </c>
      <c r="C179" s="1" t="n">
        <v>46159</v>
      </c>
      <c r="D179" t="inlineStr">
        <is>
          <t>UPPSALA LÄN</t>
        </is>
      </c>
      <c r="E179" t="inlineStr">
        <is>
          <t>ENKÖPING</t>
        </is>
      </c>
      <c r="G179" t="n">
        <v>4.6</v>
      </c>
      <c r="H179" t="n">
        <v>0</v>
      </c>
      <c r="I179" t="n">
        <v>0</v>
      </c>
      <c r="J179" t="n">
        <v>0</v>
      </c>
      <c r="K179" t="n">
        <v>0</v>
      </c>
      <c r="L179" t="n">
        <v>0</v>
      </c>
      <c r="M179" t="n">
        <v>0</v>
      </c>
      <c r="N179" t="n">
        <v>0</v>
      </c>
      <c r="O179" t="n">
        <v>0</v>
      </c>
      <c r="P179" t="n">
        <v>0</v>
      </c>
      <c r="Q179" t="n">
        <v>0</v>
      </c>
      <c r="R179" s="2" t="inlineStr"/>
    </row>
    <row r="180" ht="15" customHeight="1">
      <c r="A180" t="inlineStr">
        <is>
          <t>A 22632-2025</t>
        </is>
      </c>
      <c r="B180" s="1" t="n">
        <v>45789.44361111111</v>
      </c>
      <c r="C180" s="1" t="n">
        <v>46159</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51037-2024</t>
        </is>
      </c>
      <c r="B181" s="1" t="n">
        <v>45603.43005787037</v>
      </c>
      <c r="C181" s="1" t="n">
        <v>46159</v>
      </c>
      <c r="D181" t="inlineStr">
        <is>
          <t>UPPSALA LÄN</t>
        </is>
      </c>
      <c r="E181" t="inlineStr">
        <is>
          <t>ENKÖPING</t>
        </is>
      </c>
      <c r="G181" t="n">
        <v>5.7</v>
      </c>
      <c r="H181" t="n">
        <v>0</v>
      </c>
      <c r="I181" t="n">
        <v>0</v>
      </c>
      <c r="J181" t="n">
        <v>0</v>
      </c>
      <c r="K181" t="n">
        <v>0</v>
      </c>
      <c r="L181" t="n">
        <v>0</v>
      </c>
      <c r="M181" t="n">
        <v>0</v>
      </c>
      <c r="N181" t="n">
        <v>0</v>
      </c>
      <c r="O181" t="n">
        <v>0</v>
      </c>
      <c r="P181" t="n">
        <v>0</v>
      </c>
      <c r="Q181" t="n">
        <v>0</v>
      </c>
      <c r="R181" s="2" t="inlineStr"/>
    </row>
    <row r="182" ht="15" customHeight="1">
      <c r="A182" t="inlineStr">
        <is>
          <t>A 29093-2025</t>
        </is>
      </c>
      <c r="B182" s="1" t="n">
        <v>45821.55743055556</v>
      </c>
      <c r="C182" s="1" t="n">
        <v>46159</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51027-2024</t>
        </is>
      </c>
      <c r="B183" s="1" t="n">
        <v>45603</v>
      </c>
      <c r="C183" s="1" t="n">
        <v>46159</v>
      </c>
      <c r="D183" t="inlineStr">
        <is>
          <t>UPPSALA LÄN</t>
        </is>
      </c>
      <c r="E183" t="inlineStr">
        <is>
          <t>ENKÖPING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44419-2025</t>
        </is>
      </c>
      <c r="B184" s="1" t="n">
        <v>45916.54671296296</v>
      </c>
      <c r="C184" s="1" t="n">
        <v>46159</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5013-2025</t>
        </is>
      </c>
      <c r="B185" s="1" t="n">
        <v>45691</v>
      </c>
      <c r="C185" s="1" t="n">
        <v>46159</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43999-2025</t>
        </is>
      </c>
      <c r="B186" s="1" t="n">
        <v>45915.45158564814</v>
      </c>
      <c r="C186" s="1" t="n">
        <v>46159</v>
      </c>
      <c r="D186" t="inlineStr">
        <is>
          <t>UPPSALA LÄN</t>
        </is>
      </c>
      <c r="E186" t="inlineStr">
        <is>
          <t>ENKÖPING</t>
        </is>
      </c>
      <c r="G186" t="n">
        <v>4.1</v>
      </c>
      <c r="H186" t="n">
        <v>0</v>
      </c>
      <c r="I186" t="n">
        <v>0</v>
      </c>
      <c r="J186" t="n">
        <v>0</v>
      </c>
      <c r="K186" t="n">
        <v>0</v>
      </c>
      <c r="L186" t="n">
        <v>0</v>
      </c>
      <c r="M186" t="n">
        <v>0</v>
      </c>
      <c r="N186" t="n">
        <v>0</v>
      </c>
      <c r="O186" t="n">
        <v>0</v>
      </c>
      <c r="P186" t="n">
        <v>0</v>
      </c>
      <c r="Q186" t="n">
        <v>0</v>
      </c>
      <c r="R186" s="2" t="inlineStr"/>
    </row>
    <row r="187" ht="15" customHeight="1">
      <c r="A187" t="inlineStr">
        <is>
          <t>A 11503-2024</t>
        </is>
      </c>
      <c r="B187" s="1" t="n">
        <v>45372.68020833333</v>
      </c>
      <c r="C187" s="1" t="n">
        <v>46159</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32477-2025</t>
        </is>
      </c>
      <c r="B188" s="1" t="n">
        <v>45838.43098379629</v>
      </c>
      <c r="C188" s="1" t="n">
        <v>46159</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2164-2023</t>
        </is>
      </c>
      <c r="B189" s="1" t="n">
        <v>44941</v>
      </c>
      <c r="C189" s="1" t="n">
        <v>46159</v>
      </c>
      <c r="D189" t="inlineStr">
        <is>
          <t>UPPSALA LÄN</t>
        </is>
      </c>
      <c r="E189" t="inlineStr">
        <is>
          <t>ENKÖPING</t>
        </is>
      </c>
      <c r="G189" t="n">
        <v>2.5</v>
      </c>
      <c r="H189" t="n">
        <v>0</v>
      </c>
      <c r="I189" t="n">
        <v>0</v>
      </c>
      <c r="J189" t="n">
        <v>0</v>
      </c>
      <c r="K189" t="n">
        <v>0</v>
      </c>
      <c r="L189" t="n">
        <v>0</v>
      </c>
      <c r="M189" t="n">
        <v>0</v>
      </c>
      <c r="N189" t="n">
        <v>0</v>
      </c>
      <c r="O189" t="n">
        <v>0</v>
      </c>
      <c r="P189" t="n">
        <v>0</v>
      </c>
      <c r="Q189" t="n">
        <v>0</v>
      </c>
      <c r="R189" s="2" t="inlineStr"/>
    </row>
    <row r="190" ht="15" customHeight="1">
      <c r="A190" t="inlineStr">
        <is>
          <t>A 30837-2025</t>
        </is>
      </c>
      <c r="B190" s="1" t="n">
        <v>45831.7063425926</v>
      </c>
      <c r="C190" s="1" t="n">
        <v>46159</v>
      </c>
      <c r="D190" t="inlineStr">
        <is>
          <t>UPPSALA LÄN</t>
        </is>
      </c>
      <c r="E190" t="inlineStr">
        <is>
          <t>ENKÖPING</t>
        </is>
      </c>
      <c r="G190" t="n">
        <v>3.8</v>
      </c>
      <c r="H190" t="n">
        <v>0</v>
      </c>
      <c r="I190" t="n">
        <v>0</v>
      </c>
      <c r="J190" t="n">
        <v>0</v>
      </c>
      <c r="K190" t="n">
        <v>0</v>
      </c>
      <c r="L190" t="n">
        <v>0</v>
      </c>
      <c r="M190" t="n">
        <v>0</v>
      </c>
      <c r="N190" t="n">
        <v>0</v>
      </c>
      <c r="O190" t="n">
        <v>0</v>
      </c>
      <c r="P190" t="n">
        <v>0</v>
      </c>
      <c r="Q190" t="n">
        <v>0</v>
      </c>
      <c r="R190" s="2" t="inlineStr"/>
    </row>
    <row r="191" ht="15" customHeight="1">
      <c r="A191" t="inlineStr">
        <is>
          <t>A 33955-2024</t>
        </is>
      </c>
      <c r="B191" s="1" t="n">
        <v>45523.46952546296</v>
      </c>
      <c r="C191" s="1" t="n">
        <v>46159</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6172-2023</t>
        </is>
      </c>
      <c r="B192" s="1" t="n">
        <v>44964.68663194445</v>
      </c>
      <c r="C192" s="1" t="n">
        <v>46159</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10409-2025</t>
        </is>
      </c>
      <c r="B193" s="1" t="n">
        <v>45720.631875</v>
      </c>
      <c r="C193" s="1" t="n">
        <v>46159</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45755-2025</t>
        </is>
      </c>
      <c r="B194" s="1" t="n">
        <v>45923.50240740741</v>
      </c>
      <c r="C194" s="1" t="n">
        <v>46159</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32031-2025</t>
        </is>
      </c>
      <c r="B195" s="1" t="n">
        <v>45835.41712962963</v>
      </c>
      <c r="C195" s="1" t="n">
        <v>46159</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32111-2025</t>
        </is>
      </c>
      <c r="B196" s="1" t="n">
        <v>45835</v>
      </c>
      <c r="C196" s="1" t="n">
        <v>46159</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46590-2025</t>
        </is>
      </c>
      <c r="B197" s="1" t="n">
        <v>45926.39542824074</v>
      </c>
      <c r="C197" s="1" t="n">
        <v>46159</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21686-2022</t>
        </is>
      </c>
      <c r="B198" s="1" t="n">
        <v>44707</v>
      </c>
      <c r="C198" s="1" t="n">
        <v>46159</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5104-2026</t>
        </is>
      </c>
      <c r="B199" s="1" t="n">
        <v>46049.56914351852</v>
      </c>
      <c r="C199" s="1" t="n">
        <v>46159</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34989-2025</t>
        </is>
      </c>
      <c r="B200" s="1" t="n">
        <v>45849</v>
      </c>
      <c r="C200" s="1" t="n">
        <v>46159</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34990-2025</t>
        </is>
      </c>
      <c r="B201" s="1" t="n">
        <v>45849.78916666667</v>
      </c>
      <c r="C201" s="1" t="n">
        <v>46159</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29479-2022</t>
        </is>
      </c>
      <c r="B202" s="1" t="n">
        <v>44753.57265046296</v>
      </c>
      <c r="C202" s="1" t="n">
        <v>46159</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5569-2026</t>
        </is>
      </c>
      <c r="B203" s="1" t="n">
        <v>46050.89431712963</v>
      </c>
      <c r="C203" s="1" t="n">
        <v>46159</v>
      </c>
      <c r="D203" t="inlineStr">
        <is>
          <t>UPPSALA LÄN</t>
        </is>
      </c>
      <c r="E203" t="inlineStr">
        <is>
          <t>ENKÖPING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49525-2021</t>
        </is>
      </c>
      <c r="B204" s="1" t="n">
        <v>44455</v>
      </c>
      <c r="C204" s="1" t="n">
        <v>46159</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47441-2025</t>
        </is>
      </c>
      <c r="B205" s="1" t="n">
        <v>45930.63986111111</v>
      </c>
      <c r="C205" s="1" t="n">
        <v>46159</v>
      </c>
      <c r="D205" t="inlineStr">
        <is>
          <t>UPPSALA LÄN</t>
        </is>
      </c>
      <c r="E205" t="inlineStr">
        <is>
          <t>ENKÖPING</t>
        </is>
      </c>
      <c r="F205" t="inlineStr">
        <is>
          <t>Allmännings- och besparingsskogar</t>
        </is>
      </c>
      <c r="G205" t="n">
        <v>11.5</v>
      </c>
      <c r="H205" t="n">
        <v>0</v>
      </c>
      <c r="I205" t="n">
        <v>0</v>
      </c>
      <c r="J205" t="n">
        <v>0</v>
      </c>
      <c r="K205" t="n">
        <v>0</v>
      </c>
      <c r="L205" t="n">
        <v>0</v>
      </c>
      <c r="M205" t="n">
        <v>0</v>
      </c>
      <c r="N205" t="n">
        <v>0</v>
      </c>
      <c r="O205" t="n">
        <v>0</v>
      </c>
      <c r="P205" t="n">
        <v>0</v>
      </c>
      <c r="Q205" t="n">
        <v>0</v>
      </c>
      <c r="R205" s="2" t="inlineStr"/>
    </row>
    <row r="206" ht="15" customHeight="1">
      <c r="A206" t="inlineStr">
        <is>
          <t>A 46940-2025</t>
        </is>
      </c>
      <c r="B206" s="1" t="n">
        <v>45929.45483796296</v>
      </c>
      <c r="C206" s="1" t="n">
        <v>46159</v>
      </c>
      <c r="D206" t="inlineStr">
        <is>
          <t>UPPSALA LÄN</t>
        </is>
      </c>
      <c r="E206" t="inlineStr">
        <is>
          <t>ENKÖPING</t>
        </is>
      </c>
      <c r="G206" t="n">
        <v>5.3</v>
      </c>
      <c r="H206" t="n">
        <v>0</v>
      </c>
      <c r="I206" t="n">
        <v>0</v>
      </c>
      <c r="J206" t="n">
        <v>0</v>
      </c>
      <c r="K206" t="n">
        <v>0</v>
      </c>
      <c r="L206" t="n">
        <v>0</v>
      </c>
      <c r="M206" t="n">
        <v>0</v>
      </c>
      <c r="N206" t="n">
        <v>0</v>
      </c>
      <c r="O206" t="n">
        <v>0</v>
      </c>
      <c r="P206" t="n">
        <v>0</v>
      </c>
      <c r="Q206" t="n">
        <v>0</v>
      </c>
      <c r="R206" s="2" t="inlineStr"/>
    </row>
    <row r="207" ht="15" customHeight="1">
      <c r="A207" t="inlineStr">
        <is>
          <t>A 5948-2026</t>
        </is>
      </c>
      <c r="B207" s="1" t="n">
        <v>46052</v>
      </c>
      <c r="C207" s="1" t="n">
        <v>46159</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6031-2026</t>
        </is>
      </c>
      <c r="B208" s="1" t="n">
        <v>46052.61201388889</v>
      </c>
      <c r="C208" s="1" t="n">
        <v>46159</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6047-2026</t>
        </is>
      </c>
      <c r="B209" s="1" t="n">
        <v>46052.62738425926</v>
      </c>
      <c r="C209" s="1" t="n">
        <v>46159</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15740-2025</t>
        </is>
      </c>
      <c r="B210" s="1" t="n">
        <v>45748</v>
      </c>
      <c r="C210" s="1" t="n">
        <v>46159</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57328-2024</t>
        </is>
      </c>
      <c r="B211" s="1" t="n">
        <v>45629.62798611111</v>
      </c>
      <c r="C211" s="1" t="n">
        <v>46159</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57848-2024</t>
        </is>
      </c>
      <c r="B212" s="1" t="n">
        <v>45631.40947916666</v>
      </c>
      <c r="C212" s="1" t="n">
        <v>46159</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18994-2025</t>
        </is>
      </c>
      <c r="B213" s="1" t="n">
        <v>45764.57350694444</v>
      </c>
      <c r="C213" s="1" t="n">
        <v>46159</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49601-2024</t>
        </is>
      </c>
      <c r="B214" s="1" t="n">
        <v>45596.56288194445</v>
      </c>
      <c r="C214" s="1" t="n">
        <v>46159</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48423-2025</t>
        </is>
      </c>
      <c r="B215" s="1" t="n">
        <v>45934.68024305555</v>
      </c>
      <c r="C215" s="1" t="n">
        <v>46159</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48424-2025</t>
        </is>
      </c>
      <c r="B216" s="1" t="n">
        <v>45934.69131944444</v>
      </c>
      <c r="C216" s="1" t="n">
        <v>46159</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48678-2025</t>
        </is>
      </c>
      <c r="B217" s="1" t="n">
        <v>45936.59168981481</v>
      </c>
      <c r="C217" s="1" t="n">
        <v>46159</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56837-2024</t>
        </is>
      </c>
      <c r="B218" s="1" t="n">
        <v>45628</v>
      </c>
      <c r="C218" s="1" t="n">
        <v>46159</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49068-2025</t>
        </is>
      </c>
      <c r="B219" s="1" t="n">
        <v>45937.64766203704</v>
      </c>
      <c r="C219" s="1" t="n">
        <v>46159</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17844-2025</t>
        </is>
      </c>
      <c r="B220" s="1" t="n">
        <v>45758.59920138889</v>
      </c>
      <c r="C220" s="1" t="n">
        <v>46159</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39439-2025</t>
        </is>
      </c>
      <c r="B221" s="1" t="n">
        <v>45889</v>
      </c>
      <c r="C221" s="1" t="n">
        <v>46159</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55876-2024</t>
        </is>
      </c>
      <c r="B222" s="1" t="n">
        <v>45623.5546412037</v>
      </c>
      <c r="C222" s="1" t="n">
        <v>46159</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29513-2025</t>
        </is>
      </c>
      <c r="B223" s="1" t="n">
        <v>45825</v>
      </c>
      <c r="C223" s="1" t="n">
        <v>46159</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43103-2025</t>
        </is>
      </c>
      <c r="B224" s="1" t="n">
        <v>45909</v>
      </c>
      <c r="C224" s="1" t="n">
        <v>46159</v>
      </c>
      <c r="D224" t="inlineStr">
        <is>
          <t>UPPSALA LÄN</t>
        </is>
      </c>
      <c r="E224" t="inlineStr">
        <is>
          <t>ENKÖPING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25334-2023</t>
        </is>
      </c>
      <c r="B225" s="1" t="n">
        <v>45083</v>
      </c>
      <c r="C225" s="1" t="n">
        <v>46159</v>
      </c>
      <c r="D225" t="inlineStr">
        <is>
          <t>UPPSALA LÄN</t>
        </is>
      </c>
      <c r="E225" t="inlineStr">
        <is>
          <t>ENKÖPING</t>
        </is>
      </c>
      <c r="G225" t="n">
        <v>0.2</v>
      </c>
      <c r="H225" t="n">
        <v>0</v>
      </c>
      <c r="I225" t="n">
        <v>0</v>
      </c>
      <c r="J225" t="n">
        <v>0</v>
      </c>
      <c r="K225" t="n">
        <v>0</v>
      </c>
      <c r="L225" t="n">
        <v>0</v>
      </c>
      <c r="M225" t="n">
        <v>0</v>
      </c>
      <c r="N225" t="n">
        <v>0</v>
      </c>
      <c r="O225" t="n">
        <v>0</v>
      </c>
      <c r="P225" t="n">
        <v>0</v>
      </c>
      <c r="Q225" t="n">
        <v>0</v>
      </c>
      <c r="R225" s="2" t="inlineStr"/>
    </row>
    <row r="226" ht="15" customHeight="1">
      <c r="A226" t="inlineStr">
        <is>
          <t>A 49073-2025</t>
        </is>
      </c>
      <c r="B226" s="1" t="n">
        <v>45937.65512731481</v>
      </c>
      <c r="C226" s="1" t="n">
        <v>46159</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33349-2024</t>
        </is>
      </c>
      <c r="B227" s="1" t="n">
        <v>45519</v>
      </c>
      <c r="C227" s="1" t="n">
        <v>46159</v>
      </c>
      <c r="D227" t="inlineStr">
        <is>
          <t>UPPSALA LÄN</t>
        </is>
      </c>
      <c r="E227" t="inlineStr">
        <is>
          <t>ENKÖPING</t>
        </is>
      </c>
      <c r="G227" t="n">
        <v>3.6</v>
      </c>
      <c r="H227" t="n">
        <v>0</v>
      </c>
      <c r="I227" t="n">
        <v>0</v>
      </c>
      <c r="J227" t="n">
        <v>0</v>
      </c>
      <c r="K227" t="n">
        <v>0</v>
      </c>
      <c r="L227" t="n">
        <v>0</v>
      </c>
      <c r="M227" t="n">
        <v>0</v>
      </c>
      <c r="N227" t="n">
        <v>0</v>
      </c>
      <c r="O227" t="n">
        <v>0</v>
      </c>
      <c r="P227" t="n">
        <v>0</v>
      </c>
      <c r="Q227" t="n">
        <v>0</v>
      </c>
      <c r="R227" s="2" t="inlineStr"/>
    </row>
    <row r="228" ht="15" customHeight="1">
      <c r="A228" t="inlineStr">
        <is>
          <t>A 21501-2025</t>
        </is>
      </c>
      <c r="B228" s="1" t="n">
        <v>45782</v>
      </c>
      <c r="C228" s="1" t="n">
        <v>46159</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34987-2025</t>
        </is>
      </c>
      <c r="B229" s="1" t="n">
        <v>45849</v>
      </c>
      <c r="C229" s="1" t="n">
        <v>46159</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53587-2024</t>
        </is>
      </c>
      <c r="B230" s="1" t="n">
        <v>45614.66953703704</v>
      </c>
      <c r="C230" s="1" t="n">
        <v>46159</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34988-2025</t>
        </is>
      </c>
      <c r="B231" s="1" t="n">
        <v>45849</v>
      </c>
      <c r="C231" s="1" t="n">
        <v>46159</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7003-2026</t>
        </is>
      </c>
      <c r="B232" s="1" t="n">
        <v>46057.63243055555</v>
      </c>
      <c r="C232" s="1" t="n">
        <v>46159</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51162-2025</t>
        </is>
      </c>
      <c r="B233" s="1" t="n">
        <v>45947.58820601852</v>
      </c>
      <c r="C233" s="1" t="n">
        <v>46159</v>
      </c>
      <c r="D233" t="inlineStr">
        <is>
          <t>UPPSALA LÄN</t>
        </is>
      </c>
      <c r="E233" t="inlineStr">
        <is>
          <t>ENKÖPING</t>
        </is>
      </c>
      <c r="G233" t="n">
        <v>3.4</v>
      </c>
      <c r="H233" t="n">
        <v>0</v>
      </c>
      <c r="I233" t="n">
        <v>0</v>
      </c>
      <c r="J233" t="n">
        <v>0</v>
      </c>
      <c r="K233" t="n">
        <v>0</v>
      </c>
      <c r="L233" t="n">
        <v>0</v>
      </c>
      <c r="M233" t="n">
        <v>0</v>
      </c>
      <c r="N233" t="n">
        <v>0</v>
      </c>
      <c r="O233" t="n">
        <v>0</v>
      </c>
      <c r="P233" t="n">
        <v>0</v>
      </c>
      <c r="Q233" t="n">
        <v>0</v>
      </c>
      <c r="R233" s="2" t="inlineStr"/>
    </row>
    <row r="234" ht="15" customHeight="1">
      <c r="A234" t="inlineStr">
        <is>
          <t>A 51133-2025</t>
        </is>
      </c>
      <c r="B234" s="1" t="n">
        <v>45947.55598379629</v>
      </c>
      <c r="C234" s="1" t="n">
        <v>46159</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36350-2025</t>
        </is>
      </c>
      <c r="B235" s="1" t="n">
        <v>45868</v>
      </c>
      <c r="C235" s="1" t="n">
        <v>46159</v>
      </c>
      <c r="D235" t="inlineStr">
        <is>
          <t>UPPSALA LÄN</t>
        </is>
      </c>
      <c r="E235" t="inlineStr">
        <is>
          <t>ENKÖPING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1695-2025</t>
        </is>
      </c>
      <c r="B236" s="1" t="n">
        <v>45670</v>
      </c>
      <c r="C236" s="1" t="n">
        <v>46159</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59027-2024</t>
        </is>
      </c>
      <c r="B237" s="1" t="n">
        <v>45636.68755787037</v>
      </c>
      <c r="C237" s="1" t="n">
        <v>46159</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36599-2025</t>
        </is>
      </c>
      <c r="B238" s="1" t="n">
        <v>45870.51723379629</v>
      </c>
      <c r="C238" s="1" t="n">
        <v>46159</v>
      </c>
      <c r="D238" t="inlineStr">
        <is>
          <t>UPPSALA LÄN</t>
        </is>
      </c>
      <c r="E238" t="inlineStr">
        <is>
          <t>ENKÖPING</t>
        </is>
      </c>
      <c r="G238" t="n">
        <v>5.9</v>
      </c>
      <c r="H238" t="n">
        <v>0</v>
      </c>
      <c r="I238" t="n">
        <v>0</v>
      </c>
      <c r="J238" t="n">
        <v>0</v>
      </c>
      <c r="K238" t="n">
        <v>0</v>
      </c>
      <c r="L238" t="n">
        <v>0</v>
      </c>
      <c r="M238" t="n">
        <v>0</v>
      </c>
      <c r="N238" t="n">
        <v>0</v>
      </c>
      <c r="O238" t="n">
        <v>0</v>
      </c>
      <c r="P238" t="n">
        <v>0</v>
      </c>
      <c r="Q238" t="n">
        <v>0</v>
      </c>
      <c r="R238" s="2" t="inlineStr"/>
    </row>
    <row r="239" ht="15" customHeight="1">
      <c r="A239" t="inlineStr">
        <is>
          <t>A 36492-2025</t>
        </is>
      </c>
      <c r="B239" s="1" t="n">
        <v>45869</v>
      </c>
      <c r="C239" s="1" t="n">
        <v>46159</v>
      </c>
      <c r="D239" t="inlineStr">
        <is>
          <t>UPPSALA LÄN</t>
        </is>
      </c>
      <c r="E239" t="inlineStr">
        <is>
          <t>ENKÖPING</t>
        </is>
      </c>
      <c r="G239" t="n">
        <v>6.3</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46159</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3235-2025</t>
        </is>
      </c>
      <c r="B241" s="1" t="n">
        <v>45679</v>
      </c>
      <c r="C241" s="1" t="n">
        <v>46159</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26017-2025</t>
        </is>
      </c>
      <c r="B242" s="1" t="n">
        <v>45804</v>
      </c>
      <c r="C242" s="1" t="n">
        <v>46159</v>
      </c>
      <c r="D242" t="inlineStr">
        <is>
          <t>UPPSALA LÄN</t>
        </is>
      </c>
      <c r="E242" t="inlineStr">
        <is>
          <t>ENKÖPING</t>
        </is>
      </c>
      <c r="G242" t="n">
        <v>0.4</v>
      </c>
      <c r="H242" t="n">
        <v>0</v>
      </c>
      <c r="I242" t="n">
        <v>0</v>
      </c>
      <c r="J242" t="n">
        <v>0</v>
      </c>
      <c r="K242" t="n">
        <v>0</v>
      </c>
      <c r="L242" t="n">
        <v>0</v>
      </c>
      <c r="M242" t="n">
        <v>0</v>
      </c>
      <c r="N242" t="n">
        <v>0</v>
      </c>
      <c r="O242" t="n">
        <v>0</v>
      </c>
      <c r="P242" t="n">
        <v>0</v>
      </c>
      <c r="Q242" t="n">
        <v>0</v>
      </c>
      <c r="R242" s="2" t="inlineStr"/>
    </row>
    <row r="243" ht="15" customHeight="1">
      <c r="A243" t="inlineStr">
        <is>
          <t>A 15711-2025</t>
        </is>
      </c>
      <c r="B243" s="1" t="n">
        <v>45748</v>
      </c>
      <c r="C243" s="1" t="n">
        <v>46159</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7008-2026</t>
        </is>
      </c>
      <c r="B244" s="1" t="n">
        <v>46057.63806712963</v>
      </c>
      <c r="C244" s="1" t="n">
        <v>46159</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6959-2025</t>
        </is>
      </c>
      <c r="B245" s="1" t="n">
        <v>45701.49315972222</v>
      </c>
      <c r="C245" s="1" t="n">
        <v>46159</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17165-2025</t>
        </is>
      </c>
      <c r="B246" s="1" t="n">
        <v>45756</v>
      </c>
      <c r="C246" s="1" t="n">
        <v>46159</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46159</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37296-2025</t>
        </is>
      </c>
      <c r="B248" s="1" t="n">
        <v>45876</v>
      </c>
      <c r="C248" s="1" t="n">
        <v>46159</v>
      </c>
      <c r="D248" t="inlineStr">
        <is>
          <t>UPPSALA LÄN</t>
        </is>
      </c>
      <c r="E248" t="inlineStr">
        <is>
          <t>ENKÖPING</t>
        </is>
      </c>
      <c r="G248" t="n">
        <v>9.5</v>
      </c>
      <c r="H248" t="n">
        <v>0</v>
      </c>
      <c r="I248" t="n">
        <v>0</v>
      </c>
      <c r="J248" t="n">
        <v>0</v>
      </c>
      <c r="K248" t="n">
        <v>0</v>
      </c>
      <c r="L248" t="n">
        <v>0</v>
      </c>
      <c r="M248" t="n">
        <v>0</v>
      </c>
      <c r="N248" t="n">
        <v>0</v>
      </c>
      <c r="O248" t="n">
        <v>0</v>
      </c>
      <c r="P248" t="n">
        <v>0</v>
      </c>
      <c r="Q248" t="n">
        <v>0</v>
      </c>
      <c r="R248" s="2" t="inlineStr"/>
    </row>
    <row r="249" ht="15" customHeight="1">
      <c r="A249" t="inlineStr">
        <is>
          <t>A 37498-2025</t>
        </is>
      </c>
      <c r="B249" s="1" t="n">
        <v>45877</v>
      </c>
      <c r="C249" s="1" t="n">
        <v>46159</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26011-2025</t>
        </is>
      </c>
      <c r="B250" s="1" t="n">
        <v>45804.67412037037</v>
      </c>
      <c r="C250" s="1" t="n">
        <v>46159</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52299-2023</t>
        </is>
      </c>
      <c r="B251" s="1" t="n">
        <v>45224.61636574074</v>
      </c>
      <c r="C251" s="1" t="n">
        <v>46159</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49622-2024</t>
        </is>
      </c>
      <c r="B252" s="1" t="n">
        <v>45596.58372685185</v>
      </c>
      <c r="C252" s="1" t="n">
        <v>46159</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25598-2021</t>
        </is>
      </c>
      <c r="B253" s="1" t="n">
        <v>44343.4558912037</v>
      </c>
      <c r="C253" s="1" t="n">
        <v>46159</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32081-2024</t>
        </is>
      </c>
      <c r="B254" s="1" t="n">
        <v>45511.34605324074</v>
      </c>
      <c r="C254" s="1" t="n">
        <v>46159</v>
      </c>
      <c r="D254" t="inlineStr">
        <is>
          <t>UPPSALA LÄN</t>
        </is>
      </c>
      <c r="E254" t="inlineStr">
        <is>
          <t>ENKÖPING</t>
        </is>
      </c>
      <c r="G254" t="n">
        <v>5.4</v>
      </c>
      <c r="H254" t="n">
        <v>0</v>
      </c>
      <c r="I254" t="n">
        <v>0</v>
      </c>
      <c r="J254" t="n">
        <v>0</v>
      </c>
      <c r="K254" t="n">
        <v>0</v>
      </c>
      <c r="L254" t="n">
        <v>0</v>
      </c>
      <c r="M254" t="n">
        <v>0</v>
      </c>
      <c r="N254" t="n">
        <v>0</v>
      </c>
      <c r="O254" t="n">
        <v>0</v>
      </c>
      <c r="P254" t="n">
        <v>0</v>
      </c>
      <c r="Q254" t="n">
        <v>0</v>
      </c>
      <c r="R254" s="2" t="inlineStr"/>
    </row>
    <row r="255" ht="15" customHeight="1">
      <c r="A255" t="inlineStr">
        <is>
          <t>A 20184-2023</t>
        </is>
      </c>
      <c r="B255" s="1" t="n">
        <v>45055.5670949074</v>
      </c>
      <c r="C255" s="1" t="n">
        <v>46159</v>
      </c>
      <c r="D255" t="inlineStr">
        <is>
          <t>UPPSALA LÄN</t>
        </is>
      </c>
      <c r="E255" t="inlineStr">
        <is>
          <t>ENKÖPING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61952-2021</t>
        </is>
      </c>
      <c r="B256" s="1" t="n">
        <v>44502</v>
      </c>
      <c r="C256" s="1" t="n">
        <v>46159</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54263-2025</t>
        </is>
      </c>
      <c r="B257" s="1" t="n">
        <v>45964.66271990741</v>
      </c>
      <c r="C257" s="1" t="n">
        <v>46159</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2850-2025</t>
        </is>
      </c>
      <c r="B258" s="1" t="n">
        <v>45677</v>
      </c>
      <c r="C258" s="1" t="n">
        <v>46159</v>
      </c>
      <c r="D258" t="inlineStr">
        <is>
          <t>UPPSALA LÄN</t>
        </is>
      </c>
      <c r="E258" t="inlineStr">
        <is>
          <t>ENKÖPING</t>
        </is>
      </c>
      <c r="G258" t="n">
        <v>0.3</v>
      </c>
      <c r="H258" t="n">
        <v>0</v>
      </c>
      <c r="I258" t="n">
        <v>0</v>
      </c>
      <c r="J258" t="n">
        <v>0</v>
      </c>
      <c r="K258" t="n">
        <v>0</v>
      </c>
      <c r="L258" t="n">
        <v>0</v>
      </c>
      <c r="M258" t="n">
        <v>0</v>
      </c>
      <c r="N258" t="n">
        <v>0</v>
      </c>
      <c r="O258" t="n">
        <v>0</v>
      </c>
      <c r="P258" t="n">
        <v>0</v>
      </c>
      <c r="Q258" t="n">
        <v>0</v>
      </c>
      <c r="R258" s="2" t="inlineStr"/>
    </row>
    <row r="259" ht="15" customHeight="1">
      <c r="A259" t="inlineStr">
        <is>
          <t>A 21017-2023</t>
        </is>
      </c>
      <c r="B259" s="1" t="n">
        <v>45061</v>
      </c>
      <c r="C259" s="1" t="n">
        <v>46159</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59602-2022</t>
        </is>
      </c>
      <c r="B260" s="1" t="n">
        <v>44907.72241898148</v>
      </c>
      <c r="C260" s="1" t="n">
        <v>46159</v>
      </c>
      <c r="D260" t="inlineStr">
        <is>
          <t>UPPSALA LÄN</t>
        </is>
      </c>
      <c r="E260" t="inlineStr">
        <is>
          <t>ENKÖPING</t>
        </is>
      </c>
      <c r="G260" t="n">
        <v>14.2</v>
      </c>
      <c r="H260" t="n">
        <v>0</v>
      </c>
      <c r="I260" t="n">
        <v>0</v>
      </c>
      <c r="J260" t="n">
        <v>0</v>
      </c>
      <c r="K260" t="n">
        <v>0</v>
      </c>
      <c r="L260" t="n">
        <v>0</v>
      </c>
      <c r="M260" t="n">
        <v>0</v>
      </c>
      <c r="N260" t="n">
        <v>0</v>
      </c>
      <c r="O260" t="n">
        <v>0</v>
      </c>
      <c r="P260" t="n">
        <v>0</v>
      </c>
      <c r="Q260" t="n">
        <v>0</v>
      </c>
      <c r="R260" s="2" t="inlineStr"/>
    </row>
    <row r="261" ht="15" customHeight="1">
      <c r="A261" t="inlineStr">
        <is>
          <t>A 42589-2022</t>
        </is>
      </c>
      <c r="B261" s="1" t="n">
        <v>44831</v>
      </c>
      <c r="C261" s="1" t="n">
        <v>46159</v>
      </c>
      <c r="D261" t="inlineStr">
        <is>
          <t>UPPSALA LÄN</t>
        </is>
      </c>
      <c r="E261" t="inlineStr">
        <is>
          <t>ENKÖPING</t>
        </is>
      </c>
      <c r="G261" t="n">
        <v>20</v>
      </c>
      <c r="H261" t="n">
        <v>0</v>
      </c>
      <c r="I261" t="n">
        <v>0</v>
      </c>
      <c r="J261" t="n">
        <v>0</v>
      </c>
      <c r="K261" t="n">
        <v>0</v>
      </c>
      <c r="L261" t="n">
        <v>0</v>
      </c>
      <c r="M261" t="n">
        <v>0</v>
      </c>
      <c r="N261" t="n">
        <v>0</v>
      </c>
      <c r="O261" t="n">
        <v>0</v>
      </c>
      <c r="P261" t="n">
        <v>0</v>
      </c>
      <c r="Q261" t="n">
        <v>0</v>
      </c>
      <c r="R261" s="2" t="inlineStr"/>
    </row>
    <row r="262" ht="15" customHeight="1">
      <c r="A262" t="inlineStr">
        <is>
          <t>A 8309-2026</t>
        </is>
      </c>
      <c r="B262" s="1" t="n">
        <v>46064.59081018518</v>
      </c>
      <c r="C262" s="1" t="n">
        <v>46159</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35645-2021</t>
        </is>
      </c>
      <c r="B263" s="1" t="n">
        <v>44386.42</v>
      </c>
      <c r="C263" s="1" t="n">
        <v>46159</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54844-2025</t>
        </is>
      </c>
      <c r="B264" s="1" t="n">
        <v>45966.69570601852</v>
      </c>
      <c r="C264" s="1" t="n">
        <v>46159</v>
      </c>
      <c r="D264" t="inlineStr">
        <is>
          <t>UPPSALA LÄN</t>
        </is>
      </c>
      <c r="E264" t="inlineStr">
        <is>
          <t>ENKÖPING</t>
        </is>
      </c>
      <c r="G264" t="n">
        <v>5.5</v>
      </c>
      <c r="H264" t="n">
        <v>0</v>
      </c>
      <c r="I264" t="n">
        <v>0</v>
      </c>
      <c r="J264" t="n">
        <v>0</v>
      </c>
      <c r="K264" t="n">
        <v>0</v>
      </c>
      <c r="L264" t="n">
        <v>0</v>
      </c>
      <c r="M264" t="n">
        <v>0</v>
      </c>
      <c r="N264" t="n">
        <v>0</v>
      </c>
      <c r="O264" t="n">
        <v>0</v>
      </c>
      <c r="P264" t="n">
        <v>0</v>
      </c>
      <c r="Q264" t="n">
        <v>0</v>
      </c>
      <c r="R264" s="2" t="inlineStr"/>
    </row>
    <row r="265" ht="15" customHeight="1">
      <c r="A265" t="inlineStr">
        <is>
          <t>A 2968-2025</t>
        </is>
      </c>
      <c r="B265" s="1" t="n">
        <v>45678</v>
      </c>
      <c r="C265" s="1" t="n">
        <v>46159</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56176-2021</t>
        </is>
      </c>
      <c r="B266" s="1" t="n">
        <v>44477</v>
      </c>
      <c r="C266" s="1" t="n">
        <v>46159</v>
      </c>
      <c r="D266" t="inlineStr">
        <is>
          <t>UPPSALA LÄN</t>
        </is>
      </c>
      <c r="E266" t="inlineStr">
        <is>
          <t>ENKÖPING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54758-2025</t>
        </is>
      </c>
      <c r="B267" s="1" t="n">
        <v>45966.59737268519</v>
      </c>
      <c r="C267" s="1" t="n">
        <v>46159</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54541-2025</t>
        </is>
      </c>
      <c r="B268" s="1" t="n">
        <v>45965.64733796296</v>
      </c>
      <c r="C268" s="1" t="n">
        <v>46159</v>
      </c>
      <c r="D268" t="inlineStr">
        <is>
          <t>UPPSALA LÄN</t>
        </is>
      </c>
      <c r="E268" t="inlineStr">
        <is>
          <t>ENKÖPING</t>
        </is>
      </c>
      <c r="G268" t="n">
        <v>3.1</v>
      </c>
      <c r="H268" t="n">
        <v>0</v>
      </c>
      <c r="I268" t="n">
        <v>0</v>
      </c>
      <c r="J268" t="n">
        <v>0</v>
      </c>
      <c r="K268" t="n">
        <v>0</v>
      </c>
      <c r="L268" t="n">
        <v>0</v>
      </c>
      <c r="M268" t="n">
        <v>0</v>
      </c>
      <c r="N268" t="n">
        <v>0</v>
      </c>
      <c r="O268" t="n">
        <v>0</v>
      </c>
      <c r="P268" t="n">
        <v>0</v>
      </c>
      <c r="Q268" t="n">
        <v>0</v>
      </c>
      <c r="R268" s="2" t="inlineStr"/>
    </row>
    <row r="269" ht="15" customHeight="1">
      <c r="A269" t="inlineStr">
        <is>
          <t>A 9487-2025</t>
        </is>
      </c>
      <c r="B269" s="1" t="n">
        <v>45715.49331018519</v>
      </c>
      <c r="C269" s="1" t="n">
        <v>46159</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16176-2025</t>
        </is>
      </c>
      <c r="B270" s="1" t="n">
        <v>45750</v>
      </c>
      <c r="C270" s="1" t="n">
        <v>46159</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37035-2023</t>
        </is>
      </c>
      <c r="B271" s="1" t="n">
        <v>45155</v>
      </c>
      <c r="C271" s="1" t="n">
        <v>46159</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46186-2023</t>
        </is>
      </c>
      <c r="B272" s="1" t="n">
        <v>45196</v>
      </c>
      <c r="C272" s="1" t="n">
        <v>46159</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15162-2025</t>
        </is>
      </c>
      <c r="B273" s="1" t="n">
        <v>45744</v>
      </c>
      <c r="C273" s="1" t="n">
        <v>46159</v>
      </c>
      <c r="D273" t="inlineStr">
        <is>
          <t>UPPSALA LÄN</t>
        </is>
      </c>
      <c r="E273" t="inlineStr">
        <is>
          <t>ENKÖPING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9148-2026</t>
        </is>
      </c>
      <c r="B274" s="1" t="n">
        <v>46070.30946759259</v>
      </c>
      <c r="C274" s="1" t="n">
        <v>46159</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55567-2025</t>
        </is>
      </c>
      <c r="B275" s="1" t="n">
        <v>45971.65589120371</v>
      </c>
      <c r="C275" s="1" t="n">
        <v>46159</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18299-2025</t>
        </is>
      </c>
      <c r="B276" s="1" t="n">
        <v>45762</v>
      </c>
      <c r="C276" s="1" t="n">
        <v>46159</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6242-2025</t>
        </is>
      </c>
      <c r="B277" s="1" t="n">
        <v>45697</v>
      </c>
      <c r="C277" s="1" t="n">
        <v>46159</v>
      </c>
      <c r="D277" t="inlineStr">
        <is>
          <t>UPPSALA LÄN</t>
        </is>
      </c>
      <c r="E277" t="inlineStr">
        <is>
          <t>ENKÖPING</t>
        </is>
      </c>
      <c r="G277" t="n">
        <v>17.9</v>
      </c>
      <c r="H277" t="n">
        <v>0</v>
      </c>
      <c r="I277" t="n">
        <v>0</v>
      </c>
      <c r="J277" t="n">
        <v>0</v>
      </c>
      <c r="K277" t="n">
        <v>0</v>
      </c>
      <c r="L277" t="n">
        <v>0</v>
      </c>
      <c r="M277" t="n">
        <v>0</v>
      </c>
      <c r="N277" t="n">
        <v>0</v>
      </c>
      <c r="O277" t="n">
        <v>0</v>
      </c>
      <c r="P277" t="n">
        <v>0</v>
      </c>
      <c r="Q277" t="n">
        <v>0</v>
      </c>
      <c r="R277" s="2" t="inlineStr"/>
    </row>
    <row r="278" ht="15" customHeight="1">
      <c r="A278" t="inlineStr">
        <is>
          <t>A 6144-2024</t>
        </is>
      </c>
      <c r="B278" s="1" t="n">
        <v>45337.4684837963</v>
      </c>
      <c r="C278" s="1" t="n">
        <v>46159</v>
      </c>
      <c r="D278" t="inlineStr">
        <is>
          <t>UPPSALA LÄN</t>
        </is>
      </c>
      <c r="E278" t="inlineStr">
        <is>
          <t>ENKÖPING</t>
        </is>
      </c>
      <c r="G278" t="n">
        <v>13.8</v>
      </c>
      <c r="H278" t="n">
        <v>0</v>
      </c>
      <c r="I278" t="n">
        <v>0</v>
      </c>
      <c r="J278" t="n">
        <v>0</v>
      </c>
      <c r="K278" t="n">
        <v>0</v>
      </c>
      <c r="L278" t="n">
        <v>0</v>
      </c>
      <c r="M278" t="n">
        <v>0</v>
      </c>
      <c r="N278" t="n">
        <v>0</v>
      </c>
      <c r="O278" t="n">
        <v>0</v>
      </c>
      <c r="P278" t="n">
        <v>0</v>
      </c>
      <c r="Q278" t="n">
        <v>0</v>
      </c>
      <c r="R278" s="2" t="inlineStr"/>
    </row>
    <row r="279" ht="15" customHeight="1">
      <c r="A279" t="inlineStr">
        <is>
          <t>A 67984-2021</t>
        </is>
      </c>
      <c r="B279" s="1" t="n">
        <v>44525.70237268518</v>
      </c>
      <c r="C279" s="1" t="n">
        <v>46159</v>
      </c>
      <c r="D279" t="inlineStr">
        <is>
          <t>UPPSALA LÄN</t>
        </is>
      </c>
      <c r="E279" t="inlineStr">
        <is>
          <t>ENKÖPING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9467-2026</t>
        </is>
      </c>
      <c r="B280" s="1" t="n">
        <v>46071.50694444445</v>
      </c>
      <c r="C280" s="1" t="n">
        <v>46159</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9474-2026</t>
        </is>
      </c>
      <c r="B281" s="1" t="n">
        <v>46071.52324074074</v>
      </c>
      <c r="C281" s="1" t="n">
        <v>46159</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11918-2025</t>
        </is>
      </c>
      <c r="B282" s="1" t="n">
        <v>45728.49331018519</v>
      </c>
      <c r="C282" s="1" t="n">
        <v>46159</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56625-2025</t>
        </is>
      </c>
      <c r="B283" s="1" t="n">
        <v>45975.60608796297</v>
      </c>
      <c r="C283" s="1" t="n">
        <v>46159</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57294-2025</t>
        </is>
      </c>
      <c r="B284" s="1" t="n">
        <v>45979</v>
      </c>
      <c r="C284" s="1" t="n">
        <v>46159</v>
      </c>
      <c r="D284" t="inlineStr">
        <is>
          <t>UPPSALA LÄN</t>
        </is>
      </c>
      <c r="E284" t="inlineStr">
        <is>
          <t>ENKÖPING</t>
        </is>
      </c>
      <c r="G284" t="n">
        <v>6.2</v>
      </c>
      <c r="H284" t="n">
        <v>0</v>
      </c>
      <c r="I284" t="n">
        <v>0</v>
      </c>
      <c r="J284" t="n">
        <v>0</v>
      </c>
      <c r="K284" t="n">
        <v>0</v>
      </c>
      <c r="L284" t="n">
        <v>0</v>
      </c>
      <c r="M284" t="n">
        <v>0</v>
      </c>
      <c r="N284" t="n">
        <v>0</v>
      </c>
      <c r="O284" t="n">
        <v>0</v>
      </c>
      <c r="P284" t="n">
        <v>0</v>
      </c>
      <c r="Q284" t="n">
        <v>0</v>
      </c>
      <c r="R284" s="2" t="inlineStr"/>
    </row>
    <row r="285" ht="15" customHeight="1">
      <c r="A285" t="inlineStr">
        <is>
          <t>A 9469-2026</t>
        </is>
      </c>
      <c r="B285" s="1" t="n">
        <v>46071.51248842593</v>
      </c>
      <c r="C285" s="1" t="n">
        <v>46159</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43896-2022</t>
        </is>
      </c>
      <c r="B286" s="1" t="n">
        <v>44838</v>
      </c>
      <c r="C286" s="1" t="n">
        <v>46159</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58025-2025</t>
        </is>
      </c>
      <c r="B287" s="1" t="n">
        <v>45982</v>
      </c>
      <c r="C287" s="1" t="n">
        <v>46159</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20440-2025</t>
        </is>
      </c>
      <c r="B288" s="1" t="n">
        <v>45775</v>
      </c>
      <c r="C288" s="1" t="n">
        <v>46159</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41737-2022</t>
        </is>
      </c>
      <c r="B289" s="1" t="n">
        <v>44827.63826388889</v>
      </c>
      <c r="C289" s="1" t="n">
        <v>46159</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46159</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22094-2023</t>
        </is>
      </c>
      <c r="B291" s="1" t="n">
        <v>45069</v>
      </c>
      <c r="C291" s="1" t="n">
        <v>46159</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57188-2025</t>
        </is>
      </c>
      <c r="B292" s="1" t="n">
        <v>45979</v>
      </c>
      <c r="C292" s="1" t="n">
        <v>46159</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35647-2021</t>
        </is>
      </c>
      <c r="B293" s="1" t="n">
        <v>44386</v>
      </c>
      <c r="C293" s="1" t="n">
        <v>46159</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60125-2024</t>
        </is>
      </c>
      <c r="B294" s="1" t="n">
        <v>45642</v>
      </c>
      <c r="C294" s="1" t="n">
        <v>46159</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24962-2023</t>
        </is>
      </c>
      <c r="B295" s="1" t="n">
        <v>45085.60123842592</v>
      </c>
      <c r="C295" s="1" t="n">
        <v>46159</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44131-2023</t>
        </is>
      </c>
      <c r="B296" s="1" t="n">
        <v>45188</v>
      </c>
      <c r="C296" s="1" t="n">
        <v>46159</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29482-2022</t>
        </is>
      </c>
      <c r="B297" s="1" t="n">
        <v>44753.57703703704</v>
      </c>
      <c r="C297" s="1" t="n">
        <v>46159</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29483-2022</t>
        </is>
      </c>
      <c r="B298" s="1" t="n">
        <v>44753.57829861111</v>
      </c>
      <c r="C298" s="1" t="n">
        <v>46159</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37170-2021</t>
        </is>
      </c>
      <c r="B299" s="1" t="n">
        <v>44395</v>
      </c>
      <c r="C299" s="1" t="n">
        <v>46159</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59668-2025</t>
        </is>
      </c>
      <c r="B300" s="1" t="n">
        <v>45992.45567129629</v>
      </c>
      <c r="C300" s="1" t="n">
        <v>46159</v>
      </c>
      <c r="D300" t="inlineStr">
        <is>
          <t>UPPSALA LÄN</t>
        </is>
      </c>
      <c r="E300" t="inlineStr">
        <is>
          <t>ENKÖPING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53496-2022</t>
        </is>
      </c>
      <c r="B301" s="1" t="n">
        <v>44879.57217592592</v>
      </c>
      <c r="C301" s="1" t="n">
        <v>46159</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7870-2024</t>
        </is>
      </c>
      <c r="B302" s="1" t="n">
        <v>45350.33349537037</v>
      </c>
      <c r="C302" s="1" t="n">
        <v>46159</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28243-2023</t>
        </is>
      </c>
      <c r="B303" s="1" t="n">
        <v>45099.58885416666</v>
      </c>
      <c r="C303" s="1" t="n">
        <v>46159</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59964-2025</t>
        </is>
      </c>
      <c r="B304" s="1" t="n">
        <v>45993.48043981481</v>
      </c>
      <c r="C304" s="1" t="n">
        <v>46159</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10829-2024</t>
        </is>
      </c>
      <c r="B305" s="1" t="n">
        <v>45369</v>
      </c>
      <c r="C305" s="1" t="n">
        <v>46159</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60174-2025</t>
        </is>
      </c>
      <c r="B306" s="1" t="n">
        <v>45994.45039351852</v>
      </c>
      <c r="C306" s="1" t="n">
        <v>46159</v>
      </c>
      <c r="D306" t="inlineStr">
        <is>
          <t>UPPSALA LÄN</t>
        </is>
      </c>
      <c r="E306" t="inlineStr">
        <is>
          <t>ENKÖPING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60175-2025</t>
        </is>
      </c>
      <c r="B307" s="1" t="n">
        <v>45994.45378472222</v>
      </c>
      <c r="C307" s="1" t="n">
        <v>46159</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2161-2023</t>
        </is>
      </c>
      <c r="B308" s="1" t="n">
        <v>44941</v>
      </c>
      <c r="C308" s="1" t="n">
        <v>46159</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2165-2023</t>
        </is>
      </c>
      <c r="B309" s="1" t="n">
        <v>44941</v>
      </c>
      <c r="C309" s="1" t="n">
        <v>46159</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60340-2025</t>
        </is>
      </c>
      <c r="B310" s="1" t="n">
        <v>45994.83415509259</v>
      </c>
      <c r="C310" s="1" t="n">
        <v>46159</v>
      </c>
      <c r="D310" t="inlineStr">
        <is>
          <t>UPPSALA LÄN</t>
        </is>
      </c>
      <c r="E310" t="inlineStr">
        <is>
          <t>ENKÖPING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60947-2025</t>
        </is>
      </c>
      <c r="B311" s="1" t="n">
        <v>45999</v>
      </c>
      <c r="C311" s="1" t="n">
        <v>46159</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17418-2026</t>
        </is>
      </c>
      <c r="B312" s="1" t="n">
        <v>46120.3591087963</v>
      </c>
      <c r="C312" s="1" t="n">
        <v>46159</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17419-2026</t>
        </is>
      </c>
      <c r="B313" s="1" t="n">
        <v>46120.36064814815</v>
      </c>
      <c r="C313" s="1" t="n">
        <v>46159</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29477-2025</t>
        </is>
      </c>
      <c r="B314" s="1" t="n">
        <v>45824.71537037037</v>
      </c>
      <c r="C314" s="1" t="n">
        <v>46159</v>
      </c>
      <c r="D314" t="inlineStr">
        <is>
          <t>UPPSALA LÄN</t>
        </is>
      </c>
      <c r="E314" t="inlineStr">
        <is>
          <t>ENKÖPING</t>
        </is>
      </c>
      <c r="G314" t="n">
        <v>13.4</v>
      </c>
      <c r="H314" t="n">
        <v>0</v>
      </c>
      <c r="I314" t="n">
        <v>0</v>
      </c>
      <c r="J314" t="n">
        <v>0</v>
      </c>
      <c r="K314" t="n">
        <v>0</v>
      </c>
      <c r="L314" t="n">
        <v>0</v>
      </c>
      <c r="M314" t="n">
        <v>0</v>
      </c>
      <c r="N314" t="n">
        <v>0</v>
      </c>
      <c r="O314" t="n">
        <v>0</v>
      </c>
      <c r="P314" t="n">
        <v>0</v>
      </c>
      <c r="Q314" t="n">
        <v>0</v>
      </c>
      <c r="R314" s="2" t="inlineStr"/>
    </row>
    <row r="315" ht="15" customHeight="1">
      <c r="A315" t="inlineStr">
        <is>
          <t>A 60934-2025</t>
        </is>
      </c>
      <c r="B315" s="1" t="n">
        <v>45999</v>
      </c>
      <c r="C315" s="1" t="n">
        <v>46159</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13853-2023</t>
        </is>
      </c>
      <c r="B316" s="1" t="n">
        <v>45007</v>
      </c>
      <c r="C316" s="1" t="n">
        <v>46159</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61437-2025</t>
        </is>
      </c>
      <c r="B317" s="1" t="n">
        <v>46001.5659375</v>
      </c>
      <c r="C317" s="1" t="n">
        <v>46159</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38941-2025</t>
        </is>
      </c>
      <c r="B318" s="1" t="n">
        <v>45887</v>
      </c>
      <c r="C318" s="1" t="n">
        <v>46159</v>
      </c>
      <c r="D318" t="inlineStr">
        <is>
          <t>UPPSALA LÄN</t>
        </is>
      </c>
      <c r="E318" t="inlineStr">
        <is>
          <t>ENKÖPING</t>
        </is>
      </c>
      <c r="F318" t="inlineStr">
        <is>
          <t>Övriga statliga verk och myndigheter</t>
        </is>
      </c>
      <c r="G318" t="n">
        <v>0.6</v>
      </c>
      <c r="H318" t="n">
        <v>0</v>
      </c>
      <c r="I318" t="n">
        <v>0</v>
      </c>
      <c r="J318" t="n">
        <v>0</v>
      </c>
      <c r="K318" t="n">
        <v>0</v>
      </c>
      <c r="L318" t="n">
        <v>0</v>
      </c>
      <c r="M318" t="n">
        <v>0</v>
      </c>
      <c r="N318" t="n">
        <v>0</v>
      </c>
      <c r="O318" t="n">
        <v>0</v>
      </c>
      <c r="P318" t="n">
        <v>0</v>
      </c>
      <c r="Q318" t="n">
        <v>0</v>
      </c>
      <c r="R318" s="2" t="inlineStr"/>
    </row>
    <row r="319" ht="15" customHeight="1">
      <c r="A319" t="inlineStr">
        <is>
          <t>A 61778-2025</t>
        </is>
      </c>
      <c r="B319" s="1" t="n">
        <v>46002.66555555556</v>
      </c>
      <c r="C319" s="1" t="n">
        <v>46159</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63310-2021</t>
        </is>
      </c>
      <c r="B320" s="1" t="n">
        <v>44508</v>
      </c>
      <c r="C320" s="1" t="n">
        <v>46159</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61811-2025</t>
        </is>
      </c>
      <c r="B321" s="1" t="n">
        <v>46002.90059027778</v>
      </c>
      <c r="C321" s="1" t="n">
        <v>46159</v>
      </c>
      <c r="D321" t="inlineStr">
        <is>
          <t>UPPSALA LÄN</t>
        </is>
      </c>
      <c r="E321" t="inlineStr">
        <is>
          <t>ENKÖPING</t>
        </is>
      </c>
      <c r="F321" t="inlineStr">
        <is>
          <t>Allmännings- och besparingsskogar</t>
        </is>
      </c>
      <c r="G321" t="n">
        <v>4.7</v>
      </c>
      <c r="H321" t="n">
        <v>0</v>
      </c>
      <c r="I321" t="n">
        <v>0</v>
      </c>
      <c r="J321" t="n">
        <v>0</v>
      </c>
      <c r="K321" t="n">
        <v>0</v>
      </c>
      <c r="L321" t="n">
        <v>0</v>
      </c>
      <c r="M321" t="n">
        <v>0</v>
      </c>
      <c r="N321" t="n">
        <v>0</v>
      </c>
      <c r="O321" t="n">
        <v>0</v>
      </c>
      <c r="P321" t="n">
        <v>0</v>
      </c>
      <c r="Q321" t="n">
        <v>0</v>
      </c>
      <c r="R321" s="2" t="inlineStr"/>
    </row>
    <row r="322" ht="15" customHeight="1">
      <c r="A322" t="inlineStr">
        <is>
          <t>A 61106-2022</t>
        </is>
      </c>
      <c r="B322" s="1" t="n">
        <v>44915.4128587963</v>
      </c>
      <c r="C322" s="1" t="n">
        <v>46159</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61889-2025</t>
        </is>
      </c>
      <c r="B323" s="1" t="n">
        <v>46003.44765046296</v>
      </c>
      <c r="C323" s="1" t="n">
        <v>46159</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9171-2024</t>
        </is>
      </c>
      <c r="B324" s="1" t="n">
        <v>45358</v>
      </c>
      <c r="C324" s="1" t="n">
        <v>46159</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671-2022</t>
        </is>
      </c>
      <c r="B325" s="1" t="n">
        <v>44568</v>
      </c>
      <c r="C325" s="1" t="n">
        <v>46159</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11005-2023</t>
        </is>
      </c>
      <c r="B326" s="1" t="n">
        <v>44991</v>
      </c>
      <c r="C326" s="1" t="n">
        <v>46159</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62772-2025</t>
        </is>
      </c>
      <c r="B327" s="1" t="n">
        <v>46008.60365740741</v>
      </c>
      <c r="C327" s="1" t="n">
        <v>46159</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62599-2025</t>
        </is>
      </c>
      <c r="B328" s="1" t="n">
        <v>46007.91961805556</v>
      </c>
      <c r="C328" s="1" t="n">
        <v>46159</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62601-2025</t>
        </is>
      </c>
      <c r="B329" s="1" t="n">
        <v>46007.92395833333</v>
      </c>
      <c r="C329" s="1" t="n">
        <v>46159</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62602-2025</t>
        </is>
      </c>
      <c r="B330" s="1" t="n">
        <v>46007.92581018519</v>
      </c>
      <c r="C330" s="1" t="n">
        <v>46159</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62600-2025</t>
        </is>
      </c>
      <c r="B331" s="1" t="n">
        <v>46007.92175925926</v>
      </c>
      <c r="C331" s="1" t="n">
        <v>46159</v>
      </c>
      <c r="D331" t="inlineStr">
        <is>
          <t>UPPSALA LÄN</t>
        </is>
      </c>
      <c r="E331" t="inlineStr">
        <is>
          <t>ENKÖPING</t>
        </is>
      </c>
      <c r="G331" t="n">
        <v>2</v>
      </c>
      <c r="H331" t="n">
        <v>0</v>
      </c>
      <c r="I331" t="n">
        <v>0</v>
      </c>
      <c r="J331" t="n">
        <v>0</v>
      </c>
      <c r="K331" t="n">
        <v>0</v>
      </c>
      <c r="L331" t="n">
        <v>0</v>
      </c>
      <c r="M331" t="n">
        <v>0</v>
      </c>
      <c r="N331" t="n">
        <v>0</v>
      </c>
      <c r="O331" t="n">
        <v>0</v>
      </c>
      <c r="P331" t="n">
        <v>0</v>
      </c>
      <c r="Q331" t="n">
        <v>0</v>
      </c>
      <c r="R331" s="2" t="inlineStr"/>
    </row>
    <row r="332" ht="15" customHeight="1">
      <c r="A332" t="inlineStr">
        <is>
          <t>A 29918-2023</t>
        </is>
      </c>
      <c r="B332" s="1" t="n">
        <v>45099</v>
      </c>
      <c r="C332" s="1" t="n">
        <v>46159</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63128-2025</t>
        </is>
      </c>
      <c r="B333" s="1" t="n">
        <v>46009</v>
      </c>
      <c r="C333" s="1" t="n">
        <v>46159</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58384-2022</t>
        </is>
      </c>
      <c r="B334" s="1" t="n">
        <v>44901</v>
      </c>
      <c r="C334" s="1" t="n">
        <v>46159</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43016-2021</t>
        </is>
      </c>
      <c r="B335" s="1" t="n">
        <v>44431</v>
      </c>
      <c r="C335" s="1" t="n">
        <v>46159</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15893-2024</t>
        </is>
      </c>
      <c r="B336" s="1" t="n">
        <v>45405</v>
      </c>
      <c r="C336" s="1" t="n">
        <v>46159</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33343-2024</t>
        </is>
      </c>
      <c r="B337" s="1" t="n">
        <v>45519</v>
      </c>
      <c r="C337" s="1" t="n">
        <v>46159</v>
      </c>
      <c r="D337" t="inlineStr">
        <is>
          <t>UPPSALA LÄN</t>
        </is>
      </c>
      <c r="E337" t="inlineStr">
        <is>
          <t>ENKÖPING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46159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46159</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5188-2022</t>
        </is>
      </c>
      <c r="B340" s="1" t="n">
        <v>44594.4471412037</v>
      </c>
      <c r="C340" s="1" t="n">
        <v>46159</v>
      </c>
      <c r="D340" t="inlineStr">
        <is>
          <t>UPPSALA LÄN</t>
        </is>
      </c>
      <c r="E340" t="inlineStr">
        <is>
          <t>ENKÖPING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19014-2025</t>
        </is>
      </c>
      <c r="B341" s="1" t="n">
        <v>45764.59631944444</v>
      </c>
      <c r="C341" s="1" t="n">
        <v>46159</v>
      </c>
      <c r="D341" t="inlineStr">
        <is>
          <t>UPPSALA LÄN</t>
        </is>
      </c>
      <c r="E341" t="inlineStr">
        <is>
          <t>ENKÖPING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43691-2024</t>
        </is>
      </c>
      <c r="B342" s="1" t="n">
        <v>45569</v>
      </c>
      <c r="C342" s="1" t="n">
        <v>46159</v>
      </c>
      <c r="D342" t="inlineStr">
        <is>
          <t>UPPSALA LÄN</t>
        </is>
      </c>
      <c r="E342" t="inlineStr">
        <is>
          <t>ENKÖPING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18565-2026</t>
        </is>
      </c>
      <c r="B343" s="1" t="n">
        <v>46127.5871412037</v>
      </c>
      <c r="C343" s="1" t="n">
        <v>46159</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19376-2024</t>
        </is>
      </c>
      <c r="B344" s="1" t="n">
        <v>45429</v>
      </c>
      <c r="C344" s="1" t="n">
        <v>46159</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33670-2024</t>
        </is>
      </c>
      <c r="B345" s="1" t="n">
        <v>45520</v>
      </c>
      <c r="C345" s="1" t="n">
        <v>46159</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18562-2026</t>
        </is>
      </c>
      <c r="B346" s="1" t="n">
        <v>46127</v>
      </c>
      <c r="C346" s="1" t="n">
        <v>46159</v>
      </c>
      <c r="D346" t="inlineStr">
        <is>
          <t>UPPSALA LÄN</t>
        </is>
      </c>
      <c r="E346" t="inlineStr">
        <is>
          <t>ENKÖPING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18643-2026</t>
        </is>
      </c>
      <c r="B347" s="1" t="n">
        <v>46128.33024305556</v>
      </c>
      <c r="C347" s="1" t="n">
        <v>46159</v>
      </c>
      <c r="D347" t="inlineStr">
        <is>
          <t>UPPSALA LÄN</t>
        </is>
      </c>
      <c r="E347" t="inlineStr">
        <is>
          <t>ENKÖPING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19147-2024</t>
        </is>
      </c>
      <c r="B348" s="1" t="n">
        <v>45428</v>
      </c>
      <c r="C348" s="1" t="n">
        <v>46159</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18806-2026</t>
        </is>
      </c>
      <c r="B349" s="1" t="n">
        <v>46128.63238425926</v>
      </c>
      <c r="C349" s="1" t="n">
        <v>46159</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46159</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18644-2026</t>
        </is>
      </c>
      <c r="B351" s="1" t="n">
        <v>46128.33157407407</v>
      </c>
      <c r="C351" s="1" t="n">
        <v>46159</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57835-2024</t>
        </is>
      </c>
      <c r="B352" s="1" t="n">
        <v>45631.39947916667</v>
      </c>
      <c r="C352" s="1" t="n">
        <v>46159</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21612-2023</t>
        </is>
      </c>
      <c r="B353" s="1" t="n">
        <v>45063</v>
      </c>
      <c r="C353" s="1" t="n">
        <v>46159</v>
      </c>
      <c r="D353" t="inlineStr">
        <is>
          <t>UPPSALA LÄN</t>
        </is>
      </c>
      <c r="E353" t="inlineStr">
        <is>
          <t>ENKÖPING</t>
        </is>
      </c>
      <c r="F353" t="inlineStr">
        <is>
          <t>Allmännings- och besparingsskogar</t>
        </is>
      </c>
      <c r="G353" t="n">
        <v>1</v>
      </c>
      <c r="H353" t="n">
        <v>0</v>
      </c>
      <c r="I353" t="n">
        <v>0</v>
      </c>
      <c r="J353" t="n">
        <v>0</v>
      </c>
      <c r="K353" t="n">
        <v>0</v>
      </c>
      <c r="L353" t="n">
        <v>0</v>
      </c>
      <c r="M353" t="n">
        <v>0</v>
      </c>
      <c r="N353" t="n">
        <v>0</v>
      </c>
      <c r="O353" t="n">
        <v>0</v>
      </c>
      <c r="P353" t="n">
        <v>0</v>
      </c>
      <c r="Q353" t="n">
        <v>0</v>
      </c>
      <c r="R353" s="2" t="inlineStr"/>
    </row>
    <row r="354" ht="15" customHeight="1">
      <c r="A354" t="inlineStr">
        <is>
          <t>A 39624-2023</t>
        </is>
      </c>
      <c r="B354" s="1" t="n">
        <v>45164</v>
      </c>
      <c r="C354" s="1" t="n">
        <v>46159</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5892-2023</t>
        </is>
      </c>
      <c r="B355" s="1" t="n">
        <v>44963.64883101852</v>
      </c>
      <c r="C355" s="1" t="n">
        <v>46159</v>
      </c>
      <c r="D355" t="inlineStr">
        <is>
          <t>UPPSALA LÄN</t>
        </is>
      </c>
      <c r="E355" t="inlineStr">
        <is>
          <t>ENKÖPING</t>
        </is>
      </c>
      <c r="G355" t="n">
        <v>5.5</v>
      </c>
      <c r="H355" t="n">
        <v>0</v>
      </c>
      <c r="I355" t="n">
        <v>0</v>
      </c>
      <c r="J355" t="n">
        <v>0</v>
      </c>
      <c r="K355" t="n">
        <v>0</v>
      </c>
      <c r="L355" t="n">
        <v>0</v>
      </c>
      <c r="M355" t="n">
        <v>0</v>
      </c>
      <c r="N355" t="n">
        <v>0</v>
      </c>
      <c r="O355" t="n">
        <v>0</v>
      </c>
      <c r="P355" t="n">
        <v>0</v>
      </c>
      <c r="Q355" t="n">
        <v>0</v>
      </c>
      <c r="R355" s="2" t="inlineStr"/>
    </row>
    <row r="356" ht="15" customHeight="1">
      <c r="A356" t="inlineStr">
        <is>
          <t>A 39858-2024</t>
        </is>
      </c>
      <c r="B356" s="1" t="n">
        <v>45553</v>
      </c>
      <c r="C356" s="1" t="n">
        <v>46159</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12411-2026</t>
        </is>
      </c>
      <c r="B357" s="1" t="n">
        <v>46090.42670138889</v>
      </c>
      <c r="C357" s="1" t="n">
        <v>46159</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9957-2023</t>
        </is>
      </c>
      <c r="B358" s="1" t="n">
        <v>44978</v>
      </c>
      <c r="C358" s="1" t="n">
        <v>46159</v>
      </c>
      <c r="D358" t="inlineStr">
        <is>
          <t>UPPSALA LÄN</t>
        </is>
      </c>
      <c r="E358" t="inlineStr">
        <is>
          <t>ENKÖPING</t>
        </is>
      </c>
      <c r="G358" t="n">
        <v>5.9</v>
      </c>
      <c r="H358" t="n">
        <v>0</v>
      </c>
      <c r="I358" t="n">
        <v>0</v>
      </c>
      <c r="J358" t="n">
        <v>0</v>
      </c>
      <c r="K358" t="n">
        <v>0</v>
      </c>
      <c r="L358" t="n">
        <v>0</v>
      </c>
      <c r="M358" t="n">
        <v>0</v>
      </c>
      <c r="N358" t="n">
        <v>0</v>
      </c>
      <c r="O358" t="n">
        <v>0</v>
      </c>
      <c r="P358" t="n">
        <v>0</v>
      </c>
      <c r="Q358" t="n">
        <v>0</v>
      </c>
      <c r="R358" s="2" t="inlineStr"/>
    </row>
    <row r="359" ht="15" customHeight="1">
      <c r="A359" t="inlineStr">
        <is>
          <t>A 7167-2026</t>
        </is>
      </c>
      <c r="B359" s="1" t="n">
        <v>46058.45677083333</v>
      </c>
      <c r="C359" s="1" t="n">
        <v>46159</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7168-2026</t>
        </is>
      </c>
      <c r="B360" s="1" t="n">
        <v>46058.45831018518</v>
      </c>
      <c r="C360" s="1" t="n">
        <v>46159</v>
      </c>
      <c r="D360" t="inlineStr">
        <is>
          <t>UPPSALA LÄN</t>
        </is>
      </c>
      <c r="E360" t="inlineStr">
        <is>
          <t>ENKÖPING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7172-2026</t>
        </is>
      </c>
      <c r="B361" s="1" t="n">
        <v>46058.46113425926</v>
      </c>
      <c r="C361" s="1" t="n">
        <v>46159</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8152-2022</t>
        </is>
      </c>
      <c r="B362" s="1" t="n">
        <v>44609</v>
      </c>
      <c r="C362" s="1" t="n">
        <v>46159</v>
      </c>
      <c r="D362" t="inlineStr">
        <is>
          <t>UPPSALA LÄN</t>
        </is>
      </c>
      <c r="E362" t="inlineStr">
        <is>
          <t>ENKÖPING</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12997-2026</t>
        </is>
      </c>
      <c r="B363" s="1" t="n">
        <v>46092.6834375</v>
      </c>
      <c r="C363" s="1" t="n">
        <v>46159</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5953-2026</t>
        </is>
      </c>
      <c r="B364" s="1" t="n">
        <v>46052.49119212963</v>
      </c>
      <c r="C364" s="1" t="n">
        <v>46159</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12996-2026</t>
        </is>
      </c>
      <c r="B365" s="1" t="n">
        <v>46092.68149305556</v>
      </c>
      <c r="C365" s="1" t="n">
        <v>46159</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17657-2025</t>
        </is>
      </c>
      <c r="B366" s="1" t="n">
        <v>45758.35006944444</v>
      </c>
      <c r="C366" s="1" t="n">
        <v>46159</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13590-2026</t>
        </is>
      </c>
      <c r="B367" s="1" t="n">
        <v>46096</v>
      </c>
      <c r="C367" s="1" t="n">
        <v>46159</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15939-2022</t>
        </is>
      </c>
      <c r="B368" s="1" t="n">
        <v>44664</v>
      </c>
      <c r="C368" s="1" t="n">
        <v>46159</v>
      </c>
      <c r="D368" t="inlineStr">
        <is>
          <t>UPPSALA LÄN</t>
        </is>
      </c>
      <c r="E368" t="inlineStr">
        <is>
          <t>ENKÖPING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27837-2025</t>
        </is>
      </c>
      <c r="B369" s="1" t="n">
        <v>45817.37207175926</v>
      </c>
      <c r="C369" s="1" t="n">
        <v>46159</v>
      </c>
      <c r="D369" t="inlineStr">
        <is>
          <t>UPPSALA LÄN</t>
        </is>
      </c>
      <c r="E369" t="inlineStr">
        <is>
          <t>ENKÖPING</t>
        </is>
      </c>
      <c r="G369" t="n">
        <v>7.3</v>
      </c>
      <c r="H369" t="n">
        <v>0</v>
      </c>
      <c r="I369" t="n">
        <v>0</v>
      </c>
      <c r="J369" t="n">
        <v>0</v>
      </c>
      <c r="K369" t="n">
        <v>0</v>
      </c>
      <c r="L369" t="n">
        <v>0</v>
      </c>
      <c r="M369" t="n">
        <v>0</v>
      </c>
      <c r="N369" t="n">
        <v>0</v>
      </c>
      <c r="O369" t="n">
        <v>0</v>
      </c>
      <c r="P369" t="n">
        <v>0</v>
      </c>
      <c r="Q369" t="n">
        <v>0</v>
      </c>
      <c r="R369" s="2" t="inlineStr"/>
    </row>
    <row r="370" ht="15" customHeight="1">
      <c r="A370" t="inlineStr">
        <is>
          <t>A 50394-2024</t>
        </is>
      </c>
      <c r="B370" s="1" t="n">
        <v>45600</v>
      </c>
      <c r="C370" s="1" t="n">
        <v>46159</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14178-2026</t>
        </is>
      </c>
      <c r="B371" s="1" t="n">
        <v>46099.49608796297</v>
      </c>
      <c r="C371" s="1" t="n">
        <v>46159</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14260-2026</t>
        </is>
      </c>
      <c r="B372" s="1" t="n">
        <v>46099.63395833333</v>
      </c>
      <c r="C372" s="1" t="n">
        <v>46159</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46159</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14298-2026</t>
        </is>
      </c>
      <c r="B374" s="1" t="n">
        <v>46099</v>
      </c>
      <c r="C374" s="1" t="n">
        <v>46159</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14182-2026</t>
        </is>
      </c>
      <c r="B375" s="1" t="n">
        <v>46099.49839120371</v>
      </c>
      <c r="C375" s="1" t="n">
        <v>46159</v>
      </c>
      <c r="D375" t="inlineStr">
        <is>
          <t>UPPSALA LÄN</t>
        </is>
      </c>
      <c r="E375" t="inlineStr">
        <is>
          <t>ENKÖPING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14229-2026</t>
        </is>
      </c>
      <c r="B376" s="1" t="n">
        <v>46099</v>
      </c>
      <c r="C376" s="1" t="n">
        <v>46159</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14296-2026</t>
        </is>
      </c>
      <c r="B377" s="1" t="n">
        <v>46099.7181712963</v>
      </c>
      <c r="C377" s="1" t="n">
        <v>46159</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37870-2023</t>
        </is>
      </c>
      <c r="B378" s="1" t="n">
        <v>45160.41996527778</v>
      </c>
      <c r="C378" s="1" t="n">
        <v>46159</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7090-2022</t>
        </is>
      </c>
      <c r="B379" s="1" t="n">
        <v>44603.59520833333</v>
      </c>
      <c r="C379" s="1" t="n">
        <v>46159</v>
      </c>
      <c r="D379" t="inlineStr">
        <is>
          <t>UPPSALA LÄN</t>
        </is>
      </c>
      <c r="E379" t="inlineStr">
        <is>
          <t>ENKÖPING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49063-2024</t>
        </is>
      </c>
      <c r="B380" s="1" t="n">
        <v>45594.59869212963</v>
      </c>
      <c r="C380" s="1" t="n">
        <v>46159</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14083-2025</t>
        </is>
      </c>
      <c r="B381" s="1" t="n">
        <v>45740</v>
      </c>
      <c r="C381" s="1" t="n">
        <v>46159</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19298-2023</t>
        </is>
      </c>
      <c r="B382" s="1" t="n">
        <v>45048</v>
      </c>
      <c r="C382" s="1" t="n">
        <v>46159</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15409-2025</t>
        </is>
      </c>
      <c r="B383" s="1" t="n">
        <v>45747</v>
      </c>
      <c r="C383" s="1" t="n">
        <v>46159</v>
      </c>
      <c r="D383" t="inlineStr">
        <is>
          <t>UPPSALA LÄN</t>
        </is>
      </c>
      <c r="E383" t="inlineStr">
        <is>
          <t>ENKÖPING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15003-2026</t>
        </is>
      </c>
      <c r="B384" s="1" t="n">
        <v>46104.60931712963</v>
      </c>
      <c r="C384" s="1" t="n">
        <v>46159</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34617-2022</t>
        </is>
      </c>
      <c r="B385" s="1" t="n">
        <v>44795</v>
      </c>
      <c r="C385" s="1" t="n">
        <v>46159</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40202-2024</t>
        </is>
      </c>
      <c r="B386" s="1" t="n">
        <v>45554</v>
      </c>
      <c r="C386" s="1" t="n">
        <v>46159</v>
      </c>
      <c r="D386" t="inlineStr">
        <is>
          <t>UPPSALA LÄN</t>
        </is>
      </c>
      <c r="E386" t="inlineStr">
        <is>
          <t>ENKÖPING</t>
        </is>
      </c>
      <c r="G386" t="n">
        <v>6.2</v>
      </c>
      <c r="H386" t="n">
        <v>0</v>
      </c>
      <c r="I386" t="n">
        <v>0</v>
      </c>
      <c r="J386" t="n">
        <v>0</v>
      </c>
      <c r="K386" t="n">
        <v>0</v>
      </c>
      <c r="L386" t="n">
        <v>0</v>
      </c>
      <c r="M386" t="n">
        <v>0</v>
      </c>
      <c r="N386" t="n">
        <v>0</v>
      </c>
      <c r="O386" t="n">
        <v>0</v>
      </c>
      <c r="P386" t="n">
        <v>0</v>
      </c>
      <c r="Q386" t="n">
        <v>0</v>
      </c>
      <c r="R386" s="2" t="inlineStr"/>
    </row>
    <row r="387" ht="15" customHeight="1">
      <c r="A387" t="inlineStr">
        <is>
          <t>A 40223-2024</t>
        </is>
      </c>
      <c r="B387" s="1" t="n">
        <v>45554</v>
      </c>
      <c r="C387" s="1" t="n">
        <v>46159</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69879-2021</t>
        </is>
      </c>
      <c r="B388" s="1" t="n">
        <v>44532</v>
      </c>
      <c r="C388" s="1" t="n">
        <v>46159</v>
      </c>
      <c r="D388" t="inlineStr">
        <is>
          <t>UPPSALA LÄN</t>
        </is>
      </c>
      <c r="E388" t="inlineStr">
        <is>
          <t>ENKÖPING</t>
        </is>
      </c>
      <c r="G388" t="n">
        <v>4.2</v>
      </c>
      <c r="H388" t="n">
        <v>0</v>
      </c>
      <c r="I388" t="n">
        <v>0</v>
      </c>
      <c r="J388" t="n">
        <v>0</v>
      </c>
      <c r="K388" t="n">
        <v>0</v>
      </c>
      <c r="L388" t="n">
        <v>0</v>
      </c>
      <c r="M388" t="n">
        <v>0</v>
      </c>
      <c r="N388" t="n">
        <v>0</v>
      </c>
      <c r="O388" t="n">
        <v>0</v>
      </c>
      <c r="P388" t="n">
        <v>0</v>
      </c>
      <c r="Q388" t="n">
        <v>0</v>
      </c>
      <c r="R388" s="2" t="inlineStr"/>
    </row>
    <row r="389" ht="15" customHeight="1">
      <c r="A389" t="inlineStr">
        <is>
          <t>A 19013-2025</t>
        </is>
      </c>
      <c r="B389" s="1" t="n">
        <v>45764.59533564815</v>
      </c>
      <c r="C389" s="1" t="n">
        <v>46159</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57335-2024</t>
        </is>
      </c>
      <c r="B390" s="1" t="n">
        <v>45629.63302083333</v>
      </c>
      <c r="C390" s="1" t="n">
        <v>46159</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23301-2024</t>
        </is>
      </c>
      <c r="B391" s="1" t="n">
        <v>45453.4396412037</v>
      </c>
      <c r="C391" s="1" t="n">
        <v>46159</v>
      </c>
      <c r="D391" t="inlineStr">
        <is>
          <t>UPPSALA LÄN</t>
        </is>
      </c>
      <c r="E391" t="inlineStr">
        <is>
          <t>ENKÖPING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2833-2025</t>
        </is>
      </c>
      <c r="B392" s="1" t="n">
        <v>45677.63206018518</v>
      </c>
      <c r="C392" s="1" t="n">
        <v>46159</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7175-2026</t>
        </is>
      </c>
      <c r="B393" s="1" t="n">
        <v>46058.46399305556</v>
      </c>
      <c r="C393" s="1" t="n">
        <v>46159</v>
      </c>
      <c r="D393" t="inlineStr">
        <is>
          <t>UPPSALA LÄN</t>
        </is>
      </c>
      <c r="E393" t="inlineStr">
        <is>
          <t>ENKÖPING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33619-2022</t>
        </is>
      </c>
      <c r="B394" s="1" t="n">
        <v>44789</v>
      </c>
      <c r="C394" s="1" t="n">
        <v>46159</v>
      </c>
      <c r="D394" t="inlineStr">
        <is>
          <t>UPPSALA LÄN</t>
        </is>
      </c>
      <c r="E394" t="inlineStr">
        <is>
          <t>ENKÖPING</t>
        </is>
      </c>
      <c r="F394" t="inlineStr">
        <is>
          <t>Allmännings- och besparingsskogar</t>
        </is>
      </c>
      <c r="G394" t="n">
        <v>4.5</v>
      </c>
      <c r="H394" t="n">
        <v>0</v>
      </c>
      <c r="I394" t="n">
        <v>0</v>
      </c>
      <c r="J394" t="n">
        <v>0</v>
      </c>
      <c r="K394" t="n">
        <v>0</v>
      </c>
      <c r="L394" t="n">
        <v>0</v>
      </c>
      <c r="M394" t="n">
        <v>0</v>
      </c>
      <c r="N394" t="n">
        <v>0</v>
      </c>
      <c r="O394" t="n">
        <v>0</v>
      </c>
      <c r="P394" t="n">
        <v>0</v>
      </c>
      <c r="Q394" t="n">
        <v>0</v>
      </c>
      <c r="R394" s="2" t="inlineStr"/>
    </row>
    <row r="395" ht="15" customHeight="1">
      <c r="A395" t="inlineStr">
        <is>
          <t>A 31604-2023</t>
        </is>
      </c>
      <c r="B395" s="1" t="n">
        <v>45117.50368055556</v>
      </c>
      <c r="C395" s="1" t="n">
        <v>46159</v>
      </c>
      <c r="D395" t="inlineStr">
        <is>
          <t>UPPSALA LÄN</t>
        </is>
      </c>
      <c r="E395" t="inlineStr">
        <is>
          <t>ENKÖPING</t>
        </is>
      </c>
      <c r="G395" t="n">
        <v>3.5</v>
      </c>
      <c r="H395" t="n">
        <v>0</v>
      </c>
      <c r="I395" t="n">
        <v>0</v>
      </c>
      <c r="J395" t="n">
        <v>0</v>
      </c>
      <c r="K395" t="n">
        <v>0</v>
      </c>
      <c r="L395" t="n">
        <v>0</v>
      </c>
      <c r="M395" t="n">
        <v>0</v>
      </c>
      <c r="N395" t="n">
        <v>0</v>
      </c>
      <c r="O395" t="n">
        <v>0</v>
      </c>
      <c r="P395" t="n">
        <v>0</v>
      </c>
      <c r="Q395" t="n">
        <v>0</v>
      </c>
      <c r="R395" s="2" t="inlineStr"/>
    </row>
    <row r="396" ht="15" customHeight="1">
      <c r="A396" t="inlineStr">
        <is>
          <t>A 59602-2024</t>
        </is>
      </c>
      <c r="B396" s="1" t="n">
        <v>45638</v>
      </c>
      <c r="C396" s="1" t="n">
        <v>46159</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15547-2026</t>
        </is>
      </c>
      <c r="B397" s="1" t="n">
        <v>46106.52613425926</v>
      </c>
      <c r="C397" s="1" t="n">
        <v>46159</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25990-2025</t>
        </is>
      </c>
      <c r="B398" s="1" t="n">
        <v>45804.65229166667</v>
      </c>
      <c r="C398" s="1" t="n">
        <v>46159</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14243-2025</t>
        </is>
      </c>
      <c r="B399" s="1" t="n">
        <v>45740.61288194444</v>
      </c>
      <c r="C399" s="1" t="n">
        <v>46159</v>
      </c>
      <c r="D399" t="inlineStr">
        <is>
          <t>UPPSALA LÄN</t>
        </is>
      </c>
      <c r="E399" t="inlineStr">
        <is>
          <t>ENKÖPING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19488-2022</t>
        </is>
      </c>
      <c r="B400" s="1" t="n">
        <v>44693</v>
      </c>
      <c r="C400" s="1" t="n">
        <v>46159</v>
      </c>
      <c r="D400" t="inlineStr">
        <is>
          <t>UPPSALA LÄN</t>
        </is>
      </c>
      <c r="E400" t="inlineStr">
        <is>
          <t>ENKÖPING</t>
        </is>
      </c>
      <c r="G400" t="n">
        <v>7.8</v>
      </c>
      <c r="H400" t="n">
        <v>0</v>
      </c>
      <c r="I400" t="n">
        <v>0</v>
      </c>
      <c r="J400" t="n">
        <v>0</v>
      </c>
      <c r="K400" t="n">
        <v>0</v>
      </c>
      <c r="L400" t="n">
        <v>0</v>
      </c>
      <c r="M400" t="n">
        <v>0</v>
      </c>
      <c r="N400" t="n">
        <v>0</v>
      </c>
      <c r="O400" t="n">
        <v>0</v>
      </c>
      <c r="P400" t="n">
        <v>0</v>
      </c>
      <c r="Q400" t="n">
        <v>0</v>
      </c>
      <c r="R400" s="2" t="inlineStr"/>
    </row>
    <row r="401" ht="15" customHeight="1">
      <c r="A401" t="inlineStr">
        <is>
          <t>A 21862-2026</t>
        </is>
      </c>
      <c r="B401" s="1" t="n">
        <v>46150.55599537037</v>
      </c>
      <c r="C401" s="1" t="n">
        <v>46159</v>
      </c>
      <c r="D401" t="inlineStr">
        <is>
          <t>UPPSALA LÄN</t>
        </is>
      </c>
      <c r="E401" t="inlineStr">
        <is>
          <t>ENKÖPING</t>
        </is>
      </c>
      <c r="G401" t="n">
        <v>4.1</v>
      </c>
      <c r="H401" t="n">
        <v>0</v>
      </c>
      <c r="I401" t="n">
        <v>0</v>
      </c>
      <c r="J401" t="n">
        <v>0</v>
      </c>
      <c r="K401" t="n">
        <v>0</v>
      </c>
      <c r="L401" t="n">
        <v>0</v>
      </c>
      <c r="M401" t="n">
        <v>0</v>
      </c>
      <c r="N401" t="n">
        <v>0</v>
      </c>
      <c r="O401" t="n">
        <v>0</v>
      </c>
      <c r="P401" t="n">
        <v>0</v>
      </c>
      <c r="Q401" t="n">
        <v>0</v>
      </c>
      <c r="R401" s="2" t="inlineStr"/>
    </row>
    <row r="402" ht="15" customHeight="1">
      <c r="A402" t="inlineStr">
        <is>
          <t>A 6049-2026</t>
        </is>
      </c>
      <c r="B402" s="1" t="n">
        <v>46052.63005787037</v>
      </c>
      <c r="C402" s="1" t="n">
        <v>46159</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41826-2024</t>
        </is>
      </c>
      <c r="B403" s="1" t="n">
        <v>45561</v>
      </c>
      <c r="C403" s="1" t="n">
        <v>46159</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46159</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6041-2026</t>
        </is>
      </c>
      <c r="B405" s="1" t="n">
        <v>46052.62184027778</v>
      </c>
      <c r="C405" s="1" t="n">
        <v>46159</v>
      </c>
      <c r="D405" t="inlineStr">
        <is>
          <t>UPPSALA LÄN</t>
        </is>
      </c>
      <c r="E405" t="inlineStr">
        <is>
          <t>ENKÖPING</t>
        </is>
      </c>
      <c r="G405" t="n">
        <v>4</v>
      </c>
      <c r="H405" t="n">
        <v>0</v>
      </c>
      <c r="I405" t="n">
        <v>0</v>
      </c>
      <c r="J405" t="n">
        <v>0</v>
      </c>
      <c r="K405" t="n">
        <v>0</v>
      </c>
      <c r="L405" t="n">
        <v>0</v>
      </c>
      <c r="M405" t="n">
        <v>0</v>
      </c>
      <c r="N405" t="n">
        <v>0</v>
      </c>
      <c r="O405" t="n">
        <v>0</v>
      </c>
      <c r="P405" t="n">
        <v>0</v>
      </c>
      <c r="Q405" t="n">
        <v>0</v>
      </c>
      <c r="R405" s="2" t="inlineStr"/>
    </row>
    <row r="406" ht="15" customHeight="1">
      <c r="A406" t="inlineStr">
        <is>
          <t>A 6044-2026</t>
        </is>
      </c>
      <c r="B406" s="1" t="n">
        <v>46052.62506944445</v>
      </c>
      <c r="C406" s="1" t="n">
        <v>46159</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9257-2026</t>
        </is>
      </c>
      <c r="B407" s="1" t="n">
        <v>46070.51166666667</v>
      </c>
      <c r="C407" s="1" t="n">
        <v>46159</v>
      </c>
      <c r="D407" t="inlineStr">
        <is>
          <t>UPPSALA LÄN</t>
        </is>
      </c>
      <c r="E407" t="inlineStr">
        <is>
          <t>ENKÖPING</t>
        </is>
      </c>
      <c r="G407" t="n">
        <v>2.6</v>
      </c>
      <c r="H407" t="n">
        <v>0</v>
      </c>
      <c r="I407" t="n">
        <v>0</v>
      </c>
      <c r="J407" t="n">
        <v>0</v>
      </c>
      <c r="K407" t="n">
        <v>0</v>
      </c>
      <c r="L407" t="n">
        <v>0</v>
      </c>
      <c r="M407" t="n">
        <v>0</v>
      </c>
      <c r="N407" t="n">
        <v>0</v>
      </c>
      <c r="O407" t="n">
        <v>0</v>
      </c>
      <c r="P407" t="n">
        <v>0</v>
      </c>
      <c r="Q407" t="n">
        <v>0</v>
      </c>
      <c r="R407" s="2" t="inlineStr"/>
    </row>
    <row r="408" ht="15" customHeight="1">
      <c r="A408" t="inlineStr">
        <is>
          <t>A 44115-2024</t>
        </is>
      </c>
      <c r="B408" s="1" t="n">
        <v>45572</v>
      </c>
      <c r="C408" s="1" t="n">
        <v>46159</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30634-2022</t>
        </is>
      </c>
      <c r="B409" s="1" t="n">
        <v>44763.45711805556</v>
      </c>
      <c r="C409" s="1" t="n">
        <v>46159</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25989-2025</t>
        </is>
      </c>
      <c r="B410" s="1" t="n">
        <v>45804.65050925926</v>
      </c>
      <c r="C410" s="1" t="n">
        <v>46159</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22315-2026</t>
        </is>
      </c>
      <c r="B411" s="1" t="n">
        <v>46154.49106481481</v>
      </c>
      <c r="C411" s="1" t="n">
        <v>46159</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3300-2025</t>
        </is>
      </c>
      <c r="B412" s="1" t="n">
        <v>45679</v>
      </c>
      <c r="C412" s="1" t="n">
        <v>46159</v>
      </c>
      <c r="D412" t="inlineStr">
        <is>
          <t>UPPSALA LÄN</t>
        </is>
      </c>
      <c r="E412" t="inlineStr">
        <is>
          <t>ENKÖPING</t>
        </is>
      </c>
      <c r="G412" t="n">
        <v>8.9</v>
      </c>
      <c r="H412" t="n">
        <v>0</v>
      </c>
      <c r="I412" t="n">
        <v>0</v>
      </c>
      <c r="J412" t="n">
        <v>0</v>
      </c>
      <c r="K412" t="n">
        <v>0</v>
      </c>
      <c r="L412" t="n">
        <v>0</v>
      </c>
      <c r="M412" t="n">
        <v>0</v>
      </c>
      <c r="N412" t="n">
        <v>0</v>
      </c>
      <c r="O412" t="n">
        <v>0</v>
      </c>
      <c r="P412" t="n">
        <v>0</v>
      </c>
      <c r="Q412" t="n">
        <v>0</v>
      </c>
      <c r="R412" s="2" t="inlineStr"/>
    </row>
    <row r="413" ht="15" customHeight="1">
      <c r="A413" t="inlineStr">
        <is>
          <t>A 51120-2023</t>
        </is>
      </c>
      <c r="B413" s="1" t="n">
        <v>45219.3088425926</v>
      </c>
      <c r="C413" s="1" t="n">
        <v>46159</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46159</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46159</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63402-2023</t>
        </is>
      </c>
      <c r="B416" s="1" t="n">
        <v>45274.50646990741</v>
      </c>
      <c r="C416" s="1" t="n">
        <v>46159</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53208-2023</t>
        </is>
      </c>
      <c r="B417" s="1" t="n">
        <v>45226</v>
      </c>
      <c r="C417" s="1" t="n">
        <v>46159</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18259-2025</t>
        </is>
      </c>
      <c r="B418" s="1" t="n">
        <v>45762</v>
      </c>
      <c r="C418" s="1" t="n">
        <v>46159</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62158-2023</t>
        </is>
      </c>
      <c r="B419" s="1" t="n">
        <v>45267</v>
      </c>
      <c r="C419" s="1" t="n">
        <v>46159</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60874-2023</t>
        </is>
      </c>
      <c r="B420" s="1" t="n">
        <v>45261.06280092592</v>
      </c>
      <c r="C420" s="1" t="n">
        <v>46159</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3550-2023</t>
        </is>
      </c>
      <c r="B421" s="1" t="n">
        <v>44950</v>
      </c>
      <c r="C421" s="1" t="n">
        <v>46159</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46159</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61207-2023</t>
        </is>
      </c>
      <c r="B423" s="1" t="n">
        <v>45264.39444444444</v>
      </c>
      <c r="C423" s="1" t="n">
        <v>46159</v>
      </c>
      <c r="D423" t="inlineStr">
        <is>
          <t>UPPSALA LÄN</t>
        </is>
      </c>
      <c r="E423" t="inlineStr">
        <is>
          <t>ENKÖPING</t>
        </is>
      </c>
      <c r="G423" t="n">
        <v>10.8</v>
      </c>
      <c r="H423" t="n">
        <v>0</v>
      </c>
      <c r="I423" t="n">
        <v>0</v>
      </c>
      <c r="J423" t="n">
        <v>0</v>
      </c>
      <c r="K423" t="n">
        <v>0</v>
      </c>
      <c r="L423" t="n">
        <v>0</v>
      </c>
      <c r="M423" t="n">
        <v>0</v>
      </c>
      <c r="N423" t="n">
        <v>0</v>
      </c>
      <c r="O423" t="n">
        <v>0</v>
      </c>
      <c r="P423" t="n">
        <v>0</v>
      </c>
      <c r="Q423" t="n">
        <v>0</v>
      </c>
      <c r="R423" s="2" t="inlineStr"/>
    </row>
    <row r="424" ht="15" customHeight="1">
      <c r="A424" t="inlineStr">
        <is>
          <t>A 840-2025</t>
        </is>
      </c>
      <c r="B424" s="1" t="n">
        <v>45665</v>
      </c>
      <c r="C424" s="1" t="n">
        <v>46159</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10458-2022</t>
        </is>
      </c>
      <c r="B425" s="1" t="n">
        <v>44623.56711805556</v>
      </c>
      <c r="C425" s="1" t="n">
        <v>46159</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45142-2023</t>
        </is>
      </c>
      <c r="B426" s="1" t="n">
        <v>45191.4702662037</v>
      </c>
      <c r="C426" s="1" t="n">
        <v>46159</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57998-2024</t>
        </is>
      </c>
      <c r="B427" s="1" t="n">
        <v>45631</v>
      </c>
      <c r="C427" s="1" t="n">
        <v>46159</v>
      </c>
      <c r="D427" t="inlineStr">
        <is>
          <t>UPPSALA LÄN</t>
        </is>
      </c>
      <c r="E427" t="inlineStr">
        <is>
          <t>ENKÖPING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14332-2024</t>
        </is>
      </c>
      <c r="B428" s="1" t="n">
        <v>45393</v>
      </c>
      <c r="C428" s="1" t="n">
        <v>46159</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18831-2023</t>
        </is>
      </c>
      <c r="B429" s="1" t="n">
        <v>45044.40798611111</v>
      </c>
      <c r="C429" s="1" t="n">
        <v>46159</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33581-2023</t>
        </is>
      </c>
      <c r="B430" s="1" t="n">
        <v>45131</v>
      </c>
      <c r="C430" s="1" t="n">
        <v>46159</v>
      </c>
      <c r="D430" t="inlineStr">
        <is>
          <t>UPPSALA LÄN</t>
        </is>
      </c>
      <c r="E430" t="inlineStr">
        <is>
          <t>ENKÖPING</t>
        </is>
      </c>
      <c r="G430" t="n">
        <v>3.5</v>
      </c>
      <c r="H430" t="n">
        <v>0</v>
      </c>
      <c r="I430" t="n">
        <v>0</v>
      </c>
      <c r="J430" t="n">
        <v>0</v>
      </c>
      <c r="K430" t="n">
        <v>0</v>
      </c>
      <c r="L430" t="n">
        <v>0</v>
      </c>
      <c r="M430" t="n">
        <v>0</v>
      </c>
      <c r="N430" t="n">
        <v>0</v>
      </c>
      <c r="O430" t="n">
        <v>0</v>
      </c>
      <c r="P430" t="n">
        <v>0</v>
      </c>
      <c r="Q430" t="n">
        <v>0</v>
      </c>
      <c r="R430" s="2" t="inlineStr"/>
    </row>
    <row r="431" ht="15" customHeight="1">
      <c r="A431" t="inlineStr">
        <is>
          <t>A 37115-2024</t>
        </is>
      </c>
      <c r="B431" s="1" t="n">
        <v>45539</v>
      </c>
      <c r="C431" s="1" t="n">
        <v>46159</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1960-2022</t>
        </is>
      </c>
      <c r="B432" s="1" t="n">
        <v>44575</v>
      </c>
      <c r="C432" s="1" t="n">
        <v>46159</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18028-2023</t>
        </is>
      </c>
      <c r="B433" s="1" t="n">
        <v>45040</v>
      </c>
      <c r="C433" s="1" t="n">
        <v>46159</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49568-2022</t>
        </is>
      </c>
      <c r="B434" s="1" t="n">
        <v>44862.32791666667</v>
      </c>
      <c r="C434" s="1" t="n">
        <v>46159</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42459-2024</t>
        </is>
      </c>
      <c r="B435" s="1" t="n">
        <v>45565</v>
      </c>
      <c r="C435" s="1" t="n">
        <v>46159</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48864-2022</t>
        </is>
      </c>
      <c r="B436" s="1" t="n">
        <v>44859</v>
      </c>
      <c r="C436" s="1" t="n">
        <v>46159</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46159</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6356-2022</t>
        </is>
      </c>
      <c r="B438" s="1" t="n">
        <v>44600</v>
      </c>
      <c r="C438" s="1" t="n">
        <v>46159</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57147-2021</t>
        </is>
      </c>
      <c r="B439" s="1" t="n">
        <v>44482</v>
      </c>
      <c r="C439" s="1" t="n">
        <v>46159</v>
      </c>
      <c r="D439" t="inlineStr">
        <is>
          <t>UPPSALA LÄN</t>
        </is>
      </c>
      <c r="E439" t="inlineStr">
        <is>
          <t>ENKÖPING</t>
        </is>
      </c>
      <c r="G439" t="n">
        <v>5.7</v>
      </c>
      <c r="H439" t="n">
        <v>0</v>
      </c>
      <c r="I439" t="n">
        <v>0</v>
      </c>
      <c r="J439" t="n">
        <v>0</v>
      </c>
      <c r="K439" t="n">
        <v>0</v>
      </c>
      <c r="L439" t="n">
        <v>0</v>
      </c>
      <c r="M439" t="n">
        <v>0</v>
      </c>
      <c r="N439" t="n">
        <v>0</v>
      </c>
      <c r="O439" t="n">
        <v>0</v>
      </c>
      <c r="P439" t="n">
        <v>0</v>
      </c>
      <c r="Q439" t="n">
        <v>0</v>
      </c>
      <c r="R439" s="2" t="inlineStr"/>
    </row>
    <row r="440" ht="15" customHeight="1">
      <c r="A440" t="inlineStr">
        <is>
          <t>A 47909-2024</t>
        </is>
      </c>
      <c r="B440" s="1" t="n">
        <v>45589.31866898148</v>
      </c>
      <c r="C440" s="1" t="n">
        <v>46159</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52005-2024</t>
        </is>
      </c>
      <c r="B441" s="1" t="n">
        <v>45607.7627662037</v>
      </c>
      <c r="C441" s="1" t="n">
        <v>46159</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53586-2024</t>
        </is>
      </c>
      <c r="B442" s="1" t="n">
        <v>45614</v>
      </c>
      <c r="C442" s="1" t="n">
        <v>46159</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51034-2024</t>
        </is>
      </c>
      <c r="B443" s="1" t="n">
        <v>45603.4262037037</v>
      </c>
      <c r="C443" s="1" t="n">
        <v>46159</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51036-2024</t>
        </is>
      </c>
      <c r="B444" s="1" t="n">
        <v>45603.42839120371</v>
      </c>
      <c r="C444" s="1" t="n">
        <v>46159</v>
      </c>
      <c r="D444" t="inlineStr">
        <is>
          <t>UPPSALA LÄN</t>
        </is>
      </c>
      <c r="E444" t="inlineStr">
        <is>
          <t>ENKÖPING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43492-2023</t>
        </is>
      </c>
      <c r="B445" s="1" t="n">
        <v>45181</v>
      </c>
      <c r="C445" s="1" t="n">
        <v>46159</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1536-2024</t>
        </is>
      </c>
      <c r="B446" s="1" t="n">
        <v>45306</v>
      </c>
      <c r="C446" s="1" t="n">
        <v>46159</v>
      </c>
      <c r="D446" t="inlineStr">
        <is>
          <t>UPPSALA LÄN</t>
        </is>
      </c>
      <c r="E446" t="inlineStr">
        <is>
          <t>ENKÖPING</t>
        </is>
      </c>
      <c r="F446" t="inlineStr">
        <is>
          <t>Kyrkan</t>
        </is>
      </c>
      <c r="G446" t="n">
        <v>5.6</v>
      </c>
      <c r="H446" t="n">
        <v>0</v>
      </c>
      <c r="I446" t="n">
        <v>0</v>
      </c>
      <c r="J446" t="n">
        <v>0</v>
      </c>
      <c r="K446" t="n">
        <v>0</v>
      </c>
      <c r="L446" t="n">
        <v>0</v>
      </c>
      <c r="M446" t="n">
        <v>0</v>
      </c>
      <c r="N446" t="n">
        <v>0</v>
      </c>
      <c r="O446" t="n">
        <v>0</v>
      </c>
      <c r="P446" t="n">
        <v>0</v>
      </c>
      <c r="Q446" t="n">
        <v>0</v>
      </c>
      <c r="R446" s="2" t="inlineStr"/>
    </row>
    <row r="447" ht="15" customHeight="1">
      <c r="A447" t="inlineStr">
        <is>
          <t>A 2974-2025</t>
        </is>
      </c>
      <c r="B447" s="1" t="n">
        <v>45678.47168981482</v>
      </c>
      <c r="C447" s="1" t="n">
        <v>46159</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16916-2023</t>
        </is>
      </c>
      <c r="B448" s="1" t="n">
        <v>45033.58347222222</v>
      </c>
      <c r="C448" s="1" t="n">
        <v>46159</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16920-2023</t>
        </is>
      </c>
      <c r="B449" s="1" t="n">
        <v>45033.59030092593</v>
      </c>
      <c r="C449" s="1" t="n">
        <v>46159</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52388-2024</t>
        </is>
      </c>
      <c r="B450" s="1" t="n">
        <v>45609.42939814815</v>
      </c>
      <c r="C450" s="1" t="n">
        <v>46159</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1992-2022</t>
        </is>
      </c>
      <c r="B451" s="1" t="n">
        <v>44575.56153935185</v>
      </c>
      <c r="C451" s="1" t="n">
        <v>46159</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6626-2023</t>
        </is>
      </c>
      <c r="B452" s="1" t="n">
        <v>44966.55946759259</v>
      </c>
      <c r="C452" s="1" t="n">
        <v>46159</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48843-2023</t>
        </is>
      </c>
      <c r="B453" s="1" t="n">
        <v>45209</v>
      </c>
      <c r="C453" s="1" t="n">
        <v>46159</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57940-2022</t>
        </is>
      </c>
      <c r="B454" s="1" t="n">
        <v>44900</v>
      </c>
      <c r="C454" s="1" t="n">
        <v>46159</v>
      </c>
      <c r="D454" t="inlineStr">
        <is>
          <t>UPPSALA LÄN</t>
        </is>
      </c>
      <c r="E454" t="inlineStr">
        <is>
          <t>ENKÖPING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35079-2024</t>
        </is>
      </c>
      <c r="B455" s="1" t="n">
        <v>45527.66770833333</v>
      </c>
      <c r="C455" s="1" t="n">
        <v>46159</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53595-2023</t>
        </is>
      </c>
      <c r="B456" s="1" t="n">
        <v>45223</v>
      </c>
      <c r="C456" s="1" t="n">
        <v>46159</v>
      </c>
      <c r="D456" t="inlineStr">
        <is>
          <t>UPPSALA LÄN</t>
        </is>
      </c>
      <c r="E456" t="inlineStr">
        <is>
          <t>ENKÖPING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60533-2021</t>
        </is>
      </c>
      <c r="B457" s="1" t="n">
        <v>44496</v>
      </c>
      <c r="C457" s="1" t="n">
        <v>46159</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15757-2023</t>
        </is>
      </c>
      <c r="B458" s="1" t="n">
        <v>45021</v>
      </c>
      <c r="C458" s="1" t="n">
        <v>46159</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43230-2023</t>
        </is>
      </c>
      <c r="B459" s="1" t="n">
        <v>45183</v>
      </c>
      <c r="C459" s="1" t="n">
        <v>46159</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56886-2023</t>
        </is>
      </c>
      <c r="B460" s="1" t="n">
        <v>45239</v>
      </c>
      <c r="C460" s="1" t="n">
        <v>46159</v>
      </c>
      <c r="D460" t="inlineStr">
        <is>
          <t>UPPSALA LÄN</t>
        </is>
      </c>
      <c r="E460" t="inlineStr">
        <is>
          <t>ENKÖPING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51011-2024</t>
        </is>
      </c>
      <c r="B461" s="1" t="n">
        <v>45603.39427083333</v>
      </c>
      <c r="C461" s="1" t="n">
        <v>46159</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12102-2024</t>
        </is>
      </c>
      <c r="B462" s="1" t="n">
        <v>45377</v>
      </c>
      <c r="C462" s="1" t="n">
        <v>46159</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58961-2024</t>
        </is>
      </c>
      <c r="B463" s="1" t="n">
        <v>45636.585</v>
      </c>
      <c r="C463" s="1" t="n">
        <v>46159</v>
      </c>
      <c r="D463" t="inlineStr">
        <is>
          <t>UPPSALA LÄN</t>
        </is>
      </c>
      <c r="E463" t="inlineStr">
        <is>
          <t>ENKÖPING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46159</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845-2025</t>
        </is>
      </c>
      <c r="B465" s="1" t="n">
        <v>45665</v>
      </c>
      <c r="C465" s="1" t="n">
        <v>46159</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849-2025</t>
        </is>
      </c>
      <c r="B466" s="1" t="n">
        <v>45665</v>
      </c>
      <c r="C466" s="1" t="n">
        <v>46159</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58147-2024</t>
        </is>
      </c>
      <c r="B467" s="1" t="n">
        <v>45632.4334375</v>
      </c>
      <c r="C467" s="1" t="n">
        <v>46159</v>
      </c>
      <c r="D467" t="inlineStr">
        <is>
          <t>UPPSALA LÄN</t>
        </is>
      </c>
      <c r="E467" t="inlineStr">
        <is>
          <t>ENKÖPING</t>
        </is>
      </c>
      <c r="G467" t="n">
        <v>3</v>
      </c>
      <c r="H467" t="n">
        <v>0</v>
      </c>
      <c r="I467" t="n">
        <v>0</v>
      </c>
      <c r="J467" t="n">
        <v>0</v>
      </c>
      <c r="K467" t="n">
        <v>0</v>
      </c>
      <c r="L467" t="n">
        <v>0</v>
      </c>
      <c r="M467" t="n">
        <v>0</v>
      </c>
      <c r="N467" t="n">
        <v>0</v>
      </c>
      <c r="O467" t="n">
        <v>0</v>
      </c>
      <c r="P467" t="n">
        <v>0</v>
      </c>
      <c r="Q467" t="n">
        <v>0</v>
      </c>
      <c r="R467" s="2" t="inlineStr"/>
    </row>
    <row r="468" ht="15" customHeight="1">
      <c r="A468" t="inlineStr">
        <is>
          <t>A 18302-2025</t>
        </is>
      </c>
      <c r="B468" s="1" t="n">
        <v>45762</v>
      </c>
      <c r="C468" s="1" t="n">
        <v>46159</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34735-2023</t>
        </is>
      </c>
      <c r="B469" s="1" t="n">
        <v>45139</v>
      </c>
      <c r="C469" s="1" t="n">
        <v>46159</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30514-2021</t>
        </is>
      </c>
      <c r="B470" s="1" t="n">
        <v>44364</v>
      </c>
      <c r="C470" s="1" t="n">
        <v>46159</v>
      </c>
      <c r="D470" t="inlineStr">
        <is>
          <t>UPPSALA LÄN</t>
        </is>
      </c>
      <c r="E470" t="inlineStr">
        <is>
          <t>ENKÖPING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57209-2024</t>
        </is>
      </c>
      <c r="B471" s="1" t="n">
        <v>45629.49311342592</v>
      </c>
      <c r="C471" s="1" t="n">
        <v>46159</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13110-2023</t>
        </is>
      </c>
      <c r="B472" s="1" t="n">
        <v>45001</v>
      </c>
      <c r="C472" s="1" t="n">
        <v>46159</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49627-2024</t>
        </is>
      </c>
      <c r="B473" s="1" t="n">
        <v>45596.59140046296</v>
      </c>
      <c r="C473" s="1" t="n">
        <v>46159</v>
      </c>
      <c r="D473" t="inlineStr">
        <is>
          <t>UPPSALA LÄN</t>
        </is>
      </c>
      <c r="E473" t="inlineStr">
        <is>
          <t>ENKÖPING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9231-2023</t>
        </is>
      </c>
      <c r="B474" s="1" t="n">
        <v>44980</v>
      </c>
      <c r="C474" s="1" t="n">
        <v>46159</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27538-2023</t>
        </is>
      </c>
      <c r="B475" s="1" t="n">
        <v>45097</v>
      </c>
      <c r="C475" s="1" t="n">
        <v>46159</v>
      </c>
      <c r="D475" t="inlineStr">
        <is>
          <t>UPPSALA LÄN</t>
        </is>
      </c>
      <c r="E475" t="inlineStr">
        <is>
          <t>ENKÖPING</t>
        </is>
      </c>
      <c r="G475" t="n">
        <v>5.8</v>
      </c>
      <c r="H475" t="n">
        <v>0</v>
      </c>
      <c r="I475" t="n">
        <v>0</v>
      </c>
      <c r="J475" t="n">
        <v>0</v>
      </c>
      <c r="K475" t="n">
        <v>0</v>
      </c>
      <c r="L475" t="n">
        <v>0</v>
      </c>
      <c r="M475" t="n">
        <v>0</v>
      </c>
      <c r="N475" t="n">
        <v>0</v>
      </c>
      <c r="O475" t="n">
        <v>0</v>
      </c>
      <c r="P475" t="n">
        <v>0</v>
      </c>
      <c r="Q475" t="n">
        <v>0</v>
      </c>
      <c r="R475" s="2" t="inlineStr"/>
    </row>
    <row r="476" ht="15" customHeight="1">
      <c r="A476" t="inlineStr">
        <is>
          <t>A 18821-2023</t>
        </is>
      </c>
      <c r="B476" s="1" t="n">
        <v>45044.3782175926</v>
      </c>
      <c r="C476" s="1" t="n">
        <v>46159</v>
      </c>
      <c r="D476" t="inlineStr">
        <is>
          <t>UPPSALA LÄN</t>
        </is>
      </c>
      <c r="E476" t="inlineStr">
        <is>
          <t>ENKÖPING</t>
        </is>
      </c>
      <c r="G476" t="n">
        <v>6</v>
      </c>
      <c r="H476" t="n">
        <v>0</v>
      </c>
      <c r="I476" t="n">
        <v>0</v>
      </c>
      <c r="J476" t="n">
        <v>0</v>
      </c>
      <c r="K476" t="n">
        <v>0</v>
      </c>
      <c r="L476" t="n">
        <v>0</v>
      </c>
      <c r="M476" t="n">
        <v>0</v>
      </c>
      <c r="N476" t="n">
        <v>0</v>
      </c>
      <c r="O476" t="n">
        <v>0</v>
      </c>
      <c r="P476" t="n">
        <v>0</v>
      </c>
      <c r="Q476" t="n">
        <v>0</v>
      </c>
      <c r="R476" s="2" t="inlineStr"/>
    </row>
    <row r="477" ht="15" customHeight="1">
      <c r="A477" t="inlineStr">
        <is>
          <t>A 52380-2024</t>
        </is>
      </c>
      <c r="B477" s="1" t="n">
        <v>45609</v>
      </c>
      <c r="C477" s="1" t="n">
        <v>46159</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9041-2023</t>
        </is>
      </c>
      <c r="B478" s="1" t="n">
        <v>44979</v>
      </c>
      <c r="C478" s="1" t="n">
        <v>46159</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27786-2023</t>
        </is>
      </c>
      <c r="B479" s="1" t="n">
        <v>45098</v>
      </c>
      <c r="C479" s="1" t="n">
        <v>46159</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15942-2022</t>
        </is>
      </c>
      <c r="B480" s="1" t="n">
        <v>44664</v>
      </c>
      <c r="C480" s="1" t="n">
        <v>46159</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50006-2023</t>
        </is>
      </c>
      <c r="B481" s="1" t="n">
        <v>45215</v>
      </c>
      <c r="C481" s="1" t="n">
        <v>46159</v>
      </c>
      <c r="D481" t="inlineStr">
        <is>
          <t>UPPSALA LÄN</t>
        </is>
      </c>
      <c r="E481" t="inlineStr">
        <is>
          <t>ENKÖPING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53607-2023</t>
        </is>
      </c>
      <c r="B482" s="1" t="n">
        <v>45230</v>
      </c>
      <c r="C482" s="1" t="n">
        <v>46159</v>
      </c>
      <c r="D482" t="inlineStr">
        <is>
          <t>UPPSALA LÄN</t>
        </is>
      </c>
      <c r="E482" t="inlineStr">
        <is>
          <t>ENKÖPING</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59497-2022</t>
        </is>
      </c>
      <c r="B483" s="1" t="n">
        <v>44907.48258101852</v>
      </c>
      <c r="C483" s="1" t="n">
        <v>46159</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49614-2024</t>
        </is>
      </c>
      <c r="B484" s="1" t="n">
        <v>45596.57716435185</v>
      </c>
      <c r="C484" s="1" t="n">
        <v>46159</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49632-2024</t>
        </is>
      </c>
      <c r="B485" s="1" t="n">
        <v>45596</v>
      </c>
      <c r="C485" s="1" t="n">
        <v>46159</v>
      </c>
      <c r="D485" t="inlineStr">
        <is>
          <t>UPPSALA LÄN</t>
        </is>
      </c>
      <c r="E485" t="inlineStr">
        <is>
          <t>ENKÖPING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51030-2024</t>
        </is>
      </c>
      <c r="B486" s="1" t="n">
        <v>45603</v>
      </c>
      <c r="C486" s="1" t="n">
        <v>46159</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15405-2025</t>
        </is>
      </c>
      <c r="B487" s="1" t="n">
        <v>45747.44670138889</v>
      </c>
      <c r="C487" s="1" t="n">
        <v>46159</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12878-2025</t>
        </is>
      </c>
      <c r="B488" s="1" t="n">
        <v>45733.68571759259</v>
      </c>
      <c r="C488" s="1" t="n">
        <v>46159</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52889-2022</t>
        </is>
      </c>
      <c r="B489" s="1" t="n">
        <v>44875</v>
      </c>
      <c r="C489" s="1" t="n">
        <v>46159</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47681-2024</t>
        </is>
      </c>
      <c r="B490" s="1" t="n">
        <v>45588</v>
      </c>
      <c r="C490" s="1" t="n">
        <v>46159</v>
      </c>
      <c r="D490" t="inlineStr">
        <is>
          <t>UPPSALA LÄN</t>
        </is>
      </c>
      <c r="E490" t="inlineStr">
        <is>
          <t>ENKÖPING</t>
        </is>
      </c>
      <c r="G490" t="n">
        <v>4.2</v>
      </c>
      <c r="H490" t="n">
        <v>0</v>
      </c>
      <c r="I490" t="n">
        <v>0</v>
      </c>
      <c r="J490" t="n">
        <v>0</v>
      </c>
      <c r="K490" t="n">
        <v>0</v>
      </c>
      <c r="L490" t="n">
        <v>0</v>
      </c>
      <c r="M490" t="n">
        <v>0</v>
      </c>
      <c r="N490" t="n">
        <v>0</v>
      </c>
      <c r="O490" t="n">
        <v>0</v>
      </c>
      <c r="P490" t="n">
        <v>0</v>
      </c>
      <c r="Q490" t="n">
        <v>0</v>
      </c>
      <c r="R490" s="2" t="inlineStr"/>
    </row>
    <row r="491" ht="15" customHeight="1">
      <c r="A491" t="inlineStr">
        <is>
          <t>A 12754-2025</t>
        </is>
      </c>
      <c r="B491" s="1" t="n">
        <v>45733.56331018519</v>
      </c>
      <c r="C491" s="1" t="n">
        <v>46159</v>
      </c>
      <c r="D491" t="inlineStr">
        <is>
          <t>UPPSALA LÄN</t>
        </is>
      </c>
      <c r="E491" t="inlineStr">
        <is>
          <t>ENKÖPING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54588-2024</t>
        </is>
      </c>
      <c r="B492" s="1" t="n">
        <v>45617</v>
      </c>
      <c r="C492" s="1" t="n">
        <v>46159</v>
      </c>
      <c r="D492" t="inlineStr">
        <is>
          <t>UPPSALA LÄN</t>
        </is>
      </c>
      <c r="E492" t="inlineStr">
        <is>
          <t>ENKÖPING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56713-2024</t>
        </is>
      </c>
      <c r="B493" s="1" t="n">
        <v>45628</v>
      </c>
      <c r="C493" s="1" t="n">
        <v>46159</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51524-2022</t>
        </is>
      </c>
      <c r="B494" s="1" t="n">
        <v>44869</v>
      </c>
      <c r="C494" s="1" t="n">
        <v>46159</v>
      </c>
      <c r="D494" t="inlineStr">
        <is>
          <t>UPPSALA LÄN</t>
        </is>
      </c>
      <c r="E494" t="inlineStr">
        <is>
          <t>ENKÖPING</t>
        </is>
      </c>
      <c r="G494" t="n">
        <v>6.6</v>
      </c>
      <c r="H494" t="n">
        <v>0</v>
      </c>
      <c r="I494" t="n">
        <v>0</v>
      </c>
      <c r="J494" t="n">
        <v>0</v>
      </c>
      <c r="K494" t="n">
        <v>0</v>
      </c>
      <c r="L494" t="n">
        <v>0</v>
      </c>
      <c r="M494" t="n">
        <v>0</v>
      </c>
      <c r="N494" t="n">
        <v>0</v>
      </c>
      <c r="O494" t="n">
        <v>0</v>
      </c>
      <c r="P494" t="n">
        <v>0</v>
      </c>
      <c r="Q494" t="n">
        <v>0</v>
      </c>
      <c r="R494" s="2" t="inlineStr"/>
    </row>
    <row r="495" ht="15" customHeight="1">
      <c r="A495" t="inlineStr">
        <is>
          <t>A 8137-2025</t>
        </is>
      </c>
      <c r="B495" s="1" t="n">
        <v>45707.8561574074</v>
      </c>
      <c r="C495" s="1" t="n">
        <v>46159</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7868-2024</t>
        </is>
      </c>
      <c r="B496" s="1" t="n">
        <v>45350.33020833333</v>
      </c>
      <c r="C496" s="1" t="n">
        <v>46159</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51008-2024</t>
        </is>
      </c>
      <c r="B497" s="1" t="n">
        <v>45603.39041666667</v>
      </c>
      <c r="C497" s="1" t="n">
        <v>46159</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35052-2024</t>
        </is>
      </c>
      <c r="B498" s="1" t="n">
        <v>45527.6516087963</v>
      </c>
      <c r="C498" s="1" t="n">
        <v>46159</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14518-2025</t>
        </is>
      </c>
      <c r="B499" s="1" t="n">
        <v>45741</v>
      </c>
      <c r="C499" s="1" t="n">
        <v>46159</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54776-2024</t>
        </is>
      </c>
      <c r="B500" s="1" t="n">
        <v>45618</v>
      </c>
      <c r="C500" s="1" t="n">
        <v>46159</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22150-2025</t>
        </is>
      </c>
      <c r="B501" s="1" t="n">
        <v>45785.56398148148</v>
      </c>
      <c r="C501" s="1" t="n">
        <v>46159</v>
      </c>
      <c r="D501" t="inlineStr">
        <is>
          <t>UPPSALA LÄN</t>
        </is>
      </c>
      <c r="E501" t="inlineStr">
        <is>
          <t>ENKÖPING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46159</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30087-2024</t>
        </is>
      </c>
      <c r="B503" s="1" t="n">
        <v>45489.39447916667</v>
      </c>
      <c r="C503" s="1" t="n">
        <v>46159</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22677-2025</t>
        </is>
      </c>
      <c r="B504" s="1" t="n">
        <v>45789.49515046296</v>
      </c>
      <c r="C504" s="1" t="n">
        <v>46159</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22679-2025</t>
        </is>
      </c>
      <c r="B505" s="1" t="n">
        <v>45789.49747685185</v>
      </c>
      <c r="C505" s="1" t="n">
        <v>46159</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46159</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22786-2025</t>
        </is>
      </c>
      <c r="B507" s="1" t="n">
        <v>45789.64643518518</v>
      </c>
      <c r="C507" s="1" t="n">
        <v>46159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22795-2025</t>
        </is>
      </c>
      <c r="B508" s="1" t="n">
        <v>45789.65944444444</v>
      </c>
      <c r="C508" s="1" t="n">
        <v>46159</v>
      </c>
      <c r="D508" t="inlineStr">
        <is>
          <t>UPPSALA LÄN</t>
        </is>
      </c>
      <c r="E508" t="inlineStr">
        <is>
          <t>ENKÖPING</t>
        </is>
      </c>
      <c r="G508" t="n">
        <v>10.4</v>
      </c>
      <c r="H508" t="n">
        <v>0</v>
      </c>
      <c r="I508" t="n">
        <v>0</v>
      </c>
      <c r="J508" t="n">
        <v>0</v>
      </c>
      <c r="K508" t="n">
        <v>0</v>
      </c>
      <c r="L508" t="n">
        <v>0</v>
      </c>
      <c r="M508" t="n">
        <v>0</v>
      </c>
      <c r="N508" t="n">
        <v>0</v>
      </c>
      <c r="O508" t="n">
        <v>0</v>
      </c>
      <c r="P508" t="n">
        <v>0</v>
      </c>
      <c r="Q508" t="n">
        <v>0</v>
      </c>
      <c r="R508" s="2" t="inlineStr"/>
    </row>
    <row r="509" ht="15" customHeight="1">
      <c r="A509" t="inlineStr">
        <is>
          <t>A 22802-2025</t>
        </is>
      </c>
      <c r="B509" s="1" t="n">
        <v>45789.6686574074</v>
      </c>
      <c r="C509" s="1" t="n">
        <v>46159</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22680-2025</t>
        </is>
      </c>
      <c r="B510" s="1" t="n">
        <v>45789.5005787037</v>
      </c>
      <c r="C510" s="1" t="n">
        <v>46159</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6981-2025</t>
        </is>
      </c>
      <c r="B511" s="1" t="n">
        <v>45701</v>
      </c>
      <c r="C511" s="1" t="n">
        <v>46159</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22770-2025</t>
        </is>
      </c>
      <c r="B512" s="1" t="n">
        <v>45789.63454861111</v>
      </c>
      <c r="C512" s="1" t="n">
        <v>46159</v>
      </c>
      <c r="D512" t="inlineStr">
        <is>
          <t>UPPSALA LÄN</t>
        </is>
      </c>
      <c r="E512" t="inlineStr">
        <is>
          <t>ENKÖPING</t>
        </is>
      </c>
      <c r="G512" t="n">
        <v>4.5</v>
      </c>
      <c r="H512" t="n">
        <v>0</v>
      </c>
      <c r="I512" t="n">
        <v>0</v>
      </c>
      <c r="J512" t="n">
        <v>0</v>
      </c>
      <c r="K512" t="n">
        <v>0</v>
      </c>
      <c r="L512" t="n">
        <v>0</v>
      </c>
      <c r="M512" t="n">
        <v>0</v>
      </c>
      <c r="N512" t="n">
        <v>0</v>
      </c>
      <c r="O512" t="n">
        <v>0</v>
      </c>
      <c r="P512" t="n">
        <v>0</v>
      </c>
      <c r="Q512" t="n">
        <v>0</v>
      </c>
      <c r="R512" s="2" t="inlineStr"/>
    </row>
    <row r="513" ht="15" customHeight="1">
      <c r="A513" t="inlineStr">
        <is>
          <t>A 22725-2025</t>
        </is>
      </c>
      <c r="B513" s="1" t="n">
        <v>45789.57371527778</v>
      </c>
      <c r="C513" s="1" t="n">
        <v>46159</v>
      </c>
      <c r="D513" t="inlineStr">
        <is>
          <t>UPPSALA LÄN</t>
        </is>
      </c>
      <c r="E513" t="inlineStr">
        <is>
          <t>ENKÖPING</t>
        </is>
      </c>
      <c r="G513" t="n">
        <v>4.8</v>
      </c>
      <c r="H513" t="n">
        <v>0</v>
      </c>
      <c r="I513" t="n">
        <v>0</v>
      </c>
      <c r="J513" t="n">
        <v>0</v>
      </c>
      <c r="K513" t="n">
        <v>0</v>
      </c>
      <c r="L513" t="n">
        <v>0</v>
      </c>
      <c r="M513" t="n">
        <v>0</v>
      </c>
      <c r="N513" t="n">
        <v>0</v>
      </c>
      <c r="O513" t="n">
        <v>0</v>
      </c>
      <c r="P513" t="n">
        <v>0</v>
      </c>
      <c r="Q513" t="n">
        <v>0</v>
      </c>
      <c r="R513" s="2" t="inlineStr"/>
    </row>
    <row r="514" ht="15" customHeight="1">
      <c r="A514" t="inlineStr">
        <is>
          <t>A 22981-2025</t>
        </is>
      </c>
      <c r="B514" s="1" t="n">
        <v>45790.56964120371</v>
      </c>
      <c r="C514" s="1" t="n">
        <v>46159</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68123-2021</t>
        </is>
      </c>
      <c r="B515" s="1" t="n">
        <v>44526.39126157408</v>
      </c>
      <c r="C515" s="1" t="n">
        <v>46159</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22793-2025</t>
        </is>
      </c>
      <c r="B516" s="1" t="n">
        <v>45789.65693287037</v>
      </c>
      <c r="C516" s="1" t="n">
        <v>46159</v>
      </c>
      <c r="D516" t="inlineStr">
        <is>
          <t>UPPSALA LÄN</t>
        </is>
      </c>
      <c r="E516" t="inlineStr">
        <is>
          <t>ENKÖPING</t>
        </is>
      </c>
      <c r="G516" t="n">
        <v>3.2</v>
      </c>
      <c r="H516" t="n">
        <v>0</v>
      </c>
      <c r="I516" t="n">
        <v>0</v>
      </c>
      <c r="J516" t="n">
        <v>0</v>
      </c>
      <c r="K516" t="n">
        <v>0</v>
      </c>
      <c r="L516" t="n">
        <v>0</v>
      </c>
      <c r="M516" t="n">
        <v>0</v>
      </c>
      <c r="N516" t="n">
        <v>0</v>
      </c>
      <c r="O516" t="n">
        <v>0</v>
      </c>
      <c r="P516" t="n">
        <v>0</v>
      </c>
      <c r="Q516" t="n">
        <v>0</v>
      </c>
      <c r="R516" s="2" t="inlineStr"/>
    </row>
    <row r="517">
      <c r="A517" t="inlineStr">
        <is>
          <t>A 22800-2025</t>
        </is>
      </c>
      <c r="B517" s="1" t="n">
        <v>45789.6669212963</v>
      </c>
      <c r="C517" s="1" t="n">
        <v>46159</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2026-05-17T14:04:05Z</dcterms:created>
  <dcterms:modified xmlns:dcterms="http://purl.org/dc/terms/" xmlns:xsi="http://www.w3.org/2001/XMLSchema-instance" xsi:type="dcterms:W3CDTF">2026-05-17T14:04:06Z</dcterms:modified>
</cp:coreProperties>
</file>