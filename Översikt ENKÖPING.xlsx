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46169</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46169</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46169</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46169</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46169</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46169</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46169</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21970-2025</t>
        </is>
      </c>
      <c r="B13" s="1" t="n">
        <v>45784.63335648148</v>
      </c>
      <c r="C13" s="1" t="n">
        <v>46169</v>
      </c>
      <c r="D13" t="inlineStr">
        <is>
          <t>UPPSALA LÄN</t>
        </is>
      </c>
      <c r="E13" t="inlineStr">
        <is>
          <t>ENKÖPING</t>
        </is>
      </c>
      <c r="G13" t="n">
        <v>5.3</v>
      </c>
      <c r="H13" t="n">
        <v>1</v>
      </c>
      <c r="I13" t="n">
        <v>0</v>
      </c>
      <c r="J13" t="n">
        <v>1</v>
      </c>
      <c r="K13" t="n">
        <v>0</v>
      </c>
      <c r="L13" t="n">
        <v>0</v>
      </c>
      <c r="M13" t="n">
        <v>0</v>
      </c>
      <c r="N13" t="n">
        <v>0</v>
      </c>
      <c r="O13" t="n">
        <v>1</v>
      </c>
      <c r="P13" t="n">
        <v>0</v>
      </c>
      <c r="Q13" t="n">
        <v>2</v>
      </c>
      <c r="R13" s="2" t="inlineStr">
        <is>
          <t>Flattoppad klubbsvamp
Blåsippa</t>
        </is>
      </c>
      <c r="S13">
        <f>HYPERLINK("https://klasma.github.io/Logging_0381/artfynd/A 21970-2025 artfynd.xlsx", "A 21970-2025")</f>
        <v/>
      </c>
      <c r="T13">
        <f>HYPERLINK("https://klasma.github.io/Logging_0381/kartor/A 21970-2025 karta.png", "A 21970-2025")</f>
        <v/>
      </c>
      <c r="V13">
        <f>HYPERLINK("https://klasma.github.io/Logging_0381/klagomål/A 21970-2025 FSC-klagomål.docx", "A 21970-2025")</f>
        <v/>
      </c>
      <c r="W13">
        <f>HYPERLINK("https://klasma.github.io/Logging_0381/klagomålsmail/A 21970-2025 FSC-klagomål mail.docx", "A 21970-2025")</f>
        <v/>
      </c>
      <c r="X13">
        <f>HYPERLINK("https://klasma.github.io/Logging_0381/tillsyn/A 21970-2025 tillsynsbegäran.docx", "A 21970-2025")</f>
        <v/>
      </c>
      <c r="Y13">
        <f>HYPERLINK("https://klasma.github.io/Logging_0381/tillsynsmail/A 21970-2025 tillsynsbegäran mail.docx", "A 21970-2025")</f>
        <v/>
      </c>
    </row>
    <row r="14" ht="15" customHeight="1">
      <c r="A14" t="inlineStr">
        <is>
          <t>A 27073-2025</t>
        </is>
      </c>
      <c r="B14" s="1" t="n">
        <v>45811.64190972222</v>
      </c>
      <c r="C14" s="1" t="n">
        <v>46169</v>
      </c>
      <c r="D14" t="inlineStr">
        <is>
          <t>UPPSALA LÄN</t>
        </is>
      </c>
      <c r="E14" t="inlineStr">
        <is>
          <t>ENKÖPING</t>
        </is>
      </c>
      <c r="G14" t="n">
        <v>4.3</v>
      </c>
      <c r="H14" t="n">
        <v>0</v>
      </c>
      <c r="I14" t="n">
        <v>2</v>
      </c>
      <c r="J14" t="n">
        <v>0</v>
      </c>
      <c r="K14" t="n">
        <v>0</v>
      </c>
      <c r="L14" t="n">
        <v>0</v>
      </c>
      <c r="M14" t="n">
        <v>0</v>
      </c>
      <c r="N14" t="n">
        <v>0</v>
      </c>
      <c r="O14" t="n">
        <v>0</v>
      </c>
      <c r="P14" t="n">
        <v>0</v>
      </c>
      <c r="Q14" t="n">
        <v>2</v>
      </c>
      <c r="R14" s="2" t="inlineStr">
        <is>
          <t>Bågpraktmossa
Kärrkammossa</t>
        </is>
      </c>
      <c r="S14">
        <f>HYPERLINK("https://klasma.github.io/Logging_0381/artfynd/A 27073-2025 artfynd.xlsx", "A 27073-2025")</f>
        <v/>
      </c>
      <c r="T14">
        <f>HYPERLINK("https://klasma.github.io/Logging_0381/kartor/A 27073-2025 karta.png", "A 27073-2025")</f>
        <v/>
      </c>
      <c r="V14">
        <f>HYPERLINK("https://klasma.github.io/Logging_0381/klagomål/A 27073-2025 FSC-klagomål.docx", "A 27073-2025")</f>
        <v/>
      </c>
      <c r="W14">
        <f>HYPERLINK("https://klasma.github.io/Logging_0381/klagomålsmail/A 27073-2025 FSC-klagomål mail.docx", "A 27073-2025")</f>
        <v/>
      </c>
      <c r="X14">
        <f>HYPERLINK("https://klasma.github.io/Logging_0381/tillsyn/A 27073-2025 tillsynsbegäran.docx", "A 27073-2025")</f>
        <v/>
      </c>
      <c r="Y14">
        <f>HYPERLINK("https://klasma.github.io/Logging_0381/tillsynsmail/A 27073-2025 tillsynsbegäran mail.docx", "A 27073-2025")</f>
        <v/>
      </c>
    </row>
    <row r="15" ht="15" customHeight="1">
      <c r="A15" t="inlineStr">
        <is>
          <t>A 50105-2023</t>
        </is>
      </c>
      <c r="B15" s="1" t="n">
        <v>45215</v>
      </c>
      <c r="C15" s="1" t="n">
        <v>46169</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9147-2026</t>
        </is>
      </c>
      <c r="B16" s="1" t="n">
        <v>46070.30649305556</v>
      </c>
      <c r="C16" s="1" t="n">
        <v>46169</v>
      </c>
      <c r="D16" t="inlineStr">
        <is>
          <t>UPPSALA LÄN</t>
        </is>
      </c>
      <c r="E16" t="inlineStr">
        <is>
          <t>ENKÖPING</t>
        </is>
      </c>
      <c r="G16" t="n">
        <v>1.6</v>
      </c>
      <c r="H16" t="n">
        <v>0</v>
      </c>
      <c r="I16" t="n">
        <v>1</v>
      </c>
      <c r="J16" t="n">
        <v>1</v>
      </c>
      <c r="K16" t="n">
        <v>0</v>
      </c>
      <c r="L16" t="n">
        <v>0</v>
      </c>
      <c r="M16" t="n">
        <v>0</v>
      </c>
      <c r="N16" t="n">
        <v>0</v>
      </c>
      <c r="O16" t="n">
        <v>1</v>
      </c>
      <c r="P16" t="n">
        <v>0</v>
      </c>
      <c r="Q16" t="n">
        <v>2</v>
      </c>
      <c r="R16" s="2" t="inlineStr">
        <is>
          <t>Motaggsvamp
Dropptaggsvamp</t>
        </is>
      </c>
      <c r="S16">
        <f>HYPERLINK("https://klasma.github.io/Logging_0381/artfynd/A 9147-2026 artfynd.xlsx", "A 9147-2026")</f>
        <v/>
      </c>
      <c r="T16">
        <f>HYPERLINK("https://klasma.github.io/Logging_0381/kartor/A 9147-2026 karta.png", "A 9147-2026")</f>
        <v/>
      </c>
      <c r="V16">
        <f>HYPERLINK("https://klasma.github.io/Logging_0381/klagomål/A 9147-2026 FSC-klagomål.docx", "A 9147-2026")</f>
        <v/>
      </c>
      <c r="W16">
        <f>HYPERLINK("https://klasma.github.io/Logging_0381/klagomålsmail/A 9147-2026 FSC-klagomål mail.docx", "A 9147-2026")</f>
        <v/>
      </c>
      <c r="X16">
        <f>HYPERLINK("https://klasma.github.io/Logging_0381/tillsyn/A 9147-2026 tillsynsbegäran.docx", "A 9147-2026")</f>
        <v/>
      </c>
      <c r="Y16">
        <f>HYPERLINK("https://klasma.github.io/Logging_0381/tillsynsmail/A 9147-2026 tillsynsbegäran mail.docx", "A 9147-2026")</f>
        <v/>
      </c>
    </row>
    <row r="17" ht="15" customHeight="1">
      <c r="A17" t="inlineStr">
        <is>
          <t>A 21810-2026</t>
        </is>
      </c>
      <c r="B17" s="1" t="n">
        <v>46150</v>
      </c>
      <c r="C17" s="1" t="n">
        <v>46169</v>
      </c>
      <c r="D17" t="inlineStr">
        <is>
          <t>UPPSALA LÄN</t>
        </is>
      </c>
      <c r="E17" t="inlineStr">
        <is>
          <t>ENKÖPING</t>
        </is>
      </c>
      <c r="G17" t="n">
        <v>13.3</v>
      </c>
      <c r="H17" t="n">
        <v>1</v>
      </c>
      <c r="I17" t="n">
        <v>0</v>
      </c>
      <c r="J17" t="n">
        <v>1</v>
      </c>
      <c r="K17" t="n">
        <v>0</v>
      </c>
      <c r="L17" t="n">
        <v>0</v>
      </c>
      <c r="M17" t="n">
        <v>0</v>
      </c>
      <c r="N17" t="n">
        <v>0</v>
      </c>
      <c r="O17" t="n">
        <v>1</v>
      </c>
      <c r="P17" t="n">
        <v>0</v>
      </c>
      <c r="Q17" t="n">
        <v>2</v>
      </c>
      <c r="R17" s="2" t="inlineStr">
        <is>
          <t>Motaggsvamp
Kungsfågel</t>
        </is>
      </c>
      <c r="S17">
        <f>HYPERLINK("https://klasma.github.io/Logging_0381/artfynd/A 21810-2026 artfynd.xlsx", "A 21810-2026")</f>
        <v/>
      </c>
      <c r="T17">
        <f>HYPERLINK("https://klasma.github.io/Logging_0381/kartor/A 21810-2026 karta.png", "A 21810-2026")</f>
        <v/>
      </c>
      <c r="V17">
        <f>HYPERLINK("https://klasma.github.io/Logging_0381/klagomål/A 21810-2026 FSC-klagomål.docx", "A 21810-2026")</f>
        <v/>
      </c>
      <c r="W17">
        <f>HYPERLINK("https://klasma.github.io/Logging_0381/klagomålsmail/A 21810-2026 FSC-klagomål mail.docx", "A 21810-2026")</f>
        <v/>
      </c>
      <c r="X17">
        <f>HYPERLINK("https://klasma.github.io/Logging_0381/tillsyn/A 21810-2026 tillsynsbegäran.docx", "A 21810-2026")</f>
        <v/>
      </c>
      <c r="Y17">
        <f>HYPERLINK("https://klasma.github.io/Logging_0381/tillsynsmail/A 21810-2026 tillsynsbegäran mail.docx", "A 21810-2026")</f>
        <v/>
      </c>
      <c r="Z17">
        <f>HYPERLINK("https://klasma.github.io/Logging_0381/fåglar/A 21810-2026 prioriterade fågelarter.docx", "A 21810-2026")</f>
        <v/>
      </c>
    </row>
    <row r="18" ht="15" customHeight="1">
      <c r="A18" t="inlineStr">
        <is>
          <t>A 425-2024</t>
        </is>
      </c>
      <c r="B18" s="1" t="n">
        <v>45296</v>
      </c>
      <c r="C18" s="1" t="n">
        <v>46169</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46169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46169</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26347-2025</t>
        </is>
      </c>
      <c r="B22" s="1" t="n">
        <v>45805.7403125</v>
      </c>
      <c r="C22" s="1" t="n">
        <v>46169</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52439-2025</t>
        </is>
      </c>
      <c r="B23" s="1" t="n">
        <v>45954.40697916667</v>
      </c>
      <c r="C23" s="1" t="n">
        <v>46169</v>
      </c>
      <c r="D23" t="inlineStr">
        <is>
          <t>UPPSALA LÄN</t>
        </is>
      </c>
      <c r="E23" t="inlineStr">
        <is>
          <t>ENKÖPING</t>
        </is>
      </c>
      <c r="F23" t="inlineStr">
        <is>
          <t>Allmännings- och besparingsskogar</t>
        </is>
      </c>
      <c r="G23" t="n">
        <v>2.2</v>
      </c>
      <c r="H23" t="n">
        <v>0</v>
      </c>
      <c r="I23" t="n">
        <v>0</v>
      </c>
      <c r="J23" t="n">
        <v>1</v>
      </c>
      <c r="K23" t="n">
        <v>0</v>
      </c>
      <c r="L23" t="n">
        <v>0</v>
      </c>
      <c r="M23" t="n">
        <v>0</v>
      </c>
      <c r="N23" t="n">
        <v>0</v>
      </c>
      <c r="O23" t="n">
        <v>1</v>
      </c>
      <c r="P23" t="n">
        <v>0</v>
      </c>
      <c r="Q23" t="n">
        <v>1</v>
      </c>
      <c r="R23" s="2" t="inlineStr">
        <is>
          <t>Igelkott</t>
        </is>
      </c>
      <c r="S23">
        <f>HYPERLINK("https://klasma.github.io/Logging_0381/artfynd/A 52439-2025 artfynd.xlsx", "A 52439-2025")</f>
        <v/>
      </c>
      <c r="T23">
        <f>HYPERLINK("https://klasma.github.io/Logging_0381/kartor/A 52439-2025 karta.png", "A 52439-2025")</f>
        <v/>
      </c>
      <c r="V23">
        <f>HYPERLINK("https://klasma.github.io/Logging_0381/klagomål/A 52439-2025 FSC-klagomål.docx", "A 52439-2025")</f>
        <v/>
      </c>
      <c r="W23">
        <f>HYPERLINK("https://klasma.github.io/Logging_0381/klagomålsmail/A 52439-2025 FSC-klagomål mail.docx", "A 52439-2025")</f>
        <v/>
      </c>
      <c r="X23">
        <f>HYPERLINK("https://klasma.github.io/Logging_0381/tillsyn/A 52439-2025 tillsynsbegäran.docx", "A 52439-2025")</f>
        <v/>
      </c>
      <c r="Y23">
        <f>HYPERLINK("https://klasma.github.io/Logging_0381/tillsynsmail/A 52439-2025 tillsynsbegäran mail.docx", "A 52439-2025")</f>
        <v/>
      </c>
    </row>
    <row r="24" ht="15" customHeight="1">
      <c r="A24" t="inlineStr">
        <is>
          <t>A 27060-2025</t>
        </is>
      </c>
      <c r="B24" s="1" t="n">
        <v>45811.63590277778</v>
      </c>
      <c r="C24" s="1" t="n">
        <v>46169</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46169</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46169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4166-2026</t>
        </is>
      </c>
      <c r="B27" s="1" t="n">
        <v>46044.66402777778</v>
      </c>
      <c r="C27" s="1" t="n">
        <v>46169</v>
      </c>
      <c r="D27" t="inlineStr">
        <is>
          <t>UPPSALA LÄN</t>
        </is>
      </c>
      <c r="E27" t="inlineStr">
        <is>
          <t>ENKÖPING</t>
        </is>
      </c>
      <c r="G27" t="n">
        <v>1.7</v>
      </c>
      <c r="H27" t="n">
        <v>1</v>
      </c>
      <c r="I27" t="n">
        <v>0</v>
      </c>
      <c r="J27" t="n">
        <v>1</v>
      </c>
      <c r="K27" t="n">
        <v>0</v>
      </c>
      <c r="L27" t="n">
        <v>0</v>
      </c>
      <c r="M27" t="n">
        <v>0</v>
      </c>
      <c r="N27" t="n">
        <v>0</v>
      </c>
      <c r="O27" t="n">
        <v>1</v>
      </c>
      <c r="P27" t="n">
        <v>0</v>
      </c>
      <c r="Q27" t="n">
        <v>1</v>
      </c>
      <c r="R27" s="2" t="inlineStr">
        <is>
          <t>Gulsparv</t>
        </is>
      </c>
      <c r="S27">
        <f>HYPERLINK("https://klasma.github.io/Logging_0381/artfynd/A 4166-2026 artfynd.xlsx", "A 4166-2026")</f>
        <v/>
      </c>
      <c r="T27">
        <f>HYPERLINK("https://klasma.github.io/Logging_0381/kartor/A 4166-2026 karta.png", "A 4166-2026")</f>
        <v/>
      </c>
      <c r="V27">
        <f>HYPERLINK("https://klasma.github.io/Logging_0381/klagomål/A 4166-2026 FSC-klagomål.docx", "A 4166-2026")</f>
        <v/>
      </c>
      <c r="W27">
        <f>HYPERLINK("https://klasma.github.io/Logging_0381/klagomålsmail/A 4166-2026 FSC-klagomål mail.docx", "A 4166-2026")</f>
        <v/>
      </c>
      <c r="X27">
        <f>HYPERLINK("https://klasma.github.io/Logging_0381/tillsyn/A 4166-2026 tillsynsbegäran.docx", "A 4166-2026")</f>
        <v/>
      </c>
      <c r="Y27">
        <f>HYPERLINK("https://klasma.github.io/Logging_0381/tillsynsmail/A 4166-2026 tillsynsbegäran mail.docx", "A 4166-2026")</f>
        <v/>
      </c>
      <c r="Z27">
        <f>HYPERLINK("https://klasma.github.io/Logging_0381/fåglar/A 4166-2026 prioriterade fågelarter.docx", "A 4166-2026")</f>
        <v/>
      </c>
    </row>
    <row r="28" ht="15" customHeight="1">
      <c r="A28" t="inlineStr">
        <is>
          <t>A 28900-2024</t>
        </is>
      </c>
      <c r="B28" s="1" t="n">
        <v>45480</v>
      </c>
      <c r="C28" s="1" t="n">
        <v>46169</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46169</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Tallkötticka</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46169</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46169</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46169</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55582-2021</t>
        </is>
      </c>
      <c r="B33" s="1" t="n">
        <v>44475</v>
      </c>
      <c r="C33" s="1" t="n">
        <v>46169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46169</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46169</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46169</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46169</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46169</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46169</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17704-2022</t>
        </is>
      </c>
      <c r="B42" s="1" t="n">
        <v>44680.61315972222</v>
      </c>
      <c r="C42" s="1" t="n">
        <v>46169</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10202-2022</t>
        </is>
      </c>
      <c r="B43" s="1" t="n">
        <v>44622</v>
      </c>
      <c r="C43" s="1" t="n">
        <v>46169</v>
      </c>
      <c r="D43" t="inlineStr">
        <is>
          <t>UPPSALA LÄN</t>
        </is>
      </c>
      <c r="E43" t="inlineStr">
        <is>
          <t>ENKÖPING</t>
        </is>
      </c>
      <c r="G43" t="n">
        <v>5.6</v>
      </c>
      <c r="H43" t="n">
        <v>0</v>
      </c>
      <c r="I43" t="n">
        <v>0</v>
      </c>
      <c r="J43" t="n">
        <v>0</v>
      </c>
      <c r="K43" t="n">
        <v>0</v>
      </c>
      <c r="L43" t="n">
        <v>0</v>
      </c>
      <c r="M43" t="n">
        <v>0</v>
      </c>
      <c r="N43" t="n">
        <v>0</v>
      </c>
      <c r="O43" t="n">
        <v>0</v>
      </c>
      <c r="P43" t="n">
        <v>0</v>
      </c>
      <c r="Q43" t="n">
        <v>0</v>
      </c>
      <c r="R43" s="2" t="inlineStr"/>
    </row>
    <row r="44" ht="15" customHeight="1">
      <c r="A44" t="inlineStr">
        <is>
          <t>A 10207-2022</t>
        </is>
      </c>
      <c r="B44" s="1" t="n">
        <v>44622</v>
      </c>
      <c r="C44" s="1" t="n">
        <v>46169</v>
      </c>
      <c r="D44" t="inlineStr">
        <is>
          <t>UPPSALA LÄN</t>
        </is>
      </c>
      <c r="E44" t="inlineStr">
        <is>
          <t>ENKÖPING</t>
        </is>
      </c>
      <c r="G44" t="n">
        <v>4.9</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46169</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46169</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46169</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46169</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46169</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46169</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46169</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46169</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46169</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46169</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29435-2022</t>
        </is>
      </c>
      <c r="B55" s="1" t="n">
        <v>44753.49215277778</v>
      </c>
      <c r="C55" s="1" t="n">
        <v>46169</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39473-2021</t>
        </is>
      </c>
      <c r="B56" s="1" t="n">
        <v>44414</v>
      </c>
      <c r="C56" s="1" t="n">
        <v>46169</v>
      </c>
      <c r="D56" t="inlineStr">
        <is>
          <t>UPPSALA LÄN</t>
        </is>
      </c>
      <c r="E56" t="inlineStr">
        <is>
          <t>ENKÖPING</t>
        </is>
      </c>
      <c r="G56" t="n">
        <v>3.2</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46169</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46169</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46169</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46169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46169</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46169</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46169</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46169</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68107-2021</t>
        </is>
      </c>
      <c r="B65" s="1" t="n">
        <v>44526</v>
      </c>
      <c r="C65" s="1" t="n">
        <v>46169</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69791-2021</t>
        </is>
      </c>
      <c r="B66" s="1" t="n">
        <v>44532</v>
      </c>
      <c r="C66" s="1" t="n">
        <v>46169</v>
      </c>
      <c r="D66" t="inlineStr">
        <is>
          <t>UPPSALA LÄN</t>
        </is>
      </c>
      <c r="E66" t="inlineStr">
        <is>
          <t>ENKÖPING</t>
        </is>
      </c>
      <c r="G66" t="n">
        <v>0.8</v>
      </c>
      <c r="H66" t="n">
        <v>0</v>
      </c>
      <c r="I66" t="n">
        <v>0</v>
      </c>
      <c r="J66" t="n">
        <v>0</v>
      </c>
      <c r="K66" t="n">
        <v>0</v>
      </c>
      <c r="L66" t="n">
        <v>0</v>
      </c>
      <c r="M66" t="n">
        <v>0</v>
      </c>
      <c r="N66" t="n">
        <v>0</v>
      </c>
      <c r="O66" t="n">
        <v>0</v>
      </c>
      <c r="P66" t="n">
        <v>0</v>
      </c>
      <c r="Q66" t="n">
        <v>0</v>
      </c>
      <c r="R66" s="2" t="inlineStr"/>
    </row>
    <row r="67" ht="15" customHeight="1">
      <c r="A67" t="inlineStr">
        <is>
          <t>A 49375-2021</t>
        </is>
      </c>
      <c r="B67" s="1" t="n">
        <v>44454</v>
      </c>
      <c r="C67" s="1" t="n">
        <v>46169</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57055-2021</t>
        </is>
      </c>
      <c r="B68" s="1" t="n">
        <v>44482.55201388889</v>
      </c>
      <c r="C68" s="1" t="n">
        <v>46169</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60874-2021</t>
        </is>
      </c>
      <c r="B69" s="1" t="n">
        <v>44497</v>
      </c>
      <c r="C69" s="1" t="n">
        <v>46169</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15021-2022</t>
        </is>
      </c>
      <c r="B70" s="1" t="n">
        <v>44657</v>
      </c>
      <c r="C70" s="1" t="n">
        <v>46169</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31013-2022</t>
        </is>
      </c>
      <c r="B71" s="1" t="n">
        <v>44768</v>
      </c>
      <c r="C71" s="1" t="n">
        <v>46169</v>
      </c>
      <c r="D71" t="inlineStr">
        <is>
          <t>UPPSALA LÄN</t>
        </is>
      </c>
      <c r="E71" t="inlineStr">
        <is>
          <t>ENKÖPING</t>
        </is>
      </c>
      <c r="F71" t="inlineStr">
        <is>
          <t>Allmännings- och besparingsskogar</t>
        </is>
      </c>
      <c r="G71" t="n">
        <v>0.5</v>
      </c>
      <c r="H71" t="n">
        <v>0</v>
      </c>
      <c r="I71" t="n">
        <v>0</v>
      </c>
      <c r="J71" t="n">
        <v>0</v>
      </c>
      <c r="K71" t="n">
        <v>0</v>
      </c>
      <c r="L71" t="n">
        <v>0</v>
      </c>
      <c r="M71" t="n">
        <v>0</v>
      </c>
      <c r="N71" t="n">
        <v>0</v>
      </c>
      <c r="O71" t="n">
        <v>0</v>
      </c>
      <c r="P71" t="n">
        <v>0</v>
      </c>
      <c r="Q71" t="n">
        <v>0</v>
      </c>
      <c r="R71" s="2" t="inlineStr"/>
    </row>
    <row r="72" ht="15" customHeight="1">
      <c r="A72" t="inlineStr">
        <is>
          <t>A 42029-2021</t>
        </is>
      </c>
      <c r="B72" s="1" t="n">
        <v>44426</v>
      </c>
      <c r="C72" s="1" t="n">
        <v>46169</v>
      </c>
      <c r="D72" t="inlineStr">
        <is>
          <t>UPPSALA LÄN</t>
        </is>
      </c>
      <c r="E72" t="inlineStr">
        <is>
          <t>ENKÖPING</t>
        </is>
      </c>
      <c r="G72" t="n">
        <v>5.3</v>
      </c>
      <c r="H72" t="n">
        <v>0</v>
      </c>
      <c r="I72" t="n">
        <v>0</v>
      </c>
      <c r="J72" t="n">
        <v>0</v>
      </c>
      <c r="K72" t="n">
        <v>0</v>
      </c>
      <c r="L72" t="n">
        <v>0</v>
      </c>
      <c r="M72" t="n">
        <v>0</v>
      </c>
      <c r="N72" t="n">
        <v>0</v>
      </c>
      <c r="O72" t="n">
        <v>0</v>
      </c>
      <c r="P72" t="n">
        <v>0</v>
      </c>
      <c r="Q72" t="n">
        <v>0</v>
      </c>
      <c r="R72" s="2" t="inlineStr"/>
    </row>
    <row r="73" ht="15" customHeight="1">
      <c r="A73" t="inlineStr">
        <is>
          <t>A 1971-2022</t>
        </is>
      </c>
      <c r="B73" s="1" t="n">
        <v>44575</v>
      </c>
      <c r="C73" s="1" t="n">
        <v>46169</v>
      </c>
      <c r="D73" t="inlineStr">
        <is>
          <t>UPPSALA LÄN</t>
        </is>
      </c>
      <c r="E73" t="inlineStr">
        <is>
          <t>ENKÖPING</t>
        </is>
      </c>
      <c r="G73" t="n">
        <v>1.4</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46169</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46169</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46169</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46169</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57043-2021</t>
        </is>
      </c>
      <c r="B78" s="1" t="n">
        <v>44482.53399305556</v>
      </c>
      <c r="C78" s="1" t="n">
        <v>46169</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24883-2022</t>
        </is>
      </c>
      <c r="B79" s="1" t="n">
        <v>44728</v>
      </c>
      <c r="C79" s="1" t="n">
        <v>46169</v>
      </c>
      <c r="D79" t="inlineStr">
        <is>
          <t>UPPSALA LÄN</t>
        </is>
      </c>
      <c r="E79" t="inlineStr">
        <is>
          <t>ENKÖPING</t>
        </is>
      </c>
      <c r="G79" t="n">
        <v>2.5</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46169</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17467-2022</t>
        </is>
      </c>
      <c r="B81" s="1" t="n">
        <v>44679</v>
      </c>
      <c r="C81" s="1" t="n">
        <v>46169</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42021-2021</t>
        </is>
      </c>
      <c r="B82" s="1" t="n">
        <v>44426</v>
      </c>
      <c r="C82" s="1" t="n">
        <v>46169</v>
      </c>
      <c r="D82" t="inlineStr">
        <is>
          <t>UPPSALA LÄN</t>
        </is>
      </c>
      <c r="E82" t="inlineStr">
        <is>
          <t>ENKÖPING</t>
        </is>
      </c>
      <c r="G82" t="n">
        <v>2.2</v>
      </c>
      <c r="H82" t="n">
        <v>0</v>
      </c>
      <c r="I82" t="n">
        <v>0</v>
      </c>
      <c r="J82" t="n">
        <v>0</v>
      </c>
      <c r="K82" t="n">
        <v>0</v>
      </c>
      <c r="L82" t="n">
        <v>0</v>
      </c>
      <c r="M82" t="n">
        <v>0</v>
      </c>
      <c r="N82" t="n">
        <v>0</v>
      </c>
      <c r="O82" t="n">
        <v>0</v>
      </c>
      <c r="P82" t="n">
        <v>0</v>
      </c>
      <c r="Q82" t="n">
        <v>0</v>
      </c>
      <c r="R82" s="2" t="inlineStr"/>
    </row>
    <row r="83" ht="15" customHeight="1">
      <c r="A83" t="inlineStr">
        <is>
          <t>A 59121-2021</t>
        </is>
      </c>
      <c r="B83" s="1" t="n">
        <v>44490</v>
      </c>
      <c r="C83" s="1" t="n">
        <v>46169</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24815-2022</t>
        </is>
      </c>
      <c r="B84" s="1" t="n">
        <v>44728</v>
      </c>
      <c r="C84" s="1" t="n">
        <v>46169</v>
      </c>
      <c r="D84" t="inlineStr">
        <is>
          <t>UPPSALA LÄN</t>
        </is>
      </c>
      <c r="E84" t="inlineStr">
        <is>
          <t>ENKÖPING</t>
        </is>
      </c>
      <c r="G84" t="n">
        <v>1.8</v>
      </c>
      <c r="H84" t="n">
        <v>0</v>
      </c>
      <c r="I84" t="n">
        <v>0</v>
      </c>
      <c r="J84" t="n">
        <v>0</v>
      </c>
      <c r="K84" t="n">
        <v>0</v>
      </c>
      <c r="L84" t="n">
        <v>0</v>
      </c>
      <c r="M84" t="n">
        <v>0</v>
      </c>
      <c r="N84" t="n">
        <v>0</v>
      </c>
      <c r="O84" t="n">
        <v>0</v>
      </c>
      <c r="P84" t="n">
        <v>0</v>
      </c>
      <c r="Q84" t="n">
        <v>0</v>
      </c>
      <c r="R84" s="2" t="inlineStr"/>
    </row>
    <row r="85" ht="15" customHeight="1">
      <c r="A85" t="inlineStr">
        <is>
          <t>A 57078-2021</t>
        </is>
      </c>
      <c r="B85" s="1" t="n">
        <v>44482.57855324074</v>
      </c>
      <c r="C85" s="1" t="n">
        <v>46169</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29983-2021</t>
        </is>
      </c>
      <c r="B86" s="1" t="n">
        <v>44363</v>
      </c>
      <c r="C86" s="1" t="n">
        <v>46169</v>
      </c>
      <c r="D86" t="inlineStr">
        <is>
          <t>UPPSALA LÄN</t>
        </is>
      </c>
      <c r="E86" t="inlineStr">
        <is>
          <t>ENKÖPING</t>
        </is>
      </c>
      <c r="F86" t="inlineStr">
        <is>
          <t>Kommuner</t>
        </is>
      </c>
      <c r="G86" t="n">
        <v>3.1</v>
      </c>
      <c r="H86" t="n">
        <v>0</v>
      </c>
      <c r="I86" t="n">
        <v>0</v>
      </c>
      <c r="J86" t="n">
        <v>0</v>
      </c>
      <c r="K86" t="n">
        <v>0</v>
      </c>
      <c r="L86" t="n">
        <v>0</v>
      </c>
      <c r="M86" t="n">
        <v>0</v>
      </c>
      <c r="N86" t="n">
        <v>0</v>
      </c>
      <c r="O86" t="n">
        <v>0</v>
      </c>
      <c r="P86" t="n">
        <v>0</v>
      </c>
      <c r="Q86" t="n">
        <v>0</v>
      </c>
      <c r="R86" s="2" t="inlineStr"/>
    </row>
    <row r="87" ht="15" customHeight="1">
      <c r="A87" t="inlineStr">
        <is>
          <t>A 49063-2024</t>
        </is>
      </c>
      <c r="B87" s="1" t="n">
        <v>45594.59869212963</v>
      </c>
      <c r="C87" s="1" t="n">
        <v>46169</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13853-2023</t>
        </is>
      </c>
      <c r="B88" s="1" t="n">
        <v>45007</v>
      </c>
      <c r="C88" s="1" t="n">
        <v>46169</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17657-2025</t>
        </is>
      </c>
      <c r="B89" s="1" t="n">
        <v>45758.35006944444</v>
      </c>
      <c r="C89" s="1" t="n">
        <v>46169</v>
      </c>
      <c r="D89" t="inlineStr">
        <is>
          <t>UPPSALA LÄN</t>
        </is>
      </c>
      <c r="E89" t="inlineStr">
        <is>
          <t>ENKÖPING</t>
        </is>
      </c>
      <c r="G89" t="n">
        <v>3</v>
      </c>
      <c r="H89" t="n">
        <v>0</v>
      </c>
      <c r="I89" t="n">
        <v>0</v>
      </c>
      <c r="J89" t="n">
        <v>0</v>
      </c>
      <c r="K89" t="n">
        <v>0</v>
      </c>
      <c r="L89" t="n">
        <v>0</v>
      </c>
      <c r="M89" t="n">
        <v>0</v>
      </c>
      <c r="N89" t="n">
        <v>0</v>
      </c>
      <c r="O89" t="n">
        <v>0</v>
      </c>
      <c r="P89" t="n">
        <v>0</v>
      </c>
      <c r="Q89" t="n">
        <v>0</v>
      </c>
      <c r="R89" s="2" t="inlineStr"/>
    </row>
    <row r="90" ht="15" customHeight="1">
      <c r="A90" t="inlineStr">
        <is>
          <t>A 49568-2022</t>
        </is>
      </c>
      <c r="B90" s="1" t="n">
        <v>44862.32791666667</v>
      </c>
      <c r="C90" s="1" t="n">
        <v>46169</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47681-2024</t>
        </is>
      </c>
      <c r="B91" s="1" t="n">
        <v>45588</v>
      </c>
      <c r="C91" s="1" t="n">
        <v>46169</v>
      </c>
      <c r="D91" t="inlineStr">
        <is>
          <t>UPPSALA LÄN</t>
        </is>
      </c>
      <c r="E91" t="inlineStr">
        <is>
          <t>ENKÖPING</t>
        </is>
      </c>
      <c r="G91" t="n">
        <v>4.2</v>
      </c>
      <c r="H91" t="n">
        <v>0</v>
      </c>
      <c r="I91" t="n">
        <v>0</v>
      </c>
      <c r="J91" t="n">
        <v>0</v>
      </c>
      <c r="K91" t="n">
        <v>0</v>
      </c>
      <c r="L91" t="n">
        <v>0</v>
      </c>
      <c r="M91" t="n">
        <v>0</v>
      </c>
      <c r="N91" t="n">
        <v>0</v>
      </c>
      <c r="O91" t="n">
        <v>0</v>
      </c>
      <c r="P91" t="n">
        <v>0</v>
      </c>
      <c r="Q91" t="n">
        <v>0</v>
      </c>
      <c r="R91" s="2" t="inlineStr"/>
    </row>
    <row r="92" ht="15" customHeight="1">
      <c r="A92" t="inlineStr">
        <is>
          <t>A 53496-2022</t>
        </is>
      </c>
      <c r="B92" s="1" t="n">
        <v>44879.57217592592</v>
      </c>
      <c r="C92" s="1" t="n">
        <v>46169</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27786-2023</t>
        </is>
      </c>
      <c r="B93" s="1" t="n">
        <v>45098</v>
      </c>
      <c r="C93" s="1" t="n">
        <v>46169</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46169</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46169</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48864-2022</t>
        </is>
      </c>
      <c r="B96" s="1" t="n">
        <v>44859</v>
      </c>
      <c r="C96" s="1" t="n">
        <v>46169</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21017-2023</t>
        </is>
      </c>
      <c r="B97" s="1" t="n">
        <v>45061</v>
      </c>
      <c r="C97" s="1" t="n">
        <v>46169</v>
      </c>
      <c r="D97" t="inlineStr">
        <is>
          <t>UPPSALA LÄN</t>
        </is>
      </c>
      <c r="E97" t="inlineStr">
        <is>
          <t>ENKÖPING</t>
        </is>
      </c>
      <c r="G97" t="n">
        <v>4.8</v>
      </c>
      <c r="H97" t="n">
        <v>0</v>
      </c>
      <c r="I97" t="n">
        <v>0</v>
      </c>
      <c r="J97" t="n">
        <v>0</v>
      </c>
      <c r="K97" t="n">
        <v>0</v>
      </c>
      <c r="L97" t="n">
        <v>0</v>
      </c>
      <c r="M97" t="n">
        <v>0</v>
      </c>
      <c r="N97" t="n">
        <v>0</v>
      </c>
      <c r="O97" t="n">
        <v>0</v>
      </c>
      <c r="P97" t="n">
        <v>0</v>
      </c>
      <c r="Q97" t="n">
        <v>0</v>
      </c>
      <c r="R97" s="2" t="inlineStr"/>
    </row>
    <row r="98" ht="15" customHeight="1">
      <c r="A98" t="inlineStr">
        <is>
          <t>A 6242-2025</t>
        </is>
      </c>
      <c r="B98" s="1" t="n">
        <v>45697</v>
      </c>
      <c r="C98" s="1" t="n">
        <v>46169</v>
      </c>
      <c r="D98" t="inlineStr">
        <is>
          <t>UPPSALA LÄN</t>
        </is>
      </c>
      <c r="E98" t="inlineStr">
        <is>
          <t>ENKÖPING</t>
        </is>
      </c>
      <c r="G98" t="n">
        <v>17.9</v>
      </c>
      <c r="H98" t="n">
        <v>0</v>
      </c>
      <c r="I98" t="n">
        <v>0</v>
      </c>
      <c r="J98" t="n">
        <v>0</v>
      </c>
      <c r="K98" t="n">
        <v>0</v>
      </c>
      <c r="L98" t="n">
        <v>0</v>
      </c>
      <c r="M98" t="n">
        <v>0</v>
      </c>
      <c r="N98" t="n">
        <v>0</v>
      </c>
      <c r="O98" t="n">
        <v>0</v>
      </c>
      <c r="P98" t="n">
        <v>0</v>
      </c>
      <c r="Q98" t="n">
        <v>0</v>
      </c>
      <c r="R98" s="2" t="inlineStr"/>
    </row>
    <row r="99" ht="15" customHeight="1">
      <c r="A99" t="inlineStr">
        <is>
          <t>A 42459-2024</t>
        </is>
      </c>
      <c r="B99" s="1" t="n">
        <v>45565</v>
      </c>
      <c r="C99" s="1" t="n">
        <v>46169</v>
      </c>
      <c r="D99" t="inlineStr">
        <is>
          <t>UPPSALA LÄN</t>
        </is>
      </c>
      <c r="E99" t="inlineStr">
        <is>
          <t>ENKÖPING</t>
        </is>
      </c>
      <c r="G99" t="n">
        <v>3.6</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46169</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46169</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51162-2025</t>
        </is>
      </c>
      <c r="B102" s="1" t="n">
        <v>45947.58820601852</v>
      </c>
      <c r="C102" s="1" t="n">
        <v>46169</v>
      </c>
      <c r="D102" t="inlineStr">
        <is>
          <t>UPPSALA LÄN</t>
        </is>
      </c>
      <c r="E102" t="inlineStr">
        <is>
          <t>ENKÖPING</t>
        </is>
      </c>
      <c r="G102" t="n">
        <v>3.4</v>
      </c>
      <c r="H102" t="n">
        <v>0</v>
      </c>
      <c r="I102" t="n">
        <v>0</v>
      </c>
      <c r="J102" t="n">
        <v>0</v>
      </c>
      <c r="K102" t="n">
        <v>0</v>
      </c>
      <c r="L102" t="n">
        <v>0</v>
      </c>
      <c r="M102" t="n">
        <v>0</v>
      </c>
      <c r="N102" t="n">
        <v>0</v>
      </c>
      <c r="O102" t="n">
        <v>0</v>
      </c>
      <c r="P102" t="n">
        <v>0</v>
      </c>
      <c r="Q102" t="n">
        <v>0</v>
      </c>
      <c r="R102" s="2" t="inlineStr"/>
    </row>
    <row r="103" ht="15" customHeight="1">
      <c r="A103" t="inlineStr">
        <is>
          <t>A 22156-2025</t>
        </is>
      </c>
      <c r="B103" s="1" t="n">
        <v>45785.57512731481</v>
      </c>
      <c r="C103" s="1" t="n">
        <v>46169</v>
      </c>
      <c r="D103" t="inlineStr">
        <is>
          <t>UPPSALA LÄN</t>
        </is>
      </c>
      <c r="E103" t="inlineStr">
        <is>
          <t>ENKÖPING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22150-2025</t>
        </is>
      </c>
      <c r="B104" s="1" t="n">
        <v>45785.56398148148</v>
      </c>
      <c r="C104" s="1" t="n">
        <v>46169</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5211-2024</t>
        </is>
      </c>
      <c r="B105" s="1" t="n">
        <v>45330</v>
      </c>
      <c r="C105" s="1" t="n">
        <v>46169</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10409-2025</t>
        </is>
      </c>
      <c r="B106" s="1" t="n">
        <v>45720.631875</v>
      </c>
      <c r="C106" s="1" t="n">
        <v>46169</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18299-2025</t>
        </is>
      </c>
      <c r="B107" s="1" t="n">
        <v>45762</v>
      </c>
      <c r="C107" s="1" t="n">
        <v>46169</v>
      </c>
      <c r="D107" t="inlineStr">
        <is>
          <t>UPPSALA LÄN</t>
        </is>
      </c>
      <c r="E107" t="inlineStr">
        <is>
          <t>ENKÖPING</t>
        </is>
      </c>
      <c r="G107" t="n">
        <v>0.6</v>
      </c>
      <c r="H107" t="n">
        <v>0</v>
      </c>
      <c r="I107" t="n">
        <v>0</v>
      </c>
      <c r="J107" t="n">
        <v>0</v>
      </c>
      <c r="K107" t="n">
        <v>0</v>
      </c>
      <c r="L107" t="n">
        <v>0</v>
      </c>
      <c r="M107" t="n">
        <v>0</v>
      </c>
      <c r="N107" t="n">
        <v>0</v>
      </c>
      <c r="O107" t="n">
        <v>0</v>
      </c>
      <c r="P107" t="n">
        <v>0</v>
      </c>
      <c r="Q107" t="n">
        <v>0</v>
      </c>
      <c r="R107" s="2" t="inlineStr"/>
    </row>
    <row r="108" ht="15" customHeight="1">
      <c r="A108" t="inlineStr">
        <is>
          <t>A 30087-2024</t>
        </is>
      </c>
      <c r="B108" s="1" t="n">
        <v>45489.39447916667</v>
      </c>
      <c r="C108" s="1" t="n">
        <v>46169</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54776-2024</t>
        </is>
      </c>
      <c r="B109" s="1" t="n">
        <v>45618</v>
      </c>
      <c r="C109" s="1" t="n">
        <v>46169</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22729-2025</t>
        </is>
      </c>
      <c r="B110" s="1" t="n">
        <v>45789.57790509259</v>
      </c>
      <c r="C110" s="1" t="n">
        <v>46169</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14518-2025</t>
        </is>
      </c>
      <c r="B111" s="1" t="n">
        <v>45741</v>
      </c>
      <c r="C111" s="1" t="n">
        <v>46169</v>
      </c>
      <c r="D111" t="inlineStr">
        <is>
          <t>UPPSALA LÄN</t>
        </is>
      </c>
      <c r="E111" t="inlineStr">
        <is>
          <t>ENKÖPING</t>
        </is>
      </c>
      <c r="G111" t="n">
        <v>2</v>
      </c>
      <c r="H111" t="n">
        <v>0</v>
      </c>
      <c r="I111" t="n">
        <v>0</v>
      </c>
      <c r="J111" t="n">
        <v>0</v>
      </c>
      <c r="K111" t="n">
        <v>0</v>
      </c>
      <c r="L111" t="n">
        <v>0</v>
      </c>
      <c r="M111" t="n">
        <v>0</v>
      </c>
      <c r="N111" t="n">
        <v>0</v>
      </c>
      <c r="O111" t="n">
        <v>0</v>
      </c>
      <c r="P111" t="n">
        <v>0</v>
      </c>
      <c r="Q111" t="n">
        <v>0</v>
      </c>
      <c r="R111" s="2" t="inlineStr"/>
    </row>
    <row r="112" ht="15" customHeight="1">
      <c r="A112" t="inlineStr">
        <is>
          <t>A 22677-2025</t>
        </is>
      </c>
      <c r="B112" s="1" t="n">
        <v>45789.49515046296</v>
      </c>
      <c r="C112" s="1" t="n">
        <v>46169</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51133-2025</t>
        </is>
      </c>
      <c r="B113" s="1" t="n">
        <v>45947.55598379629</v>
      </c>
      <c r="C113" s="1" t="n">
        <v>46169</v>
      </c>
      <c r="D113" t="inlineStr">
        <is>
          <t>UPPSALA LÄN</t>
        </is>
      </c>
      <c r="E113" t="inlineStr">
        <is>
          <t>ENKÖPING</t>
        </is>
      </c>
      <c r="G113" t="n">
        <v>2.4</v>
      </c>
      <c r="H113" t="n">
        <v>0</v>
      </c>
      <c r="I113" t="n">
        <v>0</v>
      </c>
      <c r="J113" t="n">
        <v>0</v>
      </c>
      <c r="K113" t="n">
        <v>0</v>
      </c>
      <c r="L113" t="n">
        <v>0</v>
      </c>
      <c r="M113" t="n">
        <v>0</v>
      </c>
      <c r="N113" t="n">
        <v>0</v>
      </c>
      <c r="O113" t="n">
        <v>0</v>
      </c>
      <c r="P113" t="n">
        <v>0</v>
      </c>
      <c r="Q113" t="n">
        <v>0</v>
      </c>
      <c r="R113" s="2" t="inlineStr"/>
    </row>
    <row r="114" ht="15" customHeight="1">
      <c r="A114" t="inlineStr">
        <is>
          <t>A 21686-2022</t>
        </is>
      </c>
      <c r="B114" s="1" t="n">
        <v>44707</v>
      </c>
      <c r="C114" s="1" t="n">
        <v>46169</v>
      </c>
      <c r="D114" t="inlineStr">
        <is>
          <t>UPPSALA LÄN</t>
        </is>
      </c>
      <c r="E114" t="inlineStr">
        <is>
          <t>ENKÖPING</t>
        </is>
      </c>
      <c r="G114" t="n">
        <v>2.2</v>
      </c>
      <c r="H114" t="n">
        <v>0</v>
      </c>
      <c r="I114" t="n">
        <v>0</v>
      </c>
      <c r="J114" t="n">
        <v>0</v>
      </c>
      <c r="K114" t="n">
        <v>0</v>
      </c>
      <c r="L114" t="n">
        <v>0</v>
      </c>
      <c r="M114" t="n">
        <v>0</v>
      </c>
      <c r="N114" t="n">
        <v>0</v>
      </c>
      <c r="O114" t="n">
        <v>0</v>
      </c>
      <c r="P114" t="n">
        <v>0</v>
      </c>
      <c r="Q114" t="n">
        <v>0</v>
      </c>
      <c r="R114" s="2" t="inlineStr"/>
    </row>
    <row r="115" ht="15" customHeight="1">
      <c r="A115" t="inlineStr">
        <is>
          <t>A 22679-2025</t>
        </is>
      </c>
      <c r="B115" s="1" t="n">
        <v>45789.49747685185</v>
      </c>
      <c r="C115" s="1" t="n">
        <v>46169</v>
      </c>
      <c r="D115" t="inlineStr">
        <is>
          <t>UPPSALA LÄN</t>
        </is>
      </c>
      <c r="E115" t="inlineStr">
        <is>
          <t>ENKÖPING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22770-2025</t>
        </is>
      </c>
      <c r="B116" s="1" t="n">
        <v>45789.63454861111</v>
      </c>
      <c r="C116" s="1" t="n">
        <v>46169</v>
      </c>
      <c r="D116" t="inlineStr">
        <is>
          <t>UPPSALA LÄN</t>
        </is>
      </c>
      <c r="E116" t="inlineStr">
        <is>
          <t>ENKÖPING</t>
        </is>
      </c>
      <c r="G116" t="n">
        <v>4.5</v>
      </c>
      <c r="H116" t="n">
        <v>0</v>
      </c>
      <c r="I116" t="n">
        <v>0</v>
      </c>
      <c r="J116" t="n">
        <v>0</v>
      </c>
      <c r="K116" t="n">
        <v>0</v>
      </c>
      <c r="L116" t="n">
        <v>0</v>
      </c>
      <c r="M116" t="n">
        <v>0</v>
      </c>
      <c r="N116" t="n">
        <v>0</v>
      </c>
      <c r="O116" t="n">
        <v>0</v>
      </c>
      <c r="P116" t="n">
        <v>0</v>
      </c>
      <c r="Q116" t="n">
        <v>0</v>
      </c>
      <c r="R116" s="2" t="inlineStr"/>
    </row>
    <row r="117" ht="15" customHeight="1">
      <c r="A117" t="inlineStr">
        <is>
          <t>A 22800-2025</t>
        </is>
      </c>
      <c r="B117" s="1" t="n">
        <v>45789.6669212963</v>
      </c>
      <c r="C117" s="1" t="n">
        <v>46169</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18831-2023</t>
        </is>
      </c>
      <c r="B118" s="1" t="n">
        <v>45044.40798611111</v>
      </c>
      <c r="C118" s="1" t="n">
        <v>46169</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6981-2025</t>
        </is>
      </c>
      <c r="B119" s="1" t="n">
        <v>45701</v>
      </c>
      <c r="C119" s="1" t="n">
        <v>46169</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22786-2025</t>
        </is>
      </c>
      <c r="B120" s="1" t="n">
        <v>45789.64643518518</v>
      </c>
      <c r="C120" s="1" t="n">
        <v>46169</v>
      </c>
      <c r="D120" t="inlineStr">
        <is>
          <t>UPPSALA LÄN</t>
        </is>
      </c>
      <c r="E120" t="inlineStr">
        <is>
          <t>ENKÖPING</t>
        </is>
      </c>
      <c r="G120" t="n">
        <v>0.9</v>
      </c>
      <c r="H120" t="n">
        <v>0</v>
      </c>
      <c r="I120" t="n">
        <v>0</v>
      </c>
      <c r="J120" t="n">
        <v>0</v>
      </c>
      <c r="K120" t="n">
        <v>0</v>
      </c>
      <c r="L120" t="n">
        <v>0</v>
      </c>
      <c r="M120" t="n">
        <v>0</v>
      </c>
      <c r="N120" t="n">
        <v>0</v>
      </c>
      <c r="O120" t="n">
        <v>0</v>
      </c>
      <c r="P120" t="n">
        <v>0</v>
      </c>
      <c r="Q120" t="n">
        <v>0</v>
      </c>
      <c r="R120" s="2" t="inlineStr"/>
    </row>
    <row r="121" ht="15" customHeight="1">
      <c r="A121" t="inlineStr">
        <is>
          <t>A 68123-2021</t>
        </is>
      </c>
      <c r="B121" s="1" t="n">
        <v>44526.39126157408</v>
      </c>
      <c r="C121" s="1" t="n">
        <v>46169</v>
      </c>
      <c r="D121" t="inlineStr">
        <is>
          <t>UPPSALA LÄN</t>
        </is>
      </c>
      <c r="E121" t="inlineStr">
        <is>
          <t>ENKÖPING</t>
        </is>
      </c>
      <c r="G121" t="n">
        <v>0.9</v>
      </c>
      <c r="H121" t="n">
        <v>0</v>
      </c>
      <c r="I121" t="n">
        <v>0</v>
      </c>
      <c r="J121" t="n">
        <v>0</v>
      </c>
      <c r="K121" t="n">
        <v>0</v>
      </c>
      <c r="L121" t="n">
        <v>0</v>
      </c>
      <c r="M121" t="n">
        <v>0</v>
      </c>
      <c r="N121" t="n">
        <v>0</v>
      </c>
      <c r="O121" t="n">
        <v>0</v>
      </c>
      <c r="P121" t="n">
        <v>0</v>
      </c>
      <c r="Q121" t="n">
        <v>0</v>
      </c>
      <c r="R121" s="2" t="inlineStr"/>
    </row>
    <row r="122" ht="15" customHeight="1">
      <c r="A122" t="inlineStr">
        <is>
          <t>A 22680-2025</t>
        </is>
      </c>
      <c r="B122" s="1" t="n">
        <v>45789.5005787037</v>
      </c>
      <c r="C122" s="1" t="n">
        <v>46169</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22802-2025</t>
        </is>
      </c>
      <c r="B123" s="1" t="n">
        <v>45789.6686574074</v>
      </c>
      <c r="C123" s="1" t="n">
        <v>46169</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6172-2023</t>
        </is>
      </c>
      <c r="B124" s="1" t="n">
        <v>44964.68663194445</v>
      </c>
      <c r="C124" s="1" t="n">
        <v>46169</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14402-2023</t>
        </is>
      </c>
      <c r="B125" s="1" t="n">
        <v>45012</v>
      </c>
      <c r="C125" s="1" t="n">
        <v>46169</v>
      </c>
      <c r="D125" t="inlineStr">
        <is>
          <t>UPPSALA LÄN</t>
        </is>
      </c>
      <c r="E125" t="inlineStr">
        <is>
          <t>ENKÖPING</t>
        </is>
      </c>
      <c r="G125" t="n">
        <v>9.5</v>
      </c>
      <c r="H125" t="n">
        <v>0</v>
      </c>
      <c r="I125" t="n">
        <v>0</v>
      </c>
      <c r="J125" t="n">
        <v>0</v>
      </c>
      <c r="K125" t="n">
        <v>0</v>
      </c>
      <c r="L125" t="n">
        <v>0</v>
      </c>
      <c r="M125" t="n">
        <v>0</v>
      </c>
      <c r="N125" t="n">
        <v>0</v>
      </c>
      <c r="O125" t="n">
        <v>0</v>
      </c>
      <c r="P125" t="n">
        <v>0</v>
      </c>
      <c r="Q125" t="n">
        <v>0</v>
      </c>
      <c r="R125" s="2" t="inlineStr"/>
    </row>
    <row r="126" ht="15" customHeight="1">
      <c r="A126" t="inlineStr">
        <is>
          <t>A 22793-2025</t>
        </is>
      </c>
      <c r="B126" s="1" t="n">
        <v>45789.65693287037</v>
      </c>
      <c r="C126" s="1" t="n">
        <v>46169</v>
      </c>
      <c r="D126" t="inlineStr">
        <is>
          <t>UPPSALA LÄN</t>
        </is>
      </c>
      <c r="E126" t="inlineStr">
        <is>
          <t>ENKÖPING</t>
        </is>
      </c>
      <c r="G126" t="n">
        <v>3.2</v>
      </c>
      <c r="H126" t="n">
        <v>0</v>
      </c>
      <c r="I126" t="n">
        <v>0</v>
      </c>
      <c r="J126" t="n">
        <v>0</v>
      </c>
      <c r="K126" t="n">
        <v>0</v>
      </c>
      <c r="L126" t="n">
        <v>0</v>
      </c>
      <c r="M126" t="n">
        <v>0</v>
      </c>
      <c r="N126" t="n">
        <v>0</v>
      </c>
      <c r="O126" t="n">
        <v>0</v>
      </c>
      <c r="P126" t="n">
        <v>0</v>
      </c>
      <c r="Q126" t="n">
        <v>0</v>
      </c>
      <c r="R126" s="2" t="inlineStr"/>
    </row>
    <row r="127" ht="15" customHeight="1">
      <c r="A127" t="inlineStr">
        <is>
          <t>A 22795-2025</t>
        </is>
      </c>
      <c r="B127" s="1" t="n">
        <v>45789.65944444444</v>
      </c>
      <c r="C127" s="1" t="n">
        <v>46169</v>
      </c>
      <c r="D127" t="inlineStr">
        <is>
          <t>UPPSALA LÄN</t>
        </is>
      </c>
      <c r="E127" t="inlineStr">
        <is>
          <t>ENKÖPING</t>
        </is>
      </c>
      <c r="G127" t="n">
        <v>10.4</v>
      </c>
      <c r="H127" t="n">
        <v>0</v>
      </c>
      <c r="I127" t="n">
        <v>0</v>
      </c>
      <c r="J127" t="n">
        <v>0</v>
      </c>
      <c r="K127" t="n">
        <v>0</v>
      </c>
      <c r="L127" t="n">
        <v>0</v>
      </c>
      <c r="M127" t="n">
        <v>0</v>
      </c>
      <c r="N127" t="n">
        <v>0</v>
      </c>
      <c r="O127" t="n">
        <v>0</v>
      </c>
      <c r="P127" t="n">
        <v>0</v>
      </c>
      <c r="Q127" t="n">
        <v>0</v>
      </c>
      <c r="R127" s="2" t="inlineStr"/>
    </row>
    <row r="128" ht="15" customHeight="1">
      <c r="A128" t="inlineStr">
        <is>
          <t>A 22725-2025</t>
        </is>
      </c>
      <c r="B128" s="1" t="n">
        <v>45789.57371527778</v>
      </c>
      <c r="C128" s="1" t="n">
        <v>46169</v>
      </c>
      <c r="D128" t="inlineStr">
        <is>
          <t>UPPSALA LÄN</t>
        </is>
      </c>
      <c r="E128" t="inlineStr">
        <is>
          <t>ENKÖPING</t>
        </is>
      </c>
      <c r="G128" t="n">
        <v>4.8</v>
      </c>
      <c r="H128" t="n">
        <v>0</v>
      </c>
      <c r="I128" t="n">
        <v>0</v>
      </c>
      <c r="J128" t="n">
        <v>0</v>
      </c>
      <c r="K128" t="n">
        <v>0</v>
      </c>
      <c r="L128" t="n">
        <v>0</v>
      </c>
      <c r="M128" t="n">
        <v>0</v>
      </c>
      <c r="N128" t="n">
        <v>0</v>
      </c>
      <c r="O128" t="n">
        <v>0</v>
      </c>
      <c r="P128" t="n">
        <v>0</v>
      </c>
      <c r="Q128" t="n">
        <v>0</v>
      </c>
      <c r="R128" s="2" t="inlineStr"/>
    </row>
    <row r="129" ht="15" customHeight="1">
      <c r="A129" t="inlineStr">
        <is>
          <t>A 56176-2021</t>
        </is>
      </c>
      <c r="B129" s="1" t="n">
        <v>44477</v>
      </c>
      <c r="C129" s="1" t="n">
        <v>46169</v>
      </c>
      <c r="D129" t="inlineStr">
        <is>
          <t>UPPSALA LÄN</t>
        </is>
      </c>
      <c r="E129" t="inlineStr">
        <is>
          <t>ENKÖPING</t>
        </is>
      </c>
      <c r="G129" t="n">
        <v>2.9</v>
      </c>
      <c r="H129" t="n">
        <v>0</v>
      </c>
      <c r="I129" t="n">
        <v>0</v>
      </c>
      <c r="J129" t="n">
        <v>0</v>
      </c>
      <c r="K129" t="n">
        <v>0</v>
      </c>
      <c r="L129" t="n">
        <v>0</v>
      </c>
      <c r="M129" t="n">
        <v>0</v>
      </c>
      <c r="N129" t="n">
        <v>0</v>
      </c>
      <c r="O129" t="n">
        <v>0</v>
      </c>
      <c r="P129" t="n">
        <v>0</v>
      </c>
      <c r="Q129" t="n">
        <v>0</v>
      </c>
      <c r="R129" s="2" t="inlineStr"/>
    </row>
    <row r="130" ht="15" customHeight="1">
      <c r="A130" t="inlineStr">
        <is>
          <t>A 27983-2024</t>
        </is>
      </c>
      <c r="B130" s="1" t="n">
        <v>45476</v>
      </c>
      <c r="C130" s="1" t="n">
        <v>46169</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19298-2023</t>
        </is>
      </c>
      <c r="B131" s="1" t="n">
        <v>45048</v>
      </c>
      <c r="C131" s="1" t="n">
        <v>46169</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15939-2022</t>
        </is>
      </c>
      <c r="B132" s="1" t="n">
        <v>44664</v>
      </c>
      <c r="C132" s="1" t="n">
        <v>46169</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46169</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57153-2021</t>
        </is>
      </c>
      <c r="B134" s="1" t="n">
        <v>44482</v>
      </c>
      <c r="C134" s="1" t="n">
        <v>46169</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43697-2024</t>
        </is>
      </c>
      <c r="B135" s="1" t="n">
        <v>45569</v>
      </c>
      <c r="C135" s="1" t="n">
        <v>46169</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26017-2025</t>
        </is>
      </c>
      <c r="B136" s="1" t="n">
        <v>45804</v>
      </c>
      <c r="C136" s="1" t="n">
        <v>46169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22981-2025</t>
        </is>
      </c>
      <c r="B137" s="1" t="n">
        <v>45790.56964120371</v>
      </c>
      <c r="C137" s="1" t="n">
        <v>46169</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46169</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41826-2024</t>
        </is>
      </c>
      <c r="B139" s="1" t="n">
        <v>45561</v>
      </c>
      <c r="C139" s="1" t="n">
        <v>46169</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45956-2024</t>
        </is>
      </c>
      <c r="B140" s="1" t="n">
        <v>45580</v>
      </c>
      <c r="C140" s="1" t="n">
        <v>46169</v>
      </c>
      <c r="D140" t="inlineStr">
        <is>
          <t>UPPSALA LÄN</t>
        </is>
      </c>
      <c r="E140" t="inlineStr">
        <is>
          <t>ENKÖPING</t>
        </is>
      </c>
      <c r="G140" t="n">
        <v>1</v>
      </c>
      <c r="H140" t="n">
        <v>0</v>
      </c>
      <c r="I140" t="n">
        <v>0</v>
      </c>
      <c r="J140" t="n">
        <v>0</v>
      </c>
      <c r="K140" t="n">
        <v>0</v>
      </c>
      <c r="L140" t="n">
        <v>0</v>
      </c>
      <c r="M140" t="n">
        <v>0</v>
      </c>
      <c r="N140" t="n">
        <v>0</v>
      </c>
      <c r="O140" t="n">
        <v>0</v>
      </c>
      <c r="P140" t="n">
        <v>0</v>
      </c>
      <c r="Q140" t="n">
        <v>0</v>
      </c>
      <c r="R140" s="2" t="inlineStr"/>
    </row>
    <row r="141" ht="15" customHeight="1">
      <c r="A141" t="inlineStr">
        <is>
          <t>A 10831-2024</t>
        </is>
      </c>
      <c r="B141" s="1" t="n">
        <v>45369</v>
      </c>
      <c r="C141" s="1" t="n">
        <v>46169</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8020-2022</t>
        </is>
      </c>
      <c r="B142" s="1" t="n">
        <v>44609</v>
      </c>
      <c r="C142" s="1" t="n">
        <v>46169</v>
      </c>
      <c r="D142" t="inlineStr">
        <is>
          <t>UPPSALA LÄN</t>
        </is>
      </c>
      <c r="E142" t="inlineStr">
        <is>
          <t>ENKÖPING</t>
        </is>
      </c>
      <c r="G142" t="n">
        <v>6</v>
      </c>
      <c r="H142" t="n">
        <v>0</v>
      </c>
      <c r="I142" t="n">
        <v>0</v>
      </c>
      <c r="J142" t="n">
        <v>0</v>
      </c>
      <c r="K142" t="n">
        <v>0</v>
      </c>
      <c r="L142" t="n">
        <v>0</v>
      </c>
      <c r="M142" t="n">
        <v>0</v>
      </c>
      <c r="N142" t="n">
        <v>0</v>
      </c>
      <c r="O142" t="n">
        <v>0</v>
      </c>
      <c r="P142" t="n">
        <v>0</v>
      </c>
      <c r="Q142" t="n">
        <v>0</v>
      </c>
      <c r="R142" s="2" t="inlineStr"/>
    </row>
    <row r="143" ht="15" customHeight="1">
      <c r="A143" t="inlineStr">
        <is>
          <t>A 74090-2021</t>
        </is>
      </c>
      <c r="B143" s="1" t="n">
        <v>44557</v>
      </c>
      <c r="C143" s="1" t="n">
        <v>46169</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42589-2022</t>
        </is>
      </c>
      <c r="B144" s="1" t="n">
        <v>44831</v>
      </c>
      <c r="C144" s="1" t="n">
        <v>46169</v>
      </c>
      <c r="D144" t="inlineStr">
        <is>
          <t>UPPSALA LÄN</t>
        </is>
      </c>
      <c r="E144" t="inlineStr">
        <is>
          <t>ENKÖPING</t>
        </is>
      </c>
      <c r="G144" t="n">
        <v>20</v>
      </c>
      <c r="H144" t="n">
        <v>0</v>
      </c>
      <c r="I144" t="n">
        <v>0</v>
      </c>
      <c r="J144" t="n">
        <v>0</v>
      </c>
      <c r="K144" t="n">
        <v>0</v>
      </c>
      <c r="L144" t="n">
        <v>0</v>
      </c>
      <c r="M144" t="n">
        <v>0</v>
      </c>
      <c r="N144" t="n">
        <v>0</v>
      </c>
      <c r="O144" t="n">
        <v>0</v>
      </c>
      <c r="P144" t="n">
        <v>0</v>
      </c>
      <c r="Q144" t="n">
        <v>0</v>
      </c>
      <c r="R144" s="2" t="inlineStr"/>
    </row>
    <row r="145" ht="15" customHeight="1">
      <c r="A145" t="inlineStr">
        <is>
          <t>A 34805-2024</t>
        </is>
      </c>
      <c r="B145" s="1" t="n">
        <v>45526</v>
      </c>
      <c r="C145" s="1" t="n">
        <v>46169</v>
      </c>
      <c r="D145" t="inlineStr">
        <is>
          <t>UPPSALA LÄN</t>
        </is>
      </c>
      <c r="E145" t="inlineStr">
        <is>
          <t>ENKÖPING</t>
        </is>
      </c>
      <c r="G145" t="n">
        <v>3.6</v>
      </c>
      <c r="H145" t="n">
        <v>0</v>
      </c>
      <c r="I145" t="n">
        <v>0</v>
      </c>
      <c r="J145" t="n">
        <v>0</v>
      </c>
      <c r="K145" t="n">
        <v>0</v>
      </c>
      <c r="L145" t="n">
        <v>0</v>
      </c>
      <c r="M145" t="n">
        <v>0</v>
      </c>
      <c r="N145" t="n">
        <v>0</v>
      </c>
      <c r="O145" t="n">
        <v>0</v>
      </c>
      <c r="P145" t="n">
        <v>0</v>
      </c>
      <c r="Q145" t="n">
        <v>0</v>
      </c>
      <c r="R145" s="2" t="inlineStr"/>
    </row>
    <row r="146" ht="15" customHeight="1">
      <c r="A146" t="inlineStr">
        <is>
          <t>A 17729-2023</t>
        </is>
      </c>
      <c r="B146" s="1" t="n">
        <v>45037</v>
      </c>
      <c r="C146" s="1" t="n">
        <v>46169</v>
      </c>
      <c r="D146" t="inlineStr">
        <is>
          <t>UPPSALA LÄN</t>
        </is>
      </c>
      <c r="E146" t="inlineStr">
        <is>
          <t>ENKÖPING</t>
        </is>
      </c>
      <c r="G146" t="n">
        <v>10.2</v>
      </c>
      <c r="H146" t="n">
        <v>0</v>
      </c>
      <c r="I146" t="n">
        <v>0</v>
      </c>
      <c r="J146" t="n">
        <v>0</v>
      </c>
      <c r="K146" t="n">
        <v>0</v>
      </c>
      <c r="L146" t="n">
        <v>0</v>
      </c>
      <c r="M146" t="n">
        <v>0</v>
      </c>
      <c r="N146" t="n">
        <v>0</v>
      </c>
      <c r="O146" t="n">
        <v>0</v>
      </c>
      <c r="P146" t="n">
        <v>0</v>
      </c>
      <c r="Q146" t="n">
        <v>0</v>
      </c>
      <c r="R146" s="2" t="inlineStr"/>
    </row>
    <row r="147" ht="15" customHeight="1">
      <c r="A147" t="inlineStr">
        <is>
          <t>A 840-2025</t>
        </is>
      </c>
      <c r="B147" s="1" t="n">
        <v>45665</v>
      </c>
      <c r="C147" s="1" t="n">
        <v>46169</v>
      </c>
      <c r="D147" t="inlineStr">
        <is>
          <t>UPPSALA LÄN</t>
        </is>
      </c>
      <c r="E147" t="inlineStr">
        <is>
          <t>ENKÖPING</t>
        </is>
      </c>
      <c r="G147" t="n">
        <v>0.9</v>
      </c>
      <c r="H147" t="n">
        <v>0</v>
      </c>
      <c r="I147" t="n">
        <v>0</v>
      </c>
      <c r="J147" t="n">
        <v>0</v>
      </c>
      <c r="K147" t="n">
        <v>0</v>
      </c>
      <c r="L147" t="n">
        <v>0</v>
      </c>
      <c r="M147" t="n">
        <v>0</v>
      </c>
      <c r="N147" t="n">
        <v>0</v>
      </c>
      <c r="O147" t="n">
        <v>0</v>
      </c>
      <c r="P147" t="n">
        <v>0</v>
      </c>
      <c r="Q147" t="n">
        <v>0</v>
      </c>
      <c r="R147" s="2" t="inlineStr"/>
    </row>
    <row r="148" ht="15" customHeight="1">
      <c r="A148" t="inlineStr">
        <is>
          <t>A 37115-2024</t>
        </is>
      </c>
      <c r="B148" s="1" t="n">
        <v>45539</v>
      </c>
      <c r="C148" s="1" t="n">
        <v>46169</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46169</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5749-2025</t>
        </is>
      </c>
      <c r="B150" s="1" t="n">
        <v>45694</v>
      </c>
      <c r="C150" s="1" t="n">
        <v>46169</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314-2025</t>
        </is>
      </c>
      <c r="B151" s="1" t="n">
        <v>45656</v>
      </c>
      <c r="C151" s="1" t="n">
        <v>46169</v>
      </c>
      <c r="D151" t="inlineStr">
        <is>
          <t>UPPSALA LÄN</t>
        </is>
      </c>
      <c r="E151" t="inlineStr">
        <is>
          <t>ENKÖPING</t>
        </is>
      </c>
      <c r="G151" t="n">
        <v>9</v>
      </c>
      <c r="H151" t="n">
        <v>0</v>
      </c>
      <c r="I151" t="n">
        <v>0</v>
      </c>
      <c r="J151" t="n">
        <v>0</v>
      </c>
      <c r="K151" t="n">
        <v>0</v>
      </c>
      <c r="L151" t="n">
        <v>0</v>
      </c>
      <c r="M151" t="n">
        <v>0</v>
      </c>
      <c r="N151" t="n">
        <v>0</v>
      </c>
      <c r="O151" t="n">
        <v>0</v>
      </c>
      <c r="P151" t="n">
        <v>0</v>
      </c>
      <c r="Q151" t="n">
        <v>0</v>
      </c>
      <c r="R151" s="2" t="inlineStr"/>
    </row>
    <row r="152" ht="15" customHeight="1">
      <c r="A152" t="inlineStr">
        <is>
          <t>A 11627-2025</t>
        </is>
      </c>
      <c r="B152" s="1" t="n">
        <v>45727</v>
      </c>
      <c r="C152" s="1" t="n">
        <v>46169</v>
      </c>
      <c r="D152" t="inlineStr">
        <is>
          <t>UPPSALA LÄN</t>
        </is>
      </c>
      <c r="E152" t="inlineStr">
        <is>
          <t>ENKÖPING</t>
        </is>
      </c>
      <c r="G152" t="n">
        <v>5.5</v>
      </c>
      <c r="H152" t="n">
        <v>0</v>
      </c>
      <c r="I152" t="n">
        <v>0</v>
      </c>
      <c r="J152" t="n">
        <v>0</v>
      </c>
      <c r="K152" t="n">
        <v>0</v>
      </c>
      <c r="L152" t="n">
        <v>0</v>
      </c>
      <c r="M152" t="n">
        <v>0</v>
      </c>
      <c r="N152" t="n">
        <v>0</v>
      </c>
      <c r="O152" t="n">
        <v>0</v>
      </c>
      <c r="P152" t="n">
        <v>0</v>
      </c>
      <c r="Q152" t="n">
        <v>0</v>
      </c>
      <c r="R152" s="2" t="inlineStr"/>
    </row>
    <row r="153" ht="15" customHeight="1">
      <c r="A153" t="inlineStr">
        <is>
          <t>A 45142-2023</t>
        </is>
      </c>
      <c r="B153" s="1" t="n">
        <v>45191.4702662037</v>
      </c>
      <c r="C153" s="1" t="n">
        <v>46169</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11918-2025</t>
        </is>
      </c>
      <c r="B154" s="1" t="n">
        <v>45728.49331018519</v>
      </c>
      <c r="C154" s="1" t="n">
        <v>46169</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24411-2024</t>
        </is>
      </c>
      <c r="B155" s="1" t="n">
        <v>45457</v>
      </c>
      <c r="C155" s="1" t="n">
        <v>46169</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31242-2024</t>
        </is>
      </c>
      <c r="B156" s="1" t="n">
        <v>45503</v>
      </c>
      <c r="C156" s="1" t="n">
        <v>46169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46169</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845-2025</t>
        </is>
      </c>
      <c r="B158" s="1" t="n">
        <v>45665</v>
      </c>
      <c r="C158" s="1" t="n">
        <v>46169</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849-2025</t>
        </is>
      </c>
      <c r="B159" s="1" t="n">
        <v>45665</v>
      </c>
      <c r="C159" s="1" t="n">
        <v>46169</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58092-2024</t>
        </is>
      </c>
      <c r="B160" s="1" t="n">
        <v>45632</v>
      </c>
      <c r="C160" s="1" t="n">
        <v>46169</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41616-2025</t>
        </is>
      </c>
      <c r="B161" s="1" t="n">
        <v>45901.69684027778</v>
      </c>
      <c r="C161" s="1" t="n">
        <v>46169</v>
      </c>
      <c r="D161" t="inlineStr">
        <is>
          <t>UPPSALA LÄN</t>
        </is>
      </c>
      <c r="E161" t="inlineStr">
        <is>
          <t>ENKÖPING</t>
        </is>
      </c>
      <c r="F161" t="inlineStr">
        <is>
          <t>Allmännings- och besparingsskogar</t>
        </is>
      </c>
      <c r="G161" t="n">
        <v>17.3</v>
      </c>
      <c r="H161" t="n">
        <v>0</v>
      </c>
      <c r="I161" t="n">
        <v>0</v>
      </c>
      <c r="J161" t="n">
        <v>0</v>
      </c>
      <c r="K161" t="n">
        <v>0</v>
      </c>
      <c r="L161" t="n">
        <v>0</v>
      </c>
      <c r="M161" t="n">
        <v>0</v>
      </c>
      <c r="N161" t="n">
        <v>0</v>
      </c>
      <c r="O161" t="n">
        <v>0</v>
      </c>
      <c r="P161" t="n">
        <v>0</v>
      </c>
      <c r="Q161" t="n">
        <v>0</v>
      </c>
      <c r="R161" s="2" t="inlineStr"/>
    </row>
    <row r="162" ht="15" customHeight="1">
      <c r="A162" t="inlineStr">
        <is>
          <t>A 26024-2025</t>
        </is>
      </c>
      <c r="B162" s="1" t="n">
        <v>45804.6831712963</v>
      </c>
      <c r="C162" s="1" t="n">
        <v>46169</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26042-2025</t>
        </is>
      </c>
      <c r="B163" s="1" t="n">
        <v>45804.70018518518</v>
      </c>
      <c r="C163" s="1" t="n">
        <v>46169</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62158-2023</t>
        </is>
      </c>
      <c r="B164" s="1" t="n">
        <v>45267</v>
      </c>
      <c r="C164" s="1" t="n">
        <v>46169</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46169</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26026-2025</t>
        </is>
      </c>
      <c r="B166" s="1" t="n">
        <v>45804.68510416667</v>
      </c>
      <c r="C166" s="1" t="n">
        <v>46169</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26030-2025</t>
        </is>
      </c>
      <c r="B167" s="1" t="n">
        <v>45804.68815972222</v>
      </c>
      <c r="C167" s="1" t="n">
        <v>46169</v>
      </c>
      <c r="D167" t="inlineStr">
        <is>
          <t>UPPSALA LÄN</t>
        </is>
      </c>
      <c r="E167" t="inlineStr">
        <is>
          <t>ENKÖPING</t>
        </is>
      </c>
      <c r="G167" t="n">
        <v>0.3</v>
      </c>
      <c r="H167" t="n">
        <v>0</v>
      </c>
      <c r="I167" t="n">
        <v>0</v>
      </c>
      <c r="J167" t="n">
        <v>0</v>
      </c>
      <c r="K167" t="n">
        <v>0</v>
      </c>
      <c r="L167" t="n">
        <v>0</v>
      </c>
      <c r="M167" t="n">
        <v>0</v>
      </c>
      <c r="N167" t="n">
        <v>0</v>
      </c>
      <c r="O167" t="n">
        <v>0</v>
      </c>
      <c r="P167" t="n">
        <v>0</v>
      </c>
      <c r="Q167" t="n">
        <v>0</v>
      </c>
      <c r="R167" s="2" t="inlineStr"/>
    </row>
    <row r="168" ht="15" customHeight="1">
      <c r="A168" t="inlineStr">
        <is>
          <t>A 60350-2022</t>
        </is>
      </c>
      <c r="B168" s="1" t="n">
        <v>44910</v>
      </c>
      <c r="C168" s="1" t="n">
        <v>46169</v>
      </c>
      <c r="D168" t="inlineStr">
        <is>
          <t>UPPSALA LÄN</t>
        </is>
      </c>
      <c r="E168" t="inlineStr">
        <is>
          <t>ENKÖPING</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26022-2025</t>
        </is>
      </c>
      <c r="B169" s="1" t="n">
        <v>45804.68006944445</v>
      </c>
      <c r="C169" s="1" t="n">
        <v>46169</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25988-2025</t>
        </is>
      </c>
      <c r="B170" s="1" t="n">
        <v>45804.64814814815</v>
      </c>
      <c r="C170" s="1" t="n">
        <v>46169</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26031-2025</t>
        </is>
      </c>
      <c r="B171" s="1" t="n">
        <v>45804.69050925926</v>
      </c>
      <c r="C171" s="1" t="n">
        <v>46169</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26041-2025</t>
        </is>
      </c>
      <c r="B172" s="1" t="n">
        <v>45804.69883101852</v>
      </c>
      <c r="C172" s="1" t="n">
        <v>46169</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41637-2025</t>
        </is>
      </c>
      <c r="B173" s="1" t="n">
        <v>45901</v>
      </c>
      <c r="C173" s="1" t="n">
        <v>46169</v>
      </c>
      <c r="D173" t="inlineStr">
        <is>
          <t>UPPSALA LÄN</t>
        </is>
      </c>
      <c r="E173" t="inlineStr">
        <is>
          <t>ENKÖPING</t>
        </is>
      </c>
      <c r="F173" t="inlineStr">
        <is>
          <t>Allmännings- och besparingsskogar</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25847-2025</t>
        </is>
      </c>
      <c r="B174" s="1" t="n">
        <v>45804</v>
      </c>
      <c r="C174" s="1" t="n">
        <v>46169</v>
      </c>
      <c r="D174" t="inlineStr">
        <is>
          <t>UPPSALA LÄN</t>
        </is>
      </c>
      <c r="E174" t="inlineStr">
        <is>
          <t>ENKÖPING</t>
        </is>
      </c>
      <c r="G174" t="n">
        <v>3.6</v>
      </c>
      <c r="H174" t="n">
        <v>0</v>
      </c>
      <c r="I174" t="n">
        <v>0</v>
      </c>
      <c r="J174" t="n">
        <v>0</v>
      </c>
      <c r="K174" t="n">
        <v>0</v>
      </c>
      <c r="L174" t="n">
        <v>0</v>
      </c>
      <c r="M174" t="n">
        <v>0</v>
      </c>
      <c r="N174" t="n">
        <v>0</v>
      </c>
      <c r="O174" t="n">
        <v>0</v>
      </c>
      <c r="P174" t="n">
        <v>0</v>
      </c>
      <c r="Q174" t="n">
        <v>0</v>
      </c>
      <c r="R174" s="2" t="inlineStr"/>
    </row>
    <row r="175" ht="15" customHeight="1">
      <c r="A175" t="inlineStr">
        <is>
          <t>A 41618-2025</t>
        </is>
      </c>
      <c r="B175" s="1" t="n">
        <v>45901.70085648148</v>
      </c>
      <c r="C175" s="1" t="n">
        <v>46169</v>
      </c>
      <c r="D175" t="inlineStr">
        <is>
          <t>UPPSALA LÄN</t>
        </is>
      </c>
      <c r="E175" t="inlineStr">
        <is>
          <t>ENKÖPING</t>
        </is>
      </c>
      <c r="F175" t="inlineStr">
        <is>
          <t>Allmännings- och besparingsskogar</t>
        </is>
      </c>
      <c r="G175" t="n">
        <v>5.3</v>
      </c>
      <c r="H175" t="n">
        <v>0</v>
      </c>
      <c r="I175" t="n">
        <v>0</v>
      </c>
      <c r="J175" t="n">
        <v>0</v>
      </c>
      <c r="K175" t="n">
        <v>0</v>
      </c>
      <c r="L175" t="n">
        <v>0</v>
      </c>
      <c r="M175" t="n">
        <v>0</v>
      </c>
      <c r="N175" t="n">
        <v>0</v>
      </c>
      <c r="O175" t="n">
        <v>0</v>
      </c>
      <c r="P175" t="n">
        <v>0</v>
      </c>
      <c r="Q175" t="n">
        <v>0</v>
      </c>
      <c r="R175" s="2" t="inlineStr"/>
    </row>
    <row r="176" ht="15" customHeight="1">
      <c r="A176" t="inlineStr">
        <is>
          <t>A 35647-2021</t>
        </is>
      </c>
      <c r="B176" s="1" t="n">
        <v>44386</v>
      </c>
      <c r="C176" s="1" t="n">
        <v>46169</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26047-2025</t>
        </is>
      </c>
      <c r="B177" s="1" t="n">
        <v>45804.70835648148</v>
      </c>
      <c r="C177" s="1" t="n">
        <v>46169</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42029-2025</t>
        </is>
      </c>
      <c r="B178" s="1" t="n">
        <v>45903</v>
      </c>
      <c r="C178" s="1" t="n">
        <v>46169</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41765-2025</t>
        </is>
      </c>
      <c r="B179" s="1" t="n">
        <v>45902</v>
      </c>
      <c r="C179" s="1" t="n">
        <v>46169</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35067-2024</t>
        </is>
      </c>
      <c r="B180" s="1" t="n">
        <v>45527.66153935185</v>
      </c>
      <c r="C180" s="1" t="n">
        <v>46169</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47516-2022</t>
        </is>
      </c>
      <c r="B181" s="1" t="n">
        <v>44853.68895833333</v>
      </c>
      <c r="C181" s="1" t="n">
        <v>46169</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26011-2025</t>
        </is>
      </c>
      <c r="B182" s="1" t="n">
        <v>45804.67412037037</v>
      </c>
      <c r="C182" s="1" t="n">
        <v>46169</v>
      </c>
      <c r="D182" t="inlineStr">
        <is>
          <t>UPPSALA LÄN</t>
        </is>
      </c>
      <c r="E182" t="inlineStr">
        <is>
          <t>ENKÖPING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41764-2025</t>
        </is>
      </c>
      <c r="B183" s="1" t="n">
        <v>45902</v>
      </c>
      <c r="C183" s="1" t="n">
        <v>46169</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10458-2022</t>
        </is>
      </c>
      <c r="B184" s="1" t="n">
        <v>44623.56711805556</v>
      </c>
      <c r="C184" s="1" t="n">
        <v>46169</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51042-2024</t>
        </is>
      </c>
      <c r="B185" s="1" t="n">
        <v>45603.4342824074</v>
      </c>
      <c r="C185" s="1" t="n">
        <v>46169</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51037-2024</t>
        </is>
      </c>
      <c r="B186" s="1" t="n">
        <v>45603.43005787037</v>
      </c>
      <c r="C186" s="1" t="n">
        <v>46169</v>
      </c>
      <c r="D186" t="inlineStr">
        <is>
          <t>UPPSALA LÄN</t>
        </is>
      </c>
      <c r="E186" t="inlineStr">
        <is>
          <t>ENKÖPING</t>
        </is>
      </c>
      <c r="G186" t="n">
        <v>5.7</v>
      </c>
      <c r="H186" t="n">
        <v>0</v>
      </c>
      <c r="I186" t="n">
        <v>0</v>
      </c>
      <c r="J186" t="n">
        <v>0</v>
      </c>
      <c r="K186" t="n">
        <v>0</v>
      </c>
      <c r="L186" t="n">
        <v>0</v>
      </c>
      <c r="M186" t="n">
        <v>0</v>
      </c>
      <c r="N186" t="n">
        <v>0</v>
      </c>
      <c r="O186" t="n">
        <v>0</v>
      </c>
      <c r="P186" t="n">
        <v>0</v>
      </c>
      <c r="Q186" t="n">
        <v>0</v>
      </c>
      <c r="R186" s="2" t="inlineStr"/>
    </row>
    <row r="187" ht="15" customHeight="1">
      <c r="A187" t="inlineStr">
        <is>
          <t>A 42756-2025</t>
        </is>
      </c>
      <c r="B187" s="1" t="n">
        <v>45908</v>
      </c>
      <c r="C187" s="1" t="n">
        <v>46169</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44115-2024</t>
        </is>
      </c>
      <c r="B188" s="1" t="n">
        <v>45572</v>
      </c>
      <c r="C188" s="1" t="n">
        <v>46169</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22632-2025</t>
        </is>
      </c>
      <c r="B189" s="1" t="n">
        <v>45789.44361111111</v>
      </c>
      <c r="C189" s="1" t="n">
        <v>46169</v>
      </c>
      <c r="D189" t="inlineStr">
        <is>
          <t>UPPSALA LÄN</t>
        </is>
      </c>
      <c r="E189" t="inlineStr">
        <is>
          <t>ENKÖPING</t>
        </is>
      </c>
      <c r="G189" t="n">
        <v>2.1</v>
      </c>
      <c r="H189" t="n">
        <v>0</v>
      </c>
      <c r="I189" t="n">
        <v>0</v>
      </c>
      <c r="J189" t="n">
        <v>0</v>
      </c>
      <c r="K189" t="n">
        <v>0</v>
      </c>
      <c r="L189" t="n">
        <v>0</v>
      </c>
      <c r="M189" t="n">
        <v>0</v>
      </c>
      <c r="N189" t="n">
        <v>0</v>
      </c>
      <c r="O189" t="n">
        <v>0</v>
      </c>
      <c r="P189" t="n">
        <v>0</v>
      </c>
      <c r="Q189" t="n">
        <v>0</v>
      </c>
      <c r="R189" s="2" t="inlineStr"/>
    </row>
    <row r="190" ht="15" customHeight="1">
      <c r="A190" t="inlineStr">
        <is>
          <t>A 2850-2025</t>
        </is>
      </c>
      <c r="B190" s="1" t="n">
        <v>45677</v>
      </c>
      <c r="C190" s="1" t="n">
        <v>46169</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9957-2023</t>
        </is>
      </c>
      <c r="B191" s="1" t="n">
        <v>44978</v>
      </c>
      <c r="C191" s="1" t="n">
        <v>46169</v>
      </c>
      <c r="D191" t="inlineStr">
        <is>
          <t>UPPSALA LÄN</t>
        </is>
      </c>
      <c r="E191" t="inlineStr">
        <is>
          <t>ENKÖPING</t>
        </is>
      </c>
      <c r="G191" t="n">
        <v>5.9</v>
      </c>
      <c r="H191" t="n">
        <v>0</v>
      </c>
      <c r="I191" t="n">
        <v>0</v>
      </c>
      <c r="J191" t="n">
        <v>0</v>
      </c>
      <c r="K191" t="n">
        <v>0</v>
      </c>
      <c r="L191" t="n">
        <v>0</v>
      </c>
      <c r="M191" t="n">
        <v>0</v>
      </c>
      <c r="N191" t="n">
        <v>0</v>
      </c>
      <c r="O191" t="n">
        <v>0</v>
      </c>
      <c r="P191" t="n">
        <v>0</v>
      </c>
      <c r="Q191" t="n">
        <v>0</v>
      </c>
      <c r="R191" s="2" t="inlineStr"/>
    </row>
    <row r="192" ht="15" customHeight="1">
      <c r="A192" t="inlineStr">
        <is>
          <t>A 54541-2025</t>
        </is>
      </c>
      <c r="B192" s="1" t="n">
        <v>45965.64733796296</v>
      </c>
      <c r="C192" s="1" t="n">
        <v>46169</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54263-2025</t>
        </is>
      </c>
      <c r="B193" s="1" t="n">
        <v>45964.66271990741</v>
      </c>
      <c r="C193" s="1" t="n">
        <v>46169</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27829-2025</t>
        </is>
      </c>
      <c r="B194" s="1" t="n">
        <v>45817</v>
      </c>
      <c r="C194" s="1" t="n">
        <v>46169</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63402-2023</t>
        </is>
      </c>
      <c r="B195" s="1" t="n">
        <v>45274.50646990741</v>
      </c>
      <c r="C195" s="1" t="n">
        <v>46169</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51027-2024</t>
        </is>
      </c>
      <c r="B196" s="1" t="n">
        <v>45603</v>
      </c>
      <c r="C196" s="1" t="n">
        <v>46169</v>
      </c>
      <c r="D196" t="inlineStr">
        <is>
          <t>UPPSALA LÄN</t>
        </is>
      </c>
      <c r="E196" t="inlineStr">
        <is>
          <t>ENKÖPING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39009-2024</t>
        </is>
      </c>
      <c r="B197" s="1" t="n">
        <v>45548</v>
      </c>
      <c r="C197" s="1" t="n">
        <v>46169</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8537-2025</t>
        </is>
      </c>
      <c r="B198" s="1" t="n">
        <v>45709</v>
      </c>
      <c r="C198" s="1" t="n">
        <v>46169</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16916-2023</t>
        </is>
      </c>
      <c r="B199" s="1" t="n">
        <v>45033.58347222222</v>
      </c>
      <c r="C199" s="1" t="n">
        <v>46169</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56886-2023</t>
        </is>
      </c>
      <c r="B200" s="1" t="n">
        <v>45239</v>
      </c>
      <c r="C200" s="1" t="n">
        <v>46169</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43999-2025</t>
        </is>
      </c>
      <c r="B201" s="1" t="n">
        <v>45915.45158564814</v>
      </c>
      <c r="C201" s="1" t="n">
        <v>46169</v>
      </c>
      <c r="D201" t="inlineStr">
        <is>
          <t>UPPSALA LÄN</t>
        </is>
      </c>
      <c r="E201" t="inlineStr">
        <is>
          <t>ENKÖPING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28758-2025</t>
        </is>
      </c>
      <c r="B202" s="1" t="n">
        <v>45820.41212962963</v>
      </c>
      <c r="C202" s="1" t="n">
        <v>46169</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28862-2025</t>
        </is>
      </c>
      <c r="B203" s="1" t="n">
        <v>45820.59189814814</v>
      </c>
      <c r="C203" s="1" t="n">
        <v>46169</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28855-2025</t>
        </is>
      </c>
      <c r="B204" s="1" t="n">
        <v>45820.58274305556</v>
      </c>
      <c r="C204" s="1" t="n">
        <v>46169</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29093-2025</t>
        </is>
      </c>
      <c r="B205" s="1" t="n">
        <v>45821.55743055556</v>
      </c>
      <c r="C205" s="1" t="n">
        <v>46169</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44419-2025</t>
        </is>
      </c>
      <c r="B206" s="1" t="n">
        <v>45916.54671296296</v>
      </c>
      <c r="C206" s="1" t="n">
        <v>46169</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32477-2025</t>
        </is>
      </c>
      <c r="B207" s="1" t="n">
        <v>45838.43098379629</v>
      </c>
      <c r="C207" s="1" t="n">
        <v>46169</v>
      </c>
      <c r="D207" t="inlineStr">
        <is>
          <t>UPPSALA LÄN</t>
        </is>
      </c>
      <c r="E207" t="inlineStr">
        <is>
          <t>ENKÖPING</t>
        </is>
      </c>
      <c r="G207" t="n">
        <v>2.7</v>
      </c>
      <c r="H207" t="n">
        <v>0</v>
      </c>
      <c r="I207" t="n">
        <v>0</v>
      </c>
      <c r="J207" t="n">
        <v>0</v>
      </c>
      <c r="K207" t="n">
        <v>0</v>
      </c>
      <c r="L207" t="n">
        <v>0</v>
      </c>
      <c r="M207" t="n">
        <v>0</v>
      </c>
      <c r="N207" t="n">
        <v>0</v>
      </c>
      <c r="O207" t="n">
        <v>0</v>
      </c>
      <c r="P207" t="n">
        <v>0</v>
      </c>
      <c r="Q207" t="n">
        <v>0</v>
      </c>
      <c r="R207" s="2" t="inlineStr"/>
    </row>
    <row r="208" ht="15" customHeight="1">
      <c r="A208" t="inlineStr">
        <is>
          <t>A 6356-2022</t>
        </is>
      </c>
      <c r="B208" s="1" t="n">
        <v>44600</v>
      </c>
      <c r="C208" s="1" t="n">
        <v>46169</v>
      </c>
      <c r="D208" t="inlineStr">
        <is>
          <t>UPPSALA LÄN</t>
        </is>
      </c>
      <c r="E208" t="inlineStr">
        <is>
          <t>ENKÖPING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54844-2025</t>
        </is>
      </c>
      <c r="B209" s="1" t="n">
        <v>45966.69570601852</v>
      </c>
      <c r="C209" s="1" t="n">
        <v>46169</v>
      </c>
      <c r="D209" t="inlineStr">
        <is>
          <t>UPPSALA LÄN</t>
        </is>
      </c>
      <c r="E209" t="inlineStr">
        <is>
          <t>ENKÖPING</t>
        </is>
      </c>
      <c r="G209" t="n">
        <v>5.5</v>
      </c>
      <c r="H209" t="n">
        <v>0</v>
      </c>
      <c r="I209" t="n">
        <v>0</v>
      </c>
      <c r="J209" t="n">
        <v>0</v>
      </c>
      <c r="K209" t="n">
        <v>0</v>
      </c>
      <c r="L209" t="n">
        <v>0</v>
      </c>
      <c r="M209" t="n">
        <v>0</v>
      </c>
      <c r="N209" t="n">
        <v>0</v>
      </c>
      <c r="O209" t="n">
        <v>0</v>
      </c>
      <c r="P209" t="n">
        <v>0</v>
      </c>
      <c r="Q209" t="n">
        <v>0</v>
      </c>
      <c r="R209" s="2" t="inlineStr"/>
    </row>
    <row r="210" ht="15" customHeight="1">
      <c r="A210" t="inlineStr">
        <is>
          <t>A 45755-2025</t>
        </is>
      </c>
      <c r="B210" s="1" t="n">
        <v>45923.50240740741</v>
      </c>
      <c r="C210" s="1" t="n">
        <v>46169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30837-2025</t>
        </is>
      </c>
      <c r="B211" s="1" t="n">
        <v>45831.7063425926</v>
      </c>
      <c r="C211" s="1" t="n">
        <v>46169</v>
      </c>
      <c r="D211" t="inlineStr">
        <is>
          <t>UPPSALA LÄN</t>
        </is>
      </c>
      <c r="E211" t="inlineStr">
        <is>
          <t>ENKÖPING</t>
        </is>
      </c>
      <c r="G211" t="n">
        <v>3.8</v>
      </c>
      <c r="H211" t="n">
        <v>0</v>
      </c>
      <c r="I211" t="n">
        <v>0</v>
      </c>
      <c r="J211" t="n">
        <v>0</v>
      </c>
      <c r="K211" t="n">
        <v>0</v>
      </c>
      <c r="L211" t="n">
        <v>0</v>
      </c>
      <c r="M211" t="n">
        <v>0</v>
      </c>
      <c r="N211" t="n">
        <v>0</v>
      </c>
      <c r="O211" t="n">
        <v>0</v>
      </c>
      <c r="P211" t="n">
        <v>0</v>
      </c>
      <c r="Q211" t="n">
        <v>0</v>
      </c>
      <c r="R211" s="2" t="inlineStr"/>
    </row>
    <row r="212" ht="15" customHeight="1">
      <c r="A212" t="inlineStr">
        <is>
          <t>A 34989-2025</t>
        </is>
      </c>
      <c r="B212" s="1" t="n">
        <v>45849</v>
      </c>
      <c r="C212" s="1" t="n">
        <v>46169</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34990-2025</t>
        </is>
      </c>
      <c r="B213" s="1" t="n">
        <v>45849.78916666667</v>
      </c>
      <c r="C213" s="1" t="n">
        <v>46169</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54758-2025</t>
        </is>
      </c>
      <c r="B214" s="1" t="n">
        <v>45966.59737268519</v>
      </c>
      <c r="C214" s="1" t="n">
        <v>46169</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55567-2025</t>
        </is>
      </c>
      <c r="B215" s="1" t="n">
        <v>45971.65589120371</v>
      </c>
      <c r="C215" s="1" t="n">
        <v>46169</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46940-2025</t>
        </is>
      </c>
      <c r="B216" s="1" t="n">
        <v>45929.45483796296</v>
      </c>
      <c r="C216" s="1" t="n">
        <v>46169</v>
      </c>
      <c r="D216" t="inlineStr">
        <is>
          <t>UPPSALA LÄN</t>
        </is>
      </c>
      <c r="E216" t="inlineStr">
        <is>
          <t>ENKÖPING</t>
        </is>
      </c>
      <c r="G216" t="n">
        <v>5.3</v>
      </c>
      <c r="H216" t="n">
        <v>0</v>
      </c>
      <c r="I216" t="n">
        <v>0</v>
      </c>
      <c r="J216" t="n">
        <v>0</v>
      </c>
      <c r="K216" t="n">
        <v>0</v>
      </c>
      <c r="L216" t="n">
        <v>0</v>
      </c>
      <c r="M216" t="n">
        <v>0</v>
      </c>
      <c r="N216" t="n">
        <v>0</v>
      </c>
      <c r="O216" t="n">
        <v>0</v>
      </c>
      <c r="P216" t="n">
        <v>0</v>
      </c>
      <c r="Q216" t="n">
        <v>0</v>
      </c>
      <c r="R216" s="2" t="inlineStr"/>
    </row>
    <row r="217" ht="15" customHeight="1">
      <c r="A217" t="inlineStr">
        <is>
          <t>A 46590-2025</t>
        </is>
      </c>
      <c r="B217" s="1" t="n">
        <v>45926.39542824074</v>
      </c>
      <c r="C217" s="1" t="n">
        <v>46169</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49614-2024</t>
        </is>
      </c>
      <c r="B218" s="1" t="n">
        <v>45596.57716435185</v>
      </c>
      <c r="C218" s="1" t="n">
        <v>46169</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49632-2024</t>
        </is>
      </c>
      <c r="B219" s="1" t="n">
        <v>45596</v>
      </c>
      <c r="C219" s="1" t="n">
        <v>46169</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29479-2022</t>
        </is>
      </c>
      <c r="B220" s="1" t="n">
        <v>44753.57265046296</v>
      </c>
      <c r="C220" s="1" t="n">
        <v>46169</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32111-2025</t>
        </is>
      </c>
      <c r="B221" s="1" t="n">
        <v>45835</v>
      </c>
      <c r="C221" s="1" t="n">
        <v>46169</v>
      </c>
      <c r="D221" t="inlineStr">
        <is>
          <t>UPPSALA LÄN</t>
        </is>
      </c>
      <c r="E221" t="inlineStr">
        <is>
          <t>ENKÖPING</t>
        </is>
      </c>
      <c r="G221" t="n">
        <v>1.7</v>
      </c>
      <c r="H221" t="n">
        <v>0</v>
      </c>
      <c r="I221" t="n">
        <v>0</v>
      </c>
      <c r="J221" t="n">
        <v>0</v>
      </c>
      <c r="K221" t="n">
        <v>0</v>
      </c>
      <c r="L221" t="n">
        <v>0</v>
      </c>
      <c r="M221" t="n">
        <v>0</v>
      </c>
      <c r="N221" t="n">
        <v>0</v>
      </c>
      <c r="O221" t="n">
        <v>0</v>
      </c>
      <c r="P221" t="n">
        <v>0</v>
      </c>
      <c r="Q221" t="n">
        <v>0</v>
      </c>
      <c r="R221" s="2" t="inlineStr"/>
    </row>
    <row r="222" ht="15" customHeight="1">
      <c r="A222" t="inlineStr">
        <is>
          <t>A 32031-2025</t>
        </is>
      </c>
      <c r="B222" s="1" t="n">
        <v>45835.41712962963</v>
      </c>
      <c r="C222" s="1" t="n">
        <v>46169</v>
      </c>
      <c r="D222" t="inlineStr">
        <is>
          <t>UPPSALA LÄN</t>
        </is>
      </c>
      <c r="E222" t="inlineStr">
        <is>
          <t>ENKÖPING</t>
        </is>
      </c>
      <c r="G222" t="n">
        <v>2.7</v>
      </c>
      <c r="H222" t="n">
        <v>0</v>
      </c>
      <c r="I222" t="n">
        <v>0</v>
      </c>
      <c r="J222" t="n">
        <v>0</v>
      </c>
      <c r="K222" t="n">
        <v>0</v>
      </c>
      <c r="L222" t="n">
        <v>0</v>
      </c>
      <c r="M222" t="n">
        <v>0</v>
      </c>
      <c r="N222" t="n">
        <v>0</v>
      </c>
      <c r="O222" t="n">
        <v>0</v>
      </c>
      <c r="P222" t="n">
        <v>0</v>
      </c>
      <c r="Q222" t="n">
        <v>0</v>
      </c>
      <c r="R222" s="2" t="inlineStr"/>
    </row>
    <row r="223" ht="15" customHeight="1">
      <c r="A223" t="inlineStr">
        <is>
          <t>A 47441-2025</t>
        </is>
      </c>
      <c r="B223" s="1" t="n">
        <v>45930.63986111111</v>
      </c>
      <c r="C223" s="1" t="n">
        <v>46169</v>
      </c>
      <c r="D223" t="inlineStr">
        <is>
          <t>UPPSALA LÄN</t>
        </is>
      </c>
      <c r="E223" t="inlineStr">
        <is>
          <t>ENKÖPING</t>
        </is>
      </c>
      <c r="F223" t="inlineStr">
        <is>
          <t>Allmännings- och besparingsskogar</t>
        </is>
      </c>
      <c r="G223" t="n">
        <v>11.5</v>
      </c>
      <c r="H223" t="n">
        <v>0</v>
      </c>
      <c r="I223" t="n">
        <v>0</v>
      </c>
      <c r="J223" t="n">
        <v>0</v>
      </c>
      <c r="K223" t="n">
        <v>0</v>
      </c>
      <c r="L223" t="n">
        <v>0</v>
      </c>
      <c r="M223" t="n">
        <v>0</v>
      </c>
      <c r="N223" t="n">
        <v>0</v>
      </c>
      <c r="O223" t="n">
        <v>0</v>
      </c>
      <c r="P223" t="n">
        <v>0</v>
      </c>
      <c r="Q223" t="n">
        <v>0</v>
      </c>
      <c r="R223" s="2" t="inlineStr"/>
    </row>
    <row r="224" ht="15" customHeight="1">
      <c r="A224" t="inlineStr">
        <is>
          <t>A 27538-2023</t>
        </is>
      </c>
      <c r="B224" s="1" t="n">
        <v>45097</v>
      </c>
      <c r="C224" s="1" t="n">
        <v>46169</v>
      </c>
      <c r="D224" t="inlineStr">
        <is>
          <t>UPPSALA LÄN</t>
        </is>
      </c>
      <c r="E224" t="inlineStr">
        <is>
          <t>ENKÖPING</t>
        </is>
      </c>
      <c r="G224" t="n">
        <v>5.8</v>
      </c>
      <c r="H224" t="n">
        <v>0</v>
      </c>
      <c r="I224" t="n">
        <v>0</v>
      </c>
      <c r="J224" t="n">
        <v>0</v>
      </c>
      <c r="K224" t="n">
        <v>0</v>
      </c>
      <c r="L224" t="n">
        <v>0</v>
      </c>
      <c r="M224" t="n">
        <v>0</v>
      </c>
      <c r="N224" t="n">
        <v>0</v>
      </c>
      <c r="O224" t="n">
        <v>0</v>
      </c>
      <c r="P224" t="n">
        <v>0</v>
      </c>
      <c r="Q224" t="n">
        <v>0</v>
      </c>
      <c r="R224" s="2" t="inlineStr"/>
    </row>
    <row r="225" ht="15" customHeight="1">
      <c r="A225" t="inlineStr">
        <is>
          <t>A 15409-2025</t>
        </is>
      </c>
      <c r="B225" s="1" t="n">
        <v>45747</v>
      </c>
      <c r="C225" s="1" t="n">
        <v>46169</v>
      </c>
      <c r="D225" t="inlineStr">
        <is>
          <t>UPPSALA LÄN</t>
        </is>
      </c>
      <c r="E225" t="inlineStr">
        <is>
          <t>ENKÖPING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60874-2023</t>
        </is>
      </c>
      <c r="B226" s="1" t="n">
        <v>45261.06280092592</v>
      </c>
      <c r="C226" s="1" t="n">
        <v>46169</v>
      </c>
      <c r="D226" t="inlineStr">
        <is>
          <t>UPPSALA LÄN</t>
        </is>
      </c>
      <c r="E226" t="inlineStr">
        <is>
          <t>ENKÖPING</t>
        </is>
      </c>
      <c r="G226" t="n">
        <v>1.5</v>
      </c>
      <c r="H226" t="n">
        <v>0</v>
      </c>
      <c r="I226" t="n">
        <v>0</v>
      </c>
      <c r="J226" t="n">
        <v>0</v>
      </c>
      <c r="K226" t="n">
        <v>0</v>
      </c>
      <c r="L226" t="n">
        <v>0</v>
      </c>
      <c r="M226" t="n">
        <v>0</v>
      </c>
      <c r="N226" t="n">
        <v>0</v>
      </c>
      <c r="O226" t="n">
        <v>0</v>
      </c>
      <c r="P226" t="n">
        <v>0</v>
      </c>
      <c r="Q226" t="n">
        <v>0</v>
      </c>
      <c r="R226" s="2" t="inlineStr"/>
    </row>
    <row r="227" ht="15" customHeight="1">
      <c r="A227" t="inlineStr">
        <is>
          <t>A 50394-2024</t>
        </is>
      </c>
      <c r="B227" s="1" t="n">
        <v>45600</v>
      </c>
      <c r="C227" s="1" t="n">
        <v>46169</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51010-2024</t>
        </is>
      </c>
      <c r="B228" s="1" t="n">
        <v>45603.39285879629</v>
      </c>
      <c r="C228" s="1" t="n">
        <v>46169</v>
      </c>
      <c r="D228" t="inlineStr">
        <is>
          <t>UPPSALA LÄN</t>
        </is>
      </c>
      <c r="E228" t="inlineStr">
        <is>
          <t>ENKÖPING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15740-2025</t>
        </is>
      </c>
      <c r="B229" s="1" t="n">
        <v>45748</v>
      </c>
      <c r="C229" s="1" t="n">
        <v>46169</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39439-2025</t>
        </is>
      </c>
      <c r="B230" s="1" t="n">
        <v>45889</v>
      </c>
      <c r="C230" s="1" t="n">
        <v>46169</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43016-2021</t>
        </is>
      </c>
      <c r="B231" s="1" t="n">
        <v>44431</v>
      </c>
      <c r="C231" s="1" t="n">
        <v>46169</v>
      </c>
      <c r="D231" t="inlineStr">
        <is>
          <t>UPPSALA LÄN</t>
        </is>
      </c>
      <c r="E231" t="inlineStr">
        <is>
          <t>ENKÖPING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48678-2025</t>
        </is>
      </c>
      <c r="B232" s="1" t="n">
        <v>45936.59168981481</v>
      </c>
      <c r="C232" s="1" t="n">
        <v>46169</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48423-2025</t>
        </is>
      </c>
      <c r="B233" s="1" t="n">
        <v>45934.68024305555</v>
      </c>
      <c r="C233" s="1" t="n">
        <v>46169</v>
      </c>
      <c r="D233" t="inlineStr">
        <is>
          <t>UPPSALA LÄN</t>
        </is>
      </c>
      <c r="E233" t="inlineStr">
        <is>
          <t>ENKÖPING</t>
        </is>
      </c>
      <c r="G233" t="n">
        <v>4.3</v>
      </c>
      <c r="H233" t="n">
        <v>0</v>
      </c>
      <c r="I233" t="n">
        <v>0</v>
      </c>
      <c r="J233" t="n">
        <v>0</v>
      </c>
      <c r="K233" t="n">
        <v>0</v>
      </c>
      <c r="L233" t="n">
        <v>0</v>
      </c>
      <c r="M233" t="n">
        <v>0</v>
      </c>
      <c r="N233" t="n">
        <v>0</v>
      </c>
      <c r="O233" t="n">
        <v>0</v>
      </c>
      <c r="P233" t="n">
        <v>0</v>
      </c>
      <c r="Q233" t="n">
        <v>0</v>
      </c>
      <c r="R233" s="2" t="inlineStr"/>
    </row>
    <row r="234" ht="15" customHeight="1">
      <c r="A234" t="inlineStr">
        <is>
          <t>A 48424-2025</t>
        </is>
      </c>
      <c r="B234" s="1" t="n">
        <v>45934.69131944444</v>
      </c>
      <c r="C234" s="1" t="n">
        <v>46169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49073-2025</t>
        </is>
      </c>
      <c r="B235" s="1" t="n">
        <v>45937.65512731481</v>
      </c>
      <c r="C235" s="1" t="n">
        <v>46169</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19147-2024</t>
        </is>
      </c>
      <c r="B236" s="1" t="n">
        <v>45428</v>
      </c>
      <c r="C236" s="1" t="n">
        <v>46169</v>
      </c>
      <c r="D236" t="inlineStr">
        <is>
          <t>UPPSALA LÄN</t>
        </is>
      </c>
      <c r="E236" t="inlineStr">
        <is>
          <t>ENKÖPING</t>
        </is>
      </c>
      <c r="G236" t="n">
        <v>1.9</v>
      </c>
      <c r="H236" t="n">
        <v>0</v>
      </c>
      <c r="I236" t="n">
        <v>0</v>
      </c>
      <c r="J236" t="n">
        <v>0</v>
      </c>
      <c r="K236" t="n">
        <v>0</v>
      </c>
      <c r="L236" t="n">
        <v>0</v>
      </c>
      <c r="M236" t="n">
        <v>0</v>
      </c>
      <c r="N236" t="n">
        <v>0</v>
      </c>
      <c r="O236" t="n">
        <v>0</v>
      </c>
      <c r="P236" t="n">
        <v>0</v>
      </c>
      <c r="Q236" t="n">
        <v>0</v>
      </c>
      <c r="R236" s="2" t="inlineStr"/>
    </row>
    <row r="237" ht="15" customHeight="1">
      <c r="A237" t="inlineStr">
        <is>
          <t>A 57209-2024</t>
        </is>
      </c>
      <c r="B237" s="1" t="n">
        <v>45629.49311342592</v>
      </c>
      <c r="C237" s="1" t="n">
        <v>46169</v>
      </c>
      <c r="D237" t="inlineStr">
        <is>
          <t>UPPSALA LÄN</t>
        </is>
      </c>
      <c r="E237" t="inlineStr">
        <is>
          <t>ENKÖPING</t>
        </is>
      </c>
      <c r="G237" t="n">
        <v>3.2</v>
      </c>
      <c r="H237" t="n">
        <v>0</v>
      </c>
      <c r="I237" t="n">
        <v>0</v>
      </c>
      <c r="J237" t="n">
        <v>0</v>
      </c>
      <c r="K237" t="n">
        <v>0</v>
      </c>
      <c r="L237" t="n">
        <v>0</v>
      </c>
      <c r="M237" t="n">
        <v>0</v>
      </c>
      <c r="N237" t="n">
        <v>0</v>
      </c>
      <c r="O237" t="n">
        <v>0</v>
      </c>
      <c r="P237" t="n">
        <v>0</v>
      </c>
      <c r="Q237" t="n">
        <v>0</v>
      </c>
      <c r="R237" s="2" t="inlineStr"/>
    </row>
    <row r="238" ht="15" customHeight="1">
      <c r="A238" t="inlineStr">
        <is>
          <t>A 51120-2023</t>
        </is>
      </c>
      <c r="B238" s="1" t="n">
        <v>45219.3088425926</v>
      </c>
      <c r="C238" s="1" t="n">
        <v>46169</v>
      </c>
      <c r="D238" t="inlineStr">
        <is>
          <t>UPPSALA LÄN</t>
        </is>
      </c>
      <c r="E238" t="inlineStr">
        <is>
          <t>ENKÖPING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12878-2025</t>
        </is>
      </c>
      <c r="B239" s="1" t="n">
        <v>45733.68571759259</v>
      </c>
      <c r="C239" s="1" t="n">
        <v>46169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18994-2025</t>
        </is>
      </c>
      <c r="B240" s="1" t="n">
        <v>45764.57350694444</v>
      </c>
      <c r="C240" s="1" t="n">
        <v>46169</v>
      </c>
      <c r="D240" t="inlineStr">
        <is>
          <t>UPPSALA LÄN</t>
        </is>
      </c>
      <c r="E240" t="inlineStr">
        <is>
          <t>ENKÖPING</t>
        </is>
      </c>
      <c r="G240" t="n">
        <v>3.8</v>
      </c>
      <c r="H240" t="n">
        <v>0</v>
      </c>
      <c r="I240" t="n">
        <v>0</v>
      </c>
      <c r="J240" t="n">
        <v>0</v>
      </c>
      <c r="K240" t="n">
        <v>0</v>
      </c>
      <c r="L240" t="n">
        <v>0</v>
      </c>
      <c r="M240" t="n">
        <v>0</v>
      </c>
      <c r="N240" t="n">
        <v>0</v>
      </c>
      <c r="O240" t="n">
        <v>0</v>
      </c>
      <c r="P240" t="n">
        <v>0</v>
      </c>
      <c r="Q240" t="n">
        <v>0</v>
      </c>
      <c r="R240" s="2" t="inlineStr"/>
    </row>
    <row r="241" ht="15" customHeight="1">
      <c r="A241" t="inlineStr">
        <is>
          <t>A 57848-2024</t>
        </is>
      </c>
      <c r="B241" s="1" t="n">
        <v>45631.40947916666</v>
      </c>
      <c r="C241" s="1" t="n">
        <v>46169</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49601-2024</t>
        </is>
      </c>
      <c r="B242" s="1" t="n">
        <v>45596.56288194445</v>
      </c>
      <c r="C242" s="1" t="n">
        <v>46169</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43103-2025</t>
        </is>
      </c>
      <c r="B243" s="1" t="n">
        <v>45909</v>
      </c>
      <c r="C243" s="1" t="n">
        <v>46169</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43896-2022</t>
        </is>
      </c>
      <c r="B244" s="1" t="n">
        <v>44838</v>
      </c>
      <c r="C244" s="1" t="n">
        <v>46169</v>
      </c>
      <c r="D244" t="inlineStr">
        <is>
          <t>UPPSALA LÄN</t>
        </is>
      </c>
      <c r="E244" t="inlineStr">
        <is>
          <t>ENKÖPING</t>
        </is>
      </c>
      <c r="G244" t="n">
        <v>5.3</v>
      </c>
      <c r="H244" t="n">
        <v>0</v>
      </c>
      <c r="I244" t="n">
        <v>0</v>
      </c>
      <c r="J244" t="n">
        <v>0</v>
      </c>
      <c r="K244" t="n">
        <v>0</v>
      </c>
      <c r="L244" t="n">
        <v>0</v>
      </c>
      <c r="M244" t="n">
        <v>0</v>
      </c>
      <c r="N244" t="n">
        <v>0</v>
      </c>
      <c r="O244" t="n">
        <v>0</v>
      </c>
      <c r="P244" t="n">
        <v>0</v>
      </c>
      <c r="Q244" t="n">
        <v>0</v>
      </c>
      <c r="R244" s="2" t="inlineStr"/>
    </row>
    <row r="245" ht="15" customHeight="1">
      <c r="A245" t="inlineStr">
        <is>
          <t>A 49068-2025</t>
        </is>
      </c>
      <c r="B245" s="1" t="n">
        <v>45937.64766203704</v>
      </c>
      <c r="C245" s="1" t="n">
        <v>46169</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29513-2025</t>
        </is>
      </c>
      <c r="B246" s="1" t="n">
        <v>45825</v>
      </c>
      <c r="C246" s="1" t="n">
        <v>46169</v>
      </c>
      <c r="D246" t="inlineStr">
        <is>
          <t>UPPSALA LÄN</t>
        </is>
      </c>
      <c r="E246" t="inlineStr">
        <is>
          <t>ENKÖPING</t>
        </is>
      </c>
      <c r="G246" t="n">
        <v>2.6</v>
      </c>
      <c r="H246" t="n">
        <v>0</v>
      </c>
      <c r="I246" t="n">
        <v>0</v>
      </c>
      <c r="J246" t="n">
        <v>0</v>
      </c>
      <c r="K246" t="n">
        <v>0</v>
      </c>
      <c r="L246" t="n">
        <v>0</v>
      </c>
      <c r="M246" t="n">
        <v>0</v>
      </c>
      <c r="N246" t="n">
        <v>0</v>
      </c>
      <c r="O246" t="n">
        <v>0</v>
      </c>
      <c r="P246" t="n">
        <v>0</v>
      </c>
      <c r="Q246" t="n">
        <v>0</v>
      </c>
      <c r="R246" s="2" t="inlineStr"/>
    </row>
    <row r="247" ht="15" customHeight="1">
      <c r="A247" t="inlineStr">
        <is>
          <t>A 17844-2025</t>
        </is>
      </c>
      <c r="B247" s="1" t="n">
        <v>45758.59920138889</v>
      </c>
      <c r="C247" s="1" t="n">
        <v>46169</v>
      </c>
      <c r="D247" t="inlineStr">
        <is>
          <t>UPPSALA LÄN</t>
        </is>
      </c>
      <c r="E247" t="inlineStr">
        <is>
          <t>ENKÖPING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7090-2022</t>
        </is>
      </c>
      <c r="B248" s="1" t="n">
        <v>44603.59520833333</v>
      </c>
      <c r="C248" s="1" t="n">
        <v>46169</v>
      </c>
      <c r="D248" t="inlineStr">
        <is>
          <t>UPPSALA LÄN</t>
        </is>
      </c>
      <c r="E248" t="inlineStr">
        <is>
          <t>ENKÖPING</t>
        </is>
      </c>
      <c r="G248" t="n">
        <v>2.8</v>
      </c>
      <c r="H248" t="n">
        <v>0</v>
      </c>
      <c r="I248" t="n">
        <v>0</v>
      </c>
      <c r="J248" t="n">
        <v>0</v>
      </c>
      <c r="K248" t="n">
        <v>0</v>
      </c>
      <c r="L248" t="n">
        <v>0</v>
      </c>
      <c r="M248" t="n">
        <v>0</v>
      </c>
      <c r="N248" t="n">
        <v>0</v>
      </c>
      <c r="O248" t="n">
        <v>0</v>
      </c>
      <c r="P248" t="n">
        <v>0</v>
      </c>
      <c r="Q248" t="n">
        <v>0</v>
      </c>
      <c r="R248" s="2" t="inlineStr"/>
    </row>
    <row r="249" ht="15" customHeight="1">
      <c r="A249" t="inlineStr">
        <is>
          <t>A 9487-2025</t>
        </is>
      </c>
      <c r="B249" s="1" t="n">
        <v>45715.49331018519</v>
      </c>
      <c r="C249" s="1" t="n">
        <v>46169</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6144-2024</t>
        </is>
      </c>
      <c r="B250" s="1" t="n">
        <v>45337.4684837963</v>
      </c>
      <c r="C250" s="1" t="n">
        <v>46169</v>
      </c>
      <c r="D250" t="inlineStr">
        <is>
          <t>UPPSALA LÄN</t>
        </is>
      </c>
      <c r="E250" t="inlineStr">
        <is>
          <t>ENKÖPING</t>
        </is>
      </c>
      <c r="G250" t="n">
        <v>13.8</v>
      </c>
      <c r="H250" t="n">
        <v>0</v>
      </c>
      <c r="I250" t="n">
        <v>0</v>
      </c>
      <c r="J250" t="n">
        <v>0</v>
      </c>
      <c r="K250" t="n">
        <v>0</v>
      </c>
      <c r="L250" t="n">
        <v>0</v>
      </c>
      <c r="M250" t="n">
        <v>0</v>
      </c>
      <c r="N250" t="n">
        <v>0</v>
      </c>
      <c r="O250" t="n">
        <v>0</v>
      </c>
      <c r="P250" t="n">
        <v>0</v>
      </c>
      <c r="Q250" t="n">
        <v>0</v>
      </c>
      <c r="R250" s="2" t="inlineStr"/>
    </row>
    <row r="251" ht="15" customHeight="1">
      <c r="A251" t="inlineStr">
        <is>
          <t>A 33955-2024</t>
        </is>
      </c>
      <c r="B251" s="1" t="n">
        <v>45523.46952546296</v>
      </c>
      <c r="C251" s="1" t="n">
        <v>46169</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21501-2025</t>
        </is>
      </c>
      <c r="B252" s="1" t="n">
        <v>45782</v>
      </c>
      <c r="C252" s="1" t="n">
        <v>46169</v>
      </c>
      <c r="D252" t="inlineStr">
        <is>
          <t>UPPSALA LÄN</t>
        </is>
      </c>
      <c r="E252" t="inlineStr">
        <is>
          <t>ENKÖPING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34988-2025</t>
        </is>
      </c>
      <c r="B253" s="1" t="n">
        <v>45849</v>
      </c>
      <c r="C253" s="1" t="n">
        <v>46169</v>
      </c>
      <c r="D253" t="inlineStr">
        <is>
          <t>UPPSALA LÄN</t>
        </is>
      </c>
      <c r="E253" t="inlineStr">
        <is>
          <t>ENKÖPING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34987-2025</t>
        </is>
      </c>
      <c r="B254" s="1" t="n">
        <v>45849</v>
      </c>
      <c r="C254" s="1" t="n">
        <v>46169</v>
      </c>
      <c r="D254" t="inlineStr">
        <is>
          <t>UPPSALA LÄN</t>
        </is>
      </c>
      <c r="E254" t="inlineStr">
        <is>
          <t>ENKÖPING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46169</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36492-2025</t>
        </is>
      </c>
      <c r="B256" s="1" t="n">
        <v>45869</v>
      </c>
      <c r="C256" s="1" t="n">
        <v>46169</v>
      </c>
      <c r="D256" t="inlineStr">
        <is>
          <t>UPPSALA LÄN</t>
        </is>
      </c>
      <c r="E256" t="inlineStr">
        <is>
          <t>ENKÖPING</t>
        </is>
      </c>
      <c r="G256" t="n">
        <v>6.3</v>
      </c>
      <c r="H256" t="n">
        <v>0</v>
      </c>
      <c r="I256" t="n">
        <v>0</v>
      </c>
      <c r="J256" t="n">
        <v>0</v>
      </c>
      <c r="K256" t="n">
        <v>0</v>
      </c>
      <c r="L256" t="n">
        <v>0</v>
      </c>
      <c r="M256" t="n">
        <v>0</v>
      </c>
      <c r="N256" t="n">
        <v>0</v>
      </c>
      <c r="O256" t="n">
        <v>0</v>
      </c>
      <c r="P256" t="n">
        <v>0</v>
      </c>
      <c r="Q256" t="n">
        <v>0</v>
      </c>
      <c r="R256" s="2" t="inlineStr"/>
    </row>
    <row r="257" ht="15" customHeight="1">
      <c r="A257" t="inlineStr">
        <is>
          <t>A 53586-2024</t>
        </is>
      </c>
      <c r="B257" s="1" t="n">
        <v>45614</v>
      </c>
      <c r="C257" s="1" t="n">
        <v>46169</v>
      </c>
      <c r="D257" t="inlineStr">
        <is>
          <t>UPPSALA LÄN</t>
        </is>
      </c>
      <c r="E257" t="inlineStr">
        <is>
          <t>ENKÖPING</t>
        </is>
      </c>
      <c r="G257" t="n">
        <v>6.6</v>
      </c>
      <c r="H257" t="n">
        <v>0</v>
      </c>
      <c r="I257" t="n">
        <v>0</v>
      </c>
      <c r="J257" t="n">
        <v>0</v>
      </c>
      <c r="K257" t="n">
        <v>0</v>
      </c>
      <c r="L257" t="n">
        <v>0</v>
      </c>
      <c r="M257" t="n">
        <v>0</v>
      </c>
      <c r="N257" t="n">
        <v>0</v>
      </c>
      <c r="O257" t="n">
        <v>0</v>
      </c>
      <c r="P257" t="n">
        <v>0</v>
      </c>
      <c r="Q257" t="n">
        <v>0</v>
      </c>
      <c r="R257" s="2" t="inlineStr"/>
    </row>
    <row r="258" ht="15" customHeight="1">
      <c r="A258" t="inlineStr">
        <is>
          <t>A 56625-2025</t>
        </is>
      </c>
      <c r="B258" s="1" t="n">
        <v>45975.60608796297</v>
      </c>
      <c r="C258" s="1" t="n">
        <v>46169</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36350-2025</t>
        </is>
      </c>
      <c r="B259" s="1" t="n">
        <v>45868</v>
      </c>
      <c r="C259" s="1" t="n">
        <v>46169</v>
      </c>
      <c r="D259" t="inlineStr">
        <is>
          <t>UPPSALA LÄN</t>
        </is>
      </c>
      <c r="E259" t="inlineStr">
        <is>
          <t>ENKÖPING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43506-2023</t>
        </is>
      </c>
      <c r="B260" s="1" t="n">
        <v>45181</v>
      </c>
      <c r="C260" s="1" t="n">
        <v>46169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36599-2025</t>
        </is>
      </c>
      <c r="B261" s="1" t="n">
        <v>45870.51723379629</v>
      </c>
      <c r="C261" s="1" t="n">
        <v>46169</v>
      </c>
      <c r="D261" t="inlineStr">
        <is>
          <t>UPPSALA LÄN</t>
        </is>
      </c>
      <c r="E261" t="inlineStr">
        <is>
          <t>ENKÖPING</t>
        </is>
      </c>
      <c r="G261" t="n">
        <v>5.9</v>
      </c>
      <c r="H261" t="n">
        <v>0</v>
      </c>
      <c r="I261" t="n">
        <v>0</v>
      </c>
      <c r="J261" t="n">
        <v>0</v>
      </c>
      <c r="K261" t="n">
        <v>0</v>
      </c>
      <c r="L261" t="n">
        <v>0</v>
      </c>
      <c r="M261" t="n">
        <v>0</v>
      </c>
      <c r="N261" t="n">
        <v>0</v>
      </c>
      <c r="O261" t="n">
        <v>0</v>
      </c>
      <c r="P261" t="n">
        <v>0</v>
      </c>
      <c r="Q261" t="n">
        <v>0</v>
      </c>
      <c r="R261" s="2" t="inlineStr"/>
    </row>
    <row r="262" ht="15" customHeight="1">
      <c r="A262" t="inlineStr">
        <is>
          <t>A 46186-2023</t>
        </is>
      </c>
      <c r="B262" s="1" t="n">
        <v>45196</v>
      </c>
      <c r="C262" s="1" t="n">
        <v>46169</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54595-2021</t>
        </is>
      </c>
      <c r="B263" s="1" t="n">
        <v>44473.58824074074</v>
      </c>
      <c r="C263" s="1" t="n">
        <v>46169</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54588-2024</t>
        </is>
      </c>
      <c r="B264" s="1" t="n">
        <v>45617</v>
      </c>
      <c r="C264" s="1" t="n">
        <v>46169</v>
      </c>
      <c r="D264" t="inlineStr">
        <is>
          <t>UPPSALA LÄN</t>
        </is>
      </c>
      <c r="E264" t="inlineStr">
        <is>
          <t>ENKÖPING</t>
        </is>
      </c>
      <c r="G264" t="n">
        <v>3.7</v>
      </c>
      <c r="H264" t="n">
        <v>0</v>
      </c>
      <c r="I264" t="n">
        <v>0</v>
      </c>
      <c r="J264" t="n">
        <v>0</v>
      </c>
      <c r="K264" t="n">
        <v>0</v>
      </c>
      <c r="L264" t="n">
        <v>0</v>
      </c>
      <c r="M264" t="n">
        <v>0</v>
      </c>
      <c r="N264" t="n">
        <v>0</v>
      </c>
      <c r="O264" t="n">
        <v>0</v>
      </c>
      <c r="P264" t="n">
        <v>0</v>
      </c>
      <c r="Q264" t="n">
        <v>0</v>
      </c>
      <c r="R264" s="2" t="inlineStr"/>
    </row>
    <row r="265" ht="15" customHeight="1">
      <c r="A265" t="inlineStr">
        <is>
          <t>A 47428-2023</t>
        </is>
      </c>
      <c r="B265" s="1" t="n">
        <v>45202.66664351852</v>
      </c>
      <c r="C265" s="1" t="n">
        <v>46169</v>
      </c>
      <c r="D265" t="inlineStr">
        <is>
          <t>UPPSALA LÄN</t>
        </is>
      </c>
      <c r="E265" t="inlineStr">
        <is>
          <t>ENKÖPING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57294-2025</t>
        </is>
      </c>
      <c r="B266" s="1" t="n">
        <v>45979</v>
      </c>
      <c r="C266" s="1" t="n">
        <v>46169</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5892-2023</t>
        </is>
      </c>
      <c r="B267" s="1" t="n">
        <v>44963.64883101852</v>
      </c>
      <c r="C267" s="1" t="n">
        <v>46169</v>
      </c>
      <c r="D267" t="inlineStr">
        <is>
          <t>UPPSALA LÄN</t>
        </is>
      </c>
      <c r="E267" t="inlineStr">
        <is>
          <t>ENKÖPING</t>
        </is>
      </c>
      <c r="G267" t="n">
        <v>5.5</v>
      </c>
      <c r="H267" t="n">
        <v>0</v>
      </c>
      <c r="I267" t="n">
        <v>0</v>
      </c>
      <c r="J267" t="n">
        <v>0</v>
      </c>
      <c r="K267" t="n">
        <v>0</v>
      </c>
      <c r="L267" t="n">
        <v>0</v>
      </c>
      <c r="M267" t="n">
        <v>0</v>
      </c>
      <c r="N267" t="n">
        <v>0</v>
      </c>
      <c r="O267" t="n">
        <v>0</v>
      </c>
      <c r="P267" t="n">
        <v>0</v>
      </c>
      <c r="Q267" t="n">
        <v>0</v>
      </c>
      <c r="R267" s="2" t="inlineStr"/>
    </row>
    <row r="268" ht="15" customHeight="1">
      <c r="A268" t="inlineStr">
        <is>
          <t>A 37498-2025</t>
        </is>
      </c>
      <c r="B268" s="1" t="n">
        <v>45877</v>
      </c>
      <c r="C268" s="1" t="n">
        <v>46169</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37296-2025</t>
        </is>
      </c>
      <c r="B269" s="1" t="n">
        <v>45876</v>
      </c>
      <c r="C269" s="1" t="n">
        <v>46169</v>
      </c>
      <c r="D269" t="inlineStr">
        <is>
          <t>UPPSALA LÄN</t>
        </is>
      </c>
      <c r="E269" t="inlineStr">
        <is>
          <t>ENKÖPING</t>
        </is>
      </c>
      <c r="G269" t="n">
        <v>9.5</v>
      </c>
      <c r="H269" t="n">
        <v>0</v>
      </c>
      <c r="I269" t="n">
        <v>0</v>
      </c>
      <c r="J269" t="n">
        <v>0</v>
      </c>
      <c r="K269" t="n">
        <v>0</v>
      </c>
      <c r="L269" t="n">
        <v>0</v>
      </c>
      <c r="M269" t="n">
        <v>0</v>
      </c>
      <c r="N269" t="n">
        <v>0</v>
      </c>
      <c r="O269" t="n">
        <v>0</v>
      </c>
      <c r="P269" t="n">
        <v>0</v>
      </c>
      <c r="Q269" t="n">
        <v>0</v>
      </c>
      <c r="R269" s="2" t="inlineStr"/>
    </row>
    <row r="270" ht="15" customHeight="1">
      <c r="A270" t="inlineStr">
        <is>
          <t>A 671-2022</t>
        </is>
      </c>
      <c r="B270" s="1" t="n">
        <v>44568</v>
      </c>
      <c r="C270" s="1" t="n">
        <v>46169</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37319-2025</t>
        </is>
      </c>
      <c r="B271" s="1" t="n">
        <v>45876</v>
      </c>
      <c r="C271" s="1" t="n">
        <v>46169</v>
      </c>
      <c r="D271" t="inlineStr">
        <is>
          <t>UPPSALA LÄN</t>
        </is>
      </c>
      <c r="E271" t="inlineStr">
        <is>
          <t>ENKÖPING</t>
        </is>
      </c>
      <c r="G271" t="n">
        <v>9.5</v>
      </c>
      <c r="H271" t="n">
        <v>0</v>
      </c>
      <c r="I271" t="n">
        <v>0</v>
      </c>
      <c r="J271" t="n">
        <v>0</v>
      </c>
      <c r="K271" t="n">
        <v>0</v>
      </c>
      <c r="L271" t="n">
        <v>0</v>
      </c>
      <c r="M271" t="n">
        <v>0</v>
      </c>
      <c r="N271" t="n">
        <v>0</v>
      </c>
      <c r="O271" t="n">
        <v>0</v>
      </c>
      <c r="P271" t="n">
        <v>0</v>
      </c>
      <c r="Q271" t="n">
        <v>0</v>
      </c>
      <c r="R271" s="2" t="inlineStr"/>
    </row>
    <row r="272" ht="15" customHeight="1">
      <c r="A272" t="inlineStr">
        <is>
          <t>A 43488-2023</t>
        </is>
      </c>
      <c r="B272" s="1" t="n">
        <v>45181</v>
      </c>
      <c r="C272" s="1" t="n">
        <v>46169</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9171-2024</t>
        </is>
      </c>
      <c r="B273" s="1" t="n">
        <v>45358</v>
      </c>
      <c r="C273" s="1" t="n">
        <v>46169</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49622-2024</t>
        </is>
      </c>
      <c r="B274" s="1" t="n">
        <v>45596.58372685185</v>
      </c>
      <c r="C274" s="1" t="n">
        <v>46169</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43230-2023</t>
        </is>
      </c>
      <c r="B275" s="1" t="n">
        <v>45183</v>
      </c>
      <c r="C275" s="1" t="n">
        <v>46169</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45362-2022</t>
        </is>
      </c>
      <c r="B276" s="1" t="n">
        <v>44844.62366898148</v>
      </c>
      <c r="C276" s="1" t="n">
        <v>46169</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72840-2021</t>
        </is>
      </c>
      <c r="B277" s="1" t="n">
        <v>44547</v>
      </c>
      <c r="C277" s="1" t="n">
        <v>46169</v>
      </c>
      <c r="D277" t="inlineStr">
        <is>
          <t>UPPSALA LÄN</t>
        </is>
      </c>
      <c r="E277" t="inlineStr">
        <is>
          <t>ENKÖPING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58025-2025</t>
        </is>
      </c>
      <c r="B278" s="1" t="n">
        <v>45982</v>
      </c>
      <c r="C278" s="1" t="n">
        <v>46169</v>
      </c>
      <c r="D278" t="inlineStr">
        <is>
          <t>UPPSALA LÄN</t>
        </is>
      </c>
      <c r="E278" t="inlineStr">
        <is>
          <t>ENKÖPING</t>
        </is>
      </c>
      <c r="G278" t="n">
        <v>3.2</v>
      </c>
      <c r="H278" t="n">
        <v>0</v>
      </c>
      <c r="I278" t="n">
        <v>0</v>
      </c>
      <c r="J278" t="n">
        <v>0</v>
      </c>
      <c r="K278" t="n">
        <v>0</v>
      </c>
      <c r="L278" t="n">
        <v>0</v>
      </c>
      <c r="M278" t="n">
        <v>0</v>
      </c>
      <c r="N278" t="n">
        <v>0</v>
      </c>
      <c r="O278" t="n">
        <v>0</v>
      </c>
      <c r="P278" t="n">
        <v>0</v>
      </c>
      <c r="Q278" t="n">
        <v>0</v>
      </c>
      <c r="R278" s="2" t="inlineStr"/>
    </row>
    <row r="279" ht="15" customHeight="1">
      <c r="A279" t="inlineStr">
        <is>
          <t>A 34617-2022</t>
        </is>
      </c>
      <c r="B279" s="1" t="n">
        <v>44795</v>
      </c>
      <c r="C279" s="1" t="n">
        <v>46169</v>
      </c>
      <c r="D279" t="inlineStr">
        <is>
          <t>UPPSALA LÄN</t>
        </is>
      </c>
      <c r="E279" t="inlineStr">
        <is>
          <t>ENKÖPING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1992-2022</t>
        </is>
      </c>
      <c r="B280" s="1" t="n">
        <v>44575.56153935185</v>
      </c>
      <c r="C280" s="1" t="n">
        <v>46169</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1695-2025</t>
        </is>
      </c>
      <c r="B281" s="1" t="n">
        <v>45670</v>
      </c>
      <c r="C281" s="1" t="n">
        <v>46169</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57188-2025</t>
        </is>
      </c>
      <c r="B282" s="1" t="n">
        <v>45979</v>
      </c>
      <c r="C282" s="1" t="n">
        <v>46169</v>
      </c>
      <c r="D282" t="inlineStr">
        <is>
          <t>UPPSALA LÄN</t>
        </is>
      </c>
      <c r="E282" t="inlineStr">
        <is>
          <t>ENKÖPING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54357-2023</t>
        </is>
      </c>
      <c r="B283" s="1" t="n">
        <v>45225</v>
      </c>
      <c r="C283" s="1" t="n">
        <v>46169</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24962-2023</t>
        </is>
      </c>
      <c r="B284" s="1" t="n">
        <v>45085.60123842592</v>
      </c>
      <c r="C284" s="1" t="n">
        <v>46169</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58961-2024</t>
        </is>
      </c>
      <c r="B285" s="1" t="n">
        <v>45636.585</v>
      </c>
      <c r="C285" s="1" t="n">
        <v>46169</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53595-2023</t>
        </is>
      </c>
      <c r="B286" s="1" t="n">
        <v>45223</v>
      </c>
      <c r="C286" s="1" t="n">
        <v>46169</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15893-2024</t>
        </is>
      </c>
      <c r="B287" s="1" t="n">
        <v>45405</v>
      </c>
      <c r="C287" s="1" t="n">
        <v>46169</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18028-2023</t>
        </is>
      </c>
      <c r="B288" s="1" t="n">
        <v>45040</v>
      </c>
      <c r="C288" s="1" t="n">
        <v>46169</v>
      </c>
      <c r="D288" t="inlineStr">
        <is>
          <t>UPPSALA LÄN</t>
        </is>
      </c>
      <c r="E288" t="inlineStr">
        <is>
          <t>ENKÖPING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59668-2025</t>
        </is>
      </c>
      <c r="B289" s="1" t="n">
        <v>45992.45567129629</v>
      </c>
      <c r="C289" s="1" t="n">
        <v>46169</v>
      </c>
      <c r="D289" t="inlineStr">
        <is>
          <t>UPPSALA LÄN</t>
        </is>
      </c>
      <c r="E289" t="inlineStr">
        <is>
          <t>ENKÖPING</t>
        </is>
      </c>
      <c r="G289" t="n">
        <v>3.3</v>
      </c>
      <c r="H289" t="n">
        <v>0</v>
      </c>
      <c r="I289" t="n">
        <v>0</v>
      </c>
      <c r="J289" t="n">
        <v>0</v>
      </c>
      <c r="K289" t="n">
        <v>0</v>
      </c>
      <c r="L289" t="n">
        <v>0</v>
      </c>
      <c r="M289" t="n">
        <v>0</v>
      </c>
      <c r="N289" t="n">
        <v>0</v>
      </c>
      <c r="O289" t="n">
        <v>0</v>
      </c>
      <c r="P289" t="n">
        <v>0</v>
      </c>
      <c r="Q289" t="n">
        <v>0</v>
      </c>
      <c r="R289" s="2" t="inlineStr"/>
    </row>
    <row r="290" ht="15" customHeight="1">
      <c r="A290" t="inlineStr">
        <is>
          <t>A 59964-2025</t>
        </is>
      </c>
      <c r="B290" s="1" t="n">
        <v>45993.48043981481</v>
      </c>
      <c r="C290" s="1" t="n">
        <v>46169</v>
      </c>
      <c r="D290" t="inlineStr">
        <is>
          <t>UPPSALA LÄN</t>
        </is>
      </c>
      <c r="E290" t="inlineStr">
        <is>
          <t>ENKÖPING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60340-2025</t>
        </is>
      </c>
      <c r="B291" s="1" t="n">
        <v>45994.83415509259</v>
      </c>
      <c r="C291" s="1" t="n">
        <v>46169</v>
      </c>
      <c r="D291" t="inlineStr">
        <is>
          <t>UPPSALA LÄN</t>
        </is>
      </c>
      <c r="E291" t="inlineStr">
        <is>
          <t>ENKÖPING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46169</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46169</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60174-2025</t>
        </is>
      </c>
      <c r="B294" s="1" t="n">
        <v>45994.45039351852</v>
      </c>
      <c r="C294" s="1" t="n">
        <v>46169</v>
      </c>
      <c r="D294" t="inlineStr">
        <is>
          <t>UPPSALA LÄN</t>
        </is>
      </c>
      <c r="E294" t="inlineStr">
        <is>
          <t>ENKÖPING</t>
        </is>
      </c>
      <c r="G294" t="n">
        <v>2.8</v>
      </c>
      <c r="H294" t="n">
        <v>0</v>
      </c>
      <c r="I294" t="n">
        <v>0</v>
      </c>
      <c r="J294" t="n">
        <v>0</v>
      </c>
      <c r="K294" t="n">
        <v>0</v>
      </c>
      <c r="L294" t="n">
        <v>0</v>
      </c>
      <c r="M294" t="n">
        <v>0</v>
      </c>
      <c r="N294" t="n">
        <v>0</v>
      </c>
      <c r="O294" t="n">
        <v>0</v>
      </c>
      <c r="P294" t="n">
        <v>0</v>
      </c>
      <c r="Q294" t="n">
        <v>0</v>
      </c>
      <c r="R294" s="2" t="inlineStr"/>
    </row>
    <row r="295" ht="15" customHeight="1">
      <c r="A295" t="inlineStr">
        <is>
          <t>A 60175-2025</t>
        </is>
      </c>
      <c r="B295" s="1" t="n">
        <v>45994.45378472222</v>
      </c>
      <c r="C295" s="1" t="n">
        <v>46169</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60947-2025</t>
        </is>
      </c>
      <c r="B296" s="1" t="n">
        <v>45999</v>
      </c>
      <c r="C296" s="1" t="n">
        <v>46169</v>
      </c>
      <c r="D296" t="inlineStr">
        <is>
          <t>UPPSALA LÄN</t>
        </is>
      </c>
      <c r="E296" t="inlineStr">
        <is>
          <t>ENKÖPING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19376-2024</t>
        </is>
      </c>
      <c r="B297" s="1" t="n">
        <v>45429</v>
      </c>
      <c r="C297" s="1" t="n">
        <v>46169</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60934-2025</t>
        </is>
      </c>
      <c r="B298" s="1" t="n">
        <v>45999</v>
      </c>
      <c r="C298" s="1" t="n">
        <v>46169</v>
      </c>
      <c r="D298" t="inlineStr">
        <is>
          <t>UPPSALA LÄN</t>
        </is>
      </c>
      <c r="E298" t="inlineStr">
        <is>
          <t>ENKÖPING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61437-2025</t>
        </is>
      </c>
      <c r="B299" s="1" t="n">
        <v>46001.5659375</v>
      </c>
      <c r="C299" s="1" t="n">
        <v>46169</v>
      </c>
      <c r="D299" t="inlineStr">
        <is>
          <t>UPPSALA LÄN</t>
        </is>
      </c>
      <c r="E299" t="inlineStr">
        <is>
          <t>ENKÖPING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29477-2025</t>
        </is>
      </c>
      <c r="B300" s="1" t="n">
        <v>45824.71537037037</v>
      </c>
      <c r="C300" s="1" t="n">
        <v>46169</v>
      </c>
      <c r="D300" t="inlineStr">
        <is>
          <t>UPPSALA LÄN</t>
        </is>
      </c>
      <c r="E300" t="inlineStr">
        <is>
          <t>ENKÖPING</t>
        </is>
      </c>
      <c r="G300" t="n">
        <v>13.4</v>
      </c>
      <c r="H300" t="n">
        <v>0</v>
      </c>
      <c r="I300" t="n">
        <v>0</v>
      </c>
      <c r="J300" t="n">
        <v>0</v>
      </c>
      <c r="K300" t="n">
        <v>0</v>
      </c>
      <c r="L300" t="n">
        <v>0</v>
      </c>
      <c r="M300" t="n">
        <v>0</v>
      </c>
      <c r="N300" t="n">
        <v>0</v>
      </c>
      <c r="O300" t="n">
        <v>0</v>
      </c>
      <c r="P300" t="n">
        <v>0</v>
      </c>
      <c r="Q300" t="n">
        <v>0</v>
      </c>
      <c r="R300" s="2" t="inlineStr"/>
    </row>
    <row r="301" ht="15" customHeight="1">
      <c r="A301" t="inlineStr">
        <is>
          <t>A 12020-2024</t>
        </is>
      </c>
      <c r="B301" s="1" t="n">
        <v>45377</v>
      </c>
      <c r="C301" s="1" t="n">
        <v>46169</v>
      </c>
      <c r="D301" t="inlineStr">
        <is>
          <t>UPPSALA LÄN</t>
        </is>
      </c>
      <c r="E301" t="inlineStr">
        <is>
          <t>ENKÖPING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61778-2025</t>
        </is>
      </c>
      <c r="B302" s="1" t="n">
        <v>46002.66555555556</v>
      </c>
      <c r="C302" s="1" t="n">
        <v>46169</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61811-2025</t>
        </is>
      </c>
      <c r="B303" s="1" t="n">
        <v>46002.90059027778</v>
      </c>
      <c r="C303" s="1" t="n">
        <v>46169</v>
      </c>
      <c r="D303" t="inlineStr">
        <is>
          <t>UPPSALA LÄN</t>
        </is>
      </c>
      <c r="E303" t="inlineStr">
        <is>
          <t>ENKÖPING</t>
        </is>
      </c>
      <c r="F303" t="inlineStr">
        <is>
          <t>Allmännings- och besparingsskogar</t>
        </is>
      </c>
      <c r="G303" t="n">
        <v>4.7</v>
      </c>
      <c r="H303" t="n">
        <v>0</v>
      </c>
      <c r="I303" t="n">
        <v>0</v>
      </c>
      <c r="J303" t="n">
        <v>0</v>
      </c>
      <c r="K303" t="n">
        <v>0</v>
      </c>
      <c r="L303" t="n">
        <v>0</v>
      </c>
      <c r="M303" t="n">
        <v>0</v>
      </c>
      <c r="N303" t="n">
        <v>0</v>
      </c>
      <c r="O303" t="n">
        <v>0</v>
      </c>
      <c r="P303" t="n">
        <v>0</v>
      </c>
      <c r="Q303" t="n">
        <v>0</v>
      </c>
      <c r="R303" s="2" t="inlineStr"/>
    </row>
    <row r="304" ht="15" customHeight="1">
      <c r="A304" t="inlineStr">
        <is>
          <t>A 38941-2025</t>
        </is>
      </c>
      <c r="B304" s="1" t="n">
        <v>45887</v>
      </c>
      <c r="C304" s="1" t="n">
        <v>46169</v>
      </c>
      <c r="D304" t="inlineStr">
        <is>
          <t>UPPSALA LÄN</t>
        </is>
      </c>
      <c r="E304" t="inlineStr">
        <is>
          <t>ENKÖPING</t>
        </is>
      </c>
      <c r="F304" t="inlineStr">
        <is>
          <t>Övriga statliga verk och myndigheter</t>
        </is>
      </c>
      <c r="G304" t="n">
        <v>0.6</v>
      </c>
      <c r="H304" t="n">
        <v>0</v>
      </c>
      <c r="I304" t="n">
        <v>0</v>
      </c>
      <c r="J304" t="n">
        <v>0</v>
      </c>
      <c r="K304" t="n">
        <v>0</v>
      </c>
      <c r="L304" t="n">
        <v>0</v>
      </c>
      <c r="M304" t="n">
        <v>0</v>
      </c>
      <c r="N304" t="n">
        <v>0</v>
      </c>
      <c r="O304" t="n">
        <v>0</v>
      </c>
      <c r="P304" t="n">
        <v>0</v>
      </c>
      <c r="Q304" t="n">
        <v>0</v>
      </c>
      <c r="R304" s="2" t="inlineStr"/>
    </row>
    <row r="305" ht="15" customHeight="1">
      <c r="A305" t="inlineStr">
        <is>
          <t>A 10465-2022</t>
        </is>
      </c>
      <c r="B305" s="1" t="n">
        <v>44623</v>
      </c>
      <c r="C305" s="1" t="n">
        <v>46169</v>
      </c>
      <c r="D305" t="inlineStr">
        <is>
          <t>UPPSALA LÄN</t>
        </is>
      </c>
      <c r="E305" t="inlineStr">
        <is>
          <t>ENKÖPING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14332-2024</t>
        </is>
      </c>
      <c r="B306" s="1" t="n">
        <v>45393</v>
      </c>
      <c r="C306" s="1" t="n">
        <v>46169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61207-2023</t>
        </is>
      </c>
      <c r="B307" s="1" t="n">
        <v>45264.39444444444</v>
      </c>
      <c r="C307" s="1" t="n">
        <v>46169</v>
      </c>
      <c r="D307" t="inlineStr">
        <is>
          <t>UPPSALA LÄN</t>
        </is>
      </c>
      <c r="E307" t="inlineStr">
        <is>
          <t>ENKÖPING</t>
        </is>
      </c>
      <c r="G307" t="n">
        <v>10.8</v>
      </c>
      <c r="H307" t="n">
        <v>0</v>
      </c>
      <c r="I307" t="n">
        <v>0</v>
      </c>
      <c r="J307" t="n">
        <v>0</v>
      </c>
      <c r="K307" t="n">
        <v>0</v>
      </c>
      <c r="L307" t="n">
        <v>0</v>
      </c>
      <c r="M307" t="n">
        <v>0</v>
      </c>
      <c r="N307" t="n">
        <v>0</v>
      </c>
      <c r="O307" t="n">
        <v>0</v>
      </c>
      <c r="P307" t="n">
        <v>0</v>
      </c>
      <c r="Q307" t="n">
        <v>0</v>
      </c>
      <c r="R307" s="2" t="inlineStr"/>
    </row>
    <row r="308" ht="15" customHeight="1">
      <c r="A308" t="inlineStr">
        <is>
          <t>A 61889-2025</t>
        </is>
      </c>
      <c r="B308" s="1" t="n">
        <v>46003.44765046296</v>
      </c>
      <c r="C308" s="1" t="n">
        <v>46169</v>
      </c>
      <c r="D308" t="inlineStr">
        <is>
          <t>UPPSALA LÄN</t>
        </is>
      </c>
      <c r="E308" t="inlineStr">
        <is>
          <t>ENKÖPING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40812-2022</t>
        </is>
      </c>
      <c r="B309" s="1" t="n">
        <v>44824.68791666667</v>
      </c>
      <c r="C309" s="1" t="n">
        <v>46169</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43691-2024</t>
        </is>
      </c>
      <c r="B310" s="1" t="n">
        <v>45569</v>
      </c>
      <c r="C310" s="1" t="n">
        <v>46169</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62772-2025</t>
        </is>
      </c>
      <c r="B311" s="1" t="n">
        <v>46008.60365740741</v>
      </c>
      <c r="C311" s="1" t="n">
        <v>46169</v>
      </c>
      <c r="D311" t="inlineStr">
        <is>
          <t>UPPSALA LÄN</t>
        </is>
      </c>
      <c r="E311" t="inlineStr">
        <is>
          <t>ENKÖPING</t>
        </is>
      </c>
      <c r="G311" t="n">
        <v>1.1</v>
      </c>
      <c r="H311" t="n">
        <v>0</v>
      </c>
      <c r="I311" t="n">
        <v>0</v>
      </c>
      <c r="J311" t="n">
        <v>0</v>
      </c>
      <c r="K311" t="n">
        <v>0</v>
      </c>
      <c r="L311" t="n">
        <v>0</v>
      </c>
      <c r="M311" t="n">
        <v>0</v>
      </c>
      <c r="N311" t="n">
        <v>0</v>
      </c>
      <c r="O311" t="n">
        <v>0</v>
      </c>
      <c r="P311" t="n">
        <v>0</v>
      </c>
      <c r="Q311" t="n">
        <v>0</v>
      </c>
      <c r="R311" s="2" t="inlineStr"/>
    </row>
    <row r="312" ht="15" customHeight="1">
      <c r="A312" t="inlineStr">
        <is>
          <t>A 25333-2023</t>
        </is>
      </c>
      <c r="B312" s="1" t="n">
        <v>45083</v>
      </c>
      <c r="C312" s="1" t="n">
        <v>46169</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63128-2025</t>
        </is>
      </c>
      <c r="B313" s="1" t="n">
        <v>46009</v>
      </c>
      <c r="C313" s="1" t="n">
        <v>46169</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62600-2025</t>
        </is>
      </c>
      <c r="B314" s="1" t="n">
        <v>46007.92175925926</v>
      </c>
      <c r="C314" s="1" t="n">
        <v>46169</v>
      </c>
      <c r="D314" t="inlineStr">
        <is>
          <t>UPPSALA LÄN</t>
        </is>
      </c>
      <c r="E314" t="inlineStr">
        <is>
          <t>ENKÖPING</t>
        </is>
      </c>
      <c r="G314" t="n">
        <v>2</v>
      </c>
      <c r="H314" t="n">
        <v>0</v>
      </c>
      <c r="I314" t="n">
        <v>0</v>
      </c>
      <c r="J314" t="n">
        <v>0</v>
      </c>
      <c r="K314" t="n">
        <v>0</v>
      </c>
      <c r="L314" t="n">
        <v>0</v>
      </c>
      <c r="M314" t="n">
        <v>0</v>
      </c>
      <c r="N314" t="n">
        <v>0</v>
      </c>
      <c r="O314" t="n">
        <v>0</v>
      </c>
      <c r="P314" t="n">
        <v>0</v>
      </c>
      <c r="Q314" t="n">
        <v>0</v>
      </c>
      <c r="R314" s="2" t="inlineStr"/>
    </row>
    <row r="315" ht="15" customHeight="1">
      <c r="A315" t="inlineStr">
        <is>
          <t>A 62602-2025</t>
        </is>
      </c>
      <c r="B315" s="1" t="n">
        <v>46007.92581018519</v>
      </c>
      <c r="C315" s="1" t="n">
        <v>46169</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3300-2025</t>
        </is>
      </c>
      <c r="B316" s="1" t="n">
        <v>45679</v>
      </c>
      <c r="C316" s="1" t="n">
        <v>46169</v>
      </c>
      <c r="D316" t="inlineStr">
        <is>
          <t>UPPSALA LÄN</t>
        </is>
      </c>
      <c r="E316" t="inlineStr">
        <is>
          <t>ENKÖPING</t>
        </is>
      </c>
      <c r="G316" t="n">
        <v>8.9</v>
      </c>
      <c r="H316" t="n">
        <v>0</v>
      </c>
      <c r="I316" t="n">
        <v>0</v>
      </c>
      <c r="J316" t="n">
        <v>0</v>
      </c>
      <c r="K316" t="n">
        <v>0</v>
      </c>
      <c r="L316" t="n">
        <v>0</v>
      </c>
      <c r="M316" t="n">
        <v>0</v>
      </c>
      <c r="N316" t="n">
        <v>0</v>
      </c>
      <c r="O316" t="n">
        <v>0</v>
      </c>
      <c r="P316" t="n">
        <v>0</v>
      </c>
      <c r="Q316" t="n">
        <v>0</v>
      </c>
      <c r="R316" s="2" t="inlineStr"/>
    </row>
    <row r="317" ht="15" customHeight="1">
      <c r="A317" t="inlineStr">
        <is>
          <t>A 62601-2025</t>
        </is>
      </c>
      <c r="B317" s="1" t="n">
        <v>46007.92395833333</v>
      </c>
      <c r="C317" s="1" t="n">
        <v>46169</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12754-2025</t>
        </is>
      </c>
      <c r="B318" s="1" t="n">
        <v>45733.56331018519</v>
      </c>
      <c r="C318" s="1" t="n">
        <v>46169</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16176-2025</t>
        </is>
      </c>
      <c r="B319" s="1" t="n">
        <v>45750</v>
      </c>
      <c r="C319" s="1" t="n">
        <v>46169</v>
      </c>
      <c r="D319" t="inlineStr">
        <is>
          <t>UPPSALA LÄN</t>
        </is>
      </c>
      <c r="E319" t="inlineStr">
        <is>
          <t>ENKÖPING</t>
        </is>
      </c>
      <c r="G319" t="n">
        <v>3.9</v>
      </c>
      <c r="H319" t="n">
        <v>0</v>
      </c>
      <c r="I319" t="n">
        <v>0</v>
      </c>
      <c r="J319" t="n">
        <v>0</v>
      </c>
      <c r="K319" t="n">
        <v>0</v>
      </c>
      <c r="L319" t="n">
        <v>0</v>
      </c>
      <c r="M319" t="n">
        <v>0</v>
      </c>
      <c r="N319" t="n">
        <v>0</v>
      </c>
      <c r="O319" t="n">
        <v>0</v>
      </c>
      <c r="P319" t="n">
        <v>0</v>
      </c>
      <c r="Q319" t="n">
        <v>0</v>
      </c>
      <c r="R319" s="2" t="inlineStr"/>
    </row>
    <row r="320" ht="15" customHeight="1">
      <c r="A320" t="inlineStr">
        <is>
          <t>A 56713-2024</t>
        </is>
      </c>
      <c r="B320" s="1" t="n">
        <v>45628</v>
      </c>
      <c r="C320" s="1" t="n">
        <v>46169</v>
      </c>
      <c r="D320" t="inlineStr">
        <is>
          <t>UPPSALA LÄN</t>
        </is>
      </c>
      <c r="E320" t="inlineStr">
        <is>
          <t>ENKÖPING</t>
        </is>
      </c>
      <c r="G320" t="n">
        <v>1.7</v>
      </c>
      <c r="H320" t="n">
        <v>0</v>
      </c>
      <c r="I320" t="n">
        <v>0</v>
      </c>
      <c r="J320" t="n">
        <v>0</v>
      </c>
      <c r="K320" t="n">
        <v>0</v>
      </c>
      <c r="L320" t="n">
        <v>0</v>
      </c>
      <c r="M320" t="n">
        <v>0</v>
      </c>
      <c r="N320" t="n">
        <v>0</v>
      </c>
      <c r="O320" t="n">
        <v>0</v>
      </c>
      <c r="P320" t="n">
        <v>0</v>
      </c>
      <c r="Q320" t="n">
        <v>0</v>
      </c>
      <c r="R320" s="2" t="inlineStr"/>
    </row>
    <row r="321" ht="15" customHeight="1">
      <c r="A321" t="inlineStr">
        <is>
          <t>A 37870-2023</t>
        </is>
      </c>
      <c r="B321" s="1" t="n">
        <v>45160.41996527778</v>
      </c>
      <c r="C321" s="1" t="n">
        <v>46169</v>
      </c>
      <c r="D321" t="inlineStr">
        <is>
          <t>UPPSALA LÄN</t>
        </is>
      </c>
      <c r="E321" t="inlineStr">
        <is>
          <t>ENKÖPING</t>
        </is>
      </c>
      <c r="G321" t="n">
        <v>3.5</v>
      </c>
      <c r="H321" t="n">
        <v>0</v>
      </c>
      <c r="I321" t="n">
        <v>0</v>
      </c>
      <c r="J321" t="n">
        <v>0</v>
      </c>
      <c r="K321" t="n">
        <v>0</v>
      </c>
      <c r="L321" t="n">
        <v>0</v>
      </c>
      <c r="M321" t="n">
        <v>0</v>
      </c>
      <c r="N321" t="n">
        <v>0</v>
      </c>
      <c r="O321" t="n">
        <v>0</v>
      </c>
      <c r="P321" t="n">
        <v>0</v>
      </c>
      <c r="Q321" t="n">
        <v>0</v>
      </c>
      <c r="R321" s="2" t="inlineStr"/>
    </row>
    <row r="322" ht="15" customHeight="1">
      <c r="A322" t="inlineStr">
        <is>
          <t>A 22094-2023</t>
        </is>
      </c>
      <c r="B322" s="1" t="n">
        <v>45069</v>
      </c>
      <c r="C322" s="1" t="n">
        <v>46169</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15405-2025</t>
        </is>
      </c>
      <c r="B323" s="1" t="n">
        <v>45747.44670138889</v>
      </c>
      <c r="C323" s="1" t="n">
        <v>46169</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35079-2024</t>
        </is>
      </c>
      <c r="B324" s="1" t="n">
        <v>45527.66770833333</v>
      </c>
      <c r="C324" s="1" t="n">
        <v>46169</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60848-2025</t>
        </is>
      </c>
      <c r="B325" s="1" t="n">
        <v>45999</v>
      </c>
      <c r="C325" s="1" t="n">
        <v>46169</v>
      </c>
      <c r="D325" t="inlineStr">
        <is>
          <t>UPPSALA LÄN</t>
        </is>
      </c>
      <c r="E325" t="inlineStr">
        <is>
          <t>ENKÖPING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33581-2023</t>
        </is>
      </c>
      <c r="B326" s="1" t="n">
        <v>45131</v>
      </c>
      <c r="C326" s="1" t="n">
        <v>46169</v>
      </c>
      <c r="D326" t="inlineStr">
        <is>
          <t>UPPSALA LÄN</t>
        </is>
      </c>
      <c r="E326" t="inlineStr">
        <is>
          <t>ENKÖPING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56163-2021</t>
        </is>
      </c>
      <c r="B327" s="1" t="n">
        <v>44477</v>
      </c>
      <c r="C327" s="1" t="n">
        <v>46169</v>
      </c>
      <c r="D327" t="inlineStr">
        <is>
          <t>UPPSALA LÄN</t>
        </is>
      </c>
      <c r="E327" t="inlineStr">
        <is>
          <t>ENKÖPING</t>
        </is>
      </c>
      <c r="F327" t="inlineStr">
        <is>
          <t>Allmännings- och besparingsskogar</t>
        </is>
      </c>
      <c r="G327" t="n">
        <v>0.6</v>
      </c>
      <c r="H327" t="n">
        <v>0</v>
      </c>
      <c r="I327" t="n">
        <v>0</v>
      </c>
      <c r="J327" t="n">
        <v>0</v>
      </c>
      <c r="K327" t="n">
        <v>0</v>
      </c>
      <c r="L327" t="n">
        <v>0</v>
      </c>
      <c r="M327" t="n">
        <v>0</v>
      </c>
      <c r="N327" t="n">
        <v>0</v>
      </c>
      <c r="O327" t="n">
        <v>0</v>
      </c>
      <c r="P327" t="n">
        <v>0</v>
      </c>
      <c r="Q327" t="n">
        <v>0</v>
      </c>
      <c r="R327" s="2" t="inlineStr"/>
    </row>
    <row r="328" ht="15" customHeight="1">
      <c r="A328" t="inlineStr">
        <is>
          <t>A 47909-2024</t>
        </is>
      </c>
      <c r="B328" s="1" t="n">
        <v>45589.31866898148</v>
      </c>
      <c r="C328" s="1" t="n">
        <v>46169</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192-2026</t>
        </is>
      </c>
      <c r="B329" s="1" t="n">
        <v>46025</v>
      </c>
      <c r="C329" s="1" t="n">
        <v>46169</v>
      </c>
      <c r="D329" t="inlineStr">
        <is>
          <t>UPPSALA LÄN</t>
        </is>
      </c>
      <c r="E329" t="inlineStr">
        <is>
          <t>ENKÖPING</t>
        </is>
      </c>
      <c r="G329" t="n">
        <v>0.8</v>
      </c>
      <c r="H329" t="n">
        <v>0</v>
      </c>
      <c r="I329" t="n">
        <v>0</v>
      </c>
      <c r="J329" t="n">
        <v>0</v>
      </c>
      <c r="K329" t="n">
        <v>0</v>
      </c>
      <c r="L329" t="n">
        <v>0</v>
      </c>
      <c r="M329" t="n">
        <v>0</v>
      </c>
      <c r="N329" t="n">
        <v>0</v>
      </c>
      <c r="O329" t="n">
        <v>0</v>
      </c>
      <c r="P329" t="n">
        <v>0</v>
      </c>
      <c r="Q329" t="n">
        <v>0</v>
      </c>
      <c r="R329" s="2" t="inlineStr"/>
    </row>
    <row r="330" ht="15" customHeight="1">
      <c r="A330" t="inlineStr">
        <is>
          <t>A 51932-2022</t>
        </is>
      </c>
      <c r="B330" s="1" t="n">
        <v>44872</v>
      </c>
      <c r="C330" s="1" t="n">
        <v>46169</v>
      </c>
      <c r="D330" t="inlineStr">
        <is>
          <t>UPPSALA LÄN</t>
        </is>
      </c>
      <c r="E330" t="inlineStr">
        <is>
          <t>ENKÖPING</t>
        </is>
      </c>
      <c r="G330" t="n">
        <v>5.5</v>
      </c>
      <c r="H330" t="n">
        <v>0</v>
      </c>
      <c r="I330" t="n">
        <v>0</v>
      </c>
      <c r="J330" t="n">
        <v>0</v>
      </c>
      <c r="K330" t="n">
        <v>0</v>
      </c>
      <c r="L330" t="n">
        <v>0</v>
      </c>
      <c r="M330" t="n">
        <v>0</v>
      </c>
      <c r="N330" t="n">
        <v>0</v>
      </c>
      <c r="O330" t="n">
        <v>0</v>
      </c>
      <c r="P330" t="n">
        <v>0</v>
      </c>
      <c r="Q330" t="n">
        <v>0</v>
      </c>
      <c r="R330" s="2" t="inlineStr"/>
    </row>
    <row r="331" ht="15" customHeight="1">
      <c r="A331" t="inlineStr">
        <is>
          <t>A 861-2026</t>
        </is>
      </c>
      <c r="B331" s="1" t="n">
        <v>46030</v>
      </c>
      <c r="C331" s="1" t="n">
        <v>46169</v>
      </c>
      <c r="D331" t="inlineStr">
        <is>
          <t>UPPSALA LÄN</t>
        </is>
      </c>
      <c r="E331" t="inlineStr">
        <is>
          <t>ENKÖPING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59497-2022</t>
        </is>
      </c>
      <c r="B332" s="1" t="n">
        <v>44907.48258101852</v>
      </c>
      <c r="C332" s="1" t="n">
        <v>46169</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9041-2023</t>
        </is>
      </c>
      <c r="B333" s="1" t="n">
        <v>44979</v>
      </c>
      <c r="C333" s="1" t="n">
        <v>46169</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12755-2025</t>
        </is>
      </c>
      <c r="B334" s="1" t="n">
        <v>45733.56541666666</v>
      </c>
      <c r="C334" s="1" t="n">
        <v>46169</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59027-2024</t>
        </is>
      </c>
      <c r="B335" s="1" t="n">
        <v>45636.68755787037</v>
      </c>
      <c r="C335" s="1" t="n">
        <v>46169</v>
      </c>
      <c r="D335" t="inlineStr">
        <is>
          <t>UPPSALA LÄN</t>
        </is>
      </c>
      <c r="E335" t="inlineStr">
        <is>
          <t>ENKÖPING</t>
        </is>
      </c>
      <c r="G335" t="n">
        <v>1.1</v>
      </c>
      <c r="H335" t="n">
        <v>0</v>
      </c>
      <c r="I335" t="n">
        <v>0</v>
      </c>
      <c r="J335" t="n">
        <v>0</v>
      </c>
      <c r="K335" t="n">
        <v>0</v>
      </c>
      <c r="L335" t="n">
        <v>0</v>
      </c>
      <c r="M335" t="n">
        <v>0</v>
      </c>
      <c r="N335" t="n">
        <v>0</v>
      </c>
      <c r="O335" t="n">
        <v>0</v>
      </c>
      <c r="P335" t="n">
        <v>0</v>
      </c>
      <c r="Q335" t="n">
        <v>0</v>
      </c>
      <c r="R335" s="2" t="inlineStr"/>
    </row>
    <row r="336" ht="15" customHeight="1">
      <c r="A336" t="inlineStr">
        <is>
          <t>A 53587-2024</t>
        </is>
      </c>
      <c r="B336" s="1" t="n">
        <v>45614.66953703704</v>
      </c>
      <c r="C336" s="1" t="n">
        <v>46169</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11503-2024</t>
        </is>
      </c>
      <c r="B337" s="1" t="n">
        <v>45372.68020833333</v>
      </c>
      <c r="C337" s="1" t="n">
        <v>46169</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39115-2024</t>
        </is>
      </c>
      <c r="B338" s="1" t="n">
        <v>45548</v>
      </c>
      <c r="C338" s="1" t="n">
        <v>46169</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25334-2023</t>
        </is>
      </c>
      <c r="B339" s="1" t="n">
        <v>45083</v>
      </c>
      <c r="C339" s="1" t="n">
        <v>46169</v>
      </c>
      <c r="D339" t="inlineStr">
        <is>
          <t>UPPSALA LÄN</t>
        </is>
      </c>
      <c r="E339" t="inlineStr">
        <is>
          <t>ENKÖPING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2258-2026</t>
        </is>
      </c>
      <c r="B340" s="1" t="n">
        <v>46036</v>
      </c>
      <c r="C340" s="1" t="n">
        <v>46169</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56837-2024</t>
        </is>
      </c>
      <c r="B341" s="1" t="n">
        <v>45628</v>
      </c>
      <c r="C341" s="1" t="n">
        <v>46169</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2218-2026</t>
        </is>
      </c>
      <c r="B342" s="1" t="n">
        <v>46036.50010416667</v>
      </c>
      <c r="C342" s="1" t="n">
        <v>46169</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18821-2023</t>
        </is>
      </c>
      <c r="B343" s="1" t="n">
        <v>45044.3782175926</v>
      </c>
      <c r="C343" s="1" t="n">
        <v>46169</v>
      </c>
      <c r="D343" t="inlineStr">
        <is>
          <t>UPPSALA LÄN</t>
        </is>
      </c>
      <c r="E343" t="inlineStr">
        <is>
          <t>ENKÖPING</t>
        </is>
      </c>
      <c r="G343" t="n">
        <v>6</v>
      </c>
      <c r="H343" t="n">
        <v>0</v>
      </c>
      <c r="I343" t="n">
        <v>0</v>
      </c>
      <c r="J343" t="n">
        <v>0</v>
      </c>
      <c r="K343" t="n">
        <v>0</v>
      </c>
      <c r="L343" t="n">
        <v>0</v>
      </c>
      <c r="M343" t="n">
        <v>0</v>
      </c>
      <c r="N343" t="n">
        <v>0</v>
      </c>
      <c r="O343" t="n">
        <v>0</v>
      </c>
      <c r="P343" t="n">
        <v>0</v>
      </c>
      <c r="Q343" t="n">
        <v>0</v>
      </c>
      <c r="R343" s="2" t="inlineStr"/>
    </row>
    <row r="344" ht="15" customHeight="1">
      <c r="A344" t="inlineStr">
        <is>
          <t>A 57335-2024</t>
        </is>
      </c>
      <c r="B344" s="1" t="n">
        <v>45629.63302083333</v>
      </c>
      <c r="C344" s="1" t="n">
        <v>46169</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57835-2024</t>
        </is>
      </c>
      <c r="B345" s="1" t="n">
        <v>45631.39947916667</v>
      </c>
      <c r="C345" s="1" t="n">
        <v>46169</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53208-2023</t>
        </is>
      </c>
      <c r="B346" s="1" t="n">
        <v>45226</v>
      </c>
      <c r="C346" s="1" t="n">
        <v>46169</v>
      </c>
      <c r="D346" t="inlineStr">
        <is>
          <t>UPPSALA LÄN</t>
        </is>
      </c>
      <c r="E346" t="inlineStr">
        <is>
          <t>ENKÖPING</t>
        </is>
      </c>
      <c r="G346" t="n">
        <v>4.3</v>
      </c>
      <c r="H346" t="n">
        <v>0</v>
      </c>
      <c r="I346" t="n">
        <v>0</v>
      </c>
      <c r="J346" t="n">
        <v>0</v>
      </c>
      <c r="K346" t="n">
        <v>0</v>
      </c>
      <c r="L346" t="n">
        <v>0</v>
      </c>
      <c r="M346" t="n">
        <v>0</v>
      </c>
      <c r="N346" t="n">
        <v>0</v>
      </c>
      <c r="O346" t="n">
        <v>0</v>
      </c>
      <c r="P346" t="n">
        <v>0</v>
      </c>
      <c r="Q346" t="n">
        <v>0</v>
      </c>
      <c r="R346" s="2" t="inlineStr"/>
    </row>
    <row r="347" ht="15" customHeight="1">
      <c r="A347" t="inlineStr">
        <is>
          <t>A 19013-2025</t>
        </is>
      </c>
      <c r="B347" s="1" t="n">
        <v>45764.59533564815</v>
      </c>
      <c r="C347" s="1" t="n">
        <v>46169</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5104-2026</t>
        </is>
      </c>
      <c r="B348" s="1" t="n">
        <v>46049.56914351852</v>
      </c>
      <c r="C348" s="1" t="n">
        <v>46169</v>
      </c>
      <c r="D348" t="inlineStr">
        <is>
          <t>UPPSALA LÄN</t>
        </is>
      </c>
      <c r="E348" t="inlineStr">
        <is>
          <t>ENKÖPING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2164-2023</t>
        </is>
      </c>
      <c r="B349" s="1" t="n">
        <v>44941</v>
      </c>
      <c r="C349" s="1" t="n">
        <v>46169</v>
      </c>
      <c r="D349" t="inlineStr">
        <is>
          <t>UPPSALA LÄN</t>
        </is>
      </c>
      <c r="E349" t="inlineStr">
        <is>
          <t>ENKÖPING</t>
        </is>
      </c>
      <c r="G349" t="n">
        <v>2.5</v>
      </c>
      <c r="H349" t="n">
        <v>0</v>
      </c>
      <c r="I349" t="n">
        <v>0</v>
      </c>
      <c r="J349" t="n">
        <v>0</v>
      </c>
      <c r="K349" t="n">
        <v>0</v>
      </c>
      <c r="L349" t="n">
        <v>0</v>
      </c>
      <c r="M349" t="n">
        <v>0</v>
      </c>
      <c r="N349" t="n">
        <v>0</v>
      </c>
      <c r="O349" t="n">
        <v>0</v>
      </c>
      <c r="P349" t="n">
        <v>0</v>
      </c>
      <c r="Q349" t="n">
        <v>0</v>
      </c>
      <c r="R349" s="2" t="inlineStr"/>
    </row>
    <row r="350" ht="15" customHeight="1">
      <c r="A350" t="inlineStr">
        <is>
          <t>A 5569-2026</t>
        </is>
      </c>
      <c r="B350" s="1" t="n">
        <v>46050.89431712963</v>
      </c>
      <c r="C350" s="1" t="n">
        <v>46169</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61952-2021</t>
        </is>
      </c>
      <c r="B351" s="1" t="n">
        <v>44502</v>
      </c>
      <c r="C351" s="1" t="n">
        <v>46169</v>
      </c>
      <c r="D351" t="inlineStr">
        <is>
          <t>UPPSALA LÄN</t>
        </is>
      </c>
      <c r="E351" t="inlineStr">
        <is>
          <t>ENKÖPING</t>
        </is>
      </c>
      <c r="G351" t="n">
        <v>2.3</v>
      </c>
      <c r="H351" t="n">
        <v>0</v>
      </c>
      <c r="I351" t="n">
        <v>0</v>
      </c>
      <c r="J351" t="n">
        <v>0</v>
      </c>
      <c r="K351" t="n">
        <v>0</v>
      </c>
      <c r="L351" t="n">
        <v>0</v>
      </c>
      <c r="M351" t="n">
        <v>0</v>
      </c>
      <c r="N351" t="n">
        <v>0</v>
      </c>
      <c r="O351" t="n">
        <v>0</v>
      </c>
      <c r="P351" t="n">
        <v>0</v>
      </c>
      <c r="Q351" t="n">
        <v>0</v>
      </c>
      <c r="R351" s="2" t="inlineStr"/>
    </row>
    <row r="352" ht="15" customHeight="1">
      <c r="A352" t="inlineStr">
        <is>
          <t>A 14083-2025</t>
        </is>
      </c>
      <c r="B352" s="1" t="n">
        <v>45740</v>
      </c>
      <c r="C352" s="1" t="n">
        <v>46169</v>
      </c>
      <c r="D352" t="inlineStr">
        <is>
          <t>UPPSALA LÄN</t>
        </is>
      </c>
      <c r="E352" t="inlineStr">
        <is>
          <t>ENKÖPING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69879-2021</t>
        </is>
      </c>
      <c r="B353" s="1" t="n">
        <v>44532</v>
      </c>
      <c r="C353" s="1" t="n">
        <v>46169</v>
      </c>
      <c r="D353" t="inlineStr">
        <is>
          <t>UPPSALA LÄN</t>
        </is>
      </c>
      <c r="E353" t="inlineStr">
        <is>
          <t>ENKÖPING</t>
        </is>
      </c>
      <c r="G353" t="n">
        <v>4.2</v>
      </c>
      <c r="H353" t="n">
        <v>0</v>
      </c>
      <c r="I353" t="n">
        <v>0</v>
      </c>
      <c r="J353" t="n">
        <v>0</v>
      </c>
      <c r="K353" t="n">
        <v>0</v>
      </c>
      <c r="L353" t="n">
        <v>0</v>
      </c>
      <c r="M353" t="n">
        <v>0</v>
      </c>
      <c r="N353" t="n">
        <v>0</v>
      </c>
      <c r="O353" t="n">
        <v>0</v>
      </c>
      <c r="P353" t="n">
        <v>0</v>
      </c>
      <c r="Q353" t="n">
        <v>0</v>
      </c>
      <c r="R353" s="2" t="inlineStr"/>
    </row>
    <row r="354" ht="15" customHeight="1">
      <c r="A354" t="inlineStr">
        <is>
          <t>A 5948-2026</t>
        </is>
      </c>
      <c r="B354" s="1" t="n">
        <v>46052</v>
      </c>
      <c r="C354" s="1" t="n">
        <v>46169</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6031-2026</t>
        </is>
      </c>
      <c r="B355" s="1" t="n">
        <v>46052.61201388889</v>
      </c>
      <c r="C355" s="1" t="n">
        <v>46169</v>
      </c>
      <c r="D355" t="inlineStr">
        <is>
          <t>UPPSALA LÄN</t>
        </is>
      </c>
      <c r="E355" t="inlineStr">
        <is>
          <t>ENKÖPING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6047-2026</t>
        </is>
      </c>
      <c r="B356" s="1" t="n">
        <v>46052.62738425926</v>
      </c>
      <c r="C356" s="1" t="n">
        <v>46169</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7008-2026</t>
        </is>
      </c>
      <c r="B357" s="1" t="n">
        <v>46057.63806712963</v>
      </c>
      <c r="C357" s="1" t="n">
        <v>46169</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15757-2023</t>
        </is>
      </c>
      <c r="B358" s="1" t="n">
        <v>45021</v>
      </c>
      <c r="C358" s="1" t="n">
        <v>46169</v>
      </c>
      <c r="D358" t="inlineStr">
        <is>
          <t>UPPSALA LÄN</t>
        </is>
      </c>
      <c r="E358" t="inlineStr">
        <is>
          <t>ENKÖPING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7003-2026</t>
        </is>
      </c>
      <c r="B359" s="1" t="n">
        <v>46057.63243055555</v>
      </c>
      <c r="C359" s="1" t="n">
        <v>46169</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2161-2023</t>
        </is>
      </c>
      <c r="B360" s="1" t="n">
        <v>44941</v>
      </c>
      <c r="C360" s="1" t="n">
        <v>46169</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2165-2023</t>
        </is>
      </c>
      <c r="B361" s="1" t="n">
        <v>44941</v>
      </c>
      <c r="C361" s="1" t="n">
        <v>46169</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20112-2024</t>
        </is>
      </c>
      <c r="B362" s="1" t="n">
        <v>45434</v>
      </c>
      <c r="C362" s="1" t="n">
        <v>46169</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2162-2023</t>
        </is>
      </c>
      <c r="B363" s="1" t="n">
        <v>44941</v>
      </c>
      <c r="C363" s="1" t="n">
        <v>46169</v>
      </c>
      <c r="D363" t="inlineStr">
        <is>
          <t>UPPSALA LÄN</t>
        </is>
      </c>
      <c r="E363" t="inlineStr">
        <is>
          <t>ENKÖPING</t>
        </is>
      </c>
      <c r="G363" t="n">
        <v>2.4</v>
      </c>
      <c r="H363" t="n">
        <v>0</v>
      </c>
      <c r="I363" t="n">
        <v>0</v>
      </c>
      <c r="J363" t="n">
        <v>0</v>
      </c>
      <c r="K363" t="n">
        <v>0</v>
      </c>
      <c r="L363" t="n">
        <v>0</v>
      </c>
      <c r="M363" t="n">
        <v>0</v>
      </c>
      <c r="N363" t="n">
        <v>0</v>
      </c>
      <c r="O363" t="n">
        <v>0</v>
      </c>
      <c r="P363" t="n">
        <v>0</v>
      </c>
      <c r="Q363" t="n">
        <v>0</v>
      </c>
      <c r="R363" s="2" t="inlineStr"/>
    </row>
    <row r="364" ht="15" customHeight="1">
      <c r="A364" t="inlineStr">
        <is>
          <t>A 32081-2024</t>
        </is>
      </c>
      <c r="B364" s="1" t="n">
        <v>45511.34605324074</v>
      </c>
      <c r="C364" s="1" t="n">
        <v>46169</v>
      </c>
      <c r="D364" t="inlineStr">
        <is>
          <t>UPPSALA LÄN</t>
        </is>
      </c>
      <c r="E364" t="inlineStr">
        <is>
          <t>ENKÖPING</t>
        </is>
      </c>
      <c r="G364" t="n">
        <v>5.4</v>
      </c>
      <c r="H364" t="n">
        <v>0</v>
      </c>
      <c r="I364" t="n">
        <v>0</v>
      </c>
      <c r="J364" t="n">
        <v>0</v>
      </c>
      <c r="K364" t="n">
        <v>0</v>
      </c>
      <c r="L364" t="n">
        <v>0</v>
      </c>
      <c r="M364" t="n">
        <v>0</v>
      </c>
      <c r="N364" t="n">
        <v>0</v>
      </c>
      <c r="O364" t="n">
        <v>0</v>
      </c>
      <c r="P364" t="n">
        <v>0</v>
      </c>
      <c r="Q364" t="n">
        <v>0</v>
      </c>
      <c r="R364" s="2" t="inlineStr"/>
    </row>
    <row r="365" ht="15" customHeight="1">
      <c r="A365" t="inlineStr">
        <is>
          <t>A 8309-2026</t>
        </is>
      </c>
      <c r="B365" s="1" t="n">
        <v>46064.59081018518</v>
      </c>
      <c r="C365" s="1" t="n">
        <v>46169</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2968-2025</t>
        </is>
      </c>
      <c r="B366" s="1" t="n">
        <v>45678</v>
      </c>
      <c r="C366" s="1" t="n">
        <v>46169</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49525-2021</t>
        </is>
      </c>
      <c r="B367" s="1" t="n">
        <v>44455</v>
      </c>
      <c r="C367" s="1" t="n">
        <v>46169</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6959-2025</t>
        </is>
      </c>
      <c r="B368" s="1" t="n">
        <v>45701.49315972222</v>
      </c>
      <c r="C368" s="1" t="n">
        <v>46169</v>
      </c>
      <c r="D368" t="inlineStr">
        <is>
          <t>UPPSALA LÄN</t>
        </is>
      </c>
      <c r="E368" t="inlineStr">
        <is>
          <t>ENKÖPING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30437-2022</t>
        </is>
      </c>
      <c r="B369" s="1" t="n">
        <v>44761</v>
      </c>
      <c r="C369" s="1" t="n">
        <v>46169</v>
      </c>
      <c r="D369" t="inlineStr">
        <is>
          <t>UPPSALA LÄN</t>
        </is>
      </c>
      <c r="E369" t="inlineStr">
        <is>
          <t>ENKÖPING</t>
        </is>
      </c>
      <c r="G369" t="n">
        <v>3.4</v>
      </c>
      <c r="H369" t="n">
        <v>0</v>
      </c>
      <c r="I369" t="n">
        <v>0</v>
      </c>
      <c r="J369" t="n">
        <v>0</v>
      </c>
      <c r="K369" t="n">
        <v>0</v>
      </c>
      <c r="L369" t="n">
        <v>0</v>
      </c>
      <c r="M369" t="n">
        <v>0</v>
      </c>
      <c r="N369" t="n">
        <v>0</v>
      </c>
      <c r="O369" t="n">
        <v>0</v>
      </c>
      <c r="P369" t="n">
        <v>0</v>
      </c>
      <c r="Q369" t="n">
        <v>0</v>
      </c>
      <c r="R369" s="2" t="inlineStr"/>
    </row>
    <row r="370" ht="15" customHeight="1">
      <c r="A370" t="inlineStr">
        <is>
          <t>A 51011-2024</t>
        </is>
      </c>
      <c r="B370" s="1" t="n">
        <v>45603.39427083333</v>
      </c>
      <c r="C370" s="1" t="n">
        <v>46169</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26319-2022</t>
        </is>
      </c>
      <c r="B371" s="1" t="n">
        <v>44735</v>
      </c>
      <c r="C371" s="1" t="n">
        <v>46169</v>
      </c>
      <c r="D371" t="inlineStr">
        <is>
          <t>UPPSALA LÄN</t>
        </is>
      </c>
      <c r="E371" t="inlineStr">
        <is>
          <t>ENKÖPING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29918-2023</t>
        </is>
      </c>
      <c r="B372" s="1" t="n">
        <v>45099</v>
      </c>
      <c r="C372" s="1" t="n">
        <v>46169</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9474-2026</t>
        </is>
      </c>
      <c r="B373" s="1" t="n">
        <v>46071.52324074074</v>
      </c>
      <c r="C373" s="1" t="n">
        <v>46169</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9467-2026</t>
        </is>
      </c>
      <c r="B374" s="1" t="n">
        <v>46071.50694444445</v>
      </c>
      <c r="C374" s="1" t="n">
        <v>46169</v>
      </c>
      <c r="D374" t="inlineStr">
        <is>
          <t>UPPSALA LÄN</t>
        </is>
      </c>
      <c r="E374" t="inlineStr">
        <is>
          <t>ENKÖPING</t>
        </is>
      </c>
      <c r="G374" t="n">
        <v>5.9</v>
      </c>
      <c r="H374" t="n">
        <v>0</v>
      </c>
      <c r="I374" t="n">
        <v>0</v>
      </c>
      <c r="J374" t="n">
        <v>0</v>
      </c>
      <c r="K374" t="n">
        <v>0</v>
      </c>
      <c r="L374" t="n">
        <v>0</v>
      </c>
      <c r="M374" t="n">
        <v>0</v>
      </c>
      <c r="N374" t="n">
        <v>0</v>
      </c>
      <c r="O374" t="n">
        <v>0</v>
      </c>
      <c r="P374" t="n">
        <v>0</v>
      </c>
      <c r="Q374" t="n">
        <v>0</v>
      </c>
      <c r="R374" s="2" t="inlineStr"/>
    </row>
    <row r="375" ht="15" customHeight="1">
      <c r="A375" t="inlineStr">
        <is>
          <t>A 24291-2024</t>
        </is>
      </c>
      <c r="B375" s="1" t="n">
        <v>45457.4584837963</v>
      </c>
      <c r="C375" s="1" t="n">
        <v>46169</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9469-2026</t>
        </is>
      </c>
      <c r="B376" s="1" t="n">
        <v>46071.51248842593</v>
      </c>
      <c r="C376" s="1" t="n">
        <v>46169</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9148-2026</t>
        </is>
      </c>
      <c r="B377" s="1" t="n">
        <v>46070.30946759259</v>
      </c>
      <c r="C377" s="1" t="n">
        <v>46169</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60125-2024</t>
        </is>
      </c>
      <c r="B378" s="1" t="n">
        <v>45642</v>
      </c>
      <c r="C378" s="1" t="n">
        <v>46169</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2833-2025</t>
        </is>
      </c>
      <c r="B379" s="1" t="n">
        <v>45677.63206018518</v>
      </c>
      <c r="C379" s="1" t="n">
        <v>46169</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50006-2023</t>
        </is>
      </c>
      <c r="B380" s="1" t="n">
        <v>45215</v>
      </c>
      <c r="C380" s="1" t="n">
        <v>46169</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56526-2022</t>
        </is>
      </c>
      <c r="B381" s="1" t="n">
        <v>44893</v>
      </c>
      <c r="C381" s="1" t="n">
        <v>46169</v>
      </c>
      <c r="D381" t="inlineStr">
        <is>
          <t>UPPSALA LÄN</t>
        </is>
      </c>
      <c r="E381" t="inlineStr">
        <is>
          <t>ENKÖPING</t>
        </is>
      </c>
      <c r="G381" t="n">
        <v>3.8</v>
      </c>
      <c r="H381" t="n">
        <v>0</v>
      </c>
      <c r="I381" t="n">
        <v>0</v>
      </c>
      <c r="J381" t="n">
        <v>0</v>
      </c>
      <c r="K381" t="n">
        <v>0</v>
      </c>
      <c r="L381" t="n">
        <v>0</v>
      </c>
      <c r="M381" t="n">
        <v>0</v>
      </c>
      <c r="N381" t="n">
        <v>0</v>
      </c>
      <c r="O381" t="n">
        <v>0</v>
      </c>
      <c r="P381" t="n">
        <v>0</v>
      </c>
      <c r="Q381" t="n">
        <v>0</v>
      </c>
      <c r="R381" s="2" t="inlineStr"/>
    </row>
    <row r="382" ht="15" customHeight="1">
      <c r="A382" t="inlineStr">
        <is>
          <t>A 39858-2024</t>
        </is>
      </c>
      <c r="B382" s="1" t="n">
        <v>45553</v>
      </c>
      <c r="C382" s="1" t="n">
        <v>46169</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60289-2022</t>
        </is>
      </c>
      <c r="B383" s="1" t="n">
        <v>44910.53026620371</v>
      </c>
      <c r="C383" s="1" t="n">
        <v>46169</v>
      </c>
      <c r="D383" t="inlineStr">
        <is>
          <t>UPPSALA LÄN</t>
        </is>
      </c>
      <c r="E383" t="inlineStr">
        <is>
          <t>ENKÖPING</t>
        </is>
      </c>
      <c r="G383" t="n">
        <v>3.2</v>
      </c>
      <c r="H383" t="n">
        <v>0</v>
      </c>
      <c r="I383" t="n">
        <v>0</v>
      </c>
      <c r="J383" t="n">
        <v>0</v>
      </c>
      <c r="K383" t="n">
        <v>0</v>
      </c>
      <c r="L383" t="n">
        <v>0</v>
      </c>
      <c r="M383" t="n">
        <v>0</v>
      </c>
      <c r="N383" t="n">
        <v>0</v>
      </c>
      <c r="O383" t="n">
        <v>0</v>
      </c>
      <c r="P383" t="n">
        <v>0</v>
      </c>
      <c r="Q383" t="n">
        <v>0</v>
      </c>
      <c r="R383" s="2" t="inlineStr"/>
    </row>
    <row r="384" ht="15" customHeight="1">
      <c r="A384" t="inlineStr">
        <is>
          <t>A 13110-2023</t>
        </is>
      </c>
      <c r="B384" s="1" t="n">
        <v>45001</v>
      </c>
      <c r="C384" s="1" t="n">
        <v>46169</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58384-2022</t>
        </is>
      </c>
      <c r="B385" s="1" t="n">
        <v>44901</v>
      </c>
      <c r="C385" s="1" t="n">
        <v>46169</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18643-2026</t>
        </is>
      </c>
      <c r="B386" s="1" t="n">
        <v>46128.33024305556</v>
      </c>
      <c r="C386" s="1" t="n">
        <v>46169</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59602-2022</t>
        </is>
      </c>
      <c r="B387" s="1" t="n">
        <v>44907.72241898148</v>
      </c>
      <c r="C387" s="1" t="n">
        <v>46169</v>
      </c>
      <c r="D387" t="inlineStr">
        <is>
          <t>UPPSALA LÄN</t>
        </is>
      </c>
      <c r="E387" t="inlineStr">
        <is>
          <t>ENKÖPING</t>
        </is>
      </c>
      <c r="G387" t="n">
        <v>14.2</v>
      </c>
      <c r="H387" t="n">
        <v>0</v>
      </c>
      <c r="I387" t="n">
        <v>0</v>
      </c>
      <c r="J387" t="n">
        <v>0</v>
      </c>
      <c r="K387" t="n">
        <v>0</v>
      </c>
      <c r="L387" t="n">
        <v>0</v>
      </c>
      <c r="M387" t="n">
        <v>0</v>
      </c>
      <c r="N387" t="n">
        <v>0</v>
      </c>
      <c r="O387" t="n">
        <v>0</v>
      </c>
      <c r="P387" t="n">
        <v>0</v>
      </c>
      <c r="Q387" t="n">
        <v>0</v>
      </c>
      <c r="R387" s="2" t="inlineStr"/>
    </row>
    <row r="388" ht="15" customHeight="1">
      <c r="A388" t="inlineStr">
        <is>
          <t>A 31965-2021</t>
        </is>
      </c>
      <c r="B388" s="1" t="n">
        <v>44370.56901620371</v>
      </c>
      <c r="C388" s="1" t="n">
        <v>46169</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67984-2021</t>
        </is>
      </c>
      <c r="B389" s="1" t="n">
        <v>44525.70237268518</v>
      </c>
      <c r="C389" s="1" t="n">
        <v>46169</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18806-2026</t>
        </is>
      </c>
      <c r="B390" s="1" t="n">
        <v>46128.63238425926</v>
      </c>
      <c r="C390" s="1" t="n">
        <v>46169</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18565-2026</t>
        </is>
      </c>
      <c r="B391" s="1" t="n">
        <v>46127.5871412037</v>
      </c>
      <c r="C391" s="1" t="n">
        <v>46169</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33619-2022</t>
        </is>
      </c>
      <c r="B392" s="1" t="n">
        <v>44789</v>
      </c>
      <c r="C392" s="1" t="n">
        <v>46169</v>
      </c>
      <c r="D392" t="inlineStr">
        <is>
          <t>UPPSALA LÄN</t>
        </is>
      </c>
      <c r="E392" t="inlineStr">
        <is>
          <t>ENKÖPING</t>
        </is>
      </c>
      <c r="F392" t="inlineStr">
        <is>
          <t>Allmännings- och besparingsskogar</t>
        </is>
      </c>
      <c r="G392" t="n">
        <v>4.5</v>
      </c>
      <c r="H392" t="n">
        <v>0</v>
      </c>
      <c r="I392" t="n">
        <v>0</v>
      </c>
      <c r="J392" t="n">
        <v>0</v>
      </c>
      <c r="K392" t="n">
        <v>0</v>
      </c>
      <c r="L392" t="n">
        <v>0</v>
      </c>
      <c r="M392" t="n">
        <v>0</v>
      </c>
      <c r="N392" t="n">
        <v>0</v>
      </c>
      <c r="O392" t="n">
        <v>0</v>
      </c>
      <c r="P392" t="n">
        <v>0</v>
      </c>
      <c r="Q392" t="n">
        <v>0</v>
      </c>
      <c r="R392" s="2" t="inlineStr"/>
    </row>
    <row r="393" ht="15" customHeight="1">
      <c r="A393" t="inlineStr">
        <is>
          <t>A 18644-2026</t>
        </is>
      </c>
      <c r="B393" s="1" t="n">
        <v>46128.33157407407</v>
      </c>
      <c r="C393" s="1" t="n">
        <v>46169</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10829-2024</t>
        </is>
      </c>
      <c r="B394" s="1" t="n">
        <v>45369</v>
      </c>
      <c r="C394" s="1" t="n">
        <v>46169</v>
      </c>
      <c r="D394" t="inlineStr">
        <is>
          <t>UPPSALA LÄN</t>
        </is>
      </c>
      <c r="E394" t="inlineStr">
        <is>
          <t>ENKÖPING</t>
        </is>
      </c>
      <c r="G394" t="n">
        <v>2.1</v>
      </c>
      <c r="H394" t="n">
        <v>0</v>
      </c>
      <c r="I394" t="n">
        <v>0</v>
      </c>
      <c r="J394" t="n">
        <v>0</v>
      </c>
      <c r="K394" t="n">
        <v>0</v>
      </c>
      <c r="L394" t="n">
        <v>0</v>
      </c>
      <c r="M394" t="n">
        <v>0</v>
      </c>
      <c r="N394" t="n">
        <v>0</v>
      </c>
      <c r="O394" t="n">
        <v>0</v>
      </c>
      <c r="P394" t="n">
        <v>0</v>
      </c>
      <c r="Q394" t="n">
        <v>0</v>
      </c>
      <c r="R394" s="2" t="inlineStr"/>
    </row>
    <row r="395" ht="15" customHeight="1">
      <c r="A395" t="inlineStr">
        <is>
          <t>A 12411-2026</t>
        </is>
      </c>
      <c r="B395" s="1" t="n">
        <v>46090.42670138889</v>
      </c>
      <c r="C395" s="1" t="n">
        <v>46169</v>
      </c>
      <c r="D395" t="inlineStr">
        <is>
          <t>UPPSALA LÄN</t>
        </is>
      </c>
      <c r="E395" t="inlineStr">
        <is>
          <t>ENKÖPING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67982-2021</t>
        </is>
      </c>
      <c r="B396" s="1" t="n">
        <v>44525</v>
      </c>
      <c r="C396" s="1" t="n">
        <v>46169</v>
      </c>
      <c r="D396" t="inlineStr">
        <is>
          <t>UPPSALA LÄN</t>
        </is>
      </c>
      <c r="E396" t="inlineStr">
        <is>
          <t>ENKÖPING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51034-2024</t>
        </is>
      </c>
      <c r="B397" s="1" t="n">
        <v>45603.4262037037</v>
      </c>
      <c r="C397" s="1" t="n">
        <v>46169</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51036-2024</t>
        </is>
      </c>
      <c r="B398" s="1" t="n">
        <v>45603.42839120371</v>
      </c>
      <c r="C398" s="1" t="n">
        <v>46169</v>
      </c>
      <c r="D398" t="inlineStr">
        <is>
          <t>UPPSALA LÄN</t>
        </is>
      </c>
      <c r="E398" t="inlineStr">
        <is>
          <t>ENKÖPING</t>
        </is>
      </c>
      <c r="G398" t="n">
        <v>2.6</v>
      </c>
      <c r="H398" t="n">
        <v>0</v>
      </c>
      <c r="I398" t="n">
        <v>0</v>
      </c>
      <c r="J398" t="n">
        <v>0</v>
      </c>
      <c r="K398" t="n">
        <v>0</v>
      </c>
      <c r="L398" t="n">
        <v>0</v>
      </c>
      <c r="M398" t="n">
        <v>0</v>
      </c>
      <c r="N398" t="n">
        <v>0</v>
      </c>
      <c r="O398" t="n">
        <v>0</v>
      </c>
      <c r="P398" t="n">
        <v>0</v>
      </c>
      <c r="Q398" t="n">
        <v>0</v>
      </c>
      <c r="R398" s="2" t="inlineStr"/>
    </row>
    <row r="399" ht="15" customHeight="1">
      <c r="A399" t="inlineStr">
        <is>
          <t>A 18562-2026</t>
        </is>
      </c>
      <c r="B399" s="1" t="n">
        <v>46127</v>
      </c>
      <c r="C399" s="1" t="n">
        <v>46169</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46169</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5953-2026</t>
        </is>
      </c>
      <c r="B401" s="1" t="n">
        <v>46052.49119212963</v>
      </c>
      <c r="C401" s="1" t="n">
        <v>46169</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7168-2026</t>
        </is>
      </c>
      <c r="B402" s="1" t="n">
        <v>46058.45831018518</v>
      </c>
      <c r="C402" s="1" t="n">
        <v>46169</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7172-2026</t>
        </is>
      </c>
      <c r="B403" s="1" t="n">
        <v>46058.46113425926</v>
      </c>
      <c r="C403" s="1" t="n">
        <v>46169</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11005-2023</t>
        </is>
      </c>
      <c r="B404" s="1" t="n">
        <v>44991</v>
      </c>
      <c r="C404" s="1" t="n">
        <v>46169</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7167-2026</t>
        </is>
      </c>
      <c r="B405" s="1" t="n">
        <v>46058.45677083333</v>
      </c>
      <c r="C405" s="1" t="n">
        <v>46169</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12996-2026</t>
        </is>
      </c>
      <c r="B406" s="1" t="n">
        <v>46092.68149305556</v>
      </c>
      <c r="C406" s="1" t="n">
        <v>46169</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57142-2021</t>
        </is>
      </c>
      <c r="B407" s="1" t="n">
        <v>44482</v>
      </c>
      <c r="C407" s="1" t="n">
        <v>46169</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57147-2021</t>
        </is>
      </c>
      <c r="B408" s="1" t="n">
        <v>44482</v>
      </c>
      <c r="C408" s="1" t="n">
        <v>46169</v>
      </c>
      <c r="D408" t="inlineStr">
        <is>
          <t>UPPSALA LÄN</t>
        </is>
      </c>
      <c r="E408" t="inlineStr">
        <is>
          <t>ENKÖPING</t>
        </is>
      </c>
      <c r="G408" t="n">
        <v>5.7</v>
      </c>
      <c r="H408" t="n">
        <v>0</v>
      </c>
      <c r="I408" t="n">
        <v>0</v>
      </c>
      <c r="J408" t="n">
        <v>0</v>
      </c>
      <c r="K408" t="n">
        <v>0</v>
      </c>
      <c r="L408" t="n">
        <v>0</v>
      </c>
      <c r="M408" t="n">
        <v>0</v>
      </c>
      <c r="N408" t="n">
        <v>0</v>
      </c>
      <c r="O408" t="n">
        <v>0</v>
      </c>
      <c r="P408" t="n">
        <v>0</v>
      </c>
      <c r="Q408" t="n">
        <v>0</v>
      </c>
      <c r="R408" s="2" t="inlineStr"/>
    </row>
    <row r="409" ht="15" customHeight="1">
      <c r="A409" t="inlineStr">
        <is>
          <t>A 7868-2024</t>
        </is>
      </c>
      <c r="B409" s="1" t="n">
        <v>45350.33020833333</v>
      </c>
      <c r="C409" s="1" t="n">
        <v>46169</v>
      </c>
      <c r="D409" t="inlineStr">
        <is>
          <t>UPPSALA LÄN</t>
        </is>
      </c>
      <c r="E409" t="inlineStr">
        <is>
          <t>ENKÖPING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7870-2024</t>
        </is>
      </c>
      <c r="B410" s="1" t="n">
        <v>45350.33349537037</v>
      </c>
      <c r="C410" s="1" t="n">
        <v>46169</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12997-2026</t>
        </is>
      </c>
      <c r="B411" s="1" t="n">
        <v>46092.6834375</v>
      </c>
      <c r="C411" s="1" t="n">
        <v>46169</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9231-2023</t>
        </is>
      </c>
      <c r="B412" s="1" t="n">
        <v>44980</v>
      </c>
      <c r="C412" s="1" t="n">
        <v>46169</v>
      </c>
      <c r="D412" t="inlineStr">
        <is>
          <t>UPPSALA LÄN</t>
        </is>
      </c>
      <c r="E412" t="inlineStr">
        <is>
          <t>ENKÖPING</t>
        </is>
      </c>
      <c r="G412" t="n">
        <v>1.5</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46169</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30514-2021</t>
        </is>
      </c>
      <c r="B414" s="1" t="n">
        <v>44364</v>
      </c>
      <c r="C414" s="1" t="n">
        <v>46169</v>
      </c>
      <c r="D414" t="inlineStr">
        <is>
          <t>UPPSALA LÄN</t>
        </is>
      </c>
      <c r="E414" t="inlineStr">
        <is>
          <t>ENKÖPING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31604-2023</t>
        </is>
      </c>
      <c r="B415" s="1" t="n">
        <v>45117.50368055556</v>
      </c>
      <c r="C415" s="1" t="n">
        <v>46169</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25598-2021</t>
        </is>
      </c>
      <c r="B416" s="1" t="n">
        <v>44343.4558912037</v>
      </c>
      <c r="C416" s="1" t="n">
        <v>46169</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15162-2025</t>
        </is>
      </c>
      <c r="B417" s="1" t="n">
        <v>45744</v>
      </c>
      <c r="C417" s="1" t="n">
        <v>46169</v>
      </c>
      <c r="D417" t="inlineStr">
        <is>
          <t>UPPSALA LÄN</t>
        </is>
      </c>
      <c r="E417" t="inlineStr">
        <is>
          <t>ENKÖPING</t>
        </is>
      </c>
      <c r="G417" t="n">
        <v>4.2</v>
      </c>
      <c r="H417" t="n">
        <v>0</v>
      </c>
      <c r="I417" t="n">
        <v>0</v>
      </c>
      <c r="J417" t="n">
        <v>0</v>
      </c>
      <c r="K417" t="n">
        <v>0</v>
      </c>
      <c r="L417" t="n">
        <v>0</v>
      </c>
      <c r="M417" t="n">
        <v>0</v>
      </c>
      <c r="N417" t="n">
        <v>0</v>
      </c>
      <c r="O417" t="n">
        <v>0</v>
      </c>
      <c r="P417" t="n">
        <v>0</v>
      </c>
      <c r="Q417" t="n">
        <v>0</v>
      </c>
      <c r="R417" s="2" t="inlineStr"/>
    </row>
    <row r="418" ht="15" customHeight="1">
      <c r="A418" t="inlineStr">
        <is>
          <t>A 52388-2024</t>
        </is>
      </c>
      <c r="B418" s="1" t="n">
        <v>45609.42939814815</v>
      </c>
      <c r="C418" s="1" t="n">
        <v>46169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13590-2026</t>
        </is>
      </c>
      <c r="B419" s="1" t="n">
        <v>46096</v>
      </c>
      <c r="C419" s="1" t="n">
        <v>46169</v>
      </c>
      <c r="D419" t="inlineStr">
        <is>
          <t>UPPSALA LÄN</t>
        </is>
      </c>
      <c r="E419" t="inlineStr">
        <is>
          <t>ENKÖPING</t>
        </is>
      </c>
      <c r="G419" t="n">
        <v>2.3</v>
      </c>
      <c r="H419" t="n">
        <v>0</v>
      </c>
      <c r="I419" t="n">
        <v>0</v>
      </c>
      <c r="J419" t="n">
        <v>0</v>
      </c>
      <c r="K419" t="n">
        <v>0</v>
      </c>
      <c r="L419" t="n">
        <v>0</v>
      </c>
      <c r="M419" t="n">
        <v>0</v>
      </c>
      <c r="N419" t="n">
        <v>0</v>
      </c>
      <c r="O419" t="n">
        <v>0</v>
      </c>
      <c r="P419" t="n">
        <v>0</v>
      </c>
      <c r="Q419" t="n">
        <v>0</v>
      </c>
      <c r="R419" s="2" t="inlineStr"/>
    </row>
    <row r="420" ht="15" customHeight="1">
      <c r="A420" t="inlineStr">
        <is>
          <t>A 53607-2023</t>
        </is>
      </c>
      <c r="B420" s="1" t="n">
        <v>45230</v>
      </c>
      <c r="C420" s="1" t="n">
        <v>46169</v>
      </c>
      <c r="D420" t="inlineStr">
        <is>
          <t>UPPSALA LÄN</t>
        </is>
      </c>
      <c r="E420" t="inlineStr">
        <is>
          <t>ENKÖPING</t>
        </is>
      </c>
      <c r="F420" t="inlineStr">
        <is>
          <t>Allmännings- och besparingsskogar</t>
        </is>
      </c>
      <c r="G420" t="n">
        <v>6.3</v>
      </c>
      <c r="H420" t="n">
        <v>0</v>
      </c>
      <c r="I420" t="n">
        <v>0</v>
      </c>
      <c r="J420" t="n">
        <v>0</v>
      </c>
      <c r="K420" t="n">
        <v>0</v>
      </c>
      <c r="L420" t="n">
        <v>0</v>
      </c>
      <c r="M420" t="n">
        <v>0</v>
      </c>
      <c r="N420" t="n">
        <v>0</v>
      </c>
      <c r="O420" t="n">
        <v>0</v>
      </c>
      <c r="P420" t="n">
        <v>0</v>
      </c>
      <c r="Q420" t="n">
        <v>0</v>
      </c>
      <c r="R420" s="2" t="inlineStr"/>
    </row>
    <row r="421" ht="15" customHeight="1">
      <c r="A421" t="inlineStr">
        <is>
          <t>A 40202-2024</t>
        </is>
      </c>
      <c r="B421" s="1" t="n">
        <v>45554</v>
      </c>
      <c r="C421" s="1" t="n">
        <v>46169</v>
      </c>
      <c r="D421" t="inlineStr">
        <is>
          <t>UPPSALA LÄN</t>
        </is>
      </c>
      <c r="E421" t="inlineStr">
        <is>
          <t>ENKÖPING</t>
        </is>
      </c>
      <c r="G421" t="n">
        <v>6.2</v>
      </c>
      <c r="H421" t="n">
        <v>0</v>
      </c>
      <c r="I421" t="n">
        <v>0</v>
      </c>
      <c r="J421" t="n">
        <v>0</v>
      </c>
      <c r="K421" t="n">
        <v>0</v>
      </c>
      <c r="L421" t="n">
        <v>0</v>
      </c>
      <c r="M421" t="n">
        <v>0</v>
      </c>
      <c r="N421" t="n">
        <v>0</v>
      </c>
      <c r="O421" t="n">
        <v>0</v>
      </c>
      <c r="P421" t="n">
        <v>0</v>
      </c>
      <c r="Q421" t="n">
        <v>0</v>
      </c>
      <c r="R421" s="2" t="inlineStr"/>
    </row>
    <row r="422" ht="15" customHeight="1">
      <c r="A422" t="inlineStr">
        <is>
          <t>A 27837-2025</t>
        </is>
      </c>
      <c r="B422" s="1" t="n">
        <v>45817.37207175926</v>
      </c>
      <c r="C422" s="1" t="n">
        <v>46169</v>
      </c>
      <c r="D422" t="inlineStr">
        <is>
          <t>UPPSALA LÄN</t>
        </is>
      </c>
      <c r="E422" t="inlineStr">
        <is>
          <t>ENKÖPING</t>
        </is>
      </c>
      <c r="G422" t="n">
        <v>7.3</v>
      </c>
      <c r="H422" t="n">
        <v>0</v>
      </c>
      <c r="I422" t="n">
        <v>0</v>
      </c>
      <c r="J422" t="n">
        <v>0</v>
      </c>
      <c r="K422" t="n">
        <v>0</v>
      </c>
      <c r="L422" t="n">
        <v>0</v>
      </c>
      <c r="M422" t="n">
        <v>0</v>
      </c>
      <c r="N422" t="n">
        <v>0</v>
      </c>
      <c r="O422" t="n">
        <v>0</v>
      </c>
      <c r="P422" t="n">
        <v>0</v>
      </c>
      <c r="Q422" t="n">
        <v>0</v>
      </c>
      <c r="R422" s="2" t="inlineStr"/>
    </row>
    <row r="423" ht="15" customHeight="1">
      <c r="A423" t="inlineStr">
        <is>
          <t>A 14229-2026</t>
        </is>
      </c>
      <c r="B423" s="1" t="n">
        <v>46099</v>
      </c>
      <c r="C423" s="1" t="n">
        <v>46169</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14296-2026</t>
        </is>
      </c>
      <c r="B424" s="1" t="n">
        <v>46099.7181712963</v>
      </c>
      <c r="C424" s="1" t="n">
        <v>46169</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14260-2026</t>
        </is>
      </c>
      <c r="B425" s="1" t="n">
        <v>46099.63395833333</v>
      </c>
      <c r="C425" s="1" t="n">
        <v>46169</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57152-2021</t>
        </is>
      </c>
      <c r="B426" s="1" t="n">
        <v>44482</v>
      </c>
      <c r="C426" s="1" t="n">
        <v>46169</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14182-2026</t>
        </is>
      </c>
      <c r="B427" s="1" t="n">
        <v>46099.49839120371</v>
      </c>
      <c r="C427" s="1" t="n">
        <v>46169</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34124-2021</t>
        </is>
      </c>
      <c r="B428" s="1" t="n">
        <v>44379</v>
      </c>
      <c r="C428" s="1" t="n">
        <v>46169</v>
      </c>
      <c r="D428" t="inlineStr">
        <is>
          <t>UPPSALA LÄN</t>
        </is>
      </c>
      <c r="E428" t="inlineStr">
        <is>
          <t>ENKÖPING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28518-2024</t>
        </is>
      </c>
      <c r="B429" s="1" t="n">
        <v>45477</v>
      </c>
      <c r="C429" s="1" t="n">
        <v>46169</v>
      </c>
      <c r="D429" t="inlineStr">
        <is>
          <t>UPPSALA LÄN</t>
        </is>
      </c>
      <c r="E429" t="inlineStr">
        <is>
          <t>ENKÖPING</t>
        </is>
      </c>
      <c r="G429" t="n">
        <v>3.4</v>
      </c>
      <c r="H429" t="n">
        <v>0</v>
      </c>
      <c r="I429" t="n">
        <v>0</v>
      </c>
      <c r="J429" t="n">
        <v>0</v>
      </c>
      <c r="K429" t="n">
        <v>0</v>
      </c>
      <c r="L429" t="n">
        <v>0</v>
      </c>
      <c r="M429" t="n">
        <v>0</v>
      </c>
      <c r="N429" t="n">
        <v>0</v>
      </c>
      <c r="O429" t="n">
        <v>0</v>
      </c>
      <c r="P429" t="n">
        <v>0</v>
      </c>
      <c r="Q429" t="n">
        <v>0</v>
      </c>
      <c r="R429" s="2" t="inlineStr"/>
    </row>
    <row r="430" ht="15" customHeight="1">
      <c r="A430" t="inlineStr">
        <is>
          <t>A 52299-2023</t>
        </is>
      </c>
      <c r="B430" s="1" t="n">
        <v>45224.61636574074</v>
      </c>
      <c r="C430" s="1" t="n">
        <v>46169</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14298-2026</t>
        </is>
      </c>
      <c r="B431" s="1" t="n">
        <v>46099</v>
      </c>
      <c r="C431" s="1" t="n">
        <v>46169</v>
      </c>
      <c r="D431" t="inlineStr">
        <is>
          <t>UPPSALA LÄN</t>
        </is>
      </c>
      <c r="E431" t="inlineStr">
        <is>
          <t>ENKÖPING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14178-2026</t>
        </is>
      </c>
      <c r="B432" s="1" t="n">
        <v>46099.49608796297</v>
      </c>
      <c r="C432" s="1" t="n">
        <v>46169</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44763.45711805556</v>
      </c>
      <c r="C433" s="1" t="n">
        <v>46169</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18259-2025</t>
        </is>
      </c>
      <c r="B434" s="1" t="n">
        <v>45762</v>
      </c>
      <c r="C434" s="1" t="n">
        <v>46169</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14004-2023</t>
        </is>
      </c>
      <c r="B435" s="1" t="n">
        <v>45008</v>
      </c>
      <c r="C435" s="1" t="n">
        <v>46169</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15003-2026</t>
        </is>
      </c>
      <c r="B436" s="1" t="n">
        <v>46104.60931712963</v>
      </c>
      <c r="C436" s="1" t="n">
        <v>46169</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52005-2024</t>
        </is>
      </c>
      <c r="B437" s="1" t="n">
        <v>45607.7627662037</v>
      </c>
      <c r="C437" s="1" t="n">
        <v>46169</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1960-2022</t>
        </is>
      </c>
      <c r="B438" s="1" t="n">
        <v>44575</v>
      </c>
      <c r="C438" s="1" t="n">
        <v>46169</v>
      </c>
      <c r="D438" t="inlineStr">
        <is>
          <t>UPPSALA LÄN</t>
        </is>
      </c>
      <c r="E438" t="inlineStr">
        <is>
          <t>ENKÖPING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15547-2026</t>
        </is>
      </c>
      <c r="B439" s="1" t="n">
        <v>46106.52613425926</v>
      </c>
      <c r="C439" s="1" t="n">
        <v>46169</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7175-2026</t>
        </is>
      </c>
      <c r="B440" s="1" t="n">
        <v>46058.46399305556</v>
      </c>
      <c r="C440" s="1" t="n">
        <v>46169</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49627-2024</t>
        </is>
      </c>
      <c r="B441" s="1" t="n">
        <v>45596.59140046296</v>
      </c>
      <c r="C441" s="1" t="n">
        <v>46169</v>
      </c>
      <c r="D441" t="inlineStr">
        <is>
          <t>UPPSALA LÄN</t>
        </is>
      </c>
      <c r="E441" t="inlineStr">
        <is>
          <t>ENKÖPING</t>
        </is>
      </c>
      <c r="G441" t="n">
        <v>0.4</v>
      </c>
      <c r="H441" t="n">
        <v>0</v>
      </c>
      <c r="I441" t="n">
        <v>0</v>
      </c>
      <c r="J441" t="n">
        <v>0</v>
      </c>
      <c r="K441" t="n">
        <v>0</v>
      </c>
      <c r="L441" t="n">
        <v>0</v>
      </c>
      <c r="M441" t="n">
        <v>0</v>
      </c>
      <c r="N441" t="n">
        <v>0</v>
      </c>
      <c r="O441" t="n">
        <v>0</v>
      </c>
      <c r="P441" t="n">
        <v>0</v>
      </c>
      <c r="Q441" t="n">
        <v>0</v>
      </c>
      <c r="R441" s="2" t="inlineStr"/>
    </row>
    <row r="442" ht="15" customHeight="1">
      <c r="A442" t="inlineStr">
        <is>
          <t>A 57998-2024</t>
        </is>
      </c>
      <c r="B442" s="1" t="n">
        <v>45631</v>
      </c>
      <c r="C442" s="1" t="n">
        <v>46169</v>
      </c>
      <c r="D442" t="inlineStr">
        <is>
          <t>UPPSALA LÄN</t>
        </is>
      </c>
      <c r="E442" t="inlineStr">
        <is>
          <t>ENKÖPING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9667-2024</t>
        </is>
      </c>
      <c r="B443" s="1" t="n">
        <v>45362.45130787037</v>
      </c>
      <c r="C443" s="1" t="n">
        <v>46169</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35645-2021</t>
        </is>
      </c>
      <c r="B444" s="1" t="n">
        <v>44386.42</v>
      </c>
      <c r="C444" s="1" t="n">
        <v>46169</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6049-2026</t>
        </is>
      </c>
      <c r="B445" s="1" t="n">
        <v>46052.63005787037</v>
      </c>
      <c r="C445" s="1" t="n">
        <v>46169</v>
      </c>
      <c r="D445" t="inlineStr">
        <is>
          <t>UPPSALA LÄN</t>
        </is>
      </c>
      <c r="E445" t="inlineStr">
        <is>
          <t>ENKÖPING</t>
        </is>
      </c>
      <c r="G445" t="n">
        <v>1.5</v>
      </c>
      <c r="H445" t="n">
        <v>0</v>
      </c>
      <c r="I445" t="n">
        <v>0</v>
      </c>
      <c r="J445" t="n">
        <v>0</v>
      </c>
      <c r="K445" t="n">
        <v>0</v>
      </c>
      <c r="L445" t="n">
        <v>0</v>
      </c>
      <c r="M445" t="n">
        <v>0</v>
      </c>
      <c r="N445" t="n">
        <v>0</v>
      </c>
      <c r="O445" t="n">
        <v>0</v>
      </c>
      <c r="P445" t="n">
        <v>0</v>
      </c>
      <c r="Q445" t="n">
        <v>0</v>
      </c>
      <c r="R445" s="2" t="inlineStr"/>
    </row>
    <row r="446" ht="15" customHeight="1">
      <c r="A446" t="inlineStr">
        <is>
          <t>A 15711-2025</t>
        </is>
      </c>
      <c r="B446" s="1" t="n">
        <v>45748</v>
      </c>
      <c r="C446" s="1" t="n">
        <v>46169</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9257-2026</t>
        </is>
      </c>
      <c r="B447" s="1" t="n">
        <v>46070.51166666667</v>
      </c>
      <c r="C447" s="1" t="n">
        <v>46169</v>
      </c>
      <c r="D447" t="inlineStr">
        <is>
          <t>UPPSALA LÄN</t>
        </is>
      </c>
      <c r="E447" t="inlineStr">
        <is>
          <t>ENKÖPING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6041-2026</t>
        </is>
      </c>
      <c r="B448" s="1" t="n">
        <v>46052.62184027778</v>
      </c>
      <c r="C448" s="1" t="n">
        <v>46169</v>
      </c>
      <c r="D448" t="inlineStr">
        <is>
          <t>UPPSALA LÄN</t>
        </is>
      </c>
      <c r="E448" t="inlineStr">
        <is>
          <t>ENKÖPING</t>
        </is>
      </c>
      <c r="G448" t="n">
        <v>4</v>
      </c>
      <c r="H448" t="n">
        <v>0</v>
      </c>
      <c r="I448" t="n">
        <v>0</v>
      </c>
      <c r="J448" t="n">
        <v>0</v>
      </c>
      <c r="K448" t="n">
        <v>0</v>
      </c>
      <c r="L448" t="n">
        <v>0</v>
      </c>
      <c r="M448" t="n">
        <v>0</v>
      </c>
      <c r="N448" t="n">
        <v>0</v>
      </c>
      <c r="O448" t="n">
        <v>0</v>
      </c>
      <c r="P448" t="n">
        <v>0</v>
      </c>
      <c r="Q448" t="n">
        <v>0</v>
      </c>
      <c r="R448" s="2" t="inlineStr"/>
    </row>
    <row r="449" ht="15" customHeight="1">
      <c r="A449" t="inlineStr">
        <is>
          <t>A 6044-2026</t>
        </is>
      </c>
      <c r="B449" s="1" t="n">
        <v>46052.62506944445</v>
      </c>
      <c r="C449" s="1" t="n">
        <v>46169</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28318-2024</t>
        </is>
      </c>
      <c r="B450" s="1" t="n">
        <v>45477</v>
      </c>
      <c r="C450" s="1" t="n">
        <v>46169</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21862-2026</t>
        </is>
      </c>
      <c r="B451" s="1" t="n">
        <v>46150.55599537037</v>
      </c>
      <c r="C451" s="1" t="n">
        <v>46169</v>
      </c>
      <c r="D451" t="inlineStr">
        <is>
          <t>UPPSALA LÄN</t>
        </is>
      </c>
      <c r="E451" t="inlineStr">
        <is>
          <t>ENKÖPING</t>
        </is>
      </c>
      <c r="G451" t="n">
        <v>4.1</v>
      </c>
      <c r="H451" t="n">
        <v>0</v>
      </c>
      <c r="I451" t="n">
        <v>0</v>
      </c>
      <c r="J451" t="n">
        <v>0</v>
      </c>
      <c r="K451" t="n">
        <v>0</v>
      </c>
      <c r="L451" t="n">
        <v>0</v>
      </c>
      <c r="M451" t="n">
        <v>0</v>
      </c>
      <c r="N451" t="n">
        <v>0</v>
      </c>
      <c r="O451" t="n">
        <v>0</v>
      </c>
      <c r="P451" t="n">
        <v>0</v>
      </c>
      <c r="Q451" t="n">
        <v>0</v>
      </c>
      <c r="R451" s="2" t="inlineStr"/>
    </row>
    <row r="452" ht="15" customHeight="1">
      <c r="A452" t="inlineStr">
        <is>
          <t>A 69344-2021</t>
        </is>
      </c>
      <c r="B452" s="1" t="n">
        <v>44531</v>
      </c>
      <c r="C452" s="1" t="n">
        <v>46169</v>
      </c>
      <c r="D452" t="inlineStr">
        <is>
          <t>UPPSALA LÄN</t>
        </is>
      </c>
      <c r="E452" t="inlineStr">
        <is>
          <t>ENKÖPING</t>
        </is>
      </c>
      <c r="G452" t="n">
        <v>2.9</v>
      </c>
      <c r="H452" t="n">
        <v>0</v>
      </c>
      <c r="I452" t="n">
        <v>0</v>
      </c>
      <c r="J452" t="n">
        <v>0</v>
      </c>
      <c r="K452" t="n">
        <v>0</v>
      </c>
      <c r="L452" t="n">
        <v>0</v>
      </c>
      <c r="M452" t="n">
        <v>0</v>
      </c>
      <c r="N452" t="n">
        <v>0</v>
      </c>
      <c r="O452" t="n">
        <v>0</v>
      </c>
      <c r="P452" t="n">
        <v>0</v>
      </c>
      <c r="Q452" t="n">
        <v>0</v>
      </c>
      <c r="R452" s="2" t="inlineStr"/>
    </row>
    <row r="453" ht="15" customHeight="1">
      <c r="A453" t="inlineStr">
        <is>
          <t>A 51524-2022</t>
        </is>
      </c>
      <c r="B453" s="1" t="n">
        <v>44869</v>
      </c>
      <c r="C453" s="1" t="n">
        <v>46169</v>
      </c>
      <c r="D453" t="inlineStr">
        <is>
          <t>UPPSALA LÄN</t>
        </is>
      </c>
      <c r="E453" t="inlineStr">
        <is>
          <t>ENKÖPING</t>
        </is>
      </c>
      <c r="G453" t="n">
        <v>6.6</v>
      </c>
      <c r="H453" t="n">
        <v>0</v>
      </c>
      <c r="I453" t="n">
        <v>0</v>
      </c>
      <c r="J453" t="n">
        <v>0</v>
      </c>
      <c r="K453" t="n">
        <v>0</v>
      </c>
      <c r="L453" t="n">
        <v>0</v>
      </c>
      <c r="M453" t="n">
        <v>0</v>
      </c>
      <c r="N453" t="n">
        <v>0</v>
      </c>
      <c r="O453" t="n">
        <v>0</v>
      </c>
      <c r="P453" t="n">
        <v>0</v>
      </c>
      <c r="Q453" t="n">
        <v>0</v>
      </c>
      <c r="R453" s="2" t="inlineStr"/>
    </row>
    <row r="454" ht="15" customHeight="1">
      <c r="A454" t="inlineStr">
        <is>
          <t>A 25990-2025</t>
        </is>
      </c>
      <c r="B454" s="1" t="n">
        <v>45804.65229166667</v>
      </c>
      <c r="C454" s="1" t="n">
        <v>46169</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25989-2025</t>
        </is>
      </c>
      <c r="B455" s="1" t="n">
        <v>45804.65050925926</v>
      </c>
      <c r="C455" s="1" t="n">
        <v>46169</v>
      </c>
      <c r="D455" t="inlineStr">
        <is>
          <t>UPPSALA LÄN</t>
        </is>
      </c>
      <c r="E455" t="inlineStr">
        <is>
          <t>ENKÖPING</t>
        </is>
      </c>
      <c r="G455" t="n">
        <v>1.2</v>
      </c>
      <c r="H455" t="n">
        <v>0</v>
      </c>
      <c r="I455" t="n">
        <v>0</v>
      </c>
      <c r="J455" t="n">
        <v>0</v>
      </c>
      <c r="K455" t="n">
        <v>0</v>
      </c>
      <c r="L455" t="n">
        <v>0</v>
      </c>
      <c r="M455" t="n">
        <v>0</v>
      </c>
      <c r="N455" t="n">
        <v>0</v>
      </c>
      <c r="O455" t="n">
        <v>0</v>
      </c>
      <c r="P455" t="n">
        <v>0</v>
      </c>
      <c r="Q455" t="n">
        <v>0</v>
      </c>
      <c r="R455" s="2" t="inlineStr"/>
    </row>
    <row r="456" ht="15" customHeight="1">
      <c r="A456" t="inlineStr">
        <is>
          <t>A 46103-2023</t>
        </is>
      </c>
      <c r="B456" s="1" t="n">
        <v>45190</v>
      </c>
      <c r="C456" s="1" t="n">
        <v>46169</v>
      </c>
      <c r="D456" t="inlineStr">
        <is>
          <t>UPPSALA LÄN</t>
        </is>
      </c>
      <c r="E456" t="inlineStr">
        <is>
          <t>ENKÖPING</t>
        </is>
      </c>
      <c r="G456" t="n">
        <v>4.6</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44827.63826388889</v>
      </c>
      <c r="C457" s="1" t="n">
        <v>46169</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8137-2025</t>
        </is>
      </c>
      <c r="B458" s="1" t="n">
        <v>45707.8561574074</v>
      </c>
      <c r="C458" s="1" t="n">
        <v>46169</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23301-2024</t>
        </is>
      </c>
      <c r="B459" s="1" t="n">
        <v>45453.4396412037</v>
      </c>
      <c r="C459" s="1" t="n">
        <v>46169</v>
      </c>
      <c r="D459" t="inlineStr">
        <is>
          <t>UPPSALA LÄN</t>
        </is>
      </c>
      <c r="E459" t="inlineStr">
        <is>
          <t>ENKÖPING</t>
        </is>
      </c>
      <c r="G459" t="n">
        <v>4.3</v>
      </c>
      <c r="H459" t="n">
        <v>0</v>
      </c>
      <c r="I459" t="n">
        <v>0</v>
      </c>
      <c r="J459" t="n">
        <v>0</v>
      </c>
      <c r="K459" t="n">
        <v>0</v>
      </c>
      <c r="L459" t="n">
        <v>0</v>
      </c>
      <c r="M459" t="n">
        <v>0</v>
      </c>
      <c r="N459" t="n">
        <v>0</v>
      </c>
      <c r="O459" t="n">
        <v>0</v>
      </c>
      <c r="P459" t="n">
        <v>0</v>
      </c>
      <c r="Q459" t="n">
        <v>0</v>
      </c>
      <c r="R459" s="2" t="inlineStr"/>
    </row>
    <row r="460" ht="15" customHeight="1">
      <c r="A460" t="inlineStr">
        <is>
          <t>A 52380-2024</t>
        </is>
      </c>
      <c r="B460" s="1" t="n">
        <v>45609</v>
      </c>
      <c r="C460" s="1" t="n">
        <v>46169</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30098-2024</t>
        </is>
      </c>
      <c r="B461" s="1" t="n">
        <v>45489.41609953704</v>
      </c>
      <c r="C461" s="1" t="n">
        <v>46169</v>
      </c>
      <c r="D461" t="inlineStr">
        <is>
          <t>UPPSALA LÄN</t>
        </is>
      </c>
      <c r="E461" t="inlineStr">
        <is>
          <t>ENKÖPING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34735-2023</t>
        </is>
      </c>
      <c r="B462" s="1" t="n">
        <v>45139</v>
      </c>
      <c r="C462" s="1" t="n">
        <v>46169</v>
      </c>
      <c r="D462" t="inlineStr">
        <is>
          <t>UPPSALA LÄN</t>
        </is>
      </c>
      <c r="E462" t="inlineStr">
        <is>
          <t>ENKÖPING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57328-2024</t>
        </is>
      </c>
      <c r="B463" s="1" t="n">
        <v>45629.62798611111</v>
      </c>
      <c r="C463" s="1" t="n">
        <v>46169</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22315-2026</t>
        </is>
      </c>
      <c r="B464" s="1" t="n">
        <v>46154.49106481481</v>
      </c>
      <c r="C464" s="1" t="n">
        <v>46169</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29482-2022</t>
        </is>
      </c>
      <c r="B465" s="1" t="n">
        <v>44753.57703703704</v>
      </c>
      <c r="C465" s="1" t="n">
        <v>46169</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29483-2022</t>
        </is>
      </c>
      <c r="B466" s="1" t="n">
        <v>44753.57829861111</v>
      </c>
      <c r="C466" s="1" t="n">
        <v>46169</v>
      </c>
      <c r="D466" t="inlineStr">
        <is>
          <t>UPPSALA LÄN</t>
        </is>
      </c>
      <c r="E466" t="inlineStr">
        <is>
          <t>ENKÖPING</t>
        </is>
      </c>
      <c r="G466" t="n">
        <v>3.6</v>
      </c>
      <c r="H466" t="n">
        <v>0</v>
      </c>
      <c r="I466" t="n">
        <v>0</v>
      </c>
      <c r="J466" t="n">
        <v>0</v>
      </c>
      <c r="K466" t="n">
        <v>0</v>
      </c>
      <c r="L466" t="n">
        <v>0</v>
      </c>
      <c r="M466" t="n">
        <v>0</v>
      </c>
      <c r="N466" t="n">
        <v>0</v>
      </c>
      <c r="O466" t="n">
        <v>0</v>
      </c>
      <c r="P466" t="n">
        <v>0</v>
      </c>
      <c r="Q466" t="n">
        <v>0</v>
      </c>
      <c r="R466" s="2" t="inlineStr"/>
    </row>
    <row r="467" ht="15" customHeight="1">
      <c r="A467" t="inlineStr">
        <is>
          <t>A 44232-2022</t>
        </is>
      </c>
      <c r="B467" s="1" t="n">
        <v>44839</v>
      </c>
      <c r="C467" s="1" t="n">
        <v>46169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61106-2022</t>
        </is>
      </c>
      <c r="B468" s="1" t="n">
        <v>44915.4128587963</v>
      </c>
      <c r="C468" s="1" t="n">
        <v>46169</v>
      </c>
      <c r="D468" t="inlineStr">
        <is>
          <t>UPPSALA LÄN</t>
        </is>
      </c>
      <c r="E468" t="inlineStr">
        <is>
          <t>ENKÖPING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17418-2026</t>
        </is>
      </c>
      <c r="B469" s="1" t="n">
        <v>46120.3591087963</v>
      </c>
      <c r="C469" s="1" t="n">
        <v>46169</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39624-2023</t>
        </is>
      </c>
      <c r="B470" s="1" t="n">
        <v>45164</v>
      </c>
      <c r="C470" s="1" t="n">
        <v>46169</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23202-2026</t>
        </is>
      </c>
      <c r="B471" s="1" t="n">
        <v>46162.19833333333</v>
      </c>
      <c r="C471" s="1" t="n">
        <v>46169</v>
      </c>
      <c r="D471" t="inlineStr">
        <is>
          <t>UPPSALA LÄN</t>
        </is>
      </c>
      <c r="E471" t="inlineStr">
        <is>
          <t>ENKÖPING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17419-2026</t>
        </is>
      </c>
      <c r="B472" s="1" t="n">
        <v>46120.36064814815</v>
      </c>
      <c r="C472" s="1" t="n">
        <v>46169</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20184-2023</t>
        </is>
      </c>
      <c r="B473" s="1" t="n">
        <v>45055.5670949074</v>
      </c>
      <c r="C473" s="1" t="n">
        <v>46169</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8152-2022</t>
        </is>
      </c>
      <c r="B474" s="1" t="n">
        <v>44609</v>
      </c>
      <c r="C474" s="1" t="n">
        <v>46169</v>
      </c>
      <c r="D474" t="inlineStr">
        <is>
          <t>UPPSALA LÄN</t>
        </is>
      </c>
      <c r="E474" t="inlineStr">
        <is>
          <t>ENKÖPING</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40223-2024</t>
        </is>
      </c>
      <c r="B475" s="1" t="n">
        <v>45554</v>
      </c>
      <c r="C475" s="1" t="n">
        <v>46169</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37035-2023</t>
        </is>
      </c>
      <c r="B476" s="1" t="n">
        <v>45155</v>
      </c>
      <c r="C476" s="1" t="n">
        <v>46169</v>
      </c>
      <c r="D476" t="inlineStr">
        <is>
          <t>UPPSALA LÄN</t>
        </is>
      </c>
      <c r="E476" t="inlineStr">
        <is>
          <t>ENKÖPING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52889-2022</t>
        </is>
      </c>
      <c r="B477" s="1" t="n">
        <v>44875</v>
      </c>
      <c r="C477" s="1" t="n">
        <v>46169</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51030-2024</t>
        </is>
      </c>
      <c r="B478" s="1" t="n">
        <v>45603</v>
      </c>
      <c r="C478" s="1" t="n">
        <v>46169</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26292-2022</t>
        </is>
      </c>
      <c r="B479" s="1" t="n">
        <v>44735</v>
      </c>
      <c r="C479" s="1" t="n">
        <v>46169</v>
      </c>
      <c r="D479" t="inlineStr">
        <is>
          <t>UPPSALA LÄN</t>
        </is>
      </c>
      <c r="E479" t="inlineStr">
        <is>
          <t>ENKÖPING</t>
        </is>
      </c>
      <c r="F479" t="inlineStr">
        <is>
          <t>Kyrkan</t>
        </is>
      </c>
      <c r="G479" t="n">
        <v>4.6</v>
      </c>
      <c r="H479" t="n">
        <v>0</v>
      </c>
      <c r="I479" t="n">
        <v>0</v>
      </c>
      <c r="J479" t="n">
        <v>0</v>
      </c>
      <c r="K479" t="n">
        <v>0</v>
      </c>
      <c r="L479" t="n">
        <v>0</v>
      </c>
      <c r="M479" t="n">
        <v>0</v>
      </c>
      <c r="N479" t="n">
        <v>0</v>
      </c>
      <c r="O479" t="n">
        <v>0</v>
      </c>
      <c r="P479" t="n">
        <v>0</v>
      </c>
      <c r="Q479" t="n">
        <v>0</v>
      </c>
      <c r="R479" s="2" t="inlineStr"/>
    </row>
    <row r="480" ht="15" customHeight="1">
      <c r="A480" t="inlineStr">
        <is>
          <t>A 4044-2024</t>
        </is>
      </c>
      <c r="B480" s="1" t="n">
        <v>45323.45954861111</v>
      </c>
      <c r="C480" s="1" t="n">
        <v>46169</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33349-2024</t>
        </is>
      </c>
      <c r="B481" s="1" t="n">
        <v>45519</v>
      </c>
      <c r="C481" s="1" t="n">
        <v>46169</v>
      </c>
      <c r="D481" t="inlineStr">
        <is>
          <t>UPPSALA LÄN</t>
        </is>
      </c>
      <c r="E481" t="inlineStr">
        <is>
          <t>ENKÖPING</t>
        </is>
      </c>
      <c r="G481" t="n">
        <v>3.6</v>
      </c>
      <c r="H481" t="n">
        <v>0</v>
      </c>
      <c r="I481" t="n">
        <v>0</v>
      </c>
      <c r="J481" t="n">
        <v>0</v>
      </c>
      <c r="K481" t="n">
        <v>0</v>
      </c>
      <c r="L481" t="n">
        <v>0</v>
      </c>
      <c r="M481" t="n">
        <v>0</v>
      </c>
      <c r="N481" t="n">
        <v>0</v>
      </c>
      <c r="O481" t="n">
        <v>0</v>
      </c>
      <c r="P481" t="n">
        <v>0</v>
      </c>
      <c r="Q481" t="n">
        <v>0</v>
      </c>
      <c r="R481" s="2" t="inlineStr"/>
    </row>
    <row r="482" ht="15" customHeight="1">
      <c r="A482" t="inlineStr">
        <is>
          <t>A 22912-2024</t>
        </is>
      </c>
      <c r="B482" s="1" t="n">
        <v>45448.73118055556</v>
      </c>
      <c r="C482" s="1" t="n">
        <v>46169</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21612-2023</t>
        </is>
      </c>
      <c r="B483" s="1" t="n">
        <v>45063</v>
      </c>
      <c r="C483" s="1" t="n">
        <v>46169</v>
      </c>
      <c r="D483" t="inlineStr">
        <is>
          <t>UPPSALA LÄN</t>
        </is>
      </c>
      <c r="E483" t="inlineStr">
        <is>
          <t>ENKÖPING</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14243-2025</t>
        </is>
      </c>
      <c r="B484" s="1" t="n">
        <v>45740.61288194444</v>
      </c>
      <c r="C484" s="1" t="n">
        <v>46169</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33343-2024</t>
        </is>
      </c>
      <c r="B485" s="1" t="n">
        <v>45519</v>
      </c>
      <c r="C485" s="1" t="n">
        <v>46169</v>
      </c>
      <c r="D485" t="inlineStr">
        <is>
          <t>UPPSALA LÄN</t>
        </is>
      </c>
      <c r="E485" t="inlineStr">
        <is>
          <t>ENKÖPING</t>
        </is>
      </c>
      <c r="G485" t="n">
        <v>2</v>
      </c>
      <c r="H485" t="n">
        <v>0</v>
      </c>
      <c r="I485" t="n">
        <v>0</v>
      </c>
      <c r="J485" t="n">
        <v>0</v>
      </c>
      <c r="K485" t="n">
        <v>0</v>
      </c>
      <c r="L485" t="n">
        <v>0</v>
      </c>
      <c r="M485" t="n">
        <v>0</v>
      </c>
      <c r="N485" t="n">
        <v>0</v>
      </c>
      <c r="O485" t="n">
        <v>0</v>
      </c>
      <c r="P485" t="n">
        <v>0</v>
      </c>
      <c r="Q485" t="n">
        <v>0</v>
      </c>
      <c r="R485" s="2" t="inlineStr"/>
    </row>
    <row r="486" ht="15" customHeight="1">
      <c r="A486" t="inlineStr">
        <is>
          <t>A 23889-2026</t>
        </is>
      </c>
      <c r="B486" s="1" t="n">
        <v>46167.45914351852</v>
      </c>
      <c r="C486" s="1" t="n">
        <v>46169</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40773-2022</t>
        </is>
      </c>
      <c r="B487" s="1" t="n">
        <v>44824.61237268519</v>
      </c>
      <c r="C487" s="1" t="n">
        <v>46169</v>
      </c>
      <c r="D487" t="inlineStr">
        <is>
          <t>UPPSALA LÄN</t>
        </is>
      </c>
      <c r="E487" t="inlineStr">
        <is>
          <t>ENKÖPING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62599-2025</t>
        </is>
      </c>
      <c r="B488" s="1" t="n">
        <v>46007.91961805556</v>
      </c>
      <c r="C488" s="1" t="n">
        <v>46169</v>
      </c>
      <c r="D488" t="inlineStr">
        <is>
          <t>UPPSALA LÄN</t>
        </is>
      </c>
      <c r="E488" t="inlineStr">
        <is>
          <t>ENKÖPING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16967-2022</t>
        </is>
      </c>
      <c r="B489" s="1" t="n">
        <v>44676</v>
      </c>
      <c r="C489" s="1" t="n">
        <v>46169</v>
      </c>
      <c r="D489" t="inlineStr">
        <is>
          <t>UPPSALA LÄN</t>
        </is>
      </c>
      <c r="E489" t="inlineStr">
        <is>
          <t>ENKÖPING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46169</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28243-2023</t>
        </is>
      </c>
      <c r="B491" s="1" t="n">
        <v>45099.58885416666</v>
      </c>
      <c r="C491" s="1" t="n">
        <v>46169</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23882-2026</t>
        </is>
      </c>
      <c r="B492" s="1" t="n">
        <v>46167.448125</v>
      </c>
      <c r="C492" s="1" t="n">
        <v>46169</v>
      </c>
      <c r="D492" t="inlineStr">
        <is>
          <t>UPPSALA LÄN</t>
        </is>
      </c>
      <c r="E492" t="inlineStr">
        <is>
          <t>ENKÖPING</t>
        </is>
      </c>
      <c r="G492" t="n">
        <v>8.5</v>
      </c>
      <c r="H492" t="n">
        <v>0</v>
      </c>
      <c r="I492" t="n">
        <v>0</v>
      </c>
      <c r="J492" t="n">
        <v>0</v>
      </c>
      <c r="K492" t="n">
        <v>0</v>
      </c>
      <c r="L492" t="n">
        <v>0</v>
      </c>
      <c r="M492" t="n">
        <v>0</v>
      </c>
      <c r="N492" t="n">
        <v>0</v>
      </c>
      <c r="O492" t="n">
        <v>0</v>
      </c>
      <c r="P492" t="n">
        <v>0</v>
      </c>
      <c r="Q492" t="n">
        <v>0</v>
      </c>
      <c r="R492" s="2" t="inlineStr"/>
    </row>
    <row r="493" ht="15" customHeight="1">
      <c r="A493" t="inlineStr">
        <is>
          <t>A 3235-2025</t>
        </is>
      </c>
      <c r="B493" s="1" t="n">
        <v>45679</v>
      </c>
      <c r="C493" s="1" t="n">
        <v>46169</v>
      </c>
      <c r="D493" t="inlineStr">
        <is>
          <t>UPPSALA LÄN</t>
        </is>
      </c>
      <c r="E493" t="inlineStr">
        <is>
          <t>ENKÖPING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41828-2024</t>
        </is>
      </c>
      <c r="B494" s="1" t="n">
        <v>45561</v>
      </c>
      <c r="C494" s="1" t="n">
        <v>46169</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1536-2024</t>
        </is>
      </c>
      <c r="B495" s="1" t="n">
        <v>45306</v>
      </c>
      <c r="C495" s="1" t="n">
        <v>46169</v>
      </c>
      <c r="D495" t="inlineStr">
        <is>
          <t>UPPSALA LÄN</t>
        </is>
      </c>
      <c r="E495" t="inlineStr">
        <is>
          <t>ENKÖPING</t>
        </is>
      </c>
      <c r="F495" t="inlineStr">
        <is>
          <t>Kyrkan</t>
        </is>
      </c>
      <c r="G495" t="n">
        <v>5.6</v>
      </c>
      <c r="H495" t="n">
        <v>0</v>
      </c>
      <c r="I495" t="n">
        <v>0</v>
      </c>
      <c r="J495" t="n">
        <v>0</v>
      </c>
      <c r="K495" t="n">
        <v>0</v>
      </c>
      <c r="L495" t="n">
        <v>0</v>
      </c>
      <c r="M495" t="n">
        <v>0</v>
      </c>
      <c r="N495" t="n">
        <v>0</v>
      </c>
      <c r="O495" t="n">
        <v>0</v>
      </c>
      <c r="P495" t="n">
        <v>0</v>
      </c>
      <c r="Q495" t="n">
        <v>0</v>
      </c>
      <c r="R495" s="2" t="inlineStr"/>
    </row>
    <row r="496" ht="15" customHeight="1">
      <c r="A496" t="inlineStr">
        <is>
          <t>A 42564-2024</t>
        </is>
      </c>
      <c r="B496" s="1" t="n">
        <v>45565.63358796296</v>
      </c>
      <c r="C496" s="1" t="n">
        <v>46169</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43492-2023</t>
        </is>
      </c>
      <c r="B497" s="1" t="n">
        <v>45181</v>
      </c>
      <c r="C497" s="1" t="n">
        <v>46169</v>
      </c>
      <c r="D497" t="inlineStr">
        <is>
          <t>UPPSALA LÄN</t>
        </is>
      </c>
      <c r="E497" t="inlineStr">
        <is>
          <t>ENKÖPING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6626-2023</t>
        </is>
      </c>
      <c r="B498" s="1" t="n">
        <v>44966.55946759259</v>
      </c>
      <c r="C498" s="1" t="n">
        <v>46169</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17165-2025</t>
        </is>
      </c>
      <c r="B499" s="1" t="n">
        <v>45756</v>
      </c>
      <c r="C499" s="1" t="n">
        <v>46169</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5013-2025</t>
        </is>
      </c>
      <c r="B500" s="1" t="n">
        <v>45691</v>
      </c>
      <c r="C500" s="1" t="n">
        <v>46169</v>
      </c>
      <c r="D500" t="inlineStr">
        <is>
          <t>UPPSALA LÄN</t>
        </is>
      </c>
      <c r="E500" t="inlineStr">
        <is>
          <t>ENKÖPING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37170-2021</t>
        </is>
      </c>
      <c r="B501" s="1" t="n">
        <v>44395</v>
      </c>
      <c r="C501" s="1" t="n">
        <v>46169</v>
      </c>
      <c r="D501" t="inlineStr">
        <is>
          <t>UPPSALA LÄN</t>
        </is>
      </c>
      <c r="E501" t="inlineStr">
        <is>
          <t>ENKÖPING</t>
        </is>
      </c>
      <c r="G501" t="n">
        <v>1.5</v>
      </c>
      <c r="H501" t="n">
        <v>0</v>
      </c>
      <c r="I501" t="n">
        <v>0</v>
      </c>
      <c r="J501" t="n">
        <v>0</v>
      </c>
      <c r="K501" t="n">
        <v>0</v>
      </c>
      <c r="L501" t="n">
        <v>0</v>
      </c>
      <c r="M501" t="n">
        <v>0</v>
      </c>
      <c r="N501" t="n">
        <v>0</v>
      </c>
      <c r="O501" t="n">
        <v>0</v>
      </c>
      <c r="P501" t="n">
        <v>0</v>
      </c>
      <c r="Q501" t="n">
        <v>0</v>
      </c>
      <c r="R501" s="2" t="inlineStr"/>
    </row>
    <row r="502" ht="15" customHeight="1">
      <c r="A502" t="inlineStr">
        <is>
          <t>A 58147-2024</t>
        </is>
      </c>
      <c r="B502" s="1" t="n">
        <v>45632.4334375</v>
      </c>
      <c r="C502" s="1" t="n">
        <v>46169</v>
      </c>
      <c r="D502" t="inlineStr">
        <is>
          <t>UPPSALA LÄN</t>
        </is>
      </c>
      <c r="E502" t="inlineStr">
        <is>
          <t>ENKÖPING</t>
        </is>
      </c>
      <c r="G502" t="n">
        <v>3</v>
      </c>
      <c r="H502" t="n">
        <v>0</v>
      </c>
      <c r="I502" t="n">
        <v>0</v>
      </c>
      <c r="J502" t="n">
        <v>0</v>
      </c>
      <c r="K502" t="n">
        <v>0</v>
      </c>
      <c r="L502" t="n">
        <v>0</v>
      </c>
      <c r="M502" t="n">
        <v>0</v>
      </c>
      <c r="N502" t="n">
        <v>0</v>
      </c>
      <c r="O502" t="n">
        <v>0</v>
      </c>
      <c r="P502" t="n">
        <v>0</v>
      </c>
      <c r="Q502" t="n">
        <v>0</v>
      </c>
      <c r="R502" s="2" t="inlineStr"/>
    </row>
    <row r="503" ht="15" customHeight="1">
      <c r="A503" t="inlineStr">
        <is>
          <t>A 3550-2023</t>
        </is>
      </c>
      <c r="B503" s="1" t="n">
        <v>44950</v>
      </c>
      <c r="C503" s="1" t="n">
        <v>46169</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19014-2025</t>
        </is>
      </c>
      <c r="B504" s="1" t="n">
        <v>45764.59631944444</v>
      </c>
      <c r="C504" s="1" t="n">
        <v>46169</v>
      </c>
      <c r="D504" t="inlineStr">
        <is>
          <t>UPPSALA LÄN</t>
        </is>
      </c>
      <c r="E504" t="inlineStr">
        <is>
          <t>ENKÖPING</t>
        </is>
      </c>
      <c r="G504" t="n">
        <v>0.2</v>
      </c>
      <c r="H504" t="n">
        <v>0</v>
      </c>
      <c r="I504" t="n">
        <v>0</v>
      </c>
      <c r="J504" t="n">
        <v>0</v>
      </c>
      <c r="K504" t="n">
        <v>0</v>
      </c>
      <c r="L504" t="n">
        <v>0</v>
      </c>
      <c r="M504" t="n">
        <v>0</v>
      </c>
      <c r="N504" t="n">
        <v>0</v>
      </c>
      <c r="O504" t="n">
        <v>0</v>
      </c>
      <c r="P504" t="n">
        <v>0</v>
      </c>
      <c r="Q504" t="n">
        <v>0</v>
      </c>
      <c r="R504" s="2" t="inlineStr"/>
    </row>
    <row r="505" ht="15" customHeight="1">
      <c r="A505" t="inlineStr">
        <is>
          <t>A 12958-2024</t>
        </is>
      </c>
      <c r="B505" s="1" t="n">
        <v>45385</v>
      </c>
      <c r="C505" s="1" t="n">
        <v>46169</v>
      </c>
      <c r="D505" t="inlineStr">
        <is>
          <t>UPPSALA LÄN</t>
        </is>
      </c>
      <c r="E505" t="inlineStr">
        <is>
          <t>ENKÖPING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1651-2024</t>
        </is>
      </c>
      <c r="B506" s="1" t="n">
        <v>45306.73770833333</v>
      </c>
      <c r="C506" s="1" t="n">
        <v>46169</v>
      </c>
      <c r="D506" t="inlineStr">
        <is>
          <t>UPPSALA LÄN</t>
        </is>
      </c>
      <c r="E506" t="inlineStr">
        <is>
          <t>ENKÖPING</t>
        </is>
      </c>
      <c r="G506" t="n">
        <v>10.2</v>
      </c>
      <c r="H506" t="n">
        <v>0</v>
      </c>
      <c r="I506" t="n">
        <v>0</v>
      </c>
      <c r="J506" t="n">
        <v>0</v>
      </c>
      <c r="K506" t="n">
        <v>0</v>
      </c>
      <c r="L506" t="n">
        <v>0</v>
      </c>
      <c r="M506" t="n">
        <v>0</v>
      </c>
      <c r="N506" t="n">
        <v>0</v>
      </c>
      <c r="O506" t="n">
        <v>0</v>
      </c>
      <c r="P506" t="n">
        <v>0</v>
      </c>
      <c r="Q506" t="n">
        <v>0</v>
      </c>
      <c r="R506" s="2" t="inlineStr"/>
    </row>
    <row r="507" ht="15" customHeight="1">
      <c r="A507" t="inlineStr">
        <is>
          <t>A 51012-2024</t>
        </is>
      </c>
      <c r="B507" s="1" t="n">
        <v>45603.39686342593</v>
      </c>
      <c r="C507" s="1" t="n">
        <v>46169</v>
      </c>
      <c r="D507" t="inlineStr">
        <is>
          <t>UPPSALA LÄN</t>
        </is>
      </c>
      <c r="E507" t="inlineStr">
        <is>
          <t>ENKÖPING</t>
        </is>
      </c>
      <c r="G507" t="n">
        <v>2.7</v>
      </c>
      <c r="H507" t="n">
        <v>0</v>
      </c>
      <c r="I507" t="n">
        <v>0</v>
      </c>
      <c r="J507" t="n">
        <v>0</v>
      </c>
      <c r="K507" t="n">
        <v>0</v>
      </c>
      <c r="L507" t="n">
        <v>0</v>
      </c>
      <c r="M507" t="n">
        <v>0</v>
      </c>
      <c r="N507" t="n">
        <v>0</v>
      </c>
      <c r="O507" t="n">
        <v>0</v>
      </c>
      <c r="P507" t="n">
        <v>0</v>
      </c>
      <c r="Q507" t="n">
        <v>0</v>
      </c>
      <c r="R507" s="2" t="inlineStr"/>
    </row>
    <row r="508" ht="15" customHeight="1">
      <c r="A508" t="inlineStr">
        <is>
          <t>A 57940-2022</t>
        </is>
      </c>
      <c r="B508" s="1" t="n">
        <v>44900</v>
      </c>
      <c r="C508" s="1" t="n">
        <v>46169</v>
      </c>
      <c r="D508" t="inlineStr">
        <is>
          <t>UPPSALA LÄN</t>
        </is>
      </c>
      <c r="E508" t="inlineStr">
        <is>
          <t>ENKÖPING</t>
        </is>
      </c>
      <c r="G508" t="n">
        <v>1.9</v>
      </c>
      <c r="H508" t="n">
        <v>0</v>
      </c>
      <c r="I508" t="n">
        <v>0</v>
      </c>
      <c r="J508" t="n">
        <v>0</v>
      </c>
      <c r="K508" t="n">
        <v>0</v>
      </c>
      <c r="L508" t="n">
        <v>0</v>
      </c>
      <c r="M508" t="n">
        <v>0</v>
      </c>
      <c r="N508" t="n">
        <v>0</v>
      </c>
      <c r="O508" t="n">
        <v>0</v>
      </c>
      <c r="P508" t="n">
        <v>0</v>
      </c>
      <c r="Q508" t="n">
        <v>0</v>
      </c>
      <c r="R508" s="2" t="inlineStr"/>
    </row>
    <row r="509" ht="15" customHeight="1">
      <c r="A509" t="inlineStr">
        <is>
          <t>A 63310-2021</t>
        </is>
      </c>
      <c r="B509" s="1" t="n">
        <v>44508</v>
      </c>
      <c r="C509" s="1" t="n">
        <v>46169</v>
      </c>
      <c r="D509" t="inlineStr">
        <is>
          <t>UPPSALA LÄN</t>
        </is>
      </c>
      <c r="E509" t="inlineStr">
        <is>
          <t>ENKÖPING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20440-2025</t>
        </is>
      </c>
      <c r="B510" s="1" t="n">
        <v>45775</v>
      </c>
      <c r="C510" s="1" t="n">
        <v>46169</v>
      </c>
      <c r="D510" t="inlineStr">
        <is>
          <t>UPPSALA LÄN</t>
        </is>
      </c>
      <c r="E510" t="inlineStr">
        <is>
          <t>ENKÖPING</t>
        </is>
      </c>
      <c r="G510" t="n">
        <v>1.6</v>
      </c>
      <c r="H510" t="n">
        <v>0</v>
      </c>
      <c r="I510" t="n">
        <v>0</v>
      </c>
      <c r="J510" t="n">
        <v>0</v>
      </c>
      <c r="K510" t="n">
        <v>0</v>
      </c>
      <c r="L510" t="n">
        <v>0</v>
      </c>
      <c r="M510" t="n">
        <v>0</v>
      </c>
      <c r="N510" t="n">
        <v>0</v>
      </c>
      <c r="O510" t="n">
        <v>0</v>
      </c>
      <c r="P510" t="n">
        <v>0</v>
      </c>
      <c r="Q510" t="n">
        <v>0</v>
      </c>
      <c r="R510" s="2" t="inlineStr"/>
    </row>
    <row r="511" ht="15" customHeight="1">
      <c r="A511" t="inlineStr">
        <is>
          <t>A 19488-2022</t>
        </is>
      </c>
      <c r="B511" s="1" t="n">
        <v>44693</v>
      </c>
      <c r="C511" s="1" t="n">
        <v>46169</v>
      </c>
      <c r="D511" t="inlineStr">
        <is>
          <t>UPPSALA LÄN</t>
        </is>
      </c>
      <c r="E511" t="inlineStr">
        <is>
          <t>ENKÖPING</t>
        </is>
      </c>
      <c r="G511" t="n">
        <v>7.8</v>
      </c>
      <c r="H511" t="n">
        <v>0</v>
      </c>
      <c r="I511" t="n">
        <v>0</v>
      </c>
      <c r="J511" t="n">
        <v>0</v>
      </c>
      <c r="K511" t="n">
        <v>0</v>
      </c>
      <c r="L511" t="n">
        <v>0</v>
      </c>
      <c r="M511" t="n">
        <v>0</v>
      </c>
      <c r="N511" t="n">
        <v>0</v>
      </c>
      <c r="O511" t="n">
        <v>0</v>
      </c>
      <c r="P511" t="n">
        <v>0</v>
      </c>
      <c r="Q511" t="n">
        <v>0</v>
      </c>
      <c r="R511" s="2" t="inlineStr"/>
    </row>
    <row r="512" ht="15" customHeight="1">
      <c r="A512" t="inlineStr">
        <is>
          <t>A 5188-2022</t>
        </is>
      </c>
      <c r="B512" s="1" t="n">
        <v>44594.4471412037</v>
      </c>
      <c r="C512" s="1" t="n">
        <v>46169</v>
      </c>
      <c r="D512" t="inlineStr">
        <is>
          <t>UPPSALA LÄN</t>
        </is>
      </c>
      <c r="E512" t="inlineStr">
        <is>
          <t>ENKÖPING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31622-2022</t>
        </is>
      </c>
      <c r="B513" s="1" t="n">
        <v>44775</v>
      </c>
      <c r="C513" s="1" t="n">
        <v>46169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12102-2024</t>
        </is>
      </c>
      <c r="B514" s="1" t="n">
        <v>45377</v>
      </c>
      <c r="C514" s="1" t="n">
        <v>46169</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59602-2024</t>
        </is>
      </c>
      <c r="B515" s="1" t="n">
        <v>45638</v>
      </c>
      <c r="C515" s="1" t="n">
        <v>46169</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44131-2023</t>
        </is>
      </c>
      <c r="B516" s="1" t="n">
        <v>45188</v>
      </c>
      <c r="C516" s="1" t="n">
        <v>46169</v>
      </c>
      <c r="D516" t="inlineStr">
        <is>
          <t>UPPSALA LÄN</t>
        </is>
      </c>
      <c r="E516" t="inlineStr">
        <is>
          <t>ENKÖPING</t>
        </is>
      </c>
      <c r="G516" t="n">
        <v>0.3</v>
      </c>
      <c r="H516" t="n">
        <v>0</v>
      </c>
      <c r="I516" t="n">
        <v>0</v>
      </c>
      <c r="J516" t="n">
        <v>0</v>
      </c>
      <c r="K516" t="n">
        <v>0</v>
      </c>
      <c r="L516" t="n">
        <v>0</v>
      </c>
      <c r="M516" t="n">
        <v>0</v>
      </c>
      <c r="N516" t="n">
        <v>0</v>
      </c>
      <c r="O516" t="n">
        <v>0</v>
      </c>
      <c r="P516" t="n">
        <v>0</v>
      </c>
      <c r="Q516" t="n">
        <v>0</v>
      </c>
      <c r="R516" s="2" t="inlineStr"/>
    </row>
    <row r="517" ht="15" customHeight="1">
      <c r="A517" t="inlineStr">
        <is>
          <t>A 60533-2021</t>
        </is>
      </c>
      <c r="B517" s="1" t="n">
        <v>44496</v>
      </c>
      <c r="C517" s="1" t="n">
        <v>46169</v>
      </c>
      <c r="D517" t="inlineStr">
        <is>
          <t>UPPSALA LÄN</t>
        </is>
      </c>
      <c r="E517" t="inlineStr">
        <is>
          <t>ENKÖPING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35052-2024</t>
        </is>
      </c>
      <c r="B518" s="1" t="n">
        <v>45527.6516087963</v>
      </c>
      <c r="C518" s="1" t="n">
        <v>46169</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c r="A519" t="inlineStr">
        <is>
          <t>A 51008-2024</t>
        </is>
      </c>
      <c r="B519" s="1" t="n">
        <v>45603.39041666667</v>
      </c>
      <c r="C519" s="1" t="n">
        <v>46169</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2026-05-27T10:54:45Z</dcterms:created>
  <dcterms:modified xmlns:dcterms="http://purl.org/dc/terms/" xmlns:xsi="http://www.w3.org/2001/XMLSchema-instance" xsi:type="dcterms:W3CDTF">2026-05-27T10:54:46Z</dcterms:modified>
</cp:coreProperties>
</file>