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45749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45749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45749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45749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45749</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45749</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45749</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45749</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45749</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45749</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45749</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45749</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45749</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45749</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45749</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45749</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45749</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45749</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45749</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45749</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45749</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45749</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45749</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45749</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45749</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45749</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45749</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45749</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45749</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45749</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45749</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45749</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45749</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45749</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45749</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45749</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45749</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45749</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45749</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45749</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45749</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45749</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45749</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45749</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45749</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45749</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45749</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45749</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45749</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45749</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45749</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45749</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45749</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45749</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45749</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11018-2025</t>
        </is>
      </c>
      <c r="B60" s="1" t="n">
        <v>45723</v>
      </c>
      <c r="C60" s="1" t="n">
        <v>45749</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HYPERLINK("https://klasma.github.io/Logging_030381/artfynd/A 11018-2025 artfynd.xlsx", "A 11018-2025")</f>
        <v/>
      </c>
      <c r="T60">
        <f>HYPERLINK("https://klasma.github.io/Logging_030381/kartor/A 11018-2025 karta.png", "A 11018-2025")</f>
        <v/>
      </c>
      <c r="V60">
        <f>HYPERLINK("https://klasma.github.io/Logging_030381/klagomål/A 11018-2025 FSC-klagomål.docx", "A 11018-2025")</f>
        <v/>
      </c>
      <c r="W60">
        <f>HYPERLINK("https://klasma.github.io/Logging_030381/klagomålsmail/A 11018-2025 FSC-klagomål mail.docx", "A 11018-2025")</f>
        <v/>
      </c>
      <c r="X60">
        <f>HYPERLINK("https://klasma.github.io/Logging_030381/tillsyn/A 11018-2025 tillsynsbegäran.docx", "A 11018-2025")</f>
        <v/>
      </c>
      <c r="Y60">
        <f>HYPERLINK("https://klasma.github.io/Logging_030381/tillsynsmail/A 11018-2025 tillsynsbegäran mail.docx", "A 11018-2025")</f>
        <v/>
      </c>
    </row>
    <row r="61" ht="15" customHeight="1">
      <c r="A61" t="inlineStr">
        <is>
          <t>A 11015-2025</t>
        </is>
      </c>
      <c r="B61" s="1" t="n">
        <v>45723</v>
      </c>
      <c r="C61" s="1" t="n">
        <v>45749</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HYPERLINK("https://klasma.github.io/Logging_030381/artfynd/A 11015-2025 artfynd.xlsx", "A 11015-2025")</f>
        <v/>
      </c>
      <c r="T61">
        <f>HYPERLINK("https://klasma.github.io/Logging_030381/kartor/A 11015-2025 karta.png", "A 11015-2025")</f>
        <v/>
      </c>
      <c r="V61">
        <f>HYPERLINK("https://klasma.github.io/Logging_030381/klagomål/A 11015-2025 FSC-klagomål.docx", "A 11015-2025")</f>
        <v/>
      </c>
      <c r="W61">
        <f>HYPERLINK("https://klasma.github.io/Logging_030381/klagomålsmail/A 11015-2025 FSC-klagomål mail.docx", "A 11015-2025")</f>
        <v/>
      </c>
      <c r="X61">
        <f>HYPERLINK("https://klasma.github.io/Logging_030381/tillsyn/A 11015-2025 tillsynsbegäran.docx", "A 11015-2025")</f>
        <v/>
      </c>
      <c r="Y61">
        <f>HYPERLINK("https://klasma.github.io/Logging_030381/tillsynsmail/A 11015-2025 tillsynsbegäran mail.docx", "A 11015-2025")</f>
        <v/>
      </c>
    </row>
    <row r="62" ht="15" customHeight="1">
      <c r="A62" t="inlineStr">
        <is>
          <t>A 18148-2019</t>
        </is>
      </c>
      <c r="B62" s="1" t="n">
        <v>43558</v>
      </c>
      <c r="C62" s="1" t="n">
        <v>45749</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45749</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45749</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45749</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45749</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45749</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45749</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45749</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45749</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45749</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45749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45749</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45749</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45749</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45749</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45749</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45749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45749</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45749</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45749</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45749</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45749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45749</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45749</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45749</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45749</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45749</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45749</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45749</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45749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45749</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45749</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45749</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45749</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45749</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45749</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45749</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45749</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45749</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45749</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45749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45749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45749</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45749</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45749</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45749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45749</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45749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45749</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45749</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45749</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45749</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45749</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45749</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45749</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45749</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45749</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45749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45749</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45749</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45749</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45749</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45749</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45749</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45749</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45749</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45749</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45749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45749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45749</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45749</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45749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45749</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45749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45749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45749</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45749</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45749</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45749</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45749</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45749</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45749</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45749</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45749</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45749</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45749</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45749</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45749</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45749</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45749</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45749</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45749</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45749</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45749</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45749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45749</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45749</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45749</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45749</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45749</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45749</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45749</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45749</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45749</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45749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45749</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45749</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45749</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45749</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45749</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45749</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45749</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45749</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45749</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45749</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45749</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45749</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45749</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45749</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45749</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45749</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45749</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45749</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45749</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45749</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45749</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45749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45749</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45749</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45749</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45749</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45749</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45749</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45749</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45749</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45749</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45749</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45749</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45749</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45749</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45749</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45749</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45749</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45749</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45749</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45749</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45749</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45749</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45749</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45749</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45749</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45749</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45749</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45749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45749</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45749</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45749</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45749</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45749</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45749</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45749</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45749</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45749</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45749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45749</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45749</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45749</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45749</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45749</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45749</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45749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45749</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45749</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45749</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45749</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45749</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45749</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45749</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45749</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45749</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45749</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45749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45749</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45749</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45749</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45749</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45749</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45749</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45749</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45749</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45749</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45749</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45749</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45749</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45749</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45749</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45749</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45749</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45749</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45749</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45749</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45749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45749</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45749</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45749</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45749</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45749</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45749</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45749</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45749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45749</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45749</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45749</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45749</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45749</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45749</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45749</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45749</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45749</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45749</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45749</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45749</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45749</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45749</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45749</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45749</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45749</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45749</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45749</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45749</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45749</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45749</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45749</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45749</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45749</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45749</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45749</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45749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45749</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45749</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45749</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45749</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45749</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45749</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45749</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45749</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45749</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45749</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45749</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45749</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45749</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45749</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45749</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45749</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45749</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45749</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45749</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45749</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45749</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45749</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45749</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45749</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45749</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45749</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45749</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45749</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45749</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45749</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45749</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45749</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45749</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45749</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45749</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45749</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45749</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45749</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45749</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45749</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45749</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45749</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45749</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45749</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45749</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45749</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45749</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45749</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45749</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45749</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45749</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45749</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45749</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45749</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45749</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45749</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45749</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45749</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45749</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45749</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45749</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45749</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45749</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45749</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45749</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45749</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45749</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45749</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45749</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45749</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45749</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45749</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45749</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45749</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45749</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45749</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45749</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45749</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45749</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45749</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45749</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45749</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45749</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45749</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45749</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45749</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45749</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45749</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45749</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45749</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45749</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45749</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45749</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45749</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45749</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45749</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45749</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45749</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45749</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45749</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45749</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45749</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45749</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45749</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45749</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45749</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45749</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45749</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45749</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45749</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45749</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45749</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45749</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45749</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45749</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45749</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45749</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45749</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45749</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45749</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45749</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45749</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45749</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45749</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45749</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45749</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45749</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45749</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45749</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45749</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45749</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45749</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45749</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45749</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45749</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45749</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45749</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45749</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45749</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45749</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45749</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45749</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45749</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45749</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45749</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45749</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45749</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45749</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45749</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45749</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45749</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45749</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45749</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45749</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45749</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45749</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45749</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45749</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45749</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45749</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45749</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45749</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45749</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45749</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45749</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45749</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45749</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45749</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45749</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45749</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45749</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45749</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45749</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45749</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45749</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45749</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45749</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45749</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45749</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45749</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45749</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45749</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45749</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45749</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45749</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45749</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45749</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45749</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45749</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45749</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45749</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45749</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45749</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45749</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45749</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45749</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45749</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45749</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45749</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45749</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45749</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45749</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45749</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45749</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45749</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45749</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45749</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45749</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45749</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45749</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45749</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45749</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45749</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45749</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45749</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45749</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45749</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45749</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45749</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45749</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45749</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45749</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45749</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45749</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45749</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45749</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45749</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45749</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45749</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45749</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45749</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45749</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45749</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45749</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45749</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45749</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45749</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45749</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45749</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45749</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45749</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45749</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45749</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45749</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45749</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45749</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45749</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45749</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45749</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45749</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45749</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45749</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45749</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45749</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45749</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45749</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45749</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45749</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45749</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45749</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45749</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45749</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45749</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45749</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45749</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45749</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45749</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45749</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45749</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45749</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45749</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45749</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45749</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45749</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45749</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45749</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45749</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45749</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45749</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45749</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45749</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45749</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45749</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45749</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45749</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45749</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45749</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45749</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45749</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45749</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45749</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45749</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45749</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45749</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45749</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45749</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45749</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45749</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45749</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45749</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45749</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45749</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45749</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45749</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45749</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45749</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45749</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45749</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45749</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45749</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45749</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45749</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45749</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45749</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45749</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45749</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45749</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45749</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45749</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45749</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45749</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45749</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45749</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45749</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45749</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45749</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45749</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45749</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45749</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45749</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45749</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45749</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45749</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45749</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45749</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45749</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45749</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45749</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45749</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45749</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45749</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45749</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45749</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45749</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45749</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45749</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45749</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45749</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45749</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45749</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45749</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45749</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45749</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45749</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45749</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45749</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45749</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45749</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45749</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45749</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45749</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45749</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45749</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45749</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45749</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45749</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45749</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45749</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45749</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45749</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45749</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45749</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45749</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45749</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45749</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45749</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45749</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45749</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45749</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45749</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45749</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45749</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45749</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45749</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45749</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45749</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45749</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45749</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45749</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45749</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45749</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45749</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45749</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45749</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45749</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45749</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45749</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45749</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45749</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45749</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45749</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45749</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45749</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45749</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45749</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45749</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45749</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45749</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45749</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45749</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45749</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45749</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45749</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45749</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45749</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45749</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45749</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45749</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45749</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45749</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45749</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45749</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45749</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12754-2025</t>
        </is>
      </c>
      <c r="B936" s="1" t="n">
        <v>45733</v>
      </c>
      <c r="C936" s="1" t="n">
        <v>45749</v>
      </c>
      <c r="D936" t="inlineStr">
        <is>
          <t>UPPSALA LÄN</t>
        </is>
      </c>
      <c r="E936" t="inlineStr">
        <is>
          <t>ENKÖPING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45749</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45749</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14083-2025</t>
        </is>
      </c>
      <c r="B939" s="1" t="n">
        <v>45740</v>
      </c>
      <c r="C939" s="1" t="n">
        <v>45749</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45749</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45749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45749</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45749</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45749</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45749</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15740-2025</t>
        </is>
      </c>
      <c r="B946" s="1" t="n">
        <v>45748</v>
      </c>
      <c r="C946" s="1" t="n">
        <v>45749</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c r="A947" t="inlineStr">
        <is>
          <t>A 15764-2025</t>
        </is>
      </c>
      <c r="B947" s="1" t="n">
        <v>45748</v>
      </c>
      <c r="C947" s="1" t="n">
        <v>45749</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2025-04-02T17:09:41Z</dcterms:created>
  <dcterms:modified xmlns:dcterms="http://purl.org/dc/terms/" xmlns:xsi="http://www.w3.org/2001/XMLSchema-instance" xsi:type="dcterms:W3CDTF">2025-04-02T17:09:41Z</dcterms:modified>
</cp:coreProperties>
</file>