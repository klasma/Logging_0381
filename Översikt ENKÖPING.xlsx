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19961-2022</t>
        </is>
      </c>
      <c r="B2" t="inlineStr">
        <is>
          <t>avverkningsanmälan</t>
        </is>
      </c>
      <c r="C2" t="inlineStr">
        <is>
          <t>Föryngringsavverkning</t>
        </is>
      </c>
      <c r="D2" s="1" t="n">
        <v>44697</v>
      </c>
      <c r="E2" s="1" t="n">
        <v>46222</v>
      </c>
      <c r="F2" t="inlineStr">
        <is>
          <t>UPPSALA LÄN</t>
        </is>
      </c>
      <c r="G2" t="inlineStr">
        <is>
          <t>ENKÖPING</t>
        </is>
      </c>
      <c r="I2" t="n">
        <v>1.2</v>
      </c>
      <c r="J2" t="n">
        <v>4</v>
      </c>
      <c r="K2" t="n">
        <v>9</v>
      </c>
      <c r="L2" t="n">
        <v>9</v>
      </c>
      <c r="M2" t="n">
        <v>5</v>
      </c>
      <c r="N2" t="n">
        <v>1</v>
      </c>
      <c r="O2" t="n">
        <v>0</v>
      </c>
      <c r="P2" t="n">
        <v>0</v>
      </c>
      <c r="Q2" t="n">
        <v>15</v>
      </c>
      <c r="R2" t="n">
        <v>6</v>
      </c>
      <c r="S2" t="n">
        <v>27</v>
      </c>
      <c r="T2" t="n">
        <v>62</v>
      </c>
      <c r="U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
        <f>HYPERLINK("https://klasma.github.io/Logging_0381/artfynd/A 19961-2022 artfynd.xlsx", "A 19961-2022")</f>
        <v/>
      </c>
      <c r="W2">
        <f>HYPERLINK("https://klasma.github.io/Logging_0381/kartor/A 19961-2022 karta.png", "A 19961-2022")</f>
        <v/>
      </c>
      <c r="Y2">
        <f>HYPERLINK("https://klasma.github.io/Logging_0381/klagomål/A 19961-2022 FSC-klagomål.docx", "A 19961-2022")</f>
        <v/>
      </c>
      <c r="Z2">
        <f>HYPERLINK("https://klasma.github.io/Logging_0381/klagomålsmail/A 19961-2022 FSC-klagomål mail.docx", "A 19961-2022")</f>
        <v/>
      </c>
      <c r="AA2">
        <f>HYPERLINK("https://klasma.github.io/Logging_0381/tillsyn/A 19961-2022 tillsynsbegäran.docx", "A 19961-2022")</f>
        <v/>
      </c>
      <c r="AB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46222</v>
      </c>
      <c r="F3" t="inlineStr">
        <is>
          <t>UPPSALA LÄN</t>
        </is>
      </c>
      <c r="G3" t="inlineStr">
        <is>
          <t>ENKÖPING</t>
        </is>
      </c>
      <c r="H3" t="inlineStr">
        <is>
          <t>Kommuner</t>
        </is>
      </c>
      <c r="I3" t="n">
        <v>3.2</v>
      </c>
      <c r="J3" t="n">
        <v>4</v>
      </c>
      <c r="K3" t="n">
        <v>11</v>
      </c>
      <c r="L3" t="n">
        <v>9</v>
      </c>
      <c r="M3" t="n">
        <v>0</v>
      </c>
      <c r="N3" t="n">
        <v>1</v>
      </c>
      <c r="O3" t="n">
        <v>0</v>
      </c>
      <c r="P3" t="n">
        <v>0</v>
      </c>
      <c r="Q3" t="n">
        <v>10</v>
      </c>
      <c r="R3" t="n">
        <v>1</v>
      </c>
      <c r="S3" t="n">
        <v>23</v>
      </c>
      <c r="T3" t="n">
        <v>68</v>
      </c>
      <c r="U3"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
        <f>HYPERLINK("https://klasma.github.io/Logging_0381/artfynd/A 30851-2025 artfynd.xlsx", "A 30851-2025")</f>
        <v/>
      </c>
      <c r="W3">
        <f>HYPERLINK("https://klasma.github.io/Logging_0381/kartor/A 30851-2025 karta.png", "A 30851-2025")</f>
        <v/>
      </c>
      <c r="Y3">
        <f>HYPERLINK("https://klasma.github.io/Logging_0381/klagomål/A 30851-2025 FSC-klagomål.docx", "A 30851-2025")</f>
        <v/>
      </c>
      <c r="Z3">
        <f>HYPERLINK("https://klasma.github.io/Logging_0381/klagomålsmail/A 30851-2025 FSC-klagomål mail.docx", "A 30851-2025")</f>
        <v/>
      </c>
      <c r="AA3">
        <f>HYPERLINK("https://klasma.github.io/Logging_0381/tillsyn/A 30851-2025 tillsynsbegäran.docx", "A 30851-2025")</f>
        <v/>
      </c>
      <c r="AB3">
        <f>HYPERLINK("https://klasma.github.io/Logging_0381/tillsynsmail/A 30851-2025 tillsynsbegäran mail.docx", "A 30851-2025")</f>
        <v/>
      </c>
      <c r="AC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46222</v>
      </c>
      <c r="F4" t="inlineStr">
        <is>
          <t>UPPSALA LÄN</t>
        </is>
      </c>
      <c r="G4" t="inlineStr">
        <is>
          <t>ENKÖPING</t>
        </is>
      </c>
      <c r="I4" t="n">
        <v>2.9</v>
      </c>
      <c r="J4" t="n">
        <v>8</v>
      </c>
      <c r="K4" t="n">
        <v>8</v>
      </c>
      <c r="L4" t="n">
        <v>4</v>
      </c>
      <c r="M4" t="n">
        <v>1</v>
      </c>
      <c r="N4" t="n">
        <v>1</v>
      </c>
      <c r="O4" t="n">
        <v>0</v>
      </c>
      <c r="P4" t="n">
        <v>0</v>
      </c>
      <c r="Q4" t="n">
        <v>6</v>
      </c>
      <c r="R4" t="n">
        <v>2</v>
      </c>
      <c r="S4" t="n">
        <v>18</v>
      </c>
      <c r="T4" t="n">
        <v>28</v>
      </c>
      <c r="U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4">
        <f>HYPERLINK("https://klasma.github.io/Logging_0381/artfynd/A 60284-2022 artfynd.xlsx", "A 60284-2022")</f>
        <v/>
      </c>
      <c r="W4">
        <f>HYPERLINK("https://klasma.github.io/Logging_0381/kartor/A 60284-2022 karta.png", "A 60284-2022")</f>
        <v/>
      </c>
      <c r="Y4">
        <f>HYPERLINK("https://klasma.github.io/Logging_0381/klagomål/A 60284-2022 FSC-klagomål.docx", "A 60284-2022")</f>
        <v/>
      </c>
      <c r="Z4">
        <f>HYPERLINK("https://klasma.github.io/Logging_0381/klagomålsmail/A 60284-2022 FSC-klagomål mail.docx", "A 60284-2022")</f>
        <v/>
      </c>
      <c r="AA4">
        <f>HYPERLINK("https://klasma.github.io/Logging_0381/tillsyn/A 60284-2022 tillsynsbegäran.docx", "A 60284-2022")</f>
        <v/>
      </c>
      <c r="AB4">
        <f>HYPERLINK("https://klasma.github.io/Logging_0381/tillsynsmail/A 60284-2022 tillsynsbegäran mail.docx", "A 60284-2022")</f>
        <v/>
      </c>
      <c r="AC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46222</v>
      </c>
      <c r="F5" t="inlineStr">
        <is>
          <t>UPPSALA LÄN</t>
        </is>
      </c>
      <c r="G5" t="inlineStr">
        <is>
          <t>ENKÖPING</t>
        </is>
      </c>
      <c r="I5" t="n">
        <v>13.3</v>
      </c>
      <c r="J5" t="n">
        <v>5</v>
      </c>
      <c r="K5" t="n">
        <v>8</v>
      </c>
      <c r="L5" t="n">
        <v>4</v>
      </c>
      <c r="M5" t="n">
        <v>1</v>
      </c>
      <c r="N5" t="n">
        <v>0</v>
      </c>
      <c r="O5" t="n">
        <v>0</v>
      </c>
      <c r="P5" t="n">
        <v>0</v>
      </c>
      <c r="Q5" t="n">
        <v>5</v>
      </c>
      <c r="R5" t="n">
        <v>1</v>
      </c>
      <c r="S5" t="n">
        <v>17</v>
      </c>
      <c r="T5" t="n">
        <v>33</v>
      </c>
      <c r="U5" s="2" t="inlineStr">
        <is>
          <t>Knärot
Motaggsvamp
Rynkskinn
Talltita
Ullticka
Björksplintborre
Blodticka
Bronshjon
Grönpyrola
Källpraktmossa
Trådticka
Vedticka
Vågbandad barkbock
Mattlummer
Missne
Spillkråka
Kungsfågel</t>
        </is>
      </c>
      <c r="V5">
        <f>HYPERLINK("https://klasma.github.io/Logging_0381/artfynd/A 21810-2026 artfynd.xlsx", "A 21810-2026")</f>
        <v/>
      </c>
      <c r="W5">
        <f>HYPERLINK("https://klasma.github.io/Logging_0381/kartor/A 21810-2026 karta.png", "A 21810-2026")</f>
        <v/>
      </c>
      <c r="X5">
        <f>HYPERLINK("https://klasma.github.io/Logging_0381/knärot/A 21810-2026 karta knärot.png", "A 21810-2026")</f>
        <v/>
      </c>
      <c r="Y5">
        <f>HYPERLINK("https://klasma.github.io/Logging_0381/klagomål/A 21810-2026 FSC-klagomål.docx", "A 21810-2026")</f>
        <v/>
      </c>
      <c r="Z5">
        <f>HYPERLINK("https://klasma.github.io/Logging_0381/klagomålsmail/A 21810-2026 FSC-klagomål mail.docx", "A 21810-2026")</f>
        <v/>
      </c>
      <c r="AA5">
        <f>HYPERLINK("https://klasma.github.io/Logging_0381/tillsyn/A 21810-2026 tillsynsbegäran.docx", "A 21810-2026")</f>
        <v/>
      </c>
      <c r="AB5">
        <f>HYPERLINK("https://klasma.github.io/Logging_0381/tillsynsmail/A 21810-2026 tillsynsbegäran mail.docx", "A 21810-2026")</f>
        <v/>
      </c>
      <c r="AC5">
        <f>HYPERLINK("https://klasma.github.io/Logging_0381/fåglar/A 21810-2026 prioriterade fågelarter.docx", "A 21810-2026")</f>
        <v/>
      </c>
    </row>
    <row r="6" ht="15" customHeight="1">
      <c r="A6" t="inlineStr">
        <is>
          <t>S 2985-2024</t>
        </is>
      </c>
      <c r="B6" t="inlineStr">
        <is>
          <t>samrådsanmälan</t>
        </is>
      </c>
      <c r="C6" t="inlineStr">
        <is>
          <t>Annan skogsbruksåtgärd</t>
        </is>
      </c>
      <c r="D6" s="1" t="n">
        <v>45511</v>
      </c>
      <c r="E6" s="1" t="n">
        <v>46222</v>
      </c>
      <c r="F6" t="inlineStr">
        <is>
          <t>UPPSALA LÄN</t>
        </is>
      </c>
      <c r="G6" t="inlineStr">
        <is>
          <t>ENKÖPING</t>
        </is>
      </c>
      <c r="I6" t="n">
        <v>9.800000000000001</v>
      </c>
      <c r="J6" t="n">
        <v>0</v>
      </c>
      <c r="K6" t="n">
        <v>1</v>
      </c>
      <c r="L6" t="n">
        <v>1</v>
      </c>
      <c r="M6" t="n">
        <v>3</v>
      </c>
      <c r="N6" t="n">
        <v>2</v>
      </c>
      <c r="O6" t="n">
        <v>0</v>
      </c>
      <c r="P6" t="n">
        <v>0</v>
      </c>
      <c r="Q6" t="n">
        <v>6</v>
      </c>
      <c r="R6" t="n">
        <v>5</v>
      </c>
      <c r="S6" t="n">
        <v>7</v>
      </c>
      <c r="T6" t="n">
        <v>46</v>
      </c>
      <c r="U6" s="2" t="inlineStr">
        <is>
          <t>Almrostöra
Prakttagging
Almsprängticka
Gulvit blekspik
Liten blekspik
Svartöra
Lönnlav</t>
        </is>
      </c>
      <c r="V6">
        <f>HYPERLINK("https://klasma.github.io/Logging_0381/artfynd/S 2985-2024 artfynd.xlsx", "S 2985-2024")</f>
        <v/>
      </c>
      <c r="W6">
        <f>HYPERLINK("https://klasma.github.io/Logging_0381/kartor/S 2985-2024 karta.png", "S 2985-2024")</f>
        <v/>
      </c>
      <c r="Y6">
        <f>HYPERLINK("https://klasma.github.io/Logging_0381/klagomål/S 2985-2024 FSC-klagomål.docx", "S 2985-2024")</f>
        <v/>
      </c>
      <c r="Z6">
        <f>HYPERLINK("https://klasma.github.io/Logging_0381/klagomålsmail/S 2985-2024 FSC-klagomål mail.docx", "S 2985-2024")</f>
        <v/>
      </c>
      <c r="AA6">
        <f>HYPERLINK("https://klasma.github.io/Logging_0381/tillsyn/S 2985-2024 tillsynsbegäran.docx", "S 2985-2024")</f>
        <v/>
      </c>
      <c r="AB6">
        <f>HYPERLINK("https://klasma.github.io/Logging_0381/tillsynsmail/S 2985-2024 tillsynsbegäran mail.docx", "S 2985-2024")</f>
        <v/>
      </c>
    </row>
    <row r="7" ht="15" customHeight="1">
      <c r="A7" t="inlineStr">
        <is>
          <t>S 945-2026</t>
        </is>
      </c>
      <c r="B7" t="inlineStr">
        <is>
          <t>samrådsanmälan</t>
        </is>
      </c>
      <c r="C7" t="inlineStr">
        <is>
          <t>Annan skogsbruksåtgärd</t>
        </is>
      </c>
      <c r="D7" s="1" t="n">
        <v>46112</v>
      </c>
      <c r="E7" s="1" t="n">
        <v>46222</v>
      </c>
      <c r="F7" t="inlineStr">
        <is>
          <t>UPPSALA LÄN</t>
        </is>
      </c>
      <c r="G7" t="inlineStr">
        <is>
          <t>ENKÖPING</t>
        </is>
      </c>
      <c r="H7" t="inlineStr">
        <is>
          <t>Övriga statliga verk och myndigheter</t>
        </is>
      </c>
      <c r="I7" t="n">
        <v>4.2</v>
      </c>
      <c r="J7" t="n">
        <v>3</v>
      </c>
      <c r="K7" t="n">
        <v>1</v>
      </c>
      <c r="L7" t="n">
        <v>2</v>
      </c>
      <c r="M7" t="n">
        <v>0</v>
      </c>
      <c r="N7" t="n">
        <v>3</v>
      </c>
      <c r="O7" t="n">
        <v>0</v>
      </c>
      <c r="P7" t="n">
        <v>0</v>
      </c>
      <c r="Q7" t="n">
        <v>5</v>
      </c>
      <c r="R7" t="n">
        <v>3</v>
      </c>
      <c r="S7" t="n">
        <v>6</v>
      </c>
      <c r="T7" t="n">
        <v>14</v>
      </c>
      <c r="U7" s="2" t="inlineStr">
        <is>
          <t>Bombmurkla
Grusnejlika
Läkeögontröst
Fjällig taggsvamp s.str.
Stor vårtrattskivling
Grön sköldmossa</t>
        </is>
      </c>
      <c r="V7">
        <f>HYPERLINK("https://klasma.github.io/Logging_0381/artfynd/S 945-2026 artfynd.xlsx", "S 945-2026")</f>
        <v/>
      </c>
      <c r="W7">
        <f>HYPERLINK("https://klasma.github.io/Logging_0381/kartor/S 945-2026 karta.png", "S 945-2026")</f>
        <v/>
      </c>
      <c r="Y7">
        <f>HYPERLINK("https://klasma.github.io/Logging_0381/klagomål/S 945-2026 FSC-klagomål.docx", "S 945-2026")</f>
        <v/>
      </c>
      <c r="Z7">
        <f>HYPERLINK("https://klasma.github.io/Logging_0381/klagomålsmail/S 945-2026 FSC-klagomål mail.docx", "S 945-2026")</f>
        <v/>
      </c>
      <c r="AA7">
        <f>HYPERLINK("https://klasma.github.io/Logging_0381/tillsyn/S 945-2026 tillsynsbegäran.docx", "S 945-2026")</f>
        <v/>
      </c>
      <c r="AB7">
        <f>HYPERLINK("https://klasma.github.io/Logging_0381/tillsynsmail/S 945-2026 tillsynsbegäran mail.docx", "S 945-2026")</f>
        <v/>
      </c>
    </row>
    <row r="8" ht="15" customHeight="1">
      <c r="A8" t="inlineStr">
        <is>
          <t>A 2711-2022</t>
        </is>
      </c>
      <c r="B8" t="inlineStr">
        <is>
          <t>avverkningsanmälan</t>
        </is>
      </c>
      <c r="C8" t="inlineStr">
        <is>
          <t>Föryngringsavverkning</t>
        </is>
      </c>
      <c r="D8" s="1" t="n">
        <v>44552</v>
      </c>
      <c r="E8" s="1" t="n">
        <v>46222</v>
      </c>
      <c r="F8" t="inlineStr">
        <is>
          <t>UPPSALA LÄN</t>
        </is>
      </c>
      <c r="G8" t="inlineStr">
        <is>
          <t>ENKÖPING</t>
        </is>
      </c>
      <c r="H8" t="inlineStr">
        <is>
          <t>Kommuner</t>
        </is>
      </c>
      <c r="I8" t="n">
        <v>2</v>
      </c>
      <c r="J8" t="n">
        <v>0</v>
      </c>
      <c r="K8" t="n">
        <v>2</v>
      </c>
      <c r="L8" t="n">
        <v>2</v>
      </c>
      <c r="M8" t="n">
        <v>1</v>
      </c>
      <c r="N8" t="n">
        <v>0</v>
      </c>
      <c r="O8" t="n">
        <v>0</v>
      </c>
      <c r="P8" t="n">
        <v>0</v>
      </c>
      <c r="Q8" t="n">
        <v>3</v>
      </c>
      <c r="R8" t="n">
        <v>1</v>
      </c>
      <c r="S8" t="n">
        <v>5</v>
      </c>
      <c r="T8" t="n">
        <v>6</v>
      </c>
      <c r="U8" s="2" t="inlineStr">
        <is>
          <t>Grangråticka
Skarp dropptaggsvamp
Ullticka
Rödgul trumpetsvamp
Strimspindling</t>
        </is>
      </c>
      <c r="V8">
        <f>HYPERLINK("https://klasma.github.io/Logging_0381/artfynd/A 2711-2022 artfynd.xlsx", "A 2711-2022")</f>
        <v/>
      </c>
      <c r="W8">
        <f>HYPERLINK("https://klasma.github.io/Logging_0381/kartor/A 2711-2022 karta.png", "A 2711-2022")</f>
        <v/>
      </c>
      <c r="Y8">
        <f>HYPERLINK("https://klasma.github.io/Logging_0381/klagomål/A 2711-2022 FSC-klagomål.docx", "A 2711-2022")</f>
        <v/>
      </c>
      <c r="Z8">
        <f>HYPERLINK("https://klasma.github.io/Logging_0381/klagomålsmail/A 2711-2022 FSC-klagomål mail.docx", "A 2711-2022")</f>
        <v/>
      </c>
      <c r="AA8">
        <f>HYPERLINK("https://klasma.github.io/Logging_0381/tillsyn/A 2711-2022 tillsynsbegäran.docx", "A 2711-2022")</f>
        <v/>
      </c>
      <c r="AB8">
        <f>HYPERLINK("https://klasma.github.io/Logging_0381/tillsynsmail/A 2711-2022 tillsynsbegäran mail.docx", "A 2711-2022")</f>
        <v/>
      </c>
    </row>
    <row r="9" ht="15" customHeight="1">
      <c r="A9" t="inlineStr">
        <is>
          <t>A 31552-2023</t>
        </is>
      </c>
      <c r="B9" t="inlineStr">
        <is>
          <t>avverkningsanmälan</t>
        </is>
      </c>
      <c r="C9" t="inlineStr">
        <is>
          <t>Föryngringsavverkning</t>
        </is>
      </c>
      <c r="D9" s="1" t="n">
        <v>45104</v>
      </c>
      <c r="E9" s="1" t="n">
        <v>46222</v>
      </c>
      <c r="F9" t="inlineStr">
        <is>
          <t>UPPSALA LÄN</t>
        </is>
      </c>
      <c r="G9" t="inlineStr">
        <is>
          <t>ENKÖPING</t>
        </is>
      </c>
      <c r="I9" t="n">
        <v>2.6</v>
      </c>
      <c r="J9" t="n">
        <v>2</v>
      </c>
      <c r="K9" t="n">
        <v>2</v>
      </c>
      <c r="L9" t="n">
        <v>1</v>
      </c>
      <c r="M9" t="n">
        <v>0</v>
      </c>
      <c r="N9" t="n">
        <v>1</v>
      </c>
      <c r="O9" t="n">
        <v>0</v>
      </c>
      <c r="P9" t="n">
        <v>0</v>
      </c>
      <c r="Q9" t="n">
        <v>2</v>
      </c>
      <c r="R9" t="n">
        <v>1</v>
      </c>
      <c r="S9" t="n">
        <v>5</v>
      </c>
      <c r="T9" t="n">
        <v>28</v>
      </c>
      <c r="U9" s="2" t="inlineStr">
        <is>
          <t>Bombmurkla
Fyrflikig jordstjärna
Grön sköldmossa
Grönpyrola
Kransmossa</t>
        </is>
      </c>
      <c r="V9">
        <f>HYPERLINK("https://klasma.github.io/Logging_0381/artfynd/A 31552-2023 artfynd.xlsx", "A 31552-2023")</f>
        <v/>
      </c>
      <c r="W9">
        <f>HYPERLINK("https://klasma.github.io/Logging_0381/kartor/A 31552-2023 karta.png", "A 31552-2023")</f>
        <v/>
      </c>
      <c r="Y9">
        <f>HYPERLINK("https://klasma.github.io/Logging_0381/klagomål/A 31552-2023 FSC-klagomål.docx", "A 31552-2023")</f>
        <v/>
      </c>
      <c r="Z9">
        <f>HYPERLINK("https://klasma.github.io/Logging_0381/klagomålsmail/A 31552-2023 FSC-klagomål mail.docx", "A 31552-2023")</f>
        <v/>
      </c>
      <c r="AA9">
        <f>HYPERLINK("https://klasma.github.io/Logging_0381/tillsyn/A 31552-2023 tillsynsbegäran.docx", "A 31552-2023")</f>
        <v/>
      </c>
      <c r="AB9">
        <f>HYPERLINK("https://klasma.github.io/Logging_0381/tillsynsmail/A 31552-2023 tillsynsbegäran mail.docx", "A 31552-2023")</f>
        <v/>
      </c>
    </row>
    <row r="10" ht="15" customHeight="1">
      <c r="A10" t="inlineStr">
        <is>
          <t>A 1988-2022</t>
        </is>
      </c>
      <c r="B10" t="inlineStr">
        <is>
          <t>avverkningsanmälan</t>
        </is>
      </c>
      <c r="C10" t="inlineStr">
        <is>
          <t>Föryngringsavverkning</t>
        </is>
      </c>
      <c r="D10" s="1" t="n">
        <v>44575</v>
      </c>
      <c r="E10" s="1" t="n">
        <v>46222</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s="2" t="inlineStr">
        <is>
          <t>Ask
Skogsalm
Fyrflikig jordstjärna
Ängsskära
Svart trolldruva</t>
        </is>
      </c>
      <c r="V10">
        <f>HYPERLINK("https://klasma.github.io/Logging_0381/artfynd/A 1988-2022 artfynd.xlsx", "A 1988-2022")</f>
        <v/>
      </c>
      <c r="W10">
        <f>HYPERLINK("https://klasma.github.io/Logging_0381/kartor/A 1988-2022 karta.png", "A 1988-2022")</f>
        <v/>
      </c>
      <c r="Y10">
        <f>HYPERLINK("https://klasma.github.io/Logging_0381/klagomål/A 1988-2022 FSC-klagomål.docx", "A 1988-2022")</f>
        <v/>
      </c>
      <c r="Z10">
        <f>HYPERLINK("https://klasma.github.io/Logging_0381/klagomålsmail/A 1988-2022 FSC-klagomål mail.docx", "A 1988-2022")</f>
        <v/>
      </c>
      <c r="AA10">
        <f>HYPERLINK("https://klasma.github.io/Logging_0381/tillsyn/A 1988-2022 tillsynsbegäran.docx", "A 1988-2022")</f>
        <v/>
      </c>
      <c r="AB10">
        <f>HYPERLINK("https://klasma.github.io/Logging_0381/tillsynsmail/A 1988-2022 tillsynsbegäran mail.docx", "A 1988-2022")</f>
        <v/>
      </c>
    </row>
    <row r="11" ht="15" customHeight="1">
      <c r="A11" t="inlineStr">
        <is>
          <t>S 2316-2023</t>
        </is>
      </c>
      <c r="B11" t="inlineStr">
        <is>
          <t>samrådsanmälan</t>
        </is>
      </c>
      <c r="C11" t="inlineStr">
        <is>
          <t>Annan skogsbruksåtgärd</t>
        </is>
      </c>
      <c r="D11" s="1" t="n">
        <v>45104</v>
      </c>
      <c r="E11" s="1" t="n">
        <v>46222</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s="2" t="inlineStr">
        <is>
          <t>Bombmurkla
Fyrflikig jordstjärna
Grön sköldmossa
Grönpyrola
Kransmossa</t>
        </is>
      </c>
      <c r="V11">
        <f>HYPERLINK("https://klasma.github.io/Logging_0381/artfynd/S 2316-2023 artfynd.xlsx", "S 2316-2023")</f>
        <v/>
      </c>
      <c r="W11">
        <f>HYPERLINK("https://klasma.github.io/Logging_0381/kartor/S 2316-2023 karta.png", "S 2316-2023")</f>
        <v/>
      </c>
      <c r="Y11">
        <f>HYPERLINK("https://klasma.github.io/Logging_0381/klagomål/S 2316-2023 FSC-klagomål.docx", "S 2316-2023")</f>
        <v/>
      </c>
      <c r="Z11">
        <f>HYPERLINK("https://klasma.github.io/Logging_0381/klagomålsmail/S 2316-2023 FSC-klagomål mail.docx", "S 2316-2023")</f>
        <v/>
      </c>
      <c r="AA11">
        <f>HYPERLINK("https://klasma.github.io/Logging_0381/tillsyn/S 2316-2023 tillsynsbegäran.docx", "S 2316-2023")</f>
        <v/>
      </c>
      <c r="AB11">
        <f>HYPERLINK("https://klasma.github.io/Logging_0381/tillsynsmail/S 2316-2023 tillsynsbegäran mail.docx", "S 2316-2023")</f>
        <v/>
      </c>
    </row>
    <row r="12" ht="15" customHeight="1">
      <c r="A12" t="inlineStr">
        <is>
          <t>A 68998-2021</t>
        </is>
      </c>
      <c r="B12" t="inlineStr">
        <is>
          <t>avverkningsanmälan</t>
        </is>
      </c>
      <c r="C12" t="inlineStr">
        <is>
          <t>Föryngringsavverkning</t>
        </is>
      </c>
      <c r="D12" s="1" t="n">
        <v>44530</v>
      </c>
      <c r="E12" s="1" t="n">
        <v>46222</v>
      </c>
      <c r="F12" t="inlineStr">
        <is>
          <t>UPPSALA LÄN</t>
        </is>
      </c>
      <c r="G12" t="inlineStr">
        <is>
          <t>ENKÖPING</t>
        </is>
      </c>
      <c r="I12" t="n">
        <v>16.2</v>
      </c>
      <c r="J12" t="n">
        <v>1</v>
      </c>
      <c r="K12" t="n">
        <v>1</v>
      </c>
      <c r="L12" t="n">
        <v>2</v>
      </c>
      <c r="M12" t="n">
        <v>0</v>
      </c>
      <c r="N12" t="n">
        <v>0</v>
      </c>
      <c r="O12" t="n">
        <v>0</v>
      </c>
      <c r="P12" t="n">
        <v>0</v>
      </c>
      <c r="Q12" t="n">
        <v>2</v>
      </c>
      <c r="R12" t="n">
        <v>0</v>
      </c>
      <c r="S12" t="n">
        <v>4</v>
      </c>
      <c r="T12" t="n">
        <v>4</v>
      </c>
      <c r="U12" s="2" t="inlineStr">
        <is>
          <t>Krusfrö
Svinrot
Svart trolldruva
Nattviol</t>
        </is>
      </c>
      <c r="V12">
        <f>HYPERLINK("https://klasma.github.io/Logging_0381/artfynd/A 68998-2021 artfynd.xlsx", "A 68998-2021")</f>
        <v/>
      </c>
      <c r="W12">
        <f>HYPERLINK("https://klasma.github.io/Logging_0381/kartor/A 68998-2021 karta.png", "A 68998-2021")</f>
        <v/>
      </c>
      <c r="Y12">
        <f>HYPERLINK("https://klasma.github.io/Logging_0381/klagomål/A 68998-2021 FSC-klagomål.docx", "A 68998-2021")</f>
        <v/>
      </c>
      <c r="Z12">
        <f>HYPERLINK("https://klasma.github.io/Logging_0381/klagomålsmail/A 68998-2021 FSC-klagomål mail.docx", "A 68998-2021")</f>
        <v/>
      </c>
      <c r="AA12">
        <f>HYPERLINK("https://klasma.github.io/Logging_0381/tillsyn/A 68998-2021 tillsynsbegäran.docx", "A 68998-2021")</f>
        <v/>
      </c>
      <c r="AB12">
        <f>HYPERLINK("https://klasma.github.io/Logging_0381/tillsynsmail/A 68998-2021 tillsynsbegäran mail.docx", "A 68998-2021")</f>
        <v/>
      </c>
    </row>
    <row r="13" ht="15" customHeight="1">
      <c r="A13" t="inlineStr">
        <is>
          <t>A 73903-2021</t>
        </is>
      </c>
      <c r="B13" t="inlineStr">
        <is>
          <t>avverkningsanmälan</t>
        </is>
      </c>
      <c r="C13" t="inlineStr">
        <is>
          <t>Föryngringsavverkning</t>
        </is>
      </c>
      <c r="D13" s="1" t="n">
        <v>44552</v>
      </c>
      <c r="E13" s="1" t="n">
        <v>46222</v>
      </c>
      <c r="F13" t="inlineStr">
        <is>
          <t>UPPSALA LÄN</t>
        </is>
      </c>
      <c r="G13" t="inlineStr">
        <is>
          <t>ENKÖPING</t>
        </is>
      </c>
      <c r="H13" t="inlineStr">
        <is>
          <t>Kommuner</t>
        </is>
      </c>
      <c r="I13" t="n">
        <v>3.1</v>
      </c>
      <c r="J13" t="n">
        <v>0</v>
      </c>
      <c r="K13" t="n">
        <v>0</v>
      </c>
      <c r="L13" t="n">
        <v>3</v>
      </c>
      <c r="M13" t="n">
        <v>0</v>
      </c>
      <c r="N13" t="n">
        <v>0</v>
      </c>
      <c r="O13" t="n">
        <v>0</v>
      </c>
      <c r="P13" t="n">
        <v>0</v>
      </c>
      <c r="Q13" t="n">
        <v>3</v>
      </c>
      <c r="R13" t="n">
        <v>0</v>
      </c>
      <c r="S13" t="n">
        <v>3</v>
      </c>
      <c r="T13" t="n">
        <v>20</v>
      </c>
      <c r="U13" s="2" t="inlineStr">
        <is>
          <t>Orange taggsvamp
Rynkskinn
Ullticka</t>
        </is>
      </c>
      <c r="V13">
        <f>HYPERLINK("https://klasma.github.io/Logging_0381/artfynd/A 73903-2021 artfynd.xlsx", "A 73903-2021")</f>
        <v/>
      </c>
      <c r="W13">
        <f>HYPERLINK("https://klasma.github.io/Logging_0381/kartor/A 73903-2021 karta.png", "A 73903-2021")</f>
        <v/>
      </c>
      <c r="Y13">
        <f>HYPERLINK("https://klasma.github.io/Logging_0381/klagomål/A 73903-2021 FSC-klagomål.docx", "A 73903-2021")</f>
        <v/>
      </c>
      <c r="Z13">
        <f>HYPERLINK("https://klasma.github.io/Logging_0381/klagomålsmail/A 73903-2021 FSC-klagomål mail.docx", "A 73903-2021")</f>
        <v/>
      </c>
      <c r="AA13">
        <f>HYPERLINK("https://klasma.github.io/Logging_0381/tillsyn/A 73903-2021 tillsynsbegäran.docx", "A 73903-2021")</f>
        <v/>
      </c>
      <c r="AB13">
        <f>HYPERLINK("https://klasma.github.io/Logging_0381/tillsynsmail/A 73903-2021 tillsynsbegäran mail.docx", "A 73903-2021")</f>
        <v/>
      </c>
    </row>
    <row r="14" ht="15" customHeight="1">
      <c r="A14" t="inlineStr">
        <is>
          <t>A 52092-2022</t>
        </is>
      </c>
      <c r="B14" t="inlineStr">
        <is>
          <t>avverkningsanmälan</t>
        </is>
      </c>
      <c r="C14" t="inlineStr">
        <is>
          <t>Föryngringsavverkning</t>
        </is>
      </c>
      <c r="D14" s="1" t="n">
        <v>44873</v>
      </c>
      <c r="E14" s="1" t="n">
        <v>46222</v>
      </c>
      <c r="F14" t="inlineStr">
        <is>
          <t>UPPSALA LÄN</t>
        </is>
      </c>
      <c r="G14" t="inlineStr">
        <is>
          <t>ENKÖPING</t>
        </is>
      </c>
      <c r="I14" t="n">
        <v>2.4</v>
      </c>
      <c r="J14" t="n">
        <v>1</v>
      </c>
      <c r="K14" t="n">
        <v>0</v>
      </c>
      <c r="L14" t="n">
        <v>2</v>
      </c>
      <c r="M14" t="n">
        <v>0</v>
      </c>
      <c r="N14" t="n">
        <v>1</v>
      </c>
      <c r="O14" t="n">
        <v>0</v>
      </c>
      <c r="P14" t="n">
        <v>0</v>
      </c>
      <c r="Q14" t="n">
        <v>3</v>
      </c>
      <c r="R14" t="n">
        <v>1</v>
      </c>
      <c r="S14" t="n">
        <v>3</v>
      </c>
      <c r="T14" t="n">
        <v>6</v>
      </c>
      <c r="U14" s="2" t="inlineStr">
        <is>
          <t>Bombmurkla
Fyrflikig jordstjärna
Ullticka</t>
        </is>
      </c>
      <c r="V14">
        <f>HYPERLINK("https://klasma.github.io/Logging_0381/artfynd/A 52092-2022 artfynd.xlsx", "A 52092-2022")</f>
        <v/>
      </c>
      <c r="W14">
        <f>HYPERLINK("https://klasma.github.io/Logging_0381/kartor/A 52092-2022 karta.png", "A 52092-2022")</f>
        <v/>
      </c>
      <c r="Y14">
        <f>HYPERLINK("https://klasma.github.io/Logging_0381/klagomål/A 52092-2022 FSC-klagomål.docx", "A 52092-2022")</f>
        <v/>
      </c>
      <c r="Z14">
        <f>HYPERLINK("https://klasma.github.io/Logging_0381/klagomålsmail/A 52092-2022 FSC-klagomål mail.docx", "A 52092-2022")</f>
        <v/>
      </c>
      <c r="AA14">
        <f>HYPERLINK("https://klasma.github.io/Logging_0381/tillsyn/A 52092-2022 tillsynsbegäran.docx", "A 52092-2022")</f>
        <v/>
      </c>
      <c r="AB14">
        <f>HYPERLINK("https://klasma.github.io/Logging_0381/tillsynsmail/A 52092-2022 tillsynsbegäran mail.docx", "A 52092-2022")</f>
        <v/>
      </c>
    </row>
    <row r="15" ht="15" customHeight="1">
      <c r="A15" t="inlineStr">
        <is>
          <t>A 14229-2026</t>
        </is>
      </c>
      <c r="B15" t="inlineStr">
        <is>
          <t>avverkningsanmälan</t>
        </is>
      </c>
      <c r="C15" t="inlineStr">
        <is>
          <t>Avverkning för annat ändamål</t>
        </is>
      </c>
      <c r="D15" s="1" t="n">
        <v>46099</v>
      </c>
      <c r="E15" s="1" t="n">
        <v>46222</v>
      </c>
      <c r="F15" t="inlineStr">
        <is>
          <t>UPPSALA LÄN</t>
        </is>
      </c>
      <c r="G15" t="inlineStr">
        <is>
          <t>ENKÖPING</t>
        </is>
      </c>
      <c r="I15" t="n">
        <v>0.7</v>
      </c>
      <c r="J15" t="n">
        <v>2</v>
      </c>
      <c r="K15" t="n">
        <v>1</v>
      </c>
      <c r="L15" t="n">
        <v>1</v>
      </c>
      <c r="M15" t="n">
        <v>1</v>
      </c>
      <c r="N15" t="n">
        <v>0</v>
      </c>
      <c r="O15" t="n">
        <v>0</v>
      </c>
      <c r="P15" t="n">
        <v>0</v>
      </c>
      <c r="Q15" t="n">
        <v>2</v>
      </c>
      <c r="R15" t="n">
        <v>1</v>
      </c>
      <c r="S15" t="n">
        <v>3</v>
      </c>
      <c r="T15" t="n">
        <v>10</v>
      </c>
      <c r="U15" s="2" t="inlineStr">
        <is>
          <t>Knärot
Talltita
Källpraktmossa</t>
        </is>
      </c>
      <c r="V15">
        <f>HYPERLINK("https://klasma.github.io/Logging_0381/artfynd/A 14229-2026 artfynd.xlsx", "A 14229-2026")</f>
        <v/>
      </c>
      <c r="W15">
        <f>HYPERLINK("https://klasma.github.io/Logging_0381/kartor/A 14229-2026 karta.png", "A 14229-2026")</f>
        <v/>
      </c>
      <c r="X15">
        <f>HYPERLINK("https://klasma.github.io/Logging_0381/knärot/A 14229-2026 karta knärot.png", "A 14229-2026")</f>
        <v/>
      </c>
      <c r="Y15">
        <f>HYPERLINK("https://klasma.github.io/Logging_0381/klagomål/A 14229-2026 FSC-klagomål.docx", "A 14229-2026")</f>
        <v/>
      </c>
      <c r="Z15">
        <f>HYPERLINK("https://klasma.github.io/Logging_0381/klagomålsmail/A 14229-2026 FSC-klagomål mail.docx", "A 14229-2026")</f>
        <v/>
      </c>
      <c r="AA15">
        <f>HYPERLINK("https://klasma.github.io/Logging_0381/tillsyn/A 14229-2026 tillsynsbegäran.docx", "A 14229-2026")</f>
        <v/>
      </c>
      <c r="AB15">
        <f>HYPERLINK("https://klasma.github.io/Logging_0381/tillsynsmail/A 14229-2026 tillsynsbegäran mail.docx", "A 14229-2026")</f>
        <v/>
      </c>
      <c r="AC15">
        <f>HYPERLINK("https://klasma.github.io/Logging_0381/fåglar/A 14229-2026 prioriterade fågelarter.docx", "A 14229-2026")</f>
        <v/>
      </c>
    </row>
    <row r="16" ht="15" customHeight="1">
      <c r="A16" t="inlineStr">
        <is>
          <t>A 53208-2023</t>
        </is>
      </c>
      <c r="B16" t="inlineStr">
        <is>
          <t>avverkningsanmälan</t>
        </is>
      </c>
      <c r="C16" t="inlineStr">
        <is>
          <t>Avverkning för annat ändamål</t>
        </is>
      </c>
      <c r="D16" s="1" t="n">
        <v>45226</v>
      </c>
      <c r="E16" s="1" t="n">
        <v>46222</v>
      </c>
      <c r="F16" t="inlineStr">
        <is>
          <t>UPPSALA LÄN</t>
        </is>
      </c>
      <c r="G16" t="inlineStr">
        <is>
          <t>ENKÖPING</t>
        </is>
      </c>
      <c r="I16" t="n">
        <v>4.3</v>
      </c>
      <c r="J16" t="n">
        <v>1</v>
      </c>
      <c r="K16" t="n">
        <v>0</v>
      </c>
      <c r="L16" t="n">
        <v>2</v>
      </c>
      <c r="M16" t="n">
        <v>0</v>
      </c>
      <c r="N16" t="n">
        <v>0</v>
      </c>
      <c r="O16" t="n">
        <v>0</v>
      </c>
      <c r="P16" t="n">
        <v>0</v>
      </c>
      <c r="Q16" t="n">
        <v>2</v>
      </c>
      <c r="R16" t="n">
        <v>0</v>
      </c>
      <c r="S16" t="n">
        <v>3</v>
      </c>
      <c r="T16" t="n">
        <v>3</v>
      </c>
      <c r="U16" s="2" t="inlineStr">
        <is>
          <t>Jungfrulin
Älg
Vanlig padda</t>
        </is>
      </c>
      <c r="V16">
        <f>HYPERLINK("https://klasma.github.io/Logging_0381/artfynd/A 53208-2023 artfynd.xlsx", "A 53208-2023")</f>
        <v/>
      </c>
      <c r="W16">
        <f>HYPERLINK("https://klasma.github.io/Logging_0381/kartor/A 53208-2023 karta.png", "A 53208-2023")</f>
        <v/>
      </c>
      <c r="Y16">
        <f>HYPERLINK("https://klasma.github.io/Logging_0381/klagomål/A 53208-2023 FSC-klagomål.docx", "A 53208-2023")</f>
        <v/>
      </c>
      <c r="Z16">
        <f>HYPERLINK("https://klasma.github.io/Logging_0381/klagomålsmail/A 53208-2023 FSC-klagomål mail.docx", "A 53208-2023")</f>
        <v/>
      </c>
      <c r="AA16">
        <f>HYPERLINK("https://klasma.github.io/Logging_0381/tillsyn/A 53208-2023 tillsynsbegäran.docx", "A 53208-2023")</f>
        <v/>
      </c>
      <c r="AB16">
        <f>HYPERLINK("https://klasma.github.io/Logging_0381/tillsynsmail/A 53208-2023 tillsynsbegäran mail.docx", "A 53208-2023")</f>
        <v/>
      </c>
    </row>
    <row r="17" ht="15" customHeight="1">
      <c r="A17" t="inlineStr">
        <is>
          <t>A 50105-2023</t>
        </is>
      </c>
      <c r="B17" t="inlineStr">
        <is>
          <t>avverkningsanmälan</t>
        </is>
      </c>
      <c r="C17" t="inlineStr">
        <is>
          <t>Föryngringsavverkning</t>
        </is>
      </c>
      <c r="D17" s="1" t="n">
        <v>45215</v>
      </c>
      <c r="E17" s="1" t="n">
        <v>46222</v>
      </c>
      <c r="F17" t="inlineStr">
        <is>
          <t>UPPSALA LÄN</t>
        </is>
      </c>
      <c r="G17" t="inlineStr">
        <is>
          <t>ENKÖPING</t>
        </is>
      </c>
      <c r="I17" t="n">
        <v>8.5</v>
      </c>
      <c r="J17" t="n">
        <v>1</v>
      </c>
      <c r="K17" t="n">
        <v>0</v>
      </c>
      <c r="L17" t="n">
        <v>1</v>
      </c>
      <c r="M17" t="n">
        <v>1</v>
      </c>
      <c r="N17" t="n">
        <v>0</v>
      </c>
      <c r="O17" t="n">
        <v>0</v>
      </c>
      <c r="P17" t="n">
        <v>0</v>
      </c>
      <c r="Q17" t="n">
        <v>2</v>
      </c>
      <c r="R17" t="n">
        <v>1</v>
      </c>
      <c r="S17" t="n">
        <v>3</v>
      </c>
      <c r="T17" t="n">
        <v>3</v>
      </c>
      <c r="U17" s="2" t="inlineStr">
        <is>
          <t>Smalskaftslav
Ullticka
Gröngöling</t>
        </is>
      </c>
      <c r="V17">
        <f>HYPERLINK("https://klasma.github.io/Logging_0381/artfynd/A 50105-2023 artfynd.xlsx", "A 50105-2023")</f>
        <v/>
      </c>
      <c r="W17">
        <f>HYPERLINK("https://klasma.github.io/Logging_0381/kartor/A 50105-2023 karta.png", "A 50105-2023")</f>
        <v/>
      </c>
      <c r="Y17">
        <f>HYPERLINK("https://klasma.github.io/Logging_0381/klagomål/A 50105-2023 FSC-klagomål.docx", "A 50105-2023")</f>
        <v/>
      </c>
      <c r="Z17">
        <f>HYPERLINK("https://klasma.github.io/Logging_0381/klagomålsmail/A 50105-2023 FSC-klagomål mail.docx", "A 50105-2023")</f>
        <v/>
      </c>
      <c r="AA17">
        <f>HYPERLINK("https://klasma.github.io/Logging_0381/tillsyn/A 50105-2023 tillsynsbegäran.docx", "A 50105-2023")</f>
        <v/>
      </c>
      <c r="AB17">
        <f>HYPERLINK("https://klasma.github.io/Logging_0381/tillsynsmail/A 50105-2023 tillsynsbegäran mail.docx", "A 50105-2023")</f>
        <v/>
      </c>
    </row>
    <row r="18" ht="15" customHeight="1">
      <c r="A18" t="inlineStr">
        <is>
          <t>S 4995-2024</t>
        </is>
      </c>
      <c r="B18" t="inlineStr">
        <is>
          <t>samrådsanmälan</t>
        </is>
      </c>
      <c r="C18" t="inlineStr">
        <is>
          <t>Annan skogsbruksåtgärd</t>
        </is>
      </c>
      <c r="D18" s="1" t="n">
        <v>45631</v>
      </c>
      <c r="E18" s="1" t="n">
        <v>46222</v>
      </c>
      <c r="F18" t="inlineStr">
        <is>
          <t>UPPSALA LÄN</t>
        </is>
      </c>
      <c r="G18" t="inlineStr">
        <is>
          <t>ENKÖPING</t>
        </is>
      </c>
      <c r="I18" t="n">
        <v>10.4</v>
      </c>
      <c r="J18" t="n">
        <v>0</v>
      </c>
      <c r="K18" t="n">
        <v>2</v>
      </c>
      <c r="L18" t="n">
        <v>1</v>
      </c>
      <c r="M18" t="n">
        <v>0</v>
      </c>
      <c r="N18" t="n">
        <v>0</v>
      </c>
      <c r="O18" t="n">
        <v>0</v>
      </c>
      <c r="P18" t="n">
        <v>0</v>
      </c>
      <c r="Q18" t="n">
        <v>1</v>
      </c>
      <c r="R18" t="n">
        <v>0</v>
      </c>
      <c r="S18" t="n">
        <v>3</v>
      </c>
      <c r="T18" t="n">
        <v>3</v>
      </c>
      <c r="U18" s="2" t="inlineStr">
        <is>
          <t>Jättekamskivling
Gulmjölkig storskål
Spindelbock</t>
        </is>
      </c>
      <c r="V18">
        <f>HYPERLINK("https://klasma.github.io/Logging_0381/artfynd/S 4995-2024 artfynd.xlsx", "S 4995-2024")</f>
        <v/>
      </c>
      <c r="W18">
        <f>HYPERLINK("https://klasma.github.io/Logging_0381/kartor/S 4995-2024 karta.png", "S 4995-2024")</f>
        <v/>
      </c>
      <c r="Y18">
        <f>HYPERLINK("https://klasma.github.io/Logging_0381/klagomål/S 4995-2024 FSC-klagomål.docx", "S 4995-2024")</f>
        <v/>
      </c>
      <c r="Z18">
        <f>HYPERLINK("https://klasma.github.io/Logging_0381/klagomålsmail/S 4995-2024 FSC-klagomål mail.docx", "S 4995-2024")</f>
        <v/>
      </c>
      <c r="AA18">
        <f>HYPERLINK("https://klasma.github.io/Logging_0381/tillsyn/S 4995-2024 tillsynsbegäran.docx", "S 4995-2024")</f>
        <v/>
      </c>
      <c r="AB18">
        <f>HYPERLINK("https://klasma.github.io/Logging_0381/tillsynsmail/S 4995-2024 tillsynsbegäran mail.docx", "S 4995-2024")</f>
        <v/>
      </c>
    </row>
    <row r="19" ht="15" customHeight="1">
      <c r="A19" t="inlineStr">
        <is>
          <t>S 1584-2026</t>
        </is>
      </c>
      <c r="B19" t="inlineStr">
        <is>
          <t>samrådsanmälan</t>
        </is>
      </c>
      <c r="C19" t="inlineStr">
        <is>
          <t>Annan skogsbruksåtgärd</t>
        </is>
      </c>
      <c r="D19" s="1" t="n">
        <v>46170</v>
      </c>
      <c r="E19" s="1" t="n">
        <v>46222</v>
      </c>
      <c r="F19" t="inlineStr">
        <is>
          <t>UPPSALA LÄN</t>
        </is>
      </c>
      <c r="G19" t="inlineStr">
        <is>
          <t>ENKÖPING</t>
        </is>
      </c>
      <c r="I19" t="n">
        <v>0.4</v>
      </c>
      <c r="J19" t="n">
        <v>1</v>
      </c>
      <c r="K19" t="n">
        <v>1</v>
      </c>
      <c r="L19" t="n">
        <v>1</v>
      </c>
      <c r="M19" t="n">
        <v>0</v>
      </c>
      <c r="N19" t="n">
        <v>1</v>
      </c>
      <c r="O19" t="n">
        <v>0</v>
      </c>
      <c r="P19" t="n">
        <v>0</v>
      </c>
      <c r="Q19" t="n">
        <v>2</v>
      </c>
      <c r="R19" t="n">
        <v>1</v>
      </c>
      <c r="S19" t="n">
        <v>3</v>
      </c>
      <c r="T19" t="n">
        <v>7</v>
      </c>
      <c r="U19" s="2" t="inlineStr">
        <is>
          <t>Bombmurkla
Fyrflikig jordstjärna
Grönpyrola</t>
        </is>
      </c>
      <c r="V19">
        <f>HYPERLINK("https://klasma.github.io/Logging_0381/artfynd/S 1584-2026 artfynd.xlsx", "S 1584-2026")</f>
        <v/>
      </c>
      <c r="W19">
        <f>HYPERLINK("https://klasma.github.io/Logging_0381/kartor/S 1584-2026 karta.png", "S 1584-2026")</f>
        <v/>
      </c>
      <c r="Y19">
        <f>HYPERLINK("https://klasma.github.io/Logging_0381/klagomål/S 1584-2026 FSC-klagomål.docx", "S 1584-2026")</f>
        <v/>
      </c>
      <c r="Z19">
        <f>HYPERLINK("https://klasma.github.io/Logging_0381/klagomålsmail/S 1584-2026 FSC-klagomål mail.docx", "S 1584-2026")</f>
        <v/>
      </c>
      <c r="AA19">
        <f>HYPERLINK("https://klasma.github.io/Logging_0381/tillsyn/S 1584-2026 tillsynsbegäran.docx", "S 1584-2026")</f>
        <v/>
      </c>
      <c r="AB19">
        <f>HYPERLINK("https://klasma.github.io/Logging_0381/tillsynsmail/S 1584-2026 tillsynsbegäran mail.docx", "S 1584-2026")</f>
        <v/>
      </c>
    </row>
    <row r="20" ht="15" customHeight="1">
      <c r="A20" t="inlineStr">
        <is>
          <t>A 46103-2023</t>
        </is>
      </c>
      <c r="B20" t="inlineStr">
        <is>
          <t>avverkningsanmälan</t>
        </is>
      </c>
      <c r="C20" t="inlineStr">
        <is>
          <t>Föryngringsavverkning</t>
        </is>
      </c>
      <c r="D20" s="1" t="n">
        <v>45190</v>
      </c>
      <c r="E20" s="1" t="n">
        <v>46222</v>
      </c>
      <c r="F20" t="inlineStr">
        <is>
          <t>UPPSALA LÄN</t>
        </is>
      </c>
      <c r="G20" t="inlineStr">
        <is>
          <t>ENKÖPING</t>
        </is>
      </c>
      <c r="I20" t="n">
        <v>4.6</v>
      </c>
      <c r="J20" t="n">
        <v>0</v>
      </c>
      <c r="K20" t="n">
        <v>0</v>
      </c>
      <c r="L20" t="n">
        <v>2</v>
      </c>
      <c r="M20" t="n">
        <v>0</v>
      </c>
      <c r="N20" t="n">
        <v>0</v>
      </c>
      <c r="O20" t="n">
        <v>0</v>
      </c>
      <c r="P20" t="n">
        <v>0</v>
      </c>
      <c r="Q20" t="n">
        <v>2</v>
      </c>
      <c r="R20" t="n">
        <v>0</v>
      </c>
      <c r="S20" t="n">
        <v>2</v>
      </c>
      <c r="T20" t="n">
        <v>4</v>
      </c>
      <c r="U20" s="2" t="inlineStr">
        <is>
          <t>Backklöver
Solvända</t>
        </is>
      </c>
      <c r="V20">
        <f>HYPERLINK("https://klasma.github.io/Logging_0381/artfynd/A 46103-2023 artfynd.xlsx", "A 46103-2023")</f>
        <v/>
      </c>
      <c r="W20">
        <f>HYPERLINK("https://klasma.github.io/Logging_0381/kartor/A 46103-2023 karta.png", "A 46103-2023")</f>
        <v/>
      </c>
      <c r="Y20">
        <f>HYPERLINK("https://klasma.github.io/Logging_0381/klagomål/A 46103-2023 FSC-klagomål.docx", "A 46103-2023")</f>
        <v/>
      </c>
      <c r="Z20">
        <f>HYPERLINK("https://klasma.github.io/Logging_0381/klagomålsmail/A 46103-2023 FSC-klagomål mail.docx", "A 46103-2023")</f>
        <v/>
      </c>
      <c r="AA20">
        <f>HYPERLINK("https://klasma.github.io/Logging_0381/tillsyn/A 46103-2023 tillsynsbegäran.docx", "A 46103-2023")</f>
        <v/>
      </c>
      <c r="AB20">
        <f>HYPERLINK("https://klasma.github.io/Logging_0381/tillsynsmail/A 46103-2023 tillsynsbegäran mail.docx", "A 46103-2023")</f>
        <v/>
      </c>
    </row>
    <row r="21" ht="15" customHeight="1">
      <c r="A21" t="inlineStr">
        <is>
          <t>A 9147-2026</t>
        </is>
      </c>
      <c r="B21" t="inlineStr">
        <is>
          <t>avverkningsanmälan</t>
        </is>
      </c>
      <c r="C21" t="inlineStr">
        <is>
          <t>Föryngringsavverkning</t>
        </is>
      </c>
      <c r="D21" s="1" t="n">
        <v>46070</v>
      </c>
      <c r="E21" s="1" t="n">
        <v>46222</v>
      </c>
      <c r="F21" t="inlineStr">
        <is>
          <t>UPPSALA LÄN</t>
        </is>
      </c>
      <c r="G21" t="inlineStr">
        <is>
          <t>ENKÖPING</t>
        </is>
      </c>
      <c r="I21" t="n">
        <v>1.6</v>
      </c>
      <c r="J21" t="n">
        <v>0</v>
      </c>
      <c r="K21" t="n">
        <v>0</v>
      </c>
      <c r="L21" t="n">
        <v>2</v>
      </c>
      <c r="M21" t="n">
        <v>0</v>
      </c>
      <c r="N21" t="n">
        <v>0</v>
      </c>
      <c r="O21" t="n">
        <v>0</v>
      </c>
      <c r="P21" t="n">
        <v>0</v>
      </c>
      <c r="Q21" t="n">
        <v>2</v>
      </c>
      <c r="R21" t="n">
        <v>0</v>
      </c>
      <c r="S21" t="n">
        <v>2</v>
      </c>
      <c r="T21" t="n">
        <v>2</v>
      </c>
      <c r="U21" s="2" t="inlineStr">
        <is>
          <t>Dropptaggsvamp
Motaggsvamp</t>
        </is>
      </c>
      <c r="V21">
        <f>HYPERLINK("https://klasma.github.io/Logging_0381/artfynd/A 9147-2026 artfynd.xlsx", "A 9147-2026")</f>
        <v/>
      </c>
      <c r="W21">
        <f>HYPERLINK("https://klasma.github.io/Logging_0381/kartor/A 9147-2026 karta.png", "A 9147-2026")</f>
        <v/>
      </c>
      <c r="Y21">
        <f>HYPERLINK("https://klasma.github.io/Logging_0381/klagomål/A 9147-2026 FSC-klagomål.docx", "A 9147-2026")</f>
        <v/>
      </c>
      <c r="Z21">
        <f>HYPERLINK("https://klasma.github.io/Logging_0381/klagomålsmail/A 9147-2026 FSC-klagomål mail.docx", "A 9147-2026")</f>
        <v/>
      </c>
      <c r="AA21">
        <f>HYPERLINK("https://klasma.github.io/Logging_0381/tillsyn/A 9147-2026 tillsynsbegäran.docx", "A 9147-2026")</f>
        <v/>
      </c>
      <c r="AB21">
        <f>HYPERLINK("https://klasma.github.io/Logging_0381/tillsynsmail/A 9147-2026 tillsynsbegäran mail.docx", "A 9147-2026")</f>
        <v/>
      </c>
    </row>
    <row r="22" ht="15" customHeight="1">
      <c r="A22" t="inlineStr">
        <is>
          <t>A 29510-2025</t>
        </is>
      </c>
      <c r="B22" t="inlineStr">
        <is>
          <t>avverkningsanmälan</t>
        </is>
      </c>
      <c r="C22" t="inlineStr">
        <is>
          <t>Föryngringsavverkning</t>
        </is>
      </c>
      <c r="D22" s="1" t="n">
        <v>45825</v>
      </c>
      <c r="E22" s="1" t="n">
        <v>46222</v>
      </c>
      <c r="F22" t="inlineStr">
        <is>
          <t>UPPSALA LÄN</t>
        </is>
      </c>
      <c r="G22" t="inlineStr">
        <is>
          <t>ENKÖPING</t>
        </is>
      </c>
      <c r="I22" t="n">
        <v>2.4</v>
      </c>
      <c r="J22" t="n">
        <v>1</v>
      </c>
      <c r="K22" t="n">
        <v>0</v>
      </c>
      <c r="L22" t="n">
        <v>0</v>
      </c>
      <c r="M22" t="n">
        <v>1</v>
      </c>
      <c r="N22" t="n">
        <v>0</v>
      </c>
      <c r="O22" t="n">
        <v>0</v>
      </c>
      <c r="P22" t="n">
        <v>0</v>
      </c>
      <c r="Q22" t="n">
        <v>1</v>
      </c>
      <c r="R22" t="n">
        <v>1</v>
      </c>
      <c r="S22" t="n">
        <v>2</v>
      </c>
      <c r="T22" t="n">
        <v>2</v>
      </c>
      <c r="U22" s="2" t="inlineStr">
        <is>
          <t>Toppjungfrulin
Blåsippa</t>
        </is>
      </c>
      <c r="V22">
        <f>HYPERLINK("https://klasma.github.io/Logging_0381/artfynd/A 29510-2025 artfynd.xlsx", "A 29510-2025")</f>
        <v/>
      </c>
      <c r="W22">
        <f>HYPERLINK("https://klasma.github.io/Logging_0381/kartor/A 29510-2025 karta.png", "A 29510-2025")</f>
        <v/>
      </c>
      <c r="Y22">
        <f>HYPERLINK("https://klasma.github.io/Logging_0381/klagomål/A 29510-2025 FSC-klagomål.docx", "A 29510-2025")</f>
        <v/>
      </c>
      <c r="Z22">
        <f>HYPERLINK("https://klasma.github.io/Logging_0381/klagomålsmail/A 29510-2025 FSC-klagomål mail.docx", "A 29510-2025")</f>
        <v/>
      </c>
      <c r="AA22">
        <f>HYPERLINK("https://klasma.github.io/Logging_0381/tillsyn/A 29510-2025 tillsynsbegäran.docx", "A 29510-2025")</f>
        <v/>
      </c>
      <c r="AB22">
        <f>HYPERLINK("https://klasma.github.io/Logging_0381/tillsynsmail/A 29510-2025 tillsynsbegäran mail.docx", "A 29510-2025")</f>
        <v/>
      </c>
    </row>
    <row r="23" ht="15" customHeight="1">
      <c r="A23" t="inlineStr">
        <is>
          <t>A 45116-2023</t>
        </is>
      </c>
      <c r="B23" t="inlineStr">
        <is>
          <t>avverkningsanmälan</t>
        </is>
      </c>
      <c r="C23" t="inlineStr">
        <is>
          <t>Föryngringsavverkning</t>
        </is>
      </c>
      <c r="D23" s="1" t="n">
        <v>45191</v>
      </c>
      <c r="E23" s="1" t="n">
        <v>46222</v>
      </c>
      <c r="F23" t="inlineStr">
        <is>
          <t>UPPSALA LÄN</t>
        </is>
      </c>
      <c r="G23" t="inlineStr">
        <is>
          <t>ENKÖPING</t>
        </is>
      </c>
      <c r="I23" t="n">
        <v>2</v>
      </c>
      <c r="J23" t="n">
        <v>0</v>
      </c>
      <c r="K23" t="n">
        <v>1</v>
      </c>
      <c r="L23" t="n">
        <v>0</v>
      </c>
      <c r="M23" t="n">
        <v>1</v>
      </c>
      <c r="N23" t="n">
        <v>0</v>
      </c>
      <c r="O23" t="n">
        <v>0</v>
      </c>
      <c r="P23" t="n">
        <v>0</v>
      </c>
      <c r="Q23" t="n">
        <v>1</v>
      </c>
      <c r="R23" t="n">
        <v>1</v>
      </c>
      <c r="S23" t="n">
        <v>2</v>
      </c>
      <c r="T23" t="n">
        <v>2</v>
      </c>
      <c r="U23" s="2" t="inlineStr">
        <is>
          <t>Mindre bastardsvärmare
Rävticka</t>
        </is>
      </c>
      <c r="V23">
        <f>HYPERLINK("https://klasma.github.io/Logging_0381/artfynd/A 45116-2023 artfynd.xlsx", "A 45116-2023")</f>
        <v/>
      </c>
      <c r="W23">
        <f>HYPERLINK("https://klasma.github.io/Logging_0381/kartor/A 45116-2023 karta.png", "A 45116-2023")</f>
        <v/>
      </c>
      <c r="Y23">
        <f>HYPERLINK("https://klasma.github.io/Logging_0381/klagomål/A 45116-2023 FSC-klagomål.docx", "A 45116-2023")</f>
        <v/>
      </c>
      <c r="Z23">
        <f>HYPERLINK("https://klasma.github.io/Logging_0381/klagomålsmail/A 45116-2023 FSC-klagomål mail.docx", "A 45116-2023")</f>
        <v/>
      </c>
      <c r="AA23">
        <f>HYPERLINK("https://klasma.github.io/Logging_0381/tillsyn/A 45116-2023 tillsynsbegäran.docx", "A 45116-2023")</f>
        <v/>
      </c>
      <c r="AB23">
        <f>HYPERLINK("https://klasma.github.io/Logging_0381/tillsynsmail/A 45116-2023 tillsynsbegäran mail.docx", "A 45116-2023")</f>
        <v/>
      </c>
    </row>
    <row r="24" ht="15" customHeight="1">
      <c r="A24" t="inlineStr">
        <is>
          <t>A 18302-2025</t>
        </is>
      </c>
      <c r="B24" t="inlineStr">
        <is>
          <t>avverkningsanmälan</t>
        </is>
      </c>
      <c r="C24" t="inlineStr">
        <is>
          <t>Föryngringsavverkning</t>
        </is>
      </c>
      <c r="D24" s="1" t="n">
        <v>45762</v>
      </c>
      <c r="E24" s="1" t="n">
        <v>46222</v>
      </c>
      <c r="F24" t="inlineStr">
        <is>
          <t>UPPSALA LÄN</t>
        </is>
      </c>
      <c r="G24" t="inlineStr">
        <is>
          <t>ENKÖPING</t>
        </is>
      </c>
      <c r="I24" t="n">
        <v>0.5</v>
      </c>
      <c r="J24" t="n">
        <v>0</v>
      </c>
      <c r="K24" t="n">
        <v>0</v>
      </c>
      <c r="L24" t="n">
        <v>2</v>
      </c>
      <c r="M24" t="n">
        <v>0</v>
      </c>
      <c r="N24" t="n">
        <v>0</v>
      </c>
      <c r="O24" t="n">
        <v>0</v>
      </c>
      <c r="P24" t="n">
        <v>0</v>
      </c>
      <c r="Q24" t="n">
        <v>2</v>
      </c>
      <c r="R24" t="n">
        <v>0</v>
      </c>
      <c r="S24" t="n">
        <v>2</v>
      </c>
      <c r="T24" t="n">
        <v>6</v>
      </c>
      <c r="U24" s="2" t="inlineStr">
        <is>
          <t>Backtimjan
Solvända</t>
        </is>
      </c>
      <c r="V24">
        <f>HYPERLINK("https://klasma.github.io/Logging_0381/artfynd/A 18302-2025 artfynd.xlsx", "A 18302-2025")</f>
        <v/>
      </c>
      <c r="W24">
        <f>HYPERLINK("https://klasma.github.io/Logging_0381/kartor/A 18302-2025 karta.png", "A 18302-2025")</f>
        <v/>
      </c>
      <c r="Y24">
        <f>HYPERLINK("https://klasma.github.io/Logging_0381/klagomål/A 18302-2025 FSC-klagomål.docx", "A 18302-2025")</f>
        <v/>
      </c>
      <c r="Z24">
        <f>HYPERLINK("https://klasma.github.io/Logging_0381/klagomålsmail/A 18302-2025 FSC-klagomål mail.docx", "A 18302-2025")</f>
        <v/>
      </c>
      <c r="AA24">
        <f>HYPERLINK("https://klasma.github.io/Logging_0381/tillsyn/A 18302-2025 tillsynsbegäran.docx", "A 18302-2025")</f>
        <v/>
      </c>
      <c r="AB24">
        <f>HYPERLINK("https://klasma.github.io/Logging_0381/tillsynsmail/A 18302-2025 tillsynsbegäran mail.docx", "A 18302-2025")</f>
        <v/>
      </c>
    </row>
    <row r="25" ht="15" customHeight="1">
      <c r="A25" t="inlineStr">
        <is>
          <t>A 68127-2021</t>
        </is>
      </c>
      <c r="B25" t="inlineStr">
        <is>
          <t>avverkningsanmälan</t>
        </is>
      </c>
      <c r="C25" t="inlineStr">
        <is>
          <t>Föryngringsavverkning</t>
        </is>
      </c>
      <c r="D25" s="1" t="n">
        <v>44526</v>
      </c>
      <c r="E25" s="1" t="n">
        <v>46222</v>
      </c>
      <c r="F25" t="inlineStr">
        <is>
          <t>UPPSALA LÄN</t>
        </is>
      </c>
      <c r="G25" t="inlineStr">
        <is>
          <t>ENKÖPING</t>
        </is>
      </c>
      <c r="I25" t="n">
        <v>0.8</v>
      </c>
      <c r="J25" t="n">
        <v>0</v>
      </c>
      <c r="K25" t="n">
        <v>1</v>
      </c>
      <c r="L25" t="n">
        <v>0</v>
      </c>
      <c r="M25" t="n">
        <v>0</v>
      </c>
      <c r="N25" t="n">
        <v>0</v>
      </c>
      <c r="O25" t="n">
        <v>0</v>
      </c>
      <c r="P25" t="n">
        <v>0</v>
      </c>
      <c r="Q25" t="n">
        <v>0</v>
      </c>
      <c r="R25" t="n">
        <v>0</v>
      </c>
      <c r="S25" t="n">
        <v>1</v>
      </c>
      <c r="T25" t="n">
        <v>1</v>
      </c>
      <c r="U25" s="2" t="inlineStr">
        <is>
          <t>Vedticka</t>
        </is>
      </c>
      <c r="V25">
        <f>HYPERLINK("https://klasma.github.io/Logging_0381/artfynd/A 68127-2021 artfynd.xlsx", "A 68127-2021")</f>
        <v/>
      </c>
      <c r="W25">
        <f>HYPERLINK("https://klasma.github.io/Logging_0381/kartor/A 68127-2021 karta.png", "A 68127-2021")</f>
        <v/>
      </c>
      <c r="Y25">
        <f>HYPERLINK("https://klasma.github.io/Logging_0381/klagomål/A 68127-2021 FSC-klagomål.docx", "A 68127-2021")</f>
        <v/>
      </c>
      <c r="Z25">
        <f>HYPERLINK("https://klasma.github.io/Logging_0381/klagomålsmail/A 68127-2021 FSC-klagomål mail.docx", "A 68127-2021")</f>
        <v/>
      </c>
      <c r="AA25">
        <f>HYPERLINK("https://klasma.github.io/Logging_0381/tillsyn/A 68127-2021 tillsynsbegäran.docx", "A 68127-2021")</f>
        <v/>
      </c>
      <c r="AB25">
        <f>HYPERLINK("https://klasma.github.io/Logging_0381/tillsynsmail/A 68127-2021 tillsynsbegäran mail.docx", "A 68127-2021")</f>
        <v/>
      </c>
    </row>
    <row r="26" ht="15" customHeight="1">
      <c r="A26" t="inlineStr">
        <is>
          <t>A 60289-2022</t>
        </is>
      </c>
      <c r="B26" t="inlineStr">
        <is>
          <t>avverkningsanmälan</t>
        </is>
      </c>
      <c r="C26" t="inlineStr">
        <is>
          <t>Föryngringsavverkning</t>
        </is>
      </c>
      <c r="D26" s="1" t="n">
        <v>44910</v>
      </c>
      <c r="E26" s="1" t="n">
        <v>46222</v>
      </c>
      <c r="F26" t="inlineStr">
        <is>
          <t>UPPSALA LÄN</t>
        </is>
      </c>
      <c r="G26" t="inlineStr">
        <is>
          <t>ENKÖPING</t>
        </is>
      </c>
      <c r="I26" t="n">
        <v>3.2</v>
      </c>
      <c r="J26" t="n">
        <v>0</v>
      </c>
      <c r="K26" t="n">
        <v>1</v>
      </c>
      <c r="L26" t="n">
        <v>0</v>
      </c>
      <c r="M26" t="n">
        <v>0</v>
      </c>
      <c r="N26" t="n">
        <v>0</v>
      </c>
      <c r="O26" t="n">
        <v>0</v>
      </c>
      <c r="P26" t="n">
        <v>0</v>
      </c>
      <c r="Q26" t="n">
        <v>0</v>
      </c>
      <c r="R26" t="n">
        <v>0</v>
      </c>
      <c r="S26" t="n">
        <v>1</v>
      </c>
      <c r="T26" t="n">
        <v>3</v>
      </c>
      <c r="U26" s="2" t="inlineStr">
        <is>
          <t>Mindre märgborre</t>
        </is>
      </c>
      <c r="V26">
        <f>HYPERLINK("https://klasma.github.io/Logging_0381/artfynd/A 60289-2022 artfynd.xlsx", "A 60289-2022")</f>
        <v/>
      </c>
      <c r="W26">
        <f>HYPERLINK("https://klasma.github.io/Logging_0381/kartor/A 60289-2022 karta.png", "A 60289-2022")</f>
        <v/>
      </c>
      <c r="Y26">
        <f>HYPERLINK("https://klasma.github.io/Logging_0381/klagomål/A 60289-2022 FSC-klagomål.docx", "A 60289-2022")</f>
        <v/>
      </c>
      <c r="Z26">
        <f>HYPERLINK("https://klasma.github.io/Logging_0381/klagomålsmail/A 60289-2022 FSC-klagomål mail.docx", "A 60289-2022")</f>
        <v/>
      </c>
      <c r="AA26">
        <f>HYPERLINK("https://klasma.github.io/Logging_0381/tillsyn/A 60289-2022 tillsynsbegäran.docx", "A 60289-2022")</f>
        <v/>
      </c>
      <c r="AB26">
        <f>HYPERLINK("https://klasma.github.io/Logging_0381/tillsynsmail/A 60289-2022 tillsynsbegäran mail.docx", "A 60289-2022")</f>
        <v/>
      </c>
    </row>
    <row r="27" ht="15" customHeight="1">
      <c r="A27" t="inlineStr">
        <is>
          <t>A 4166-2026</t>
        </is>
      </c>
      <c r="B27" t="inlineStr">
        <is>
          <t>avverkningsanmälan</t>
        </is>
      </c>
      <c r="C27" t="inlineStr">
        <is>
          <t>Föryngringsavverkning</t>
        </is>
      </c>
      <c r="D27" s="1" t="n">
        <v>46044</v>
      </c>
      <c r="E27" s="1" t="n">
        <v>46222</v>
      </c>
      <c r="F27" t="inlineStr">
        <is>
          <t>UPPSALA LÄN</t>
        </is>
      </c>
      <c r="G27" t="inlineStr">
        <is>
          <t>ENKÖPING</t>
        </is>
      </c>
      <c r="I27" t="n">
        <v>1.7</v>
      </c>
      <c r="J27" t="n">
        <v>1</v>
      </c>
      <c r="K27" t="n">
        <v>0</v>
      </c>
      <c r="L27" t="n">
        <v>1</v>
      </c>
      <c r="M27" t="n">
        <v>0</v>
      </c>
      <c r="N27" t="n">
        <v>0</v>
      </c>
      <c r="O27" t="n">
        <v>0</v>
      </c>
      <c r="P27" t="n">
        <v>0</v>
      </c>
      <c r="Q27" t="n">
        <v>1</v>
      </c>
      <c r="R27" t="n">
        <v>0</v>
      </c>
      <c r="S27" t="n">
        <v>1</v>
      </c>
      <c r="T27" t="n">
        <v>1</v>
      </c>
      <c r="U27" s="2" t="inlineStr">
        <is>
          <t>Gulsparv</t>
        </is>
      </c>
      <c r="V27">
        <f>HYPERLINK("https://klasma.github.io/Logging_0381/artfynd/A 4166-2026 artfynd.xlsx", "A 4166-2026")</f>
        <v/>
      </c>
      <c r="W27">
        <f>HYPERLINK("https://klasma.github.io/Logging_0381/kartor/A 4166-2026 karta.png", "A 4166-2026")</f>
        <v/>
      </c>
      <c r="Y27">
        <f>HYPERLINK("https://klasma.github.io/Logging_0381/klagomål/A 4166-2026 FSC-klagomål.docx", "A 4166-2026")</f>
        <v/>
      </c>
      <c r="Z27">
        <f>HYPERLINK("https://klasma.github.io/Logging_0381/klagomålsmail/A 4166-2026 FSC-klagomål mail.docx", "A 4166-2026")</f>
        <v/>
      </c>
      <c r="AA27">
        <f>HYPERLINK("https://klasma.github.io/Logging_0381/tillsyn/A 4166-2026 tillsynsbegäran.docx", "A 4166-2026")</f>
        <v/>
      </c>
      <c r="AB27">
        <f>HYPERLINK("https://klasma.github.io/Logging_0381/tillsynsmail/A 4166-2026 tillsynsbegäran mail.docx", "A 4166-2026")</f>
        <v/>
      </c>
      <c r="AC27">
        <f>HYPERLINK("https://klasma.github.io/Logging_0381/fåglar/A 4166-2026 prioriterade fågelarter.docx", "A 4166-2026")</f>
        <v/>
      </c>
    </row>
    <row r="28" ht="15" customHeight="1">
      <c r="A28" t="inlineStr">
        <is>
          <t>A 23961-2022</t>
        </is>
      </c>
      <c r="B28" t="inlineStr">
        <is>
          <t>avverkningsanmälan</t>
        </is>
      </c>
      <c r="C28" t="inlineStr">
        <is>
          <t>Föryngringsavverkning</t>
        </is>
      </c>
      <c r="D28" s="1" t="n">
        <v>44722</v>
      </c>
      <c r="E28" s="1" t="n">
        <v>46222</v>
      </c>
      <c r="F28" t="inlineStr">
        <is>
          <t>UPPSALA LÄN</t>
        </is>
      </c>
      <c r="G28" t="inlineStr">
        <is>
          <t>ENKÖPING</t>
        </is>
      </c>
      <c r="I28" t="n">
        <v>1.4</v>
      </c>
      <c r="J28" t="n">
        <v>1</v>
      </c>
      <c r="K28" t="n">
        <v>0</v>
      </c>
      <c r="L28" t="n">
        <v>0</v>
      </c>
      <c r="M28" t="n">
        <v>0</v>
      </c>
      <c r="N28" t="n">
        <v>0</v>
      </c>
      <c r="O28" t="n">
        <v>0</v>
      </c>
      <c r="P28" t="n">
        <v>0</v>
      </c>
      <c r="Q28" t="n">
        <v>0</v>
      </c>
      <c r="R28" t="n">
        <v>0</v>
      </c>
      <c r="S28" t="n">
        <v>1</v>
      </c>
      <c r="T28" t="n">
        <v>1</v>
      </c>
      <c r="U28" s="2" t="inlineStr">
        <is>
          <t>Blåsippa</t>
        </is>
      </c>
      <c r="V28">
        <f>HYPERLINK("https://klasma.github.io/Logging_0381/artfynd/A 23961-2022 artfynd.xlsx", "A 23961-2022")</f>
        <v/>
      </c>
      <c r="W28">
        <f>HYPERLINK("https://klasma.github.io/Logging_0381/kartor/A 23961-2022 karta.png", "A 23961-2022")</f>
        <v/>
      </c>
      <c r="Y28">
        <f>HYPERLINK("https://klasma.github.io/Logging_0381/klagomål/A 23961-2022 FSC-klagomål.docx", "A 23961-2022")</f>
        <v/>
      </c>
      <c r="Z28">
        <f>HYPERLINK("https://klasma.github.io/Logging_0381/klagomålsmail/A 23961-2022 FSC-klagomål mail.docx", "A 23961-2022")</f>
        <v/>
      </c>
      <c r="AA28">
        <f>HYPERLINK("https://klasma.github.io/Logging_0381/tillsyn/A 23961-2022 tillsynsbegäran.docx", "A 23961-2022")</f>
        <v/>
      </c>
      <c r="AB28">
        <f>HYPERLINK("https://klasma.github.io/Logging_0381/tillsynsmail/A 23961-2022 tillsynsbegäran mail.docx", "A 23961-2022")</f>
        <v/>
      </c>
    </row>
    <row r="29" ht="15" customHeight="1">
      <c r="A29" t="inlineStr">
        <is>
          <t>A 28900-2024</t>
        </is>
      </c>
      <c r="B29" t="inlineStr">
        <is>
          <t>avverkningsanmälan</t>
        </is>
      </c>
      <c r="C29" t="inlineStr">
        <is>
          <t>Föryngringsavverkning</t>
        </is>
      </c>
      <c r="D29" s="1" t="n">
        <v>45480</v>
      </c>
      <c r="E29" s="1" t="n">
        <v>46222</v>
      </c>
      <c r="F29" t="inlineStr">
        <is>
          <t>UPPSALA LÄN</t>
        </is>
      </c>
      <c r="G29" t="inlineStr">
        <is>
          <t>ENKÖPING</t>
        </is>
      </c>
      <c r="I29" t="n">
        <v>8.6</v>
      </c>
      <c r="J29" t="n">
        <v>1</v>
      </c>
      <c r="K29" t="n">
        <v>0</v>
      </c>
      <c r="L29" t="n">
        <v>0</v>
      </c>
      <c r="M29" t="n">
        <v>0</v>
      </c>
      <c r="N29" t="n">
        <v>0</v>
      </c>
      <c r="O29" t="n">
        <v>0</v>
      </c>
      <c r="P29" t="n">
        <v>0</v>
      </c>
      <c r="Q29" t="n">
        <v>0</v>
      </c>
      <c r="R29" t="n">
        <v>0</v>
      </c>
      <c r="S29" t="n">
        <v>1</v>
      </c>
      <c r="T29" t="n">
        <v>1</v>
      </c>
      <c r="U29" s="2" t="inlineStr">
        <is>
          <t>Blåsippa</t>
        </is>
      </c>
      <c r="V29">
        <f>HYPERLINK("https://klasma.github.io/Logging_0381/artfynd/A 28900-2024 artfynd.xlsx", "A 28900-2024")</f>
        <v/>
      </c>
      <c r="W29">
        <f>HYPERLINK("https://klasma.github.io/Logging_0381/kartor/A 28900-2024 karta.png", "A 28900-2024")</f>
        <v/>
      </c>
      <c r="Y29">
        <f>HYPERLINK("https://klasma.github.io/Logging_0381/klagomål/A 28900-2024 FSC-klagomål.docx", "A 28900-2024")</f>
        <v/>
      </c>
      <c r="Z29">
        <f>HYPERLINK("https://klasma.github.io/Logging_0381/klagomålsmail/A 28900-2024 FSC-klagomål mail.docx", "A 28900-2024")</f>
        <v/>
      </c>
      <c r="AA29">
        <f>HYPERLINK("https://klasma.github.io/Logging_0381/tillsyn/A 28900-2024 tillsynsbegäran.docx", "A 28900-2024")</f>
        <v/>
      </c>
      <c r="AB29">
        <f>HYPERLINK("https://klasma.github.io/Logging_0381/tillsynsmail/A 28900-2024 tillsynsbegäran mail.docx", "A 28900-2024")</f>
        <v/>
      </c>
    </row>
    <row r="30" ht="15" customHeight="1">
      <c r="A30" t="inlineStr">
        <is>
          <t>A 1524-2023</t>
        </is>
      </c>
      <c r="B30" t="inlineStr">
        <is>
          <t>avverkningsanmälan</t>
        </is>
      </c>
      <c r="C30" t="inlineStr">
        <is>
          <t>Föryngringsavverkning</t>
        </is>
      </c>
      <c r="D30" s="1" t="n">
        <v>44935</v>
      </c>
      <c r="E30" s="1" t="n">
        <v>46222</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s="2" t="inlineStr">
        <is>
          <t>Skogsduva</t>
        </is>
      </c>
      <c r="V30">
        <f>HYPERLINK("https://klasma.github.io/Logging_0381/artfynd/A 1524-2023 artfynd.xlsx", "A 1524-2023")</f>
        <v/>
      </c>
      <c r="W30">
        <f>HYPERLINK("https://klasma.github.io/Logging_0381/kartor/A 1524-2023 karta.png", "A 1524-2023")</f>
        <v/>
      </c>
      <c r="Y30">
        <f>HYPERLINK("https://klasma.github.io/Logging_0381/klagomål/A 1524-2023 FSC-klagomål.docx", "A 1524-2023")</f>
        <v/>
      </c>
      <c r="Z30">
        <f>HYPERLINK("https://klasma.github.io/Logging_0381/klagomålsmail/A 1524-2023 FSC-klagomål mail.docx", "A 1524-2023")</f>
        <v/>
      </c>
      <c r="AA30">
        <f>HYPERLINK("https://klasma.github.io/Logging_0381/tillsyn/A 1524-2023 tillsynsbegäran.docx", "A 1524-2023")</f>
        <v/>
      </c>
      <c r="AB30">
        <f>HYPERLINK("https://klasma.github.io/Logging_0381/tillsynsmail/A 1524-2023 tillsynsbegäran mail.docx", "A 1524-2023")</f>
        <v/>
      </c>
    </row>
    <row r="31" ht="15" customHeight="1">
      <c r="A31" t="inlineStr">
        <is>
          <t>A 6242-2025</t>
        </is>
      </c>
      <c r="B31" t="inlineStr">
        <is>
          <t>avverkningsanmälan</t>
        </is>
      </c>
      <c r="C31" t="inlineStr">
        <is>
          <t>Föryngringsavverkning</t>
        </is>
      </c>
      <c r="D31" s="1" t="n">
        <v>45697</v>
      </c>
      <c r="E31" s="1" t="n">
        <v>46222</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s="2" t="inlineStr">
        <is>
          <t>Fönsterlav</t>
        </is>
      </c>
      <c r="V31">
        <f>HYPERLINK("https://klasma.github.io/Logging_0381/artfynd/A 6242-2025 artfynd.xlsx", "A 6242-2025")</f>
        <v/>
      </c>
      <c r="W31">
        <f>HYPERLINK("https://klasma.github.io/Logging_0381/kartor/A 6242-2025 karta.png", "A 6242-2025")</f>
        <v/>
      </c>
      <c r="Y31">
        <f>HYPERLINK("https://klasma.github.io/Logging_0381/klagomål/A 6242-2025 FSC-klagomål.docx", "A 6242-2025")</f>
        <v/>
      </c>
      <c r="Z31">
        <f>HYPERLINK("https://klasma.github.io/Logging_0381/klagomålsmail/A 6242-2025 FSC-klagomål mail.docx", "A 6242-2025")</f>
        <v/>
      </c>
      <c r="AA31">
        <f>HYPERLINK("https://klasma.github.io/Logging_0381/tillsyn/A 6242-2025 tillsynsbegäran.docx", "A 6242-2025")</f>
        <v/>
      </c>
      <c r="AB31">
        <f>HYPERLINK("https://klasma.github.io/Logging_0381/tillsynsmail/A 6242-2025 tillsynsbegäran mail.docx", "A 6242-2025")</f>
        <v/>
      </c>
    </row>
    <row r="32" ht="15" customHeight="1">
      <c r="A32" t="inlineStr">
        <is>
          <t>A 20440-2025</t>
        </is>
      </c>
      <c r="B32" t="inlineStr">
        <is>
          <t>avverkningsanmälan</t>
        </is>
      </c>
      <c r="C32" t="inlineStr">
        <is>
          <t>Föryngringsavverkning</t>
        </is>
      </c>
      <c r="D32" s="1" t="n">
        <v>45775</v>
      </c>
      <c r="E32" s="1" t="n">
        <v>46222</v>
      </c>
      <c r="F32" t="inlineStr">
        <is>
          <t>UPPSALA LÄN</t>
        </is>
      </c>
      <c r="G32" t="inlineStr">
        <is>
          <t>ENKÖPING</t>
        </is>
      </c>
      <c r="I32" t="n">
        <v>1.6</v>
      </c>
      <c r="J32" t="n">
        <v>0</v>
      </c>
      <c r="K32" t="n">
        <v>0</v>
      </c>
      <c r="L32" t="n">
        <v>1</v>
      </c>
      <c r="M32" t="n">
        <v>0</v>
      </c>
      <c r="N32" t="n">
        <v>0</v>
      </c>
      <c r="O32" t="n">
        <v>0</v>
      </c>
      <c r="P32" t="n">
        <v>0</v>
      </c>
      <c r="Q32" t="n">
        <v>1</v>
      </c>
      <c r="R32" t="n">
        <v>0</v>
      </c>
      <c r="S32" t="n">
        <v>1</v>
      </c>
      <c r="T32" t="n">
        <v>1</v>
      </c>
      <c r="U32" s="2" t="inlineStr">
        <is>
          <t>Jungfrulin</t>
        </is>
      </c>
      <c r="V32">
        <f>HYPERLINK("https://klasma.github.io/Logging_0381/artfynd/A 20440-2025 artfynd.xlsx", "A 20440-2025")</f>
        <v/>
      </c>
      <c r="W32">
        <f>HYPERLINK("https://klasma.github.io/Logging_0381/kartor/A 20440-2025 karta.png", "A 20440-2025")</f>
        <v/>
      </c>
      <c r="Y32">
        <f>HYPERLINK("https://klasma.github.io/Logging_0381/klagomål/A 20440-2025 FSC-klagomål.docx", "A 20440-2025")</f>
        <v/>
      </c>
      <c r="Z32">
        <f>HYPERLINK("https://klasma.github.io/Logging_0381/klagomålsmail/A 20440-2025 FSC-klagomål mail.docx", "A 20440-2025")</f>
        <v/>
      </c>
      <c r="AA32">
        <f>HYPERLINK("https://klasma.github.io/Logging_0381/tillsyn/A 20440-2025 tillsynsbegäran.docx", "A 20440-2025")</f>
        <v/>
      </c>
      <c r="AB32">
        <f>HYPERLINK("https://klasma.github.io/Logging_0381/tillsynsmail/A 20440-2025 tillsynsbegäran mail.docx", "A 20440-2025")</f>
        <v/>
      </c>
    </row>
    <row r="33" ht="15" customHeight="1">
      <c r="A33" t="inlineStr">
        <is>
          <t>A 60174-2025</t>
        </is>
      </c>
      <c r="B33" t="inlineStr">
        <is>
          <t>avverkningsanmälan</t>
        </is>
      </c>
      <c r="C33" t="inlineStr">
        <is>
          <t>Föryngringsavverkning</t>
        </is>
      </c>
      <c r="D33" s="1" t="n">
        <v>45994</v>
      </c>
      <c r="E33" s="1" t="n">
        <v>46222</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s="2" t="inlineStr">
        <is>
          <t>Rosenfink</t>
        </is>
      </c>
      <c r="V33">
        <f>HYPERLINK("https://klasma.github.io/Logging_0381/artfynd/A 60174-2025 artfynd.xlsx", "A 60174-2025")</f>
        <v/>
      </c>
      <c r="W33">
        <f>HYPERLINK("https://klasma.github.io/Logging_0381/kartor/A 60174-2025 karta.png", "A 60174-2025")</f>
        <v/>
      </c>
      <c r="Y33">
        <f>HYPERLINK("https://klasma.github.io/Logging_0381/klagomål/A 60174-2025 FSC-klagomål.docx", "A 60174-2025")</f>
        <v/>
      </c>
      <c r="Z33">
        <f>HYPERLINK("https://klasma.github.io/Logging_0381/klagomålsmail/A 60174-2025 FSC-klagomål mail.docx", "A 60174-2025")</f>
        <v/>
      </c>
      <c r="AA33">
        <f>HYPERLINK("https://klasma.github.io/Logging_0381/tillsyn/A 60174-2025 tillsynsbegäran.docx", "A 60174-2025")</f>
        <v/>
      </c>
      <c r="AB33">
        <f>HYPERLINK("https://klasma.github.io/Logging_0381/tillsynsmail/A 60174-2025 tillsynsbegäran mail.docx", "A 60174-2025")</f>
        <v/>
      </c>
      <c r="AC33">
        <f>HYPERLINK("https://klasma.github.io/Logging_0381/fåglar/A 60174-2025 prioriterade fågelarter.docx", "A 60174-2025")</f>
        <v/>
      </c>
    </row>
    <row r="34" ht="15" customHeight="1">
      <c r="A34" t="inlineStr">
        <is>
          <t>A 37170-2021</t>
        </is>
      </c>
      <c r="B34" t="inlineStr">
        <is>
          <t>avverkningsanmälan</t>
        </is>
      </c>
      <c r="C34" t="inlineStr">
        <is>
          <t>Föryngringsavverkning</t>
        </is>
      </c>
      <c r="D34" s="1" t="n">
        <v>44395</v>
      </c>
      <c r="E34" s="1" t="n">
        <v>46222</v>
      </c>
      <c r="F34" t="inlineStr">
        <is>
          <t>UPPSALA LÄN</t>
        </is>
      </c>
      <c r="G34" t="inlineStr">
        <is>
          <t>ENKÖPING</t>
        </is>
      </c>
      <c r="I34" t="n">
        <v>1.5</v>
      </c>
      <c r="J34" t="n">
        <v>0</v>
      </c>
      <c r="K34" t="n">
        <v>0</v>
      </c>
      <c r="L34" t="n">
        <v>1</v>
      </c>
      <c r="M34" t="n">
        <v>0</v>
      </c>
      <c r="N34" t="n">
        <v>0</v>
      </c>
      <c r="O34" t="n">
        <v>0</v>
      </c>
      <c r="P34" t="n">
        <v>0</v>
      </c>
      <c r="Q34" t="n">
        <v>1</v>
      </c>
      <c r="R34" t="n">
        <v>0</v>
      </c>
      <c r="S34" t="n">
        <v>1</v>
      </c>
      <c r="T34" t="n">
        <v>2</v>
      </c>
      <c r="U34" s="2" t="inlineStr">
        <is>
          <t>Jättekamskivling</t>
        </is>
      </c>
      <c r="V34">
        <f>HYPERLINK("https://klasma.github.io/Logging_0381/artfynd/A 37170-2021 artfynd.xlsx", "A 37170-2021")</f>
        <v/>
      </c>
      <c r="W34">
        <f>HYPERLINK("https://klasma.github.io/Logging_0381/kartor/A 37170-2021 karta.png", "A 37170-2021")</f>
        <v/>
      </c>
      <c r="Y34">
        <f>HYPERLINK("https://klasma.github.io/Logging_0381/klagomål/A 37170-2021 FSC-klagomål.docx", "A 37170-2021")</f>
        <v/>
      </c>
      <c r="Z34">
        <f>HYPERLINK("https://klasma.github.io/Logging_0381/klagomålsmail/A 37170-2021 FSC-klagomål mail.docx", "A 37170-2021")</f>
        <v/>
      </c>
      <c r="AA34">
        <f>HYPERLINK("https://klasma.github.io/Logging_0381/tillsyn/A 37170-2021 tillsynsbegäran.docx", "A 37170-2021")</f>
        <v/>
      </c>
      <c r="AB34">
        <f>HYPERLINK("https://klasma.github.io/Logging_0381/tillsynsmail/A 37170-2021 tillsynsbegäran mail.docx", "A 37170-2021")</f>
        <v/>
      </c>
    </row>
    <row r="35" ht="15" customHeight="1">
      <c r="A35" t="inlineStr">
        <is>
          <t>A 62772-2025</t>
        </is>
      </c>
      <c r="B35" t="inlineStr">
        <is>
          <t>avverkningsanmälan</t>
        </is>
      </c>
      <c r="C35" t="inlineStr">
        <is>
          <t>Föryngringsavverkning</t>
        </is>
      </c>
      <c r="D35" s="1" t="n">
        <v>46008</v>
      </c>
      <c r="E35" s="1" t="n">
        <v>46222</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s="2" t="inlineStr">
        <is>
          <t>Igelkott</t>
        </is>
      </c>
      <c r="V35">
        <f>HYPERLINK("https://klasma.github.io/Logging_0381/artfynd/A 62772-2025 artfynd.xlsx", "A 62772-2025")</f>
        <v/>
      </c>
      <c r="W35">
        <f>HYPERLINK("https://klasma.github.io/Logging_0381/kartor/A 62772-2025 karta.png", "A 62772-2025")</f>
        <v/>
      </c>
      <c r="Y35">
        <f>HYPERLINK("https://klasma.github.io/Logging_0381/klagomål/A 62772-2025 FSC-klagomål.docx", "A 62772-2025")</f>
        <v/>
      </c>
      <c r="Z35">
        <f>HYPERLINK("https://klasma.github.io/Logging_0381/klagomålsmail/A 62772-2025 FSC-klagomål mail.docx", "A 62772-2025")</f>
        <v/>
      </c>
      <c r="AA35">
        <f>HYPERLINK("https://klasma.github.io/Logging_0381/tillsyn/A 62772-2025 tillsynsbegäran.docx", "A 62772-2025")</f>
        <v/>
      </c>
      <c r="AB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46222</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s="2" t="inlineStr">
        <is>
          <t>Mistel</t>
        </is>
      </c>
      <c r="V36">
        <f>HYPERLINK("https://klasma.github.io/Logging_0381/artfynd/A 26319-2022 artfynd.xlsx", "A 26319-2022")</f>
        <v/>
      </c>
      <c r="W36">
        <f>HYPERLINK("https://klasma.github.io/Logging_0381/kartor/A 26319-2022 karta.png", "A 26319-2022")</f>
        <v/>
      </c>
      <c r="Y36">
        <f>HYPERLINK("https://klasma.github.io/Logging_0381/klagomål/A 26319-2022 FSC-klagomål.docx", "A 26319-2022")</f>
        <v/>
      </c>
      <c r="Z36">
        <f>HYPERLINK("https://klasma.github.io/Logging_0381/klagomålsmail/A 26319-2022 FSC-klagomål mail.docx", "A 26319-2022")</f>
        <v/>
      </c>
      <c r="AA36">
        <f>HYPERLINK("https://klasma.github.io/Logging_0381/tillsyn/A 26319-2022 tillsynsbegäran.docx", "A 26319-2022")</f>
        <v/>
      </c>
      <c r="AB36">
        <f>HYPERLINK("https://klasma.github.io/Logging_0381/tillsynsmail/A 26319-2022 tillsynsbegäran mail.docx", "A 26319-2022")</f>
        <v/>
      </c>
    </row>
    <row r="37" ht="15" customHeight="1">
      <c r="A37" t="inlineStr">
        <is>
          <t>A 28669-2026</t>
        </is>
      </c>
      <c r="B37" t="inlineStr">
        <is>
          <t>avverkningsanmälan</t>
        </is>
      </c>
      <c r="C37" t="inlineStr">
        <is>
          <t>Föryngringsavverkning</t>
        </is>
      </c>
      <c r="D37" s="1" t="n">
        <v>46194</v>
      </c>
      <c r="E37" s="1" t="n">
        <v>46222</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s="2" t="inlineStr">
        <is>
          <t>Tjäder</t>
        </is>
      </c>
      <c r="V37">
        <f>HYPERLINK("https://klasma.github.io/Logging_0381/artfynd/A 28669-2026 artfynd.xlsx", "A 28669-2026")</f>
        <v/>
      </c>
      <c r="W37">
        <f>HYPERLINK("https://klasma.github.io/Logging_0381/kartor/A 28669-2026 karta.png", "A 28669-2026")</f>
        <v/>
      </c>
      <c r="Y37">
        <f>HYPERLINK("https://klasma.github.io/Logging_0381/klagomål/A 28669-2026 FSC-klagomål.docx", "A 28669-2026")</f>
        <v/>
      </c>
      <c r="Z37">
        <f>HYPERLINK("https://klasma.github.io/Logging_0381/klagomålsmail/A 28669-2026 FSC-klagomål mail.docx", "A 28669-2026")</f>
        <v/>
      </c>
      <c r="AA37">
        <f>HYPERLINK("https://klasma.github.io/Logging_0381/tillsyn/A 28669-2026 tillsynsbegäran.docx", "A 28669-2026")</f>
        <v/>
      </c>
      <c r="AB37">
        <f>HYPERLINK("https://klasma.github.io/Logging_0381/tillsynsmail/A 28669-2026 tillsynsbegäran mail.docx", "A 28669-2026")</f>
        <v/>
      </c>
      <c r="AC37">
        <f>HYPERLINK("https://klasma.github.io/Logging_0381/fåglar/A 28669-2026 prioriterade fågelarter.docx", "A 28669-2026")</f>
        <v/>
      </c>
    </row>
    <row r="38" ht="15" customHeight="1">
      <c r="A38" t="inlineStr">
        <is>
          <t>A 17729-2023</t>
        </is>
      </c>
      <c r="B38" t="inlineStr">
        <is>
          <t>avverkningsanmälan</t>
        </is>
      </c>
      <c r="C38" t="inlineStr">
        <is>
          <t>Föryngringsavverkning</t>
        </is>
      </c>
      <c r="D38" s="1" t="n">
        <v>45037</v>
      </c>
      <c r="E38" s="1" t="n">
        <v>46222</v>
      </c>
      <c r="F38" t="inlineStr">
        <is>
          <t>UPPSALA LÄN</t>
        </is>
      </c>
      <c r="G38" t="inlineStr">
        <is>
          <t>ENKÖPING</t>
        </is>
      </c>
      <c r="I38" t="n">
        <v>10.2</v>
      </c>
      <c r="J38" t="n">
        <v>1</v>
      </c>
      <c r="K38" t="n">
        <v>0</v>
      </c>
      <c r="L38" t="n">
        <v>0</v>
      </c>
      <c r="M38" t="n">
        <v>1</v>
      </c>
      <c r="N38" t="n">
        <v>0</v>
      </c>
      <c r="O38" t="n">
        <v>0</v>
      </c>
      <c r="P38" t="n">
        <v>0</v>
      </c>
      <c r="Q38" t="n">
        <v>1</v>
      </c>
      <c r="R38" t="n">
        <v>1</v>
      </c>
      <c r="S38" t="n">
        <v>1</v>
      </c>
      <c r="T38" t="n">
        <v>1</v>
      </c>
      <c r="U38" s="2" t="inlineStr">
        <is>
          <t>Pilgrimsfalk</t>
        </is>
      </c>
      <c r="V38">
        <f>HYPERLINK("https://klasma.github.io/Logging_0381/artfynd/A 17729-2023 artfynd.xlsx", "A 17729-2023")</f>
        <v/>
      </c>
      <c r="W38">
        <f>HYPERLINK("https://klasma.github.io/Logging_0381/kartor/A 17729-2023 karta.png", "A 17729-2023")</f>
        <v/>
      </c>
      <c r="Y38">
        <f>HYPERLINK("https://klasma.github.io/Logging_0381/klagomål/A 17729-2023 FSC-klagomål.docx", "A 17729-2023")</f>
        <v/>
      </c>
      <c r="Z38">
        <f>HYPERLINK("https://klasma.github.io/Logging_0381/klagomålsmail/A 17729-2023 FSC-klagomål mail.docx", "A 17729-2023")</f>
        <v/>
      </c>
      <c r="AA38">
        <f>HYPERLINK("https://klasma.github.io/Logging_0381/tillsyn/A 17729-2023 tillsynsbegäran.docx", "A 17729-2023")</f>
        <v/>
      </c>
      <c r="AB38">
        <f>HYPERLINK("https://klasma.github.io/Logging_0381/tillsynsmail/A 17729-2023 tillsynsbegäran mail.docx", "A 17729-2023")</f>
        <v/>
      </c>
      <c r="AC38">
        <f>HYPERLINK("https://klasma.github.io/Logging_0381/fåglar/A 17729-2023 prioriterade fågelarter.docx", "A 17729-2023")</f>
        <v/>
      </c>
    </row>
    <row r="39" ht="15" customHeight="1">
      <c r="A39" t="inlineStr">
        <is>
          <t>S 3035-2023</t>
        </is>
      </c>
      <c r="B39" t="inlineStr">
        <is>
          <t>samrådsanmälan</t>
        </is>
      </c>
      <c r="C39" t="inlineStr">
        <is>
          <t>Annan skogsbruksåtgärd</t>
        </is>
      </c>
      <c r="D39" s="1" t="n">
        <v>45177</v>
      </c>
      <c r="E39" s="1" t="n">
        <v>46222</v>
      </c>
      <c r="F39" t="inlineStr">
        <is>
          <t>UPPSALA LÄN</t>
        </is>
      </c>
      <c r="G39" t="inlineStr">
        <is>
          <t>ENKÖPING</t>
        </is>
      </c>
      <c r="I39" t="n">
        <v>5.9</v>
      </c>
      <c r="J39" t="n">
        <v>0</v>
      </c>
      <c r="K39" t="n">
        <v>0</v>
      </c>
      <c r="L39" t="n">
        <v>0</v>
      </c>
      <c r="M39" t="n">
        <v>1</v>
      </c>
      <c r="N39" t="n">
        <v>0</v>
      </c>
      <c r="O39" t="n">
        <v>0</v>
      </c>
      <c r="P39" t="n">
        <v>0</v>
      </c>
      <c r="Q39" t="n">
        <v>1</v>
      </c>
      <c r="R39" t="n">
        <v>1</v>
      </c>
      <c r="S39" t="n">
        <v>1</v>
      </c>
      <c r="T39" t="n">
        <v>2</v>
      </c>
      <c r="U39" s="2" t="inlineStr">
        <is>
          <t>Frösöstarr</t>
        </is>
      </c>
      <c r="V39">
        <f>HYPERLINK("https://klasma.github.io/Logging_0381/artfynd/S 3035-2023 artfynd.xlsx", "S 3035-2023")</f>
        <v/>
      </c>
      <c r="W39">
        <f>HYPERLINK("https://klasma.github.io/Logging_0381/kartor/S 3035-2023 karta.png", "S 3035-2023")</f>
        <v/>
      </c>
      <c r="Y39">
        <f>HYPERLINK("https://klasma.github.io/Logging_0381/klagomål/S 3035-2023 FSC-klagomål.docx", "S 3035-2023")</f>
        <v/>
      </c>
      <c r="Z39">
        <f>HYPERLINK("https://klasma.github.io/Logging_0381/klagomålsmail/S 3035-2023 FSC-klagomål mail.docx", "S 3035-2023")</f>
        <v/>
      </c>
      <c r="AA39">
        <f>HYPERLINK("https://klasma.github.io/Logging_0381/tillsyn/S 3035-2023 tillsynsbegäran.docx", "S 3035-2023")</f>
        <v/>
      </c>
      <c r="AB39">
        <f>HYPERLINK("https://klasma.github.io/Logging_0381/tillsynsmail/S 3035-2023 tillsynsbegäran mail.docx", "S 3035-2023")</f>
        <v/>
      </c>
    </row>
    <row r="40" ht="15" customHeight="1">
      <c r="A40" t="inlineStr">
        <is>
          <t>S 1937-2026</t>
        </is>
      </c>
      <c r="B40" t="inlineStr">
        <is>
          <t>samrådsanmälan</t>
        </is>
      </c>
      <c r="C40" t="inlineStr">
        <is>
          <t>Annan skogsbruksåtgärd</t>
        </is>
      </c>
      <c r="D40" s="1" t="n">
        <v>46203</v>
      </c>
      <c r="E40" s="1" t="n">
        <v>46222</v>
      </c>
      <c r="F40" t="inlineStr">
        <is>
          <t>UPPSALA LÄN</t>
        </is>
      </c>
      <c r="G40" t="inlineStr">
        <is>
          <t>ENKÖPING</t>
        </is>
      </c>
      <c r="I40" t="n">
        <v>0.2</v>
      </c>
      <c r="J40" t="n">
        <v>0</v>
      </c>
      <c r="K40" t="n">
        <v>0</v>
      </c>
      <c r="L40" t="n">
        <v>1</v>
      </c>
      <c r="M40" t="n">
        <v>0</v>
      </c>
      <c r="N40" t="n">
        <v>0</v>
      </c>
      <c r="O40" t="n">
        <v>0</v>
      </c>
      <c r="P40" t="n">
        <v>0</v>
      </c>
      <c r="Q40" t="n">
        <v>1</v>
      </c>
      <c r="R40" t="n">
        <v>0</v>
      </c>
      <c r="S40" t="n">
        <v>1</v>
      </c>
      <c r="T40" t="n">
        <v>1</v>
      </c>
      <c r="U40" s="2" t="inlineStr">
        <is>
          <t>Ullticka</t>
        </is>
      </c>
      <c r="V40">
        <f>HYPERLINK("https://klasma.github.io/Logging_0381/artfynd/S 1937-2026 artfynd.xlsx", "S 1937-2026")</f>
        <v/>
      </c>
      <c r="W40">
        <f>HYPERLINK("https://klasma.github.io/Logging_0381/kartor/S 1937-2026 karta.png", "S 1937-2026")</f>
        <v/>
      </c>
      <c r="Y40">
        <f>HYPERLINK("https://klasma.github.io/Logging_0381/klagomål/S 1937-2026 FSC-klagomål.docx", "S 1937-2026")</f>
        <v/>
      </c>
      <c r="Z40">
        <f>HYPERLINK("https://klasma.github.io/Logging_0381/klagomålsmail/S 1937-2026 FSC-klagomål mail.docx", "S 1937-2026")</f>
        <v/>
      </c>
      <c r="AA40">
        <f>HYPERLINK("https://klasma.github.io/Logging_0381/tillsyn/S 1937-2026 tillsynsbegäran.docx", "S 1937-2026")</f>
        <v/>
      </c>
      <c r="AB40">
        <f>HYPERLINK("https://klasma.github.io/Logging_0381/tillsynsmail/S 1937-2026 tillsynsbegäran mail.docx", "S 1937-2026")</f>
        <v/>
      </c>
    </row>
    <row r="41" ht="15" customHeight="1">
      <c r="A41" t="inlineStr">
        <is>
          <t>A 55582-2021</t>
        </is>
      </c>
      <c r="B41" t="inlineStr">
        <is>
          <t>avverkningsanmälan</t>
        </is>
      </c>
      <c r="C41" t="inlineStr">
        <is>
          <t>Avverkning för annat ändamål</t>
        </is>
      </c>
      <c r="D41" s="1" t="n">
        <v>44475</v>
      </c>
      <c r="E41" s="1" t="n">
        <v>46222</v>
      </c>
      <c r="F41" t="inlineStr">
        <is>
          <t>UPPSALA LÄN</t>
        </is>
      </c>
      <c r="G41" t="inlineStr">
        <is>
          <t>ENKÖPING</t>
        </is>
      </c>
      <c r="I41" t="n">
        <v>1.3</v>
      </c>
      <c r="J41" t="n">
        <v>0</v>
      </c>
      <c r="K41" t="n">
        <v>0</v>
      </c>
      <c r="L41" t="n">
        <v>0</v>
      </c>
      <c r="M41" t="n">
        <v>0</v>
      </c>
      <c r="N41" t="n">
        <v>0</v>
      </c>
      <c r="O41" t="n">
        <v>0</v>
      </c>
      <c r="P41" t="n">
        <v>0</v>
      </c>
      <c r="Q41" t="n">
        <v>0</v>
      </c>
      <c r="R41" t="n">
        <v>0</v>
      </c>
      <c r="S41" t="n">
        <v>0</v>
      </c>
      <c r="T41" t="n">
        <v>0</v>
      </c>
      <c r="U41" s="2" t="inlineStr"/>
    </row>
    <row r="42" ht="15" customHeight="1">
      <c r="A42" t="inlineStr">
        <is>
          <t>A 56176-2021</t>
        </is>
      </c>
      <c r="B42" t="inlineStr">
        <is>
          <t>avverkningsanmälan</t>
        </is>
      </c>
      <c r="C42" t="inlineStr">
        <is>
          <t>Föryngringsavverkning</t>
        </is>
      </c>
      <c r="D42" s="1" t="n">
        <v>44477</v>
      </c>
      <c r="E42" s="1" t="n">
        <v>46222</v>
      </c>
      <c r="F42" t="inlineStr">
        <is>
          <t>UPPSALA LÄN</t>
        </is>
      </c>
      <c r="G42" t="inlineStr">
        <is>
          <t>ENKÖPING</t>
        </is>
      </c>
      <c r="I42" t="n">
        <v>2.9</v>
      </c>
      <c r="J42" t="n">
        <v>0</v>
      </c>
      <c r="K42" t="n">
        <v>0</v>
      </c>
      <c r="L42" t="n">
        <v>0</v>
      </c>
      <c r="M42" t="n">
        <v>0</v>
      </c>
      <c r="N42" t="n">
        <v>0</v>
      </c>
      <c r="O42" t="n">
        <v>0</v>
      </c>
      <c r="P42" t="n">
        <v>0</v>
      </c>
      <c r="Q42" t="n">
        <v>0</v>
      </c>
      <c r="R42" t="n">
        <v>0</v>
      </c>
      <c r="S42" t="n">
        <v>0</v>
      </c>
      <c r="T42" t="n">
        <v>0</v>
      </c>
      <c r="U42" s="2" t="inlineStr"/>
    </row>
    <row r="43" ht="15" customHeight="1">
      <c r="A43" t="inlineStr">
        <is>
          <t>A 61553-2021</t>
        </is>
      </c>
      <c r="B43" t="inlineStr">
        <is>
          <t>avverkningsanmälan</t>
        </is>
      </c>
      <c r="C43" t="inlineStr">
        <is>
          <t>Föryngringsavverkning</t>
        </is>
      </c>
      <c r="D43" s="1" t="n">
        <v>44501</v>
      </c>
      <c r="E43" s="1" t="n">
        <v>46222</v>
      </c>
      <c r="F43" t="inlineStr">
        <is>
          <t>UPPSALA LÄN</t>
        </is>
      </c>
      <c r="G43" t="inlineStr">
        <is>
          <t>ENKÖPING</t>
        </is>
      </c>
      <c r="I43" t="n">
        <v>1.3</v>
      </c>
      <c r="J43" t="n">
        <v>0</v>
      </c>
      <c r="K43" t="n">
        <v>0</v>
      </c>
      <c r="L43" t="n">
        <v>0</v>
      </c>
      <c r="M43" t="n">
        <v>0</v>
      </c>
      <c r="N43" t="n">
        <v>0</v>
      </c>
      <c r="O43" t="n">
        <v>0</v>
      </c>
      <c r="P43" t="n">
        <v>0</v>
      </c>
      <c r="Q43" t="n">
        <v>0</v>
      </c>
      <c r="R43" t="n">
        <v>0</v>
      </c>
      <c r="S43" t="n">
        <v>0</v>
      </c>
      <c r="T43" t="n">
        <v>0</v>
      </c>
      <c r="U43" s="2" t="inlineStr"/>
    </row>
    <row r="44" ht="15" customHeight="1">
      <c r="A44" t="inlineStr">
        <is>
          <t>A 61076-2021</t>
        </is>
      </c>
      <c r="B44" t="inlineStr">
        <is>
          <t>avverkningsanmälan</t>
        </is>
      </c>
      <c r="C44" t="inlineStr">
        <is>
          <t>Föryngringsavverkning</t>
        </is>
      </c>
      <c r="D44" s="1" t="n">
        <v>44497</v>
      </c>
      <c r="E44" s="1" t="n">
        <v>46222</v>
      </c>
      <c r="F44" t="inlineStr">
        <is>
          <t>UPPSALA LÄN</t>
        </is>
      </c>
      <c r="G44" t="inlineStr">
        <is>
          <t>ENKÖPING</t>
        </is>
      </c>
      <c r="I44" t="n">
        <v>0.2</v>
      </c>
      <c r="J44" t="n">
        <v>0</v>
      </c>
      <c r="K44" t="n">
        <v>0</v>
      </c>
      <c r="L44" t="n">
        <v>0</v>
      </c>
      <c r="M44" t="n">
        <v>0</v>
      </c>
      <c r="N44" t="n">
        <v>0</v>
      </c>
      <c r="O44" t="n">
        <v>0</v>
      </c>
      <c r="P44" t="n">
        <v>0</v>
      </c>
      <c r="Q44" t="n">
        <v>0</v>
      </c>
      <c r="R44" t="n">
        <v>0</v>
      </c>
      <c r="S44" t="n">
        <v>0</v>
      </c>
      <c r="T44" t="n">
        <v>0</v>
      </c>
      <c r="U44" s="2" t="inlineStr"/>
    </row>
    <row r="45" ht="15" customHeight="1">
      <c r="A45" t="inlineStr">
        <is>
          <t>A 37570-2021</t>
        </is>
      </c>
      <c r="B45" t="inlineStr">
        <is>
          <t>avverkningsanmälan</t>
        </is>
      </c>
      <c r="C45" t="inlineStr">
        <is>
          <t>Föryngringsavverkning</t>
        </is>
      </c>
      <c r="D45" s="1" t="n">
        <v>44399</v>
      </c>
      <c r="E45" s="1" t="n">
        <v>46222</v>
      </c>
      <c r="F45" t="inlineStr">
        <is>
          <t>UPPSALA LÄN</t>
        </is>
      </c>
      <c r="G45" t="inlineStr">
        <is>
          <t>ENKÖPING</t>
        </is>
      </c>
      <c r="I45" t="n">
        <v>0.4</v>
      </c>
      <c r="J45" t="n">
        <v>0</v>
      </c>
      <c r="K45" t="n">
        <v>0</v>
      </c>
      <c r="L45" t="n">
        <v>0</v>
      </c>
      <c r="M45" t="n">
        <v>0</v>
      </c>
      <c r="N45" t="n">
        <v>0</v>
      </c>
      <c r="O45" t="n">
        <v>0</v>
      </c>
      <c r="P45" t="n">
        <v>0</v>
      </c>
      <c r="Q45" t="n">
        <v>0</v>
      </c>
      <c r="R45" t="n">
        <v>0</v>
      </c>
      <c r="S45" t="n">
        <v>0</v>
      </c>
      <c r="T45" t="n">
        <v>0</v>
      </c>
      <c r="U45" s="2" t="inlineStr"/>
    </row>
    <row r="46" ht="15" customHeight="1">
      <c r="A46" t="inlineStr">
        <is>
          <t>A 37571-2021</t>
        </is>
      </c>
      <c r="B46" t="inlineStr">
        <is>
          <t>avverkningsanmälan</t>
        </is>
      </c>
      <c r="C46" t="inlineStr">
        <is>
          <t>Föryngringsavverkning</t>
        </is>
      </c>
      <c r="D46" s="1" t="n">
        <v>44399</v>
      </c>
      <c r="E46" s="1" t="n">
        <v>46222</v>
      </c>
      <c r="F46" t="inlineStr">
        <is>
          <t>UPPSALA LÄN</t>
        </is>
      </c>
      <c r="G46" t="inlineStr">
        <is>
          <t>ENKÖPING</t>
        </is>
      </c>
      <c r="I46" t="n">
        <v>4.6</v>
      </c>
      <c r="J46" t="n">
        <v>0</v>
      </c>
      <c r="K46" t="n">
        <v>0</v>
      </c>
      <c r="L46" t="n">
        <v>0</v>
      </c>
      <c r="M46" t="n">
        <v>0</v>
      </c>
      <c r="N46" t="n">
        <v>0</v>
      </c>
      <c r="O46" t="n">
        <v>0</v>
      </c>
      <c r="P46" t="n">
        <v>0</v>
      </c>
      <c r="Q46" t="n">
        <v>0</v>
      </c>
      <c r="R46" t="n">
        <v>0</v>
      </c>
      <c r="S46" t="n">
        <v>0</v>
      </c>
      <c r="T46" t="n">
        <v>0</v>
      </c>
      <c r="U46" s="2" t="inlineStr"/>
    </row>
    <row r="47" ht="15" customHeight="1">
      <c r="A47" t="inlineStr">
        <is>
          <t>A 57066-2021</t>
        </is>
      </c>
      <c r="B47" t="inlineStr">
        <is>
          <t>avverkningsanmälan</t>
        </is>
      </c>
      <c r="C47" t="inlineStr">
        <is>
          <t>Föryngringsavverkning</t>
        </is>
      </c>
      <c r="D47" s="1" t="n">
        <v>44482</v>
      </c>
      <c r="E47" s="1" t="n">
        <v>46222</v>
      </c>
      <c r="F47" t="inlineStr">
        <is>
          <t>UPPSALA LÄN</t>
        </is>
      </c>
      <c r="G47" t="inlineStr">
        <is>
          <t>ENKÖPING</t>
        </is>
      </c>
      <c r="I47" t="n">
        <v>1.5</v>
      </c>
      <c r="J47" t="n">
        <v>0</v>
      </c>
      <c r="K47" t="n">
        <v>0</v>
      </c>
      <c r="L47" t="n">
        <v>0</v>
      </c>
      <c r="M47" t="n">
        <v>0</v>
      </c>
      <c r="N47" t="n">
        <v>0</v>
      </c>
      <c r="O47" t="n">
        <v>0</v>
      </c>
      <c r="P47" t="n">
        <v>0</v>
      </c>
      <c r="Q47" t="n">
        <v>0</v>
      </c>
      <c r="R47" t="n">
        <v>0</v>
      </c>
      <c r="S47" t="n">
        <v>0</v>
      </c>
      <c r="T47" t="n">
        <v>0</v>
      </c>
      <c r="U47" s="2" t="inlineStr"/>
    </row>
    <row r="48" ht="15" customHeight="1">
      <c r="A48" t="inlineStr">
        <is>
          <t>A 54433-2021</t>
        </is>
      </c>
      <c r="B48" t="inlineStr">
        <is>
          <t>avverkningsanmälan</t>
        </is>
      </c>
      <c r="C48" t="inlineStr">
        <is>
          <t>Föryngringsavverkning</t>
        </is>
      </c>
      <c r="D48" s="1" t="n">
        <v>44473</v>
      </c>
      <c r="E48" s="1" t="n">
        <v>46222</v>
      </c>
      <c r="F48" t="inlineStr">
        <is>
          <t>UPPSALA LÄN</t>
        </is>
      </c>
      <c r="G48" t="inlineStr">
        <is>
          <t>ENKÖPING</t>
        </is>
      </c>
      <c r="I48" t="n">
        <v>1</v>
      </c>
      <c r="J48" t="n">
        <v>0</v>
      </c>
      <c r="K48" t="n">
        <v>0</v>
      </c>
      <c r="L48" t="n">
        <v>0</v>
      </c>
      <c r="M48" t="n">
        <v>0</v>
      </c>
      <c r="N48" t="n">
        <v>0</v>
      </c>
      <c r="O48" t="n">
        <v>0</v>
      </c>
      <c r="P48" t="n">
        <v>0</v>
      </c>
      <c r="Q48" t="n">
        <v>0</v>
      </c>
      <c r="R48" t="n">
        <v>0</v>
      </c>
      <c r="S48" t="n">
        <v>0</v>
      </c>
      <c r="T48" t="n">
        <v>0</v>
      </c>
      <c r="U48" s="2" t="inlineStr"/>
    </row>
    <row r="49" ht="15" customHeight="1">
      <c r="A49" t="inlineStr">
        <is>
          <t>A 17704-2022</t>
        </is>
      </c>
      <c r="B49" t="inlineStr">
        <is>
          <t>avverkningsanmälan</t>
        </is>
      </c>
      <c r="C49" t="inlineStr">
        <is>
          <t>Föryngringsavverkning</t>
        </is>
      </c>
      <c r="D49" s="1" t="n">
        <v>44680</v>
      </c>
      <c r="E49" s="1" t="n">
        <v>46222</v>
      </c>
      <c r="F49" t="inlineStr">
        <is>
          <t>UPPSALA LÄN</t>
        </is>
      </c>
      <c r="G49" t="inlineStr">
        <is>
          <t>ENKÖPING</t>
        </is>
      </c>
      <c r="I49" t="n">
        <v>0.8</v>
      </c>
      <c r="J49" t="n">
        <v>0</v>
      </c>
      <c r="K49" t="n">
        <v>0</v>
      </c>
      <c r="L49" t="n">
        <v>0</v>
      </c>
      <c r="M49" t="n">
        <v>0</v>
      </c>
      <c r="N49" t="n">
        <v>0</v>
      </c>
      <c r="O49" t="n">
        <v>0</v>
      </c>
      <c r="P49" t="n">
        <v>0</v>
      </c>
      <c r="Q49" t="n">
        <v>0</v>
      </c>
      <c r="R49" t="n">
        <v>0</v>
      </c>
      <c r="S49" t="n">
        <v>0</v>
      </c>
      <c r="T49" t="n">
        <v>0</v>
      </c>
      <c r="U49" s="2" t="inlineStr"/>
    </row>
    <row r="50" ht="15" customHeight="1">
      <c r="A50" t="inlineStr">
        <is>
          <t>A 10202-2022</t>
        </is>
      </c>
      <c r="B50" t="inlineStr">
        <is>
          <t>avverkningsanmälan</t>
        </is>
      </c>
      <c r="C50" t="inlineStr">
        <is>
          <t>Föryngringsavverkning</t>
        </is>
      </c>
      <c r="D50" s="1" t="n">
        <v>44622</v>
      </c>
      <c r="E50" s="1" t="n">
        <v>46222</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s="2" t="inlineStr"/>
    </row>
    <row r="51" ht="15" customHeight="1">
      <c r="A51" t="inlineStr">
        <is>
          <t>A 10207-2022</t>
        </is>
      </c>
      <c r="B51" t="inlineStr">
        <is>
          <t>avverkningsanmälan</t>
        </is>
      </c>
      <c r="C51" t="inlineStr">
        <is>
          <t>Föryngringsavverkning</t>
        </is>
      </c>
      <c r="D51" s="1" t="n">
        <v>44622</v>
      </c>
      <c r="E51" s="1" t="n">
        <v>46222</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s="2" t="inlineStr"/>
    </row>
    <row r="52" ht="15" customHeight="1">
      <c r="A52" t="inlineStr">
        <is>
          <t>A 46749-2022</t>
        </is>
      </c>
      <c r="B52" t="inlineStr">
        <is>
          <t>avverkningsanmälan</t>
        </is>
      </c>
      <c r="C52" t="inlineStr">
        <is>
          <t>Föryngringsavverkning</t>
        </is>
      </c>
      <c r="D52" s="1" t="n">
        <v>44851</v>
      </c>
      <c r="E52" s="1" t="n">
        <v>46222</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s="2" t="inlineStr"/>
    </row>
    <row r="53" ht="15" customHeight="1">
      <c r="A53" t="inlineStr">
        <is>
          <t>A 18785-2022</t>
        </is>
      </c>
      <c r="B53" t="inlineStr">
        <is>
          <t>avverkningsanmälan</t>
        </is>
      </c>
      <c r="C53" t="inlineStr">
        <is>
          <t>Föryngringsavverkning</t>
        </is>
      </c>
      <c r="D53" s="1" t="n">
        <v>44687</v>
      </c>
      <c r="E53" s="1" t="n">
        <v>46222</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s="2" t="inlineStr"/>
    </row>
    <row r="54" ht="15" customHeight="1">
      <c r="A54" t="inlineStr">
        <is>
          <t>A 39922-2022</t>
        </is>
      </c>
      <c r="B54" t="inlineStr">
        <is>
          <t>avverkningsanmälan</t>
        </is>
      </c>
      <c r="C54" t="inlineStr">
        <is>
          <t>Föryngringsavverkning</t>
        </is>
      </c>
      <c r="D54" s="1" t="n">
        <v>44819</v>
      </c>
      <c r="E54" s="1" t="n">
        <v>46222</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s="2" t="inlineStr"/>
    </row>
    <row r="55" ht="15" customHeight="1">
      <c r="A55" t="inlineStr">
        <is>
          <t>A 3861-2022</t>
        </is>
      </c>
      <c r="B55" t="inlineStr">
        <is>
          <t>avverkningsanmälan</t>
        </is>
      </c>
      <c r="C55" t="inlineStr">
        <is>
          <t>Avverkning för att bevara och utveckla /försöksver</t>
        </is>
      </c>
      <c r="D55" s="1" t="n">
        <v>44587</v>
      </c>
      <c r="E55" s="1" t="n">
        <v>46222</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498-2022</t>
        </is>
      </c>
      <c r="B56" t="inlineStr">
        <is>
          <t>avverkningsanmälan</t>
        </is>
      </c>
      <c r="C56" t="inlineStr">
        <is>
          <t>Föryngringsavverkning</t>
        </is>
      </c>
      <c r="D56" s="1" t="n">
        <v>44566</v>
      </c>
      <c r="E56" s="1" t="n">
        <v>46222</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s="2" t="inlineStr"/>
    </row>
    <row r="57" ht="15" customHeight="1">
      <c r="A57" t="inlineStr">
        <is>
          <t>A 1965-2022</t>
        </is>
      </c>
      <c r="B57" t="inlineStr">
        <is>
          <t>avverkningsanmälan</t>
        </is>
      </c>
      <c r="C57" t="inlineStr">
        <is>
          <t>Föryngringsavverkning</t>
        </is>
      </c>
      <c r="D57" s="1" t="n">
        <v>44575</v>
      </c>
      <c r="E57" s="1" t="n">
        <v>46222</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s="2" t="inlineStr"/>
    </row>
    <row r="58" ht="15" customHeight="1">
      <c r="A58" t="inlineStr">
        <is>
          <t>A 48230-2022</t>
        </is>
      </c>
      <c r="B58" t="inlineStr">
        <is>
          <t>avverkningsanmälan</t>
        </is>
      </c>
      <c r="C58" t="inlineStr">
        <is>
          <t>Föryngringsavverkning</t>
        </is>
      </c>
      <c r="D58" s="1" t="n">
        <v>44858</v>
      </c>
      <c r="E58" s="1" t="n">
        <v>46222</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s="2" t="inlineStr"/>
    </row>
    <row r="59" ht="15" customHeight="1">
      <c r="A59" t="inlineStr">
        <is>
          <t>A 14531-2022</t>
        </is>
      </c>
      <c r="B59" t="inlineStr">
        <is>
          <t>avverkningsanmälan</t>
        </is>
      </c>
      <c r="C59" t="inlineStr">
        <is>
          <t>Föryngringsavverkning</t>
        </is>
      </c>
      <c r="D59" s="1" t="n">
        <v>44655</v>
      </c>
      <c r="E59" s="1" t="n">
        <v>46222</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s="2" t="inlineStr"/>
    </row>
    <row r="60" ht="15" customHeight="1">
      <c r="A60" t="inlineStr">
        <is>
          <t>A 48233-2022</t>
        </is>
      </c>
      <c r="B60" t="inlineStr">
        <is>
          <t>avverkningsanmälan</t>
        </is>
      </c>
      <c r="C60" t="inlineStr">
        <is>
          <t>Föryngringsavverkning</t>
        </is>
      </c>
      <c r="D60" s="1" t="n">
        <v>44858</v>
      </c>
      <c r="E60" s="1" t="n">
        <v>46222</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s="2" t="inlineStr"/>
    </row>
    <row r="61" ht="15" customHeight="1">
      <c r="A61" t="inlineStr">
        <is>
          <t>A 29435-2022</t>
        </is>
      </c>
      <c r="B61" t="inlineStr">
        <is>
          <t>avverkningsanmälan</t>
        </is>
      </c>
      <c r="C61" t="inlineStr">
        <is>
          <t>Föryngringsavverkning</t>
        </is>
      </c>
      <c r="D61" s="1" t="n">
        <v>44753</v>
      </c>
      <c r="E61" s="1" t="n">
        <v>46222</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s="2" t="inlineStr"/>
    </row>
    <row r="62" ht="15" customHeight="1">
      <c r="A62" t="inlineStr">
        <is>
          <t>A 39473-2021</t>
        </is>
      </c>
      <c r="B62" t="inlineStr">
        <is>
          <t>avverkningsanmälan</t>
        </is>
      </c>
      <c r="C62" t="inlineStr">
        <is>
          <t>Föryngringsavverkning</t>
        </is>
      </c>
      <c r="D62" s="1" t="n">
        <v>44414</v>
      </c>
      <c r="E62" s="1" t="n">
        <v>46222</v>
      </c>
      <c r="F62" t="inlineStr">
        <is>
          <t>UPPSALA LÄN</t>
        </is>
      </c>
      <c r="G62" t="inlineStr">
        <is>
          <t>ENKÖPING</t>
        </is>
      </c>
      <c r="I62" t="n">
        <v>3.2</v>
      </c>
      <c r="J62" t="n">
        <v>0</v>
      </c>
      <c r="K62" t="n">
        <v>0</v>
      </c>
      <c r="L62" t="n">
        <v>0</v>
      </c>
      <c r="M62" t="n">
        <v>0</v>
      </c>
      <c r="N62" t="n">
        <v>0</v>
      </c>
      <c r="O62" t="n">
        <v>0</v>
      </c>
      <c r="P62" t="n">
        <v>0</v>
      </c>
      <c r="Q62" t="n">
        <v>0</v>
      </c>
      <c r="R62" t="n">
        <v>0</v>
      </c>
      <c r="S62" t="n">
        <v>0</v>
      </c>
      <c r="T62" t="n">
        <v>0</v>
      </c>
      <c r="U62" s="2" t="inlineStr"/>
    </row>
    <row r="63" ht="15" customHeight="1">
      <c r="A63" t="inlineStr">
        <is>
          <t>A 38005-2022</t>
        </is>
      </c>
      <c r="B63" t="inlineStr">
        <is>
          <t>avverkningsanmälan</t>
        </is>
      </c>
      <c r="C63" t="inlineStr">
        <is>
          <t>Föryngringsavverkning</t>
        </is>
      </c>
      <c r="D63" s="1" t="n">
        <v>44810</v>
      </c>
      <c r="E63" s="1" t="n">
        <v>46222</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s="2" t="inlineStr"/>
    </row>
    <row r="64" ht="15" customHeight="1">
      <c r="A64" t="inlineStr">
        <is>
          <t>A 29425-2022</t>
        </is>
      </c>
      <c r="B64" t="inlineStr">
        <is>
          <t>avverkningsanmälan</t>
        </is>
      </c>
      <c r="C64" t="inlineStr">
        <is>
          <t>Föryngringsavverkning</t>
        </is>
      </c>
      <c r="D64" s="1" t="n">
        <v>44753</v>
      </c>
      <c r="E64" s="1" t="n">
        <v>46222</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s="2" t="inlineStr"/>
    </row>
    <row r="65" ht="15" customHeight="1">
      <c r="A65" t="inlineStr">
        <is>
          <t>A 2680-2022</t>
        </is>
      </c>
      <c r="B65" t="inlineStr">
        <is>
          <t>avverkningsanmälan</t>
        </is>
      </c>
      <c r="C65" t="inlineStr">
        <is>
          <t>Föryngringsavverkning</t>
        </is>
      </c>
      <c r="D65" s="1" t="n">
        <v>44580</v>
      </c>
      <c r="E65" s="1" t="n">
        <v>46222</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s="2" t="inlineStr"/>
    </row>
    <row r="66" ht="15" customHeight="1">
      <c r="A66" t="inlineStr">
        <is>
          <t>A 37410-2022</t>
        </is>
      </c>
      <c r="B66" t="inlineStr">
        <is>
          <t>avverkningsanmälan</t>
        </is>
      </c>
      <c r="C66" t="inlineStr">
        <is>
          <t>Föryngringsavverkning</t>
        </is>
      </c>
      <c r="D66" s="1" t="n">
        <v>44809</v>
      </c>
      <c r="E66" s="1" t="n">
        <v>46222</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s="2" t="inlineStr"/>
    </row>
    <row r="67" ht="15" customHeight="1">
      <c r="A67" t="inlineStr">
        <is>
          <t>A 1979-2022</t>
        </is>
      </c>
      <c r="B67" t="inlineStr">
        <is>
          <t>avverkningsanmälan</t>
        </is>
      </c>
      <c r="C67" t="inlineStr">
        <is>
          <t>Föryngringsavverkning</t>
        </is>
      </c>
      <c r="D67" s="1" t="n">
        <v>44575</v>
      </c>
      <c r="E67" s="1" t="n">
        <v>46222</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s="2" t="inlineStr"/>
    </row>
    <row r="68" ht="15" customHeight="1">
      <c r="A68" t="inlineStr">
        <is>
          <t>A 68107-2021</t>
        </is>
      </c>
      <c r="B68" t="inlineStr">
        <is>
          <t>avverkningsanmälan</t>
        </is>
      </c>
      <c r="C68" t="inlineStr">
        <is>
          <t>Föryngringsavverkning</t>
        </is>
      </c>
      <c r="D68" s="1" t="n">
        <v>44526</v>
      </c>
      <c r="E68" s="1" t="n">
        <v>46222</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s="2" t="inlineStr"/>
    </row>
    <row r="69" ht="15" customHeight="1">
      <c r="A69" t="inlineStr">
        <is>
          <t>A 69791-2021</t>
        </is>
      </c>
      <c r="B69" t="inlineStr">
        <is>
          <t>avverkningsanmälan</t>
        </is>
      </c>
      <c r="C69" t="inlineStr">
        <is>
          <t>Föryngringsavverkning</t>
        </is>
      </c>
      <c r="D69" s="1" t="n">
        <v>44532</v>
      </c>
      <c r="E69" s="1" t="n">
        <v>46222</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s="2" t="inlineStr"/>
    </row>
    <row r="70" ht="15" customHeight="1">
      <c r="A70" t="inlineStr">
        <is>
          <t>A 49375-2021</t>
        </is>
      </c>
      <c r="B70" t="inlineStr">
        <is>
          <t>avverkningsanmälan</t>
        </is>
      </c>
      <c r="C70" t="inlineStr">
        <is>
          <t>Föryngringsavverkning</t>
        </is>
      </c>
      <c r="D70" s="1" t="n">
        <v>44454</v>
      </c>
      <c r="E70" s="1" t="n">
        <v>46222</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s="2" t="inlineStr"/>
    </row>
    <row r="71" ht="15" customHeight="1">
      <c r="A71" t="inlineStr">
        <is>
          <t>A 57055-2021</t>
        </is>
      </c>
      <c r="B71" t="inlineStr">
        <is>
          <t>avverkningsanmälan</t>
        </is>
      </c>
      <c r="C71" t="inlineStr">
        <is>
          <t>Föryngringsavverkning</t>
        </is>
      </c>
      <c r="D71" s="1" t="n">
        <v>44482</v>
      </c>
      <c r="E71" s="1" t="n">
        <v>46222</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s="2" t="inlineStr"/>
    </row>
    <row r="72" ht="15" customHeight="1">
      <c r="A72" t="inlineStr">
        <is>
          <t>A 60874-2021</t>
        </is>
      </c>
      <c r="B72" t="inlineStr">
        <is>
          <t>avverkningsanmälan</t>
        </is>
      </c>
      <c r="C72" t="inlineStr">
        <is>
          <t>Avverkning för annat ändamål</t>
        </is>
      </c>
      <c r="D72" s="1" t="n">
        <v>44497</v>
      </c>
      <c r="E72" s="1" t="n">
        <v>46222</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s="2" t="inlineStr"/>
    </row>
    <row r="73" ht="15" customHeight="1">
      <c r="A73" t="inlineStr">
        <is>
          <t>A 15021-2022</t>
        </is>
      </c>
      <c r="B73" t="inlineStr">
        <is>
          <t>avverkningsanmälan</t>
        </is>
      </c>
      <c r="C73" t="inlineStr">
        <is>
          <t>Föryngringsavverkning</t>
        </is>
      </c>
      <c r="D73" s="1" t="n">
        <v>44657</v>
      </c>
      <c r="E73" s="1" t="n">
        <v>46222</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s="2" t="inlineStr"/>
    </row>
    <row r="74" ht="15" customHeight="1">
      <c r="A74" t="inlineStr">
        <is>
          <t>A 31013-2022</t>
        </is>
      </c>
      <c r="B74" t="inlineStr">
        <is>
          <t>avverkningsanmälan</t>
        </is>
      </c>
      <c r="C74" t="inlineStr">
        <is>
          <t>Föryngringsavverkning</t>
        </is>
      </c>
      <c r="D74" s="1" t="n">
        <v>44768</v>
      </c>
      <c r="E74" s="1" t="n">
        <v>46222</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s="2" t="inlineStr"/>
    </row>
    <row r="75" ht="15" customHeight="1">
      <c r="A75" t="inlineStr">
        <is>
          <t>A 42029-2021</t>
        </is>
      </c>
      <c r="B75" t="inlineStr">
        <is>
          <t>avverkningsanmälan</t>
        </is>
      </c>
      <c r="C75" t="inlineStr">
        <is>
          <t>Föryngringsavverkning</t>
        </is>
      </c>
      <c r="D75" s="1" t="n">
        <v>44426</v>
      </c>
      <c r="E75" s="1" t="n">
        <v>46222</v>
      </c>
      <c r="F75" t="inlineStr">
        <is>
          <t>UPPSALA LÄN</t>
        </is>
      </c>
      <c r="G75" t="inlineStr">
        <is>
          <t>ENKÖPING</t>
        </is>
      </c>
      <c r="I75" t="n">
        <v>5.3</v>
      </c>
      <c r="J75" t="n">
        <v>0</v>
      </c>
      <c r="K75" t="n">
        <v>0</v>
      </c>
      <c r="L75" t="n">
        <v>0</v>
      </c>
      <c r="M75" t="n">
        <v>0</v>
      </c>
      <c r="N75" t="n">
        <v>0</v>
      </c>
      <c r="O75" t="n">
        <v>0</v>
      </c>
      <c r="P75" t="n">
        <v>0</v>
      </c>
      <c r="Q75" t="n">
        <v>0</v>
      </c>
      <c r="R75" t="n">
        <v>0</v>
      </c>
      <c r="S75" t="n">
        <v>0</v>
      </c>
      <c r="T75" t="n">
        <v>0</v>
      </c>
      <c r="U75" s="2" t="inlineStr"/>
    </row>
    <row r="76" ht="15" customHeight="1">
      <c r="A76" t="inlineStr">
        <is>
          <t>A 1971-2022</t>
        </is>
      </c>
      <c r="B76" t="inlineStr">
        <is>
          <t>avverkningsanmälan</t>
        </is>
      </c>
      <c r="C76" t="inlineStr">
        <is>
          <t>Föryngringsavverkning</t>
        </is>
      </c>
      <c r="D76" s="1" t="n">
        <v>44575</v>
      </c>
      <c r="E76" s="1" t="n">
        <v>46222</v>
      </c>
      <c r="F76" t="inlineStr">
        <is>
          <t>UPPSALA LÄN</t>
        </is>
      </c>
      <c r="G76" t="inlineStr">
        <is>
          <t>ENKÖPING</t>
        </is>
      </c>
      <c r="I76" t="n">
        <v>1.4</v>
      </c>
      <c r="J76" t="n">
        <v>0</v>
      </c>
      <c r="K76" t="n">
        <v>0</v>
      </c>
      <c r="L76" t="n">
        <v>0</v>
      </c>
      <c r="M76" t="n">
        <v>0</v>
      </c>
      <c r="N76" t="n">
        <v>0</v>
      </c>
      <c r="O76" t="n">
        <v>0</v>
      </c>
      <c r="P76" t="n">
        <v>0</v>
      </c>
      <c r="Q76" t="n">
        <v>0</v>
      </c>
      <c r="R76" t="n">
        <v>0</v>
      </c>
      <c r="S76" t="n">
        <v>0</v>
      </c>
      <c r="T76" t="n">
        <v>0</v>
      </c>
      <c r="U76" s="2" t="inlineStr"/>
    </row>
    <row r="77" ht="15" customHeight="1">
      <c r="A77" t="inlineStr">
        <is>
          <t>A 15924-2022</t>
        </is>
      </c>
      <c r="B77" t="inlineStr">
        <is>
          <t>avverkningsanmälan</t>
        </is>
      </c>
      <c r="C77" t="inlineStr">
        <is>
          <t>Föryngringsavverkning</t>
        </is>
      </c>
      <c r="D77" s="1" t="n">
        <v>44664</v>
      </c>
      <c r="E77" s="1" t="n">
        <v>46222</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s="2" t="inlineStr"/>
    </row>
    <row r="78" ht="15" customHeight="1">
      <c r="A78" t="inlineStr">
        <is>
          <t>A 15943-2022</t>
        </is>
      </c>
      <c r="B78" t="inlineStr">
        <is>
          <t>avverkningsanmälan</t>
        </is>
      </c>
      <c r="C78" t="inlineStr">
        <is>
          <t>Föryngringsavverkning</t>
        </is>
      </c>
      <c r="D78" s="1" t="n">
        <v>44664</v>
      </c>
      <c r="E78" s="1" t="n">
        <v>46222</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s="2" t="inlineStr"/>
    </row>
    <row r="79" ht="15" customHeight="1">
      <c r="A79" t="inlineStr">
        <is>
          <t>A 47106-2021</t>
        </is>
      </c>
      <c r="B79" t="inlineStr">
        <is>
          <t>avverkningsanmälan</t>
        </is>
      </c>
      <c r="C79" t="inlineStr">
        <is>
          <t>Föryngringsavverkning</t>
        </is>
      </c>
      <c r="D79" s="1" t="n">
        <v>44446</v>
      </c>
      <c r="E79" s="1" t="n">
        <v>46222</v>
      </c>
      <c r="F79" t="inlineStr">
        <is>
          <t>UPPSALA LÄN</t>
        </is>
      </c>
      <c r="G79" t="inlineStr">
        <is>
          <t>ENKÖPING</t>
        </is>
      </c>
      <c r="I79" t="n">
        <v>7.6</v>
      </c>
      <c r="J79" t="n">
        <v>0</v>
      </c>
      <c r="K79" t="n">
        <v>0</v>
      </c>
      <c r="L79" t="n">
        <v>0</v>
      </c>
      <c r="M79" t="n">
        <v>0</v>
      </c>
      <c r="N79" t="n">
        <v>0</v>
      </c>
      <c r="O79" t="n">
        <v>0</v>
      </c>
      <c r="P79" t="n">
        <v>0</v>
      </c>
      <c r="Q79" t="n">
        <v>0</v>
      </c>
      <c r="R79" t="n">
        <v>0</v>
      </c>
      <c r="S79" t="n">
        <v>0</v>
      </c>
      <c r="T79" t="n">
        <v>0</v>
      </c>
      <c r="U79" s="2" t="inlineStr"/>
    </row>
    <row r="80" ht="15" customHeight="1">
      <c r="A80" t="inlineStr">
        <is>
          <t>A 19731-2022</t>
        </is>
      </c>
      <c r="B80" t="inlineStr">
        <is>
          <t>avverkningsanmälan</t>
        </is>
      </c>
      <c r="C80" t="inlineStr">
        <is>
          <t>Föryngringsavverkning</t>
        </is>
      </c>
      <c r="D80" s="1" t="n">
        <v>44694</v>
      </c>
      <c r="E80" s="1" t="n">
        <v>46222</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s="2" t="inlineStr"/>
    </row>
    <row r="81" ht="15" customHeight="1">
      <c r="A81" t="inlineStr">
        <is>
          <t>A 57043-2021</t>
        </is>
      </c>
      <c r="B81" t="inlineStr">
        <is>
          <t>avverkningsanmälan</t>
        </is>
      </c>
      <c r="C81" t="inlineStr">
        <is>
          <t>Föryngringsavverkning</t>
        </is>
      </c>
      <c r="D81" s="1" t="n">
        <v>44482</v>
      </c>
      <c r="E81" s="1" t="n">
        <v>46222</v>
      </c>
      <c r="F81" t="inlineStr">
        <is>
          <t>UPPSALA LÄN</t>
        </is>
      </c>
      <c r="G81" t="inlineStr">
        <is>
          <t>ENKÖPING</t>
        </is>
      </c>
      <c r="I81" t="n">
        <v>0.5</v>
      </c>
      <c r="J81" t="n">
        <v>0</v>
      </c>
      <c r="K81" t="n">
        <v>0</v>
      </c>
      <c r="L81" t="n">
        <v>0</v>
      </c>
      <c r="M81" t="n">
        <v>0</v>
      </c>
      <c r="N81" t="n">
        <v>0</v>
      </c>
      <c r="O81" t="n">
        <v>0</v>
      </c>
      <c r="P81" t="n">
        <v>0</v>
      </c>
      <c r="Q81" t="n">
        <v>0</v>
      </c>
      <c r="R81" t="n">
        <v>0</v>
      </c>
      <c r="S81" t="n">
        <v>0</v>
      </c>
      <c r="T81" t="n">
        <v>0</v>
      </c>
      <c r="U81" s="2" t="inlineStr"/>
    </row>
    <row r="82" ht="15" customHeight="1">
      <c r="A82" t="inlineStr">
        <is>
          <t>A 24883-2022</t>
        </is>
      </c>
      <c r="B82" t="inlineStr">
        <is>
          <t>avverkningsanmälan</t>
        </is>
      </c>
      <c r="C82" t="inlineStr">
        <is>
          <t>Föryngringsavverkning</t>
        </is>
      </c>
      <c r="D82" s="1" t="n">
        <v>44728</v>
      </c>
      <c r="E82" s="1" t="n">
        <v>46222</v>
      </c>
      <c r="F82" t="inlineStr">
        <is>
          <t>UPPSALA LÄN</t>
        </is>
      </c>
      <c r="G82" t="inlineStr">
        <is>
          <t>ENKÖPING</t>
        </is>
      </c>
      <c r="I82" t="n">
        <v>2.5</v>
      </c>
      <c r="J82" t="n">
        <v>0</v>
      </c>
      <c r="K82" t="n">
        <v>0</v>
      </c>
      <c r="L82" t="n">
        <v>0</v>
      </c>
      <c r="M82" t="n">
        <v>0</v>
      </c>
      <c r="N82" t="n">
        <v>0</v>
      </c>
      <c r="O82" t="n">
        <v>0</v>
      </c>
      <c r="P82" t="n">
        <v>0</v>
      </c>
      <c r="Q82" t="n">
        <v>0</v>
      </c>
      <c r="R82" t="n">
        <v>0</v>
      </c>
      <c r="S82" t="n">
        <v>0</v>
      </c>
      <c r="T82" t="n">
        <v>0</v>
      </c>
      <c r="U82" s="2" t="inlineStr"/>
    </row>
    <row r="83" ht="15" customHeight="1">
      <c r="A83" t="inlineStr">
        <is>
          <t>A 42021-2021</t>
        </is>
      </c>
      <c r="B83" t="inlineStr">
        <is>
          <t>avverkningsanmälan</t>
        </is>
      </c>
      <c r="C83" t="inlineStr">
        <is>
          <t>Föryngringsavverkning</t>
        </is>
      </c>
      <c r="D83" s="1" t="n">
        <v>44426</v>
      </c>
      <c r="E83" s="1" t="n">
        <v>46222</v>
      </c>
      <c r="F83" t="inlineStr">
        <is>
          <t>UPPSALA LÄN</t>
        </is>
      </c>
      <c r="G83" t="inlineStr">
        <is>
          <t>ENKÖPING</t>
        </is>
      </c>
      <c r="I83" t="n">
        <v>2.2</v>
      </c>
      <c r="J83" t="n">
        <v>0</v>
      </c>
      <c r="K83" t="n">
        <v>0</v>
      </c>
      <c r="L83" t="n">
        <v>0</v>
      </c>
      <c r="M83" t="n">
        <v>0</v>
      </c>
      <c r="N83" t="n">
        <v>0</v>
      </c>
      <c r="O83" t="n">
        <v>0</v>
      </c>
      <c r="P83" t="n">
        <v>0</v>
      </c>
      <c r="Q83" t="n">
        <v>0</v>
      </c>
      <c r="R83" t="n">
        <v>0</v>
      </c>
      <c r="S83" t="n">
        <v>0</v>
      </c>
      <c r="T83" t="n">
        <v>0</v>
      </c>
      <c r="U83" s="2" t="inlineStr"/>
    </row>
    <row r="84" ht="15" customHeight="1">
      <c r="A84" t="inlineStr">
        <is>
          <t>A 17467-2022</t>
        </is>
      </c>
      <c r="B84" t="inlineStr">
        <is>
          <t>avverkningsanmälan</t>
        </is>
      </c>
      <c r="C84" t="inlineStr">
        <is>
          <t>Föryngringsavverkning</t>
        </is>
      </c>
      <c r="D84" s="1" t="n">
        <v>44679</v>
      </c>
      <c r="E84" s="1" t="n">
        <v>46222</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s="2" t="inlineStr"/>
    </row>
    <row r="85" ht="15" customHeight="1">
      <c r="A85" t="inlineStr">
        <is>
          <t>A 59121-2021</t>
        </is>
      </c>
      <c r="B85" t="inlineStr">
        <is>
          <t>avverkningsanmälan</t>
        </is>
      </c>
      <c r="C85" t="inlineStr">
        <is>
          <t>Föryngringsavverkning</t>
        </is>
      </c>
      <c r="D85" s="1" t="n">
        <v>44490</v>
      </c>
      <c r="E85" s="1" t="n">
        <v>46222</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s="2" t="inlineStr"/>
    </row>
    <row r="86" ht="15" customHeight="1">
      <c r="A86" t="inlineStr">
        <is>
          <t>A 57078-2021</t>
        </is>
      </c>
      <c r="B86" t="inlineStr">
        <is>
          <t>avverkningsanmälan</t>
        </is>
      </c>
      <c r="C86" t="inlineStr">
        <is>
          <t>Föryngringsavverkning</t>
        </is>
      </c>
      <c r="D86" s="1" t="n">
        <v>44482</v>
      </c>
      <c r="E86" s="1" t="n">
        <v>46222</v>
      </c>
      <c r="F86" t="inlineStr">
        <is>
          <t>UPPSALA LÄN</t>
        </is>
      </c>
      <c r="G86" t="inlineStr">
        <is>
          <t>ENKÖPING</t>
        </is>
      </c>
      <c r="I86" t="n">
        <v>3</v>
      </c>
      <c r="J86" t="n">
        <v>0</v>
      </c>
      <c r="K86" t="n">
        <v>0</v>
      </c>
      <c r="L86" t="n">
        <v>0</v>
      </c>
      <c r="M86" t="n">
        <v>0</v>
      </c>
      <c r="N86" t="n">
        <v>0</v>
      </c>
      <c r="O86" t="n">
        <v>0</v>
      </c>
      <c r="P86" t="n">
        <v>0</v>
      </c>
      <c r="Q86" t="n">
        <v>0</v>
      </c>
      <c r="R86" t="n">
        <v>0</v>
      </c>
      <c r="S86" t="n">
        <v>0</v>
      </c>
      <c r="T86" t="n">
        <v>0</v>
      </c>
      <c r="U86" s="2" t="inlineStr"/>
    </row>
    <row r="87" ht="15" customHeight="1">
      <c r="A87" t="inlineStr">
        <is>
          <t>A 24815-2022</t>
        </is>
      </c>
      <c r="B87" t="inlineStr">
        <is>
          <t>avverkningsanmälan</t>
        </is>
      </c>
      <c r="C87" t="inlineStr">
        <is>
          <t>Föryngringsavverkning</t>
        </is>
      </c>
      <c r="D87" s="1" t="n">
        <v>44728</v>
      </c>
      <c r="E87" s="1" t="n">
        <v>46222</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s="2" t="inlineStr"/>
    </row>
    <row r="88" ht="15" customHeight="1">
      <c r="A88" t="inlineStr">
        <is>
          <t>A 10468-2025</t>
        </is>
      </c>
      <c r="B88" t="inlineStr">
        <is>
          <t>avverkningsanmälan</t>
        </is>
      </c>
      <c r="C88" t="inlineStr">
        <is>
          <t>Föryngringsavverkning</t>
        </is>
      </c>
      <c r="D88" s="1" t="n">
        <v>45720</v>
      </c>
      <c r="E88" s="1" t="n">
        <v>46222</v>
      </c>
      <c r="F88" t="inlineStr">
        <is>
          <t>UPPSALA LÄN</t>
        </is>
      </c>
      <c r="G88" t="inlineStr">
        <is>
          <t>ENKÖPING</t>
        </is>
      </c>
      <c r="I88" t="n">
        <v>1.6</v>
      </c>
      <c r="J88" t="n">
        <v>0</v>
      </c>
      <c r="K88" t="n">
        <v>0</v>
      </c>
      <c r="L88" t="n">
        <v>0</v>
      </c>
      <c r="M88" t="n">
        <v>0</v>
      </c>
      <c r="N88" t="n">
        <v>0</v>
      </c>
      <c r="O88" t="n">
        <v>0</v>
      </c>
      <c r="P88" t="n">
        <v>0</v>
      </c>
      <c r="Q88" t="n">
        <v>0</v>
      </c>
      <c r="R88" t="n">
        <v>0</v>
      </c>
      <c r="S88" t="n">
        <v>0</v>
      </c>
      <c r="T88" t="n">
        <v>0</v>
      </c>
      <c r="U88" s="2" t="inlineStr"/>
    </row>
    <row r="89" ht="15" customHeight="1">
      <c r="A89" t="inlineStr">
        <is>
          <t>A 5211-2024</t>
        </is>
      </c>
      <c r="B89" t="inlineStr">
        <is>
          <t>avverkningsanmälan</t>
        </is>
      </c>
      <c r="C89" t="inlineStr">
        <is>
          <t>Föryngringsavverkning</t>
        </is>
      </c>
      <c r="D89" s="1" t="n">
        <v>45330</v>
      </c>
      <c r="E89" s="1" t="n">
        <v>46222</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s="2" t="inlineStr"/>
    </row>
    <row r="90" ht="15" customHeight="1">
      <c r="A90" t="inlineStr">
        <is>
          <t>A 43488-2023</t>
        </is>
      </c>
      <c r="B90" t="inlineStr">
        <is>
          <t>avverkningsanmälan</t>
        </is>
      </c>
      <c r="C90" t="inlineStr">
        <is>
          <t>Föryngringsavverkning</t>
        </is>
      </c>
      <c r="D90" s="1" t="n">
        <v>45181</v>
      </c>
      <c r="E90" s="1" t="n">
        <v>46222</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s="2" t="inlineStr"/>
    </row>
    <row r="91" ht="15" customHeight="1">
      <c r="A91" t="inlineStr">
        <is>
          <t>A 12755-2025</t>
        </is>
      </c>
      <c r="B91" t="inlineStr">
        <is>
          <t>avverkningsanmälan</t>
        </is>
      </c>
      <c r="C91" t="inlineStr">
        <is>
          <t>Föryngringsavverkning</t>
        </is>
      </c>
      <c r="D91" s="1" t="n">
        <v>45733</v>
      </c>
      <c r="E91" s="1" t="n">
        <v>46222</v>
      </c>
      <c r="F91" t="inlineStr">
        <is>
          <t>UPPSALA LÄN</t>
        </is>
      </c>
      <c r="G91" t="inlineStr">
        <is>
          <t>ENKÖPING</t>
        </is>
      </c>
      <c r="I91" t="n">
        <v>0.8</v>
      </c>
      <c r="J91" t="n">
        <v>0</v>
      </c>
      <c r="K91" t="n">
        <v>0</v>
      </c>
      <c r="L91" t="n">
        <v>0</v>
      </c>
      <c r="M91" t="n">
        <v>0</v>
      </c>
      <c r="N91" t="n">
        <v>0</v>
      </c>
      <c r="O91" t="n">
        <v>0</v>
      </c>
      <c r="P91" t="n">
        <v>0</v>
      </c>
      <c r="Q91" t="n">
        <v>0</v>
      </c>
      <c r="R91" t="n">
        <v>0</v>
      </c>
      <c r="S91" t="n">
        <v>0</v>
      </c>
      <c r="T91" t="n">
        <v>0</v>
      </c>
      <c r="U91" s="2" t="inlineStr"/>
    </row>
    <row r="92" ht="15" customHeight="1">
      <c r="A92" t="inlineStr">
        <is>
          <t>A 4044-2024</t>
        </is>
      </c>
      <c r="B92" t="inlineStr">
        <is>
          <t>avverkningsanmälan</t>
        </is>
      </c>
      <c r="C92" t="inlineStr">
        <is>
          <t>Föryngringsavverkning</t>
        </is>
      </c>
      <c r="D92" s="1" t="n">
        <v>45323</v>
      </c>
      <c r="E92" s="1" t="n">
        <v>46222</v>
      </c>
      <c r="F92" t="inlineStr">
        <is>
          <t>UPPSALA LÄN</t>
        </is>
      </c>
      <c r="G92" t="inlineStr">
        <is>
          <t>ENKÖPING</t>
        </is>
      </c>
      <c r="I92" t="n">
        <v>2.1</v>
      </c>
      <c r="J92" t="n">
        <v>0</v>
      </c>
      <c r="K92" t="n">
        <v>0</v>
      </c>
      <c r="L92" t="n">
        <v>0</v>
      </c>
      <c r="M92" t="n">
        <v>0</v>
      </c>
      <c r="N92" t="n">
        <v>0</v>
      </c>
      <c r="O92" t="n">
        <v>0</v>
      </c>
      <c r="P92" t="n">
        <v>0</v>
      </c>
      <c r="Q92" t="n">
        <v>0</v>
      </c>
      <c r="R92" t="n">
        <v>0</v>
      </c>
      <c r="S92" t="n">
        <v>0</v>
      </c>
      <c r="T92" t="n">
        <v>0</v>
      </c>
      <c r="U92" s="2" t="inlineStr"/>
    </row>
    <row r="93" ht="15" customHeight="1">
      <c r="A93" t="inlineStr">
        <is>
          <t>A 50747-2022</t>
        </is>
      </c>
      <c r="B93" t="inlineStr">
        <is>
          <t>avverkningsanmälan</t>
        </is>
      </c>
      <c r="C93" t="inlineStr">
        <is>
          <t>Föryngringsavverkning</t>
        </is>
      </c>
      <c r="D93" s="1" t="n">
        <v>44867</v>
      </c>
      <c r="E93" s="1" t="n">
        <v>46222</v>
      </c>
      <c r="F93" t="inlineStr">
        <is>
          <t>UPPSALA LÄN</t>
        </is>
      </c>
      <c r="G93" t="inlineStr">
        <is>
          <t>ENKÖPING</t>
        </is>
      </c>
      <c r="I93" t="n">
        <v>1.5</v>
      </c>
      <c r="J93" t="n">
        <v>0</v>
      </c>
      <c r="K93" t="n">
        <v>0</v>
      </c>
      <c r="L93" t="n">
        <v>0</v>
      </c>
      <c r="M93" t="n">
        <v>0</v>
      </c>
      <c r="N93" t="n">
        <v>0</v>
      </c>
      <c r="O93" t="n">
        <v>0</v>
      </c>
      <c r="P93" t="n">
        <v>0</v>
      </c>
      <c r="Q93" t="n">
        <v>0</v>
      </c>
      <c r="R93" t="n">
        <v>0</v>
      </c>
      <c r="S93" t="n">
        <v>0</v>
      </c>
      <c r="T93" t="n">
        <v>0</v>
      </c>
      <c r="U93" s="2" t="inlineStr"/>
    </row>
    <row r="94" ht="15" customHeight="1">
      <c r="A94" t="inlineStr">
        <is>
          <t>A 57152-2021</t>
        </is>
      </c>
      <c r="B94" t="inlineStr">
        <is>
          <t>avverkningsanmälan</t>
        </is>
      </c>
      <c r="C94" t="inlineStr">
        <is>
          <t>Föryngringsavverkning</t>
        </is>
      </c>
      <c r="D94" s="1" t="n">
        <v>44482</v>
      </c>
      <c r="E94" s="1" t="n">
        <v>46222</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s="2" t="inlineStr"/>
    </row>
    <row r="95" ht="15" customHeight="1">
      <c r="A95" t="inlineStr">
        <is>
          <t>A 30437-2022</t>
        </is>
      </c>
      <c r="B95" t="inlineStr">
        <is>
          <t>avverkningsanmälan</t>
        </is>
      </c>
      <c r="C95" t="inlineStr">
        <is>
          <t>Föryngringsavverkning</t>
        </is>
      </c>
      <c r="D95" s="1" t="n">
        <v>44761</v>
      </c>
      <c r="E95" s="1" t="n">
        <v>46222</v>
      </c>
      <c r="F95" t="inlineStr">
        <is>
          <t>UPPSALA LÄN</t>
        </is>
      </c>
      <c r="G95" t="inlineStr">
        <is>
          <t>ENKÖPING</t>
        </is>
      </c>
      <c r="I95" t="n">
        <v>3.4</v>
      </c>
      <c r="J95" t="n">
        <v>0</v>
      </c>
      <c r="K95" t="n">
        <v>0</v>
      </c>
      <c r="L95" t="n">
        <v>0</v>
      </c>
      <c r="M95" t="n">
        <v>0</v>
      </c>
      <c r="N95" t="n">
        <v>0</v>
      </c>
      <c r="O95" t="n">
        <v>0</v>
      </c>
      <c r="P95" t="n">
        <v>0</v>
      </c>
      <c r="Q95" t="n">
        <v>0</v>
      </c>
      <c r="R95" t="n">
        <v>0</v>
      </c>
      <c r="S95" t="n">
        <v>0</v>
      </c>
      <c r="T95" t="n">
        <v>0</v>
      </c>
      <c r="U95" s="2" t="inlineStr"/>
    </row>
    <row r="96" ht="15" customHeight="1">
      <c r="A96" t="inlineStr">
        <is>
          <t>A 25333-2023</t>
        </is>
      </c>
      <c r="B96" t="inlineStr">
        <is>
          <t>avverkningsanmälan</t>
        </is>
      </c>
      <c r="C96" t="inlineStr">
        <is>
          <t>Föryngringsavverkning</t>
        </is>
      </c>
      <c r="D96" s="1" t="n">
        <v>45083</v>
      </c>
      <c r="E96" s="1" t="n">
        <v>46222</v>
      </c>
      <c r="F96" t="inlineStr">
        <is>
          <t>UPPSALA LÄN</t>
        </is>
      </c>
      <c r="G96" t="inlineStr">
        <is>
          <t>ENKÖPING</t>
        </is>
      </c>
      <c r="I96" t="n">
        <v>2.7</v>
      </c>
      <c r="J96" t="n">
        <v>0</v>
      </c>
      <c r="K96" t="n">
        <v>0</v>
      </c>
      <c r="L96" t="n">
        <v>0</v>
      </c>
      <c r="M96" t="n">
        <v>0</v>
      </c>
      <c r="N96" t="n">
        <v>0</v>
      </c>
      <c r="O96" t="n">
        <v>0</v>
      </c>
      <c r="P96" t="n">
        <v>0</v>
      </c>
      <c r="Q96" t="n">
        <v>0</v>
      </c>
      <c r="R96" t="n">
        <v>0</v>
      </c>
      <c r="S96" t="n">
        <v>0</v>
      </c>
      <c r="T96" t="n">
        <v>0</v>
      </c>
      <c r="U96" s="2" t="inlineStr"/>
    </row>
    <row r="97" ht="15" customHeight="1">
      <c r="A97" t="inlineStr">
        <is>
          <t>A 20112-2024</t>
        </is>
      </c>
      <c r="B97" t="inlineStr">
        <is>
          <t>avverkningsanmälan</t>
        </is>
      </c>
      <c r="C97" t="inlineStr">
        <is>
          <t>Föryngringsavverkning</t>
        </is>
      </c>
      <c r="D97" s="1" t="n">
        <v>45434</v>
      </c>
      <c r="E97" s="1" t="n">
        <v>46222</v>
      </c>
      <c r="F97" t="inlineStr">
        <is>
          <t>UPPSALA LÄN</t>
        </is>
      </c>
      <c r="G97" t="inlineStr">
        <is>
          <t>ENKÖPING</t>
        </is>
      </c>
      <c r="I97" t="n">
        <v>1.8</v>
      </c>
      <c r="J97" t="n">
        <v>0</v>
      </c>
      <c r="K97" t="n">
        <v>0</v>
      </c>
      <c r="L97" t="n">
        <v>0</v>
      </c>
      <c r="M97" t="n">
        <v>0</v>
      </c>
      <c r="N97" t="n">
        <v>0</v>
      </c>
      <c r="O97" t="n">
        <v>0</v>
      </c>
      <c r="P97" t="n">
        <v>0</v>
      </c>
      <c r="Q97" t="n">
        <v>0</v>
      </c>
      <c r="R97" t="n">
        <v>0</v>
      </c>
      <c r="S97" t="n">
        <v>0</v>
      </c>
      <c r="T97" t="n">
        <v>0</v>
      </c>
      <c r="U97" s="2" t="inlineStr"/>
    </row>
    <row r="98" ht="15" customHeight="1">
      <c r="A98" t="inlineStr">
        <is>
          <t>A 51932-2022</t>
        </is>
      </c>
      <c r="B98" t="inlineStr">
        <is>
          <t>avverkningsanmälan</t>
        </is>
      </c>
      <c r="C98" t="inlineStr">
        <is>
          <t>Föryngringsavverkning</t>
        </is>
      </c>
      <c r="D98" s="1" t="n">
        <v>44872</v>
      </c>
      <c r="E98" s="1" t="n">
        <v>46222</v>
      </c>
      <c r="F98" t="inlineStr">
        <is>
          <t>UPPSALA LÄN</t>
        </is>
      </c>
      <c r="G98" t="inlineStr">
        <is>
          <t>ENKÖPING</t>
        </is>
      </c>
      <c r="I98" t="n">
        <v>5.5</v>
      </c>
      <c r="J98" t="n">
        <v>0</v>
      </c>
      <c r="K98" t="n">
        <v>0</v>
      </c>
      <c r="L98" t="n">
        <v>0</v>
      </c>
      <c r="M98" t="n">
        <v>0</v>
      </c>
      <c r="N98" t="n">
        <v>0</v>
      </c>
      <c r="O98" t="n">
        <v>0</v>
      </c>
      <c r="P98" t="n">
        <v>0</v>
      </c>
      <c r="Q98" t="n">
        <v>0</v>
      </c>
      <c r="R98" t="n">
        <v>0</v>
      </c>
      <c r="S98" t="n">
        <v>0</v>
      </c>
      <c r="T98" t="n">
        <v>0</v>
      </c>
      <c r="U98" s="2" t="inlineStr"/>
    </row>
    <row r="99" ht="15" customHeight="1">
      <c r="A99" t="inlineStr">
        <is>
          <t>A 12958-2024</t>
        </is>
      </c>
      <c r="B99" t="inlineStr">
        <is>
          <t>avverkningsanmälan</t>
        </is>
      </c>
      <c r="C99" t="inlineStr">
        <is>
          <t>Föryngringsavverkning</t>
        </is>
      </c>
      <c r="D99" s="1" t="n">
        <v>45385</v>
      </c>
      <c r="E99" s="1" t="n">
        <v>46222</v>
      </c>
      <c r="F99" t="inlineStr">
        <is>
          <t>UPPSALA LÄN</t>
        </is>
      </c>
      <c r="G99" t="inlineStr">
        <is>
          <t>ENKÖPING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40812-2022</t>
        </is>
      </c>
      <c r="B100" t="inlineStr">
        <is>
          <t>avverkningsanmälan</t>
        </is>
      </c>
      <c r="C100" t="inlineStr">
        <is>
          <t>Föryngringsavverkning</t>
        </is>
      </c>
      <c r="D100" s="1" t="n">
        <v>44824</v>
      </c>
      <c r="E100" s="1" t="n">
        <v>46222</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24291-2024</t>
        </is>
      </c>
      <c r="B101" t="inlineStr">
        <is>
          <t>avverkningsanmälan</t>
        </is>
      </c>
      <c r="C101" t="inlineStr">
        <is>
          <t>Föryngringsavverkning</t>
        </is>
      </c>
      <c r="D101" s="1" t="n">
        <v>45457</v>
      </c>
      <c r="E101" s="1" t="n">
        <v>46222</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s="2" t="inlineStr"/>
    </row>
    <row r="102" ht="15" customHeight="1">
      <c r="A102" t="inlineStr">
        <is>
          <t>A 47428-2023</t>
        </is>
      </c>
      <c r="B102" t="inlineStr">
        <is>
          <t>avverkningsanmälan</t>
        </is>
      </c>
      <c r="C102" t="inlineStr">
        <is>
          <t>Föryngringsavverkning</t>
        </is>
      </c>
      <c r="D102" s="1" t="n">
        <v>45202</v>
      </c>
      <c r="E102" s="1" t="n">
        <v>46222</v>
      </c>
      <c r="F102" t="inlineStr">
        <is>
          <t>UPPSALA LÄN</t>
        </is>
      </c>
      <c r="G102" t="inlineStr">
        <is>
          <t>ENKÖPING</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44232-2022</t>
        </is>
      </c>
      <c r="B103" t="inlineStr">
        <is>
          <t>avverkningsanmälan</t>
        </is>
      </c>
      <c r="C103" t="inlineStr">
        <is>
          <t>Föryngringsavverkning</t>
        </is>
      </c>
      <c r="D103" s="1" t="n">
        <v>44839</v>
      </c>
      <c r="E103" s="1" t="n">
        <v>46222</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60350-2022</t>
        </is>
      </c>
      <c r="B104" t="inlineStr">
        <is>
          <t>avverkningsanmälan</t>
        </is>
      </c>
      <c r="C104" t="inlineStr">
        <is>
          <t>Föryngringsavverkning</t>
        </is>
      </c>
      <c r="D104" s="1" t="n">
        <v>44910</v>
      </c>
      <c r="E104" s="1" t="n">
        <v>46222</v>
      </c>
      <c r="F104" t="inlineStr">
        <is>
          <t>UPPSALA LÄN</t>
        </is>
      </c>
      <c r="G104" t="inlineStr">
        <is>
          <t>ENKÖPING</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45362-2022</t>
        </is>
      </c>
      <c r="B105" t="inlineStr">
        <is>
          <t>avverkningsanmälan</t>
        </is>
      </c>
      <c r="C105" t="inlineStr">
        <is>
          <t>Föryngringsavverkning</t>
        </is>
      </c>
      <c r="D105" s="1" t="n">
        <v>44844</v>
      </c>
      <c r="E105" s="1" t="n">
        <v>46222</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s="2" t="inlineStr"/>
    </row>
    <row r="106" ht="15" customHeight="1">
      <c r="A106" t="inlineStr">
        <is>
          <t>A 56526-2022</t>
        </is>
      </c>
      <c r="B106" t="inlineStr">
        <is>
          <t>avverkningsanmälan</t>
        </is>
      </c>
      <c r="C106" t="inlineStr">
        <is>
          <t>Föryngringsavverkning</t>
        </is>
      </c>
      <c r="D106" s="1" t="n">
        <v>44893</v>
      </c>
      <c r="E106" s="1" t="n">
        <v>46222</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s="2" t="inlineStr"/>
    </row>
    <row r="107" ht="15" customHeight="1">
      <c r="A107" t="inlineStr">
        <is>
          <t>A 30098-2024</t>
        </is>
      </c>
      <c r="B107" t="inlineStr">
        <is>
          <t>avverkningsanmälan</t>
        </is>
      </c>
      <c r="C107" t="inlineStr">
        <is>
          <t>Föryngringsavverkning</t>
        </is>
      </c>
      <c r="D107" s="1" t="n">
        <v>45489</v>
      </c>
      <c r="E107" s="1" t="n">
        <v>46222</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s="2" t="inlineStr"/>
    </row>
    <row r="108" ht="15" customHeight="1">
      <c r="A108" t="inlineStr">
        <is>
          <t>A 1651-2024</t>
        </is>
      </c>
      <c r="B108" t="inlineStr">
        <is>
          <t>avverkningsanmälan</t>
        </is>
      </c>
      <c r="C108" t="inlineStr">
        <is>
          <t>Föryngringsavverkning</t>
        </is>
      </c>
      <c r="D108" s="1" t="n">
        <v>45306</v>
      </c>
      <c r="E108" s="1" t="n">
        <v>46222</v>
      </c>
      <c r="F108" t="inlineStr">
        <is>
          <t>UPPSALA LÄN</t>
        </is>
      </c>
      <c r="G108" t="inlineStr">
        <is>
          <t>ENKÖPING</t>
        </is>
      </c>
      <c r="I108" t="n">
        <v>10.2</v>
      </c>
      <c r="J108" t="n">
        <v>0</v>
      </c>
      <c r="K108" t="n">
        <v>0</v>
      </c>
      <c r="L108" t="n">
        <v>0</v>
      </c>
      <c r="M108" t="n">
        <v>0</v>
      </c>
      <c r="N108" t="n">
        <v>0</v>
      </c>
      <c r="O108" t="n">
        <v>0</v>
      </c>
      <c r="P108" t="n">
        <v>0</v>
      </c>
      <c r="Q108" t="n">
        <v>0</v>
      </c>
      <c r="R108" t="n">
        <v>0</v>
      </c>
      <c r="S108" t="n">
        <v>0</v>
      </c>
      <c r="T108" t="n">
        <v>0</v>
      </c>
      <c r="U108" s="2" t="inlineStr"/>
    </row>
    <row r="109" ht="15" customHeight="1">
      <c r="A109" t="inlineStr">
        <is>
          <t>A 2162-2023</t>
        </is>
      </c>
      <c r="B109" t="inlineStr">
        <is>
          <t>avverkningsanmälan</t>
        </is>
      </c>
      <c r="C109" t="inlineStr">
        <is>
          <t>Föryngringsavverkning</t>
        </is>
      </c>
      <c r="D109" s="1" t="n">
        <v>44941</v>
      </c>
      <c r="E109" s="1" t="n">
        <v>46222</v>
      </c>
      <c r="F109" t="inlineStr">
        <is>
          <t>UPPSALA LÄN</t>
        </is>
      </c>
      <c r="G109" t="inlineStr">
        <is>
          <t>ENKÖPING</t>
        </is>
      </c>
      <c r="I109" t="n">
        <v>2.4</v>
      </c>
      <c r="J109" t="n">
        <v>0</v>
      </c>
      <c r="K109" t="n">
        <v>0</v>
      </c>
      <c r="L109" t="n">
        <v>0</v>
      </c>
      <c r="M109" t="n">
        <v>0</v>
      </c>
      <c r="N109" t="n">
        <v>0</v>
      </c>
      <c r="O109" t="n">
        <v>0</v>
      </c>
      <c r="P109" t="n">
        <v>0</v>
      </c>
      <c r="Q109" t="n">
        <v>0</v>
      </c>
      <c r="R109" t="n">
        <v>0</v>
      </c>
      <c r="S109" t="n">
        <v>0</v>
      </c>
      <c r="T109" t="n">
        <v>0</v>
      </c>
      <c r="U109" s="2" t="inlineStr"/>
    </row>
    <row r="110" ht="15" customHeight="1">
      <c r="A110" t="inlineStr">
        <is>
          <t>A 56163-2021</t>
        </is>
      </c>
      <c r="B110" t="inlineStr">
        <is>
          <t>avverkningsanmälan</t>
        </is>
      </c>
      <c r="C110" t="inlineStr">
        <is>
          <t>Föryngringsavverkning</t>
        </is>
      </c>
      <c r="D110" s="1" t="n">
        <v>44477</v>
      </c>
      <c r="E110" s="1" t="n">
        <v>46222</v>
      </c>
      <c r="F110" t="inlineStr">
        <is>
          <t>UPPSALA LÄN</t>
        </is>
      </c>
      <c r="G110" t="inlineStr">
        <is>
          <t>ENKÖPING</t>
        </is>
      </c>
      <c r="H110" t="inlineStr">
        <is>
          <t>Allmännings- och besparingsskogar</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28318-2024</t>
        </is>
      </c>
      <c r="B111" t="inlineStr">
        <is>
          <t>avverkningsanmälan</t>
        </is>
      </c>
      <c r="C111" t="inlineStr">
        <is>
          <t>Föryngringsavverkning</t>
        </is>
      </c>
      <c r="D111" s="1" t="n">
        <v>45477</v>
      </c>
      <c r="E111" s="1" t="n">
        <v>46222</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31242-2024</t>
        </is>
      </c>
      <c r="B112" t="inlineStr">
        <is>
          <t>avverkningsanmälan</t>
        </is>
      </c>
      <c r="C112" t="inlineStr">
        <is>
          <t>Föryngringsavverkning</t>
        </is>
      </c>
      <c r="D112" s="1" t="n">
        <v>45503</v>
      </c>
      <c r="E112" s="1" t="n">
        <v>46222</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69344-2021</t>
        </is>
      </c>
      <c r="B113" t="inlineStr">
        <is>
          <t>avverkningsanmälan</t>
        </is>
      </c>
      <c r="C113" t="inlineStr">
        <is>
          <t>Föryngringsavverkning</t>
        </is>
      </c>
      <c r="D113" s="1" t="n">
        <v>44531</v>
      </c>
      <c r="E113" s="1" t="n">
        <v>46222</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s="2" t="inlineStr"/>
    </row>
    <row r="114" ht="15" customHeight="1">
      <c r="A114" t="inlineStr">
        <is>
          <t>A 27983-2024</t>
        </is>
      </c>
      <c r="B114" t="inlineStr">
        <is>
          <t>avverkningsanmälan</t>
        </is>
      </c>
      <c r="C114" t="inlineStr">
        <is>
          <t>Föryngringsavverkning</t>
        </is>
      </c>
      <c r="D114" s="1" t="n">
        <v>45476</v>
      </c>
      <c r="E114" s="1" t="n">
        <v>46222</v>
      </c>
      <c r="F114" t="inlineStr">
        <is>
          <t>UPPSALA LÄN</t>
        </is>
      </c>
      <c r="G114" t="inlineStr">
        <is>
          <t>ENKÖPING</t>
        </is>
      </c>
      <c r="I114" t="n">
        <v>3.2</v>
      </c>
      <c r="J114" t="n">
        <v>0</v>
      </c>
      <c r="K114" t="n">
        <v>0</v>
      </c>
      <c r="L114" t="n">
        <v>0</v>
      </c>
      <c r="M114" t="n">
        <v>0</v>
      </c>
      <c r="N114" t="n">
        <v>0</v>
      </c>
      <c r="O114" t="n">
        <v>0</v>
      </c>
      <c r="P114" t="n">
        <v>0</v>
      </c>
      <c r="Q114" t="n">
        <v>0</v>
      </c>
      <c r="R114" t="n">
        <v>0</v>
      </c>
      <c r="S114" t="n">
        <v>0</v>
      </c>
      <c r="T114" t="n">
        <v>0</v>
      </c>
      <c r="U114" s="2" t="inlineStr"/>
    </row>
    <row r="115" ht="15" customHeight="1">
      <c r="A115" t="inlineStr">
        <is>
          <t>A 26005-2025</t>
        </is>
      </c>
      <c r="B115" t="inlineStr">
        <is>
          <t>avverkningsanmälan</t>
        </is>
      </c>
      <c r="C115" t="inlineStr">
        <is>
          <t>Föryngringsavverkning</t>
        </is>
      </c>
      <c r="D115" s="1" t="n">
        <v>45804</v>
      </c>
      <c r="E115" s="1" t="n">
        <v>46222</v>
      </c>
      <c r="F115" t="inlineStr">
        <is>
          <t>UPPSALA LÄN</t>
        </is>
      </c>
      <c r="G115" t="inlineStr">
        <is>
          <t>ENKÖPING</t>
        </is>
      </c>
      <c r="I115" t="n">
        <v>0.3</v>
      </c>
      <c r="J115" t="n">
        <v>0</v>
      </c>
      <c r="K115" t="n">
        <v>0</v>
      </c>
      <c r="L115" t="n">
        <v>0</v>
      </c>
      <c r="M115" t="n">
        <v>0</v>
      </c>
      <c r="N115" t="n">
        <v>0</v>
      </c>
      <c r="O115" t="n">
        <v>0</v>
      </c>
      <c r="P115" t="n">
        <v>0</v>
      </c>
      <c r="Q115" t="n">
        <v>0</v>
      </c>
      <c r="R115" t="n">
        <v>0</v>
      </c>
      <c r="S115" t="n">
        <v>0</v>
      </c>
      <c r="T115" t="n">
        <v>0</v>
      </c>
      <c r="U115" s="2" t="inlineStr"/>
    </row>
    <row r="116" ht="15" customHeight="1">
      <c r="A116" t="inlineStr">
        <is>
          <t>A 22912-2024</t>
        </is>
      </c>
      <c r="B116" t="inlineStr">
        <is>
          <t>avverkningsanmälan</t>
        </is>
      </c>
      <c r="C116" t="inlineStr">
        <is>
          <t>Föryngringsavverkning</t>
        </is>
      </c>
      <c r="D116" s="1" t="n">
        <v>45448</v>
      </c>
      <c r="E116" s="1" t="n">
        <v>46222</v>
      </c>
      <c r="F116" t="inlineStr">
        <is>
          <t>UPPSALA LÄN</t>
        </is>
      </c>
      <c r="G116" t="inlineStr">
        <is>
          <t>ENKÖPING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9667-2024</t>
        </is>
      </c>
      <c r="B117" t="inlineStr">
        <is>
          <t>avverkningsanmälan</t>
        </is>
      </c>
      <c r="C117" t="inlineStr">
        <is>
          <t>Föryngringsavverkning</t>
        </is>
      </c>
      <c r="D117" s="1" t="n">
        <v>45362</v>
      </c>
      <c r="E117" s="1" t="n">
        <v>46222</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69344-2021</t>
        </is>
      </c>
      <c r="B118" t="inlineStr">
        <is>
          <t>avverkningsanmälan</t>
        </is>
      </c>
      <c r="C118" t="inlineStr">
        <is>
          <t>Föryngringsavverkning</t>
        </is>
      </c>
      <c r="D118" s="1" t="n">
        <v>44531</v>
      </c>
      <c r="E118" s="1" t="n">
        <v>46222</v>
      </c>
      <c r="F118" t="inlineStr">
        <is>
          <t>UPPSALA LÄN</t>
        </is>
      </c>
      <c r="G118" t="inlineStr">
        <is>
          <t>ENKÖPING</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35067-2024</t>
        </is>
      </c>
      <c r="B119" t="inlineStr">
        <is>
          <t>avverkningsanmälan</t>
        </is>
      </c>
      <c r="C119" t="inlineStr">
        <is>
          <t>Föryngringsavverkning</t>
        </is>
      </c>
      <c r="D119" s="1" t="n">
        <v>45527</v>
      </c>
      <c r="E119" s="1" t="n">
        <v>46222</v>
      </c>
      <c r="F119" t="inlineStr">
        <is>
          <t>UPPSALA LÄN</t>
        </is>
      </c>
      <c r="G119" t="inlineStr">
        <is>
          <t>ENKÖPING</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43506-2023</t>
        </is>
      </c>
      <c r="B120" t="inlineStr">
        <is>
          <t>avverkningsanmälan</t>
        </is>
      </c>
      <c r="C120" t="inlineStr">
        <is>
          <t>Föryngringsavverkning</t>
        </is>
      </c>
      <c r="D120" s="1" t="n">
        <v>45181</v>
      </c>
      <c r="E120" s="1" t="n">
        <v>46222</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s="2" t="inlineStr"/>
    </row>
    <row r="121" ht="15" customHeight="1">
      <c r="A121" t="inlineStr">
        <is>
          <t>A 14004-2023</t>
        </is>
      </c>
      <c r="B121" t="inlineStr">
        <is>
          <t>avverkningsanmälan</t>
        </is>
      </c>
      <c r="C121" t="inlineStr">
        <is>
          <t>Föryngringsavverkning</t>
        </is>
      </c>
      <c r="D121" s="1" t="n">
        <v>45008</v>
      </c>
      <c r="E121" s="1" t="n">
        <v>46222</v>
      </c>
      <c r="F121" t="inlineStr">
        <is>
          <t>UPPSALA LÄN</t>
        </is>
      </c>
      <c r="G121" t="inlineStr">
        <is>
          <t>ENKÖPING</t>
        </is>
      </c>
      <c r="I121" t="n">
        <v>1.3</v>
      </c>
      <c r="J121" t="n">
        <v>0</v>
      </c>
      <c r="K121" t="n">
        <v>0</v>
      </c>
      <c r="L121" t="n">
        <v>0</v>
      </c>
      <c r="M121" t="n">
        <v>0</v>
      </c>
      <c r="N121" t="n">
        <v>0</v>
      </c>
      <c r="O121" t="n">
        <v>0</v>
      </c>
      <c r="P121" t="n">
        <v>0</v>
      </c>
      <c r="Q121" t="n">
        <v>0</v>
      </c>
      <c r="R121" t="n">
        <v>0</v>
      </c>
      <c r="S121" t="n">
        <v>0</v>
      </c>
      <c r="T121" t="n">
        <v>0</v>
      </c>
      <c r="U121" s="2" t="inlineStr"/>
    </row>
    <row r="122" ht="15" customHeight="1">
      <c r="A122" t="inlineStr">
        <is>
          <t>A 10465-2022</t>
        </is>
      </c>
      <c r="B122" t="inlineStr">
        <is>
          <t>avverkningsanmälan</t>
        </is>
      </c>
      <c r="C122" t="inlineStr">
        <is>
          <t>Föryngringsavverkning</t>
        </is>
      </c>
      <c r="D122" s="1" t="n">
        <v>44623</v>
      </c>
      <c r="E122" s="1" t="n">
        <v>46222</v>
      </c>
      <c r="F122" t="inlineStr">
        <is>
          <t>UPPSALA LÄN</t>
        </is>
      </c>
      <c r="G122" t="inlineStr">
        <is>
          <t>ENKÖPING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28855-2025</t>
        </is>
      </c>
      <c r="B123" t="inlineStr">
        <is>
          <t>avverkningsanmälan</t>
        </is>
      </c>
      <c r="C123" t="inlineStr">
        <is>
          <t>Föryngringsavverkning</t>
        </is>
      </c>
      <c r="D123" s="1" t="n">
        <v>45820</v>
      </c>
      <c r="E123" s="1" t="n">
        <v>46222</v>
      </c>
      <c r="F123" t="inlineStr">
        <is>
          <t>UPPSALA LÄN</t>
        </is>
      </c>
      <c r="G123" t="inlineStr">
        <is>
          <t>ENKÖPING</t>
        </is>
      </c>
      <c r="I123" t="n">
        <v>2.4</v>
      </c>
      <c r="J123" t="n">
        <v>0</v>
      </c>
      <c r="K123" t="n">
        <v>0</v>
      </c>
      <c r="L123" t="n">
        <v>0</v>
      </c>
      <c r="M123" t="n">
        <v>0</v>
      </c>
      <c r="N123" t="n">
        <v>0</v>
      </c>
      <c r="O123" t="n">
        <v>0</v>
      </c>
      <c r="P123" t="n">
        <v>0</v>
      </c>
      <c r="Q123" t="n">
        <v>0</v>
      </c>
      <c r="R123" t="n">
        <v>0</v>
      </c>
      <c r="S123" t="n">
        <v>0</v>
      </c>
      <c r="T123" t="n">
        <v>0</v>
      </c>
      <c r="U123" s="2" t="inlineStr"/>
    </row>
    <row r="124" ht="15" customHeight="1">
      <c r="A124" t="inlineStr">
        <is>
          <t>A 39009-2024</t>
        </is>
      </c>
      <c r="B124" t="inlineStr">
        <is>
          <t>avverkningsanmälan</t>
        </is>
      </c>
      <c r="C124" t="inlineStr">
        <is>
          <t>Föryngringsavverkning</t>
        </is>
      </c>
      <c r="D124" s="1" t="n">
        <v>45548</v>
      </c>
      <c r="E124" s="1" t="n">
        <v>46222</v>
      </c>
      <c r="F124" t="inlineStr">
        <is>
          <t>UPPSALA LÄN</t>
        </is>
      </c>
      <c r="G124" t="inlineStr">
        <is>
          <t>ENKÖPING</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8537-2025</t>
        </is>
      </c>
      <c r="B125" t="inlineStr">
        <is>
          <t>avverkningsanmälan</t>
        </is>
      </c>
      <c r="C125" t="inlineStr">
        <is>
          <t>Föryngringsavverkning</t>
        </is>
      </c>
      <c r="D125" s="1" t="n">
        <v>45709</v>
      </c>
      <c r="E125" s="1" t="n">
        <v>46222</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2164-2023</t>
        </is>
      </c>
      <c r="B126" t="inlineStr">
        <is>
          <t>avverkningsanmälan</t>
        </is>
      </c>
      <c r="C126" t="inlineStr">
        <is>
          <t>Föryngringsavverkning</t>
        </is>
      </c>
      <c r="D126" s="1" t="n">
        <v>44941</v>
      </c>
      <c r="E126" s="1" t="n">
        <v>46222</v>
      </c>
      <c r="F126" t="inlineStr">
        <is>
          <t>UPPSALA LÄN</t>
        </is>
      </c>
      <c r="G126" t="inlineStr">
        <is>
          <t>ENKÖPING</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33955-2024</t>
        </is>
      </c>
      <c r="B127" t="inlineStr">
        <is>
          <t>avverkningsanmälan</t>
        </is>
      </c>
      <c r="C127" t="inlineStr">
        <is>
          <t>Föryngringsavverkning</t>
        </is>
      </c>
      <c r="D127" s="1" t="n">
        <v>45523</v>
      </c>
      <c r="E127" s="1" t="n">
        <v>46222</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30837-2025</t>
        </is>
      </c>
      <c r="B128" t="inlineStr">
        <is>
          <t>avverkningsanmälan</t>
        </is>
      </c>
      <c r="C128" t="inlineStr">
        <is>
          <t>Föryngringsavverkning</t>
        </is>
      </c>
      <c r="D128" s="1" t="n">
        <v>45831</v>
      </c>
      <c r="E128" s="1" t="n">
        <v>46222</v>
      </c>
      <c r="F128" t="inlineStr">
        <is>
          <t>UPPSALA LÄN</t>
        </is>
      </c>
      <c r="G128" t="inlineStr">
        <is>
          <t>ENKÖPING</t>
        </is>
      </c>
      <c r="I128" t="n">
        <v>3.8</v>
      </c>
      <c r="J128" t="n">
        <v>0</v>
      </c>
      <c r="K128" t="n">
        <v>0</v>
      </c>
      <c r="L128" t="n">
        <v>0</v>
      </c>
      <c r="M128" t="n">
        <v>0</v>
      </c>
      <c r="N128" t="n">
        <v>0</v>
      </c>
      <c r="O128" t="n">
        <v>0</v>
      </c>
      <c r="P128" t="n">
        <v>0</v>
      </c>
      <c r="Q128" t="n">
        <v>0</v>
      </c>
      <c r="R128" t="n">
        <v>0</v>
      </c>
      <c r="S128" t="n">
        <v>0</v>
      </c>
      <c r="T128" t="n">
        <v>0</v>
      </c>
      <c r="U128" s="2" t="inlineStr"/>
    </row>
    <row r="129" ht="15" customHeight="1">
      <c r="A129" t="inlineStr">
        <is>
          <t>A 6172-2023</t>
        </is>
      </c>
      <c r="B129" t="inlineStr">
        <is>
          <t>avverkningsanmälan</t>
        </is>
      </c>
      <c r="C129" t="inlineStr">
        <is>
          <t>Föryngringsavverkning</t>
        </is>
      </c>
      <c r="D129" s="1" t="n">
        <v>44964</v>
      </c>
      <c r="E129" s="1" t="n">
        <v>46222</v>
      </c>
      <c r="F129" t="inlineStr">
        <is>
          <t>UPPSALA LÄN</t>
        </is>
      </c>
      <c r="G129" t="inlineStr">
        <is>
          <t>ENKÖPING</t>
        </is>
      </c>
      <c r="I129" t="n">
        <v>2.6</v>
      </c>
      <c r="J129" t="n">
        <v>0</v>
      </c>
      <c r="K129" t="n">
        <v>0</v>
      </c>
      <c r="L129" t="n">
        <v>0</v>
      </c>
      <c r="M129" t="n">
        <v>0</v>
      </c>
      <c r="N129" t="n">
        <v>0</v>
      </c>
      <c r="O129" t="n">
        <v>0</v>
      </c>
      <c r="P129" t="n">
        <v>0</v>
      </c>
      <c r="Q129" t="n">
        <v>0</v>
      </c>
      <c r="R129" t="n">
        <v>0</v>
      </c>
      <c r="S129" t="n">
        <v>0</v>
      </c>
      <c r="T129" t="n">
        <v>0</v>
      </c>
      <c r="U129" s="2" t="inlineStr"/>
    </row>
    <row r="130" ht="15" customHeight="1">
      <c r="A130" t="inlineStr">
        <is>
          <t>A 10409-2025</t>
        </is>
      </c>
      <c r="B130" t="inlineStr">
        <is>
          <t>avverkningsanmälan</t>
        </is>
      </c>
      <c r="C130" t="inlineStr">
        <is>
          <t>Föryngringsavverkning</t>
        </is>
      </c>
      <c r="D130" s="1" t="n">
        <v>45720</v>
      </c>
      <c r="E130" s="1" t="n">
        <v>46222</v>
      </c>
      <c r="F130" t="inlineStr">
        <is>
          <t>UPPSALA LÄN</t>
        </is>
      </c>
      <c r="G130" t="inlineStr">
        <is>
          <t>ENKÖPING</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47516-2022</t>
        </is>
      </c>
      <c r="B131" t="inlineStr">
        <is>
          <t>avverkningsanmälan</t>
        </is>
      </c>
      <c r="C131" t="inlineStr">
        <is>
          <t>Föryngringsavverkning</t>
        </is>
      </c>
      <c r="D131" s="1" t="n">
        <v>44853</v>
      </c>
      <c r="E131" s="1" t="n">
        <v>46222</v>
      </c>
      <c r="F131" t="inlineStr">
        <is>
          <t>UPPSALA LÄN</t>
        </is>
      </c>
      <c r="G131" t="inlineStr">
        <is>
          <t>ENKÖPING</t>
        </is>
      </c>
      <c r="I131" t="n">
        <v>1</v>
      </c>
      <c r="J131" t="n">
        <v>0</v>
      </c>
      <c r="K131" t="n">
        <v>0</v>
      </c>
      <c r="L131" t="n">
        <v>0</v>
      </c>
      <c r="M131" t="n">
        <v>0</v>
      </c>
      <c r="N131" t="n">
        <v>0</v>
      </c>
      <c r="O131" t="n">
        <v>0</v>
      </c>
      <c r="P131" t="n">
        <v>0</v>
      </c>
      <c r="Q131" t="n">
        <v>0</v>
      </c>
      <c r="R131" t="n">
        <v>0</v>
      </c>
      <c r="S131" t="n">
        <v>0</v>
      </c>
      <c r="T131" t="n">
        <v>0</v>
      </c>
      <c r="U131" s="2" t="inlineStr"/>
    </row>
    <row r="132" ht="15" customHeight="1">
      <c r="A132" t="inlineStr">
        <is>
          <t>A 42029-2025</t>
        </is>
      </c>
      <c r="B132" t="inlineStr">
        <is>
          <t>avverkningsanmälan</t>
        </is>
      </c>
      <c r="C132" t="inlineStr">
        <is>
          <t>Föryngringsavverkning</t>
        </is>
      </c>
      <c r="D132" s="1" t="n">
        <v>45903</v>
      </c>
      <c r="E132" s="1" t="n">
        <v>46222</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s="2" t="inlineStr"/>
    </row>
    <row r="133" ht="15" customHeight="1">
      <c r="A133" t="inlineStr">
        <is>
          <t>A 5104-2026</t>
        </is>
      </c>
      <c r="B133" t="inlineStr">
        <is>
          <t>avverkningsanmälan</t>
        </is>
      </c>
      <c r="C133" t="inlineStr">
        <is>
          <t>Föryngringsavverkning</t>
        </is>
      </c>
      <c r="D133" s="1" t="n">
        <v>46049</v>
      </c>
      <c r="E133" s="1" t="n">
        <v>46222</v>
      </c>
      <c r="F133" t="inlineStr">
        <is>
          <t>UPPSALA LÄN</t>
        </is>
      </c>
      <c r="G133" t="inlineStr">
        <is>
          <t>ENKÖPING</t>
        </is>
      </c>
      <c r="I133" t="n">
        <v>2.3</v>
      </c>
      <c r="J133" t="n">
        <v>0</v>
      </c>
      <c r="K133" t="n">
        <v>0</v>
      </c>
      <c r="L133" t="n">
        <v>0</v>
      </c>
      <c r="M133" t="n">
        <v>0</v>
      </c>
      <c r="N133" t="n">
        <v>0</v>
      </c>
      <c r="O133" t="n">
        <v>0</v>
      </c>
      <c r="P133" t="n">
        <v>0</v>
      </c>
      <c r="Q133" t="n">
        <v>0</v>
      </c>
      <c r="R133" t="n">
        <v>0</v>
      </c>
      <c r="S133" t="n">
        <v>0</v>
      </c>
      <c r="T133" t="n">
        <v>0</v>
      </c>
      <c r="U133" s="2" t="inlineStr"/>
    </row>
    <row r="134" ht="15" customHeight="1">
      <c r="A134" t="inlineStr">
        <is>
          <t>A 32111-2025</t>
        </is>
      </c>
      <c r="B134" t="inlineStr">
        <is>
          <t>avverkningsanmälan</t>
        </is>
      </c>
      <c r="C134" t="inlineStr">
        <is>
          <t>Föryngringsavverkning</t>
        </is>
      </c>
      <c r="D134" s="1" t="n">
        <v>45835</v>
      </c>
      <c r="E134" s="1" t="n">
        <v>46222</v>
      </c>
      <c r="F134" t="inlineStr">
        <is>
          <t>UPPSALA LÄN</t>
        </is>
      </c>
      <c r="G134" t="inlineStr">
        <is>
          <t>ENKÖPING</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22632-2025</t>
        </is>
      </c>
      <c r="B135" t="inlineStr">
        <is>
          <t>avverkningsanmälan</t>
        </is>
      </c>
      <c r="C135" t="inlineStr">
        <is>
          <t>Föryngringsavverkning</t>
        </is>
      </c>
      <c r="D135" s="1" t="n">
        <v>45789</v>
      </c>
      <c r="E135" s="1" t="n">
        <v>46222</v>
      </c>
      <c r="F135" t="inlineStr">
        <is>
          <t>UPPSALA LÄN</t>
        </is>
      </c>
      <c r="G135" t="inlineStr">
        <is>
          <t>ENKÖPING</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5569-2026</t>
        </is>
      </c>
      <c r="B136" t="inlineStr">
        <is>
          <t>avverkningsanmälan</t>
        </is>
      </c>
      <c r="C136" t="inlineStr">
        <is>
          <t>Föryngringsavverkning</t>
        </is>
      </c>
      <c r="D136" s="1" t="n">
        <v>46050</v>
      </c>
      <c r="E136" s="1" t="n">
        <v>46222</v>
      </c>
      <c r="F136" t="inlineStr">
        <is>
          <t>UPPSALA LÄN</t>
        </is>
      </c>
      <c r="G136" t="inlineStr">
        <is>
          <t>ENKÖPING</t>
        </is>
      </c>
      <c r="I136" t="n">
        <v>1.6</v>
      </c>
      <c r="J136" t="n">
        <v>0</v>
      </c>
      <c r="K136" t="n">
        <v>0</v>
      </c>
      <c r="L136" t="n">
        <v>0</v>
      </c>
      <c r="M136" t="n">
        <v>0</v>
      </c>
      <c r="N136" t="n">
        <v>0</v>
      </c>
      <c r="O136" t="n">
        <v>0</v>
      </c>
      <c r="P136" t="n">
        <v>0</v>
      </c>
      <c r="Q136" t="n">
        <v>0</v>
      </c>
      <c r="R136" t="n">
        <v>0</v>
      </c>
      <c r="S136" t="n">
        <v>0</v>
      </c>
      <c r="T136" t="n">
        <v>0</v>
      </c>
      <c r="U136" s="2" t="inlineStr"/>
    </row>
    <row r="137" ht="15" customHeight="1">
      <c r="A137" t="inlineStr">
        <is>
          <t>A 21686-2022</t>
        </is>
      </c>
      <c r="B137" t="inlineStr">
        <is>
          <t>avverkningsanmälan</t>
        </is>
      </c>
      <c r="C137" t="inlineStr">
        <is>
          <t>Föryngringsavverkning</t>
        </is>
      </c>
      <c r="D137" s="1" t="n">
        <v>44707</v>
      </c>
      <c r="E137" s="1" t="n">
        <v>46222</v>
      </c>
      <c r="F137" t="inlineStr">
        <is>
          <t>UPPSALA LÄN</t>
        </is>
      </c>
      <c r="G137" t="inlineStr">
        <is>
          <t>ENKÖPING</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29479-2022</t>
        </is>
      </c>
      <c r="B138" t="inlineStr">
        <is>
          <t>avverkningsanmälan</t>
        </is>
      </c>
      <c r="C138" t="inlineStr">
        <is>
          <t>Föryngringsavverkning</t>
        </is>
      </c>
      <c r="D138" s="1" t="n">
        <v>44753</v>
      </c>
      <c r="E138" s="1" t="n">
        <v>46222</v>
      </c>
      <c r="F138" t="inlineStr">
        <is>
          <t>UPPSALA LÄN</t>
        </is>
      </c>
      <c r="G138" t="inlineStr">
        <is>
          <t>ENKÖPING</t>
        </is>
      </c>
      <c r="I138" t="n">
        <v>0.9</v>
      </c>
      <c r="J138" t="n">
        <v>0</v>
      </c>
      <c r="K138" t="n">
        <v>0</v>
      </c>
      <c r="L138" t="n">
        <v>0</v>
      </c>
      <c r="M138" t="n">
        <v>0</v>
      </c>
      <c r="N138" t="n">
        <v>0</v>
      </c>
      <c r="O138" t="n">
        <v>0</v>
      </c>
      <c r="P138" t="n">
        <v>0</v>
      </c>
      <c r="Q138" t="n">
        <v>0</v>
      </c>
      <c r="R138" t="n">
        <v>0</v>
      </c>
      <c r="S138" t="n">
        <v>0</v>
      </c>
      <c r="T138" t="n">
        <v>0</v>
      </c>
      <c r="U138" s="2" t="inlineStr"/>
    </row>
    <row r="139" ht="15" customHeight="1">
      <c r="A139" t="inlineStr">
        <is>
          <t>A 49525-2021</t>
        </is>
      </c>
      <c r="B139" t="inlineStr">
        <is>
          <t>avverkningsanmälan</t>
        </is>
      </c>
      <c r="C139" t="inlineStr">
        <is>
          <t>Föryngringsavverkning</t>
        </is>
      </c>
      <c r="D139" s="1" t="n">
        <v>44455</v>
      </c>
      <c r="E139" s="1" t="n">
        <v>46222</v>
      </c>
      <c r="F139" t="inlineStr">
        <is>
          <t>UPPSALA LÄN</t>
        </is>
      </c>
      <c r="G139" t="inlineStr">
        <is>
          <t>ENKÖPING</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5948-2026</t>
        </is>
      </c>
      <c r="B140" t="inlineStr">
        <is>
          <t>avverkningsanmälan</t>
        </is>
      </c>
      <c r="C140" t="inlineStr">
        <is>
          <t>Föryngringsavverkning</t>
        </is>
      </c>
      <c r="D140" s="1" t="n">
        <v>46052</v>
      </c>
      <c r="E140" s="1" t="n">
        <v>46222</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15740-2025</t>
        </is>
      </c>
      <c r="B141" t="inlineStr">
        <is>
          <t>avverkningsanmälan</t>
        </is>
      </c>
      <c r="C141" t="inlineStr">
        <is>
          <t>Föryngringsavverkning</t>
        </is>
      </c>
      <c r="D141" s="1" t="n">
        <v>45748</v>
      </c>
      <c r="E141" s="1" t="n">
        <v>46222</v>
      </c>
      <c r="F141" t="inlineStr">
        <is>
          <t>UPPSALA LÄN</t>
        </is>
      </c>
      <c r="G141" t="inlineStr">
        <is>
          <t>ENKÖPING</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6031-2026</t>
        </is>
      </c>
      <c r="B142" t="inlineStr">
        <is>
          <t>avverkningsanmälan</t>
        </is>
      </c>
      <c r="C142" t="inlineStr">
        <is>
          <t>Föryngringsavverkning</t>
        </is>
      </c>
      <c r="D142" s="1" t="n">
        <v>46052</v>
      </c>
      <c r="E142" s="1" t="n">
        <v>46222</v>
      </c>
      <c r="F142" t="inlineStr">
        <is>
          <t>UPPSALA LÄN</t>
        </is>
      </c>
      <c r="G142" t="inlineStr">
        <is>
          <t>ENKÖPING</t>
        </is>
      </c>
      <c r="I142" t="n">
        <v>4.1</v>
      </c>
      <c r="J142" t="n">
        <v>0</v>
      </c>
      <c r="K142" t="n">
        <v>0</v>
      </c>
      <c r="L142" t="n">
        <v>0</v>
      </c>
      <c r="M142" t="n">
        <v>0</v>
      </c>
      <c r="N142" t="n">
        <v>0</v>
      </c>
      <c r="O142" t="n">
        <v>0</v>
      </c>
      <c r="P142" t="n">
        <v>0</v>
      </c>
      <c r="Q142" t="n">
        <v>0</v>
      </c>
      <c r="R142" t="n">
        <v>0</v>
      </c>
      <c r="S142" t="n">
        <v>0</v>
      </c>
      <c r="T142" t="n">
        <v>0</v>
      </c>
      <c r="U142" s="2" t="inlineStr"/>
    </row>
    <row r="143" ht="15" customHeight="1">
      <c r="A143" t="inlineStr">
        <is>
          <t>A 6047-2026</t>
        </is>
      </c>
      <c r="B143" t="inlineStr">
        <is>
          <t>avverkningsanmälan</t>
        </is>
      </c>
      <c r="C143" t="inlineStr">
        <is>
          <t>Föryngringsavverkning</t>
        </is>
      </c>
      <c r="D143" s="1" t="n">
        <v>46052</v>
      </c>
      <c r="E143" s="1" t="n">
        <v>46222</v>
      </c>
      <c r="F143" t="inlineStr">
        <is>
          <t>UPPSALA LÄN</t>
        </is>
      </c>
      <c r="G143" t="inlineStr">
        <is>
          <t>ENKÖPING</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57848-2024</t>
        </is>
      </c>
      <c r="B144" t="inlineStr">
        <is>
          <t>avverkningsanmälan</t>
        </is>
      </c>
      <c r="C144" t="inlineStr">
        <is>
          <t>Föryngringsavverkning</t>
        </is>
      </c>
      <c r="D144" s="1" t="n">
        <v>45631</v>
      </c>
      <c r="E144" s="1" t="n">
        <v>46222</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s="2" t="inlineStr"/>
    </row>
    <row r="145" ht="15" customHeight="1">
      <c r="A145" t="inlineStr">
        <is>
          <t>A 18994-2025</t>
        </is>
      </c>
      <c r="B145" t="inlineStr">
        <is>
          <t>avverkningsanmälan</t>
        </is>
      </c>
      <c r="C145" t="inlineStr">
        <is>
          <t>Föryngringsavverkning</t>
        </is>
      </c>
      <c r="D145" s="1" t="n">
        <v>45764</v>
      </c>
      <c r="E145" s="1" t="n">
        <v>46222</v>
      </c>
      <c r="F145" t="inlineStr">
        <is>
          <t>UPPSALA LÄN</t>
        </is>
      </c>
      <c r="G145" t="inlineStr">
        <is>
          <t>ENKÖPING</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49601-2024</t>
        </is>
      </c>
      <c r="B146" t="inlineStr">
        <is>
          <t>avverkningsanmälan</t>
        </is>
      </c>
      <c r="C146" t="inlineStr">
        <is>
          <t>Föryngringsavverkning</t>
        </is>
      </c>
      <c r="D146" s="1" t="n">
        <v>45596</v>
      </c>
      <c r="E146" s="1" t="n">
        <v>46222</v>
      </c>
      <c r="F146" t="inlineStr">
        <is>
          <t>UPPSALA LÄN</t>
        </is>
      </c>
      <c r="G146" t="inlineStr">
        <is>
          <t>ENKÖPING</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57328-2024</t>
        </is>
      </c>
      <c r="B147" t="inlineStr">
        <is>
          <t>avverkningsanmälan</t>
        </is>
      </c>
      <c r="C147" t="inlineStr">
        <is>
          <t>Föryngringsavverkning</t>
        </is>
      </c>
      <c r="D147" s="1" t="n">
        <v>45629</v>
      </c>
      <c r="E147" s="1" t="n">
        <v>46222</v>
      </c>
      <c r="F147" t="inlineStr">
        <is>
          <t>UPPSALA LÄN</t>
        </is>
      </c>
      <c r="G147" t="inlineStr">
        <is>
          <t>ENKÖPING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45755-2025</t>
        </is>
      </c>
      <c r="B148" t="inlineStr">
        <is>
          <t>avverkningsanmälan</t>
        </is>
      </c>
      <c r="C148" t="inlineStr">
        <is>
          <t>Föryngringsavverkning</t>
        </is>
      </c>
      <c r="D148" s="1" t="n">
        <v>45923</v>
      </c>
      <c r="E148" s="1" t="n">
        <v>46222</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46590-2025</t>
        </is>
      </c>
      <c r="B149" t="inlineStr">
        <is>
          <t>avverkningsanmälan</t>
        </is>
      </c>
      <c r="C149" t="inlineStr">
        <is>
          <t>Föryngringsavverkning</t>
        </is>
      </c>
      <c r="D149" s="1" t="n">
        <v>45926</v>
      </c>
      <c r="E149" s="1" t="n">
        <v>46222</v>
      </c>
      <c r="F149" t="inlineStr">
        <is>
          <t>UPPSALA LÄN</t>
        </is>
      </c>
      <c r="G149" t="inlineStr">
        <is>
          <t>ENKÖPING</t>
        </is>
      </c>
      <c r="I149" t="n">
        <v>2.7</v>
      </c>
      <c r="J149" t="n">
        <v>0</v>
      </c>
      <c r="K149" t="n">
        <v>0</v>
      </c>
      <c r="L149" t="n">
        <v>0</v>
      </c>
      <c r="M149" t="n">
        <v>0</v>
      </c>
      <c r="N149" t="n">
        <v>0</v>
      </c>
      <c r="O149" t="n">
        <v>0</v>
      </c>
      <c r="P149" t="n">
        <v>0</v>
      </c>
      <c r="Q149" t="n">
        <v>0</v>
      </c>
      <c r="R149" t="n">
        <v>0</v>
      </c>
      <c r="S149" t="n">
        <v>0</v>
      </c>
      <c r="T149" t="n">
        <v>0</v>
      </c>
      <c r="U149" s="2" t="inlineStr"/>
    </row>
    <row r="150" ht="15" customHeight="1">
      <c r="A150" t="inlineStr">
        <is>
          <t>A 17844-2025</t>
        </is>
      </c>
      <c r="B150" t="inlineStr">
        <is>
          <t>avverkningsanmälan</t>
        </is>
      </c>
      <c r="C150" t="inlineStr">
        <is>
          <t>Föryngringsavverkning</t>
        </is>
      </c>
      <c r="D150" s="1" t="n">
        <v>45758</v>
      </c>
      <c r="E150" s="1" t="n">
        <v>46222</v>
      </c>
      <c r="F150" t="inlineStr">
        <is>
          <t>UPPSALA LÄN</t>
        </is>
      </c>
      <c r="G150" t="inlineStr">
        <is>
          <t>ENKÖPING</t>
        </is>
      </c>
      <c r="I150" t="n">
        <v>1.4</v>
      </c>
      <c r="J150" t="n">
        <v>0</v>
      </c>
      <c r="K150" t="n">
        <v>0</v>
      </c>
      <c r="L150" t="n">
        <v>0</v>
      </c>
      <c r="M150" t="n">
        <v>0</v>
      </c>
      <c r="N150" t="n">
        <v>0</v>
      </c>
      <c r="O150" t="n">
        <v>0</v>
      </c>
      <c r="P150" t="n">
        <v>0</v>
      </c>
      <c r="Q150" t="n">
        <v>0</v>
      </c>
      <c r="R150" t="n">
        <v>0</v>
      </c>
      <c r="S150" t="n">
        <v>0</v>
      </c>
      <c r="T150" t="n">
        <v>0</v>
      </c>
      <c r="U150" s="2" t="inlineStr"/>
    </row>
    <row r="151" ht="15" customHeight="1">
      <c r="A151" t="inlineStr">
        <is>
          <t>A 21501-2025</t>
        </is>
      </c>
      <c r="B151" t="inlineStr">
        <is>
          <t>avverkningsanmälan</t>
        </is>
      </c>
      <c r="C151" t="inlineStr">
        <is>
          <t>Föryngringsavverkning</t>
        </is>
      </c>
      <c r="D151" s="1" t="n">
        <v>45782</v>
      </c>
      <c r="E151" s="1" t="n">
        <v>46222</v>
      </c>
      <c r="F151" t="inlineStr">
        <is>
          <t>UPPSALA LÄN</t>
        </is>
      </c>
      <c r="G151" t="inlineStr">
        <is>
          <t>ENKÖPING</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25334-2023</t>
        </is>
      </c>
      <c r="B152" t="inlineStr">
        <is>
          <t>avverkningsanmälan</t>
        </is>
      </c>
      <c r="C152" t="inlineStr">
        <is>
          <t>Avverkning för annat ändamål</t>
        </is>
      </c>
      <c r="D152" s="1" t="n">
        <v>45083</v>
      </c>
      <c r="E152" s="1" t="n">
        <v>46222</v>
      </c>
      <c r="F152" t="inlineStr">
        <is>
          <t>UPPSALA LÄN</t>
        </is>
      </c>
      <c r="G152" t="inlineStr">
        <is>
          <t>ENKÖPING</t>
        </is>
      </c>
      <c r="I152" t="n">
        <v>0.2</v>
      </c>
      <c r="J152" t="n">
        <v>0</v>
      </c>
      <c r="K152" t="n">
        <v>0</v>
      </c>
      <c r="L152" t="n">
        <v>0</v>
      </c>
      <c r="M152" t="n">
        <v>0</v>
      </c>
      <c r="N152" t="n">
        <v>0</v>
      </c>
      <c r="O152" t="n">
        <v>0</v>
      </c>
      <c r="P152" t="n">
        <v>0</v>
      </c>
      <c r="Q152" t="n">
        <v>0</v>
      </c>
      <c r="R152" t="n">
        <v>0</v>
      </c>
      <c r="S152" t="n">
        <v>0</v>
      </c>
      <c r="T152" t="n">
        <v>0</v>
      </c>
      <c r="U152" s="2" t="inlineStr"/>
    </row>
    <row r="153" ht="15" customHeight="1">
      <c r="A153" t="inlineStr">
        <is>
          <t>A 7003-2026</t>
        </is>
      </c>
      <c r="B153" t="inlineStr">
        <is>
          <t>avverkningsanmälan</t>
        </is>
      </c>
      <c r="C153" t="inlineStr">
        <is>
          <t>Föryngringsavverkning</t>
        </is>
      </c>
      <c r="D153" s="1" t="n">
        <v>46057</v>
      </c>
      <c r="E153" s="1" t="n">
        <v>46222</v>
      </c>
      <c r="F153" t="inlineStr">
        <is>
          <t>UPPSALA LÄN</t>
        </is>
      </c>
      <c r="G153" t="inlineStr">
        <is>
          <t>ENKÖPING</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36350-2025</t>
        </is>
      </c>
      <c r="B154" t="inlineStr">
        <is>
          <t>avverkningsanmälan</t>
        </is>
      </c>
      <c r="C154" t="inlineStr">
        <is>
          <t>Föryngringsavverkning</t>
        </is>
      </c>
      <c r="D154" s="1" t="n">
        <v>45868</v>
      </c>
      <c r="E154" s="1" t="n">
        <v>46222</v>
      </c>
      <c r="F154" t="inlineStr">
        <is>
          <t>UPPSALA LÄN</t>
        </is>
      </c>
      <c r="G154" t="inlineStr">
        <is>
          <t>ENKÖPING</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36599-2025</t>
        </is>
      </c>
      <c r="B155" t="inlineStr">
        <is>
          <t>avverkningsanmälan</t>
        </is>
      </c>
      <c r="C155" t="inlineStr">
        <is>
          <t>Föryngringsavverkning</t>
        </is>
      </c>
      <c r="D155" s="1" t="n">
        <v>45870</v>
      </c>
      <c r="E155" s="1" t="n">
        <v>46222</v>
      </c>
      <c r="F155" t="inlineStr">
        <is>
          <t>UPPSALA LÄN</t>
        </is>
      </c>
      <c r="G155" t="inlineStr">
        <is>
          <t>ENKÖPING</t>
        </is>
      </c>
      <c r="I155" t="n">
        <v>5.9</v>
      </c>
      <c r="J155" t="n">
        <v>0</v>
      </c>
      <c r="K155" t="n">
        <v>0</v>
      </c>
      <c r="L155" t="n">
        <v>0</v>
      </c>
      <c r="M155" t="n">
        <v>0</v>
      </c>
      <c r="N155" t="n">
        <v>0</v>
      </c>
      <c r="O155" t="n">
        <v>0</v>
      </c>
      <c r="P155" t="n">
        <v>0</v>
      </c>
      <c r="Q155" t="n">
        <v>0</v>
      </c>
      <c r="R155" t="n">
        <v>0</v>
      </c>
      <c r="S155" t="n">
        <v>0</v>
      </c>
      <c r="T155" t="n">
        <v>0</v>
      </c>
      <c r="U155" s="2" t="inlineStr"/>
    </row>
    <row r="156" ht="15" customHeight="1">
      <c r="A156" t="inlineStr">
        <is>
          <t>A 39439-2025</t>
        </is>
      </c>
      <c r="B156" t="inlineStr">
        <is>
          <t>avverkningsanmälan</t>
        </is>
      </c>
      <c r="C156" t="inlineStr">
        <is>
          <t>Föryngringsavverkning</t>
        </is>
      </c>
      <c r="D156" s="1" t="n">
        <v>45889</v>
      </c>
      <c r="E156" s="1" t="n">
        <v>46222</v>
      </c>
      <c r="F156" t="inlineStr">
        <is>
          <t>UPPSALA LÄN</t>
        </is>
      </c>
      <c r="G156" t="inlineStr">
        <is>
          <t>ENKÖPING</t>
        </is>
      </c>
      <c r="I156" t="n">
        <v>0.4</v>
      </c>
      <c r="J156" t="n">
        <v>0</v>
      </c>
      <c r="K156" t="n">
        <v>0</v>
      </c>
      <c r="L156" t="n">
        <v>0</v>
      </c>
      <c r="M156" t="n">
        <v>0</v>
      </c>
      <c r="N156" t="n">
        <v>0</v>
      </c>
      <c r="O156" t="n">
        <v>0</v>
      </c>
      <c r="P156" t="n">
        <v>0</v>
      </c>
      <c r="Q156" t="n">
        <v>0</v>
      </c>
      <c r="R156" t="n">
        <v>0</v>
      </c>
      <c r="S156" t="n">
        <v>0</v>
      </c>
      <c r="T156" t="n">
        <v>0</v>
      </c>
      <c r="U156" s="2" t="inlineStr"/>
    </row>
    <row r="157" ht="15" customHeight="1">
      <c r="A157" t="inlineStr">
        <is>
          <t>A 43103-2025</t>
        </is>
      </c>
      <c r="B157" t="inlineStr">
        <is>
          <t>avverkningsanmälan</t>
        </is>
      </c>
      <c r="C157" t="inlineStr">
        <is>
          <t>Avverkning för annat ändamål</t>
        </is>
      </c>
      <c r="D157" s="1" t="n">
        <v>45909</v>
      </c>
      <c r="E157" s="1" t="n">
        <v>46222</v>
      </c>
      <c r="F157" t="inlineStr">
        <is>
          <t>UPPSALA LÄN</t>
        </is>
      </c>
      <c r="G157" t="inlineStr">
        <is>
          <t>ENKÖPING</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49073-2025</t>
        </is>
      </c>
      <c r="B158" t="inlineStr">
        <is>
          <t>avverkningsanmälan</t>
        </is>
      </c>
      <c r="C158" t="inlineStr">
        <is>
          <t>Föryngringsavverkning</t>
        </is>
      </c>
      <c r="D158" s="1" t="n">
        <v>45937</v>
      </c>
      <c r="E158" s="1" t="n">
        <v>46222</v>
      </c>
      <c r="F158" t="inlineStr">
        <is>
          <t>UPPSALA LÄN</t>
        </is>
      </c>
      <c r="G158" t="inlineStr">
        <is>
          <t>ENKÖPING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7008-2026</t>
        </is>
      </c>
      <c r="B159" t="inlineStr">
        <is>
          <t>avverkningsanmälan</t>
        </is>
      </c>
      <c r="C159" t="inlineStr">
        <is>
          <t>Föryngringsavverkning</t>
        </is>
      </c>
      <c r="D159" s="1" t="n">
        <v>46057</v>
      </c>
      <c r="E159" s="1" t="n">
        <v>46222</v>
      </c>
      <c r="F159" t="inlineStr">
        <is>
          <t>UPPSALA LÄN</t>
        </is>
      </c>
      <c r="G159" t="inlineStr">
        <is>
          <t>ENKÖPING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49622-2024</t>
        </is>
      </c>
      <c r="B160" t="inlineStr">
        <is>
          <t>avverkningsanmälan</t>
        </is>
      </c>
      <c r="C160" t="inlineStr">
        <is>
          <t>Föryngringsavverkning</t>
        </is>
      </c>
      <c r="D160" s="1" t="n">
        <v>45596</v>
      </c>
      <c r="E160" s="1" t="n">
        <v>46222</v>
      </c>
      <c r="F160" t="inlineStr">
        <is>
          <t>UPPSALA LÄN</t>
        </is>
      </c>
      <c r="G160" t="inlineStr">
        <is>
          <t>ENKÖPING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1695-2025</t>
        </is>
      </c>
      <c r="B161" t="inlineStr">
        <is>
          <t>avverkningsanmälan</t>
        </is>
      </c>
      <c r="C161" t="inlineStr">
        <is>
          <t>Föryngringsavverkning</t>
        </is>
      </c>
      <c r="D161" s="1" t="n">
        <v>45670</v>
      </c>
      <c r="E161" s="1" t="n">
        <v>46222</v>
      </c>
      <c r="F161" t="inlineStr">
        <is>
          <t>UPPSALA LÄN</t>
        </is>
      </c>
      <c r="G161" t="inlineStr">
        <is>
          <t>ENKÖPING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59027-2024</t>
        </is>
      </c>
      <c r="B162" t="inlineStr">
        <is>
          <t>avverkningsanmälan</t>
        </is>
      </c>
      <c r="C162" t="inlineStr">
        <is>
          <t>Föryngringsavverkning</t>
        </is>
      </c>
      <c r="D162" s="1" t="n">
        <v>45636</v>
      </c>
      <c r="E162" s="1" t="n">
        <v>46222</v>
      </c>
      <c r="F162" t="inlineStr">
        <is>
          <t>UPPSALA LÄN</t>
        </is>
      </c>
      <c r="G162" t="inlineStr">
        <is>
          <t>ENKÖPING</t>
        </is>
      </c>
      <c r="I162" t="n">
        <v>1.1</v>
      </c>
      <c r="J162" t="n">
        <v>0</v>
      </c>
      <c r="K162" t="n">
        <v>0</v>
      </c>
      <c r="L162" t="n">
        <v>0</v>
      </c>
      <c r="M162" t="n">
        <v>0</v>
      </c>
      <c r="N162" t="n">
        <v>0</v>
      </c>
      <c r="O162" t="n">
        <v>0</v>
      </c>
      <c r="P162" t="n">
        <v>0</v>
      </c>
      <c r="Q162" t="n">
        <v>0</v>
      </c>
      <c r="R162" t="n">
        <v>0</v>
      </c>
      <c r="S162" t="n">
        <v>0</v>
      </c>
      <c r="T162" t="n">
        <v>0</v>
      </c>
      <c r="U162" s="2" t="inlineStr"/>
    </row>
    <row r="163" ht="15" customHeight="1">
      <c r="A163" t="inlineStr">
        <is>
          <t>A 21017-2023</t>
        </is>
      </c>
      <c r="B163" t="inlineStr">
        <is>
          <t>avverkningsanmälan</t>
        </is>
      </c>
      <c r="C163" t="inlineStr">
        <is>
          <t>Föryngringsavverkning</t>
        </is>
      </c>
      <c r="D163" s="1" t="n">
        <v>45061</v>
      </c>
      <c r="E163" s="1" t="n">
        <v>46222</v>
      </c>
      <c r="F163" t="inlineStr">
        <is>
          <t>UPPSALA LÄN</t>
        </is>
      </c>
      <c r="G163" t="inlineStr">
        <is>
          <t>ENKÖPING</t>
        </is>
      </c>
      <c r="I163" t="n">
        <v>4.8</v>
      </c>
      <c r="J163" t="n">
        <v>0</v>
      </c>
      <c r="K163" t="n">
        <v>0</v>
      </c>
      <c r="L163" t="n">
        <v>0</v>
      </c>
      <c r="M163" t="n">
        <v>0</v>
      </c>
      <c r="N163" t="n">
        <v>0</v>
      </c>
      <c r="O163" t="n">
        <v>0</v>
      </c>
      <c r="P163" t="n">
        <v>0</v>
      </c>
      <c r="Q163" t="n">
        <v>0</v>
      </c>
      <c r="R163" t="n">
        <v>0</v>
      </c>
      <c r="S163" t="n">
        <v>0</v>
      </c>
      <c r="T163" t="n">
        <v>0</v>
      </c>
      <c r="U163" s="2" t="inlineStr"/>
    </row>
    <row r="164" ht="15" customHeight="1">
      <c r="A164" t="inlineStr">
        <is>
          <t>A 51162-2025</t>
        </is>
      </c>
      <c r="B164" t="inlineStr">
        <is>
          <t>avverkningsanmälan</t>
        </is>
      </c>
      <c r="C164" t="inlineStr">
        <is>
          <t>Föryngringsavverkning</t>
        </is>
      </c>
      <c r="D164" s="1" t="n">
        <v>45947</v>
      </c>
      <c r="E164" s="1" t="n">
        <v>46222</v>
      </c>
      <c r="F164" t="inlineStr">
        <is>
          <t>UPPSALA LÄN</t>
        </is>
      </c>
      <c r="G164" t="inlineStr">
        <is>
          <t>ENKÖPING</t>
        </is>
      </c>
      <c r="I164" t="n">
        <v>3.4</v>
      </c>
      <c r="J164" t="n">
        <v>0</v>
      </c>
      <c r="K164" t="n">
        <v>0</v>
      </c>
      <c r="L164" t="n">
        <v>0</v>
      </c>
      <c r="M164" t="n">
        <v>0</v>
      </c>
      <c r="N164" t="n">
        <v>0</v>
      </c>
      <c r="O164" t="n">
        <v>0</v>
      </c>
      <c r="P164" t="n">
        <v>0</v>
      </c>
      <c r="Q164" t="n">
        <v>0</v>
      </c>
      <c r="R164" t="n">
        <v>0</v>
      </c>
      <c r="S164" t="n">
        <v>0</v>
      </c>
      <c r="T164" t="n">
        <v>0</v>
      </c>
      <c r="U164" s="2" t="inlineStr"/>
    </row>
    <row r="165" ht="15" customHeight="1">
      <c r="A165" t="inlineStr">
        <is>
          <t>A 56176-2021</t>
        </is>
      </c>
      <c r="B165" t="inlineStr">
        <is>
          <t>avverkningsanmälan</t>
        </is>
      </c>
      <c r="C165" t="inlineStr">
        <is>
          <t>Föryngringsavverkning</t>
        </is>
      </c>
      <c r="D165" s="1" t="n">
        <v>44477</v>
      </c>
      <c r="E165" s="1" t="n">
        <v>46222</v>
      </c>
      <c r="F165" t="inlineStr">
        <is>
          <t>UPPSALA LÄN</t>
        </is>
      </c>
      <c r="G165" t="inlineStr">
        <is>
          <t>ENKÖPING</t>
        </is>
      </c>
      <c r="I165" t="n">
        <v>2.9</v>
      </c>
      <c r="J165" t="n">
        <v>0</v>
      </c>
      <c r="K165" t="n">
        <v>0</v>
      </c>
      <c r="L165" t="n">
        <v>0</v>
      </c>
      <c r="M165" t="n">
        <v>0</v>
      </c>
      <c r="N165" t="n">
        <v>0</v>
      </c>
      <c r="O165" t="n">
        <v>0</v>
      </c>
      <c r="P165" t="n">
        <v>0</v>
      </c>
      <c r="Q165" t="n">
        <v>0</v>
      </c>
      <c r="R165" t="n">
        <v>0</v>
      </c>
      <c r="S165" t="n">
        <v>0</v>
      </c>
      <c r="T165" t="n">
        <v>0</v>
      </c>
      <c r="U165" s="2" t="inlineStr"/>
    </row>
    <row r="166" ht="15" customHeight="1">
      <c r="A166" t="inlineStr">
        <is>
          <t>A 3235-2025</t>
        </is>
      </c>
      <c r="B166" t="inlineStr">
        <is>
          <t>avverkningsanmälan</t>
        </is>
      </c>
      <c r="C166" t="inlineStr">
        <is>
          <t>Avverkning för annat ändamål</t>
        </is>
      </c>
      <c r="D166" s="1" t="n">
        <v>45679</v>
      </c>
      <c r="E166" s="1" t="n">
        <v>46222</v>
      </c>
      <c r="F166" t="inlineStr">
        <is>
          <t>UPPSALA LÄN</t>
        </is>
      </c>
      <c r="G166" t="inlineStr">
        <is>
          <t>ENKÖPING</t>
        </is>
      </c>
      <c r="I166" t="n">
        <v>0.6</v>
      </c>
      <c r="J166" t="n">
        <v>0</v>
      </c>
      <c r="K166" t="n">
        <v>0</v>
      </c>
      <c r="L166" t="n">
        <v>0</v>
      </c>
      <c r="M166" t="n">
        <v>0</v>
      </c>
      <c r="N166" t="n">
        <v>0</v>
      </c>
      <c r="O166" t="n">
        <v>0</v>
      </c>
      <c r="P166" t="n">
        <v>0</v>
      </c>
      <c r="Q166" t="n">
        <v>0</v>
      </c>
      <c r="R166" t="n">
        <v>0</v>
      </c>
      <c r="S166" t="n">
        <v>0</v>
      </c>
      <c r="T166" t="n">
        <v>0</v>
      </c>
      <c r="U166" s="2" t="inlineStr"/>
    </row>
    <row r="167" ht="15" customHeight="1">
      <c r="A167" t="inlineStr">
        <is>
          <t>A 8309-2026</t>
        </is>
      </c>
      <c r="B167" t="inlineStr">
        <is>
          <t>avverkningsanmälan</t>
        </is>
      </c>
      <c r="C167" t="inlineStr">
        <is>
          <t>Föryngringsavverkning</t>
        </is>
      </c>
      <c r="D167" s="1" t="n">
        <v>46064</v>
      </c>
      <c r="E167" s="1" t="n">
        <v>46222</v>
      </c>
      <c r="F167" t="inlineStr">
        <is>
          <t>UPPSALA LÄN</t>
        </is>
      </c>
      <c r="G167" t="inlineStr">
        <is>
          <t>ENKÖPING</t>
        </is>
      </c>
      <c r="I167" t="n">
        <v>1.9</v>
      </c>
      <c r="J167" t="n">
        <v>0</v>
      </c>
      <c r="K167" t="n">
        <v>0</v>
      </c>
      <c r="L167" t="n">
        <v>0</v>
      </c>
      <c r="M167" t="n">
        <v>0</v>
      </c>
      <c r="N167" t="n">
        <v>0</v>
      </c>
      <c r="O167" t="n">
        <v>0</v>
      </c>
      <c r="P167" t="n">
        <v>0</v>
      </c>
      <c r="Q167" t="n">
        <v>0</v>
      </c>
      <c r="R167" t="n">
        <v>0</v>
      </c>
      <c r="S167" t="n">
        <v>0</v>
      </c>
      <c r="T167" t="n">
        <v>0</v>
      </c>
      <c r="U167" s="2" t="inlineStr"/>
    </row>
    <row r="168" ht="15" customHeight="1">
      <c r="A168" t="inlineStr">
        <is>
          <t>A 26017-2025</t>
        </is>
      </c>
      <c r="B168" t="inlineStr">
        <is>
          <t>avverkningsanmälan</t>
        </is>
      </c>
      <c r="C168" t="inlineStr">
        <is>
          <t>Föryngringsavverkning</t>
        </is>
      </c>
      <c r="D168" s="1" t="n">
        <v>45804</v>
      </c>
      <c r="E168" s="1" t="n">
        <v>46222</v>
      </c>
      <c r="F168" t="inlineStr">
        <is>
          <t>UPPSALA LÄN</t>
        </is>
      </c>
      <c r="G168" t="inlineStr">
        <is>
          <t>ENKÖPING</t>
        </is>
      </c>
      <c r="I168" t="n">
        <v>0.4</v>
      </c>
      <c r="J168" t="n">
        <v>0</v>
      </c>
      <c r="K168" t="n">
        <v>0</v>
      </c>
      <c r="L168" t="n">
        <v>0</v>
      </c>
      <c r="M168" t="n">
        <v>0</v>
      </c>
      <c r="N168" t="n">
        <v>0</v>
      </c>
      <c r="O168" t="n">
        <v>0</v>
      </c>
      <c r="P168" t="n">
        <v>0</v>
      </c>
      <c r="Q168" t="n">
        <v>0</v>
      </c>
      <c r="R168" t="n">
        <v>0</v>
      </c>
      <c r="S168" t="n">
        <v>0</v>
      </c>
      <c r="T168" t="n">
        <v>0</v>
      </c>
      <c r="U168" s="2" t="inlineStr"/>
    </row>
    <row r="169" ht="15" customHeight="1">
      <c r="A169" t="inlineStr">
        <is>
          <t>A 6959-2025</t>
        </is>
      </c>
      <c r="B169" t="inlineStr">
        <is>
          <t>avverkningsanmälan</t>
        </is>
      </c>
      <c r="C169" t="inlineStr">
        <is>
          <t>Föryngringsavverkning</t>
        </is>
      </c>
      <c r="D169" s="1" t="n">
        <v>45701</v>
      </c>
      <c r="E169" s="1" t="n">
        <v>46222</v>
      </c>
      <c r="F169" t="inlineStr">
        <is>
          <t>UPPSALA LÄN</t>
        </is>
      </c>
      <c r="G169" t="inlineStr">
        <is>
          <t>ENKÖPING</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52299-2023</t>
        </is>
      </c>
      <c r="B170" t="inlineStr">
        <is>
          <t>avverkningsanmälan</t>
        </is>
      </c>
      <c r="C170" t="inlineStr">
        <is>
          <t>Föryngringsavverkning</t>
        </is>
      </c>
      <c r="D170" s="1" t="n">
        <v>45224</v>
      </c>
      <c r="E170" s="1" t="n">
        <v>46222</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s="2" t="inlineStr"/>
    </row>
    <row r="171" ht="15" customHeight="1">
      <c r="A171" t="inlineStr">
        <is>
          <t>A 32081-2024</t>
        </is>
      </c>
      <c r="B171" t="inlineStr">
        <is>
          <t>avverkningsanmälan</t>
        </is>
      </c>
      <c r="C171" t="inlineStr">
        <is>
          <t>Föryngringsavverkning</t>
        </is>
      </c>
      <c r="D171" s="1" t="n">
        <v>45511</v>
      </c>
      <c r="E171" s="1" t="n">
        <v>46222</v>
      </c>
      <c r="F171" t="inlineStr">
        <is>
          <t>UPPSALA LÄN</t>
        </is>
      </c>
      <c r="G171" t="inlineStr">
        <is>
          <t>ENKÖPING</t>
        </is>
      </c>
      <c r="I171" t="n">
        <v>5.4</v>
      </c>
      <c r="J171" t="n">
        <v>0</v>
      </c>
      <c r="K171" t="n">
        <v>0</v>
      </c>
      <c r="L171" t="n">
        <v>0</v>
      </c>
      <c r="M171" t="n">
        <v>0</v>
      </c>
      <c r="N171" t="n">
        <v>0</v>
      </c>
      <c r="O171" t="n">
        <v>0</v>
      </c>
      <c r="P171" t="n">
        <v>0</v>
      </c>
      <c r="Q171" t="n">
        <v>0</v>
      </c>
      <c r="R171" t="n">
        <v>0</v>
      </c>
      <c r="S171" t="n">
        <v>0</v>
      </c>
      <c r="T171" t="n">
        <v>0</v>
      </c>
      <c r="U171" s="2" t="inlineStr"/>
    </row>
    <row r="172" ht="15" customHeight="1">
      <c r="A172" t="inlineStr">
        <is>
          <t>A 9148-2026</t>
        </is>
      </c>
      <c r="B172" t="inlineStr">
        <is>
          <t>avverkningsanmälan</t>
        </is>
      </c>
      <c r="C172" t="inlineStr">
        <is>
          <t>Föryngringsavverkning</t>
        </is>
      </c>
      <c r="D172" s="1" t="n">
        <v>46070</v>
      </c>
      <c r="E172" s="1" t="n">
        <v>46222</v>
      </c>
      <c r="F172" t="inlineStr">
        <is>
          <t>UPPSALA LÄN</t>
        </is>
      </c>
      <c r="G172" t="inlineStr">
        <is>
          <t>ENKÖPING</t>
        </is>
      </c>
      <c r="I172" t="n">
        <v>0.8</v>
      </c>
      <c r="J172" t="n">
        <v>0</v>
      </c>
      <c r="K172" t="n">
        <v>0</v>
      </c>
      <c r="L172" t="n">
        <v>0</v>
      </c>
      <c r="M172" t="n">
        <v>0</v>
      </c>
      <c r="N172" t="n">
        <v>0</v>
      </c>
      <c r="O172" t="n">
        <v>0</v>
      </c>
      <c r="P172" t="n">
        <v>0</v>
      </c>
      <c r="Q172" t="n">
        <v>0</v>
      </c>
      <c r="R172" t="n">
        <v>0</v>
      </c>
      <c r="S172" t="n">
        <v>0</v>
      </c>
      <c r="T172" t="n">
        <v>0</v>
      </c>
      <c r="U172" s="2" t="inlineStr"/>
    </row>
    <row r="173" ht="15" customHeight="1">
      <c r="A173" t="inlineStr">
        <is>
          <t>A 20184-2023</t>
        </is>
      </c>
      <c r="B173" t="inlineStr">
        <is>
          <t>avverkningsanmälan</t>
        </is>
      </c>
      <c r="C173" t="inlineStr">
        <is>
          <t>Föryngringsavverkning</t>
        </is>
      </c>
      <c r="D173" s="1" t="n">
        <v>45055</v>
      </c>
      <c r="E173" s="1" t="n">
        <v>46222</v>
      </c>
      <c r="F173" t="inlineStr">
        <is>
          <t>UPPSALA LÄN</t>
        </is>
      </c>
      <c r="G173" t="inlineStr">
        <is>
          <t>ENKÖPING</t>
        </is>
      </c>
      <c r="I173" t="n">
        <v>3.2</v>
      </c>
      <c r="J173" t="n">
        <v>0</v>
      </c>
      <c r="K173" t="n">
        <v>0</v>
      </c>
      <c r="L173" t="n">
        <v>0</v>
      </c>
      <c r="M173" t="n">
        <v>0</v>
      </c>
      <c r="N173" t="n">
        <v>0</v>
      </c>
      <c r="O173" t="n">
        <v>0</v>
      </c>
      <c r="P173" t="n">
        <v>0</v>
      </c>
      <c r="Q173" t="n">
        <v>0</v>
      </c>
      <c r="R173" t="n">
        <v>0</v>
      </c>
      <c r="S173" t="n">
        <v>0</v>
      </c>
      <c r="T173" t="n">
        <v>0</v>
      </c>
      <c r="U173" s="2" t="inlineStr"/>
    </row>
    <row r="174" ht="15" customHeight="1">
      <c r="A174" t="inlineStr">
        <is>
          <t>A 9467-2026</t>
        </is>
      </c>
      <c r="B174" t="inlineStr">
        <is>
          <t>avverkningsanmälan</t>
        </is>
      </c>
      <c r="C174" t="inlineStr">
        <is>
          <t>Föryngringsavverkning</t>
        </is>
      </c>
      <c r="D174" s="1" t="n">
        <v>46071</v>
      </c>
      <c r="E174" s="1" t="n">
        <v>46222</v>
      </c>
      <c r="F174" t="inlineStr">
        <is>
          <t>UPPSALA LÄN</t>
        </is>
      </c>
      <c r="G174" t="inlineStr">
        <is>
          <t>ENKÖPING</t>
        </is>
      </c>
      <c r="I174" t="n">
        <v>5.9</v>
      </c>
      <c r="J174" t="n">
        <v>0</v>
      </c>
      <c r="K174" t="n">
        <v>0</v>
      </c>
      <c r="L174" t="n">
        <v>0</v>
      </c>
      <c r="M174" t="n">
        <v>0</v>
      </c>
      <c r="N174" t="n">
        <v>0</v>
      </c>
      <c r="O174" t="n">
        <v>0</v>
      </c>
      <c r="P174" t="n">
        <v>0</v>
      </c>
      <c r="Q174" t="n">
        <v>0</v>
      </c>
      <c r="R174" t="n">
        <v>0</v>
      </c>
      <c r="S174" t="n">
        <v>0</v>
      </c>
      <c r="T174" t="n">
        <v>0</v>
      </c>
      <c r="U174" s="2" t="inlineStr"/>
    </row>
    <row r="175" ht="15" customHeight="1">
      <c r="A175" t="inlineStr">
        <is>
          <t>A 9474-2026</t>
        </is>
      </c>
      <c r="B175" t="inlineStr">
        <is>
          <t>avverkningsanmälan</t>
        </is>
      </c>
      <c r="C175" t="inlineStr">
        <is>
          <t>Föryngringsavverkning</t>
        </is>
      </c>
      <c r="D175" s="1" t="n">
        <v>46071</v>
      </c>
      <c r="E175" s="1" t="n">
        <v>46222</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2850-2025</t>
        </is>
      </c>
      <c r="B176" t="inlineStr">
        <is>
          <t>avverkningsanmälan</t>
        </is>
      </c>
      <c r="C176" t="inlineStr">
        <is>
          <t>Föryngringsavverkning</t>
        </is>
      </c>
      <c r="D176" s="1" t="n">
        <v>45677</v>
      </c>
      <c r="E176" s="1" t="n">
        <v>46222</v>
      </c>
      <c r="F176" t="inlineStr">
        <is>
          <t>UPPSALA LÄN</t>
        </is>
      </c>
      <c r="G176" t="inlineStr">
        <is>
          <t>ENKÖPING</t>
        </is>
      </c>
      <c r="I176" t="n">
        <v>0.3</v>
      </c>
      <c r="J176" t="n">
        <v>0</v>
      </c>
      <c r="K176" t="n">
        <v>0</v>
      </c>
      <c r="L176" t="n">
        <v>0</v>
      </c>
      <c r="M176" t="n">
        <v>0</v>
      </c>
      <c r="N176" t="n">
        <v>0</v>
      </c>
      <c r="O176" t="n">
        <v>0</v>
      </c>
      <c r="P176" t="n">
        <v>0</v>
      </c>
      <c r="Q176" t="n">
        <v>0</v>
      </c>
      <c r="R176" t="n">
        <v>0</v>
      </c>
      <c r="S176" t="n">
        <v>0</v>
      </c>
      <c r="T176" t="n">
        <v>0</v>
      </c>
      <c r="U176" s="2" t="inlineStr"/>
    </row>
    <row r="177" ht="15" customHeight="1">
      <c r="A177" t="inlineStr">
        <is>
          <t>A 61952-2021</t>
        </is>
      </c>
      <c r="B177" t="inlineStr">
        <is>
          <t>avverkningsanmälan</t>
        </is>
      </c>
      <c r="C177" t="inlineStr">
        <is>
          <t>Föryngringsavverkning</t>
        </is>
      </c>
      <c r="D177" s="1" t="n">
        <v>44502</v>
      </c>
      <c r="E177" s="1" t="n">
        <v>46222</v>
      </c>
      <c r="F177" t="inlineStr">
        <is>
          <t>UPPSALA LÄN</t>
        </is>
      </c>
      <c r="G177" t="inlineStr">
        <is>
          <t>ENKÖPING</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9469-2026</t>
        </is>
      </c>
      <c r="B178" t="inlineStr">
        <is>
          <t>avverkningsanmälan</t>
        </is>
      </c>
      <c r="C178" t="inlineStr">
        <is>
          <t>Föryngringsavverkning</t>
        </is>
      </c>
      <c r="D178" s="1" t="n">
        <v>46071</v>
      </c>
      <c r="E178" s="1" t="n">
        <v>46222</v>
      </c>
      <c r="F178" t="inlineStr">
        <is>
          <t>UPPSALA LÄN</t>
        </is>
      </c>
      <c r="G178" t="inlineStr">
        <is>
          <t>ENKÖPING</t>
        </is>
      </c>
      <c r="I178" t="n">
        <v>3</v>
      </c>
      <c r="J178" t="n">
        <v>0</v>
      </c>
      <c r="K178" t="n">
        <v>0</v>
      </c>
      <c r="L178" t="n">
        <v>0</v>
      </c>
      <c r="M178" t="n">
        <v>0</v>
      </c>
      <c r="N178" t="n">
        <v>0</v>
      </c>
      <c r="O178" t="n">
        <v>0</v>
      </c>
      <c r="P178" t="n">
        <v>0</v>
      </c>
      <c r="Q178" t="n">
        <v>0</v>
      </c>
      <c r="R178" t="n">
        <v>0</v>
      </c>
      <c r="S178" t="n">
        <v>0</v>
      </c>
      <c r="T178" t="n">
        <v>0</v>
      </c>
      <c r="U178" s="2" t="inlineStr"/>
    </row>
    <row r="179" ht="15" customHeight="1">
      <c r="A179" t="inlineStr">
        <is>
          <t>A 59602-2022</t>
        </is>
      </c>
      <c r="B179" t="inlineStr">
        <is>
          <t>avverkningsanmälan</t>
        </is>
      </c>
      <c r="C179" t="inlineStr">
        <is>
          <t>Föryngringsavverkning</t>
        </is>
      </c>
      <c r="D179" s="1" t="n">
        <v>44907</v>
      </c>
      <c r="E179" s="1" t="n">
        <v>46222</v>
      </c>
      <c r="F179" t="inlineStr">
        <is>
          <t>UPPSALA LÄN</t>
        </is>
      </c>
      <c r="G179" t="inlineStr">
        <is>
          <t>ENKÖPING</t>
        </is>
      </c>
      <c r="I179" t="n">
        <v>14.2</v>
      </c>
      <c r="J179" t="n">
        <v>0</v>
      </c>
      <c r="K179" t="n">
        <v>0</v>
      </c>
      <c r="L179" t="n">
        <v>0</v>
      </c>
      <c r="M179" t="n">
        <v>0</v>
      </c>
      <c r="N179" t="n">
        <v>0</v>
      </c>
      <c r="O179" t="n">
        <v>0</v>
      </c>
      <c r="P179" t="n">
        <v>0</v>
      </c>
      <c r="Q179" t="n">
        <v>0</v>
      </c>
      <c r="R179" t="n">
        <v>0</v>
      </c>
      <c r="S179" t="n">
        <v>0</v>
      </c>
      <c r="T179" t="n">
        <v>0</v>
      </c>
      <c r="U179" s="2" t="inlineStr"/>
    </row>
    <row r="180" ht="15" customHeight="1">
      <c r="A180" t="inlineStr">
        <is>
          <t>A 42589-2022</t>
        </is>
      </c>
      <c r="B180" t="inlineStr">
        <is>
          <t>avverkningsanmälan</t>
        </is>
      </c>
      <c r="C180" t="inlineStr">
        <is>
          <t>Föryngringsavverkning</t>
        </is>
      </c>
      <c r="D180" s="1" t="n">
        <v>44831</v>
      </c>
      <c r="E180" s="1" t="n">
        <v>46222</v>
      </c>
      <c r="F180" t="inlineStr">
        <is>
          <t>UPPSALA LÄN</t>
        </is>
      </c>
      <c r="G180" t="inlineStr">
        <is>
          <t>ENKÖPING</t>
        </is>
      </c>
      <c r="I180" t="n">
        <v>20</v>
      </c>
      <c r="J180" t="n">
        <v>0</v>
      </c>
      <c r="K180" t="n">
        <v>0</v>
      </c>
      <c r="L180" t="n">
        <v>0</v>
      </c>
      <c r="M180" t="n">
        <v>0</v>
      </c>
      <c r="N180" t="n">
        <v>0</v>
      </c>
      <c r="O180" t="n">
        <v>0</v>
      </c>
      <c r="P180" t="n">
        <v>0</v>
      </c>
      <c r="Q180" t="n">
        <v>0</v>
      </c>
      <c r="R180" t="n">
        <v>0</v>
      </c>
      <c r="S180" t="n">
        <v>0</v>
      </c>
      <c r="T180" t="n">
        <v>0</v>
      </c>
      <c r="U180" s="2" t="inlineStr"/>
    </row>
    <row r="181" ht="15" customHeight="1">
      <c r="A181" t="inlineStr">
        <is>
          <t>A 54844-2025</t>
        </is>
      </c>
      <c r="B181" t="inlineStr">
        <is>
          <t>avverkningsanmälan</t>
        </is>
      </c>
      <c r="C181" t="inlineStr">
        <is>
          <t>Föryngringsavverkning</t>
        </is>
      </c>
      <c r="D181" s="1" t="n">
        <v>45966</v>
      </c>
      <c r="E181" s="1" t="n">
        <v>46222</v>
      </c>
      <c r="F181" t="inlineStr">
        <is>
          <t>UPPSALA LÄN</t>
        </is>
      </c>
      <c r="G181" t="inlineStr">
        <is>
          <t>ENKÖPING</t>
        </is>
      </c>
      <c r="I181" t="n">
        <v>5.5</v>
      </c>
      <c r="J181" t="n">
        <v>0</v>
      </c>
      <c r="K181" t="n">
        <v>0</v>
      </c>
      <c r="L181" t="n">
        <v>0</v>
      </c>
      <c r="M181" t="n">
        <v>0</v>
      </c>
      <c r="N181" t="n">
        <v>0</v>
      </c>
      <c r="O181" t="n">
        <v>0</v>
      </c>
      <c r="P181" t="n">
        <v>0</v>
      </c>
      <c r="Q181" t="n">
        <v>0</v>
      </c>
      <c r="R181" t="n">
        <v>0</v>
      </c>
      <c r="S181" t="n">
        <v>0</v>
      </c>
      <c r="T181" t="n">
        <v>0</v>
      </c>
      <c r="U181" s="2" t="inlineStr"/>
    </row>
    <row r="182" ht="15" customHeight="1">
      <c r="A182" t="inlineStr">
        <is>
          <t>A 9487-2025</t>
        </is>
      </c>
      <c r="B182" t="inlineStr">
        <is>
          <t>avverkningsanmälan</t>
        </is>
      </c>
      <c r="C182" t="inlineStr">
        <is>
          <t>Föryngringsavverkning</t>
        </is>
      </c>
      <c r="D182" s="1" t="n">
        <v>45715</v>
      </c>
      <c r="E182" s="1" t="n">
        <v>46222</v>
      </c>
      <c r="F182" t="inlineStr">
        <is>
          <t>UPPSALA LÄN</t>
        </is>
      </c>
      <c r="G182" t="inlineStr">
        <is>
          <t>ENKÖPING</t>
        </is>
      </c>
      <c r="I182" t="n">
        <v>0.8</v>
      </c>
      <c r="J182" t="n">
        <v>0</v>
      </c>
      <c r="K182" t="n">
        <v>0</v>
      </c>
      <c r="L182" t="n">
        <v>0</v>
      </c>
      <c r="M182" t="n">
        <v>0</v>
      </c>
      <c r="N182" t="n">
        <v>0</v>
      </c>
      <c r="O182" t="n">
        <v>0</v>
      </c>
      <c r="P182" t="n">
        <v>0</v>
      </c>
      <c r="Q182" t="n">
        <v>0</v>
      </c>
      <c r="R182" t="n">
        <v>0</v>
      </c>
      <c r="S182" t="n">
        <v>0</v>
      </c>
      <c r="T182" t="n">
        <v>0</v>
      </c>
      <c r="U182" s="2" t="inlineStr"/>
    </row>
    <row r="183" ht="15" customHeight="1">
      <c r="A183" t="inlineStr">
        <is>
          <t>A 37035-2023</t>
        </is>
      </c>
      <c r="B183" t="inlineStr">
        <is>
          <t>avverkningsanmälan</t>
        </is>
      </c>
      <c r="C183" t="inlineStr">
        <is>
          <t>Föryngringsavverkning</t>
        </is>
      </c>
      <c r="D183" s="1" t="n">
        <v>45155</v>
      </c>
      <c r="E183" s="1" t="n">
        <v>46222</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s="2" t="inlineStr"/>
    </row>
    <row r="184" ht="15" customHeight="1">
      <c r="A184" t="inlineStr">
        <is>
          <t>A 46186-2023</t>
        </is>
      </c>
      <c r="B184" t="inlineStr">
        <is>
          <t>avverkningsanmälan</t>
        </is>
      </c>
      <c r="C184" t="inlineStr">
        <is>
          <t>Föryngringsavverkning</t>
        </is>
      </c>
      <c r="D184" s="1" t="n">
        <v>45196</v>
      </c>
      <c r="E184" s="1" t="n">
        <v>46222</v>
      </c>
      <c r="F184" t="inlineStr">
        <is>
          <t>UPPSALA LÄN</t>
        </is>
      </c>
      <c r="G184" t="inlineStr">
        <is>
          <t>ENKÖPING</t>
        </is>
      </c>
      <c r="I184" t="n">
        <v>0.8</v>
      </c>
      <c r="J184" t="n">
        <v>0</v>
      </c>
      <c r="K184" t="n">
        <v>0</v>
      </c>
      <c r="L184" t="n">
        <v>0</v>
      </c>
      <c r="M184" t="n">
        <v>0</v>
      </c>
      <c r="N184" t="n">
        <v>0</v>
      </c>
      <c r="O184" t="n">
        <v>0</v>
      </c>
      <c r="P184" t="n">
        <v>0</v>
      </c>
      <c r="Q184" t="n">
        <v>0</v>
      </c>
      <c r="R184" t="n">
        <v>0</v>
      </c>
      <c r="S184" t="n">
        <v>0</v>
      </c>
      <c r="T184" t="n">
        <v>0</v>
      </c>
      <c r="U184" s="2" t="inlineStr"/>
    </row>
    <row r="185" ht="15" customHeight="1">
      <c r="A185" t="inlineStr">
        <is>
          <t>A 15162-2025</t>
        </is>
      </c>
      <c r="B185" t="inlineStr">
        <is>
          <t>avverkningsanmälan</t>
        </is>
      </c>
      <c r="C185" t="inlineStr">
        <is>
          <t>Föryngringsavverkning</t>
        </is>
      </c>
      <c r="D185" s="1" t="n">
        <v>45744</v>
      </c>
      <c r="E185" s="1" t="n">
        <v>46222</v>
      </c>
      <c r="F185" t="inlineStr">
        <is>
          <t>UPPSALA LÄN</t>
        </is>
      </c>
      <c r="G185" t="inlineStr">
        <is>
          <t>ENKÖPING</t>
        </is>
      </c>
      <c r="I185" t="n">
        <v>4.2</v>
      </c>
      <c r="J185" t="n">
        <v>0</v>
      </c>
      <c r="K185" t="n">
        <v>0</v>
      </c>
      <c r="L185" t="n">
        <v>0</v>
      </c>
      <c r="M185" t="n">
        <v>0</v>
      </c>
      <c r="N185" t="n">
        <v>0</v>
      </c>
      <c r="O185" t="n">
        <v>0</v>
      </c>
      <c r="P185" t="n">
        <v>0</v>
      </c>
      <c r="Q185" t="n">
        <v>0</v>
      </c>
      <c r="R185" t="n">
        <v>0</v>
      </c>
      <c r="S185" t="n">
        <v>0</v>
      </c>
      <c r="T185" t="n">
        <v>0</v>
      </c>
      <c r="U185" s="2" t="inlineStr"/>
    </row>
    <row r="186" ht="15" customHeight="1">
      <c r="A186" t="inlineStr">
        <is>
          <t>A 18299-2025</t>
        </is>
      </c>
      <c r="B186" t="inlineStr">
        <is>
          <t>avverkningsanmälan</t>
        </is>
      </c>
      <c r="C186" t="inlineStr">
        <is>
          <t>Föryngringsavverkning</t>
        </is>
      </c>
      <c r="D186" s="1" t="n">
        <v>45762</v>
      </c>
      <c r="E186" s="1" t="n">
        <v>46222</v>
      </c>
      <c r="F186" t="inlineStr">
        <is>
          <t>UPPSALA LÄN</t>
        </is>
      </c>
      <c r="G186" t="inlineStr">
        <is>
          <t>ENKÖPING</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6144-2024</t>
        </is>
      </c>
      <c r="B187" t="inlineStr">
        <is>
          <t>avverkningsanmälan</t>
        </is>
      </c>
      <c r="C187" t="inlineStr">
        <is>
          <t>Föryngringsavverkning</t>
        </is>
      </c>
      <c r="D187" s="1" t="n">
        <v>45337</v>
      </c>
      <c r="E187" s="1" t="n">
        <v>46222</v>
      </c>
      <c r="F187" t="inlineStr">
        <is>
          <t>UPPSALA LÄN</t>
        </is>
      </c>
      <c r="G187" t="inlineStr">
        <is>
          <t>ENKÖPING</t>
        </is>
      </c>
      <c r="I187" t="n">
        <v>13.8</v>
      </c>
      <c r="J187" t="n">
        <v>0</v>
      </c>
      <c r="K187" t="n">
        <v>0</v>
      </c>
      <c r="L187" t="n">
        <v>0</v>
      </c>
      <c r="M187" t="n">
        <v>0</v>
      </c>
      <c r="N187" t="n">
        <v>0</v>
      </c>
      <c r="O187" t="n">
        <v>0</v>
      </c>
      <c r="P187" t="n">
        <v>0</v>
      </c>
      <c r="Q187" t="n">
        <v>0</v>
      </c>
      <c r="R187" t="n">
        <v>0</v>
      </c>
      <c r="S187" t="n">
        <v>0</v>
      </c>
      <c r="T187" t="n">
        <v>0</v>
      </c>
      <c r="U187" s="2" t="inlineStr"/>
    </row>
    <row r="188" ht="15" customHeight="1">
      <c r="A188" t="inlineStr">
        <is>
          <t>A 67984-2021</t>
        </is>
      </c>
      <c r="B188" t="inlineStr">
        <is>
          <t>avverkningsanmälan</t>
        </is>
      </c>
      <c r="C188" t="inlineStr">
        <is>
          <t>Föryngringsavverkning</t>
        </is>
      </c>
      <c r="D188" s="1" t="n">
        <v>44525</v>
      </c>
      <c r="E188" s="1" t="n">
        <v>46222</v>
      </c>
      <c r="F188" t="inlineStr">
        <is>
          <t>UPPSALA LÄN</t>
        </is>
      </c>
      <c r="G188" t="inlineStr">
        <is>
          <t>ENKÖPING</t>
        </is>
      </c>
      <c r="I188" t="n">
        <v>1.4</v>
      </c>
      <c r="J188" t="n">
        <v>0</v>
      </c>
      <c r="K188" t="n">
        <v>0</v>
      </c>
      <c r="L188" t="n">
        <v>0</v>
      </c>
      <c r="M188" t="n">
        <v>0</v>
      </c>
      <c r="N188" t="n">
        <v>0</v>
      </c>
      <c r="O188" t="n">
        <v>0</v>
      </c>
      <c r="P188" t="n">
        <v>0</v>
      </c>
      <c r="Q188" t="n">
        <v>0</v>
      </c>
      <c r="R188" t="n">
        <v>0</v>
      </c>
      <c r="S188" t="n">
        <v>0</v>
      </c>
      <c r="T188" t="n">
        <v>0</v>
      </c>
      <c r="U188" s="2" t="inlineStr"/>
    </row>
    <row r="189" ht="15" customHeight="1">
      <c r="A189" t="inlineStr">
        <is>
          <t>A 57294-2025</t>
        </is>
      </c>
      <c r="B189" t="inlineStr">
        <is>
          <t>avverkningsanmälan</t>
        </is>
      </c>
      <c r="C189" t="inlineStr">
        <is>
          <t>Föryngringsavverkning</t>
        </is>
      </c>
      <c r="D189" s="1" t="n">
        <v>45979</v>
      </c>
      <c r="E189" s="1" t="n">
        <v>46222</v>
      </c>
      <c r="F189" t="inlineStr">
        <is>
          <t>UPPSALA LÄN</t>
        </is>
      </c>
      <c r="G189" t="inlineStr">
        <is>
          <t>ENKÖPING</t>
        </is>
      </c>
      <c r="I189" t="n">
        <v>6.2</v>
      </c>
      <c r="J189" t="n">
        <v>0</v>
      </c>
      <c r="K189" t="n">
        <v>0</v>
      </c>
      <c r="L189" t="n">
        <v>0</v>
      </c>
      <c r="M189" t="n">
        <v>0</v>
      </c>
      <c r="N189" t="n">
        <v>0</v>
      </c>
      <c r="O189" t="n">
        <v>0</v>
      </c>
      <c r="P189" t="n">
        <v>0</v>
      </c>
      <c r="Q189" t="n">
        <v>0</v>
      </c>
      <c r="R189" t="n">
        <v>0</v>
      </c>
      <c r="S189" t="n">
        <v>0</v>
      </c>
      <c r="T189" t="n">
        <v>0</v>
      </c>
      <c r="U189" s="2" t="inlineStr"/>
    </row>
    <row r="190" ht="15" customHeight="1">
      <c r="A190" t="inlineStr">
        <is>
          <t>A 43896-2022</t>
        </is>
      </c>
      <c r="B190" t="inlineStr">
        <is>
          <t>avverkningsanmälan</t>
        </is>
      </c>
      <c r="C190" t="inlineStr">
        <is>
          <t>Föryngringsavverkning</t>
        </is>
      </c>
      <c r="D190" s="1" t="n">
        <v>44838</v>
      </c>
      <c r="E190" s="1" t="n">
        <v>46222</v>
      </c>
      <c r="F190" t="inlineStr">
        <is>
          <t>UPPSALA LÄN</t>
        </is>
      </c>
      <c r="G190" t="inlineStr">
        <is>
          <t>ENKÖPING</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57188-2025</t>
        </is>
      </c>
      <c r="B191" t="inlineStr">
        <is>
          <t>avverkningsanmälan</t>
        </is>
      </c>
      <c r="C191" t="inlineStr">
        <is>
          <t>Föryngringsavverkning</t>
        </is>
      </c>
      <c r="D191" s="1" t="n">
        <v>45979</v>
      </c>
      <c r="E191" s="1" t="n">
        <v>46222</v>
      </c>
      <c r="F191" t="inlineStr">
        <is>
          <t>UPPSALA LÄN</t>
        </is>
      </c>
      <c r="G191" t="inlineStr">
        <is>
          <t>ENKÖPING</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41737-2022</t>
        </is>
      </c>
      <c r="B192" t="inlineStr">
        <is>
          <t>avverkningsanmälan</t>
        </is>
      </c>
      <c r="C192" t="inlineStr">
        <is>
          <t>Föryngringsavverkning</t>
        </is>
      </c>
      <c r="D192" s="1" t="n">
        <v>44827</v>
      </c>
      <c r="E192" s="1" t="n">
        <v>46222</v>
      </c>
      <c r="F192" t="inlineStr">
        <is>
          <t>UPPSALA LÄN</t>
        </is>
      </c>
      <c r="G192" t="inlineStr">
        <is>
          <t>ENKÖPING</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12411-2026</t>
        </is>
      </c>
      <c r="B193" t="inlineStr">
        <is>
          <t>avverkningsanmälan</t>
        </is>
      </c>
      <c r="C193" t="inlineStr">
        <is>
          <t>Avverkning för att bevara och utveckla /försöksver</t>
        </is>
      </c>
      <c r="D193" s="1" t="n">
        <v>46090</v>
      </c>
      <c r="E193" s="1" t="n">
        <v>46222</v>
      </c>
      <c r="F193" t="inlineStr">
        <is>
          <t>UPPSALA LÄN</t>
        </is>
      </c>
      <c r="G193" t="inlineStr">
        <is>
          <t>ENKÖPING</t>
        </is>
      </c>
      <c r="I193" t="n">
        <v>1.4</v>
      </c>
      <c r="J193" t="n">
        <v>0</v>
      </c>
      <c r="K193" t="n">
        <v>0</v>
      </c>
      <c r="L193" t="n">
        <v>0</v>
      </c>
      <c r="M193" t="n">
        <v>0</v>
      </c>
      <c r="N193" t="n">
        <v>0</v>
      </c>
      <c r="O193" t="n">
        <v>0</v>
      </c>
      <c r="P193" t="n">
        <v>0</v>
      </c>
      <c r="Q193" t="n">
        <v>0</v>
      </c>
      <c r="R193" t="n">
        <v>0</v>
      </c>
      <c r="S193" t="n">
        <v>0</v>
      </c>
      <c r="T193" t="n">
        <v>0</v>
      </c>
      <c r="U193" s="2" t="inlineStr"/>
    </row>
    <row r="194" ht="15" customHeight="1">
      <c r="A194" t="inlineStr">
        <is>
          <t>A 54595-2021</t>
        </is>
      </c>
      <c r="B194" t="inlineStr">
        <is>
          <t>avverkningsanmälan</t>
        </is>
      </c>
      <c r="C194" t="inlineStr">
        <is>
          <t>Föryngringsavverkning</t>
        </is>
      </c>
      <c r="D194" s="1" t="n">
        <v>44473</v>
      </c>
      <c r="E194" s="1" t="n">
        <v>46222</v>
      </c>
      <c r="F194" t="inlineStr">
        <is>
          <t>UPPSALA LÄN</t>
        </is>
      </c>
      <c r="G194" t="inlineStr">
        <is>
          <t>ENKÖPING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22094-2023</t>
        </is>
      </c>
      <c r="B195" t="inlineStr">
        <is>
          <t>avverkningsanmälan</t>
        </is>
      </c>
      <c r="C195" t="inlineStr">
        <is>
          <t>Avverkning för annat ändamål</t>
        </is>
      </c>
      <c r="D195" s="1" t="n">
        <v>45069</v>
      </c>
      <c r="E195" s="1" t="n">
        <v>46222</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s="2" t="inlineStr"/>
    </row>
    <row r="196" ht="15" customHeight="1">
      <c r="A196" t="inlineStr">
        <is>
          <t>A 59964-2025</t>
        </is>
      </c>
      <c r="B196" t="inlineStr">
        <is>
          <t>avverkningsanmälan</t>
        </is>
      </c>
      <c r="C196" t="inlineStr">
        <is>
          <t>Föryngringsavverkning</t>
        </is>
      </c>
      <c r="D196" s="1" t="n">
        <v>45993</v>
      </c>
      <c r="E196" s="1" t="n">
        <v>46222</v>
      </c>
      <c r="F196" t="inlineStr">
        <is>
          <t>UPPSALA LÄN</t>
        </is>
      </c>
      <c r="G196" t="inlineStr">
        <is>
          <t>ENKÖPING</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60175-2025</t>
        </is>
      </c>
      <c r="B197" t="inlineStr">
        <is>
          <t>avverkningsanmälan</t>
        </is>
      </c>
      <c r="C197" t="inlineStr">
        <is>
          <t>Föryngringsavverkning</t>
        </is>
      </c>
      <c r="D197" s="1" t="n">
        <v>45994</v>
      </c>
      <c r="E197" s="1" t="n">
        <v>46222</v>
      </c>
      <c r="F197" t="inlineStr">
        <is>
          <t>UPPSALA LÄN</t>
        </is>
      </c>
      <c r="G197" t="inlineStr">
        <is>
          <t>ENKÖPING</t>
        </is>
      </c>
      <c r="I197" t="n">
        <v>2.4</v>
      </c>
      <c r="J197" t="n">
        <v>0</v>
      </c>
      <c r="K197" t="n">
        <v>0</v>
      </c>
      <c r="L197" t="n">
        <v>0</v>
      </c>
      <c r="M197" t="n">
        <v>0</v>
      </c>
      <c r="N197" t="n">
        <v>0</v>
      </c>
      <c r="O197" t="n">
        <v>0</v>
      </c>
      <c r="P197" t="n">
        <v>0</v>
      </c>
      <c r="Q197" t="n">
        <v>0</v>
      </c>
      <c r="R197" t="n">
        <v>0</v>
      </c>
      <c r="S197" t="n">
        <v>0</v>
      </c>
      <c r="T197" t="n">
        <v>0</v>
      </c>
      <c r="U197" s="2" t="inlineStr"/>
    </row>
    <row r="198" ht="15" customHeight="1">
      <c r="A198" t="inlineStr">
        <is>
          <t>A 5953-2026</t>
        </is>
      </c>
      <c r="B198" t="inlineStr">
        <is>
          <t>avverkningsanmälan</t>
        </is>
      </c>
      <c r="C198" t="inlineStr">
        <is>
          <t>Föryngringsavverkning</t>
        </is>
      </c>
      <c r="D198" s="1" t="n">
        <v>46052</v>
      </c>
      <c r="E198" s="1" t="n">
        <v>46222</v>
      </c>
      <c r="F198" t="inlineStr">
        <is>
          <t>UPPSALA LÄN</t>
        </is>
      </c>
      <c r="G198" t="inlineStr">
        <is>
          <t>ENKÖPING</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12996-2026</t>
        </is>
      </c>
      <c r="B199" t="inlineStr">
        <is>
          <t>avverkningsanmälan</t>
        </is>
      </c>
      <c r="C199" t="inlineStr">
        <is>
          <t>Föryngringsavverkning</t>
        </is>
      </c>
      <c r="D199" s="1" t="n">
        <v>46092</v>
      </c>
      <c r="E199" s="1" t="n">
        <v>46222</v>
      </c>
      <c r="F199" t="inlineStr">
        <is>
          <t>UPPSALA LÄN</t>
        </is>
      </c>
      <c r="G199" t="inlineStr">
        <is>
          <t>ENKÖPING</t>
        </is>
      </c>
      <c r="I199" t="n">
        <v>2</v>
      </c>
      <c r="J199" t="n">
        <v>0</v>
      </c>
      <c r="K199" t="n">
        <v>0</v>
      </c>
      <c r="L199" t="n">
        <v>0</v>
      </c>
      <c r="M199" t="n">
        <v>0</v>
      </c>
      <c r="N199" t="n">
        <v>0</v>
      </c>
      <c r="O199" t="n">
        <v>0</v>
      </c>
      <c r="P199" t="n">
        <v>0</v>
      </c>
      <c r="Q199" t="n">
        <v>0</v>
      </c>
      <c r="R199" t="n">
        <v>0</v>
      </c>
      <c r="S199" t="n">
        <v>0</v>
      </c>
      <c r="T199" t="n">
        <v>0</v>
      </c>
      <c r="U199" s="2" t="inlineStr"/>
    </row>
    <row r="200" ht="15" customHeight="1">
      <c r="A200" t="inlineStr">
        <is>
          <t>A 13590-2026</t>
        </is>
      </c>
      <c r="B200" t="inlineStr">
        <is>
          <t>avverkningsanmälan</t>
        </is>
      </c>
      <c r="C200" t="inlineStr">
        <is>
          <t>Avverkning för annat ändamål</t>
        </is>
      </c>
      <c r="D200" s="1" t="n">
        <v>46096</v>
      </c>
      <c r="E200" s="1" t="n">
        <v>46222</v>
      </c>
      <c r="F200" t="inlineStr">
        <is>
          <t>UPPSALA LÄN</t>
        </is>
      </c>
      <c r="G200" t="inlineStr">
        <is>
          <t>ENKÖPING</t>
        </is>
      </c>
      <c r="I200" t="n">
        <v>2.3</v>
      </c>
      <c r="J200" t="n">
        <v>0</v>
      </c>
      <c r="K200" t="n">
        <v>0</v>
      </c>
      <c r="L200" t="n">
        <v>0</v>
      </c>
      <c r="M200" t="n">
        <v>0</v>
      </c>
      <c r="N200" t="n">
        <v>0</v>
      </c>
      <c r="O200" t="n">
        <v>0</v>
      </c>
      <c r="P200" t="n">
        <v>0</v>
      </c>
      <c r="Q200" t="n">
        <v>0</v>
      </c>
      <c r="R200" t="n">
        <v>0</v>
      </c>
      <c r="S200" t="n">
        <v>0</v>
      </c>
      <c r="T200" t="n">
        <v>0</v>
      </c>
      <c r="U200" s="2" t="inlineStr"/>
    </row>
    <row r="201" ht="15" customHeight="1">
      <c r="A201" t="inlineStr">
        <is>
          <t>A 60340-2025</t>
        </is>
      </c>
      <c r="B201" t="inlineStr">
        <is>
          <t>avverkningsanmälan</t>
        </is>
      </c>
      <c r="C201" t="inlineStr">
        <is>
          <t>Föryngringsavverkning</t>
        </is>
      </c>
      <c r="D201" s="1" t="n">
        <v>45994</v>
      </c>
      <c r="E201" s="1" t="n">
        <v>46222</v>
      </c>
      <c r="F201" t="inlineStr">
        <is>
          <t>UPPSALA LÄN</t>
        </is>
      </c>
      <c r="G201" t="inlineStr">
        <is>
          <t>ENKÖPING</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14178-2026</t>
        </is>
      </c>
      <c r="B202" t="inlineStr">
        <is>
          <t>avverkningsanmälan</t>
        </is>
      </c>
      <c r="C202" t="inlineStr">
        <is>
          <t>Föryngringsavverkning</t>
        </is>
      </c>
      <c r="D202" s="1" t="n">
        <v>46099</v>
      </c>
      <c r="E202" s="1" t="n">
        <v>46222</v>
      </c>
      <c r="F202" t="inlineStr">
        <is>
          <t>UPPSALA LÄN</t>
        </is>
      </c>
      <c r="G202" t="inlineStr">
        <is>
          <t>ENKÖPING</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24962-2023</t>
        </is>
      </c>
      <c r="B203" t="inlineStr">
        <is>
          <t>avverkningsanmälan</t>
        </is>
      </c>
      <c r="C203" t="inlineStr">
        <is>
          <t>Föryngringsavverkning</t>
        </is>
      </c>
      <c r="D203" s="1" t="n">
        <v>45085</v>
      </c>
      <c r="E203" s="1" t="n">
        <v>46222</v>
      </c>
      <c r="F203" t="inlineStr">
        <is>
          <t>UPPSALA LÄN</t>
        </is>
      </c>
      <c r="G203" t="inlineStr">
        <is>
          <t>ENKÖPING</t>
        </is>
      </c>
      <c r="I203" t="n">
        <v>2.8</v>
      </c>
      <c r="J203" t="n">
        <v>0</v>
      </c>
      <c r="K203" t="n">
        <v>0</v>
      </c>
      <c r="L203" t="n">
        <v>0</v>
      </c>
      <c r="M203" t="n">
        <v>0</v>
      </c>
      <c r="N203" t="n">
        <v>0</v>
      </c>
      <c r="O203" t="n">
        <v>0</v>
      </c>
      <c r="P203" t="n">
        <v>0</v>
      </c>
      <c r="Q203" t="n">
        <v>0</v>
      </c>
      <c r="R203" t="n">
        <v>0</v>
      </c>
      <c r="S203" t="n">
        <v>0</v>
      </c>
      <c r="T203" t="n">
        <v>0</v>
      </c>
      <c r="U203" s="2" t="inlineStr"/>
    </row>
    <row r="204" ht="15" customHeight="1">
      <c r="A204" t="inlineStr">
        <is>
          <t>A 60947-2025</t>
        </is>
      </c>
      <c r="B204" t="inlineStr">
        <is>
          <t>avverkningsanmälan</t>
        </is>
      </c>
      <c r="C204" t="inlineStr">
        <is>
          <t>Föryngringsavverkning</t>
        </is>
      </c>
      <c r="D204" s="1" t="n">
        <v>45999</v>
      </c>
      <c r="E204" s="1" t="n">
        <v>46222</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s="2" t="inlineStr"/>
    </row>
    <row r="205" ht="15" customHeight="1">
      <c r="A205" t="inlineStr">
        <is>
          <t>A 44131-2023</t>
        </is>
      </c>
      <c r="B205" t="inlineStr">
        <is>
          <t>avverkningsanmälan</t>
        </is>
      </c>
      <c r="C205" t="inlineStr">
        <is>
          <t>Föryngringsavverkning</t>
        </is>
      </c>
      <c r="D205" s="1" t="n">
        <v>45188</v>
      </c>
      <c r="E205" s="1" t="n">
        <v>46222</v>
      </c>
      <c r="F205" t="inlineStr">
        <is>
          <t>UPPSALA LÄN</t>
        </is>
      </c>
      <c r="G205" t="inlineStr">
        <is>
          <t>ENKÖPING</t>
        </is>
      </c>
      <c r="I205" t="n">
        <v>0.3</v>
      </c>
      <c r="J205" t="n">
        <v>0</v>
      </c>
      <c r="K205" t="n">
        <v>0</v>
      </c>
      <c r="L205" t="n">
        <v>0</v>
      </c>
      <c r="M205" t="n">
        <v>0</v>
      </c>
      <c r="N205" t="n">
        <v>0</v>
      </c>
      <c r="O205" t="n">
        <v>0</v>
      </c>
      <c r="P205" t="n">
        <v>0</v>
      </c>
      <c r="Q205" t="n">
        <v>0</v>
      </c>
      <c r="R205" t="n">
        <v>0</v>
      </c>
      <c r="S205" t="n">
        <v>0</v>
      </c>
      <c r="T205" t="n">
        <v>0</v>
      </c>
      <c r="U205" s="2" t="inlineStr"/>
    </row>
    <row r="206" ht="15" customHeight="1">
      <c r="A206" t="inlineStr">
        <is>
          <t>A 29482-2022</t>
        </is>
      </c>
      <c r="B206" t="inlineStr">
        <is>
          <t>avverkningsanmälan</t>
        </is>
      </c>
      <c r="C206" t="inlineStr">
        <is>
          <t>Föryngringsavverkning</t>
        </is>
      </c>
      <c r="D206" s="1" t="n">
        <v>44753</v>
      </c>
      <c r="E206" s="1" t="n">
        <v>46222</v>
      </c>
      <c r="F206" t="inlineStr">
        <is>
          <t>UPPSALA LÄN</t>
        </is>
      </c>
      <c r="G206" t="inlineStr">
        <is>
          <t>ENKÖPING</t>
        </is>
      </c>
      <c r="I206" t="n">
        <v>1</v>
      </c>
      <c r="J206" t="n">
        <v>0</v>
      </c>
      <c r="K206" t="n">
        <v>0</v>
      </c>
      <c r="L206" t="n">
        <v>0</v>
      </c>
      <c r="M206" t="n">
        <v>0</v>
      </c>
      <c r="N206" t="n">
        <v>0</v>
      </c>
      <c r="O206" t="n">
        <v>0</v>
      </c>
      <c r="P206" t="n">
        <v>0</v>
      </c>
      <c r="Q206" t="n">
        <v>0</v>
      </c>
      <c r="R206" t="n">
        <v>0</v>
      </c>
      <c r="S206" t="n">
        <v>0</v>
      </c>
      <c r="T206" t="n">
        <v>0</v>
      </c>
      <c r="U206" s="2" t="inlineStr"/>
    </row>
    <row r="207" ht="15" customHeight="1">
      <c r="A207" t="inlineStr">
        <is>
          <t>A 29483-2022</t>
        </is>
      </c>
      <c r="B207" t="inlineStr">
        <is>
          <t>avverkningsanmälan</t>
        </is>
      </c>
      <c r="C207" t="inlineStr">
        <is>
          <t>Föryngringsavverkning</t>
        </is>
      </c>
      <c r="D207" s="1" t="n">
        <v>44753</v>
      </c>
      <c r="E207" s="1" t="n">
        <v>46222</v>
      </c>
      <c r="F207" t="inlineStr">
        <is>
          <t>UPPSALA LÄN</t>
        </is>
      </c>
      <c r="G207" t="inlineStr">
        <is>
          <t>ENKÖPING</t>
        </is>
      </c>
      <c r="I207" t="n">
        <v>3.6</v>
      </c>
      <c r="J207" t="n">
        <v>0</v>
      </c>
      <c r="K207" t="n">
        <v>0</v>
      </c>
      <c r="L207" t="n">
        <v>0</v>
      </c>
      <c r="M207" t="n">
        <v>0</v>
      </c>
      <c r="N207" t="n">
        <v>0</v>
      </c>
      <c r="O207" t="n">
        <v>0</v>
      </c>
      <c r="P207" t="n">
        <v>0</v>
      </c>
      <c r="Q207" t="n">
        <v>0</v>
      </c>
      <c r="R207" t="n">
        <v>0</v>
      </c>
      <c r="S207" t="n">
        <v>0</v>
      </c>
      <c r="T207" t="n">
        <v>0</v>
      </c>
      <c r="U207" s="2" t="inlineStr"/>
    </row>
    <row r="208" ht="15" customHeight="1">
      <c r="A208" t="inlineStr">
        <is>
          <t>A 60934-2025</t>
        </is>
      </c>
      <c r="B208" t="inlineStr">
        <is>
          <t>avverkningsanmälan</t>
        </is>
      </c>
      <c r="C208" t="inlineStr">
        <is>
          <t>Föryngringsavverkning</t>
        </is>
      </c>
      <c r="D208" s="1" t="n">
        <v>45999</v>
      </c>
      <c r="E208" s="1" t="n">
        <v>46222</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s="2" t="inlineStr"/>
    </row>
    <row r="209" ht="15" customHeight="1">
      <c r="A209" t="inlineStr">
        <is>
          <t>A 14260-2026</t>
        </is>
      </c>
      <c r="B209" t="inlineStr">
        <is>
          <t>avverkningsanmälan</t>
        </is>
      </c>
      <c r="C209" t="inlineStr">
        <is>
          <t>Föryngringsavverkning</t>
        </is>
      </c>
      <c r="D209" s="1" t="n">
        <v>46099</v>
      </c>
      <c r="E209" s="1" t="n">
        <v>46222</v>
      </c>
      <c r="F209" t="inlineStr">
        <is>
          <t>UPPSALA LÄN</t>
        </is>
      </c>
      <c r="G209" t="inlineStr">
        <is>
          <t>ENKÖPING</t>
        </is>
      </c>
      <c r="I209" t="n">
        <v>1.3</v>
      </c>
      <c r="J209" t="n">
        <v>0</v>
      </c>
      <c r="K209" t="n">
        <v>0</v>
      </c>
      <c r="L209" t="n">
        <v>0</v>
      </c>
      <c r="M209" t="n">
        <v>0</v>
      </c>
      <c r="N209" t="n">
        <v>0</v>
      </c>
      <c r="O209" t="n">
        <v>0</v>
      </c>
      <c r="P209" t="n">
        <v>0</v>
      </c>
      <c r="Q209" t="n">
        <v>0</v>
      </c>
      <c r="R209" t="n">
        <v>0</v>
      </c>
      <c r="S209" t="n">
        <v>0</v>
      </c>
      <c r="T209" t="n">
        <v>0</v>
      </c>
      <c r="U209" s="2" t="inlineStr"/>
    </row>
    <row r="210" ht="15" customHeight="1">
      <c r="A210" t="inlineStr">
        <is>
          <t>A 14298-2026</t>
        </is>
      </c>
      <c r="B210" t="inlineStr">
        <is>
          <t>avverkningsanmälan</t>
        </is>
      </c>
      <c r="C210" t="inlineStr">
        <is>
          <t>Föryngringsavverkning</t>
        </is>
      </c>
      <c r="D210" s="1" t="n">
        <v>46099</v>
      </c>
      <c r="E210" s="1" t="n">
        <v>46222</v>
      </c>
      <c r="F210" t="inlineStr">
        <is>
          <t>UPPSALA LÄN</t>
        </is>
      </c>
      <c r="G210" t="inlineStr">
        <is>
          <t>ENKÖPING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14182-2026</t>
        </is>
      </c>
      <c r="B211" t="inlineStr">
        <is>
          <t>avverkningsanmälan</t>
        </is>
      </c>
      <c r="C211" t="inlineStr">
        <is>
          <t>Föryngringsavverkning</t>
        </is>
      </c>
      <c r="D211" s="1" t="n">
        <v>46099</v>
      </c>
      <c r="E211" s="1" t="n">
        <v>46222</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s="2" t="inlineStr"/>
    </row>
    <row r="212" ht="15" customHeight="1">
      <c r="A212" t="inlineStr">
        <is>
          <t>A 61437-2025</t>
        </is>
      </c>
      <c r="B212" t="inlineStr">
        <is>
          <t>avverkningsanmälan</t>
        </is>
      </c>
      <c r="C212" t="inlineStr">
        <is>
          <t>Föryngringsavverkning</t>
        </is>
      </c>
      <c r="D212" s="1" t="n">
        <v>46001</v>
      </c>
      <c r="E212" s="1" t="n">
        <v>46222</v>
      </c>
      <c r="F212" t="inlineStr">
        <is>
          <t>UPPSALA LÄN</t>
        </is>
      </c>
      <c r="G212" t="inlineStr">
        <is>
          <t>ENKÖPING</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14296-2026</t>
        </is>
      </c>
      <c r="B213" t="inlineStr">
        <is>
          <t>avverkningsanmälan</t>
        </is>
      </c>
      <c r="C213" t="inlineStr">
        <is>
          <t>Föryngringsavverkning</t>
        </is>
      </c>
      <c r="D213" s="1" t="n">
        <v>46099</v>
      </c>
      <c r="E213" s="1" t="n">
        <v>46222</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53496-2022</t>
        </is>
      </c>
      <c r="B214" t="inlineStr">
        <is>
          <t>avverkningsanmälan</t>
        </is>
      </c>
      <c r="C214" t="inlineStr">
        <is>
          <t>Föryngringsavverkning</t>
        </is>
      </c>
      <c r="D214" s="1" t="n">
        <v>44879</v>
      </c>
      <c r="E214" s="1" t="n">
        <v>46222</v>
      </c>
      <c r="F214" t="inlineStr">
        <is>
          <t>UPPSALA LÄN</t>
        </is>
      </c>
      <c r="G214" t="inlineStr">
        <is>
          <t>ENKÖPING</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7870-2024</t>
        </is>
      </c>
      <c r="B215" t="inlineStr">
        <is>
          <t>avverkningsanmälan</t>
        </is>
      </c>
      <c r="C215" t="inlineStr">
        <is>
          <t>Föryngringsavverkning</t>
        </is>
      </c>
      <c r="D215" s="1" t="n">
        <v>45350</v>
      </c>
      <c r="E215" s="1" t="n">
        <v>46222</v>
      </c>
      <c r="F215" t="inlineStr">
        <is>
          <t>UPPSALA LÄN</t>
        </is>
      </c>
      <c r="G215" t="inlineStr">
        <is>
          <t>ENKÖPING</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28243-2023</t>
        </is>
      </c>
      <c r="B216" t="inlineStr">
        <is>
          <t>avverkningsanmälan</t>
        </is>
      </c>
      <c r="C216" t="inlineStr">
        <is>
          <t>Föryngringsavverkning</t>
        </is>
      </c>
      <c r="D216" s="1" t="n">
        <v>45099</v>
      </c>
      <c r="E216" s="1" t="n">
        <v>46222</v>
      </c>
      <c r="F216" t="inlineStr">
        <is>
          <t>UPPSALA LÄN</t>
        </is>
      </c>
      <c r="G216" t="inlineStr">
        <is>
          <t>ENKÖPING</t>
        </is>
      </c>
      <c r="I216" t="n">
        <v>1.9</v>
      </c>
      <c r="J216" t="n">
        <v>0</v>
      </c>
      <c r="K216" t="n">
        <v>0</v>
      </c>
      <c r="L216" t="n">
        <v>0</v>
      </c>
      <c r="M216" t="n">
        <v>0</v>
      </c>
      <c r="N216" t="n">
        <v>0</v>
      </c>
      <c r="O216" t="n">
        <v>0</v>
      </c>
      <c r="P216" t="n">
        <v>0</v>
      </c>
      <c r="Q216" t="n">
        <v>0</v>
      </c>
      <c r="R216" t="n">
        <v>0</v>
      </c>
      <c r="S216" t="n">
        <v>0</v>
      </c>
      <c r="T216" t="n">
        <v>0</v>
      </c>
      <c r="U216" s="2" t="inlineStr"/>
    </row>
    <row r="217" ht="15" customHeight="1">
      <c r="A217" t="inlineStr">
        <is>
          <t>A 10829-2024</t>
        </is>
      </c>
      <c r="B217" t="inlineStr">
        <is>
          <t>avverkningsanmälan</t>
        </is>
      </c>
      <c r="C217" t="inlineStr">
        <is>
          <t>Föryngringsavverkning</t>
        </is>
      </c>
      <c r="D217" s="1" t="n">
        <v>45369</v>
      </c>
      <c r="E217" s="1" t="n">
        <v>46222</v>
      </c>
      <c r="F217" t="inlineStr">
        <is>
          <t>UPPSALA LÄN</t>
        </is>
      </c>
      <c r="G217" t="inlineStr">
        <is>
          <t>ENKÖPING</t>
        </is>
      </c>
      <c r="I217" t="n">
        <v>2.1</v>
      </c>
      <c r="J217" t="n">
        <v>0</v>
      </c>
      <c r="K217" t="n">
        <v>0</v>
      </c>
      <c r="L217" t="n">
        <v>0</v>
      </c>
      <c r="M217" t="n">
        <v>0</v>
      </c>
      <c r="N217" t="n">
        <v>0</v>
      </c>
      <c r="O217" t="n">
        <v>0</v>
      </c>
      <c r="P217" t="n">
        <v>0</v>
      </c>
      <c r="Q217" t="n">
        <v>0</v>
      </c>
      <c r="R217" t="n">
        <v>0</v>
      </c>
      <c r="S217" t="n">
        <v>0</v>
      </c>
      <c r="T217" t="n">
        <v>0</v>
      </c>
      <c r="U217" s="2" t="inlineStr"/>
    </row>
    <row r="218" ht="15" customHeight="1">
      <c r="A218" t="inlineStr">
        <is>
          <t>A 2161-2023</t>
        </is>
      </c>
      <c r="B218" t="inlineStr">
        <is>
          <t>avverkningsanmälan</t>
        </is>
      </c>
      <c r="C218" t="inlineStr">
        <is>
          <t>Föryngringsavverkning</t>
        </is>
      </c>
      <c r="D218" s="1" t="n">
        <v>44941</v>
      </c>
      <c r="E218" s="1" t="n">
        <v>46222</v>
      </c>
      <c r="F218" t="inlineStr">
        <is>
          <t>UPPSALA LÄN</t>
        </is>
      </c>
      <c r="G218" t="inlineStr">
        <is>
          <t>ENKÖPING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2165-2023</t>
        </is>
      </c>
      <c r="B219" t="inlineStr">
        <is>
          <t>avverkningsanmälan</t>
        </is>
      </c>
      <c r="C219" t="inlineStr">
        <is>
          <t>Föryngringsavverkning</t>
        </is>
      </c>
      <c r="D219" s="1" t="n">
        <v>44941</v>
      </c>
      <c r="E219" s="1" t="n">
        <v>46222</v>
      </c>
      <c r="F219" t="inlineStr">
        <is>
          <t>UPPSALA LÄN</t>
        </is>
      </c>
      <c r="G219" t="inlineStr">
        <is>
          <t>ENKÖPING</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61889-2025</t>
        </is>
      </c>
      <c r="B220" t="inlineStr">
        <is>
          <t>avverkningsanmälan</t>
        </is>
      </c>
      <c r="C220" t="inlineStr">
        <is>
          <t>Föryngringsavverkning</t>
        </is>
      </c>
      <c r="D220" s="1" t="n">
        <v>46003</v>
      </c>
      <c r="E220" s="1" t="n">
        <v>46222</v>
      </c>
      <c r="F220" t="inlineStr">
        <is>
          <t>UPPSALA LÄN</t>
        </is>
      </c>
      <c r="G220" t="inlineStr">
        <is>
          <t>ENKÖPING</t>
        </is>
      </c>
      <c r="I220" t="n">
        <v>2.3</v>
      </c>
      <c r="J220" t="n">
        <v>0</v>
      </c>
      <c r="K220" t="n">
        <v>0</v>
      </c>
      <c r="L220" t="n">
        <v>0</v>
      </c>
      <c r="M220" t="n">
        <v>0</v>
      </c>
      <c r="N220" t="n">
        <v>0</v>
      </c>
      <c r="O220" t="n">
        <v>0</v>
      </c>
      <c r="P220" t="n">
        <v>0</v>
      </c>
      <c r="Q220" t="n">
        <v>0</v>
      </c>
      <c r="R220" t="n">
        <v>0</v>
      </c>
      <c r="S220" t="n">
        <v>0</v>
      </c>
      <c r="T220" t="n">
        <v>0</v>
      </c>
      <c r="U220" s="2" t="inlineStr"/>
    </row>
    <row r="221" ht="15" customHeight="1">
      <c r="A221" t="inlineStr">
        <is>
          <t>A 62601-2025</t>
        </is>
      </c>
      <c r="B221" t="inlineStr">
        <is>
          <t>avverkningsanmälan</t>
        </is>
      </c>
      <c r="C221" t="inlineStr">
        <is>
          <t>Föryngringsavverkning</t>
        </is>
      </c>
      <c r="D221" s="1" t="n">
        <v>46007</v>
      </c>
      <c r="E221" s="1" t="n">
        <v>46222</v>
      </c>
      <c r="F221" t="inlineStr">
        <is>
          <t>UPPSALA LÄN</t>
        </is>
      </c>
      <c r="G221" t="inlineStr">
        <is>
          <t>ENKÖPING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62602-2025</t>
        </is>
      </c>
      <c r="B222" t="inlineStr">
        <is>
          <t>avverkningsanmälan</t>
        </is>
      </c>
      <c r="C222" t="inlineStr">
        <is>
          <t>Föryngringsavverkning</t>
        </is>
      </c>
      <c r="D222" s="1" t="n">
        <v>46007</v>
      </c>
      <c r="E222" s="1" t="n">
        <v>46222</v>
      </c>
      <c r="F222" t="inlineStr">
        <is>
          <t>UPPSALA LÄN</t>
        </is>
      </c>
      <c r="G222" t="inlineStr">
        <is>
          <t>ENKÖPING</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62600-2025</t>
        </is>
      </c>
      <c r="B223" t="inlineStr">
        <is>
          <t>avverkningsanmälan</t>
        </is>
      </c>
      <c r="C223" t="inlineStr">
        <is>
          <t>Föryngringsavverkning</t>
        </is>
      </c>
      <c r="D223" s="1" t="n">
        <v>46007</v>
      </c>
      <c r="E223" s="1" t="n">
        <v>46222</v>
      </c>
      <c r="F223" t="inlineStr">
        <is>
          <t>UPPSALA LÄN</t>
        </is>
      </c>
      <c r="G223" t="inlineStr">
        <is>
          <t>ENKÖPING</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63128-2025</t>
        </is>
      </c>
      <c r="B224" t="inlineStr">
        <is>
          <t>avverkningsanmälan</t>
        </is>
      </c>
      <c r="C224" t="inlineStr">
        <is>
          <t>Föryngringsavverkning</t>
        </is>
      </c>
      <c r="D224" s="1" t="n">
        <v>46009</v>
      </c>
      <c r="E224" s="1" t="n">
        <v>46222</v>
      </c>
      <c r="F224" t="inlineStr">
        <is>
          <t>UPPSALA LÄN</t>
        </is>
      </c>
      <c r="G224" t="inlineStr">
        <is>
          <t>ENKÖPING</t>
        </is>
      </c>
      <c r="I224" t="n">
        <v>0.9</v>
      </c>
      <c r="J224" t="n">
        <v>0</v>
      </c>
      <c r="K224" t="n">
        <v>0</v>
      </c>
      <c r="L224" t="n">
        <v>0</v>
      </c>
      <c r="M224" t="n">
        <v>0</v>
      </c>
      <c r="N224" t="n">
        <v>0</v>
      </c>
      <c r="O224" t="n">
        <v>0</v>
      </c>
      <c r="P224" t="n">
        <v>0</v>
      </c>
      <c r="Q224" t="n">
        <v>0</v>
      </c>
      <c r="R224" t="n">
        <v>0</v>
      </c>
      <c r="S224" t="n">
        <v>0</v>
      </c>
      <c r="T224" t="n">
        <v>0</v>
      </c>
      <c r="U224" s="2" t="inlineStr"/>
    </row>
    <row r="225" ht="15" customHeight="1">
      <c r="A225" t="inlineStr">
        <is>
          <t>A 15003-2026</t>
        </is>
      </c>
      <c r="B225" t="inlineStr">
        <is>
          <t>avverkningsanmälan</t>
        </is>
      </c>
      <c r="C225" t="inlineStr">
        <is>
          <t>Föryngringsavverkning</t>
        </is>
      </c>
      <c r="D225" s="1" t="n">
        <v>46104</v>
      </c>
      <c r="E225" s="1" t="n">
        <v>46222</v>
      </c>
      <c r="F225" t="inlineStr">
        <is>
          <t>UPPSALA LÄN</t>
        </is>
      </c>
      <c r="G225" t="inlineStr">
        <is>
          <t>ENKÖPING</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13853-2023</t>
        </is>
      </c>
      <c r="B226" t="inlineStr">
        <is>
          <t>avverkningsanmälan</t>
        </is>
      </c>
      <c r="C226" t="inlineStr">
        <is>
          <t>Föryngringsavverkning</t>
        </is>
      </c>
      <c r="D226" s="1" t="n">
        <v>45007</v>
      </c>
      <c r="E226" s="1" t="n">
        <v>46222</v>
      </c>
      <c r="F226" t="inlineStr">
        <is>
          <t>UPPSALA LÄN</t>
        </is>
      </c>
      <c r="G226" t="inlineStr">
        <is>
          <t>ENKÖPING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60848-2025</t>
        </is>
      </c>
      <c r="B227" t="inlineStr">
        <is>
          <t>avverkningsanmälan</t>
        </is>
      </c>
      <c r="C227" t="inlineStr">
        <is>
          <t>Föryngringsavverkning</t>
        </is>
      </c>
      <c r="D227" s="1" t="n">
        <v>45999</v>
      </c>
      <c r="E227" s="1" t="n">
        <v>46222</v>
      </c>
      <c r="F227" t="inlineStr">
        <is>
          <t>UPPSALA LÄN</t>
        </is>
      </c>
      <c r="G227" t="inlineStr">
        <is>
          <t>ENKÖPING</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63310-2021</t>
        </is>
      </c>
      <c r="B228" t="inlineStr">
        <is>
          <t>avverkningsanmälan</t>
        </is>
      </c>
      <c r="C228" t="inlineStr">
        <is>
          <t>Avverkning för annat ändamål</t>
        </is>
      </c>
      <c r="D228" s="1" t="n">
        <v>44508</v>
      </c>
      <c r="E228" s="1" t="n">
        <v>46222</v>
      </c>
      <c r="F228" t="inlineStr">
        <is>
          <t>UPPSALA LÄN</t>
        </is>
      </c>
      <c r="G228" t="inlineStr">
        <is>
          <t>ENKÖPING</t>
        </is>
      </c>
      <c r="I228" t="n">
        <v>3.5</v>
      </c>
      <c r="J228" t="n">
        <v>0</v>
      </c>
      <c r="K228" t="n">
        <v>0</v>
      </c>
      <c r="L228" t="n">
        <v>0</v>
      </c>
      <c r="M228" t="n">
        <v>0</v>
      </c>
      <c r="N228" t="n">
        <v>0</v>
      </c>
      <c r="O228" t="n">
        <v>0</v>
      </c>
      <c r="P228" t="n">
        <v>0</v>
      </c>
      <c r="Q228" t="n">
        <v>0</v>
      </c>
      <c r="R228" t="n">
        <v>0</v>
      </c>
      <c r="S228" t="n">
        <v>0</v>
      </c>
      <c r="T228" t="n">
        <v>0</v>
      </c>
      <c r="U228" s="2" t="inlineStr"/>
    </row>
    <row r="229" ht="15" customHeight="1">
      <c r="A229" t="inlineStr">
        <is>
          <t>A 61106-2022</t>
        </is>
      </c>
      <c r="B229" t="inlineStr">
        <is>
          <t>avverkningsanmälan</t>
        </is>
      </c>
      <c r="C229" t="inlineStr">
        <is>
          <t>Föryngringsavverkning</t>
        </is>
      </c>
      <c r="D229" s="1" t="n">
        <v>44915</v>
      </c>
      <c r="E229" s="1" t="n">
        <v>46222</v>
      </c>
      <c r="F229" t="inlineStr">
        <is>
          <t>UPPSALA LÄN</t>
        </is>
      </c>
      <c r="G229" t="inlineStr">
        <is>
          <t>ENKÖPING</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192-2026</t>
        </is>
      </c>
      <c r="B230" t="inlineStr">
        <is>
          <t>avverkningsanmälan</t>
        </is>
      </c>
      <c r="C230" t="inlineStr">
        <is>
          <t>Avverkning för annat ändamål</t>
        </is>
      </c>
      <c r="D230" s="1" t="n">
        <v>46025</v>
      </c>
      <c r="E230" s="1" t="n">
        <v>46222</v>
      </c>
      <c r="F230" t="inlineStr">
        <is>
          <t>UPPSALA LÄN</t>
        </is>
      </c>
      <c r="G230" t="inlineStr">
        <is>
          <t>ENKÖPING</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9171-2024</t>
        </is>
      </c>
      <c r="B231" t="inlineStr">
        <is>
          <t>avverkningsanmälan</t>
        </is>
      </c>
      <c r="C231" t="inlineStr">
        <is>
          <t>Föryngringsavverkning</t>
        </is>
      </c>
      <c r="D231" s="1" t="n">
        <v>45358</v>
      </c>
      <c r="E231" s="1" t="n">
        <v>46222</v>
      </c>
      <c r="F231" t="inlineStr">
        <is>
          <t>UPPSALA LÄN</t>
        </is>
      </c>
      <c r="G231" t="inlineStr">
        <is>
          <t>ENKÖPING</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861-2026</t>
        </is>
      </c>
      <c r="B232" t="inlineStr">
        <is>
          <t>avverkningsanmälan</t>
        </is>
      </c>
      <c r="C232" t="inlineStr">
        <is>
          <t>Avverkning för annat ändamål</t>
        </is>
      </c>
      <c r="D232" s="1" t="n">
        <v>46030</v>
      </c>
      <c r="E232" s="1" t="n">
        <v>46222</v>
      </c>
      <c r="F232" t="inlineStr">
        <is>
          <t>UPPSALA LÄN</t>
        </is>
      </c>
      <c r="G232" t="inlineStr">
        <is>
          <t>ENKÖPING</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671-2022</t>
        </is>
      </c>
      <c r="B233" t="inlineStr">
        <is>
          <t>avverkningsanmälan</t>
        </is>
      </c>
      <c r="C233" t="inlineStr">
        <is>
          <t>Avverkning för annat ändamål</t>
        </is>
      </c>
      <c r="D233" s="1" t="n">
        <v>44568</v>
      </c>
      <c r="E233" s="1" t="n">
        <v>46222</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s="2" t="inlineStr"/>
    </row>
    <row r="234" ht="15" customHeight="1">
      <c r="A234" t="inlineStr">
        <is>
          <t>A 11005-2023</t>
        </is>
      </c>
      <c r="B234" t="inlineStr">
        <is>
          <t>avverkningsanmälan</t>
        </is>
      </c>
      <c r="C234" t="inlineStr">
        <is>
          <t>Föryngringsavverkning</t>
        </is>
      </c>
      <c r="D234" s="1" t="n">
        <v>44991</v>
      </c>
      <c r="E234" s="1" t="n">
        <v>46222</v>
      </c>
      <c r="F234" t="inlineStr">
        <is>
          <t>UPPSALA LÄN</t>
        </is>
      </c>
      <c r="G234" t="inlineStr">
        <is>
          <t>ENKÖPING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29918-2023</t>
        </is>
      </c>
      <c r="B235" t="inlineStr">
        <is>
          <t>avverkningsanmälan</t>
        </is>
      </c>
      <c r="C235" t="inlineStr">
        <is>
          <t>Föryngringsavverkning</t>
        </is>
      </c>
      <c r="D235" s="1" t="n">
        <v>45099</v>
      </c>
      <c r="E235" s="1" t="n">
        <v>46222</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58384-2022</t>
        </is>
      </c>
      <c r="B236" t="inlineStr">
        <is>
          <t>avverkningsanmälan</t>
        </is>
      </c>
      <c r="C236" t="inlineStr">
        <is>
          <t>Föryngringsavverkning</t>
        </is>
      </c>
      <c r="D236" s="1" t="n">
        <v>44901</v>
      </c>
      <c r="E236" s="1" t="n">
        <v>46222</v>
      </c>
      <c r="F236" t="inlineStr">
        <is>
          <t>UPPSALA LÄN</t>
        </is>
      </c>
      <c r="G236" t="inlineStr">
        <is>
          <t>ENKÖPING</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43016-2021</t>
        </is>
      </c>
      <c r="B237" t="inlineStr">
        <is>
          <t>avverkningsanmälan</t>
        </is>
      </c>
      <c r="C237" t="inlineStr">
        <is>
          <t>Föryngringsavverkning</t>
        </is>
      </c>
      <c r="D237" s="1" t="n">
        <v>44431</v>
      </c>
      <c r="E237" s="1" t="n">
        <v>46222</v>
      </c>
      <c r="F237" t="inlineStr">
        <is>
          <t>UPPSALA LÄN</t>
        </is>
      </c>
      <c r="G237" t="inlineStr">
        <is>
          <t>ENKÖPING</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15893-2024</t>
        </is>
      </c>
      <c r="B238" t="inlineStr">
        <is>
          <t>avverkningsanmälan</t>
        </is>
      </c>
      <c r="C238" t="inlineStr">
        <is>
          <t>Föryngringsavverkning</t>
        </is>
      </c>
      <c r="D238" s="1" t="n">
        <v>45405</v>
      </c>
      <c r="E238" s="1" t="n">
        <v>46222</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2218-2026</t>
        </is>
      </c>
      <c r="B239" t="inlineStr">
        <is>
          <t>avverkningsanmälan</t>
        </is>
      </c>
      <c r="C239" t="inlineStr">
        <is>
          <t>Föryngringsavverkning</t>
        </is>
      </c>
      <c r="D239" s="1" t="n">
        <v>46036</v>
      </c>
      <c r="E239" s="1" t="n">
        <v>46222</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15547-2026</t>
        </is>
      </c>
      <c r="B240" t="inlineStr">
        <is>
          <t>avverkningsanmälan</t>
        </is>
      </c>
      <c r="C240" t="inlineStr">
        <is>
          <t>Föryngringsavverkning</t>
        </is>
      </c>
      <c r="D240" s="1" t="n">
        <v>46106</v>
      </c>
      <c r="E240" s="1" t="n">
        <v>46222</v>
      </c>
      <c r="F240" t="inlineStr">
        <is>
          <t>UPPSALA LÄN</t>
        </is>
      </c>
      <c r="G240" t="inlineStr">
        <is>
          <t>ENKÖPING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57142-2021</t>
        </is>
      </c>
      <c r="B241" t="inlineStr">
        <is>
          <t>avverkningsanmälan</t>
        </is>
      </c>
      <c r="C241" t="inlineStr">
        <is>
          <t>Föryngringsavverkning</t>
        </is>
      </c>
      <c r="D241" s="1" t="n">
        <v>44482</v>
      </c>
      <c r="E241" s="1" t="n">
        <v>46222</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s="2" t="inlineStr"/>
    </row>
    <row r="242" ht="15" customHeight="1">
      <c r="A242" t="inlineStr">
        <is>
          <t>A 57153-2021</t>
        </is>
      </c>
      <c r="B242" t="inlineStr">
        <is>
          <t>avverkningsanmälan</t>
        </is>
      </c>
      <c r="C242" t="inlineStr">
        <is>
          <t>Föryngringsavverkning</t>
        </is>
      </c>
      <c r="D242" s="1" t="n">
        <v>44482</v>
      </c>
      <c r="E242" s="1" t="n">
        <v>46222</v>
      </c>
      <c r="F242" t="inlineStr">
        <is>
          <t>UPPSALA LÄN</t>
        </is>
      </c>
      <c r="G242" t="inlineStr">
        <is>
          <t>ENKÖPING</t>
        </is>
      </c>
      <c r="I242" t="n">
        <v>0.6</v>
      </c>
      <c r="J242" t="n">
        <v>0</v>
      </c>
      <c r="K242" t="n">
        <v>0</v>
      </c>
      <c r="L242" t="n">
        <v>0</v>
      </c>
      <c r="M242" t="n">
        <v>0</v>
      </c>
      <c r="N242" t="n">
        <v>0</v>
      </c>
      <c r="O242" t="n">
        <v>0</v>
      </c>
      <c r="P242" t="n">
        <v>0</v>
      </c>
      <c r="Q242" t="n">
        <v>0</v>
      </c>
      <c r="R242" t="n">
        <v>0</v>
      </c>
      <c r="S242" t="n">
        <v>0</v>
      </c>
      <c r="T242" t="n">
        <v>0</v>
      </c>
      <c r="U242" s="2" t="inlineStr"/>
    </row>
    <row r="243" ht="15" customHeight="1">
      <c r="A243" t="inlineStr">
        <is>
          <t>A 5188-2022</t>
        </is>
      </c>
      <c r="B243" t="inlineStr">
        <is>
          <t>avverkningsanmälan</t>
        </is>
      </c>
      <c r="C243" t="inlineStr">
        <is>
          <t>Föryngringsavverkning</t>
        </is>
      </c>
      <c r="D243" s="1" t="n">
        <v>44594</v>
      </c>
      <c r="E243" s="1" t="n">
        <v>46222</v>
      </c>
      <c r="F243" t="inlineStr">
        <is>
          <t>UPPSALA LÄN</t>
        </is>
      </c>
      <c r="G243" t="inlineStr">
        <is>
          <t>ENKÖPING</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19014-2025</t>
        </is>
      </c>
      <c r="B244" t="inlineStr">
        <is>
          <t>avverkningsanmälan</t>
        </is>
      </c>
      <c r="C244" t="inlineStr">
        <is>
          <t>Föryngringsavverkning</t>
        </is>
      </c>
      <c r="D244" s="1" t="n">
        <v>45764</v>
      </c>
      <c r="E244" s="1" t="n">
        <v>46222</v>
      </c>
      <c r="F244" t="inlineStr">
        <is>
          <t>UPPSALA LÄN</t>
        </is>
      </c>
      <c r="G244" t="inlineStr">
        <is>
          <t>ENKÖPING</t>
        </is>
      </c>
      <c r="I244" t="n">
        <v>0.2</v>
      </c>
      <c r="J244" t="n">
        <v>0</v>
      </c>
      <c r="K244" t="n">
        <v>0</v>
      </c>
      <c r="L244" t="n">
        <v>0</v>
      </c>
      <c r="M244" t="n">
        <v>0</v>
      </c>
      <c r="N244" t="n">
        <v>0</v>
      </c>
      <c r="O244" t="n">
        <v>0</v>
      </c>
      <c r="P244" t="n">
        <v>0</v>
      </c>
      <c r="Q244" t="n">
        <v>0</v>
      </c>
      <c r="R244" t="n">
        <v>0</v>
      </c>
      <c r="S244" t="n">
        <v>0</v>
      </c>
      <c r="T244" t="n">
        <v>0</v>
      </c>
      <c r="U244" s="2" t="inlineStr"/>
    </row>
    <row r="245" ht="15" customHeight="1">
      <c r="A245" t="inlineStr">
        <is>
          <t>A 19376-2024</t>
        </is>
      </c>
      <c r="B245" t="inlineStr">
        <is>
          <t>avverkningsanmälan</t>
        </is>
      </c>
      <c r="C245" t="inlineStr">
        <is>
          <t>Föryngringsavverkning</t>
        </is>
      </c>
      <c r="D245" s="1" t="n">
        <v>45429</v>
      </c>
      <c r="E245" s="1" t="n">
        <v>46222</v>
      </c>
      <c r="F245" t="inlineStr">
        <is>
          <t>UPPSALA LÄN</t>
        </is>
      </c>
      <c r="G245" t="inlineStr">
        <is>
          <t>ENKÖPING</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33670-2024</t>
        </is>
      </c>
      <c r="B246" t="inlineStr">
        <is>
          <t>avverkningsanmälan</t>
        </is>
      </c>
      <c r="C246" t="inlineStr">
        <is>
          <t>Föryngringsavverkning</t>
        </is>
      </c>
      <c r="D246" s="1" t="n">
        <v>45520</v>
      </c>
      <c r="E246" s="1" t="n">
        <v>46222</v>
      </c>
      <c r="F246" t="inlineStr">
        <is>
          <t>UPPSALA LÄN</t>
        </is>
      </c>
      <c r="G246" t="inlineStr">
        <is>
          <t>ENKÖPING</t>
        </is>
      </c>
      <c r="I246" t="n">
        <v>1.9</v>
      </c>
      <c r="J246" t="n">
        <v>0</v>
      </c>
      <c r="K246" t="n">
        <v>0</v>
      </c>
      <c r="L246" t="n">
        <v>0</v>
      </c>
      <c r="M246" t="n">
        <v>0</v>
      </c>
      <c r="N246" t="n">
        <v>0</v>
      </c>
      <c r="O246" t="n">
        <v>0</v>
      </c>
      <c r="P246" t="n">
        <v>0</v>
      </c>
      <c r="Q246" t="n">
        <v>0</v>
      </c>
      <c r="R246" t="n">
        <v>0</v>
      </c>
      <c r="S246" t="n">
        <v>0</v>
      </c>
      <c r="T246" t="n">
        <v>0</v>
      </c>
      <c r="U246" s="2" t="inlineStr"/>
    </row>
    <row r="247" ht="15" customHeight="1">
      <c r="A247" t="inlineStr">
        <is>
          <t>A 19147-2024</t>
        </is>
      </c>
      <c r="B247" t="inlineStr">
        <is>
          <t>avverkningsanmälan</t>
        </is>
      </c>
      <c r="C247" t="inlineStr">
        <is>
          <t>Föryngringsavverkning</t>
        </is>
      </c>
      <c r="D247" s="1" t="n">
        <v>45428</v>
      </c>
      <c r="E247" s="1" t="n">
        <v>46222</v>
      </c>
      <c r="F247" t="inlineStr">
        <is>
          <t>UPPSALA LÄN</t>
        </is>
      </c>
      <c r="G247" t="inlineStr">
        <is>
          <t>ENKÖPING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67982-2021</t>
        </is>
      </c>
      <c r="B248" t="inlineStr">
        <is>
          <t>avverkningsanmälan</t>
        </is>
      </c>
      <c r="C248" t="inlineStr">
        <is>
          <t>Föryngringsavverkning</t>
        </is>
      </c>
      <c r="D248" s="1" t="n">
        <v>44525</v>
      </c>
      <c r="E248" s="1" t="n">
        <v>46222</v>
      </c>
      <c r="F248" t="inlineStr">
        <is>
          <t>UPPSALA LÄN</t>
        </is>
      </c>
      <c r="G248" t="inlineStr">
        <is>
          <t>ENKÖPING</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17418-2026</t>
        </is>
      </c>
      <c r="B249" t="inlineStr">
        <is>
          <t>avverkningsanmälan</t>
        </is>
      </c>
      <c r="C249" t="inlineStr">
        <is>
          <t>Föryngringsavverkning</t>
        </is>
      </c>
      <c r="D249" s="1" t="n">
        <v>46120</v>
      </c>
      <c r="E249" s="1" t="n">
        <v>46222</v>
      </c>
      <c r="F249" t="inlineStr">
        <is>
          <t>UPPSALA LÄN</t>
        </is>
      </c>
      <c r="G249" t="inlineStr">
        <is>
          <t>ENKÖPING</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17419-2026</t>
        </is>
      </c>
      <c r="B250" t="inlineStr">
        <is>
          <t>avverkningsanmälan</t>
        </is>
      </c>
      <c r="C250" t="inlineStr">
        <is>
          <t>Föryngringsavverkning</t>
        </is>
      </c>
      <c r="D250" s="1" t="n">
        <v>46120</v>
      </c>
      <c r="E250" s="1" t="n">
        <v>46222</v>
      </c>
      <c r="F250" t="inlineStr">
        <is>
          <t>UPPSALA LÄN</t>
        </is>
      </c>
      <c r="G250" t="inlineStr">
        <is>
          <t>ENKÖPING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39624-2023</t>
        </is>
      </c>
      <c r="B251" t="inlineStr">
        <is>
          <t>avverkningsanmälan</t>
        </is>
      </c>
      <c r="C251" t="inlineStr">
        <is>
          <t>Föryngringsavverkning</t>
        </is>
      </c>
      <c r="D251" s="1" t="n">
        <v>45164</v>
      </c>
      <c r="E251" s="1" t="n">
        <v>46222</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s="2" t="inlineStr"/>
    </row>
    <row r="252" ht="15" customHeight="1">
      <c r="A252" t="inlineStr">
        <is>
          <t>A 5892-2023</t>
        </is>
      </c>
      <c r="B252" t="inlineStr">
        <is>
          <t>avverkningsanmälan</t>
        </is>
      </c>
      <c r="C252" t="inlineStr">
        <is>
          <t>Föryngringsavverkning</t>
        </is>
      </c>
      <c r="D252" s="1" t="n">
        <v>44963</v>
      </c>
      <c r="E252" s="1" t="n">
        <v>46222</v>
      </c>
      <c r="F252" t="inlineStr">
        <is>
          <t>UPPSALA LÄN</t>
        </is>
      </c>
      <c r="G252" t="inlineStr">
        <is>
          <t>ENKÖPING</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39858-2024</t>
        </is>
      </c>
      <c r="B253" t="inlineStr">
        <is>
          <t>avverkningsanmälan</t>
        </is>
      </c>
      <c r="C253" t="inlineStr">
        <is>
          <t>Avverkning för annat ändamål</t>
        </is>
      </c>
      <c r="D253" s="1" t="n">
        <v>45553</v>
      </c>
      <c r="E253" s="1" t="n">
        <v>46222</v>
      </c>
      <c r="F253" t="inlineStr">
        <is>
          <t>UPPSALA LÄN</t>
        </is>
      </c>
      <c r="G253" t="inlineStr">
        <is>
          <t>ENKÖPING</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18565-2026</t>
        </is>
      </c>
      <c r="B254" t="inlineStr">
        <is>
          <t>avverkningsanmälan</t>
        </is>
      </c>
      <c r="C254" t="inlineStr">
        <is>
          <t>Föryngringsavverkning</t>
        </is>
      </c>
      <c r="D254" s="1" t="n">
        <v>46127</v>
      </c>
      <c r="E254" s="1" t="n">
        <v>46222</v>
      </c>
      <c r="F254" t="inlineStr">
        <is>
          <t>UPPSALA LÄN</t>
        </is>
      </c>
      <c r="G254" t="inlineStr">
        <is>
          <t>ENKÖPING</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16967-2022</t>
        </is>
      </c>
      <c r="B255" t="inlineStr">
        <is>
          <t>avverkningsanmälan</t>
        </is>
      </c>
      <c r="C255" t="inlineStr">
        <is>
          <t>Föryngringsavverkning</t>
        </is>
      </c>
      <c r="D255" s="1" t="n">
        <v>44676</v>
      </c>
      <c r="E255" s="1" t="n">
        <v>46222</v>
      </c>
      <c r="F255" t="inlineStr">
        <is>
          <t>UPPSALA LÄN</t>
        </is>
      </c>
      <c r="G255" t="inlineStr">
        <is>
          <t>ENKÖPING</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40773-2022</t>
        </is>
      </c>
      <c r="B256" t="inlineStr">
        <is>
          <t>avverkningsanmälan</t>
        </is>
      </c>
      <c r="C256" t="inlineStr">
        <is>
          <t>Föryngringsavverkning</t>
        </is>
      </c>
      <c r="D256" s="1" t="n">
        <v>44824</v>
      </c>
      <c r="E256" s="1" t="n">
        <v>46222</v>
      </c>
      <c r="F256" t="inlineStr">
        <is>
          <t>UPPSALA LÄN</t>
        </is>
      </c>
      <c r="G256" t="inlineStr">
        <is>
          <t>ENKÖPING</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18562-2026</t>
        </is>
      </c>
      <c r="B257" t="inlineStr">
        <is>
          <t>avverkningsanmälan</t>
        </is>
      </c>
      <c r="C257" t="inlineStr">
        <is>
          <t>Föryngringsavverkning</t>
        </is>
      </c>
      <c r="D257" s="1" t="n">
        <v>46127</v>
      </c>
      <c r="E257" s="1" t="n">
        <v>46222</v>
      </c>
      <c r="F257" t="inlineStr">
        <is>
          <t>UPPSALA LÄN</t>
        </is>
      </c>
      <c r="G257" t="inlineStr">
        <is>
          <t>ENKÖPING</t>
        </is>
      </c>
      <c r="I257" t="n">
        <v>4</v>
      </c>
      <c r="J257" t="n">
        <v>0</v>
      </c>
      <c r="K257" t="n">
        <v>0</v>
      </c>
      <c r="L257" t="n">
        <v>0</v>
      </c>
      <c r="M257" t="n">
        <v>0</v>
      </c>
      <c r="N257" t="n">
        <v>0</v>
      </c>
      <c r="O257" t="n">
        <v>0</v>
      </c>
      <c r="P257" t="n">
        <v>0</v>
      </c>
      <c r="Q257" t="n">
        <v>0</v>
      </c>
      <c r="R257" t="n">
        <v>0</v>
      </c>
      <c r="S257" t="n">
        <v>0</v>
      </c>
      <c r="T257" t="n">
        <v>0</v>
      </c>
      <c r="U257" s="2" t="inlineStr"/>
    </row>
    <row r="258" ht="15" customHeight="1">
      <c r="A258" t="inlineStr">
        <is>
          <t>A 62599-2025</t>
        </is>
      </c>
      <c r="B258" t="inlineStr">
        <is>
          <t>avverkningsanmälan</t>
        </is>
      </c>
      <c r="C258" t="inlineStr">
        <is>
          <t>Föryngringsavverkning</t>
        </is>
      </c>
      <c r="D258" s="1" t="n">
        <v>46007</v>
      </c>
      <c r="E258" s="1" t="n">
        <v>46222</v>
      </c>
      <c r="F258" t="inlineStr">
        <is>
          <t>UPPSALA LÄN</t>
        </is>
      </c>
      <c r="G258" t="inlineStr">
        <is>
          <t>ENKÖPING</t>
        </is>
      </c>
      <c r="I258" t="n">
        <v>1.6</v>
      </c>
      <c r="J258" t="n">
        <v>0</v>
      </c>
      <c r="K258" t="n">
        <v>0</v>
      </c>
      <c r="L258" t="n">
        <v>0</v>
      </c>
      <c r="M258" t="n">
        <v>0</v>
      </c>
      <c r="N258" t="n">
        <v>0</v>
      </c>
      <c r="O258" t="n">
        <v>0</v>
      </c>
      <c r="P258" t="n">
        <v>0</v>
      </c>
      <c r="Q258" t="n">
        <v>0</v>
      </c>
      <c r="R258" t="n">
        <v>0</v>
      </c>
      <c r="S258" t="n">
        <v>0</v>
      </c>
      <c r="T258" t="n">
        <v>0</v>
      </c>
      <c r="U258" s="2" t="inlineStr"/>
    </row>
    <row r="259" ht="15" customHeight="1">
      <c r="A259" t="inlineStr">
        <is>
          <t>A 9957-2023</t>
        </is>
      </c>
      <c r="B259" t="inlineStr">
        <is>
          <t>avverkningsanmälan</t>
        </is>
      </c>
      <c r="C259" t="inlineStr">
        <is>
          <t>Föryngringsavverkning</t>
        </is>
      </c>
      <c r="D259" s="1" t="n">
        <v>44978</v>
      </c>
      <c r="E259" s="1" t="n">
        <v>46222</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s="2" t="inlineStr"/>
    </row>
    <row r="260" ht="15" customHeight="1">
      <c r="A260" t="inlineStr">
        <is>
          <t>A 18643-2026</t>
        </is>
      </c>
      <c r="B260" t="inlineStr">
        <is>
          <t>avverkningsanmälan</t>
        </is>
      </c>
      <c r="C260" t="inlineStr">
        <is>
          <t>Föryngringsavverkning</t>
        </is>
      </c>
      <c r="D260" s="1" t="n">
        <v>46128</v>
      </c>
      <c r="E260" s="1" t="n">
        <v>46222</v>
      </c>
      <c r="F260" t="inlineStr">
        <is>
          <t>UPPSALA LÄN</t>
        </is>
      </c>
      <c r="G260" t="inlineStr">
        <is>
          <t>ENKÖPING</t>
        </is>
      </c>
      <c r="I260" t="n">
        <v>0.8</v>
      </c>
      <c r="J260" t="n">
        <v>0</v>
      </c>
      <c r="K260" t="n">
        <v>0</v>
      </c>
      <c r="L260" t="n">
        <v>0</v>
      </c>
      <c r="M260" t="n">
        <v>0</v>
      </c>
      <c r="N260" t="n">
        <v>0</v>
      </c>
      <c r="O260" t="n">
        <v>0</v>
      </c>
      <c r="P260" t="n">
        <v>0</v>
      </c>
      <c r="Q260" t="n">
        <v>0</v>
      </c>
      <c r="R260" t="n">
        <v>0</v>
      </c>
      <c r="S260" t="n">
        <v>0</v>
      </c>
      <c r="T260" t="n">
        <v>0</v>
      </c>
      <c r="U260" s="2" t="inlineStr"/>
    </row>
    <row r="261" ht="15" customHeight="1">
      <c r="A261" t="inlineStr">
        <is>
          <t>A 18644-2026</t>
        </is>
      </c>
      <c r="B261" t="inlineStr">
        <is>
          <t>avverkningsanmälan</t>
        </is>
      </c>
      <c r="C261" t="inlineStr">
        <is>
          <t>Föryngringsavverkning</t>
        </is>
      </c>
      <c r="D261" s="1" t="n">
        <v>46128</v>
      </c>
      <c r="E261" s="1" t="n">
        <v>46222</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9257-2026</t>
        </is>
      </c>
      <c r="B262" t="inlineStr">
        <is>
          <t>avverkningsanmälan</t>
        </is>
      </c>
      <c r="C262" t="inlineStr">
        <is>
          <t>Föryngringsavverkning</t>
        </is>
      </c>
      <c r="D262" s="1" t="n">
        <v>46070</v>
      </c>
      <c r="E262" s="1" t="n">
        <v>46222</v>
      </c>
      <c r="F262" t="inlineStr">
        <is>
          <t>UPPSALA LÄN</t>
        </is>
      </c>
      <c r="G262" t="inlineStr">
        <is>
          <t>ENKÖPING</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18806-2026</t>
        </is>
      </c>
      <c r="B263" t="inlineStr">
        <is>
          <t>avverkningsanmälan</t>
        </is>
      </c>
      <c r="C263" t="inlineStr">
        <is>
          <t>Föryngringsavverkning</t>
        </is>
      </c>
      <c r="D263" s="1" t="n">
        <v>46128</v>
      </c>
      <c r="E263" s="1" t="n">
        <v>46222</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8152-2022</t>
        </is>
      </c>
      <c r="B264" t="inlineStr">
        <is>
          <t>avverkningsanmälan</t>
        </is>
      </c>
      <c r="C264" t="inlineStr">
        <is>
          <t>Föryngringsavverkning</t>
        </is>
      </c>
      <c r="D264" s="1" t="n">
        <v>44609</v>
      </c>
      <c r="E264" s="1" t="n">
        <v>46222</v>
      </c>
      <c r="F264" t="inlineStr">
        <is>
          <t>UPPSALA LÄN</t>
        </is>
      </c>
      <c r="G264" t="inlineStr">
        <is>
          <t>ENKÖPING</t>
        </is>
      </c>
      <c r="H264" t="inlineStr">
        <is>
          <t>Kyrkan</t>
        </is>
      </c>
      <c r="I264" t="n">
        <v>1.3</v>
      </c>
      <c r="J264" t="n">
        <v>0</v>
      </c>
      <c r="K264" t="n">
        <v>0</v>
      </c>
      <c r="L264" t="n">
        <v>0</v>
      </c>
      <c r="M264" t="n">
        <v>0</v>
      </c>
      <c r="N264" t="n">
        <v>0</v>
      </c>
      <c r="O264" t="n">
        <v>0</v>
      </c>
      <c r="P264" t="n">
        <v>0</v>
      </c>
      <c r="Q264" t="n">
        <v>0</v>
      </c>
      <c r="R264" t="n">
        <v>0</v>
      </c>
      <c r="S264" t="n">
        <v>0</v>
      </c>
      <c r="T264" t="n">
        <v>0</v>
      </c>
      <c r="U264" s="2" t="inlineStr"/>
    </row>
    <row r="265" ht="15" customHeight="1">
      <c r="A265" t="inlineStr">
        <is>
          <t>A 17657-2025</t>
        </is>
      </c>
      <c r="B265" t="inlineStr">
        <is>
          <t>avverkningsanmälan</t>
        </is>
      </c>
      <c r="C265" t="inlineStr">
        <is>
          <t>Föryngringsavverkning</t>
        </is>
      </c>
      <c r="D265" s="1" t="n">
        <v>45758</v>
      </c>
      <c r="E265" s="1" t="n">
        <v>46222</v>
      </c>
      <c r="F265" t="inlineStr">
        <is>
          <t>UPPSALA LÄN</t>
        </is>
      </c>
      <c r="G265" t="inlineStr">
        <is>
          <t>ENKÖPING</t>
        </is>
      </c>
      <c r="I265" t="n">
        <v>3</v>
      </c>
      <c r="J265" t="n">
        <v>0</v>
      </c>
      <c r="K265" t="n">
        <v>0</v>
      </c>
      <c r="L265" t="n">
        <v>0</v>
      </c>
      <c r="M265" t="n">
        <v>0</v>
      </c>
      <c r="N265" t="n">
        <v>0</v>
      </c>
      <c r="O265" t="n">
        <v>0</v>
      </c>
      <c r="P265" t="n">
        <v>0</v>
      </c>
      <c r="Q265" t="n">
        <v>0</v>
      </c>
      <c r="R265" t="n">
        <v>0</v>
      </c>
      <c r="S265" t="n">
        <v>0</v>
      </c>
      <c r="T265" t="n">
        <v>0</v>
      </c>
      <c r="U265" s="2" t="inlineStr"/>
    </row>
    <row r="266" ht="15" customHeight="1">
      <c r="A266" t="inlineStr">
        <is>
          <t>A 15939-2022</t>
        </is>
      </c>
      <c r="B266" t="inlineStr">
        <is>
          <t>avverkningsanmälan</t>
        </is>
      </c>
      <c r="C266" t="inlineStr">
        <is>
          <t>Föryngringsavverkning</t>
        </is>
      </c>
      <c r="D266" s="1" t="n">
        <v>44664</v>
      </c>
      <c r="E266" s="1" t="n">
        <v>46222</v>
      </c>
      <c r="F266" t="inlineStr">
        <is>
          <t>UPPSALA LÄN</t>
        </is>
      </c>
      <c r="G266" t="inlineStr">
        <is>
          <t>ENKÖPING</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50394-2024</t>
        </is>
      </c>
      <c r="B267" t="inlineStr">
        <is>
          <t>avverkningsanmälan</t>
        </is>
      </c>
      <c r="C267" t="inlineStr">
        <is>
          <t>Föryngringsavverkning</t>
        </is>
      </c>
      <c r="D267" s="1" t="n">
        <v>45600</v>
      </c>
      <c r="E267" s="1" t="n">
        <v>46222</v>
      </c>
      <c r="F267" t="inlineStr">
        <is>
          <t>UPPSALA LÄN</t>
        </is>
      </c>
      <c r="G267" t="inlineStr">
        <is>
          <t>ENKÖPING</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72840-2021</t>
        </is>
      </c>
      <c r="B268" t="inlineStr">
        <is>
          <t>avverkningsanmälan</t>
        </is>
      </c>
      <c r="C268" t="inlineStr">
        <is>
          <t>Föryngringsavverkning</t>
        </is>
      </c>
      <c r="D268" s="1" t="n">
        <v>44547</v>
      </c>
      <c r="E268" s="1" t="n">
        <v>46222</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37870-2023</t>
        </is>
      </c>
      <c r="B269" t="inlineStr">
        <is>
          <t>avverkningsanmälan</t>
        </is>
      </c>
      <c r="C269" t="inlineStr">
        <is>
          <t>Föryngringsavverkning</t>
        </is>
      </c>
      <c r="D269" s="1" t="n">
        <v>45160</v>
      </c>
      <c r="E269" s="1" t="n">
        <v>46222</v>
      </c>
      <c r="F269" t="inlineStr">
        <is>
          <t>UPPSALA LÄN</t>
        </is>
      </c>
      <c r="G269" t="inlineStr">
        <is>
          <t>ENKÖPING</t>
        </is>
      </c>
      <c r="I269" t="n">
        <v>3.5</v>
      </c>
      <c r="J269" t="n">
        <v>0</v>
      </c>
      <c r="K269" t="n">
        <v>0</v>
      </c>
      <c r="L269" t="n">
        <v>0</v>
      </c>
      <c r="M269" t="n">
        <v>0</v>
      </c>
      <c r="N269" t="n">
        <v>0</v>
      </c>
      <c r="O269" t="n">
        <v>0</v>
      </c>
      <c r="P269" t="n">
        <v>0</v>
      </c>
      <c r="Q269" t="n">
        <v>0</v>
      </c>
      <c r="R269" t="n">
        <v>0</v>
      </c>
      <c r="S269" t="n">
        <v>0</v>
      </c>
      <c r="T269" t="n">
        <v>0</v>
      </c>
      <c r="U269" s="2" t="inlineStr"/>
    </row>
    <row r="270" ht="15" customHeight="1">
      <c r="A270" t="inlineStr">
        <is>
          <t>A 7090-2022</t>
        </is>
      </c>
      <c r="B270" t="inlineStr">
        <is>
          <t>avverkningsanmälan</t>
        </is>
      </c>
      <c r="C270" t="inlineStr">
        <is>
          <t>Föryngringsavverkning</t>
        </is>
      </c>
      <c r="D270" s="1" t="n">
        <v>44603</v>
      </c>
      <c r="E270" s="1" t="n">
        <v>46222</v>
      </c>
      <c r="F270" t="inlineStr">
        <is>
          <t>UPPSALA LÄN</t>
        </is>
      </c>
      <c r="G270" t="inlineStr">
        <is>
          <t>ENKÖPING</t>
        </is>
      </c>
      <c r="I270" t="n">
        <v>2.8</v>
      </c>
      <c r="J270" t="n">
        <v>0</v>
      </c>
      <c r="K270" t="n">
        <v>0</v>
      </c>
      <c r="L270" t="n">
        <v>0</v>
      </c>
      <c r="M270" t="n">
        <v>0</v>
      </c>
      <c r="N270" t="n">
        <v>0</v>
      </c>
      <c r="O270" t="n">
        <v>0</v>
      </c>
      <c r="P270" t="n">
        <v>0</v>
      </c>
      <c r="Q270" t="n">
        <v>0</v>
      </c>
      <c r="R270" t="n">
        <v>0</v>
      </c>
      <c r="S270" t="n">
        <v>0</v>
      </c>
      <c r="T270" t="n">
        <v>0</v>
      </c>
      <c r="U270" s="2" t="inlineStr"/>
    </row>
    <row r="271" ht="15" customHeight="1">
      <c r="A271" t="inlineStr">
        <is>
          <t>A 19298-2023</t>
        </is>
      </c>
      <c r="B271" t="inlineStr">
        <is>
          <t>avverkningsanmälan</t>
        </is>
      </c>
      <c r="C271" t="inlineStr">
        <is>
          <t>Föryngringsavverkning</t>
        </is>
      </c>
      <c r="D271" s="1" t="n">
        <v>45048</v>
      </c>
      <c r="E271" s="1" t="n">
        <v>46222</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61207-2023</t>
        </is>
      </c>
      <c r="B272" t="inlineStr">
        <is>
          <t>avverkningsanmälan</t>
        </is>
      </c>
      <c r="C272" t="inlineStr">
        <is>
          <t>Föryngringsavverkning</t>
        </is>
      </c>
      <c r="D272" s="1" t="n">
        <v>45264</v>
      </c>
      <c r="E272" s="1" t="n">
        <v>46222</v>
      </c>
      <c r="F272" t="inlineStr">
        <is>
          <t>UPPSALA LÄN</t>
        </is>
      </c>
      <c r="G272" t="inlineStr">
        <is>
          <t>ENKÖPING</t>
        </is>
      </c>
      <c r="I272" t="n">
        <v>10.8</v>
      </c>
      <c r="J272" t="n">
        <v>0</v>
      </c>
      <c r="K272" t="n">
        <v>0</v>
      </c>
      <c r="L272" t="n">
        <v>0</v>
      </c>
      <c r="M272" t="n">
        <v>0</v>
      </c>
      <c r="N272" t="n">
        <v>0</v>
      </c>
      <c r="O272" t="n">
        <v>0</v>
      </c>
      <c r="P272" t="n">
        <v>0</v>
      </c>
      <c r="Q272" t="n">
        <v>0</v>
      </c>
      <c r="R272" t="n">
        <v>0</v>
      </c>
      <c r="S272" t="n">
        <v>0</v>
      </c>
      <c r="T272" t="n">
        <v>0</v>
      </c>
      <c r="U272" s="2" t="inlineStr"/>
    </row>
    <row r="273" ht="15" customHeight="1">
      <c r="A273" t="inlineStr">
        <is>
          <t>A 34617-2022</t>
        </is>
      </c>
      <c r="B273" t="inlineStr">
        <is>
          <t>avverkningsanmälan</t>
        </is>
      </c>
      <c r="C273" t="inlineStr">
        <is>
          <t>Avverkning för annat ändamål</t>
        </is>
      </c>
      <c r="D273" s="1" t="n">
        <v>44795</v>
      </c>
      <c r="E273" s="1" t="n">
        <v>46222</v>
      </c>
      <c r="F273" t="inlineStr">
        <is>
          <t>UPPSALA LÄN</t>
        </is>
      </c>
      <c r="G273" t="inlineStr">
        <is>
          <t>ENKÖPING</t>
        </is>
      </c>
      <c r="I273" t="n">
        <v>0.7</v>
      </c>
      <c r="J273" t="n">
        <v>0</v>
      </c>
      <c r="K273" t="n">
        <v>0</v>
      </c>
      <c r="L273" t="n">
        <v>0</v>
      </c>
      <c r="M273" t="n">
        <v>0</v>
      </c>
      <c r="N273" t="n">
        <v>0</v>
      </c>
      <c r="O273" t="n">
        <v>0</v>
      </c>
      <c r="P273" t="n">
        <v>0</v>
      </c>
      <c r="Q273" t="n">
        <v>0</v>
      </c>
      <c r="R273" t="n">
        <v>0</v>
      </c>
      <c r="S273" t="n">
        <v>0</v>
      </c>
      <c r="T273" t="n">
        <v>0</v>
      </c>
      <c r="U273" s="2" t="inlineStr"/>
    </row>
    <row r="274" ht="15" customHeight="1">
      <c r="A274" t="inlineStr">
        <is>
          <t>A 40202-2024</t>
        </is>
      </c>
      <c r="B274" t="inlineStr">
        <is>
          <t>avverkningsanmälan</t>
        </is>
      </c>
      <c r="C274" t="inlineStr">
        <is>
          <t>Föryngringsavverkning</t>
        </is>
      </c>
      <c r="D274" s="1" t="n">
        <v>45554</v>
      </c>
      <c r="E274" s="1" t="n">
        <v>46222</v>
      </c>
      <c r="F274" t="inlineStr">
        <is>
          <t>UPPSALA LÄN</t>
        </is>
      </c>
      <c r="G274" t="inlineStr">
        <is>
          <t>ENKÖPING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40223-2024</t>
        </is>
      </c>
      <c r="B275" t="inlineStr">
        <is>
          <t>avverkningsanmälan</t>
        </is>
      </c>
      <c r="C275" t="inlineStr">
        <is>
          <t>Föryngringsavverkning</t>
        </is>
      </c>
      <c r="D275" s="1" t="n">
        <v>45554</v>
      </c>
      <c r="E275" s="1" t="n">
        <v>46222</v>
      </c>
      <c r="F275" t="inlineStr">
        <is>
          <t>UPPSALA LÄN</t>
        </is>
      </c>
      <c r="G275" t="inlineStr">
        <is>
          <t>ENKÖPING</t>
        </is>
      </c>
      <c r="I275" t="n">
        <v>1.9</v>
      </c>
      <c r="J275" t="n">
        <v>0</v>
      </c>
      <c r="K275" t="n">
        <v>0</v>
      </c>
      <c r="L275" t="n">
        <v>0</v>
      </c>
      <c r="M275" t="n">
        <v>0</v>
      </c>
      <c r="N275" t="n">
        <v>0</v>
      </c>
      <c r="O275" t="n">
        <v>0</v>
      </c>
      <c r="P275" t="n">
        <v>0</v>
      </c>
      <c r="Q275" t="n">
        <v>0</v>
      </c>
      <c r="R275" t="n">
        <v>0</v>
      </c>
      <c r="S275" t="n">
        <v>0</v>
      </c>
      <c r="T275" t="n">
        <v>0</v>
      </c>
      <c r="U275" s="2" t="inlineStr"/>
    </row>
    <row r="276" ht="15" customHeight="1">
      <c r="A276" t="inlineStr">
        <is>
          <t>A 69879-2021</t>
        </is>
      </c>
      <c r="B276" t="inlineStr">
        <is>
          <t>avverkningsanmälan</t>
        </is>
      </c>
      <c r="C276" t="inlineStr">
        <is>
          <t>Föryngringsavverkning</t>
        </is>
      </c>
      <c r="D276" s="1" t="n">
        <v>44532</v>
      </c>
      <c r="E276" s="1" t="n">
        <v>46222</v>
      </c>
      <c r="F276" t="inlineStr">
        <is>
          <t>UPPSALA LÄN</t>
        </is>
      </c>
      <c r="G276" t="inlineStr">
        <is>
          <t>ENKÖPING</t>
        </is>
      </c>
      <c r="I276" t="n">
        <v>4.2</v>
      </c>
      <c r="J276" t="n">
        <v>0</v>
      </c>
      <c r="K276" t="n">
        <v>0</v>
      </c>
      <c r="L276" t="n">
        <v>0</v>
      </c>
      <c r="M276" t="n">
        <v>0</v>
      </c>
      <c r="N276" t="n">
        <v>0</v>
      </c>
      <c r="O276" t="n">
        <v>0</v>
      </c>
      <c r="P276" t="n">
        <v>0</v>
      </c>
      <c r="Q276" t="n">
        <v>0</v>
      </c>
      <c r="R276" t="n">
        <v>0</v>
      </c>
      <c r="S276" t="n">
        <v>0</v>
      </c>
      <c r="T276" t="n">
        <v>0</v>
      </c>
      <c r="U276" s="2" t="inlineStr"/>
    </row>
    <row r="277" ht="15" customHeight="1">
      <c r="A277" t="inlineStr">
        <is>
          <t>A 23301-2024</t>
        </is>
      </c>
      <c r="B277" t="inlineStr">
        <is>
          <t>avverkningsanmälan</t>
        </is>
      </c>
      <c r="C277" t="inlineStr">
        <is>
          <t>Föryngringsavverkning</t>
        </is>
      </c>
      <c r="D277" s="1" t="n">
        <v>45453</v>
      </c>
      <c r="E277" s="1" t="n">
        <v>46222</v>
      </c>
      <c r="F277" t="inlineStr">
        <is>
          <t>UPPSALA LÄN</t>
        </is>
      </c>
      <c r="G277" t="inlineStr">
        <is>
          <t>ENKÖPING</t>
        </is>
      </c>
      <c r="I277" t="n">
        <v>4.3</v>
      </c>
      <c r="J277" t="n">
        <v>0</v>
      </c>
      <c r="K277" t="n">
        <v>0</v>
      </c>
      <c r="L277" t="n">
        <v>0</v>
      </c>
      <c r="M277" t="n">
        <v>0</v>
      </c>
      <c r="N277" t="n">
        <v>0</v>
      </c>
      <c r="O277" t="n">
        <v>0</v>
      </c>
      <c r="P277" t="n">
        <v>0</v>
      </c>
      <c r="Q277" t="n">
        <v>0</v>
      </c>
      <c r="R277" t="n">
        <v>0</v>
      </c>
      <c r="S277" t="n">
        <v>0</v>
      </c>
      <c r="T277" t="n">
        <v>0</v>
      </c>
      <c r="U277" s="2" t="inlineStr"/>
    </row>
    <row r="278" ht="15" customHeight="1">
      <c r="A278" t="inlineStr">
        <is>
          <t>A 2833-2025</t>
        </is>
      </c>
      <c r="B278" t="inlineStr">
        <is>
          <t>avverkningsanmälan</t>
        </is>
      </c>
      <c r="C278" t="inlineStr">
        <is>
          <t>Föryngringsavverkning</t>
        </is>
      </c>
      <c r="D278" s="1" t="n">
        <v>45677</v>
      </c>
      <c r="E278" s="1" t="n">
        <v>46222</v>
      </c>
      <c r="F278" t="inlineStr">
        <is>
          <t>UPPSALA LÄN</t>
        </is>
      </c>
      <c r="G278" t="inlineStr">
        <is>
          <t>ENKÖPING</t>
        </is>
      </c>
      <c r="I278" t="n">
        <v>0.8</v>
      </c>
      <c r="J278" t="n">
        <v>0</v>
      </c>
      <c r="K278" t="n">
        <v>0</v>
      </c>
      <c r="L278" t="n">
        <v>0</v>
      </c>
      <c r="M278" t="n">
        <v>0</v>
      </c>
      <c r="N278" t="n">
        <v>0</v>
      </c>
      <c r="O278" t="n">
        <v>0</v>
      </c>
      <c r="P278" t="n">
        <v>0</v>
      </c>
      <c r="Q278" t="n">
        <v>0</v>
      </c>
      <c r="R278" t="n">
        <v>0</v>
      </c>
      <c r="S278" t="n">
        <v>0</v>
      </c>
      <c r="T278" t="n">
        <v>0</v>
      </c>
      <c r="U278" s="2" t="inlineStr"/>
    </row>
    <row r="279" ht="15" customHeight="1">
      <c r="A279" t="inlineStr">
        <is>
          <t>A 33619-2022</t>
        </is>
      </c>
      <c r="B279" t="inlineStr">
        <is>
          <t>avverkningsanmälan</t>
        </is>
      </c>
      <c r="C279" t="inlineStr">
        <is>
          <t>Föryngringsavverkning</t>
        </is>
      </c>
      <c r="D279" s="1" t="n">
        <v>44789</v>
      </c>
      <c r="E279" s="1" t="n">
        <v>46222</v>
      </c>
      <c r="F279" t="inlineStr">
        <is>
          <t>UPPSALA LÄN</t>
        </is>
      </c>
      <c r="G279" t="inlineStr">
        <is>
          <t>ENKÖPING</t>
        </is>
      </c>
      <c r="H279" t="inlineStr">
        <is>
          <t>Allmännings- och besparingsskogar</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31604-2023</t>
        </is>
      </c>
      <c r="B280" t="inlineStr">
        <is>
          <t>avverkningsanmälan</t>
        </is>
      </c>
      <c r="C280" t="inlineStr">
        <is>
          <t>Föryngringsavverkning</t>
        </is>
      </c>
      <c r="D280" s="1" t="n">
        <v>45117</v>
      </c>
      <c r="E280" s="1" t="n">
        <v>46222</v>
      </c>
      <c r="F280" t="inlineStr">
        <is>
          <t>UPPSALA LÄN</t>
        </is>
      </c>
      <c r="G280" t="inlineStr">
        <is>
          <t>ENKÖPING</t>
        </is>
      </c>
      <c r="I280" t="n">
        <v>3.5</v>
      </c>
      <c r="J280" t="n">
        <v>0</v>
      </c>
      <c r="K280" t="n">
        <v>0</v>
      </c>
      <c r="L280" t="n">
        <v>0</v>
      </c>
      <c r="M280" t="n">
        <v>0</v>
      </c>
      <c r="N280" t="n">
        <v>0</v>
      </c>
      <c r="O280" t="n">
        <v>0</v>
      </c>
      <c r="P280" t="n">
        <v>0</v>
      </c>
      <c r="Q280" t="n">
        <v>0</v>
      </c>
      <c r="R280" t="n">
        <v>0</v>
      </c>
      <c r="S280" t="n">
        <v>0</v>
      </c>
      <c r="T280" t="n">
        <v>0</v>
      </c>
      <c r="U280" s="2" t="inlineStr"/>
    </row>
    <row r="281" ht="15" customHeight="1">
      <c r="A281" t="inlineStr">
        <is>
          <t>A 42564-2024</t>
        </is>
      </c>
      <c r="B281" t="inlineStr">
        <is>
          <t>avverkningsanmälan</t>
        </is>
      </c>
      <c r="C281" t="inlineStr">
        <is>
          <t>Föryngringsavverkning</t>
        </is>
      </c>
      <c r="D281" s="1" t="n">
        <v>45565</v>
      </c>
      <c r="E281" s="1" t="n">
        <v>46222</v>
      </c>
      <c r="F281" t="inlineStr">
        <is>
          <t>UPPSALA LÄN</t>
        </is>
      </c>
      <c r="G281" t="inlineStr">
        <is>
          <t>ENKÖPING</t>
        </is>
      </c>
      <c r="I281" t="n">
        <v>1.7</v>
      </c>
      <c r="J281" t="n">
        <v>0</v>
      </c>
      <c r="K281" t="n">
        <v>0</v>
      </c>
      <c r="L281" t="n">
        <v>0</v>
      </c>
      <c r="M281" t="n">
        <v>0</v>
      </c>
      <c r="N281" t="n">
        <v>0</v>
      </c>
      <c r="O281" t="n">
        <v>0</v>
      </c>
      <c r="P281" t="n">
        <v>0</v>
      </c>
      <c r="Q281" t="n">
        <v>0</v>
      </c>
      <c r="R281" t="n">
        <v>0</v>
      </c>
      <c r="S281" t="n">
        <v>0</v>
      </c>
      <c r="T281" t="n">
        <v>0</v>
      </c>
      <c r="U281" s="2" t="inlineStr"/>
    </row>
    <row r="282" ht="15" customHeight="1">
      <c r="A282" t="inlineStr">
        <is>
          <t>A 59602-2024</t>
        </is>
      </c>
      <c r="B282" t="inlineStr">
        <is>
          <t>avverkningsanmälan</t>
        </is>
      </c>
      <c r="C282" t="inlineStr">
        <is>
          <t>Föryngringsavverkning</t>
        </is>
      </c>
      <c r="D282" s="1" t="n">
        <v>45638</v>
      </c>
      <c r="E282" s="1" t="n">
        <v>46222</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28862-2025</t>
        </is>
      </c>
      <c r="B283" t="inlineStr">
        <is>
          <t>avverkningsanmälan</t>
        </is>
      </c>
      <c r="C283" t="inlineStr">
        <is>
          <t>Föryngringsavverkning</t>
        </is>
      </c>
      <c r="D283" s="1" t="n">
        <v>45820</v>
      </c>
      <c r="E283" s="1" t="n">
        <v>46222</v>
      </c>
      <c r="F283" t="inlineStr">
        <is>
          <t>UPPSALA LÄN</t>
        </is>
      </c>
      <c r="G283" t="inlineStr">
        <is>
          <t>ENKÖPING</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19488-2022</t>
        </is>
      </c>
      <c r="B284" t="inlineStr">
        <is>
          <t>avverkningsanmälan</t>
        </is>
      </c>
      <c r="C284" t="inlineStr">
        <is>
          <t>Föryngringsavverkning</t>
        </is>
      </c>
      <c r="D284" s="1" t="n">
        <v>44693</v>
      </c>
      <c r="E284" s="1" t="n">
        <v>46222</v>
      </c>
      <c r="F284" t="inlineStr">
        <is>
          <t>UPPSALA LÄN</t>
        </is>
      </c>
      <c r="G284" t="inlineStr">
        <is>
          <t>ENKÖPING</t>
        </is>
      </c>
      <c r="I284" t="n">
        <v>7.8</v>
      </c>
      <c r="J284" t="n">
        <v>0</v>
      </c>
      <c r="K284" t="n">
        <v>0</v>
      </c>
      <c r="L284" t="n">
        <v>0</v>
      </c>
      <c r="M284" t="n">
        <v>0</v>
      </c>
      <c r="N284" t="n">
        <v>0</v>
      </c>
      <c r="O284" t="n">
        <v>0</v>
      </c>
      <c r="P284" t="n">
        <v>0</v>
      </c>
      <c r="Q284" t="n">
        <v>0</v>
      </c>
      <c r="R284" t="n">
        <v>0</v>
      </c>
      <c r="S284" t="n">
        <v>0</v>
      </c>
      <c r="T284" t="n">
        <v>0</v>
      </c>
      <c r="U284" s="2" t="inlineStr"/>
    </row>
    <row r="285" ht="15" customHeight="1">
      <c r="A285" t="inlineStr">
        <is>
          <t>A 43691-2024</t>
        </is>
      </c>
      <c r="B285" t="inlineStr">
        <is>
          <t>avverkningsanmälan</t>
        </is>
      </c>
      <c r="C285" t="inlineStr">
        <is>
          <t>Föryngringsavverkning</t>
        </is>
      </c>
      <c r="D285" s="1" t="n">
        <v>45569</v>
      </c>
      <c r="E285" s="1" t="n">
        <v>46222</v>
      </c>
      <c r="F285" t="inlineStr">
        <is>
          <t>UPPSALA LÄN</t>
        </is>
      </c>
      <c r="G285" t="inlineStr">
        <is>
          <t>ENKÖPING</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43697-2024</t>
        </is>
      </c>
      <c r="B286" t="inlineStr">
        <is>
          <t>avverkningsanmälan</t>
        </is>
      </c>
      <c r="C286" t="inlineStr">
        <is>
          <t>Föryngringsavverkning</t>
        </is>
      </c>
      <c r="D286" s="1" t="n">
        <v>45569</v>
      </c>
      <c r="E286" s="1" t="n">
        <v>46222</v>
      </c>
      <c r="F286" t="inlineStr">
        <is>
          <t>UPPSALA LÄN</t>
        </is>
      </c>
      <c r="G286" t="inlineStr">
        <is>
          <t>ENKÖPING</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41826-2024</t>
        </is>
      </c>
      <c r="B287" t="inlineStr">
        <is>
          <t>avverkningsanmälan</t>
        </is>
      </c>
      <c r="C287" t="inlineStr">
        <is>
          <t>Föryngringsavverkning</t>
        </is>
      </c>
      <c r="D287" s="1" t="n">
        <v>45561</v>
      </c>
      <c r="E287" s="1" t="n">
        <v>46222</v>
      </c>
      <c r="F287" t="inlineStr">
        <is>
          <t>UPPSALA LÄN</t>
        </is>
      </c>
      <c r="G287" t="inlineStr">
        <is>
          <t>ENKÖPING</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16916-2022</t>
        </is>
      </c>
      <c r="B288" t="inlineStr">
        <is>
          <t>avverkningsanmälan</t>
        </is>
      </c>
      <c r="C288" t="inlineStr">
        <is>
          <t>Föryngringsavverkning</t>
        </is>
      </c>
      <c r="D288" s="1" t="n">
        <v>44676</v>
      </c>
      <c r="E288" s="1" t="n">
        <v>46222</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s="2" t="inlineStr"/>
    </row>
    <row r="289" ht="15" customHeight="1">
      <c r="A289" t="inlineStr">
        <is>
          <t>A 44115-2024</t>
        </is>
      </c>
      <c r="B289" t="inlineStr">
        <is>
          <t>avverkningsanmälan</t>
        </is>
      </c>
      <c r="C289" t="inlineStr">
        <is>
          <t>Avverkning för annat ändamål</t>
        </is>
      </c>
      <c r="D289" s="1" t="n">
        <v>45572</v>
      </c>
      <c r="E289" s="1" t="n">
        <v>46222</v>
      </c>
      <c r="F289" t="inlineStr">
        <is>
          <t>UPPSALA LÄN</t>
        </is>
      </c>
      <c r="G289" t="inlineStr">
        <is>
          <t>ENKÖPING</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37498-2025</t>
        </is>
      </c>
      <c r="B290" t="inlineStr">
        <is>
          <t>avverkningsanmälan</t>
        </is>
      </c>
      <c r="C290" t="inlineStr">
        <is>
          <t>Föryngringsavverkning</t>
        </is>
      </c>
      <c r="D290" s="1" t="n">
        <v>45877</v>
      </c>
      <c r="E290" s="1" t="n">
        <v>46222</v>
      </c>
      <c r="F290" t="inlineStr">
        <is>
          <t>UPPSALA LÄN</t>
        </is>
      </c>
      <c r="G290" t="inlineStr">
        <is>
          <t>ENKÖPING</t>
        </is>
      </c>
      <c r="I290" t="n">
        <v>1.2</v>
      </c>
      <c r="J290" t="n">
        <v>0</v>
      </c>
      <c r="K290" t="n">
        <v>0</v>
      </c>
      <c r="L290" t="n">
        <v>0</v>
      </c>
      <c r="M290" t="n">
        <v>0</v>
      </c>
      <c r="N290" t="n">
        <v>0</v>
      </c>
      <c r="O290" t="n">
        <v>0</v>
      </c>
      <c r="P290" t="n">
        <v>0</v>
      </c>
      <c r="Q290" t="n">
        <v>0</v>
      </c>
      <c r="R290" t="n">
        <v>0</v>
      </c>
      <c r="S290" t="n">
        <v>0</v>
      </c>
      <c r="T290" t="n">
        <v>0</v>
      </c>
      <c r="U290" s="2" t="inlineStr"/>
    </row>
    <row r="291" ht="15" customHeight="1">
      <c r="A291" t="inlineStr">
        <is>
          <t>A 29513-2025</t>
        </is>
      </c>
      <c r="B291" t="inlineStr">
        <is>
          <t>avverkningsanmälan</t>
        </is>
      </c>
      <c r="C291" t="inlineStr">
        <is>
          <t>Föryngringsavverkning</t>
        </is>
      </c>
      <c r="D291" s="1" t="n">
        <v>45825</v>
      </c>
      <c r="E291" s="1" t="n">
        <v>46222</v>
      </c>
      <c r="F291" t="inlineStr">
        <is>
          <t>UPPSALA LÄN</t>
        </is>
      </c>
      <c r="G291" t="inlineStr">
        <is>
          <t>ENKÖPING</t>
        </is>
      </c>
      <c r="I291" t="n">
        <v>2.6</v>
      </c>
      <c r="J291" t="n">
        <v>0</v>
      </c>
      <c r="K291" t="n">
        <v>0</v>
      </c>
      <c r="L291" t="n">
        <v>0</v>
      </c>
      <c r="M291" t="n">
        <v>0</v>
      </c>
      <c r="N291" t="n">
        <v>0</v>
      </c>
      <c r="O291" t="n">
        <v>0</v>
      </c>
      <c r="P291" t="n">
        <v>0</v>
      </c>
      <c r="Q291" t="n">
        <v>0</v>
      </c>
      <c r="R291" t="n">
        <v>0</v>
      </c>
      <c r="S291" t="n">
        <v>0</v>
      </c>
      <c r="T291" t="n">
        <v>0</v>
      </c>
      <c r="U291" s="2" t="inlineStr"/>
    </row>
    <row r="292" ht="15" customHeight="1">
      <c r="A292" t="inlineStr">
        <is>
          <t>A 30634-2022</t>
        </is>
      </c>
      <c r="B292" t="inlineStr">
        <is>
          <t>avverkningsanmälan</t>
        </is>
      </c>
      <c r="C292" t="inlineStr">
        <is>
          <t>Föryngringsavverkning</t>
        </is>
      </c>
      <c r="D292" s="1" t="n">
        <v>44763</v>
      </c>
      <c r="E292" s="1" t="n">
        <v>46222</v>
      </c>
      <c r="F292" t="inlineStr">
        <is>
          <t>UPPSALA LÄN</t>
        </is>
      </c>
      <c r="G292" t="inlineStr">
        <is>
          <t>ENKÖPING</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3300-2025</t>
        </is>
      </c>
      <c r="B293" t="inlineStr">
        <is>
          <t>avverkningsanmälan</t>
        </is>
      </c>
      <c r="C293" t="inlineStr">
        <is>
          <t>Föryngringsavverkning</t>
        </is>
      </c>
      <c r="D293" s="1" t="n">
        <v>45679</v>
      </c>
      <c r="E293" s="1" t="n">
        <v>46222</v>
      </c>
      <c r="F293" t="inlineStr">
        <is>
          <t>UPPSALA LÄN</t>
        </is>
      </c>
      <c r="G293" t="inlineStr">
        <is>
          <t>ENKÖPING</t>
        </is>
      </c>
      <c r="I293" t="n">
        <v>8.9</v>
      </c>
      <c r="J293" t="n">
        <v>0</v>
      </c>
      <c r="K293" t="n">
        <v>0</v>
      </c>
      <c r="L293" t="n">
        <v>0</v>
      </c>
      <c r="M293" t="n">
        <v>0</v>
      </c>
      <c r="N293" t="n">
        <v>0</v>
      </c>
      <c r="O293" t="n">
        <v>0</v>
      </c>
      <c r="P293" t="n">
        <v>0</v>
      </c>
      <c r="Q293" t="n">
        <v>0</v>
      </c>
      <c r="R293" t="n">
        <v>0</v>
      </c>
      <c r="S293" t="n">
        <v>0</v>
      </c>
      <c r="T293" t="n">
        <v>0</v>
      </c>
      <c r="U293" s="2" t="inlineStr"/>
    </row>
    <row r="294" ht="15" customHeight="1">
      <c r="A294" t="inlineStr">
        <is>
          <t>A 51120-2023</t>
        </is>
      </c>
      <c r="B294" t="inlineStr">
        <is>
          <t>avverkningsanmälan</t>
        </is>
      </c>
      <c r="C294" t="inlineStr">
        <is>
          <t>Föryngringsavverkning</t>
        </is>
      </c>
      <c r="D294" s="1" t="n">
        <v>45219</v>
      </c>
      <c r="E294" s="1" t="n">
        <v>46222</v>
      </c>
      <c r="F294" t="inlineStr">
        <is>
          <t>UPPSALA LÄN</t>
        </is>
      </c>
      <c r="G294" t="inlineStr">
        <is>
          <t>ENKÖPING</t>
        </is>
      </c>
      <c r="I294" t="n">
        <v>1.4</v>
      </c>
      <c r="J294" t="n">
        <v>0</v>
      </c>
      <c r="K294" t="n">
        <v>0</v>
      </c>
      <c r="L294" t="n">
        <v>0</v>
      </c>
      <c r="M294" t="n">
        <v>0</v>
      </c>
      <c r="N294" t="n">
        <v>0</v>
      </c>
      <c r="O294" t="n">
        <v>0</v>
      </c>
      <c r="P294" t="n">
        <v>0</v>
      </c>
      <c r="Q294" t="n">
        <v>0</v>
      </c>
      <c r="R294" t="n">
        <v>0</v>
      </c>
      <c r="S294" t="n">
        <v>0</v>
      </c>
      <c r="T294" t="n">
        <v>0</v>
      </c>
      <c r="U294" s="2" t="inlineStr"/>
    </row>
    <row r="295" ht="15" customHeight="1">
      <c r="A295" t="inlineStr">
        <is>
          <t>A 54357-2023</t>
        </is>
      </c>
      <c r="B295" t="inlineStr">
        <is>
          <t>avverkningsanmälan</t>
        </is>
      </c>
      <c r="C295" t="inlineStr">
        <is>
          <t>Föryngringsavverkning</t>
        </is>
      </c>
      <c r="D295" s="1" t="n">
        <v>45225</v>
      </c>
      <c r="E295" s="1" t="n">
        <v>46222</v>
      </c>
      <c r="F295" t="inlineStr">
        <is>
          <t>UPPSALA LÄN</t>
        </is>
      </c>
      <c r="G295" t="inlineStr">
        <is>
          <t>ENKÖPING</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63402-2023</t>
        </is>
      </c>
      <c r="B296" t="inlineStr">
        <is>
          <t>avverkningsanmälan</t>
        </is>
      </c>
      <c r="C296" t="inlineStr">
        <is>
          <t>Föryngringsavverkning</t>
        </is>
      </c>
      <c r="D296" s="1" t="n">
        <v>45274</v>
      </c>
      <c r="E296" s="1" t="n">
        <v>46222</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62158-2023</t>
        </is>
      </c>
      <c r="B297" t="inlineStr">
        <is>
          <t>avverkningsanmälan</t>
        </is>
      </c>
      <c r="C297" t="inlineStr">
        <is>
          <t>Föryngringsavverkning</t>
        </is>
      </c>
      <c r="D297" s="1" t="n">
        <v>45267</v>
      </c>
      <c r="E297" s="1" t="n">
        <v>46222</v>
      </c>
      <c r="F297" t="inlineStr">
        <is>
          <t>UPPSALA LÄN</t>
        </is>
      </c>
      <c r="G297" t="inlineStr">
        <is>
          <t>ENKÖPING</t>
        </is>
      </c>
      <c r="I297" t="n">
        <v>1.4</v>
      </c>
      <c r="J297" t="n">
        <v>0</v>
      </c>
      <c r="K297" t="n">
        <v>0</v>
      </c>
      <c r="L297" t="n">
        <v>0</v>
      </c>
      <c r="M297" t="n">
        <v>0</v>
      </c>
      <c r="N297" t="n">
        <v>0</v>
      </c>
      <c r="O297" t="n">
        <v>0</v>
      </c>
      <c r="P297" t="n">
        <v>0</v>
      </c>
      <c r="Q297" t="n">
        <v>0</v>
      </c>
      <c r="R297" t="n">
        <v>0</v>
      </c>
      <c r="S297" t="n">
        <v>0</v>
      </c>
      <c r="T297" t="n">
        <v>0</v>
      </c>
      <c r="U297" s="2" t="inlineStr"/>
    </row>
    <row r="298" ht="15" customHeight="1">
      <c r="A298" t="inlineStr">
        <is>
          <t>A 60874-2023</t>
        </is>
      </c>
      <c r="B298" t="inlineStr">
        <is>
          <t>avverkningsanmälan</t>
        </is>
      </c>
      <c r="C298" t="inlineStr">
        <is>
          <t>Föryngringsavverkning</t>
        </is>
      </c>
      <c r="D298" s="1" t="n">
        <v>45261</v>
      </c>
      <c r="E298" s="1" t="n">
        <v>46222</v>
      </c>
      <c r="F298" t="inlineStr">
        <is>
          <t>UPPSALA LÄN</t>
        </is>
      </c>
      <c r="G298" t="inlineStr">
        <is>
          <t>ENKÖPING</t>
        </is>
      </c>
      <c r="I298" t="n">
        <v>1.5</v>
      </c>
      <c r="J298" t="n">
        <v>0</v>
      </c>
      <c r="K298" t="n">
        <v>0</v>
      </c>
      <c r="L298" t="n">
        <v>0</v>
      </c>
      <c r="M298" t="n">
        <v>0</v>
      </c>
      <c r="N298" t="n">
        <v>0</v>
      </c>
      <c r="O298" t="n">
        <v>0</v>
      </c>
      <c r="P298" t="n">
        <v>0</v>
      </c>
      <c r="Q298" t="n">
        <v>0</v>
      </c>
      <c r="R298" t="n">
        <v>0</v>
      </c>
      <c r="S298" t="n">
        <v>0</v>
      </c>
      <c r="T298" t="n">
        <v>0</v>
      </c>
      <c r="U298" s="2" t="inlineStr"/>
    </row>
    <row r="299" ht="15" customHeight="1">
      <c r="A299" t="inlineStr">
        <is>
          <t>A 3550-2023</t>
        </is>
      </c>
      <c r="B299" t="inlineStr">
        <is>
          <t>avverkningsanmälan</t>
        </is>
      </c>
      <c r="C299" t="inlineStr">
        <is>
          <t>Föryngringsavverkning</t>
        </is>
      </c>
      <c r="D299" s="1" t="n">
        <v>44950</v>
      </c>
      <c r="E299" s="1" t="n">
        <v>46222</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21862-2026</t>
        </is>
      </c>
      <c r="B300" t="inlineStr">
        <is>
          <t>avverkningsanmälan</t>
        </is>
      </c>
      <c r="C300" t="inlineStr">
        <is>
          <t>Föryngringsavverkning</t>
        </is>
      </c>
      <c r="D300" s="1" t="n">
        <v>46150</v>
      </c>
      <c r="E300" s="1" t="n">
        <v>46222</v>
      </c>
      <c r="F300" t="inlineStr">
        <is>
          <t>UPPSALA LÄN</t>
        </is>
      </c>
      <c r="G300" t="inlineStr">
        <is>
          <t>ENKÖPING</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26292-2022</t>
        </is>
      </c>
      <c r="B301" t="inlineStr">
        <is>
          <t>avverkningsanmälan</t>
        </is>
      </c>
      <c r="C301" t="inlineStr">
        <is>
          <t>Föryngringsavverkning</t>
        </is>
      </c>
      <c r="D301" s="1" t="n">
        <v>44735</v>
      </c>
      <c r="E301" s="1" t="n">
        <v>46222</v>
      </c>
      <c r="F301" t="inlineStr">
        <is>
          <t>UPPSALA LÄN</t>
        </is>
      </c>
      <c r="G301" t="inlineStr">
        <is>
          <t>ENKÖPING</t>
        </is>
      </c>
      <c r="H301" t="inlineStr">
        <is>
          <t>Kyrkan</t>
        </is>
      </c>
      <c r="I301" t="n">
        <v>4.6</v>
      </c>
      <c r="J301" t="n">
        <v>0</v>
      </c>
      <c r="K301" t="n">
        <v>0</v>
      </c>
      <c r="L301" t="n">
        <v>0</v>
      </c>
      <c r="M301" t="n">
        <v>0</v>
      </c>
      <c r="N301" t="n">
        <v>0</v>
      </c>
      <c r="O301" t="n">
        <v>0</v>
      </c>
      <c r="P301" t="n">
        <v>0</v>
      </c>
      <c r="Q301" t="n">
        <v>0</v>
      </c>
      <c r="R301" t="n">
        <v>0</v>
      </c>
      <c r="S301" t="n">
        <v>0</v>
      </c>
      <c r="T301" t="n">
        <v>0</v>
      </c>
      <c r="U301" s="2" t="inlineStr"/>
    </row>
    <row r="302" ht="15" customHeight="1">
      <c r="A302" t="inlineStr">
        <is>
          <t>A 22315-2026</t>
        </is>
      </c>
      <c r="B302" t="inlineStr">
        <is>
          <t>avverkningsanmälan</t>
        </is>
      </c>
      <c r="C302" t="inlineStr">
        <is>
          <t>Föryngringsavverkning</t>
        </is>
      </c>
      <c r="D302" s="1" t="n">
        <v>46154</v>
      </c>
      <c r="E302" s="1" t="n">
        <v>46222</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10458-2022</t>
        </is>
      </c>
      <c r="B303" t="inlineStr">
        <is>
          <t>avverkningsanmälan</t>
        </is>
      </c>
      <c r="C303" t="inlineStr">
        <is>
          <t>Föryngringsavverkning</t>
        </is>
      </c>
      <c r="D303" s="1" t="n">
        <v>44623</v>
      </c>
      <c r="E303" s="1" t="n">
        <v>46222</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45142-2023</t>
        </is>
      </c>
      <c r="B304" t="inlineStr">
        <is>
          <t>avverkningsanmälan</t>
        </is>
      </c>
      <c r="C304" t="inlineStr">
        <is>
          <t>Avverkning för att bevara och utveckla /försöksver</t>
        </is>
      </c>
      <c r="D304" s="1" t="n">
        <v>45191</v>
      </c>
      <c r="E304" s="1" t="n">
        <v>46222</v>
      </c>
      <c r="F304" t="inlineStr">
        <is>
          <t>UPPSALA LÄN</t>
        </is>
      </c>
      <c r="G304" t="inlineStr">
        <is>
          <t>ENKÖPING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57998-2024</t>
        </is>
      </c>
      <c r="B305" t="inlineStr">
        <is>
          <t>avverkningsanmälan</t>
        </is>
      </c>
      <c r="C305" t="inlineStr">
        <is>
          <t>Föryngringsavverkning</t>
        </is>
      </c>
      <c r="D305" s="1" t="n">
        <v>45631</v>
      </c>
      <c r="E305" s="1" t="n">
        <v>46222</v>
      </c>
      <c r="F305" t="inlineStr">
        <is>
          <t>UPPSALA LÄN</t>
        </is>
      </c>
      <c r="G305" t="inlineStr">
        <is>
          <t>ENKÖPING</t>
        </is>
      </c>
      <c r="I305" t="n">
        <v>8.699999999999999</v>
      </c>
      <c r="J305" t="n">
        <v>0</v>
      </c>
      <c r="K305" t="n">
        <v>0</v>
      </c>
      <c r="L305" t="n">
        <v>0</v>
      </c>
      <c r="M305" t="n">
        <v>0</v>
      </c>
      <c r="N305" t="n">
        <v>0</v>
      </c>
      <c r="O305" t="n">
        <v>0</v>
      </c>
      <c r="P305" t="n">
        <v>0</v>
      </c>
      <c r="Q305" t="n">
        <v>0</v>
      </c>
      <c r="R305" t="n">
        <v>0</v>
      </c>
      <c r="S305" t="n">
        <v>0</v>
      </c>
      <c r="T305" t="n">
        <v>0</v>
      </c>
      <c r="U305" s="2" t="inlineStr"/>
    </row>
    <row r="306" ht="15" customHeight="1">
      <c r="A306" t="inlineStr">
        <is>
          <t>A 14332-2024</t>
        </is>
      </c>
      <c r="B306" t="inlineStr">
        <is>
          <t>avverkningsanmälan</t>
        </is>
      </c>
      <c r="C306" t="inlineStr">
        <is>
          <t>Föryngringsavverkning</t>
        </is>
      </c>
      <c r="D306" s="1" t="n">
        <v>45393</v>
      </c>
      <c r="E306" s="1" t="n">
        <v>46222</v>
      </c>
      <c r="F306" t="inlineStr">
        <is>
          <t>UPPSALA LÄN</t>
        </is>
      </c>
      <c r="G306" t="inlineStr">
        <is>
          <t>ENKÖPING</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18831-2023</t>
        </is>
      </c>
      <c r="B307" t="inlineStr">
        <is>
          <t>avverkningsanmälan</t>
        </is>
      </c>
      <c r="C307" t="inlineStr">
        <is>
          <t>Föryngringsavverkning</t>
        </is>
      </c>
      <c r="D307" s="1" t="n">
        <v>45044</v>
      </c>
      <c r="E307" s="1" t="n">
        <v>46222</v>
      </c>
      <c r="F307" t="inlineStr">
        <is>
          <t>UPPSALA LÄN</t>
        </is>
      </c>
      <c r="G307" t="inlineStr">
        <is>
          <t>ENKÖPING</t>
        </is>
      </c>
      <c r="I307" t="n">
        <v>4.3</v>
      </c>
      <c r="J307" t="n">
        <v>0</v>
      </c>
      <c r="K307" t="n">
        <v>0</v>
      </c>
      <c r="L307" t="n">
        <v>0</v>
      </c>
      <c r="M307" t="n">
        <v>0</v>
      </c>
      <c r="N307" t="n">
        <v>0</v>
      </c>
      <c r="O307" t="n">
        <v>0</v>
      </c>
      <c r="P307" t="n">
        <v>0</v>
      </c>
      <c r="Q307" t="n">
        <v>0</v>
      </c>
      <c r="R307" t="n">
        <v>0</v>
      </c>
      <c r="S307" t="n">
        <v>0</v>
      </c>
      <c r="T307" t="n">
        <v>0</v>
      </c>
      <c r="U307" s="2" t="inlineStr"/>
    </row>
    <row r="308" ht="15" customHeight="1">
      <c r="A308" t="inlineStr">
        <is>
          <t>A 33581-2023</t>
        </is>
      </c>
      <c r="B308" t="inlineStr">
        <is>
          <t>avverkningsanmälan</t>
        </is>
      </c>
      <c r="C308" t="inlineStr">
        <is>
          <t>Föryngringsavverkning</t>
        </is>
      </c>
      <c r="D308" s="1" t="n">
        <v>45131</v>
      </c>
      <c r="E308" s="1" t="n">
        <v>46222</v>
      </c>
      <c r="F308" t="inlineStr">
        <is>
          <t>UPPSALA LÄN</t>
        </is>
      </c>
      <c r="G308" t="inlineStr">
        <is>
          <t>ENKÖPING</t>
        </is>
      </c>
      <c r="I308" t="n">
        <v>3.5</v>
      </c>
      <c r="J308" t="n">
        <v>0</v>
      </c>
      <c r="K308" t="n">
        <v>0</v>
      </c>
      <c r="L308" t="n">
        <v>0</v>
      </c>
      <c r="M308" t="n">
        <v>0</v>
      </c>
      <c r="N308" t="n">
        <v>0</v>
      </c>
      <c r="O308" t="n">
        <v>0</v>
      </c>
      <c r="P308" t="n">
        <v>0</v>
      </c>
      <c r="Q308" t="n">
        <v>0</v>
      </c>
      <c r="R308" t="n">
        <v>0</v>
      </c>
      <c r="S308" t="n">
        <v>0</v>
      </c>
      <c r="T308" t="n">
        <v>0</v>
      </c>
      <c r="U308" s="2" t="inlineStr"/>
    </row>
    <row r="309" ht="15" customHeight="1">
      <c r="A309" t="inlineStr">
        <is>
          <t>A 37115-2024</t>
        </is>
      </c>
      <c r="B309" t="inlineStr">
        <is>
          <t>avverkningsanmälan</t>
        </is>
      </c>
      <c r="C309" t="inlineStr">
        <is>
          <t>Föryngringsavverkning</t>
        </is>
      </c>
      <c r="D309" s="1" t="n">
        <v>45539</v>
      </c>
      <c r="E309" s="1" t="n">
        <v>46222</v>
      </c>
      <c r="F309" t="inlineStr">
        <is>
          <t>UPPSALA LÄN</t>
        </is>
      </c>
      <c r="G309" t="inlineStr">
        <is>
          <t>ENKÖPING</t>
        </is>
      </c>
      <c r="I309" t="n">
        <v>1.8</v>
      </c>
      <c r="J309" t="n">
        <v>0</v>
      </c>
      <c r="K309" t="n">
        <v>0</v>
      </c>
      <c r="L309" t="n">
        <v>0</v>
      </c>
      <c r="M309" t="n">
        <v>0</v>
      </c>
      <c r="N309" t="n">
        <v>0</v>
      </c>
      <c r="O309" t="n">
        <v>0</v>
      </c>
      <c r="P309" t="n">
        <v>0</v>
      </c>
      <c r="Q309" t="n">
        <v>0</v>
      </c>
      <c r="R309" t="n">
        <v>0</v>
      </c>
      <c r="S309" t="n">
        <v>0</v>
      </c>
      <c r="T309" t="n">
        <v>0</v>
      </c>
      <c r="U309" s="2" t="inlineStr"/>
    </row>
    <row r="310" ht="15" customHeight="1">
      <c r="A310" t="inlineStr">
        <is>
          <t>A 1960-2022</t>
        </is>
      </c>
      <c r="B310" t="inlineStr">
        <is>
          <t>avverkningsanmälan</t>
        </is>
      </c>
      <c r="C310" t="inlineStr">
        <is>
          <t>Föryngringsavverkning</t>
        </is>
      </c>
      <c r="D310" s="1" t="n">
        <v>44575</v>
      </c>
      <c r="E310" s="1" t="n">
        <v>46222</v>
      </c>
      <c r="F310" t="inlineStr">
        <is>
          <t>UPPSALA LÄN</t>
        </is>
      </c>
      <c r="G310" t="inlineStr">
        <is>
          <t>ENKÖPING</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18028-2023</t>
        </is>
      </c>
      <c r="B311" t="inlineStr">
        <is>
          <t>avverkningsanmälan</t>
        </is>
      </c>
      <c r="C311" t="inlineStr">
        <is>
          <t>Föryngringsavverkning</t>
        </is>
      </c>
      <c r="D311" s="1" t="n">
        <v>45040</v>
      </c>
      <c r="E311" s="1" t="n">
        <v>46222</v>
      </c>
      <c r="F311" t="inlineStr">
        <is>
          <t>UPPSALA LÄN</t>
        </is>
      </c>
      <c r="G311" t="inlineStr">
        <is>
          <t>ENKÖPING</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49568-2022</t>
        </is>
      </c>
      <c r="B312" t="inlineStr">
        <is>
          <t>avverkningsanmälan</t>
        </is>
      </c>
      <c r="C312" t="inlineStr">
        <is>
          <t>Föryngringsavverkning</t>
        </is>
      </c>
      <c r="D312" s="1" t="n">
        <v>44862</v>
      </c>
      <c r="E312" s="1" t="n">
        <v>46222</v>
      </c>
      <c r="F312" t="inlineStr">
        <is>
          <t>UPPSALA LÄN</t>
        </is>
      </c>
      <c r="G312" t="inlineStr">
        <is>
          <t>ENKÖPING</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42459-2024</t>
        </is>
      </c>
      <c r="B313" t="inlineStr">
        <is>
          <t>avverkningsanmälan</t>
        </is>
      </c>
      <c r="C313" t="inlineStr">
        <is>
          <t>Föryngringsavverkning</t>
        </is>
      </c>
      <c r="D313" s="1" t="n">
        <v>45565</v>
      </c>
      <c r="E313" s="1" t="n">
        <v>46222</v>
      </c>
      <c r="F313" t="inlineStr">
        <is>
          <t>UPPSALA LÄN</t>
        </is>
      </c>
      <c r="G313" t="inlineStr">
        <is>
          <t>ENKÖPING</t>
        </is>
      </c>
      <c r="I313" t="n">
        <v>3.6</v>
      </c>
      <c r="J313" t="n">
        <v>0</v>
      </c>
      <c r="K313" t="n">
        <v>0</v>
      </c>
      <c r="L313" t="n">
        <v>0</v>
      </c>
      <c r="M313" t="n">
        <v>0</v>
      </c>
      <c r="N313" t="n">
        <v>0</v>
      </c>
      <c r="O313" t="n">
        <v>0</v>
      </c>
      <c r="P313" t="n">
        <v>0</v>
      </c>
      <c r="Q313" t="n">
        <v>0</v>
      </c>
      <c r="R313" t="n">
        <v>0</v>
      </c>
      <c r="S313" t="n">
        <v>0</v>
      </c>
      <c r="T313" t="n">
        <v>0</v>
      </c>
      <c r="U313" s="2" t="inlineStr"/>
    </row>
    <row r="314" ht="15" customHeight="1">
      <c r="A314" t="inlineStr">
        <is>
          <t>A 48864-2022</t>
        </is>
      </c>
      <c r="B314" t="inlineStr">
        <is>
          <t>avverkningsanmälan</t>
        </is>
      </c>
      <c r="C314" t="inlineStr">
        <is>
          <t>Föryngringsavverkning</t>
        </is>
      </c>
      <c r="D314" s="1" t="n">
        <v>44859</v>
      </c>
      <c r="E314" s="1" t="n">
        <v>46222</v>
      </c>
      <c r="F314" t="inlineStr">
        <is>
          <t>UPPSALA LÄN</t>
        </is>
      </c>
      <c r="G314" t="inlineStr">
        <is>
          <t>ENKÖPING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31622-2022</t>
        </is>
      </c>
      <c r="B315" t="inlineStr">
        <is>
          <t>avverkningsanmälan</t>
        </is>
      </c>
      <c r="C315" t="inlineStr">
        <is>
          <t>Föryngringsavverkning</t>
        </is>
      </c>
      <c r="D315" s="1" t="n">
        <v>44775</v>
      </c>
      <c r="E315" s="1" t="n">
        <v>46222</v>
      </c>
      <c r="F315" t="inlineStr">
        <is>
          <t>UPPSALA LÄN</t>
        </is>
      </c>
      <c r="G315" t="inlineStr">
        <is>
          <t>ENKÖPING</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6356-2022</t>
        </is>
      </c>
      <c r="B316" t="inlineStr">
        <is>
          <t>avverkningsanmälan</t>
        </is>
      </c>
      <c r="C316" t="inlineStr">
        <is>
          <t>Föryngringsavverkning</t>
        </is>
      </c>
      <c r="D316" s="1" t="n">
        <v>44600</v>
      </c>
      <c r="E316" s="1" t="n">
        <v>46222</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57147-2021</t>
        </is>
      </c>
      <c r="B317" t="inlineStr">
        <is>
          <t>avverkningsanmälan</t>
        </is>
      </c>
      <c r="C317" t="inlineStr">
        <is>
          <t>Föryngringsavverkning</t>
        </is>
      </c>
      <c r="D317" s="1" t="n">
        <v>44482</v>
      </c>
      <c r="E317" s="1" t="n">
        <v>46222</v>
      </c>
      <c r="F317" t="inlineStr">
        <is>
          <t>UPPSALA LÄN</t>
        </is>
      </c>
      <c r="G317" t="inlineStr">
        <is>
          <t>ENKÖPING</t>
        </is>
      </c>
      <c r="I317" t="n">
        <v>5.7</v>
      </c>
      <c r="J317" t="n">
        <v>0</v>
      </c>
      <c r="K317" t="n">
        <v>0</v>
      </c>
      <c r="L317" t="n">
        <v>0</v>
      </c>
      <c r="M317" t="n">
        <v>0</v>
      </c>
      <c r="N317" t="n">
        <v>0</v>
      </c>
      <c r="O317" t="n">
        <v>0</v>
      </c>
      <c r="P317" t="n">
        <v>0</v>
      </c>
      <c r="Q317" t="n">
        <v>0</v>
      </c>
      <c r="R317" t="n">
        <v>0</v>
      </c>
      <c r="S317" t="n">
        <v>0</v>
      </c>
      <c r="T317" t="n">
        <v>0</v>
      </c>
      <c r="U317" s="2" t="inlineStr"/>
    </row>
    <row r="318" ht="15" customHeight="1">
      <c r="A318" t="inlineStr">
        <is>
          <t>A 47909-2024</t>
        </is>
      </c>
      <c r="B318" t="inlineStr">
        <is>
          <t>avverkningsanmälan</t>
        </is>
      </c>
      <c r="C318" t="inlineStr">
        <is>
          <t>Föryngringsavverkning</t>
        </is>
      </c>
      <c r="D318" s="1" t="n">
        <v>45589</v>
      </c>
      <c r="E318" s="1" t="n">
        <v>46222</v>
      </c>
      <c r="F318" t="inlineStr">
        <is>
          <t>UPPSALA LÄN</t>
        </is>
      </c>
      <c r="G318" t="inlineStr">
        <is>
          <t>ENKÖPING</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52005-2024</t>
        </is>
      </c>
      <c r="B319" t="inlineStr">
        <is>
          <t>avverkningsanmälan</t>
        </is>
      </c>
      <c r="C319" t="inlineStr">
        <is>
          <t>Föryngringsavverkning</t>
        </is>
      </c>
      <c r="D319" s="1" t="n">
        <v>45607</v>
      </c>
      <c r="E319" s="1" t="n">
        <v>46222</v>
      </c>
      <c r="F319" t="inlineStr">
        <is>
          <t>UPPSALA LÄN</t>
        </is>
      </c>
      <c r="G319" t="inlineStr">
        <is>
          <t>ENKÖPING</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23202-2026</t>
        </is>
      </c>
      <c r="B320" t="inlineStr">
        <is>
          <t>avverkningsanmälan</t>
        </is>
      </c>
      <c r="C320" t="inlineStr">
        <is>
          <t>Avverkning för annat ändamål</t>
        </is>
      </c>
      <c r="D320" s="1" t="n">
        <v>46162</v>
      </c>
      <c r="E320" s="1" t="n">
        <v>46222</v>
      </c>
      <c r="F320" t="inlineStr">
        <is>
          <t>UPPSALA LÄN</t>
        </is>
      </c>
      <c r="G320" t="inlineStr">
        <is>
          <t>ENKÖPING</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6041-2026</t>
        </is>
      </c>
      <c r="B321" t="inlineStr">
        <is>
          <t>avverkningsanmälan</t>
        </is>
      </c>
      <c r="C321" t="inlineStr">
        <is>
          <t>Föryngringsavverkning</t>
        </is>
      </c>
      <c r="D321" s="1" t="n">
        <v>46052</v>
      </c>
      <c r="E321" s="1" t="n">
        <v>46222</v>
      </c>
      <c r="F321" t="inlineStr">
        <is>
          <t>UPPSALA LÄN</t>
        </is>
      </c>
      <c r="G321" t="inlineStr">
        <is>
          <t>ENKÖPING</t>
        </is>
      </c>
      <c r="I321" t="n">
        <v>4</v>
      </c>
      <c r="J321" t="n">
        <v>0</v>
      </c>
      <c r="K321" t="n">
        <v>0</v>
      </c>
      <c r="L321" t="n">
        <v>0</v>
      </c>
      <c r="M321" t="n">
        <v>0</v>
      </c>
      <c r="N321" t="n">
        <v>0</v>
      </c>
      <c r="O321" t="n">
        <v>0</v>
      </c>
      <c r="P321" t="n">
        <v>0</v>
      </c>
      <c r="Q321" t="n">
        <v>0</v>
      </c>
      <c r="R321" t="n">
        <v>0</v>
      </c>
      <c r="S321" t="n">
        <v>0</v>
      </c>
      <c r="T321" t="n">
        <v>0</v>
      </c>
      <c r="U321" s="2" t="inlineStr"/>
    </row>
    <row r="322" ht="15" customHeight="1">
      <c r="A322" t="inlineStr">
        <is>
          <t>A 6044-2026</t>
        </is>
      </c>
      <c r="B322" t="inlineStr">
        <is>
          <t>avverkningsanmälan</t>
        </is>
      </c>
      <c r="C322" t="inlineStr">
        <is>
          <t>Föryngringsavverkning</t>
        </is>
      </c>
      <c r="D322" s="1" t="n">
        <v>46052</v>
      </c>
      <c r="E322" s="1" t="n">
        <v>46222</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s="2" t="inlineStr"/>
    </row>
    <row r="323" ht="15" customHeight="1">
      <c r="A323" t="inlineStr">
        <is>
          <t>A 43492-2023</t>
        </is>
      </c>
      <c r="B323" t="inlineStr">
        <is>
          <t>avverkningsanmälan</t>
        </is>
      </c>
      <c r="C323" t="inlineStr">
        <is>
          <t>Föryngringsavverkning</t>
        </is>
      </c>
      <c r="D323" s="1" t="n">
        <v>45181</v>
      </c>
      <c r="E323" s="1" t="n">
        <v>46222</v>
      </c>
      <c r="F323" t="inlineStr">
        <is>
          <t>UPPSALA LÄN</t>
        </is>
      </c>
      <c r="G323" t="inlineStr">
        <is>
          <t>ENKÖPING</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1536-2024</t>
        </is>
      </c>
      <c r="B324" t="inlineStr">
        <is>
          <t>avverkningsanmälan</t>
        </is>
      </c>
      <c r="C324" t="inlineStr">
        <is>
          <t>Föryngringsavverkning</t>
        </is>
      </c>
      <c r="D324" s="1" t="n">
        <v>45306</v>
      </c>
      <c r="E324" s="1" t="n">
        <v>46222</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s="2" t="inlineStr"/>
    </row>
    <row r="325" ht="15" customHeight="1">
      <c r="A325" t="inlineStr">
        <is>
          <t>A 16916-2023</t>
        </is>
      </c>
      <c r="B325" t="inlineStr">
        <is>
          <t>avverkningsanmälan</t>
        </is>
      </c>
      <c r="C325" t="inlineStr">
        <is>
          <t>Föryngringsavverkning</t>
        </is>
      </c>
      <c r="D325" s="1" t="n">
        <v>45033</v>
      </c>
      <c r="E325" s="1" t="n">
        <v>46222</v>
      </c>
      <c r="F325" t="inlineStr">
        <is>
          <t>UPPSALA LÄN</t>
        </is>
      </c>
      <c r="G325" t="inlineStr">
        <is>
          <t>ENKÖPING</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51133-2025</t>
        </is>
      </c>
      <c r="B326" t="inlineStr">
        <is>
          <t>avverkningsanmälan</t>
        </is>
      </c>
      <c r="C326" t="inlineStr">
        <is>
          <t>Föryngringsavverkning</t>
        </is>
      </c>
      <c r="D326" s="1" t="n">
        <v>45947</v>
      </c>
      <c r="E326" s="1" t="n">
        <v>46222</v>
      </c>
      <c r="F326" t="inlineStr">
        <is>
          <t>UPPSALA LÄN</t>
        </is>
      </c>
      <c r="G326" t="inlineStr">
        <is>
          <t>ENKÖPING</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16920-2023</t>
        </is>
      </c>
      <c r="B327" t="inlineStr">
        <is>
          <t>avverkningsanmälan</t>
        </is>
      </c>
      <c r="C327" t="inlineStr">
        <is>
          <t>Föryngringsavverkning</t>
        </is>
      </c>
      <c r="D327" s="1" t="n">
        <v>45033</v>
      </c>
      <c r="E327" s="1" t="n">
        <v>46222</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52388-2024</t>
        </is>
      </c>
      <c r="B328" t="inlineStr">
        <is>
          <t>avverkningsanmälan</t>
        </is>
      </c>
      <c r="C328" t="inlineStr">
        <is>
          <t>Föryngringsavverkning</t>
        </is>
      </c>
      <c r="D328" s="1" t="n">
        <v>45609</v>
      </c>
      <c r="E328" s="1" t="n">
        <v>46222</v>
      </c>
      <c r="F328" t="inlineStr">
        <is>
          <t>UPPSALA LÄN</t>
        </is>
      </c>
      <c r="G328" t="inlineStr">
        <is>
          <t>ENKÖPING</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1992-2022</t>
        </is>
      </c>
      <c r="B329" t="inlineStr">
        <is>
          <t>avverkningsanmälan</t>
        </is>
      </c>
      <c r="C329" t="inlineStr">
        <is>
          <t>Föryngringsavverkning</t>
        </is>
      </c>
      <c r="D329" s="1" t="n">
        <v>44575</v>
      </c>
      <c r="E329" s="1" t="n">
        <v>46222</v>
      </c>
      <c r="F329" t="inlineStr">
        <is>
          <t>UPPSALA LÄN</t>
        </is>
      </c>
      <c r="G329" t="inlineStr">
        <is>
          <t>ENKÖPING</t>
        </is>
      </c>
      <c r="I329" t="n">
        <v>2.8</v>
      </c>
      <c r="J329" t="n">
        <v>0</v>
      </c>
      <c r="K329" t="n">
        <v>0</v>
      </c>
      <c r="L329" t="n">
        <v>0</v>
      </c>
      <c r="M329" t="n">
        <v>0</v>
      </c>
      <c r="N329" t="n">
        <v>0</v>
      </c>
      <c r="O329" t="n">
        <v>0</v>
      </c>
      <c r="P329" t="n">
        <v>0</v>
      </c>
      <c r="Q329" t="n">
        <v>0</v>
      </c>
      <c r="R329" t="n">
        <v>0</v>
      </c>
      <c r="S329" t="n">
        <v>0</v>
      </c>
      <c r="T329" t="n">
        <v>0</v>
      </c>
      <c r="U329" s="2" t="inlineStr"/>
    </row>
    <row r="330" ht="15" customHeight="1">
      <c r="A330" t="inlineStr">
        <is>
          <t>A 6626-2023</t>
        </is>
      </c>
      <c r="B330" t="inlineStr">
        <is>
          <t>avverkningsanmälan</t>
        </is>
      </c>
      <c r="C330" t="inlineStr">
        <is>
          <t>Föryngringsavverkning</t>
        </is>
      </c>
      <c r="D330" s="1" t="n">
        <v>44966</v>
      </c>
      <c r="E330" s="1" t="n">
        <v>46222</v>
      </c>
      <c r="F330" t="inlineStr">
        <is>
          <t>UPPSALA LÄN</t>
        </is>
      </c>
      <c r="G330" t="inlineStr">
        <is>
          <t>ENKÖPING</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56837-2024</t>
        </is>
      </c>
      <c r="B331" t="inlineStr">
        <is>
          <t>avverkningsanmälan</t>
        </is>
      </c>
      <c r="C331" t="inlineStr">
        <is>
          <t>Föryngringsavverkning</t>
        </is>
      </c>
      <c r="D331" s="1" t="n">
        <v>45628</v>
      </c>
      <c r="E331" s="1" t="n">
        <v>46222</v>
      </c>
      <c r="F331" t="inlineStr">
        <is>
          <t>UPPSALA LÄN</t>
        </is>
      </c>
      <c r="G331" t="inlineStr">
        <is>
          <t>ENKÖPING</t>
        </is>
      </c>
      <c r="I331" t="n">
        <v>2.2</v>
      </c>
      <c r="J331" t="n">
        <v>0</v>
      </c>
      <c r="K331" t="n">
        <v>0</v>
      </c>
      <c r="L331" t="n">
        <v>0</v>
      </c>
      <c r="M331" t="n">
        <v>0</v>
      </c>
      <c r="N331" t="n">
        <v>0</v>
      </c>
      <c r="O331" t="n">
        <v>0</v>
      </c>
      <c r="P331" t="n">
        <v>0</v>
      </c>
      <c r="Q331" t="n">
        <v>0</v>
      </c>
      <c r="R331" t="n">
        <v>0</v>
      </c>
      <c r="S331" t="n">
        <v>0</v>
      </c>
      <c r="T331" t="n">
        <v>0</v>
      </c>
      <c r="U331" s="2" t="inlineStr"/>
    </row>
    <row r="332" ht="15" customHeight="1">
      <c r="A332" t="inlineStr">
        <is>
          <t>A 48843-2023</t>
        </is>
      </c>
      <c r="B332" t="inlineStr">
        <is>
          <t>avverkningsanmälan</t>
        </is>
      </c>
      <c r="C332" t="inlineStr">
        <is>
          <t>Föryngringsavverkning</t>
        </is>
      </c>
      <c r="D332" s="1" t="n">
        <v>45209</v>
      </c>
      <c r="E332" s="1" t="n">
        <v>46222</v>
      </c>
      <c r="F332" t="inlineStr">
        <is>
          <t>UPPSALA LÄN</t>
        </is>
      </c>
      <c r="G332" t="inlineStr">
        <is>
          <t>ENKÖPING</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57940-2022</t>
        </is>
      </c>
      <c r="B333" t="inlineStr">
        <is>
          <t>avverkningsanmälan</t>
        </is>
      </c>
      <c r="C333" t="inlineStr">
        <is>
          <t>Föryngringsavverkning</t>
        </is>
      </c>
      <c r="D333" s="1" t="n">
        <v>44900</v>
      </c>
      <c r="E333" s="1" t="n">
        <v>46222</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s="2" t="inlineStr"/>
    </row>
    <row r="334" ht="15" customHeight="1">
      <c r="A334" t="inlineStr">
        <is>
          <t>A 30405-2026</t>
        </is>
      </c>
      <c r="B334" t="inlineStr">
        <is>
          <t>avverkningsanmälan</t>
        </is>
      </c>
      <c r="C334" t="inlineStr">
        <is>
          <t>Föryngringsavverkning</t>
        </is>
      </c>
      <c r="D334" s="1" t="n">
        <v>46209</v>
      </c>
      <c r="E334" s="1" t="n">
        <v>46222</v>
      </c>
      <c r="F334" t="inlineStr">
        <is>
          <t>UPPSALA LÄN</t>
        </is>
      </c>
      <c r="G334" t="inlineStr">
        <is>
          <t>ENKÖPING</t>
        </is>
      </c>
      <c r="I334" t="n">
        <v>1.3</v>
      </c>
      <c r="J334" t="n">
        <v>0</v>
      </c>
      <c r="K334" t="n">
        <v>0</v>
      </c>
      <c r="L334" t="n">
        <v>0</v>
      </c>
      <c r="M334" t="n">
        <v>0</v>
      </c>
      <c r="N334" t="n">
        <v>0</v>
      </c>
      <c r="O334" t="n">
        <v>0</v>
      </c>
      <c r="P334" t="n">
        <v>0</v>
      </c>
      <c r="Q334" t="n">
        <v>0</v>
      </c>
      <c r="R334" t="n">
        <v>0</v>
      </c>
      <c r="S334" t="n">
        <v>0</v>
      </c>
      <c r="T334" t="n">
        <v>0</v>
      </c>
      <c r="U334" s="2" t="inlineStr"/>
    </row>
    <row r="335" ht="15" customHeight="1">
      <c r="A335" t="inlineStr">
        <is>
          <t>A 35079-2024</t>
        </is>
      </c>
      <c r="B335" t="inlineStr">
        <is>
          <t>avverkningsanmälan</t>
        </is>
      </c>
      <c r="C335" t="inlineStr">
        <is>
          <t>Föryngringsavverkning</t>
        </is>
      </c>
      <c r="D335" s="1" t="n">
        <v>45527</v>
      </c>
      <c r="E335" s="1" t="n">
        <v>46222</v>
      </c>
      <c r="F335" t="inlineStr">
        <is>
          <t>UPPSALA LÄN</t>
        </is>
      </c>
      <c r="G335" t="inlineStr">
        <is>
          <t>ENKÖPING</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53595-2023</t>
        </is>
      </c>
      <c r="B336" t="inlineStr">
        <is>
          <t>avverkningsanmälan</t>
        </is>
      </c>
      <c r="C336" t="inlineStr">
        <is>
          <t>Föryngringsavverkning</t>
        </is>
      </c>
      <c r="D336" s="1" t="n">
        <v>45223</v>
      </c>
      <c r="E336" s="1" t="n">
        <v>46222</v>
      </c>
      <c r="F336" t="inlineStr">
        <is>
          <t>UPPSALA LÄN</t>
        </is>
      </c>
      <c r="G336" t="inlineStr">
        <is>
          <t>ENKÖPING</t>
        </is>
      </c>
      <c r="I336" t="n">
        <v>2.6</v>
      </c>
      <c r="J336" t="n">
        <v>0</v>
      </c>
      <c r="K336" t="n">
        <v>0</v>
      </c>
      <c r="L336" t="n">
        <v>0</v>
      </c>
      <c r="M336" t="n">
        <v>0</v>
      </c>
      <c r="N336" t="n">
        <v>0</v>
      </c>
      <c r="O336" t="n">
        <v>0</v>
      </c>
      <c r="P336" t="n">
        <v>0</v>
      </c>
      <c r="Q336" t="n">
        <v>0</v>
      </c>
      <c r="R336" t="n">
        <v>0</v>
      </c>
      <c r="S336" t="n">
        <v>0</v>
      </c>
      <c r="T336" t="n">
        <v>0</v>
      </c>
      <c r="U336" s="2" t="inlineStr"/>
    </row>
    <row r="337" ht="15" customHeight="1">
      <c r="A337" t="inlineStr">
        <is>
          <t>A 23882-2026</t>
        </is>
      </c>
      <c r="B337" t="inlineStr">
        <is>
          <t>avverkningsanmälan</t>
        </is>
      </c>
      <c r="C337" t="inlineStr">
        <is>
          <t>Föryngringsavverkning</t>
        </is>
      </c>
      <c r="D337" s="1" t="n">
        <v>46167</v>
      </c>
      <c r="E337" s="1" t="n">
        <v>46222</v>
      </c>
      <c r="F337" t="inlineStr">
        <is>
          <t>UPPSALA LÄN</t>
        </is>
      </c>
      <c r="G337" t="inlineStr">
        <is>
          <t>ENKÖPING</t>
        </is>
      </c>
      <c r="I337" t="n">
        <v>8.5</v>
      </c>
      <c r="J337" t="n">
        <v>0</v>
      </c>
      <c r="K337" t="n">
        <v>0</v>
      </c>
      <c r="L337" t="n">
        <v>0</v>
      </c>
      <c r="M337" t="n">
        <v>0</v>
      </c>
      <c r="N337" t="n">
        <v>0</v>
      </c>
      <c r="O337" t="n">
        <v>0</v>
      </c>
      <c r="P337" t="n">
        <v>0</v>
      </c>
      <c r="Q337" t="n">
        <v>0</v>
      </c>
      <c r="R337" t="n">
        <v>0</v>
      </c>
      <c r="S337" t="n">
        <v>0</v>
      </c>
      <c r="T337" t="n">
        <v>0</v>
      </c>
      <c r="U337" s="2" t="inlineStr"/>
    </row>
    <row r="338" ht="15" customHeight="1">
      <c r="A338" t="inlineStr">
        <is>
          <t>A 23889-2026</t>
        </is>
      </c>
      <c r="B338" t="inlineStr">
        <is>
          <t>avverkningsanmälan</t>
        </is>
      </c>
      <c r="C338" t="inlineStr">
        <is>
          <t>Föryngringsavverkning</t>
        </is>
      </c>
      <c r="D338" s="1" t="n">
        <v>46167</v>
      </c>
      <c r="E338" s="1" t="n">
        <v>46222</v>
      </c>
      <c r="F338" t="inlineStr">
        <is>
          <t>UPPSALA LÄN</t>
        </is>
      </c>
      <c r="G338" t="inlineStr">
        <is>
          <t>ENKÖPING</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60533-2021</t>
        </is>
      </c>
      <c r="B339" t="inlineStr">
        <is>
          <t>avverkningsanmälan</t>
        </is>
      </c>
      <c r="C339" t="inlineStr">
        <is>
          <t>Föryngringsavverkning</t>
        </is>
      </c>
      <c r="D339" s="1" t="n">
        <v>44496</v>
      </c>
      <c r="E339" s="1" t="n">
        <v>46222</v>
      </c>
      <c r="F339" t="inlineStr">
        <is>
          <t>UPPSALA LÄN</t>
        </is>
      </c>
      <c r="G339" t="inlineStr">
        <is>
          <t>ENKÖPING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15757-2023</t>
        </is>
      </c>
      <c r="B340" t="inlineStr">
        <is>
          <t>avverkningsanmälan</t>
        </is>
      </c>
      <c r="C340" t="inlineStr">
        <is>
          <t>Föryngringsavverkning</t>
        </is>
      </c>
      <c r="D340" s="1" t="n">
        <v>45021</v>
      </c>
      <c r="E340" s="1" t="n">
        <v>46222</v>
      </c>
      <c r="F340" t="inlineStr">
        <is>
          <t>UPPSALA LÄN</t>
        </is>
      </c>
      <c r="G340" t="inlineStr">
        <is>
          <t>ENKÖPING</t>
        </is>
      </c>
      <c r="I340" t="n">
        <v>3</v>
      </c>
      <c r="J340" t="n">
        <v>0</v>
      </c>
      <c r="K340" t="n">
        <v>0</v>
      </c>
      <c r="L340" t="n">
        <v>0</v>
      </c>
      <c r="M340" t="n">
        <v>0</v>
      </c>
      <c r="N340" t="n">
        <v>0</v>
      </c>
      <c r="O340" t="n">
        <v>0</v>
      </c>
      <c r="P340" t="n">
        <v>0</v>
      </c>
      <c r="Q340" t="n">
        <v>0</v>
      </c>
      <c r="R340" t="n">
        <v>0</v>
      </c>
      <c r="S340" t="n">
        <v>0</v>
      </c>
      <c r="T340" t="n">
        <v>0</v>
      </c>
      <c r="U340" s="2" t="inlineStr"/>
    </row>
    <row r="341" ht="15" customHeight="1">
      <c r="A341" t="inlineStr">
        <is>
          <t>A 43230-2023</t>
        </is>
      </c>
      <c r="B341" t="inlineStr">
        <is>
          <t>avverkningsanmälan</t>
        </is>
      </c>
      <c r="C341" t="inlineStr">
        <is>
          <t>Föryngringsavverkning</t>
        </is>
      </c>
      <c r="D341" s="1" t="n">
        <v>45183</v>
      </c>
      <c r="E341" s="1" t="n">
        <v>46222</v>
      </c>
      <c r="F341" t="inlineStr">
        <is>
          <t>UPPSALA LÄN</t>
        </is>
      </c>
      <c r="G341" t="inlineStr">
        <is>
          <t>ENKÖPING</t>
        </is>
      </c>
      <c r="I341" t="n">
        <v>2.1</v>
      </c>
      <c r="J341" t="n">
        <v>0</v>
      </c>
      <c r="K341" t="n">
        <v>0</v>
      </c>
      <c r="L341" t="n">
        <v>0</v>
      </c>
      <c r="M341" t="n">
        <v>0</v>
      </c>
      <c r="N341" t="n">
        <v>0</v>
      </c>
      <c r="O341" t="n">
        <v>0</v>
      </c>
      <c r="P341" t="n">
        <v>0</v>
      </c>
      <c r="Q341" t="n">
        <v>0</v>
      </c>
      <c r="R341" t="n">
        <v>0</v>
      </c>
      <c r="S341" t="n">
        <v>0</v>
      </c>
      <c r="T341" t="n">
        <v>0</v>
      </c>
      <c r="U341" s="2" t="inlineStr"/>
    </row>
    <row r="342" ht="15" customHeight="1">
      <c r="A342" t="inlineStr">
        <is>
          <t>A 56886-2023</t>
        </is>
      </c>
      <c r="B342" t="inlineStr">
        <is>
          <t>avverkningsanmälan</t>
        </is>
      </c>
      <c r="C342" t="inlineStr">
        <is>
          <t>Avverkning för annat ändamål</t>
        </is>
      </c>
      <c r="D342" s="1" t="n">
        <v>45239</v>
      </c>
      <c r="E342" s="1" t="n">
        <v>46222</v>
      </c>
      <c r="F342" t="inlineStr">
        <is>
          <t>UPPSALA LÄN</t>
        </is>
      </c>
      <c r="G342" t="inlineStr">
        <is>
          <t>ENKÖPING</t>
        </is>
      </c>
      <c r="I342" t="n">
        <v>2</v>
      </c>
      <c r="J342" t="n">
        <v>0</v>
      </c>
      <c r="K342" t="n">
        <v>0</v>
      </c>
      <c r="L342" t="n">
        <v>0</v>
      </c>
      <c r="M342" t="n">
        <v>0</v>
      </c>
      <c r="N342" t="n">
        <v>0</v>
      </c>
      <c r="O342" t="n">
        <v>0</v>
      </c>
      <c r="P342" t="n">
        <v>0</v>
      </c>
      <c r="Q342" t="n">
        <v>0</v>
      </c>
      <c r="R342" t="n">
        <v>0</v>
      </c>
      <c r="S342" t="n">
        <v>0</v>
      </c>
      <c r="T342" t="n">
        <v>0</v>
      </c>
      <c r="U342" s="2" t="inlineStr"/>
    </row>
    <row r="343" ht="15" customHeight="1">
      <c r="A343" t="inlineStr">
        <is>
          <t>A 30725-2026</t>
        </is>
      </c>
      <c r="B343" t="inlineStr">
        <is>
          <t>avverkningsanmälan</t>
        </is>
      </c>
      <c r="C343" t="inlineStr">
        <is>
          <t>Avverkning för annat ändamål</t>
        </is>
      </c>
      <c r="D343" s="1" t="n">
        <v>46211</v>
      </c>
      <c r="E343" s="1" t="n">
        <v>46222</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12102-2024</t>
        </is>
      </c>
      <c r="B344" t="inlineStr">
        <is>
          <t>avverkningsanmälan</t>
        </is>
      </c>
      <c r="C344" t="inlineStr">
        <is>
          <t>Föryngringsavverkning</t>
        </is>
      </c>
      <c r="D344" s="1" t="n">
        <v>45377</v>
      </c>
      <c r="E344" s="1" t="n">
        <v>46222</v>
      </c>
      <c r="F344" t="inlineStr">
        <is>
          <t>UPPSALA LÄN</t>
        </is>
      </c>
      <c r="G344" t="inlineStr">
        <is>
          <t>ENKÖPING</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56713-2024</t>
        </is>
      </c>
      <c r="B345" t="inlineStr">
        <is>
          <t>avverkningsanmälan</t>
        </is>
      </c>
      <c r="C345" t="inlineStr">
        <is>
          <t>Föryngringsavverkning</t>
        </is>
      </c>
      <c r="D345" s="1" t="n">
        <v>45628</v>
      </c>
      <c r="E345" s="1" t="n">
        <v>46222</v>
      </c>
      <c r="F345" t="inlineStr">
        <is>
          <t>UPPSALA LÄN</t>
        </is>
      </c>
      <c r="G345" t="inlineStr">
        <is>
          <t>ENKÖPING</t>
        </is>
      </c>
      <c r="I345" t="n">
        <v>1.7</v>
      </c>
      <c r="J345" t="n">
        <v>0</v>
      </c>
      <c r="K345" t="n">
        <v>0</v>
      </c>
      <c r="L345" t="n">
        <v>0</v>
      </c>
      <c r="M345" t="n">
        <v>0</v>
      </c>
      <c r="N345" t="n">
        <v>0</v>
      </c>
      <c r="O345" t="n">
        <v>0</v>
      </c>
      <c r="P345" t="n">
        <v>0</v>
      </c>
      <c r="Q345" t="n">
        <v>0</v>
      </c>
      <c r="R345" t="n">
        <v>0</v>
      </c>
      <c r="S345" t="n">
        <v>0</v>
      </c>
      <c r="T345" t="n">
        <v>0</v>
      </c>
      <c r="U345" s="2" t="inlineStr"/>
    </row>
    <row r="346" ht="15" customHeight="1">
      <c r="A346" t="inlineStr">
        <is>
          <t>A 45283-2022</t>
        </is>
      </c>
      <c r="B346" t="inlineStr">
        <is>
          <t>avverkningsanmälan</t>
        </is>
      </c>
      <c r="C346" t="inlineStr">
        <is>
          <t>Föryngringsavverkning</t>
        </is>
      </c>
      <c r="D346" s="1" t="n">
        <v>44844</v>
      </c>
      <c r="E346" s="1" t="n">
        <v>46222</v>
      </c>
      <c r="F346" t="inlineStr">
        <is>
          <t>UPPSALA LÄN</t>
        </is>
      </c>
      <c r="G346" t="inlineStr">
        <is>
          <t>ENKÖPING</t>
        </is>
      </c>
      <c r="I346" t="n">
        <v>5.9</v>
      </c>
      <c r="J346" t="n">
        <v>0</v>
      </c>
      <c r="K346" t="n">
        <v>0</v>
      </c>
      <c r="L346" t="n">
        <v>0</v>
      </c>
      <c r="M346" t="n">
        <v>0</v>
      </c>
      <c r="N346" t="n">
        <v>0</v>
      </c>
      <c r="O346" t="n">
        <v>0</v>
      </c>
      <c r="P346" t="n">
        <v>0</v>
      </c>
      <c r="Q346" t="n">
        <v>0</v>
      </c>
      <c r="R346" t="n">
        <v>0</v>
      </c>
      <c r="S346" t="n">
        <v>0</v>
      </c>
      <c r="T346" t="n">
        <v>0</v>
      </c>
      <c r="U346" s="2" t="inlineStr"/>
    </row>
    <row r="347" ht="15" customHeight="1">
      <c r="A347" t="inlineStr">
        <is>
          <t>A 58147-2024</t>
        </is>
      </c>
      <c r="B347" t="inlineStr">
        <is>
          <t>avverkningsanmälan</t>
        </is>
      </c>
      <c r="C347" t="inlineStr">
        <is>
          <t>Föryngringsavverkning</t>
        </is>
      </c>
      <c r="D347" s="1" t="n">
        <v>45632</v>
      </c>
      <c r="E347" s="1" t="n">
        <v>46222</v>
      </c>
      <c r="F347" t="inlineStr">
        <is>
          <t>UPPSALA LÄN</t>
        </is>
      </c>
      <c r="G347" t="inlineStr">
        <is>
          <t>ENKÖPING</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34735-2023</t>
        </is>
      </c>
      <c r="B348" t="inlineStr">
        <is>
          <t>avverkningsanmälan</t>
        </is>
      </c>
      <c r="C348" t="inlineStr">
        <is>
          <t>Föryngringsavverkning</t>
        </is>
      </c>
      <c r="D348" s="1" t="n">
        <v>45139</v>
      </c>
      <c r="E348" s="1" t="n">
        <v>46222</v>
      </c>
      <c r="F348" t="inlineStr">
        <is>
          <t>UPPSALA LÄN</t>
        </is>
      </c>
      <c r="G348" t="inlineStr">
        <is>
          <t>ENKÖPING</t>
        </is>
      </c>
      <c r="I348" t="n">
        <v>1.4</v>
      </c>
      <c r="J348" t="n">
        <v>0</v>
      </c>
      <c r="K348" t="n">
        <v>0</v>
      </c>
      <c r="L348" t="n">
        <v>0</v>
      </c>
      <c r="M348" t="n">
        <v>0</v>
      </c>
      <c r="N348" t="n">
        <v>0</v>
      </c>
      <c r="O348" t="n">
        <v>0</v>
      </c>
      <c r="P348" t="n">
        <v>0</v>
      </c>
      <c r="Q348" t="n">
        <v>0</v>
      </c>
      <c r="R348" t="n">
        <v>0</v>
      </c>
      <c r="S348" t="n">
        <v>0</v>
      </c>
      <c r="T348" t="n">
        <v>0</v>
      </c>
      <c r="U348" s="2" t="inlineStr"/>
    </row>
    <row r="349" ht="15" customHeight="1">
      <c r="A349" t="inlineStr">
        <is>
          <t>A 24887-2026</t>
        </is>
      </c>
      <c r="B349" t="inlineStr">
        <is>
          <t>avverkningsanmälan</t>
        </is>
      </c>
      <c r="C349" t="inlineStr">
        <is>
          <t>Föryngringsavverkning</t>
        </is>
      </c>
      <c r="D349" s="1" t="n">
        <v>46174</v>
      </c>
      <c r="E349" s="1" t="n">
        <v>46222</v>
      </c>
      <c r="F349" t="inlineStr">
        <is>
          <t>UPPSALA LÄN</t>
        </is>
      </c>
      <c r="G349" t="inlineStr">
        <is>
          <t>ENKÖPING</t>
        </is>
      </c>
      <c r="I349" t="n">
        <v>8</v>
      </c>
      <c r="J349" t="n">
        <v>0</v>
      </c>
      <c r="K349" t="n">
        <v>0</v>
      </c>
      <c r="L349" t="n">
        <v>0</v>
      </c>
      <c r="M349" t="n">
        <v>0</v>
      </c>
      <c r="N349" t="n">
        <v>0</v>
      </c>
      <c r="O349" t="n">
        <v>0</v>
      </c>
      <c r="P349" t="n">
        <v>0</v>
      </c>
      <c r="Q349" t="n">
        <v>0</v>
      </c>
      <c r="R349" t="n">
        <v>0</v>
      </c>
      <c r="S349" t="n">
        <v>0</v>
      </c>
      <c r="T349" t="n">
        <v>0</v>
      </c>
      <c r="U349" s="2" t="inlineStr"/>
    </row>
    <row r="350" ht="15" customHeight="1">
      <c r="A350" t="inlineStr">
        <is>
          <t>A 50006-2023</t>
        </is>
      </c>
      <c r="B350" t="inlineStr">
        <is>
          <t>avverkningsanmälan</t>
        </is>
      </c>
      <c r="C350" t="inlineStr">
        <is>
          <t>Föryngringsavverkning</t>
        </is>
      </c>
      <c r="D350" s="1" t="n">
        <v>45215</v>
      </c>
      <c r="E350" s="1" t="n">
        <v>46222</v>
      </c>
      <c r="F350" t="inlineStr">
        <is>
          <t>UPPSALA LÄN</t>
        </is>
      </c>
      <c r="G350" t="inlineStr">
        <is>
          <t>ENKÖPING</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57209-2024</t>
        </is>
      </c>
      <c r="B351" t="inlineStr">
        <is>
          <t>avverkningsanmälan</t>
        </is>
      </c>
      <c r="C351" t="inlineStr">
        <is>
          <t>Föryngringsavverkning</t>
        </is>
      </c>
      <c r="D351" s="1" t="n">
        <v>45629</v>
      </c>
      <c r="E351" s="1" t="n">
        <v>46222</v>
      </c>
      <c r="F351" t="inlineStr">
        <is>
          <t>UPPSALA LÄN</t>
        </is>
      </c>
      <c r="G351" t="inlineStr">
        <is>
          <t>ENKÖPING</t>
        </is>
      </c>
      <c r="I351" t="n">
        <v>3.2</v>
      </c>
      <c r="J351" t="n">
        <v>0</v>
      </c>
      <c r="K351" t="n">
        <v>0</v>
      </c>
      <c r="L351" t="n">
        <v>0</v>
      </c>
      <c r="M351" t="n">
        <v>0</v>
      </c>
      <c r="N351" t="n">
        <v>0</v>
      </c>
      <c r="O351" t="n">
        <v>0</v>
      </c>
      <c r="P351" t="n">
        <v>0</v>
      </c>
      <c r="Q351" t="n">
        <v>0</v>
      </c>
      <c r="R351" t="n">
        <v>0</v>
      </c>
      <c r="S351" t="n">
        <v>0</v>
      </c>
      <c r="T351" t="n">
        <v>0</v>
      </c>
      <c r="U351" s="2" t="inlineStr"/>
    </row>
    <row r="352" ht="15" customHeight="1">
      <c r="A352" t="inlineStr">
        <is>
          <t>A 13110-2023</t>
        </is>
      </c>
      <c r="B352" t="inlineStr">
        <is>
          <t>avverkningsanmälan</t>
        </is>
      </c>
      <c r="C352" t="inlineStr">
        <is>
          <t>Föryngringsavverkning</t>
        </is>
      </c>
      <c r="D352" s="1" t="n">
        <v>45001</v>
      </c>
      <c r="E352" s="1" t="n">
        <v>46222</v>
      </c>
      <c r="F352" t="inlineStr">
        <is>
          <t>UPPSALA LÄN</t>
        </is>
      </c>
      <c r="G352" t="inlineStr">
        <is>
          <t>ENKÖPING</t>
        </is>
      </c>
      <c r="I352" t="n">
        <v>2.5</v>
      </c>
      <c r="J352" t="n">
        <v>0</v>
      </c>
      <c r="K352" t="n">
        <v>0</v>
      </c>
      <c r="L352" t="n">
        <v>0</v>
      </c>
      <c r="M352" t="n">
        <v>0</v>
      </c>
      <c r="N352" t="n">
        <v>0</v>
      </c>
      <c r="O352" t="n">
        <v>0</v>
      </c>
      <c r="P352" t="n">
        <v>0</v>
      </c>
      <c r="Q352" t="n">
        <v>0</v>
      </c>
      <c r="R352" t="n">
        <v>0</v>
      </c>
      <c r="S352" t="n">
        <v>0</v>
      </c>
      <c r="T352" t="n">
        <v>0</v>
      </c>
      <c r="U352" s="2" t="inlineStr"/>
    </row>
    <row r="353" ht="15" customHeight="1">
      <c r="A353" t="inlineStr">
        <is>
          <t>A 49627-2024</t>
        </is>
      </c>
      <c r="B353" t="inlineStr">
        <is>
          <t>avverkningsanmälan</t>
        </is>
      </c>
      <c r="C353" t="inlineStr">
        <is>
          <t>Föryngringsavverkning</t>
        </is>
      </c>
      <c r="D353" s="1" t="n">
        <v>45596</v>
      </c>
      <c r="E353" s="1" t="n">
        <v>46222</v>
      </c>
      <c r="F353" t="inlineStr">
        <is>
          <t>UPPSALA LÄN</t>
        </is>
      </c>
      <c r="G353" t="inlineStr">
        <is>
          <t>ENKÖPING</t>
        </is>
      </c>
      <c r="I353" t="n">
        <v>0.4</v>
      </c>
      <c r="J353" t="n">
        <v>0</v>
      </c>
      <c r="K353" t="n">
        <v>0</v>
      </c>
      <c r="L353" t="n">
        <v>0</v>
      </c>
      <c r="M353" t="n">
        <v>0</v>
      </c>
      <c r="N353" t="n">
        <v>0</v>
      </c>
      <c r="O353" t="n">
        <v>0</v>
      </c>
      <c r="P353" t="n">
        <v>0</v>
      </c>
      <c r="Q353" t="n">
        <v>0</v>
      </c>
      <c r="R353" t="n">
        <v>0</v>
      </c>
      <c r="S353" t="n">
        <v>0</v>
      </c>
      <c r="T353" t="n">
        <v>0</v>
      </c>
      <c r="U353" s="2" t="inlineStr"/>
    </row>
    <row r="354" ht="15" customHeight="1">
      <c r="A354" t="inlineStr">
        <is>
          <t>A 9231-2023</t>
        </is>
      </c>
      <c r="B354" t="inlineStr">
        <is>
          <t>avverkningsanmälan</t>
        </is>
      </c>
      <c r="C354" t="inlineStr">
        <is>
          <t>Föryngringsavverkning</t>
        </is>
      </c>
      <c r="D354" s="1" t="n">
        <v>44980</v>
      </c>
      <c r="E354" s="1" t="n">
        <v>46222</v>
      </c>
      <c r="F354" t="inlineStr">
        <is>
          <t>UPPSALA LÄN</t>
        </is>
      </c>
      <c r="G354" t="inlineStr">
        <is>
          <t>ENKÖPING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27538-2023</t>
        </is>
      </c>
      <c r="B355" t="inlineStr">
        <is>
          <t>avverkningsanmälan</t>
        </is>
      </c>
      <c r="C355" t="inlineStr">
        <is>
          <t>Föryngringsavverkning</t>
        </is>
      </c>
      <c r="D355" s="1" t="n">
        <v>45097</v>
      </c>
      <c r="E355" s="1" t="n">
        <v>46222</v>
      </c>
      <c r="F355" t="inlineStr">
        <is>
          <t>UPPSALA LÄN</t>
        </is>
      </c>
      <c r="G355" t="inlineStr">
        <is>
          <t>ENKÖPING</t>
        </is>
      </c>
      <c r="I355" t="n">
        <v>5.8</v>
      </c>
      <c r="J355" t="n">
        <v>0</v>
      </c>
      <c r="K355" t="n">
        <v>0</v>
      </c>
      <c r="L355" t="n">
        <v>0</v>
      </c>
      <c r="M355" t="n">
        <v>0</v>
      </c>
      <c r="N355" t="n">
        <v>0</v>
      </c>
      <c r="O355" t="n">
        <v>0</v>
      </c>
      <c r="P355" t="n">
        <v>0</v>
      </c>
      <c r="Q355" t="n">
        <v>0</v>
      </c>
      <c r="R355" t="n">
        <v>0</v>
      </c>
      <c r="S355" t="n">
        <v>0</v>
      </c>
      <c r="T355" t="n">
        <v>0</v>
      </c>
      <c r="U355" s="2" t="inlineStr"/>
    </row>
    <row r="356" ht="15" customHeight="1">
      <c r="A356" t="inlineStr">
        <is>
          <t>A 18821-2023</t>
        </is>
      </c>
      <c r="B356" t="inlineStr">
        <is>
          <t>avverkningsanmälan</t>
        </is>
      </c>
      <c r="C356" t="inlineStr">
        <is>
          <t>Föryngringsavverkning</t>
        </is>
      </c>
      <c r="D356" s="1" t="n">
        <v>45044</v>
      </c>
      <c r="E356" s="1" t="n">
        <v>46222</v>
      </c>
      <c r="F356" t="inlineStr">
        <is>
          <t>UPPSALA LÄN</t>
        </is>
      </c>
      <c r="G356" t="inlineStr">
        <is>
          <t>ENKÖPING</t>
        </is>
      </c>
      <c r="I356" t="n">
        <v>6</v>
      </c>
      <c r="J356" t="n">
        <v>0</v>
      </c>
      <c r="K356" t="n">
        <v>0</v>
      </c>
      <c r="L356" t="n">
        <v>0</v>
      </c>
      <c r="M356" t="n">
        <v>0</v>
      </c>
      <c r="N356" t="n">
        <v>0</v>
      </c>
      <c r="O356" t="n">
        <v>0</v>
      </c>
      <c r="P356" t="n">
        <v>0</v>
      </c>
      <c r="Q356" t="n">
        <v>0</v>
      </c>
      <c r="R356" t="n">
        <v>0</v>
      </c>
      <c r="S356" t="n">
        <v>0</v>
      </c>
      <c r="T356" t="n">
        <v>0</v>
      </c>
      <c r="U356" s="2" t="inlineStr"/>
    </row>
    <row r="357" ht="15" customHeight="1">
      <c r="A357" t="inlineStr">
        <is>
          <t>A 25557-2026</t>
        </is>
      </c>
      <c r="B357" t="inlineStr">
        <is>
          <t>avverkningsanmälan</t>
        </is>
      </c>
      <c r="C357" t="inlineStr">
        <is>
          <t>Föryngringsavverkning</t>
        </is>
      </c>
      <c r="D357" s="1" t="n">
        <v>46177</v>
      </c>
      <c r="E357" s="1" t="n">
        <v>46222</v>
      </c>
      <c r="F357" t="inlineStr">
        <is>
          <t>UPPSALA LÄN</t>
        </is>
      </c>
      <c r="G357" t="inlineStr">
        <is>
          <t>ENKÖPING</t>
        </is>
      </c>
      <c r="I357" t="n">
        <v>4.5</v>
      </c>
      <c r="J357" t="n">
        <v>0</v>
      </c>
      <c r="K357" t="n">
        <v>0</v>
      </c>
      <c r="L357" t="n">
        <v>0</v>
      </c>
      <c r="M357" t="n">
        <v>0</v>
      </c>
      <c r="N357" t="n">
        <v>0</v>
      </c>
      <c r="O357" t="n">
        <v>0</v>
      </c>
      <c r="P357" t="n">
        <v>0</v>
      </c>
      <c r="Q357" t="n">
        <v>0</v>
      </c>
      <c r="R357" t="n">
        <v>0</v>
      </c>
      <c r="S357" t="n">
        <v>0</v>
      </c>
      <c r="T357" t="n">
        <v>0</v>
      </c>
      <c r="U357" s="2" t="inlineStr"/>
    </row>
    <row r="358" ht="15" customHeight="1">
      <c r="A358" t="inlineStr">
        <is>
          <t>A 25566-2026</t>
        </is>
      </c>
      <c r="B358" t="inlineStr">
        <is>
          <t>avverkningsanmälan</t>
        </is>
      </c>
      <c r="C358" t="inlineStr">
        <is>
          <t>Föryngringsavverkning</t>
        </is>
      </c>
      <c r="D358" s="1" t="n">
        <v>46177</v>
      </c>
      <c r="E358" s="1" t="n">
        <v>46222</v>
      </c>
      <c r="F358" t="inlineStr">
        <is>
          <t>UPPSALA LÄN</t>
        </is>
      </c>
      <c r="G358" t="inlineStr">
        <is>
          <t>ENKÖPING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9041-2023</t>
        </is>
      </c>
      <c r="B359" t="inlineStr">
        <is>
          <t>avverkningsanmälan</t>
        </is>
      </c>
      <c r="C359" t="inlineStr">
        <is>
          <t>Föryngringsavverkning</t>
        </is>
      </c>
      <c r="D359" s="1" t="n">
        <v>44979</v>
      </c>
      <c r="E359" s="1" t="n">
        <v>46222</v>
      </c>
      <c r="F359" t="inlineStr">
        <is>
          <t>UPPSALA LÄN</t>
        </is>
      </c>
      <c r="G359" t="inlineStr">
        <is>
          <t>ENKÖPING</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27786-2023</t>
        </is>
      </c>
      <c r="B360" t="inlineStr">
        <is>
          <t>avverkningsanmälan</t>
        </is>
      </c>
      <c r="C360" t="inlineStr">
        <is>
          <t>Föryngringsavverkning</t>
        </is>
      </c>
      <c r="D360" s="1" t="n">
        <v>45098</v>
      </c>
      <c r="E360" s="1" t="n">
        <v>46222</v>
      </c>
      <c r="F360" t="inlineStr">
        <is>
          <t>UPPSALA LÄN</t>
        </is>
      </c>
      <c r="G360" t="inlineStr">
        <is>
          <t>ENKÖPING</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15942-2022</t>
        </is>
      </c>
      <c r="B361" t="inlineStr">
        <is>
          <t>avverkningsanmälan</t>
        </is>
      </c>
      <c r="C361" t="inlineStr">
        <is>
          <t>Föryngringsavverkning</t>
        </is>
      </c>
      <c r="D361" s="1" t="n">
        <v>44664</v>
      </c>
      <c r="E361" s="1" t="n">
        <v>46222</v>
      </c>
      <c r="F361" t="inlineStr">
        <is>
          <t>UPPSALA LÄN</t>
        </is>
      </c>
      <c r="G361" t="inlineStr">
        <is>
          <t>ENKÖPING</t>
        </is>
      </c>
      <c r="I361" t="n">
        <v>6.6</v>
      </c>
      <c r="J361" t="n">
        <v>0</v>
      </c>
      <c r="K361" t="n">
        <v>0</v>
      </c>
      <c r="L361" t="n">
        <v>0</v>
      </c>
      <c r="M361" t="n">
        <v>0</v>
      </c>
      <c r="N361" t="n">
        <v>0</v>
      </c>
      <c r="O361" t="n">
        <v>0</v>
      </c>
      <c r="P361" t="n">
        <v>0</v>
      </c>
      <c r="Q361" t="n">
        <v>0</v>
      </c>
      <c r="R361" t="n">
        <v>0</v>
      </c>
      <c r="S361" t="n">
        <v>0</v>
      </c>
      <c r="T361" t="n">
        <v>0</v>
      </c>
      <c r="U361" s="2" t="inlineStr"/>
    </row>
    <row r="362" ht="15" customHeight="1">
      <c r="A362" t="inlineStr">
        <is>
          <t>A 53607-2023</t>
        </is>
      </c>
      <c r="B362" t="inlineStr">
        <is>
          <t>avverkningsanmälan</t>
        </is>
      </c>
      <c r="C362" t="inlineStr">
        <is>
          <t>Föryngringsavverkning</t>
        </is>
      </c>
      <c r="D362" s="1" t="n">
        <v>45230</v>
      </c>
      <c r="E362" s="1" t="n">
        <v>46222</v>
      </c>
      <c r="F362" t="inlineStr">
        <is>
          <t>UPPSALA LÄN</t>
        </is>
      </c>
      <c r="G362" t="inlineStr">
        <is>
          <t>ENKÖPING</t>
        </is>
      </c>
      <c r="H362" t="inlineStr">
        <is>
          <t>Allmännings- och besparingsskogar</t>
        </is>
      </c>
      <c r="I362" t="n">
        <v>6.3</v>
      </c>
      <c r="J362" t="n">
        <v>0</v>
      </c>
      <c r="K362" t="n">
        <v>0</v>
      </c>
      <c r="L362" t="n">
        <v>0</v>
      </c>
      <c r="M362" t="n">
        <v>0</v>
      </c>
      <c r="N362" t="n">
        <v>0</v>
      </c>
      <c r="O362" t="n">
        <v>0</v>
      </c>
      <c r="P362" t="n">
        <v>0</v>
      </c>
      <c r="Q362" t="n">
        <v>0</v>
      </c>
      <c r="R362" t="n">
        <v>0</v>
      </c>
      <c r="S362" t="n">
        <v>0</v>
      </c>
      <c r="T362" t="n">
        <v>0</v>
      </c>
      <c r="U362" s="2" t="inlineStr"/>
    </row>
    <row r="363" ht="15" customHeight="1">
      <c r="A363" t="inlineStr">
        <is>
          <t>A 59497-2022</t>
        </is>
      </c>
      <c r="B363" t="inlineStr">
        <is>
          <t>avverkningsanmälan</t>
        </is>
      </c>
      <c r="C363" t="inlineStr">
        <is>
          <t>Föryngringsavverkning</t>
        </is>
      </c>
      <c r="D363" s="1" t="n">
        <v>44907</v>
      </c>
      <c r="E363" s="1" t="n">
        <v>46222</v>
      </c>
      <c r="F363" t="inlineStr">
        <is>
          <t>UPPSALA LÄN</t>
        </is>
      </c>
      <c r="G363" t="inlineStr">
        <is>
          <t>ENKÖPING</t>
        </is>
      </c>
      <c r="I363" t="n">
        <v>1.1</v>
      </c>
      <c r="J363" t="n">
        <v>0</v>
      </c>
      <c r="K363" t="n">
        <v>0</v>
      </c>
      <c r="L363" t="n">
        <v>0</v>
      </c>
      <c r="M363" t="n">
        <v>0</v>
      </c>
      <c r="N363" t="n">
        <v>0</v>
      </c>
      <c r="O363" t="n">
        <v>0</v>
      </c>
      <c r="P363" t="n">
        <v>0</v>
      </c>
      <c r="Q363" t="n">
        <v>0</v>
      </c>
      <c r="R363" t="n">
        <v>0</v>
      </c>
      <c r="S363" t="n">
        <v>0</v>
      </c>
      <c r="T363" t="n">
        <v>0</v>
      </c>
      <c r="U363" s="2" t="inlineStr"/>
    </row>
    <row r="364" ht="15" customHeight="1">
      <c r="A364" t="inlineStr">
        <is>
          <t>A 49614-2024</t>
        </is>
      </c>
      <c r="B364" t="inlineStr">
        <is>
          <t>avverkningsanmälan</t>
        </is>
      </c>
      <c r="C364" t="inlineStr">
        <is>
          <t>Föryngringsavverkning</t>
        </is>
      </c>
      <c r="D364" s="1" t="n">
        <v>45596</v>
      </c>
      <c r="E364" s="1" t="n">
        <v>46222</v>
      </c>
      <c r="F364" t="inlineStr">
        <is>
          <t>UPPSALA LÄN</t>
        </is>
      </c>
      <c r="G364" t="inlineStr">
        <is>
          <t>ENKÖPING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12878-2025</t>
        </is>
      </c>
      <c r="B365" t="inlineStr">
        <is>
          <t>avverkningsanmälan</t>
        </is>
      </c>
      <c r="C365" t="inlineStr">
        <is>
          <t>Föryngringsavverkning</t>
        </is>
      </c>
      <c r="D365" s="1" t="n">
        <v>45733</v>
      </c>
      <c r="E365" s="1" t="n">
        <v>46222</v>
      </c>
      <c r="F365" t="inlineStr">
        <is>
          <t>UPPSALA LÄN</t>
        </is>
      </c>
      <c r="G365" t="inlineStr">
        <is>
          <t>ENKÖPING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52889-2022</t>
        </is>
      </c>
      <c r="B366" t="inlineStr">
        <is>
          <t>avverkningsanmälan</t>
        </is>
      </c>
      <c r="C366" t="inlineStr">
        <is>
          <t>Föryngringsavverkning</t>
        </is>
      </c>
      <c r="D366" s="1" t="n">
        <v>44875</v>
      </c>
      <c r="E366" s="1" t="n">
        <v>46222</v>
      </c>
      <c r="F366" t="inlineStr">
        <is>
          <t>UPPSALA LÄN</t>
        </is>
      </c>
      <c r="G366" t="inlineStr">
        <is>
          <t>ENKÖPING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47681-2024</t>
        </is>
      </c>
      <c r="B367" t="inlineStr">
        <is>
          <t>avverkningsanmälan</t>
        </is>
      </c>
      <c r="C367" t="inlineStr">
        <is>
          <t>Föryngringsavverkning</t>
        </is>
      </c>
      <c r="D367" s="1" t="n">
        <v>45588</v>
      </c>
      <c r="E367" s="1" t="n">
        <v>46222</v>
      </c>
      <c r="F367" t="inlineStr">
        <is>
          <t>UPPSALA LÄN</t>
        </is>
      </c>
      <c r="G367" t="inlineStr">
        <is>
          <t>ENKÖPING</t>
        </is>
      </c>
      <c r="I367" t="n">
        <v>4.2</v>
      </c>
      <c r="J367" t="n">
        <v>0</v>
      </c>
      <c r="K367" t="n">
        <v>0</v>
      </c>
      <c r="L367" t="n">
        <v>0</v>
      </c>
      <c r="M367" t="n">
        <v>0</v>
      </c>
      <c r="N367" t="n">
        <v>0</v>
      </c>
      <c r="O367" t="n">
        <v>0</v>
      </c>
      <c r="P367" t="n">
        <v>0</v>
      </c>
      <c r="Q367" t="n">
        <v>0</v>
      </c>
      <c r="R367" t="n">
        <v>0</v>
      </c>
      <c r="S367" t="n">
        <v>0</v>
      </c>
      <c r="T367" t="n">
        <v>0</v>
      </c>
      <c r="U367" s="2" t="inlineStr"/>
    </row>
    <row r="368" ht="15" customHeight="1">
      <c r="A368" t="inlineStr">
        <is>
          <t>A 12754-2025</t>
        </is>
      </c>
      <c r="B368" t="inlineStr">
        <is>
          <t>avverkningsanmälan</t>
        </is>
      </c>
      <c r="C368" t="inlineStr">
        <is>
          <t>Föryngringsavverkning</t>
        </is>
      </c>
      <c r="D368" s="1" t="n">
        <v>45733</v>
      </c>
      <c r="E368" s="1" t="n">
        <v>46222</v>
      </c>
      <c r="F368" t="inlineStr">
        <is>
          <t>UPPSALA LÄN</t>
        </is>
      </c>
      <c r="G368" t="inlineStr">
        <is>
          <t>ENKÖPING</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54588-2024</t>
        </is>
      </c>
      <c r="B369" t="inlineStr">
        <is>
          <t>avverkningsanmälan</t>
        </is>
      </c>
      <c r="C369" t="inlineStr">
        <is>
          <t>Föryngringsavverkning</t>
        </is>
      </c>
      <c r="D369" s="1" t="n">
        <v>45617</v>
      </c>
      <c r="E369" s="1" t="n">
        <v>46222</v>
      </c>
      <c r="F369" t="inlineStr">
        <is>
          <t>UPPSALA LÄN</t>
        </is>
      </c>
      <c r="G369" t="inlineStr">
        <is>
          <t>ENKÖPING</t>
        </is>
      </c>
      <c r="I369" t="n">
        <v>3.7</v>
      </c>
      <c r="J369" t="n">
        <v>0</v>
      </c>
      <c r="K369" t="n">
        <v>0</v>
      </c>
      <c r="L369" t="n">
        <v>0</v>
      </c>
      <c r="M369" t="n">
        <v>0</v>
      </c>
      <c r="N369" t="n">
        <v>0</v>
      </c>
      <c r="O369" t="n">
        <v>0</v>
      </c>
      <c r="P369" t="n">
        <v>0</v>
      </c>
      <c r="Q369" t="n">
        <v>0</v>
      </c>
      <c r="R369" t="n">
        <v>0</v>
      </c>
      <c r="S369" t="n">
        <v>0</v>
      </c>
      <c r="T369" t="n">
        <v>0</v>
      </c>
      <c r="U369" s="2" t="inlineStr"/>
    </row>
    <row r="370" ht="15" customHeight="1">
      <c r="A370" t="inlineStr">
        <is>
          <t>A 51524-2022</t>
        </is>
      </c>
      <c r="B370" t="inlineStr">
        <is>
          <t>avverkningsanmälan</t>
        </is>
      </c>
      <c r="C370" t="inlineStr">
        <is>
          <t>Föryngringsavverkning</t>
        </is>
      </c>
      <c r="D370" s="1" t="n">
        <v>44869</v>
      </c>
      <c r="E370" s="1" t="n">
        <v>46222</v>
      </c>
      <c r="F370" t="inlineStr">
        <is>
          <t>UPPSALA LÄN</t>
        </is>
      </c>
      <c r="G370" t="inlineStr">
        <is>
          <t>ENKÖPING</t>
        </is>
      </c>
      <c r="I370" t="n">
        <v>6.6</v>
      </c>
      <c r="J370" t="n">
        <v>0</v>
      </c>
      <c r="K370" t="n">
        <v>0</v>
      </c>
      <c r="L370" t="n">
        <v>0</v>
      </c>
      <c r="M370" t="n">
        <v>0</v>
      </c>
      <c r="N370" t="n">
        <v>0</v>
      </c>
      <c r="O370" t="n">
        <v>0</v>
      </c>
      <c r="P370" t="n">
        <v>0</v>
      </c>
      <c r="Q370" t="n">
        <v>0</v>
      </c>
      <c r="R370" t="n">
        <v>0</v>
      </c>
      <c r="S370" t="n">
        <v>0</v>
      </c>
      <c r="T370" t="n">
        <v>0</v>
      </c>
      <c r="U370" s="2" t="inlineStr"/>
    </row>
    <row r="371" ht="15" customHeight="1">
      <c r="A371" t="inlineStr">
        <is>
          <t>A 8137-2025</t>
        </is>
      </c>
      <c r="B371" t="inlineStr">
        <is>
          <t>avverkningsanmälan</t>
        </is>
      </c>
      <c r="C371" t="inlineStr">
        <is>
          <t>Föryngringsavverkning</t>
        </is>
      </c>
      <c r="D371" s="1" t="n">
        <v>45707</v>
      </c>
      <c r="E371" s="1" t="n">
        <v>46222</v>
      </c>
      <c r="F371" t="inlineStr">
        <is>
          <t>UPPSALA LÄN</t>
        </is>
      </c>
      <c r="G371" t="inlineStr">
        <is>
          <t>ENKÖPING</t>
        </is>
      </c>
      <c r="I371" t="n">
        <v>0.4</v>
      </c>
      <c r="J371" t="n">
        <v>0</v>
      </c>
      <c r="K371" t="n">
        <v>0</v>
      </c>
      <c r="L371" t="n">
        <v>0</v>
      </c>
      <c r="M371" t="n">
        <v>0</v>
      </c>
      <c r="N371" t="n">
        <v>0</v>
      </c>
      <c r="O371" t="n">
        <v>0</v>
      </c>
      <c r="P371" t="n">
        <v>0</v>
      </c>
      <c r="Q371" t="n">
        <v>0</v>
      </c>
      <c r="R371" t="n">
        <v>0</v>
      </c>
      <c r="S371" t="n">
        <v>0</v>
      </c>
      <c r="T371" t="n">
        <v>0</v>
      </c>
      <c r="U371" s="2" t="inlineStr"/>
    </row>
    <row r="372" ht="15" customHeight="1">
      <c r="A372" t="inlineStr">
        <is>
          <t>A 7868-2024</t>
        </is>
      </c>
      <c r="B372" t="inlineStr">
        <is>
          <t>avverkningsanmälan</t>
        </is>
      </c>
      <c r="C372" t="inlineStr">
        <is>
          <t>Föryngringsavverkning</t>
        </is>
      </c>
      <c r="D372" s="1" t="n">
        <v>45350</v>
      </c>
      <c r="E372" s="1" t="n">
        <v>46222</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s="2" t="inlineStr"/>
    </row>
    <row r="373" ht="15" customHeight="1">
      <c r="A373" t="inlineStr">
        <is>
          <t>A 35052-2024</t>
        </is>
      </c>
      <c r="B373" t="inlineStr">
        <is>
          <t>avverkningsanmälan</t>
        </is>
      </c>
      <c r="C373" t="inlineStr">
        <is>
          <t>Föryngringsavverkning</t>
        </is>
      </c>
      <c r="D373" s="1" t="n">
        <v>45527</v>
      </c>
      <c r="E373" s="1" t="n">
        <v>46222</v>
      </c>
      <c r="F373" t="inlineStr">
        <is>
          <t>UPPSALA LÄN</t>
        </is>
      </c>
      <c r="G373" t="inlineStr">
        <is>
          <t>ENKÖPING</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14518-2025</t>
        </is>
      </c>
      <c r="B374" t="inlineStr">
        <is>
          <t>avverkningsanmälan</t>
        </is>
      </c>
      <c r="C374" t="inlineStr">
        <is>
          <t>Föryngringsavverkning</t>
        </is>
      </c>
      <c r="D374" s="1" t="n">
        <v>45741</v>
      </c>
      <c r="E374" s="1" t="n">
        <v>46222</v>
      </c>
      <c r="F374" t="inlineStr">
        <is>
          <t>UPPSALA LÄN</t>
        </is>
      </c>
      <c r="G374" t="inlineStr">
        <is>
          <t>ENKÖPING</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54776-2024</t>
        </is>
      </c>
      <c r="B375" t="inlineStr">
        <is>
          <t>avverkningsanmälan</t>
        </is>
      </c>
      <c r="C375" t="inlineStr">
        <is>
          <t>Föryngringsavverkning</t>
        </is>
      </c>
      <c r="D375" s="1" t="n">
        <v>45618</v>
      </c>
      <c r="E375" s="1" t="n">
        <v>46222</v>
      </c>
      <c r="F375" t="inlineStr">
        <is>
          <t>UPPSALA LÄN</t>
        </is>
      </c>
      <c r="G375" t="inlineStr">
        <is>
          <t>ENKÖPING</t>
        </is>
      </c>
      <c r="I375" t="n">
        <v>1.8</v>
      </c>
      <c r="J375" t="n">
        <v>0</v>
      </c>
      <c r="K375" t="n">
        <v>0</v>
      </c>
      <c r="L375" t="n">
        <v>0</v>
      </c>
      <c r="M375" t="n">
        <v>0</v>
      </c>
      <c r="N375" t="n">
        <v>0</v>
      </c>
      <c r="O375" t="n">
        <v>0</v>
      </c>
      <c r="P375" t="n">
        <v>0</v>
      </c>
      <c r="Q375" t="n">
        <v>0</v>
      </c>
      <c r="R375" t="n">
        <v>0</v>
      </c>
      <c r="S375" t="n">
        <v>0</v>
      </c>
      <c r="T375" t="n">
        <v>0</v>
      </c>
      <c r="U375" s="2" t="inlineStr"/>
    </row>
    <row r="376" ht="15" customHeight="1">
      <c r="A376" t="inlineStr">
        <is>
          <t>A 30087-2024</t>
        </is>
      </c>
      <c r="B376" t="inlineStr">
        <is>
          <t>avverkningsanmälan</t>
        </is>
      </c>
      <c r="C376" t="inlineStr">
        <is>
          <t>Föryngringsavverkning</t>
        </is>
      </c>
      <c r="D376" s="1" t="n">
        <v>45489</v>
      </c>
      <c r="E376" s="1" t="n">
        <v>46222</v>
      </c>
      <c r="F376" t="inlineStr">
        <is>
          <t>UPPSALA LÄN</t>
        </is>
      </c>
      <c r="G376" t="inlineStr">
        <is>
          <t>ENKÖPING</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22795-2025</t>
        </is>
      </c>
      <c r="B377" t="inlineStr">
        <is>
          <t>avverkningsanmälan</t>
        </is>
      </c>
      <c r="C377" t="inlineStr">
        <is>
          <t>Föryngringsavverkning</t>
        </is>
      </c>
      <c r="D377" s="1" t="n">
        <v>45789</v>
      </c>
      <c r="E377" s="1" t="n">
        <v>46222</v>
      </c>
      <c r="F377" t="inlineStr">
        <is>
          <t>UPPSALA LÄN</t>
        </is>
      </c>
      <c r="G377" t="inlineStr">
        <is>
          <t>ENKÖPING</t>
        </is>
      </c>
      <c r="I377" t="n">
        <v>10.4</v>
      </c>
      <c r="J377" t="n">
        <v>0</v>
      </c>
      <c r="K377" t="n">
        <v>0</v>
      </c>
      <c r="L377" t="n">
        <v>0</v>
      </c>
      <c r="M377" t="n">
        <v>0</v>
      </c>
      <c r="N377" t="n">
        <v>0</v>
      </c>
      <c r="O377" t="n">
        <v>0</v>
      </c>
      <c r="P377" t="n">
        <v>0</v>
      </c>
      <c r="Q377" t="n">
        <v>0</v>
      </c>
      <c r="R377" t="n">
        <v>0</v>
      </c>
      <c r="S377" t="n">
        <v>0</v>
      </c>
      <c r="T377" t="n">
        <v>0</v>
      </c>
      <c r="U377" s="2" t="inlineStr"/>
    </row>
    <row r="378" ht="15" customHeight="1">
      <c r="A378" t="inlineStr">
        <is>
          <t>A 22802-2025</t>
        </is>
      </c>
      <c r="B378" t="inlineStr">
        <is>
          <t>avverkningsanmälan</t>
        </is>
      </c>
      <c r="C378" t="inlineStr">
        <is>
          <t>Föryngringsavverkning</t>
        </is>
      </c>
      <c r="D378" s="1" t="n">
        <v>45789</v>
      </c>
      <c r="E378" s="1" t="n">
        <v>46222</v>
      </c>
      <c r="F378" t="inlineStr">
        <is>
          <t>UPPSALA LÄN</t>
        </is>
      </c>
      <c r="G378" t="inlineStr">
        <is>
          <t>ENKÖPING</t>
        </is>
      </c>
      <c r="I378" t="n">
        <v>0.5</v>
      </c>
      <c r="J378" t="n">
        <v>0</v>
      </c>
      <c r="K378" t="n">
        <v>0</v>
      </c>
      <c r="L378" t="n">
        <v>0</v>
      </c>
      <c r="M378" t="n">
        <v>0</v>
      </c>
      <c r="N378" t="n">
        <v>0</v>
      </c>
      <c r="O378" t="n">
        <v>0</v>
      </c>
      <c r="P378" t="n">
        <v>0</v>
      </c>
      <c r="Q378" t="n">
        <v>0</v>
      </c>
      <c r="R378" t="n">
        <v>0</v>
      </c>
      <c r="S378" t="n">
        <v>0</v>
      </c>
      <c r="T378" t="n">
        <v>0</v>
      </c>
      <c r="U378" s="2" t="inlineStr"/>
    </row>
    <row r="379" ht="15" customHeight="1">
      <c r="A379" t="inlineStr">
        <is>
          <t>A 6981-2025</t>
        </is>
      </c>
      <c r="B379" t="inlineStr">
        <is>
          <t>avverkningsanmälan</t>
        </is>
      </c>
      <c r="C379" t="inlineStr">
        <is>
          <t>Föryngringsavverkning</t>
        </is>
      </c>
      <c r="D379" s="1" t="n">
        <v>45701</v>
      </c>
      <c r="E379" s="1" t="n">
        <v>46222</v>
      </c>
      <c r="F379" t="inlineStr">
        <is>
          <t>UPPSALA LÄN</t>
        </is>
      </c>
      <c r="G379" t="inlineStr">
        <is>
          <t>ENKÖPING</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22981-2025</t>
        </is>
      </c>
      <c r="B380" t="inlineStr">
        <is>
          <t>avverkningsanmälan</t>
        </is>
      </c>
      <c r="C380" t="inlineStr">
        <is>
          <t>Föryngringsavverkning</t>
        </is>
      </c>
      <c r="D380" s="1" t="n">
        <v>45790</v>
      </c>
      <c r="E380" s="1" t="n">
        <v>46222</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68123-2021</t>
        </is>
      </c>
      <c r="B381" t="inlineStr">
        <is>
          <t>avverkningsanmälan</t>
        </is>
      </c>
      <c r="C381" t="inlineStr">
        <is>
          <t>Föryngringsavverkning</t>
        </is>
      </c>
      <c r="D381" s="1" t="n">
        <v>44526</v>
      </c>
      <c r="E381" s="1" t="n">
        <v>46222</v>
      </c>
      <c r="F381" t="inlineStr">
        <is>
          <t>UPPSALA LÄN</t>
        </is>
      </c>
      <c r="G381" t="inlineStr">
        <is>
          <t>ENKÖPING</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5749-2025</t>
        </is>
      </c>
      <c r="B382" t="inlineStr">
        <is>
          <t>avverkningsanmälan</t>
        </is>
      </c>
      <c r="C382" t="inlineStr">
        <is>
          <t>Föryngringsavverkning</t>
        </is>
      </c>
      <c r="D382" s="1" t="n">
        <v>45694</v>
      </c>
      <c r="E382" s="1" t="n">
        <v>46222</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8020-2022</t>
        </is>
      </c>
      <c r="B383" t="inlineStr">
        <is>
          <t>avverkningsanmälan</t>
        </is>
      </c>
      <c r="C383" t="inlineStr">
        <is>
          <t>Föryngringsavverkning</t>
        </is>
      </c>
      <c r="D383" s="1" t="n">
        <v>44609</v>
      </c>
      <c r="E383" s="1" t="n">
        <v>46222</v>
      </c>
      <c r="F383" t="inlineStr">
        <is>
          <t>UPPSALA LÄN</t>
        </is>
      </c>
      <c r="G383" t="inlineStr">
        <is>
          <t>ENKÖPING</t>
        </is>
      </c>
      <c r="I383" t="n">
        <v>6</v>
      </c>
      <c r="J383" t="n">
        <v>0</v>
      </c>
      <c r="K383" t="n">
        <v>0</v>
      </c>
      <c r="L383" t="n">
        <v>0</v>
      </c>
      <c r="M383" t="n">
        <v>0</v>
      </c>
      <c r="N383" t="n">
        <v>0</v>
      </c>
      <c r="O383" t="n">
        <v>0</v>
      </c>
      <c r="P383" t="n">
        <v>0</v>
      </c>
      <c r="Q383" t="n">
        <v>0</v>
      </c>
      <c r="R383" t="n">
        <v>0</v>
      </c>
      <c r="S383" t="n">
        <v>0</v>
      </c>
      <c r="T383" t="n">
        <v>0</v>
      </c>
      <c r="U383" s="2" t="inlineStr"/>
    </row>
    <row r="384" ht="15" customHeight="1">
      <c r="A384" t="inlineStr">
        <is>
          <t>A 34805-2024</t>
        </is>
      </c>
      <c r="B384" t="inlineStr">
        <is>
          <t>avverkningsanmälan</t>
        </is>
      </c>
      <c r="C384" t="inlineStr">
        <is>
          <t>Föryngringsavverkning</t>
        </is>
      </c>
      <c r="D384" s="1" t="n">
        <v>45526</v>
      </c>
      <c r="E384" s="1" t="n">
        <v>46222</v>
      </c>
      <c r="F384" t="inlineStr">
        <is>
          <t>UPPSALA LÄN</t>
        </is>
      </c>
      <c r="G384" t="inlineStr">
        <is>
          <t>ENKÖPING</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314-2025</t>
        </is>
      </c>
      <c r="B385" t="inlineStr">
        <is>
          <t>avverkningsanmälan</t>
        </is>
      </c>
      <c r="C385" t="inlineStr">
        <is>
          <t>Föryngringsavverkning</t>
        </is>
      </c>
      <c r="D385" s="1" t="n">
        <v>45656</v>
      </c>
      <c r="E385" s="1" t="n">
        <v>46222</v>
      </c>
      <c r="F385" t="inlineStr">
        <is>
          <t>UPPSALA LÄN</t>
        </is>
      </c>
      <c r="G385" t="inlineStr">
        <is>
          <t>ENKÖPING</t>
        </is>
      </c>
      <c r="I385" t="n">
        <v>9</v>
      </c>
      <c r="J385" t="n">
        <v>0</v>
      </c>
      <c r="K385" t="n">
        <v>0</v>
      </c>
      <c r="L385" t="n">
        <v>0</v>
      </c>
      <c r="M385" t="n">
        <v>0</v>
      </c>
      <c r="N385" t="n">
        <v>0</v>
      </c>
      <c r="O385" t="n">
        <v>0</v>
      </c>
      <c r="P385" t="n">
        <v>0</v>
      </c>
      <c r="Q385" t="n">
        <v>0</v>
      </c>
      <c r="R385" t="n">
        <v>0</v>
      </c>
      <c r="S385" t="n">
        <v>0</v>
      </c>
      <c r="T385" t="n">
        <v>0</v>
      </c>
      <c r="U385" s="2" t="inlineStr"/>
    </row>
    <row r="386" ht="15" customHeight="1">
      <c r="A386" t="inlineStr">
        <is>
          <t>A 5712-2025</t>
        </is>
      </c>
      <c r="B386" t="inlineStr">
        <is>
          <t>avverkningsanmälan</t>
        </is>
      </c>
      <c r="C386" t="inlineStr">
        <is>
          <t>Föryngringsavverkning</t>
        </is>
      </c>
      <c r="D386" s="1" t="n">
        <v>45694</v>
      </c>
      <c r="E386" s="1" t="n">
        <v>46222</v>
      </c>
      <c r="F386" t="inlineStr">
        <is>
          <t>UPPSALA LÄN</t>
        </is>
      </c>
      <c r="G386" t="inlineStr">
        <is>
          <t>ENKÖPING</t>
        </is>
      </c>
      <c r="I386" t="n">
        <v>5.1</v>
      </c>
      <c r="J386" t="n">
        <v>0</v>
      </c>
      <c r="K386" t="n">
        <v>0</v>
      </c>
      <c r="L386" t="n">
        <v>0</v>
      </c>
      <c r="M386" t="n">
        <v>0</v>
      </c>
      <c r="N386" t="n">
        <v>0</v>
      </c>
      <c r="O386" t="n">
        <v>0</v>
      </c>
      <c r="P386" t="n">
        <v>0</v>
      </c>
      <c r="Q386" t="n">
        <v>0</v>
      </c>
      <c r="R386" t="n">
        <v>0</v>
      </c>
      <c r="S386" t="n">
        <v>0</v>
      </c>
      <c r="T386" t="n">
        <v>0</v>
      </c>
      <c r="U386" s="2" t="inlineStr"/>
    </row>
    <row r="387" ht="15" customHeight="1">
      <c r="A387" t="inlineStr">
        <is>
          <t>A 45956-2024</t>
        </is>
      </c>
      <c r="B387" t="inlineStr">
        <is>
          <t>avverkningsanmälan</t>
        </is>
      </c>
      <c r="C387" t="inlineStr">
        <is>
          <t>Föryngringsavverkning</t>
        </is>
      </c>
      <c r="D387" s="1" t="n">
        <v>45580</v>
      </c>
      <c r="E387" s="1" t="n">
        <v>46222</v>
      </c>
      <c r="F387" t="inlineStr">
        <is>
          <t>UPPSALA LÄN</t>
        </is>
      </c>
      <c r="G387" t="inlineStr">
        <is>
          <t>ENKÖPING</t>
        </is>
      </c>
      <c r="I387" t="n">
        <v>1</v>
      </c>
      <c r="J387" t="n">
        <v>0</v>
      </c>
      <c r="K387" t="n">
        <v>0</v>
      </c>
      <c r="L387" t="n">
        <v>0</v>
      </c>
      <c r="M387" t="n">
        <v>0</v>
      </c>
      <c r="N387" t="n">
        <v>0</v>
      </c>
      <c r="O387" t="n">
        <v>0</v>
      </c>
      <c r="P387" t="n">
        <v>0</v>
      </c>
      <c r="Q387" t="n">
        <v>0</v>
      </c>
      <c r="R387" t="n">
        <v>0</v>
      </c>
      <c r="S387" t="n">
        <v>0</v>
      </c>
      <c r="T387" t="n">
        <v>0</v>
      </c>
      <c r="U387" s="2" t="inlineStr"/>
    </row>
    <row r="388" ht="15" customHeight="1">
      <c r="A388" t="inlineStr">
        <is>
          <t>A 11627-2025</t>
        </is>
      </c>
      <c r="B388" t="inlineStr">
        <is>
          <t>avverkningsanmälan</t>
        </is>
      </c>
      <c r="C388" t="inlineStr">
        <is>
          <t>Föryngringsavverkning</t>
        </is>
      </c>
      <c r="D388" s="1" t="n">
        <v>45727</v>
      </c>
      <c r="E388" s="1" t="n">
        <v>46222</v>
      </c>
      <c r="F388" t="inlineStr">
        <is>
          <t>UPPSALA LÄN</t>
        </is>
      </c>
      <c r="G388" t="inlineStr">
        <is>
          <t>ENKÖPING</t>
        </is>
      </c>
      <c r="I388" t="n">
        <v>5.5</v>
      </c>
      <c r="J388" t="n">
        <v>0</v>
      </c>
      <c r="K388" t="n">
        <v>0</v>
      </c>
      <c r="L388" t="n">
        <v>0</v>
      </c>
      <c r="M388" t="n">
        <v>0</v>
      </c>
      <c r="N388" t="n">
        <v>0</v>
      </c>
      <c r="O388" t="n">
        <v>0</v>
      </c>
      <c r="P388" t="n">
        <v>0</v>
      </c>
      <c r="Q388" t="n">
        <v>0</v>
      </c>
      <c r="R388" t="n">
        <v>0</v>
      </c>
      <c r="S388" t="n">
        <v>0</v>
      </c>
      <c r="T388" t="n">
        <v>0</v>
      </c>
      <c r="U388" s="2" t="inlineStr"/>
    </row>
    <row r="389" ht="15" customHeight="1">
      <c r="A389" t="inlineStr">
        <is>
          <t>A 74090-2021</t>
        </is>
      </c>
      <c r="B389" t="inlineStr">
        <is>
          <t>avverkningsanmälan</t>
        </is>
      </c>
      <c r="C389" t="inlineStr">
        <is>
          <t>Föryngringsavverkning</t>
        </is>
      </c>
      <c r="D389" s="1" t="n">
        <v>44557</v>
      </c>
      <c r="E389" s="1" t="n">
        <v>46222</v>
      </c>
      <c r="F389" t="inlineStr">
        <is>
          <t>UPPSALA LÄN</t>
        </is>
      </c>
      <c r="G389" t="inlineStr">
        <is>
          <t>ENKÖPING</t>
        </is>
      </c>
      <c r="I389" t="n">
        <v>2.1</v>
      </c>
      <c r="J389" t="n">
        <v>0</v>
      </c>
      <c r="K389" t="n">
        <v>0</v>
      </c>
      <c r="L389" t="n">
        <v>0</v>
      </c>
      <c r="M389" t="n">
        <v>0</v>
      </c>
      <c r="N389" t="n">
        <v>0</v>
      </c>
      <c r="O389" t="n">
        <v>0</v>
      </c>
      <c r="P389" t="n">
        <v>0</v>
      </c>
      <c r="Q389" t="n">
        <v>0</v>
      </c>
      <c r="R389" t="n">
        <v>0</v>
      </c>
      <c r="S389" t="n">
        <v>0</v>
      </c>
      <c r="T389" t="n">
        <v>0</v>
      </c>
      <c r="U389" s="2" t="inlineStr"/>
    </row>
    <row r="390" ht="15" customHeight="1">
      <c r="A390" t="inlineStr">
        <is>
          <t>A 58092-2024</t>
        </is>
      </c>
      <c r="B390" t="inlineStr">
        <is>
          <t>avverkningsanmälan</t>
        </is>
      </c>
      <c r="C390" t="inlineStr">
        <is>
          <t>Avverkning för annat ändamål</t>
        </is>
      </c>
      <c r="D390" s="1" t="n">
        <v>45632</v>
      </c>
      <c r="E390" s="1" t="n">
        <v>46222</v>
      </c>
      <c r="F390" t="inlineStr">
        <is>
          <t>UPPSALA LÄN</t>
        </is>
      </c>
      <c r="G390" t="inlineStr">
        <is>
          <t>ENKÖPING</t>
        </is>
      </c>
      <c r="I390" t="n">
        <v>4.8</v>
      </c>
      <c r="J390" t="n">
        <v>0</v>
      </c>
      <c r="K390" t="n">
        <v>0</v>
      </c>
      <c r="L390" t="n">
        <v>0</v>
      </c>
      <c r="M390" t="n">
        <v>0</v>
      </c>
      <c r="N390" t="n">
        <v>0</v>
      </c>
      <c r="O390" t="n">
        <v>0</v>
      </c>
      <c r="P390" t="n">
        <v>0</v>
      </c>
      <c r="Q390" t="n">
        <v>0</v>
      </c>
      <c r="R390" t="n">
        <v>0</v>
      </c>
      <c r="S390" t="n">
        <v>0</v>
      </c>
      <c r="T390" t="n">
        <v>0</v>
      </c>
      <c r="U390" s="2" t="inlineStr"/>
    </row>
    <row r="391" ht="15" customHeight="1">
      <c r="A391" t="inlineStr">
        <is>
          <t>A 24411-2024</t>
        </is>
      </c>
      <c r="B391" t="inlineStr">
        <is>
          <t>avverkningsanmälan</t>
        </is>
      </c>
      <c r="C391" t="inlineStr">
        <is>
          <t>Föryngringsavverkning</t>
        </is>
      </c>
      <c r="D391" s="1" t="n">
        <v>45457</v>
      </c>
      <c r="E391" s="1" t="n">
        <v>46222</v>
      </c>
      <c r="F391" t="inlineStr">
        <is>
          <t>UPPSALA LÄN</t>
        </is>
      </c>
      <c r="G391" t="inlineStr">
        <is>
          <t>ENKÖPING</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25988-2025</t>
        </is>
      </c>
      <c r="B392" t="inlineStr">
        <is>
          <t>avverkningsanmälan</t>
        </is>
      </c>
      <c r="C392" t="inlineStr">
        <is>
          <t>Föryngringsavverkning</t>
        </is>
      </c>
      <c r="D392" s="1" t="n">
        <v>45804</v>
      </c>
      <c r="E392" s="1" t="n">
        <v>46222</v>
      </c>
      <c r="F392" t="inlineStr">
        <is>
          <t>UPPSALA LÄN</t>
        </is>
      </c>
      <c r="G392" t="inlineStr">
        <is>
          <t>ENKÖPING</t>
        </is>
      </c>
      <c r="I392" t="n">
        <v>4.7</v>
      </c>
      <c r="J392" t="n">
        <v>0</v>
      </c>
      <c r="K392" t="n">
        <v>0</v>
      </c>
      <c r="L392" t="n">
        <v>0</v>
      </c>
      <c r="M392" t="n">
        <v>0</v>
      </c>
      <c r="N392" t="n">
        <v>0</v>
      </c>
      <c r="O392" t="n">
        <v>0</v>
      </c>
      <c r="P392" t="n">
        <v>0</v>
      </c>
      <c r="Q392" t="n">
        <v>0</v>
      </c>
      <c r="R392" t="n">
        <v>0</v>
      </c>
      <c r="S392" t="n">
        <v>0</v>
      </c>
      <c r="T392" t="n">
        <v>0</v>
      </c>
      <c r="U392" s="2" t="inlineStr"/>
    </row>
    <row r="393" ht="15" customHeight="1">
      <c r="A393" t="inlineStr">
        <is>
          <t>A 26030-2025</t>
        </is>
      </c>
      <c r="B393" t="inlineStr">
        <is>
          <t>avverkningsanmälan</t>
        </is>
      </c>
      <c r="C393" t="inlineStr">
        <is>
          <t>Föryngringsavverkning</t>
        </is>
      </c>
      <c r="D393" s="1" t="n">
        <v>45804</v>
      </c>
      <c r="E393" s="1" t="n">
        <v>46222</v>
      </c>
      <c r="F393" t="inlineStr">
        <is>
          <t>UPPSALA LÄN</t>
        </is>
      </c>
      <c r="G393" t="inlineStr">
        <is>
          <t>ENKÖPING</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S 5780-2021</t>
        </is>
      </c>
      <c r="B394" t="inlineStr">
        <is>
          <t>samrådsanmälan</t>
        </is>
      </c>
      <c r="C394" t="inlineStr">
        <is>
          <t>Basväg</t>
        </is>
      </c>
      <c r="D394" s="1" t="n">
        <v>44438</v>
      </c>
      <c r="E394" s="1" t="n">
        <v>46222</v>
      </c>
      <c r="F394" t="inlineStr">
        <is>
          <t>UPPSALA LÄN</t>
        </is>
      </c>
      <c r="G394" t="inlineStr">
        <is>
          <t>ENKÖPING</t>
        </is>
      </c>
      <c r="I394" t="n">
        <v>0.2</v>
      </c>
      <c r="J394" t="n">
        <v>0</v>
      </c>
      <c r="K394" t="n">
        <v>0</v>
      </c>
      <c r="L394" t="n">
        <v>0</v>
      </c>
      <c r="M394" t="n">
        <v>0</v>
      </c>
      <c r="N394" t="n">
        <v>0</v>
      </c>
      <c r="O394" t="n">
        <v>0</v>
      </c>
      <c r="P394" t="n">
        <v>0</v>
      </c>
      <c r="Q394" t="n">
        <v>0</v>
      </c>
      <c r="R394" t="n">
        <v>0</v>
      </c>
      <c r="S394" t="n">
        <v>0</v>
      </c>
      <c r="T394" t="n">
        <v>0</v>
      </c>
      <c r="U394" s="2" t="inlineStr"/>
    </row>
    <row r="395" ht="15" customHeight="1">
      <c r="A395" t="inlineStr">
        <is>
          <t>S 335-2025</t>
        </is>
      </c>
      <c r="B395" t="inlineStr">
        <is>
          <t>samrådsanmälan</t>
        </is>
      </c>
      <c r="C395" t="inlineStr">
        <is>
          <t>Annan skogsbruksåtgärd</t>
        </is>
      </c>
      <c r="D395" s="1" t="n">
        <v>45692</v>
      </c>
      <c r="E395" s="1" t="n">
        <v>46222</v>
      </c>
      <c r="F395" t="inlineStr">
        <is>
          <t>UPPSALA LÄN</t>
        </is>
      </c>
      <c r="G395" t="inlineStr">
        <is>
          <t>ENKÖPING</t>
        </is>
      </c>
      <c r="I395" t="n">
        <v>1.4</v>
      </c>
      <c r="J395" t="n">
        <v>0</v>
      </c>
      <c r="K395" t="n">
        <v>0</v>
      </c>
      <c r="L395" t="n">
        <v>0</v>
      </c>
      <c r="M395" t="n">
        <v>0</v>
      </c>
      <c r="N395" t="n">
        <v>0</v>
      </c>
      <c r="O395" t="n">
        <v>0</v>
      </c>
      <c r="P395" t="n">
        <v>0</v>
      </c>
      <c r="Q395" t="n">
        <v>0</v>
      </c>
      <c r="R395" t="n">
        <v>0</v>
      </c>
      <c r="S395" t="n">
        <v>0</v>
      </c>
      <c r="T395" t="n">
        <v>0</v>
      </c>
      <c r="U395" s="2" t="inlineStr"/>
    </row>
    <row r="396">
      <c r="A396" t="inlineStr">
        <is>
          <t>S 6474-2021</t>
        </is>
      </c>
      <c r="B396" t="inlineStr">
        <is>
          <t>samrådsanmälan</t>
        </is>
      </c>
      <c r="C396" t="inlineStr">
        <is>
          <t>Åtgärd i nyckelbiotop</t>
        </is>
      </c>
      <c r="D396" s="1" t="n">
        <v>44451</v>
      </c>
      <c r="E396" s="1" t="n">
        <v>46222</v>
      </c>
      <c r="F396" t="inlineStr">
        <is>
          <t>UPPSALA LÄN</t>
        </is>
      </c>
      <c r="G396" t="inlineStr">
        <is>
          <t>ENKÖPING</t>
        </is>
      </c>
      <c r="I396" t="n">
        <v>0.9</v>
      </c>
      <c r="J396" t="n">
        <v>0</v>
      </c>
      <c r="K396" t="n">
        <v>0</v>
      </c>
      <c r="L396" t="n">
        <v>0</v>
      </c>
      <c r="M396" t="n">
        <v>0</v>
      </c>
      <c r="N396" t="n">
        <v>0</v>
      </c>
      <c r="O396" t="n">
        <v>0</v>
      </c>
      <c r="P396" t="n">
        <v>0</v>
      </c>
      <c r="Q396" t="n">
        <v>0</v>
      </c>
      <c r="R396" t="n">
        <v>0</v>
      </c>
      <c r="S396" t="n">
        <v>0</v>
      </c>
      <c r="T396" t="n">
        <v>0</v>
      </c>
      <c r="U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2026-07-19T01:32:06Z</dcterms:created>
  <dcterms:modified xmlns:dcterms="http://purl.org/dc/terms/" xmlns:xsi="http://www.w3.org/2001/XMLSchema-instance" xsi:type="dcterms:W3CDTF">2026-07-19T01:32:07Z</dcterms:modified>
</cp:coreProperties>
</file>