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46137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46137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46137</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46137</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46137</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46137</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46137</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46137</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50105-2023</t>
        </is>
      </c>
      <c r="B12" s="1" t="n">
        <v>45215</v>
      </c>
      <c r="C12" s="1" t="n">
        <v>46137</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52092-2022</t>
        </is>
      </c>
      <c r="B13" s="1" t="n">
        <v>44873</v>
      </c>
      <c r="C13" s="1" t="n">
        <v>46137</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425-2024</t>
        </is>
      </c>
      <c r="B14" s="1" t="n">
        <v>45296</v>
      </c>
      <c r="C14" s="1" t="n">
        <v>46137</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46137</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46137</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46137</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36523-2021</t>
        </is>
      </c>
      <c r="B18" s="1" t="n">
        <v>44391</v>
      </c>
      <c r="C18" s="1" t="n">
        <v>46137</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46137</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1524-2023</t>
        </is>
      </c>
      <c r="B20" s="1" t="n">
        <v>44935</v>
      </c>
      <c r="C20" s="1" t="n">
        <v>46137</v>
      </c>
      <c r="D20" t="inlineStr">
        <is>
          <t>UPPSALA LÄN</t>
        </is>
      </c>
      <c r="E20" t="inlineStr">
        <is>
          <t>ENKÖPING</t>
        </is>
      </c>
      <c r="G20" t="n">
        <v>1.4</v>
      </c>
      <c r="H20" t="n">
        <v>1</v>
      </c>
      <c r="I20" t="n">
        <v>0</v>
      </c>
      <c r="J20" t="n">
        <v>0</v>
      </c>
      <c r="K20" t="n">
        <v>0</v>
      </c>
      <c r="L20" t="n">
        <v>0</v>
      </c>
      <c r="M20" t="n">
        <v>0</v>
      </c>
      <c r="N20" t="n">
        <v>0</v>
      </c>
      <c r="O20" t="n">
        <v>0</v>
      </c>
      <c r="P20" t="n">
        <v>0</v>
      </c>
      <c r="Q20" t="n">
        <v>1</v>
      </c>
      <c r="R20" s="2" t="inlineStr">
        <is>
          <t>Skogsduva</t>
        </is>
      </c>
      <c r="S20">
        <f>HYPERLINK("https://klasma.github.io/Logging_0381/artfynd/A 1524-2023 artfynd.xlsx", "A 1524-2023")</f>
        <v/>
      </c>
      <c r="T20">
        <f>HYPERLINK("https://klasma.github.io/Logging_0381/kartor/A 1524-2023 karta.png", "A 1524-2023")</f>
        <v/>
      </c>
      <c r="V20">
        <f>HYPERLINK("https://klasma.github.io/Logging_0381/klagomål/A 1524-2023 FSC-klagomål.docx", "A 1524-2023")</f>
        <v/>
      </c>
      <c r="W20">
        <f>HYPERLINK("https://klasma.github.io/Logging_0381/klagomålsmail/A 1524-2023 FSC-klagomål mail.docx", "A 1524-2023")</f>
        <v/>
      </c>
      <c r="X20">
        <f>HYPERLINK("https://klasma.github.io/Logging_0381/tillsyn/A 1524-2023 tillsynsbegäran.docx", "A 1524-2023")</f>
        <v/>
      </c>
      <c r="Y20">
        <f>HYPERLINK("https://klasma.github.io/Logging_0381/tillsynsmail/A 1524-2023 tillsynsbegäran mail.docx", "A 1524-2023")</f>
        <v/>
      </c>
      <c r="Z20">
        <f>HYPERLINK("https://klasma.github.io/Logging_0381/fåglar/A 1524-2023 prioriterade fågelarter.docx", "A 1524-2023")</f>
        <v/>
      </c>
    </row>
    <row r="21" ht="15" customHeight="1">
      <c r="A21" t="inlineStr">
        <is>
          <t>A 23385-2021</t>
        </is>
      </c>
      <c r="B21" s="1" t="n">
        <v>44333.6091087963</v>
      </c>
      <c r="C21" s="1" t="n">
        <v>46137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46137</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17942-2024</t>
        </is>
      </c>
      <c r="B23" s="1" t="n">
        <v>45419</v>
      </c>
      <c r="C23" s="1" t="n">
        <v>46137</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46137</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46137</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27060-2025</t>
        </is>
      </c>
      <c r="B26" s="1" t="n">
        <v>45811.63590277778</v>
      </c>
      <c r="C26" s="1" t="n">
        <v>46137</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52439-2025</t>
        </is>
      </c>
      <c r="B27" s="1" t="n">
        <v>45954.40697916667</v>
      </c>
      <c r="C27" s="1" t="n">
        <v>46137</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4166-2026</t>
        </is>
      </c>
      <c r="B28" s="1" t="n">
        <v>46044.66402777778</v>
      </c>
      <c r="C28" s="1" t="n">
        <v>46137</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28900-2024</t>
        </is>
      </c>
      <c r="B29" s="1" t="n">
        <v>45480</v>
      </c>
      <c r="C29" s="1" t="n">
        <v>46137</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46137</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46137</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46137</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55582-2021</t>
        </is>
      </c>
      <c r="B33" s="1" t="n">
        <v>44475</v>
      </c>
      <c r="C33" s="1" t="n">
        <v>46137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46137</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46137</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46137</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46137</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46137</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46137</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46137</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46137</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46137</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46137</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57066-2021</t>
        </is>
      </c>
      <c r="B46" s="1" t="n">
        <v>44482.5663425926</v>
      </c>
      <c r="C46" s="1" t="n">
        <v>46137</v>
      </c>
      <c r="D46" t="inlineStr">
        <is>
          <t>UPPSALA LÄN</t>
        </is>
      </c>
      <c r="E46" t="inlineStr">
        <is>
          <t>ENKÖPING</t>
        </is>
      </c>
      <c r="G46" t="n">
        <v>1.5</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46137</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46137</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46137</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46137</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46137</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46137</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46137</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46137</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46137</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46137</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46137</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46137</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46137</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46137</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46137</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46137</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46137</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46137</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46137</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46137</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46137</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46137</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46137</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46137</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46137</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46137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46137</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46137</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46137</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46137</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20067-2021</t>
        </is>
      </c>
      <c r="B77" s="1" t="n">
        <v>44314</v>
      </c>
      <c r="C77" s="1" t="n">
        <v>46137</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1971-2022</t>
        </is>
      </c>
      <c r="B78" s="1" t="n">
        <v>44575</v>
      </c>
      <c r="C78" s="1" t="n">
        <v>46137</v>
      </c>
      <c r="D78" t="inlineStr">
        <is>
          <t>UPPSALA LÄN</t>
        </is>
      </c>
      <c r="E78" t="inlineStr">
        <is>
          <t>ENKÖPING</t>
        </is>
      </c>
      <c r="G78" t="n">
        <v>1.4</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46137</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46137</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46137</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22912-2024</t>
        </is>
      </c>
      <c r="B84" s="1" t="n">
        <v>45448.73118055556</v>
      </c>
      <c r="C84" s="1" t="n">
        <v>46137</v>
      </c>
      <c r="D84" t="inlineStr">
        <is>
          <t>UPPSALA LÄN</t>
        </is>
      </c>
      <c r="E84" t="inlineStr">
        <is>
          <t>ENKÖPING</t>
        </is>
      </c>
      <c r="G84" t="n">
        <v>2.8</v>
      </c>
      <c r="H84" t="n">
        <v>0</v>
      </c>
      <c r="I84" t="n">
        <v>0</v>
      </c>
      <c r="J84" t="n">
        <v>0</v>
      </c>
      <c r="K84" t="n">
        <v>0</v>
      </c>
      <c r="L84" t="n">
        <v>0</v>
      </c>
      <c r="M84" t="n">
        <v>0</v>
      </c>
      <c r="N84" t="n">
        <v>0</v>
      </c>
      <c r="O84" t="n">
        <v>0</v>
      </c>
      <c r="P84" t="n">
        <v>0</v>
      </c>
      <c r="Q84" t="n">
        <v>0</v>
      </c>
      <c r="R84" s="2" t="inlineStr"/>
    </row>
    <row r="85" ht="15" customHeight="1">
      <c r="A85" t="inlineStr">
        <is>
          <t>A 21612-2023</t>
        </is>
      </c>
      <c r="B85" s="1" t="n">
        <v>45063</v>
      </c>
      <c r="C85" s="1" t="n">
        <v>46137</v>
      </c>
      <c r="D85" t="inlineStr">
        <is>
          <t>UPPSALA LÄN</t>
        </is>
      </c>
      <c r="E85" t="inlineStr">
        <is>
          <t>ENKÖPING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14243-2025</t>
        </is>
      </c>
      <c r="B86" s="1" t="n">
        <v>45740.61288194444</v>
      </c>
      <c r="C86" s="1" t="n">
        <v>46137</v>
      </c>
      <c r="D86" t="inlineStr">
        <is>
          <t>UPPSALA LÄN</t>
        </is>
      </c>
      <c r="E86" t="inlineStr">
        <is>
          <t>ENKÖPING</t>
        </is>
      </c>
      <c r="G86" t="n">
        <v>2.2</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46137</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33343-2024</t>
        </is>
      </c>
      <c r="B88" s="1" t="n">
        <v>45519</v>
      </c>
      <c r="C88" s="1" t="n">
        <v>46137</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24883-2022</t>
        </is>
      </c>
      <c r="B89" s="1" t="n">
        <v>44728</v>
      </c>
      <c r="C89" s="1" t="n">
        <v>46137</v>
      </c>
      <c r="D89" t="inlineStr">
        <is>
          <t>UPPSALA LÄN</t>
        </is>
      </c>
      <c r="E89" t="inlineStr">
        <is>
          <t>ENKÖPING</t>
        </is>
      </c>
      <c r="G89" t="n">
        <v>2.5</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46137</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19630-2021</t>
        </is>
      </c>
      <c r="B91" s="1" t="n">
        <v>44312.61876157407</v>
      </c>
      <c r="C91" s="1" t="n">
        <v>46137</v>
      </c>
      <c r="D91" t="inlineStr">
        <is>
          <t>UPPSALA LÄN</t>
        </is>
      </c>
      <c r="E91" t="inlineStr">
        <is>
          <t>ENKÖPING</t>
        </is>
      </c>
      <c r="G91" t="n">
        <v>2.7</v>
      </c>
      <c r="H91" t="n">
        <v>0</v>
      </c>
      <c r="I91" t="n">
        <v>0</v>
      </c>
      <c r="J91" t="n">
        <v>0</v>
      </c>
      <c r="K91" t="n">
        <v>0</v>
      </c>
      <c r="L91" t="n">
        <v>0</v>
      </c>
      <c r="M91" t="n">
        <v>0</v>
      </c>
      <c r="N91" t="n">
        <v>0</v>
      </c>
      <c r="O91" t="n">
        <v>0</v>
      </c>
      <c r="P91" t="n">
        <v>0</v>
      </c>
      <c r="Q91" t="n">
        <v>0</v>
      </c>
      <c r="R91" s="2" t="inlineStr"/>
    </row>
    <row r="92" ht="15" customHeight="1">
      <c r="A92" t="inlineStr">
        <is>
          <t>A 57078-2021</t>
        </is>
      </c>
      <c r="B92" s="1" t="n">
        <v>44482.57855324074</v>
      </c>
      <c r="C92" s="1" t="n">
        <v>46137</v>
      </c>
      <c r="D92" t="inlineStr">
        <is>
          <t>UPPSALA LÄN</t>
        </is>
      </c>
      <c r="E92" t="inlineStr">
        <is>
          <t>ENKÖPING</t>
        </is>
      </c>
      <c r="G92" t="n">
        <v>3</v>
      </c>
      <c r="H92" t="n">
        <v>0</v>
      </c>
      <c r="I92" t="n">
        <v>0</v>
      </c>
      <c r="J92" t="n">
        <v>0</v>
      </c>
      <c r="K92" t="n">
        <v>0</v>
      </c>
      <c r="L92" t="n">
        <v>0</v>
      </c>
      <c r="M92" t="n">
        <v>0</v>
      </c>
      <c r="N92" t="n">
        <v>0</v>
      </c>
      <c r="O92" t="n">
        <v>0</v>
      </c>
      <c r="P92" t="n">
        <v>0</v>
      </c>
      <c r="Q92" t="n">
        <v>0</v>
      </c>
      <c r="R92" s="2" t="inlineStr"/>
    </row>
    <row r="93" ht="15" customHeight="1">
      <c r="A93" t="inlineStr">
        <is>
          <t>A 68127-2021</t>
        </is>
      </c>
      <c r="B93" s="1" t="n">
        <v>44526.39513888889</v>
      </c>
      <c r="C93" s="1" t="n">
        <v>46137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18302-2025</t>
        </is>
      </c>
      <c r="B94" s="1" t="n">
        <v>45762</v>
      </c>
      <c r="C94" s="1" t="n">
        <v>46137</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28243-2023</t>
        </is>
      </c>
      <c r="B95" s="1" t="n">
        <v>45099.58885416666</v>
      </c>
      <c r="C95" s="1" t="n">
        <v>46137</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3235-2025</t>
        </is>
      </c>
      <c r="B96" s="1" t="n">
        <v>45679</v>
      </c>
      <c r="C96" s="1" t="n">
        <v>46137</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41828-2024</t>
        </is>
      </c>
      <c r="B97" s="1" t="n">
        <v>45561</v>
      </c>
      <c r="C97" s="1" t="n">
        <v>46137</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1536-2024</t>
        </is>
      </c>
      <c r="B98" s="1" t="n">
        <v>45306</v>
      </c>
      <c r="C98" s="1" t="n">
        <v>46137</v>
      </c>
      <c r="D98" t="inlineStr">
        <is>
          <t>UPPSALA LÄN</t>
        </is>
      </c>
      <c r="E98" t="inlineStr">
        <is>
          <t>ENKÖPING</t>
        </is>
      </c>
      <c r="F98" t="inlineStr">
        <is>
          <t>Kyrkan</t>
        </is>
      </c>
      <c r="G98" t="n">
        <v>5.6</v>
      </c>
      <c r="H98" t="n">
        <v>0</v>
      </c>
      <c r="I98" t="n">
        <v>0</v>
      </c>
      <c r="J98" t="n">
        <v>0</v>
      </c>
      <c r="K98" t="n">
        <v>0</v>
      </c>
      <c r="L98" t="n">
        <v>0</v>
      </c>
      <c r="M98" t="n">
        <v>0</v>
      </c>
      <c r="N98" t="n">
        <v>0</v>
      </c>
      <c r="O98" t="n">
        <v>0</v>
      </c>
      <c r="P98" t="n">
        <v>0</v>
      </c>
      <c r="Q98" t="n">
        <v>0</v>
      </c>
      <c r="R98" s="2" t="inlineStr"/>
    </row>
    <row r="99" ht="15" customHeight="1">
      <c r="A99" t="inlineStr">
        <is>
          <t>A 29983-2021</t>
        </is>
      </c>
      <c r="B99" s="1" t="n">
        <v>44363</v>
      </c>
      <c r="C99" s="1" t="n">
        <v>46137</v>
      </c>
      <c r="D99" t="inlineStr">
        <is>
          <t>UPPSALA LÄN</t>
        </is>
      </c>
      <c r="E99" t="inlineStr">
        <is>
          <t>ENKÖPING</t>
        </is>
      </c>
      <c r="F99" t="inlineStr">
        <is>
          <t>Kommuner</t>
        </is>
      </c>
      <c r="G99" t="n">
        <v>3.1</v>
      </c>
      <c r="H99" t="n">
        <v>0</v>
      </c>
      <c r="I99" t="n">
        <v>0</v>
      </c>
      <c r="J99" t="n">
        <v>0</v>
      </c>
      <c r="K99" t="n">
        <v>0</v>
      </c>
      <c r="L99" t="n">
        <v>0</v>
      </c>
      <c r="M99" t="n">
        <v>0</v>
      </c>
      <c r="N99" t="n">
        <v>0</v>
      </c>
      <c r="O99" t="n">
        <v>0</v>
      </c>
      <c r="P99" t="n">
        <v>0</v>
      </c>
      <c r="Q99" t="n">
        <v>0</v>
      </c>
      <c r="R99" s="2" t="inlineStr"/>
    </row>
    <row r="100" ht="15" customHeight="1">
      <c r="A100" t="inlineStr">
        <is>
          <t>A 42564-2024</t>
        </is>
      </c>
      <c r="B100" s="1" t="n">
        <v>45565.63358796296</v>
      </c>
      <c r="C100" s="1" t="n">
        <v>46137</v>
      </c>
      <c r="D100" t="inlineStr">
        <is>
          <t>UPPSALA LÄN</t>
        </is>
      </c>
      <c r="E100" t="inlineStr">
        <is>
          <t>ENKÖPING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46137</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43492-2023</t>
        </is>
      </c>
      <c r="B102" s="1" t="n">
        <v>45181</v>
      </c>
      <c r="C102" s="1" t="n">
        <v>46137</v>
      </c>
      <c r="D102" t="inlineStr">
        <is>
          <t>UPPSALA LÄN</t>
        </is>
      </c>
      <c r="E102" t="inlineStr">
        <is>
          <t>ENKÖPING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46137</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6626-2023</t>
        </is>
      </c>
      <c r="B104" s="1" t="n">
        <v>44966.55946759259</v>
      </c>
      <c r="C104" s="1" t="n">
        <v>46137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49614-2024</t>
        </is>
      </c>
      <c r="B105" s="1" t="n">
        <v>45596.57716435185</v>
      </c>
      <c r="C105" s="1" t="n">
        <v>46137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49632-2024</t>
        </is>
      </c>
      <c r="B106" s="1" t="n">
        <v>45596</v>
      </c>
      <c r="C106" s="1" t="n">
        <v>46137</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49063-2024</t>
        </is>
      </c>
      <c r="B107" s="1" t="n">
        <v>45594.59869212963</v>
      </c>
      <c r="C107" s="1" t="n">
        <v>46137</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13853-2023</t>
        </is>
      </c>
      <c r="B108" s="1" t="n">
        <v>45007</v>
      </c>
      <c r="C108" s="1" t="n">
        <v>46137</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29479-2022</t>
        </is>
      </c>
      <c r="B109" s="1" t="n">
        <v>44753.57265046296</v>
      </c>
      <c r="C109" s="1" t="n">
        <v>46137</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50747-2022</t>
        </is>
      </c>
      <c r="B110" s="1" t="n">
        <v>44867.40162037037</v>
      </c>
      <c r="C110" s="1" t="n">
        <v>46137</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46137</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49568-2022</t>
        </is>
      </c>
      <c r="B112" s="1" t="n">
        <v>44862.32791666667</v>
      </c>
      <c r="C112" s="1" t="n">
        <v>46137</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21017-2023</t>
        </is>
      </c>
      <c r="B113" s="1" t="n">
        <v>45061</v>
      </c>
      <c r="C113" s="1" t="n">
        <v>46137</v>
      </c>
      <c r="D113" t="inlineStr">
        <is>
          <t>UPPSALA LÄN</t>
        </is>
      </c>
      <c r="E113" t="inlineStr">
        <is>
          <t>ENKÖPING</t>
        </is>
      </c>
      <c r="G113" t="n">
        <v>4.8</v>
      </c>
      <c r="H113" t="n">
        <v>0</v>
      </c>
      <c r="I113" t="n">
        <v>0</v>
      </c>
      <c r="J113" t="n">
        <v>0</v>
      </c>
      <c r="K113" t="n">
        <v>0</v>
      </c>
      <c r="L113" t="n">
        <v>0</v>
      </c>
      <c r="M113" t="n">
        <v>0</v>
      </c>
      <c r="N113" t="n">
        <v>0</v>
      </c>
      <c r="O113" t="n">
        <v>0</v>
      </c>
      <c r="P113" t="n">
        <v>0</v>
      </c>
      <c r="Q113" t="n">
        <v>0</v>
      </c>
      <c r="R113" s="2" t="inlineStr"/>
    </row>
    <row r="114" ht="15" customHeight="1">
      <c r="A114" t="inlineStr">
        <is>
          <t>A 17165-2025</t>
        </is>
      </c>
      <c r="B114" s="1" t="n">
        <v>45756</v>
      </c>
      <c r="C114" s="1" t="n">
        <v>46137</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5013-2025</t>
        </is>
      </c>
      <c r="B115" s="1" t="n">
        <v>45691</v>
      </c>
      <c r="C115" s="1" t="n">
        <v>46137</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46137</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27538-2023</t>
        </is>
      </c>
      <c r="B117" s="1" t="n">
        <v>45097</v>
      </c>
      <c r="C117" s="1" t="n">
        <v>46137</v>
      </c>
      <c r="D117" t="inlineStr">
        <is>
          <t>UPPSALA LÄN</t>
        </is>
      </c>
      <c r="E117" t="inlineStr">
        <is>
          <t>ENKÖPING</t>
        </is>
      </c>
      <c r="G117" t="n">
        <v>5.8</v>
      </c>
      <c r="H117" t="n">
        <v>0</v>
      </c>
      <c r="I117" t="n">
        <v>0</v>
      </c>
      <c r="J117" t="n">
        <v>0</v>
      </c>
      <c r="K117" t="n">
        <v>0</v>
      </c>
      <c r="L117" t="n">
        <v>0</v>
      </c>
      <c r="M117" t="n">
        <v>0</v>
      </c>
      <c r="N117" t="n">
        <v>0</v>
      </c>
      <c r="O117" t="n">
        <v>0</v>
      </c>
      <c r="P117" t="n">
        <v>0</v>
      </c>
      <c r="Q117" t="n">
        <v>0</v>
      </c>
      <c r="R117" s="2" t="inlineStr"/>
    </row>
    <row r="118" ht="15" customHeight="1">
      <c r="A118" t="inlineStr">
        <is>
          <t>A 15409-2025</t>
        </is>
      </c>
      <c r="B118" s="1" t="n">
        <v>45747</v>
      </c>
      <c r="C118" s="1" t="n">
        <v>46137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60874-2023</t>
        </is>
      </c>
      <c r="B119" s="1" t="n">
        <v>45261.06280092592</v>
      </c>
      <c r="C119" s="1" t="n">
        <v>46137</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37170-2021</t>
        </is>
      </c>
      <c r="B120" s="1" t="n">
        <v>44395</v>
      </c>
      <c r="C120" s="1" t="n">
        <v>46137</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53496-2022</t>
        </is>
      </c>
      <c r="B121" s="1" t="n">
        <v>44879.57217592592</v>
      </c>
      <c r="C121" s="1" t="n">
        <v>46137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58147-2024</t>
        </is>
      </c>
      <c r="B122" s="1" t="n">
        <v>45632.4334375</v>
      </c>
      <c r="C122" s="1" t="n">
        <v>46137</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15942-2022</t>
        </is>
      </c>
      <c r="B123" s="1" t="n">
        <v>44664</v>
      </c>
      <c r="C123" s="1" t="n">
        <v>46137</v>
      </c>
      <c r="D123" t="inlineStr">
        <is>
          <t>UPPSALA LÄN</t>
        </is>
      </c>
      <c r="E123" t="inlineStr">
        <is>
          <t>ENKÖPING</t>
        </is>
      </c>
      <c r="G123" t="n">
        <v>6.6</v>
      </c>
      <c r="H123" t="n">
        <v>0</v>
      </c>
      <c r="I123" t="n">
        <v>0</v>
      </c>
      <c r="J123" t="n">
        <v>0</v>
      </c>
      <c r="K123" t="n">
        <v>0</v>
      </c>
      <c r="L123" t="n">
        <v>0</v>
      </c>
      <c r="M123" t="n">
        <v>0</v>
      </c>
      <c r="N123" t="n">
        <v>0</v>
      </c>
      <c r="O123" t="n">
        <v>0</v>
      </c>
      <c r="P123" t="n">
        <v>0</v>
      </c>
      <c r="Q123" t="n">
        <v>0</v>
      </c>
      <c r="R123" s="2" t="inlineStr"/>
    </row>
    <row r="124" ht="15" customHeight="1">
      <c r="A124" t="inlineStr">
        <is>
          <t>A 2974-2025</t>
        </is>
      </c>
      <c r="B124" s="1" t="n">
        <v>45678.47168981482</v>
      </c>
      <c r="C124" s="1" t="n">
        <v>46137</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50394-2024</t>
        </is>
      </c>
      <c r="B125" s="1" t="n">
        <v>45600</v>
      </c>
      <c r="C125" s="1" t="n">
        <v>46137</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3550-2023</t>
        </is>
      </c>
      <c r="B126" s="1" t="n">
        <v>44950</v>
      </c>
      <c r="C126" s="1" t="n">
        <v>46137</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51010-2024</t>
        </is>
      </c>
      <c r="B127" s="1" t="n">
        <v>45603.39285879629</v>
      </c>
      <c r="C127" s="1" t="n">
        <v>46137</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56176-2021</t>
        </is>
      </c>
      <c r="B128" s="1" t="n">
        <v>44477</v>
      </c>
      <c r="C128" s="1" t="n">
        <v>46137</v>
      </c>
      <c r="D128" t="inlineStr">
        <is>
          <t>UPPSALA LÄN</t>
        </is>
      </c>
      <c r="E128" t="inlineStr">
        <is>
          <t>ENKÖPING</t>
        </is>
      </c>
      <c r="G128" t="n">
        <v>2.9</v>
      </c>
      <c r="H128" t="n">
        <v>0</v>
      </c>
      <c r="I128" t="n">
        <v>0</v>
      </c>
      <c r="J128" t="n">
        <v>0</v>
      </c>
      <c r="K128" t="n">
        <v>0</v>
      </c>
      <c r="L128" t="n">
        <v>0</v>
      </c>
      <c r="M128" t="n">
        <v>0</v>
      </c>
      <c r="N128" t="n">
        <v>0</v>
      </c>
      <c r="O128" t="n">
        <v>0</v>
      </c>
      <c r="P128" t="n">
        <v>0</v>
      </c>
      <c r="Q128" t="n">
        <v>0</v>
      </c>
      <c r="R128" s="2" t="inlineStr"/>
    </row>
    <row r="129" ht="15" customHeight="1">
      <c r="A129" t="inlineStr">
        <is>
          <t>A 19014-2025</t>
        </is>
      </c>
      <c r="B129" s="1" t="n">
        <v>45764.59631944444</v>
      </c>
      <c r="C129" s="1" t="n">
        <v>46137</v>
      </c>
      <c r="D129" t="inlineStr">
        <is>
          <t>UPPSALA LÄN</t>
        </is>
      </c>
      <c r="E129" t="inlineStr">
        <is>
          <t>ENKÖPING</t>
        </is>
      </c>
      <c r="G129" t="n">
        <v>0.2</v>
      </c>
      <c r="H129" t="n">
        <v>0</v>
      </c>
      <c r="I129" t="n">
        <v>0</v>
      </c>
      <c r="J129" t="n">
        <v>0</v>
      </c>
      <c r="K129" t="n">
        <v>0</v>
      </c>
      <c r="L129" t="n">
        <v>0</v>
      </c>
      <c r="M129" t="n">
        <v>0</v>
      </c>
      <c r="N129" t="n">
        <v>0</v>
      </c>
      <c r="O129" t="n">
        <v>0</v>
      </c>
      <c r="P129" t="n">
        <v>0</v>
      </c>
      <c r="Q129" t="n">
        <v>0</v>
      </c>
      <c r="R129" s="2" t="inlineStr"/>
    </row>
    <row r="130" ht="15" customHeight="1">
      <c r="A130" t="inlineStr">
        <is>
          <t>A 27786-2023</t>
        </is>
      </c>
      <c r="B130" s="1" t="n">
        <v>45098</v>
      </c>
      <c r="C130" s="1" t="n">
        <v>46137</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43016-2021</t>
        </is>
      </c>
      <c r="B131" s="1" t="n">
        <v>44431</v>
      </c>
      <c r="C131" s="1" t="n">
        <v>46137</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48864-2022</t>
        </is>
      </c>
      <c r="B132" s="1" t="n">
        <v>44859</v>
      </c>
      <c r="C132" s="1" t="n">
        <v>46137</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12958-2024</t>
        </is>
      </c>
      <c r="B133" s="1" t="n">
        <v>45385</v>
      </c>
      <c r="C133" s="1" t="n">
        <v>46137</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69344-2021</t>
        </is>
      </c>
      <c r="B134" s="1" t="n">
        <v>44531</v>
      </c>
      <c r="C134" s="1" t="n">
        <v>46137</v>
      </c>
      <c r="D134" t="inlineStr">
        <is>
          <t>UPPSALA LÄN</t>
        </is>
      </c>
      <c r="E134" t="inlineStr">
        <is>
          <t>ENKÖPING</t>
        </is>
      </c>
      <c r="G134" t="n">
        <v>2.9</v>
      </c>
      <c r="H134" t="n">
        <v>0</v>
      </c>
      <c r="I134" t="n">
        <v>0</v>
      </c>
      <c r="J134" t="n">
        <v>0</v>
      </c>
      <c r="K134" t="n">
        <v>0</v>
      </c>
      <c r="L134" t="n">
        <v>0</v>
      </c>
      <c r="M134" t="n">
        <v>0</v>
      </c>
      <c r="N134" t="n">
        <v>0</v>
      </c>
      <c r="O134" t="n">
        <v>0</v>
      </c>
      <c r="P134" t="n">
        <v>0</v>
      </c>
      <c r="Q134" t="n">
        <v>0</v>
      </c>
      <c r="R134" s="2" t="inlineStr"/>
    </row>
    <row r="135" ht="15" customHeight="1">
      <c r="A135" t="inlineStr">
        <is>
          <t>A 6242-2025</t>
        </is>
      </c>
      <c r="B135" s="1" t="n">
        <v>45697</v>
      </c>
      <c r="C135" s="1" t="n">
        <v>46137</v>
      </c>
      <c r="D135" t="inlineStr">
        <is>
          <t>UPPSALA LÄN</t>
        </is>
      </c>
      <c r="E135" t="inlineStr">
        <is>
          <t>ENKÖPING</t>
        </is>
      </c>
      <c r="G135" t="n">
        <v>17.9</v>
      </c>
      <c r="H135" t="n">
        <v>0</v>
      </c>
      <c r="I135" t="n">
        <v>0</v>
      </c>
      <c r="J135" t="n">
        <v>0</v>
      </c>
      <c r="K135" t="n">
        <v>0</v>
      </c>
      <c r="L135" t="n">
        <v>0</v>
      </c>
      <c r="M135" t="n">
        <v>0</v>
      </c>
      <c r="N135" t="n">
        <v>0</v>
      </c>
      <c r="O135" t="n">
        <v>0</v>
      </c>
      <c r="P135" t="n">
        <v>0</v>
      </c>
      <c r="Q135" t="n">
        <v>0</v>
      </c>
      <c r="R135" s="2" t="inlineStr"/>
    </row>
    <row r="136" ht="15" customHeight="1">
      <c r="A136" t="inlineStr">
        <is>
          <t>A 42459-2024</t>
        </is>
      </c>
      <c r="B136" s="1" t="n">
        <v>45565</v>
      </c>
      <c r="C136" s="1" t="n">
        <v>46137</v>
      </c>
      <c r="D136" t="inlineStr">
        <is>
          <t>UPPSALA LÄN</t>
        </is>
      </c>
      <c r="E136" t="inlineStr">
        <is>
          <t>ENKÖPING</t>
        </is>
      </c>
      <c r="G136" t="n">
        <v>3.6</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46137</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10468-2025</t>
        </is>
      </c>
      <c r="B138" s="1" t="n">
        <v>45720</v>
      </c>
      <c r="C138" s="1" t="n">
        <v>46137</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51012-2024</t>
        </is>
      </c>
      <c r="B139" s="1" t="n">
        <v>45603.39686342593</v>
      </c>
      <c r="C139" s="1" t="n">
        <v>46137</v>
      </c>
      <c r="D139" t="inlineStr">
        <is>
          <t>UPPSALA LÄN</t>
        </is>
      </c>
      <c r="E139" t="inlineStr">
        <is>
          <t>ENKÖPING</t>
        </is>
      </c>
      <c r="G139" t="n">
        <v>2.7</v>
      </c>
      <c r="H139" t="n">
        <v>0</v>
      </c>
      <c r="I139" t="n">
        <v>0</v>
      </c>
      <c r="J139" t="n">
        <v>0</v>
      </c>
      <c r="K139" t="n">
        <v>0</v>
      </c>
      <c r="L139" t="n">
        <v>0</v>
      </c>
      <c r="M139" t="n">
        <v>0</v>
      </c>
      <c r="N139" t="n">
        <v>0</v>
      </c>
      <c r="O139" t="n">
        <v>0</v>
      </c>
      <c r="P139" t="n">
        <v>0</v>
      </c>
      <c r="Q139" t="n">
        <v>0</v>
      </c>
      <c r="R139" s="2" t="inlineStr"/>
    </row>
    <row r="140" ht="15" customHeight="1">
      <c r="A140" t="inlineStr">
        <is>
          <t>A 57940-2022</t>
        </is>
      </c>
      <c r="B140" s="1" t="n">
        <v>44900</v>
      </c>
      <c r="C140" s="1" t="n">
        <v>46137</v>
      </c>
      <c r="D140" t="inlineStr">
        <is>
          <t>UPPSALA LÄN</t>
        </is>
      </c>
      <c r="E140" t="inlineStr">
        <is>
          <t>ENKÖPING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46137</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10409-2025</t>
        </is>
      </c>
      <c r="B142" s="1" t="n">
        <v>45720.631875</v>
      </c>
      <c r="C142" s="1" t="n">
        <v>46137</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18299-2025</t>
        </is>
      </c>
      <c r="B143" s="1" t="n">
        <v>45762</v>
      </c>
      <c r="C143" s="1" t="n">
        <v>46137</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21686-2022</t>
        </is>
      </c>
      <c r="B144" s="1" t="n">
        <v>44707</v>
      </c>
      <c r="C144" s="1" t="n">
        <v>46137</v>
      </c>
      <c r="D144" t="inlineStr">
        <is>
          <t>UPPSALA LÄN</t>
        </is>
      </c>
      <c r="E144" t="inlineStr">
        <is>
          <t>ENKÖPING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46137</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19147-2024</t>
        </is>
      </c>
      <c r="B146" s="1" t="n">
        <v>45428</v>
      </c>
      <c r="C146" s="1" t="n">
        <v>46137</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63310-2021</t>
        </is>
      </c>
      <c r="B147" s="1" t="n">
        <v>44508</v>
      </c>
      <c r="C147" s="1" t="n">
        <v>46137</v>
      </c>
      <c r="D147" t="inlineStr">
        <is>
          <t>UPPSALA LÄN</t>
        </is>
      </c>
      <c r="E147" t="inlineStr">
        <is>
          <t>ENKÖPING</t>
        </is>
      </c>
      <c r="G147" t="n">
        <v>3.5</v>
      </c>
      <c r="H147" t="n">
        <v>0</v>
      </c>
      <c r="I147" t="n">
        <v>0</v>
      </c>
      <c r="J147" t="n">
        <v>0</v>
      </c>
      <c r="K147" t="n">
        <v>0</v>
      </c>
      <c r="L147" t="n">
        <v>0</v>
      </c>
      <c r="M147" t="n">
        <v>0</v>
      </c>
      <c r="N147" t="n">
        <v>0</v>
      </c>
      <c r="O147" t="n">
        <v>0</v>
      </c>
      <c r="P147" t="n">
        <v>0</v>
      </c>
      <c r="Q147" t="n">
        <v>0</v>
      </c>
      <c r="R147" s="2" t="inlineStr"/>
    </row>
    <row r="148" ht="15" customHeight="1">
      <c r="A148" t="inlineStr">
        <is>
          <t>A 6172-2023</t>
        </is>
      </c>
      <c r="B148" s="1" t="n">
        <v>44964.68663194445</v>
      </c>
      <c r="C148" s="1" t="n">
        <v>46137</v>
      </c>
      <c r="D148" t="inlineStr">
        <is>
          <t>UPPSALA LÄN</t>
        </is>
      </c>
      <c r="E148" t="inlineStr">
        <is>
          <t>ENKÖPING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14402-2023</t>
        </is>
      </c>
      <c r="B149" s="1" t="n">
        <v>45012</v>
      </c>
      <c r="C149" s="1" t="n">
        <v>46137</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39746-2025</t>
        </is>
      </c>
      <c r="B150" s="1" t="n">
        <v>45891</v>
      </c>
      <c r="C150" s="1" t="n">
        <v>46137</v>
      </c>
      <c r="D150" t="inlineStr">
        <is>
          <t>UPPSALA LÄN</t>
        </is>
      </c>
      <c r="E150" t="inlineStr">
        <is>
          <t>ENKÖPING</t>
        </is>
      </c>
      <c r="G150" t="n">
        <v>7.4</v>
      </c>
      <c r="H150" t="n">
        <v>0</v>
      </c>
      <c r="I150" t="n">
        <v>0</v>
      </c>
      <c r="J150" t="n">
        <v>0</v>
      </c>
      <c r="K150" t="n">
        <v>0</v>
      </c>
      <c r="L150" t="n">
        <v>0</v>
      </c>
      <c r="M150" t="n">
        <v>0</v>
      </c>
      <c r="N150" t="n">
        <v>0</v>
      </c>
      <c r="O150" t="n">
        <v>0</v>
      </c>
      <c r="P150" t="n">
        <v>0</v>
      </c>
      <c r="Q150" t="n">
        <v>0</v>
      </c>
      <c r="R150" s="2" t="inlineStr"/>
    </row>
    <row r="151" ht="15" customHeight="1">
      <c r="A151" t="inlineStr">
        <is>
          <t>A 20440-2025</t>
        </is>
      </c>
      <c r="B151" s="1" t="n">
        <v>45775</v>
      </c>
      <c r="C151" s="1" t="n">
        <v>46137</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46137</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57209-2024</t>
        </is>
      </c>
      <c r="B153" s="1" t="n">
        <v>45629.49311342592</v>
      </c>
      <c r="C153" s="1" t="n">
        <v>46137</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51120-2023</t>
        </is>
      </c>
      <c r="B154" s="1" t="n">
        <v>45219.3088425926</v>
      </c>
      <c r="C154" s="1" t="n">
        <v>46137</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19488-2022</t>
        </is>
      </c>
      <c r="B155" s="1" t="n">
        <v>44693</v>
      </c>
      <c r="C155" s="1" t="n">
        <v>46137</v>
      </c>
      <c r="D155" t="inlineStr">
        <is>
          <t>UPPSALA LÄN</t>
        </is>
      </c>
      <c r="E155" t="inlineStr">
        <is>
          <t>ENKÖPING</t>
        </is>
      </c>
      <c r="G155" t="n">
        <v>7.8</v>
      </c>
      <c r="H155" t="n">
        <v>0</v>
      </c>
      <c r="I155" t="n">
        <v>0</v>
      </c>
      <c r="J155" t="n">
        <v>0</v>
      </c>
      <c r="K155" t="n">
        <v>0</v>
      </c>
      <c r="L155" t="n">
        <v>0</v>
      </c>
      <c r="M155" t="n">
        <v>0</v>
      </c>
      <c r="N155" t="n">
        <v>0</v>
      </c>
      <c r="O155" t="n">
        <v>0</v>
      </c>
      <c r="P155" t="n">
        <v>0</v>
      </c>
      <c r="Q155" t="n">
        <v>0</v>
      </c>
      <c r="R155" s="2" t="inlineStr"/>
    </row>
    <row r="156" ht="15" customHeight="1">
      <c r="A156" t="inlineStr">
        <is>
          <t>A 19298-2023</t>
        </is>
      </c>
      <c r="B156" s="1" t="n">
        <v>45048</v>
      </c>
      <c r="C156" s="1" t="n">
        <v>46137</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5188-2022</t>
        </is>
      </c>
      <c r="B157" s="1" t="n">
        <v>44594.4471412037</v>
      </c>
      <c r="C157" s="1" t="n">
        <v>46137</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12878-2025</t>
        </is>
      </c>
      <c r="B158" s="1" t="n">
        <v>45733.68571759259</v>
      </c>
      <c r="C158" s="1" t="n">
        <v>46137</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31622-2022</t>
        </is>
      </c>
      <c r="B159" s="1" t="n">
        <v>44775</v>
      </c>
      <c r="C159" s="1" t="n">
        <v>46137</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15939-2022</t>
        </is>
      </c>
      <c r="B160" s="1" t="n">
        <v>44664</v>
      </c>
      <c r="C160" s="1" t="n">
        <v>46137</v>
      </c>
      <c r="D160" t="inlineStr">
        <is>
          <t>UPPSALA LÄN</t>
        </is>
      </c>
      <c r="E160" t="inlineStr">
        <is>
          <t>ENKÖPING</t>
        </is>
      </c>
      <c r="G160" t="n">
        <v>2</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46137</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43697-2024</t>
        </is>
      </c>
      <c r="B162" s="1" t="n">
        <v>45569</v>
      </c>
      <c r="C162" s="1" t="n">
        <v>46137</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43896-2022</t>
        </is>
      </c>
      <c r="B163" s="1" t="n">
        <v>44838</v>
      </c>
      <c r="C163" s="1" t="n">
        <v>46137</v>
      </c>
      <c r="D163" t="inlineStr">
        <is>
          <t>UPPSALA LÄN</t>
        </is>
      </c>
      <c r="E163" t="inlineStr">
        <is>
          <t>ENKÖPING</t>
        </is>
      </c>
      <c r="G163" t="n">
        <v>5.3</v>
      </c>
      <c r="H163" t="n">
        <v>0</v>
      </c>
      <c r="I163" t="n">
        <v>0</v>
      </c>
      <c r="J163" t="n">
        <v>0</v>
      </c>
      <c r="K163" t="n">
        <v>0</v>
      </c>
      <c r="L163" t="n">
        <v>0</v>
      </c>
      <c r="M163" t="n">
        <v>0</v>
      </c>
      <c r="N163" t="n">
        <v>0</v>
      </c>
      <c r="O163" t="n">
        <v>0</v>
      </c>
      <c r="P163" t="n">
        <v>0</v>
      </c>
      <c r="Q163" t="n">
        <v>0</v>
      </c>
      <c r="R163" s="2" t="inlineStr"/>
    </row>
    <row r="164" ht="15" customHeight="1">
      <c r="A164" t="inlineStr">
        <is>
          <t>A 45283-2022</t>
        </is>
      </c>
      <c r="B164" s="1" t="n">
        <v>44844</v>
      </c>
      <c r="C164" s="1" t="n">
        <v>46137</v>
      </c>
      <c r="D164" t="inlineStr">
        <is>
          <t>UPPSALA LÄN</t>
        </is>
      </c>
      <c r="E164" t="inlineStr">
        <is>
          <t>ENKÖPING</t>
        </is>
      </c>
      <c r="G164" t="n">
        <v>5.9</v>
      </c>
      <c r="H164" t="n">
        <v>0</v>
      </c>
      <c r="I164" t="n">
        <v>0</v>
      </c>
      <c r="J164" t="n">
        <v>0</v>
      </c>
      <c r="K164" t="n">
        <v>0</v>
      </c>
      <c r="L164" t="n">
        <v>0</v>
      </c>
      <c r="M164" t="n">
        <v>0</v>
      </c>
      <c r="N164" t="n">
        <v>0</v>
      </c>
      <c r="O164" t="n">
        <v>0</v>
      </c>
      <c r="P164" t="n">
        <v>0</v>
      </c>
      <c r="Q164" t="n">
        <v>0</v>
      </c>
      <c r="R164" s="2" t="inlineStr"/>
    </row>
    <row r="165" ht="15" customHeight="1">
      <c r="A165" t="inlineStr">
        <is>
          <t>A 12102-2024</t>
        </is>
      </c>
      <c r="B165" s="1" t="n">
        <v>45377</v>
      </c>
      <c r="C165" s="1" t="n">
        <v>46137</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46137</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41826-2024</t>
        </is>
      </c>
      <c r="B167" s="1" t="n">
        <v>45561</v>
      </c>
      <c r="C167" s="1" t="n">
        <v>46137</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59602-2024</t>
        </is>
      </c>
      <c r="B168" s="1" t="n">
        <v>45638</v>
      </c>
      <c r="C168" s="1" t="n">
        <v>46137</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42589-2022</t>
        </is>
      </c>
      <c r="B169" s="1" t="n">
        <v>44831</v>
      </c>
      <c r="C169" s="1" t="n">
        <v>46137</v>
      </c>
      <c r="D169" t="inlineStr">
        <is>
          <t>UPPSALA LÄN</t>
        </is>
      </c>
      <c r="E169" t="inlineStr">
        <is>
          <t>ENKÖPING</t>
        </is>
      </c>
      <c r="G169" t="n">
        <v>20</v>
      </c>
      <c r="H169" t="n">
        <v>0</v>
      </c>
      <c r="I169" t="n">
        <v>0</v>
      </c>
      <c r="J169" t="n">
        <v>0</v>
      </c>
      <c r="K169" t="n">
        <v>0</v>
      </c>
      <c r="L169" t="n">
        <v>0</v>
      </c>
      <c r="M169" t="n">
        <v>0</v>
      </c>
      <c r="N169" t="n">
        <v>0</v>
      </c>
      <c r="O169" t="n">
        <v>0</v>
      </c>
      <c r="P169" t="n">
        <v>0</v>
      </c>
      <c r="Q169" t="n">
        <v>0</v>
      </c>
      <c r="R169" s="2" t="inlineStr"/>
    </row>
    <row r="170" ht="15" customHeight="1">
      <c r="A170" t="inlineStr">
        <is>
          <t>A 41637-2025</t>
        </is>
      </c>
      <c r="B170" s="1" t="n">
        <v>45901</v>
      </c>
      <c r="C170" s="1" t="n">
        <v>46137</v>
      </c>
      <c r="D170" t="inlineStr">
        <is>
          <t>UPPSALA LÄN</t>
        </is>
      </c>
      <c r="E170" t="inlineStr">
        <is>
          <t>ENKÖPING</t>
        </is>
      </c>
      <c r="F170" t="inlineStr">
        <is>
          <t>Allmännings- och besparingsskogar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840-2025</t>
        </is>
      </c>
      <c r="B171" s="1" t="n">
        <v>45665</v>
      </c>
      <c r="C171" s="1" t="n">
        <v>46137</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41618-2025</t>
        </is>
      </c>
      <c r="B172" s="1" t="n">
        <v>45901.70085648148</v>
      </c>
      <c r="C172" s="1" t="n">
        <v>46137</v>
      </c>
      <c r="D172" t="inlineStr">
        <is>
          <t>UPPSALA LÄN</t>
        </is>
      </c>
      <c r="E172" t="inlineStr">
        <is>
          <t>ENKÖPING</t>
        </is>
      </c>
      <c r="F172" t="inlineStr">
        <is>
          <t>Allmännings- och besparingsskogar</t>
        </is>
      </c>
      <c r="G172" t="n">
        <v>5.3</v>
      </c>
      <c r="H172" t="n">
        <v>0</v>
      </c>
      <c r="I172" t="n">
        <v>0</v>
      </c>
      <c r="J172" t="n">
        <v>0</v>
      </c>
      <c r="K172" t="n">
        <v>0</v>
      </c>
      <c r="L172" t="n">
        <v>0</v>
      </c>
      <c r="M172" t="n">
        <v>0</v>
      </c>
      <c r="N172" t="n">
        <v>0</v>
      </c>
      <c r="O172" t="n">
        <v>0</v>
      </c>
      <c r="P172" t="n">
        <v>0</v>
      </c>
      <c r="Q172" t="n">
        <v>0</v>
      </c>
      <c r="R172" s="2" t="inlineStr"/>
    </row>
    <row r="173" ht="15" customHeight="1">
      <c r="A173" t="inlineStr">
        <is>
          <t>A 44131-2023</t>
        </is>
      </c>
      <c r="B173" s="1" t="n">
        <v>45188</v>
      </c>
      <c r="C173" s="1" t="n">
        <v>46137</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37115-2024</t>
        </is>
      </c>
      <c r="B174" s="1" t="n">
        <v>45539</v>
      </c>
      <c r="C174" s="1" t="n">
        <v>46137</v>
      </c>
      <c r="D174" t="inlineStr">
        <is>
          <t>UPPSALA LÄN</t>
        </is>
      </c>
      <c r="E174" t="inlineStr">
        <is>
          <t>ENKÖPING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60533-2021</t>
        </is>
      </c>
      <c r="B175" s="1" t="n">
        <v>44496</v>
      </c>
      <c r="C175" s="1" t="n">
        <v>46137</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46137</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46137</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45142-2023</t>
        </is>
      </c>
      <c r="B178" s="1" t="n">
        <v>45191.4702662037</v>
      </c>
      <c r="C178" s="1" t="n">
        <v>46137</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35052-2024</t>
        </is>
      </c>
      <c r="B179" s="1" t="n">
        <v>45527.6516087963</v>
      </c>
      <c r="C179" s="1" t="n">
        <v>46137</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11918-2025</t>
        </is>
      </c>
      <c r="B180" s="1" t="n">
        <v>45728.49331018519</v>
      </c>
      <c r="C180" s="1" t="n">
        <v>46137</v>
      </c>
      <c r="D180" t="inlineStr">
        <is>
          <t>UPPSALA LÄN</t>
        </is>
      </c>
      <c r="E180" t="inlineStr">
        <is>
          <t>ENKÖPING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46137</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51008-2024</t>
        </is>
      </c>
      <c r="B182" s="1" t="n">
        <v>45603.39041666667</v>
      </c>
      <c r="C182" s="1" t="n">
        <v>46137</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31242-2024</t>
        </is>
      </c>
      <c r="B183" s="1" t="n">
        <v>45503</v>
      </c>
      <c r="C183" s="1" t="n">
        <v>46137</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845-2025</t>
        </is>
      </c>
      <c r="B184" s="1" t="n">
        <v>45665</v>
      </c>
      <c r="C184" s="1" t="n">
        <v>46137</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849-2025</t>
        </is>
      </c>
      <c r="B185" s="1" t="n">
        <v>45665</v>
      </c>
      <c r="C185" s="1" t="n">
        <v>46137</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7090-2022</t>
        </is>
      </c>
      <c r="B186" s="1" t="n">
        <v>44603.59520833333</v>
      </c>
      <c r="C186" s="1" t="n">
        <v>46137</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9487-2025</t>
        </is>
      </c>
      <c r="B187" s="1" t="n">
        <v>45715.49331018519</v>
      </c>
      <c r="C187" s="1" t="n">
        <v>46137</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6144-2024</t>
        </is>
      </c>
      <c r="B188" s="1" t="n">
        <v>45337.4684837963</v>
      </c>
      <c r="C188" s="1" t="n">
        <v>46137</v>
      </c>
      <c r="D188" t="inlineStr">
        <is>
          <t>UPPSALA LÄN</t>
        </is>
      </c>
      <c r="E188" t="inlineStr">
        <is>
          <t>ENKÖPING</t>
        </is>
      </c>
      <c r="G188" t="n">
        <v>13.8</v>
      </c>
      <c r="H188" t="n">
        <v>0</v>
      </c>
      <c r="I188" t="n">
        <v>0</v>
      </c>
      <c r="J188" t="n">
        <v>0</v>
      </c>
      <c r="K188" t="n">
        <v>0</v>
      </c>
      <c r="L188" t="n">
        <v>0</v>
      </c>
      <c r="M188" t="n">
        <v>0</v>
      </c>
      <c r="N188" t="n">
        <v>0</v>
      </c>
      <c r="O188" t="n">
        <v>0</v>
      </c>
      <c r="P188" t="n">
        <v>0</v>
      </c>
      <c r="Q188" t="n">
        <v>0</v>
      </c>
      <c r="R188" s="2" t="inlineStr"/>
    </row>
    <row r="189" ht="15" customHeight="1">
      <c r="A189" t="inlineStr">
        <is>
          <t>A 33955-2024</t>
        </is>
      </c>
      <c r="B189" s="1" t="n">
        <v>45523.46952546296</v>
      </c>
      <c r="C189" s="1" t="n">
        <v>46137</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62158-2023</t>
        </is>
      </c>
      <c r="B190" s="1" t="n">
        <v>45267</v>
      </c>
      <c r="C190" s="1" t="n">
        <v>46137</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46137</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60350-2022</t>
        </is>
      </c>
      <c r="B192" s="1" t="n">
        <v>44910</v>
      </c>
      <c r="C192" s="1" t="n">
        <v>46137</v>
      </c>
      <c r="D192" t="inlineStr">
        <is>
          <t>UPPSALA LÄN</t>
        </is>
      </c>
      <c r="E192" t="inlineStr">
        <is>
          <t>ENKÖPING</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51042-2024</t>
        </is>
      </c>
      <c r="B193" s="1" t="n">
        <v>45603.4342824074</v>
      </c>
      <c r="C193" s="1" t="n">
        <v>46137</v>
      </c>
      <c r="D193" t="inlineStr">
        <is>
          <t>UPPSALA LÄN</t>
        </is>
      </c>
      <c r="E193" t="inlineStr">
        <is>
          <t>ENKÖPING</t>
        </is>
      </c>
      <c r="G193" t="n">
        <v>4.6</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46137</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42756-2025</t>
        </is>
      </c>
      <c r="B195" s="1" t="n">
        <v>45908</v>
      </c>
      <c r="C195" s="1" t="n">
        <v>46137</v>
      </c>
      <c r="D195" t="inlineStr">
        <is>
          <t>UPPSALA LÄN</t>
        </is>
      </c>
      <c r="E195" t="inlineStr">
        <is>
          <t>ENKÖPING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35647-2021</t>
        </is>
      </c>
      <c r="B196" s="1" t="n">
        <v>44386</v>
      </c>
      <c r="C196" s="1" t="n">
        <v>46137</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22632-2025</t>
        </is>
      </c>
      <c r="B197" s="1" t="n">
        <v>45789.44361111111</v>
      </c>
      <c r="C197" s="1" t="n">
        <v>46137</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22156-2025</t>
        </is>
      </c>
      <c r="B198" s="1" t="n">
        <v>45785.57512731481</v>
      </c>
      <c r="C198" s="1" t="n">
        <v>46137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22150-2025</t>
        </is>
      </c>
      <c r="B199" s="1" t="n">
        <v>45785.56398148148</v>
      </c>
      <c r="C199" s="1" t="n">
        <v>46137</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30087-2024</t>
        </is>
      </c>
      <c r="B200" s="1" t="n">
        <v>45489.39447916667</v>
      </c>
      <c r="C200" s="1" t="n">
        <v>46137</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54776-2024</t>
        </is>
      </c>
      <c r="B201" s="1" t="n">
        <v>45618</v>
      </c>
      <c r="C201" s="1" t="n">
        <v>46137</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22729-2025</t>
        </is>
      </c>
      <c r="B202" s="1" t="n">
        <v>45789.57790509259</v>
      </c>
      <c r="C202" s="1" t="n">
        <v>46137</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14518-2025</t>
        </is>
      </c>
      <c r="B203" s="1" t="n">
        <v>45741</v>
      </c>
      <c r="C203" s="1" t="n">
        <v>46137</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22677-2025</t>
        </is>
      </c>
      <c r="B204" s="1" t="n">
        <v>45789.49515046296</v>
      </c>
      <c r="C204" s="1" t="n">
        <v>46137</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22679-2025</t>
        </is>
      </c>
      <c r="B205" s="1" t="n">
        <v>45789.49747685185</v>
      </c>
      <c r="C205" s="1" t="n">
        <v>46137</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22770-2025</t>
        </is>
      </c>
      <c r="B206" s="1" t="n">
        <v>45789.63454861111</v>
      </c>
      <c r="C206" s="1" t="n">
        <v>46137</v>
      </c>
      <c r="D206" t="inlineStr">
        <is>
          <t>UPPSALA LÄN</t>
        </is>
      </c>
      <c r="E206" t="inlineStr">
        <is>
          <t>ENKÖPING</t>
        </is>
      </c>
      <c r="G206" t="n">
        <v>4.5</v>
      </c>
      <c r="H206" t="n">
        <v>0</v>
      </c>
      <c r="I206" t="n">
        <v>0</v>
      </c>
      <c r="J206" t="n">
        <v>0</v>
      </c>
      <c r="K206" t="n">
        <v>0</v>
      </c>
      <c r="L206" t="n">
        <v>0</v>
      </c>
      <c r="M206" t="n">
        <v>0</v>
      </c>
      <c r="N206" t="n">
        <v>0</v>
      </c>
      <c r="O206" t="n">
        <v>0</v>
      </c>
      <c r="P206" t="n">
        <v>0</v>
      </c>
      <c r="Q206" t="n">
        <v>0</v>
      </c>
      <c r="R206" s="2" t="inlineStr"/>
    </row>
    <row r="207" ht="15" customHeight="1">
      <c r="A207" t="inlineStr">
        <is>
          <t>A 22800-2025</t>
        </is>
      </c>
      <c r="B207" s="1" t="n">
        <v>45789.6669212963</v>
      </c>
      <c r="C207" s="1" t="n">
        <v>46137</v>
      </c>
      <c r="D207" t="inlineStr">
        <is>
          <t>UPPSALA LÄN</t>
        </is>
      </c>
      <c r="E207" t="inlineStr">
        <is>
          <t>ENKÖPING</t>
        </is>
      </c>
      <c r="G207" t="n">
        <v>2</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46137</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6981-2025</t>
        </is>
      </c>
      <c r="B209" s="1" t="n">
        <v>45701</v>
      </c>
      <c r="C209" s="1" t="n">
        <v>46137</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22786-2025</t>
        </is>
      </c>
      <c r="B210" s="1" t="n">
        <v>45789.64643518518</v>
      </c>
      <c r="C210" s="1" t="n">
        <v>46137</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10458-2022</t>
        </is>
      </c>
      <c r="B211" s="1" t="n">
        <v>44623.56711805556</v>
      </c>
      <c r="C211" s="1" t="n">
        <v>46137</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68123-2021</t>
        </is>
      </c>
      <c r="B212" s="1" t="n">
        <v>44526.39126157408</v>
      </c>
      <c r="C212" s="1" t="n">
        <v>46137</v>
      </c>
      <c r="D212" t="inlineStr">
        <is>
          <t>UPPSALA LÄN</t>
        </is>
      </c>
      <c r="E212" t="inlineStr">
        <is>
          <t>ENKÖPING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46137</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44115-2024</t>
        </is>
      </c>
      <c r="B214" s="1" t="n">
        <v>45572</v>
      </c>
      <c r="C214" s="1" t="n">
        <v>46137</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22680-2025</t>
        </is>
      </c>
      <c r="B215" s="1" t="n">
        <v>45789.5005787037</v>
      </c>
      <c r="C215" s="1" t="n">
        <v>46137</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22802-2025</t>
        </is>
      </c>
      <c r="B216" s="1" t="n">
        <v>45789.6686574074</v>
      </c>
      <c r="C216" s="1" t="n">
        <v>46137</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9957-2023</t>
        </is>
      </c>
      <c r="B217" s="1" t="n">
        <v>44978</v>
      </c>
      <c r="C217" s="1" t="n">
        <v>46137</v>
      </c>
      <c r="D217" t="inlineStr">
        <is>
          <t>UPPSALA LÄN</t>
        </is>
      </c>
      <c r="E217" t="inlineStr">
        <is>
          <t>ENKÖPING</t>
        </is>
      </c>
      <c r="G217" t="n">
        <v>5.9</v>
      </c>
      <c r="H217" t="n">
        <v>0</v>
      </c>
      <c r="I217" t="n">
        <v>0</v>
      </c>
      <c r="J217" t="n">
        <v>0</v>
      </c>
      <c r="K217" t="n">
        <v>0</v>
      </c>
      <c r="L217" t="n">
        <v>0</v>
      </c>
      <c r="M217" t="n">
        <v>0</v>
      </c>
      <c r="N217" t="n">
        <v>0</v>
      </c>
      <c r="O217" t="n">
        <v>0</v>
      </c>
      <c r="P217" t="n">
        <v>0</v>
      </c>
      <c r="Q217" t="n">
        <v>0</v>
      </c>
      <c r="R217" s="2" t="inlineStr"/>
    </row>
    <row r="218" ht="15" customHeight="1">
      <c r="A218" t="inlineStr">
        <is>
          <t>A 22793-2025</t>
        </is>
      </c>
      <c r="B218" s="1" t="n">
        <v>45789.65693287037</v>
      </c>
      <c r="C218" s="1" t="n">
        <v>46137</v>
      </c>
      <c r="D218" t="inlineStr">
        <is>
          <t>UPPSALA LÄN</t>
        </is>
      </c>
      <c r="E218" t="inlineStr">
        <is>
          <t>ENKÖPING</t>
        </is>
      </c>
      <c r="G218" t="n">
        <v>3.2</v>
      </c>
      <c r="H218" t="n">
        <v>0</v>
      </c>
      <c r="I218" t="n">
        <v>0</v>
      </c>
      <c r="J218" t="n">
        <v>0</v>
      </c>
      <c r="K218" t="n">
        <v>0</v>
      </c>
      <c r="L218" t="n">
        <v>0</v>
      </c>
      <c r="M218" t="n">
        <v>0</v>
      </c>
      <c r="N218" t="n">
        <v>0</v>
      </c>
      <c r="O218" t="n">
        <v>0</v>
      </c>
      <c r="P218" t="n">
        <v>0</v>
      </c>
      <c r="Q218" t="n">
        <v>0</v>
      </c>
      <c r="R218" s="2" t="inlineStr"/>
    </row>
    <row r="219" ht="15" customHeight="1">
      <c r="A219" t="inlineStr">
        <is>
          <t>A 22795-2025</t>
        </is>
      </c>
      <c r="B219" s="1" t="n">
        <v>45789.65944444444</v>
      </c>
      <c r="C219" s="1" t="n">
        <v>46137</v>
      </c>
      <c r="D219" t="inlineStr">
        <is>
          <t>UPPSALA LÄN</t>
        </is>
      </c>
      <c r="E219" t="inlineStr">
        <is>
          <t>ENKÖPING</t>
        </is>
      </c>
      <c r="G219" t="n">
        <v>10.4</v>
      </c>
      <c r="H219" t="n">
        <v>0</v>
      </c>
      <c r="I219" t="n">
        <v>0</v>
      </c>
      <c r="J219" t="n">
        <v>0</v>
      </c>
      <c r="K219" t="n">
        <v>0</v>
      </c>
      <c r="L219" t="n">
        <v>0</v>
      </c>
      <c r="M219" t="n">
        <v>0</v>
      </c>
      <c r="N219" t="n">
        <v>0</v>
      </c>
      <c r="O219" t="n">
        <v>0</v>
      </c>
      <c r="P219" t="n">
        <v>0</v>
      </c>
      <c r="Q219" t="n">
        <v>0</v>
      </c>
      <c r="R219" s="2" t="inlineStr"/>
    </row>
    <row r="220" ht="15" customHeight="1">
      <c r="A220" t="inlineStr">
        <is>
          <t>A 44419-2025</t>
        </is>
      </c>
      <c r="B220" s="1" t="n">
        <v>45916.54671296296</v>
      </c>
      <c r="C220" s="1" t="n">
        <v>46137</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22725-2025</t>
        </is>
      </c>
      <c r="B221" s="1" t="n">
        <v>45789.57371527778</v>
      </c>
      <c r="C221" s="1" t="n">
        <v>46137</v>
      </c>
      <c r="D221" t="inlineStr">
        <is>
          <t>UPPSALA LÄN</t>
        </is>
      </c>
      <c r="E221" t="inlineStr">
        <is>
          <t>ENKÖPING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63402-2023</t>
        </is>
      </c>
      <c r="B222" s="1" t="n">
        <v>45274.50646990741</v>
      </c>
      <c r="C222" s="1" t="n">
        <v>46137</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46137</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16916-2023</t>
        </is>
      </c>
      <c r="B224" s="1" t="n">
        <v>45033.58347222222</v>
      </c>
      <c r="C224" s="1" t="n">
        <v>46137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56886-2023</t>
        </is>
      </c>
      <c r="B225" s="1" t="n">
        <v>45239</v>
      </c>
      <c r="C225" s="1" t="n">
        <v>46137</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16920-2023</t>
        </is>
      </c>
      <c r="B226" s="1" t="n">
        <v>45033.59030092593</v>
      </c>
      <c r="C226" s="1" t="n">
        <v>46137</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22981-2025</t>
        </is>
      </c>
      <c r="B227" s="1" t="n">
        <v>45790.56964120371</v>
      </c>
      <c r="C227" s="1" t="n">
        <v>46137</v>
      </c>
      <c r="D227" t="inlineStr">
        <is>
          <t>UPPSALA LÄN</t>
        </is>
      </c>
      <c r="E227" t="inlineStr">
        <is>
          <t>ENKÖPING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46137</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46137</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46137</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45956-2024</t>
        </is>
      </c>
      <c r="B231" s="1" t="n">
        <v>45580</v>
      </c>
      <c r="C231" s="1" t="n">
        <v>46137</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10831-2024</t>
        </is>
      </c>
      <c r="B232" s="1" t="n">
        <v>45369</v>
      </c>
      <c r="C232" s="1" t="n">
        <v>46137</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6356-2022</t>
        </is>
      </c>
      <c r="B233" s="1" t="n">
        <v>44600</v>
      </c>
      <c r="C233" s="1" t="n">
        <v>46137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53586-2024</t>
        </is>
      </c>
      <c r="B234" s="1" t="n">
        <v>45614</v>
      </c>
      <c r="C234" s="1" t="n">
        <v>46137</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8020-2022</t>
        </is>
      </c>
      <c r="B235" s="1" t="n">
        <v>44609</v>
      </c>
      <c r="C235" s="1" t="n">
        <v>46137</v>
      </c>
      <c r="D235" t="inlineStr">
        <is>
          <t>UPPSALA LÄN</t>
        </is>
      </c>
      <c r="E235" t="inlineStr">
        <is>
          <t>ENKÖPING</t>
        </is>
      </c>
      <c r="G235" t="n">
        <v>6</v>
      </c>
      <c r="H235" t="n">
        <v>0</v>
      </c>
      <c r="I235" t="n">
        <v>0</v>
      </c>
      <c r="J235" t="n">
        <v>0</v>
      </c>
      <c r="K235" t="n">
        <v>0</v>
      </c>
      <c r="L235" t="n">
        <v>0</v>
      </c>
      <c r="M235" t="n">
        <v>0</v>
      </c>
      <c r="N235" t="n">
        <v>0</v>
      </c>
      <c r="O235" t="n">
        <v>0</v>
      </c>
      <c r="P235" t="n">
        <v>0</v>
      </c>
      <c r="Q235" t="n">
        <v>0</v>
      </c>
      <c r="R235" s="2" t="inlineStr"/>
    </row>
    <row r="236" ht="15" customHeight="1">
      <c r="A236" t="inlineStr">
        <is>
          <t>A 74090-2021</t>
        </is>
      </c>
      <c r="B236" s="1" t="n">
        <v>44557</v>
      </c>
      <c r="C236" s="1" t="n">
        <v>46137</v>
      </c>
      <c r="D236" t="inlineStr">
        <is>
          <t>UPPSALA LÄN</t>
        </is>
      </c>
      <c r="E236" t="inlineStr">
        <is>
          <t>ENKÖPING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34805-2024</t>
        </is>
      </c>
      <c r="B237" s="1" t="n">
        <v>45526</v>
      </c>
      <c r="C237" s="1" t="n">
        <v>46137</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17729-2023</t>
        </is>
      </c>
      <c r="B238" s="1" t="n">
        <v>45037</v>
      </c>
      <c r="C238" s="1" t="n">
        <v>46137</v>
      </c>
      <c r="D238" t="inlineStr">
        <is>
          <t>UPPSALA LÄN</t>
        </is>
      </c>
      <c r="E238" t="inlineStr">
        <is>
          <t>ENKÖPING</t>
        </is>
      </c>
      <c r="G238" t="n">
        <v>10.2</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46137</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5712-2025</t>
        </is>
      </c>
      <c r="B240" s="1" t="n">
        <v>45694</v>
      </c>
      <c r="C240" s="1" t="n">
        <v>46137</v>
      </c>
      <c r="D240" t="inlineStr">
        <is>
          <t>UPPSALA LÄN</t>
        </is>
      </c>
      <c r="E240" t="inlineStr">
        <is>
          <t>ENKÖPING</t>
        </is>
      </c>
      <c r="G240" t="n">
        <v>5.1</v>
      </c>
      <c r="H240" t="n">
        <v>0</v>
      </c>
      <c r="I240" t="n">
        <v>0</v>
      </c>
      <c r="J240" t="n">
        <v>0</v>
      </c>
      <c r="K240" t="n">
        <v>0</v>
      </c>
      <c r="L240" t="n">
        <v>0</v>
      </c>
      <c r="M240" t="n">
        <v>0</v>
      </c>
      <c r="N240" t="n">
        <v>0</v>
      </c>
      <c r="O240" t="n">
        <v>0</v>
      </c>
      <c r="P240" t="n">
        <v>0</v>
      </c>
      <c r="Q240" t="n">
        <v>0</v>
      </c>
      <c r="R240" s="2" t="inlineStr"/>
    </row>
    <row r="241" ht="15" customHeight="1">
      <c r="A241" t="inlineStr">
        <is>
          <t>A 5749-2025</t>
        </is>
      </c>
      <c r="B241" s="1" t="n">
        <v>45694</v>
      </c>
      <c r="C241" s="1" t="n">
        <v>46137</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46590-2025</t>
        </is>
      </c>
      <c r="B242" s="1" t="n">
        <v>45926.39542824074</v>
      </c>
      <c r="C242" s="1" t="n">
        <v>46137</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314-2025</t>
        </is>
      </c>
      <c r="B243" s="1" t="n">
        <v>45656</v>
      </c>
      <c r="C243" s="1" t="n">
        <v>46137</v>
      </c>
      <c r="D243" t="inlineStr">
        <is>
          <t>UPPSALA LÄN</t>
        </is>
      </c>
      <c r="E243" t="inlineStr">
        <is>
          <t>ENKÖPING</t>
        </is>
      </c>
      <c r="G243" t="n">
        <v>9</v>
      </c>
      <c r="H243" t="n">
        <v>0</v>
      </c>
      <c r="I243" t="n">
        <v>0</v>
      </c>
      <c r="J243" t="n">
        <v>0</v>
      </c>
      <c r="K243" t="n">
        <v>0</v>
      </c>
      <c r="L243" t="n">
        <v>0</v>
      </c>
      <c r="M243" t="n">
        <v>0</v>
      </c>
      <c r="N243" t="n">
        <v>0</v>
      </c>
      <c r="O243" t="n">
        <v>0</v>
      </c>
      <c r="P243" t="n">
        <v>0</v>
      </c>
      <c r="Q243" t="n">
        <v>0</v>
      </c>
      <c r="R243" s="2" t="inlineStr"/>
    </row>
    <row r="244" ht="15" customHeight="1">
      <c r="A244" t="inlineStr">
        <is>
          <t>A 11627-2025</t>
        </is>
      </c>
      <c r="B244" s="1" t="n">
        <v>45727</v>
      </c>
      <c r="C244" s="1" t="n">
        <v>46137</v>
      </c>
      <c r="D244" t="inlineStr">
        <is>
          <t>UPPSALA LÄN</t>
        </is>
      </c>
      <c r="E244" t="inlineStr">
        <is>
          <t>ENKÖPING</t>
        </is>
      </c>
      <c r="G244" t="n">
        <v>5.5</v>
      </c>
      <c r="H244" t="n">
        <v>0</v>
      </c>
      <c r="I244" t="n">
        <v>0</v>
      </c>
      <c r="J244" t="n">
        <v>0</v>
      </c>
      <c r="K244" t="n">
        <v>0</v>
      </c>
      <c r="L244" t="n">
        <v>0</v>
      </c>
      <c r="M244" t="n">
        <v>0</v>
      </c>
      <c r="N244" t="n">
        <v>0</v>
      </c>
      <c r="O244" t="n">
        <v>0</v>
      </c>
      <c r="P244" t="n">
        <v>0</v>
      </c>
      <c r="Q244" t="n">
        <v>0</v>
      </c>
      <c r="R244" s="2" t="inlineStr"/>
    </row>
    <row r="245" ht="15" customHeight="1">
      <c r="A245" t="inlineStr">
        <is>
          <t>A 24411-2024</t>
        </is>
      </c>
      <c r="B245" s="1" t="n">
        <v>45457</v>
      </c>
      <c r="C245" s="1" t="n">
        <v>46137</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47441-2025</t>
        </is>
      </c>
      <c r="B246" s="1" t="n">
        <v>45930.63986111111</v>
      </c>
      <c r="C246" s="1" t="n">
        <v>46137</v>
      </c>
      <c r="D246" t="inlineStr">
        <is>
          <t>UPPSALA LÄN</t>
        </is>
      </c>
      <c r="E246" t="inlineStr">
        <is>
          <t>ENKÖPING</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43506-2023</t>
        </is>
      </c>
      <c r="B247" s="1" t="n">
        <v>45181</v>
      </c>
      <c r="C247" s="1" t="n">
        <v>46137</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46186-2023</t>
        </is>
      </c>
      <c r="B248" s="1" t="n">
        <v>45196</v>
      </c>
      <c r="C248" s="1" t="n">
        <v>46137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54595-2021</t>
        </is>
      </c>
      <c r="B249" s="1" t="n">
        <v>44473.58824074074</v>
      </c>
      <c r="C249" s="1" t="n">
        <v>46137</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54588-2024</t>
        </is>
      </c>
      <c r="B250" s="1" t="n">
        <v>45617</v>
      </c>
      <c r="C250" s="1" t="n">
        <v>46137</v>
      </c>
      <c r="D250" t="inlineStr">
        <is>
          <t>UPPSALA LÄN</t>
        </is>
      </c>
      <c r="E250" t="inlineStr">
        <is>
          <t>ENKÖPING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39439-2025</t>
        </is>
      </c>
      <c r="B251" s="1" t="n">
        <v>45889</v>
      </c>
      <c r="C251" s="1" t="n">
        <v>46137</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47428-2023</t>
        </is>
      </c>
      <c r="B252" s="1" t="n">
        <v>45202.66664351852</v>
      </c>
      <c r="C252" s="1" t="n">
        <v>46137</v>
      </c>
      <c r="D252" t="inlineStr">
        <is>
          <t>UPPSALA LÄN</t>
        </is>
      </c>
      <c r="E252" t="inlineStr">
        <is>
          <t>ENKÖPING</t>
        </is>
      </c>
      <c r="G252" t="n">
        <v>3</v>
      </c>
      <c r="H252" t="n">
        <v>0</v>
      </c>
      <c r="I252" t="n">
        <v>0</v>
      </c>
      <c r="J252" t="n">
        <v>0</v>
      </c>
      <c r="K252" t="n">
        <v>0</v>
      </c>
      <c r="L252" t="n">
        <v>0</v>
      </c>
      <c r="M252" t="n">
        <v>0</v>
      </c>
      <c r="N252" t="n">
        <v>0</v>
      </c>
      <c r="O252" t="n">
        <v>0</v>
      </c>
      <c r="P252" t="n">
        <v>0</v>
      </c>
      <c r="Q252" t="n">
        <v>0</v>
      </c>
      <c r="R252" s="2" t="inlineStr"/>
    </row>
    <row r="253" ht="15" customHeight="1">
      <c r="A253" t="inlineStr">
        <is>
          <t>A 48678-2025</t>
        </is>
      </c>
      <c r="B253" s="1" t="n">
        <v>45936.59168981481</v>
      </c>
      <c r="C253" s="1" t="n">
        <v>46137</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58092-2024</t>
        </is>
      </c>
      <c r="B254" s="1" t="n">
        <v>45632</v>
      </c>
      <c r="C254" s="1" t="n">
        <v>46137</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48423-2025</t>
        </is>
      </c>
      <c r="B255" s="1" t="n">
        <v>45934.68024305555</v>
      </c>
      <c r="C255" s="1" t="n">
        <v>46137</v>
      </c>
      <c r="D255" t="inlineStr">
        <is>
          <t>UPPSALA LÄN</t>
        </is>
      </c>
      <c r="E255" t="inlineStr">
        <is>
          <t>ENKÖPING</t>
        </is>
      </c>
      <c r="G255" t="n">
        <v>4.3</v>
      </c>
      <c r="H255" t="n">
        <v>0</v>
      </c>
      <c r="I255" t="n">
        <v>0</v>
      </c>
      <c r="J255" t="n">
        <v>0</v>
      </c>
      <c r="K255" t="n">
        <v>0</v>
      </c>
      <c r="L255" t="n">
        <v>0</v>
      </c>
      <c r="M255" t="n">
        <v>0</v>
      </c>
      <c r="N255" t="n">
        <v>0</v>
      </c>
      <c r="O255" t="n">
        <v>0</v>
      </c>
      <c r="P255" t="n">
        <v>0</v>
      </c>
      <c r="Q255" t="n">
        <v>0</v>
      </c>
      <c r="R255" s="2" t="inlineStr"/>
    </row>
    <row r="256" ht="15" customHeight="1">
      <c r="A256" t="inlineStr">
        <is>
          <t>A 48424-2025</t>
        </is>
      </c>
      <c r="B256" s="1" t="n">
        <v>45934.69131944444</v>
      </c>
      <c r="C256" s="1" t="n">
        <v>46137</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49073-2025</t>
        </is>
      </c>
      <c r="B257" s="1" t="n">
        <v>45937.65512731481</v>
      </c>
      <c r="C257" s="1" t="n">
        <v>46137</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5892-2023</t>
        </is>
      </c>
      <c r="B258" s="1" t="n">
        <v>44963.64883101852</v>
      </c>
      <c r="C258" s="1" t="n">
        <v>46137</v>
      </c>
      <c r="D258" t="inlineStr">
        <is>
          <t>UPPSALA LÄN</t>
        </is>
      </c>
      <c r="E258" t="inlineStr">
        <is>
          <t>ENKÖPING</t>
        </is>
      </c>
      <c r="G258" t="n">
        <v>5.5</v>
      </c>
      <c r="H258" t="n">
        <v>0</v>
      </c>
      <c r="I258" t="n">
        <v>0</v>
      </c>
      <c r="J258" t="n">
        <v>0</v>
      </c>
      <c r="K258" t="n">
        <v>0</v>
      </c>
      <c r="L258" t="n">
        <v>0</v>
      </c>
      <c r="M258" t="n">
        <v>0</v>
      </c>
      <c r="N258" t="n">
        <v>0</v>
      </c>
      <c r="O258" t="n">
        <v>0</v>
      </c>
      <c r="P258" t="n">
        <v>0</v>
      </c>
      <c r="Q258" t="n">
        <v>0</v>
      </c>
      <c r="R258" s="2" t="inlineStr"/>
    </row>
    <row r="259" ht="15" customHeight="1">
      <c r="A259" t="inlineStr">
        <is>
          <t>A 26024-2025</t>
        </is>
      </c>
      <c r="B259" s="1" t="n">
        <v>45804.6831712963</v>
      </c>
      <c r="C259" s="1" t="n">
        <v>46137</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26042-2025</t>
        </is>
      </c>
      <c r="B260" s="1" t="n">
        <v>45804.70018518518</v>
      </c>
      <c r="C260" s="1" t="n">
        <v>46137</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26005-2025</t>
        </is>
      </c>
      <c r="B261" s="1" t="n">
        <v>45804.67055555555</v>
      </c>
      <c r="C261" s="1" t="n">
        <v>46137</v>
      </c>
      <c r="D261" t="inlineStr">
        <is>
          <t>UPPSALA LÄN</t>
        </is>
      </c>
      <c r="E261" t="inlineStr">
        <is>
          <t>ENKÖPING</t>
        </is>
      </c>
      <c r="G261" t="n">
        <v>0.3</v>
      </c>
      <c r="H261" t="n">
        <v>0</v>
      </c>
      <c r="I261" t="n">
        <v>0</v>
      </c>
      <c r="J261" t="n">
        <v>0</v>
      </c>
      <c r="K261" t="n">
        <v>0</v>
      </c>
      <c r="L261" t="n">
        <v>0</v>
      </c>
      <c r="M261" t="n">
        <v>0</v>
      </c>
      <c r="N261" t="n">
        <v>0</v>
      </c>
      <c r="O261" t="n">
        <v>0</v>
      </c>
      <c r="P261" t="n">
        <v>0</v>
      </c>
      <c r="Q261" t="n">
        <v>0</v>
      </c>
      <c r="R261" s="2" t="inlineStr"/>
    </row>
    <row r="262" ht="15" customHeight="1">
      <c r="A262" t="inlineStr">
        <is>
          <t>A 26026-2025</t>
        </is>
      </c>
      <c r="B262" s="1" t="n">
        <v>45804.68510416667</v>
      </c>
      <c r="C262" s="1" t="n">
        <v>46137</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26030-2025</t>
        </is>
      </c>
      <c r="B263" s="1" t="n">
        <v>45804.68815972222</v>
      </c>
      <c r="C263" s="1" t="n">
        <v>46137</v>
      </c>
      <c r="D263" t="inlineStr">
        <is>
          <t>UPPSALA LÄN</t>
        </is>
      </c>
      <c r="E263" t="inlineStr">
        <is>
          <t>ENKÖPING</t>
        </is>
      </c>
      <c r="G263" t="n">
        <v>0.3</v>
      </c>
      <c r="H263" t="n">
        <v>0</v>
      </c>
      <c r="I263" t="n">
        <v>0</v>
      </c>
      <c r="J263" t="n">
        <v>0</v>
      </c>
      <c r="K263" t="n">
        <v>0</v>
      </c>
      <c r="L263" t="n">
        <v>0</v>
      </c>
      <c r="M263" t="n">
        <v>0</v>
      </c>
      <c r="N263" t="n">
        <v>0</v>
      </c>
      <c r="O263" t="n">
        <v>0</v>
      </c>
      <c r="P263" t="n">
        <v>0</v>
      </c>
      <c r="Q263" t="n">
        <v>0</v>
      </c>
      <c r="R263" s="2" t="inlineStr"/>
    </row>
    <row r="264" ht="15" customHeight="1">
      <c r="A264" t="inlineStr">
        <is>
          <t>A 26022-2025</t>
        </is>
      </c>
      <c r="B264" s="1" t="n">
        <v>45804.68006944445</v>
      </c>
      <c r="C264" s="1" t="n">
        <v>46137</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25988-2025</t>
        </is>
      </c>
      <c r="B265" s="1" t="n">
        <v>45804.64814814815</v>
      </c>
      <c r="C265" s="1" t="n">
        <v>46137</v>
      </c>
      <c r="D265" t="inlineStr">
        <is>
          <t>UPPSALA LÄN</t>
        </is>
      </c>
      <c r="E265" t="inlineStr">
        <is>
          <t>ENKÖPING</t>
        </is>
      </c>
      <c r="G265" t="n">
        <v>4.7</v>
      </c>
      <c r="H265" t="n">
        <v>0</v>
      </c>
      <c r="I265" t="n">
        <v>0</v>
      </c>
      <c r="J265" t="n">
        <v>0</v>
      </c>
      <c r="K265" t="n">
        <v>0</v>
      </c>
      <c r="L265" t="n">
        <v>0</v>
      </c>
      <c r="M265" t="n">
        <v>0</v>
      </c>
      <c r="N265" t="n">
        <v>0</v>
      </c>
      <c r="O265" t="n">
        <v>0</v>
      </c>
      <c r="P265" t="n">
        <v>0</v>
      </c>
      <c r="Q265" t="n">
        <v>0</v>
      </c>
      <c r="R265" s="2" t="inlineStr"/>
    </row>
    <row r="266" ht="15" customHeight="1">
      <c r="A266" t="inlineStr">
        <is>
          <t>A 26031-2025</t>
        </is>
      </c>
      <c r="B266" s="1" t="n">
        <v>45804.69050925926</v>
      </c>
      <c r="C266" s="1" t="n">
        <v>46137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26041-2025</t>
        </is>
      </c>
      <c r="B267" s="1" t="n">
        <v>45804.69883101852</v>
      </c>
      <c r="C267" s="1" t="n">
        <v>46137</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43103-2025</t>
        </is>
      </c>
      <c r="B268" s="1" t="n">
        <v>45909</v>
      </c>
      <c r="C268" s="1" t="n">
        <v>46137</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25847-2025</t>
        </is>
      </c>
      <c r="B269" s="1" t="n">
        <v>45804</v>
      </c>
      <c r="C269" s="1" t="n">
        <v>46137</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46137</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26047-2025</t>
        </is>
      </c>
      <c r="B271" s="1" t="n">
        <v>45804.70835648148</v>
      </c>
      <c r="C271" s="1" t="n">
        <v>46137</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49068-2025</t>
        </is>
      </c>
      <c r="B272" s="1" t="n">
        <v>45937.64766203704</v>
      </c>
      <c r="C272" s="1" t="n">
        <v>46137</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35067-2024</t>
        </is>
      </c>
      <c r="B273" s="1" t="n">
        <v>45527.66153935185</v>
      </c>
      <c r="C273" s="1" t="n">
        <v>46137</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43488-2023</t>
        </is>
      </c>
      <c r="B274" s="1" t="n">
        <v>45181</v>
      </c>
      <c r="C274" s="1" t="n">
        <v>46137</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9171-2024</t>
        </is>
      </c>
      <c r="B275" s="1" t="n">
        <v>45358</v>
      </c>
      <c r="C275" s="1" t="n">
        <v>46137</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27829-2025</t>
        </is>
      </c>
      <c r="B276" s="1" t="n">
        <v>45817</v>
      </c>
      <c r="C276" s="1" t="n">
        <v>46137</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51162-2025</t>
        </is>
      </c>
      <c r="B277" s="1" t="n">
        <v>45947.58820601852</v>
      </c>
      <c r="C277" s="1" t="n">
        <v>46137</v>
      </c>
      <c r="D277" t="inlineStr">
        <is>
          <t>UPPSALA LÄN</t>
        </is>
      </c>
      <c r="E277" t="inlineStr">
        <is>
          <t>ENKÖPING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39009-2024</t>
        </is>
      </c>
      <c r="B278" s="1" t="n">
        <v>45548</v>
      </c>
      <c r="C278" s="1" t="n">
        <v>46137</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8537-2025</t>
        </is>
      </c>
      <c r="B279" s="1" t="n">
        <v>45709</v>
      </c>
      <c r="C279" s="1" t="n">
        <v>46137</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51133-2025</t>
        </is>
      </c>
      <c r="B280" s="1" t="n">
        <v>45947.55598379629</v>
      </c>
      <c r="C280" s="1" t="n">
        <v>46137</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43230-2023</t>
        </is>
      </c>
      <c r="B281" s="1" t="n">
        <v>45183</v>
      </c>
      <c r="C281" s="1" t="n">
        <v>46137</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45362-2022</t>
        </is>
      </c>
      <c r="B282" s="1" t="n">
        <v>44844.62366898148</v>
      </c>
      <c r="C282" s="1" t="n">
        <v>46137</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72840-2021</t>
        </is>
      </c>
      <c r="B283" s="1" t="n">
        <v>44547</v>
      </c>
      <c r="C283" s="1" t="n">
        <v>46137</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28758-2025</t>
        </is>
      </c>
      <c r="B284" s="1" t="n">
        <v>45820.41212962963</v>
      </c>
      <c r="C284" s="1" t="n">
        <v>46137</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28862-2025</t>
        </is>
      </c>
      <c r="B285" s="1" t="n">
        <v>45820.59189814814</v>
      </c>
      <c r="C285" s="1" t="n">
        <v>46137</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28855-2025</t>
        </is>
      </c>
      <c r="B286" s="1" t="n">
        <v>45820.58274305556</v>
      </c>
      <c r="C286" s="1" t="n">
        <v>46137</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29093-2025</t>
        </is>
      </c>
      <c r="B287" s="1" t="n">
        <v>45821.55743055556</v>
      </c>
      <c r="C287" s="1" t="n">
        <v>46137</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26017-2025</t>
        </is>
      </c>
      <c r="B288" s="1" t="n">
        <v>45804</v>
      </c>
      <c r="C288" s="1" t="n">
        <v>46137</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34617-2022</t>
        </is>
      </c>
      <c r="B289" s="1" t="n">
        <v>44795</v>
      </c>
      <c r="C289" s="1" t="n">
        <v>46137</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1992-2022</t>
        </is>
      </c>
      <c r="B290" s="1" t="n">
        <v>44575.56153935185</v>
      </c>
      <c r="C290" s="1" t="n">
        <v>46137</v>
      </c>
      <c r="D290" t="inlineStr">
        <is>
          <t>UPPSALA LÄN</t>
        </is>
      </c>
      <c r="E290" t="inlineStr">
        <is>
          <t>ENKÖPING</t>
        </is>
      </c>
      <c r="G290" t="n">
        <v>2.8</v>
      </c>
      <c r="H290" t="n">
        <v>0</v>
      </c>
      <c r="I290" t="n">
        <v>0</v>
      </c>
      <c r="J290" t="n">
        <v>0</v>
      </c>
      <c r="K290" t="n">
        <v>0</v>
      </c>
      <c r="L290" t="n">
        <v>0</v>
      </c>
      <c r="M290" t="n">
        <v>0</v>
      </c>
      <c r="N290" t="n">
        <v>0</v>
      </c>
      <c r="O290" t="n">
        <v>0</v>
      </c>
      <c r="P290" t="n">
        <v>0</v>
      </c>
      <c r="Q290" t="n">
        <v>0</v>
      </c>
      <c r="R290" s="2" t="inlineStr"/>
    </row>
    <row r="291" ht="15" customHeight="1">
      <c r="A291" t="inlineStr">
        <is>
          <t>A 1695-2025</t>
        </is>
      </c>
      <c r="B291" s="1" t="n">
        <v>45670</v>
      </c>
      <c r="C291" s="1" t="n">
        <v>46137</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26011-2025</t>
        </is>
      </c>
      <c r="B292" s="1" t="n">
        <v>45804.67412037037</v>
      </c>
      <c r="C292" s="1" t="n">
        <v>46137</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54357-2023</t>
        </is>
      </c>
      <c r="B293" s="1" t="n">
        <v>45225</v>
      </c>
      <c r="C293" s="1" t="n">
        <v>46137</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24962-2023</t>
        </is>
      </c>
      <c r="B294" s="1" t="n">
        <v>45085.60123842592</v>
      </c>
      <c r="C294" s="1" t="n">
        <v>46137</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30837-2025</t>
        </is>
      </c>
      <c r="B295" s="1" t="n">
        <v>45831.7063425926</v>
      </c>
      <c r="C295" s="1" t="n">
        <v>46137</v>
      </c>
      <c r="D295" t="inlineStr">
        <is>
          <t>UPPSALA LÄN</t>
        </is>
      </c>
      <c r="E295" t="inlineStr">
        <is>
          <t>ENKÖPING</t>
        </is>
      </c>
      <c r="G295" t="n">
        <v>3.8</v>
      </c>
      <c r="H295" t="n">
        <v>0</v>
      </c>
      <c r="I295" t="n">
        <v>0</v>
      </c>
      <c r="J295" t="n">
        <v>0</v>
      </c>
      <c r="K295" t="n">
        <v>0</v>
      </c>
      <c r="L295" t="n">
        <v>0</v>
      </c>
      <c r="M295" t="n">
        <v>0</v>
      </c>
      <c r="N295" t="n">
        <v>0</v>
      </c>
      <c r="O295" t="n">
        <v>0</v>
      </c>
      <c r="P295" t="n">
        <v>0</v>
      </c>
      <c r="Q295" t="n">
        <v>0</v>
      </c>
      <c r="R295" s="2" t="inlineStr"/>
    </row>
    <row r="296" ht="15" customHeight="1">
      <c r="A296" t="inlineStr">
        <is>
          <t>A 2850-2025</t>
        </is>
      </c>
      <c r="B296" s="1" t="n">
        <v>45677</v>
      </c>
      <c r="C296" s="1" t="n">
        <v>46137</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58961-2024</t>
        </is>
      </c>
      <c r="B297" s="1" t="n">
        <v>45636.585</v>
      </c>
      <c r="C297" s="1" t="n">
        <v>46137</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46137</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54263-2025</t>
        </is>
      </c>
      <c r="B299" s="1" t="n">
        <v>45964.66271990741</v>
      </c>
      <c r="C299" s="1" t="n">
        <v>46137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32111-2025</t>
        </is>
      </c>
      <c r="B300" s="1" t="n">
        <v>45835</v>
      </c>
      <c r="C300" s="1" t="n">
        <v>46137</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32031-2025</t>
        </is>
      </c>
      <c r="B301" s="1" t="n">
        <v>45835.41712962963</v>
      </c>
      <c r="C301" s="1" t="n">
        <v>46137</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53595-2023</t>
        </is>
      </c>
      <c r="B302" s="1" t="n">
        <v>45223</v>
      </c>
      <c r="C302" s="1" t="n">
        <v>46137</v>
      </c>
      <c r="D302" t="inlineStr">
        <is>
          <t>UPPSALA LÄN</t>
        </is>
      </c>
      <c r="E302" t="inlineStr">
        <is>
          <t>ENKÖPING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54844-2025</t>
        </is>
      </c>
      <c r="B303" s="1" t="n">
        <v>45966.69570601852</v>
      </c>
      <c r="C303" s="1" t="n">
        <v>46137</v>
      </c>
      <c r="D303" t="inlineStr">
        <is>
          <t>UPPSALA LÄN</t>
        </is>
      </c>
      <c r="E303" t="inlineStr">
        <is>
          <t>ENKÖPING</t>
        </is>
      </c>
      <c r="G303" t="n">
        <v>5.5</v>
      </c>
      <c r="H303" t="n">
        <v>0</v>
      </c>
      <c r="I303" t="n">
        <v>0</v>
      </c>
      <c r="J303" t="n">
        <v>0</v>
      </c>
      <c r="K303" t="n">
        <v>0</v>
      </c>
      <c r="L303" t="n">
        <v>0</v>
      </c>
      <c r="M303" t="n">
        <v>0</v>
      </c>
      <c r="N303" t="n">
        <v>0</v>
      </c>
      <c r="O303" t="n">
        <v>0</v>
      </c>
      <c r="P303" t="n">
        <v>0</v>
      </c>
      <c r="Q303" t="n">
        <v>0</v>
      </c>
      <c r="R303" s="2" t="inlineStr"/>
    </row>
    <row r="304" ht="15" customHeight="1">
      <c r="A304" t="inlineStr">
        <is>
          <t>A 54758-2025</t>
        </is>
      </c>
      <c r="B304" s="1" t="n">
        <v>45966.59737268519</v>
      </c>
      <c r="C304" s="1" t="n">
        <v>46137</v>
      </c>
      <c r="D304" t="inlineStr">
        <is>
          <t>UPPSALA LÄN</t>
        </is>
      </c>
      <c r="E304" t="inlineStr">
        <is>
          <t>ENKÖPING</t>
        </is>
      </c>
      <c r="G304" t="n">
        <v>3.3</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46137</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55567-2025</t>
        </is>
      </c>
      <c r="B306" s="1" t="n">
        <v>45971.65589120371</v>
      </c>
      <c r="C306" s="1" t="n">
        <v>46137</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18028-2023</t>
        </is>
      </c>
      <c r="B307" s="1" t="n">
        <v>45040</v>
      </c>
      <c r="C307" s="1" t="n">
        <v>46137</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15740-2025</t>
        </is>
      </c>
      <c r="B308" s="1" t="n">
        <v>45748</v>
      </c>
      <c r="C308" s="1" t="n">
        <v>46137</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48843-2023</t>
        </is>
      </c>
      <c r="B309" s="1" t="n">
        <v>45209</v>
      </c>
      <c r="C309" s="1" t="n">
        <v>46137</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33670-2024</t>
        </is>
      </c>
      <c r="B310" s="1" t="n">
        <v>45520</v>
      </c>
      <c r="C310" s="1" t="n">
        <v>46137</v>
      </c>
      <c r="D310" t="inlineStr">
        <is>
          <t>UPPSALA LÄN</t>
        </is>
      </c>
      <c r="E310" t="inlineStr">
        <is>
          <t>ENKÖPING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56625-2025</t>
        </is>
      </c>
      <c r="B311" s="1" t="n">
        <v>45975.60608796297</v>
      </c>
      <c r="C311" s="1" t="n">
        <v>46137</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18994-2025</t>
        </is>
      </c>
      <c r="B312" s="1" t="n">
        <v>45764.57350694444</v>
      </c>
      <c r="C312" s="1" t="n">
        <v>46137</v>
      </c>
      <c r="D312" t="inlineStr">
        <is>
          <t>UPPSALA LÄN</t>
        </is>
      </c>
      <c r="E312" t="inlineStr">
        <is>
          <t>ENKÖPING</t>
        </is>
      </c>
      <c r="G312" t="n">
        <v>3.8</v>
      </c>
      <c r="H312" t="n">
        <v>0</v>
      </c>
      <c r="I312" t="n">
        <v>0</v>
      </c>
      <c r="J312" t="n">
        <v>0</v>
      </c>
      <c r="K312" t="n">
        <v>0</v>
      </c>
      <c r="L312" t="n">
        <v>0</v>
      </c>
      <c r="M312" t="n">
        <v>0</v>
      </c>
      <c r="N312" t="n">
        <v>0</v>
      </c>
      <c r="O312" t="n">
        <v>0</v>
      </c>
      <c r="P312" t="n">
        <v>0</v>
      </c>
      <c r="Q312" t="n">
        <v>0</v>
      </c>
      <c r="R312" s="2" t="inlineStr"/>
    </row>
    <row r="313" ht="15" customHeight="1">
      <c r="A313" t="inlineStr">
        <is>
          <t>A 57848-2024</t>
        </is>
      </c>
      <c r="B313" s="1" t="n">
        <v>45631.40947916666</v>
      </c>
      <c r="C313" s="1" t="n">
        <v>46137</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49601-2024</t>
        </is>
      </c>
      <c r="B314" s="1" t="n">
        <v>45596.56288194445</v>
      </c>
      <c r="C314" s="1" t="n">
        <v>46137</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57294-2025</t>
        </is>
      </c>
      <c r="B315" s="1" t="n">
        <v>45979</v>
      </c>
      <c r="C315" s="1" t="n">
        <v>46137</v>
      </c>
      <c r="D315" t="inlineStr">
        <is>
          <t>UPPSALA LÄN</t>
        </is>
      </c>
      <c r="E315" t="inlineStr">
        <is>
          <t>ENKÖPING</t>
        </is>
      </c>
      <c r="G315" t="n">
        <v>6.2</v>
      </c>
      <c r="H315" t="n">
        <v>0</v>
      </c>
      <c r="I315" t="n">
        <v>0</v>
      </c>
      <c r="J315" t="n">
        <v>0</v>
      </c>
      <c r="K315" t="n">
        <v>0</v>
      </c>
      <c r="L315" t="n">
        <v>0</v>
      </c>
      <c r="M315" t="n">
        <v>0</v>
      </c>
      <c r="N315" t="n">
        <v>0</v>
      </c>
      <c r="O315" t="n">
        <v>0</v>
      </c>
      <c r="P315" t="n">
        <v>0</v>
      </c>
      <c r="Q315" t="n">
        <v>0</v>
      </c>
      <c r="R315" s="2" t="inlineStr"/>
    </row>
    <row r="316" ht="15" customHeight="1">
      <c r="A316" t="inlineStr">
        <is>
          <t>A 19376-2024</t>
        </is>
      </c>
      <c r="B316" s="1" t="n">
        <v>45429</v>
      </c>
      <c r="C316" s="1" t="n">
        <v>46137</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29513-2025</t>
        </is>
      </c>
      <c r="B317" s="1" t="n">
        <v>45825</v>
      </c>
      <c r="C317" s="1" t="n">
        <v>46137</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17844-2025</t>
        </is>
      </c>
      <c r="B318" s="1" t="n">
        <v>45758.59920138889</v>
      </c>
      <c r="C318" s="1" t="n">
        <v>46137</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46137</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57188-2025</t>
        </is>
      </c>
      <c r="B320" s="1" t="n">
        <v>45979</v>
      </c>
      <c r="C320" s="1" t="n">
        <v>46137</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21501-2025</t>
        </is>
      </c>
      <c r="B321" s="1" t="n">
        <v>45782</v>
      </c>
      <c r="C321" s="1" t="n">
        <v>46137</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34988-2025</t>
        </is>
      </c>
      <c r="B322" s="1" t="n">
        <v>45849</v>
      </c>
      <c r="C322" s="1" t="n">
        <v>46137</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34987-2025</t>
        </is>
      </c>
      <c r="B323" s="1" t="n">
        <v>45849</v>
      </c>
      <c r="C323" s="1" t="n">
        <v>46137</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59668-2025</t>
        </is>
      </c>
      <c r="B324" s="1" t="n">
        <v>45992.45567129629</v>
      </c>
      <c r="C324" s="1" t="n">
        <v>46137</v>
      </c>
      <c r="D324" t="inlineStr">
        <is>
          <t>UPPSALA LÄN</t>
        </is>
      </c>
      <c r="E324" t="inlineStr">
        <is>
          <t>ENKÖPING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12020-2024</t>
        </is>
      </c>
      <c r="B325" s="1" t="n">
        <v>45377</v>
      </c>
      <c r="C325" s="1" t="n">
        <v>46137</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36492-2025</t>
        </is>
      </c>
      <c r="B326" s="1" t="n">
        <v>45869</v>
      </c>
      <c r="C326" s="1" t="n">
        <v>46137</v>
      </c>
      <c r="D326" t="inlineStr">
        <is>
          <t>UPPSALA LÄN</t>
        </is>
      </c>
      <c r="E326" t="inlineStr">
        <is>
          <t>ENKÖPING</t>
        </is>
      </c>
      <c r="G326" t="n">
        <v>6.3</v>
      </c>
      <c r="H326" t="n">
        <v>0</v>
      </c>
      <c r="I326" t="n">
        <v>0</v>
      </c>
      <c r="J326" t="n">
        <v>0</v>
      </c>
      <c r="K326" t="n">
        <v>0</v>
      </c>
      <c r="L326" t="n">
        <v>0</v>
      </c>
      <c r="M326" t="n">
        <v>0</v>
      </c>
      <c r="N326" t="n">
        <v>0</v>
      </c>
      <c r="O326" t="n">
        <v>0</v>
      </c>
      <c r="P326" t="n">
        <v>0</v>
      </c>
      <c r="Q326" t="n">
        <v>0</v>
      </c>
      <c r="R326" s="2" t="inlineStr"/>
    </row>
    <row r="327" ht="15" customHeight="1">
      <c r="A327" t="inlineStr">
        <is>
          <t>A 36350-2025</t>
        </is>
      </c>
      <c r="B327" s="1" t="n">
        <v>45868</v>
      </c>
      <c r="C327" s="1" t="n">
        <v>46137</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59964-2025</t>
        </is>
      </c>
      <c r="B328" s="1" t="n">
        <v>45993.48043981481</v>
      </c>
      <c r="C328" s="1" t="n">
        <v>46137</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10465-2022</t>
        </is>
      </c>
      <c r="B329" s="1" t="n">
        <v>44623</v>
      </c>
      <c r="C329" s="1" t="n">
        <v>46137</v>
      </c>
      <c r="D329" t="inlineStr">
        <is>
          <t>UPPSALA LÄN</t>
        </is>
      </c>
      <c r="E329" t="inlineStr">
        <is>
          <t>ENKÖPING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14332-2024</t>
        </is>
      </c>
      <c r="B330" s="1" t="n">
        <v>45393</v>
      </c>
      <c r="C330" s="1" t="n">
        <v>46137</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61207-2023</t>
        </is>
      </c>
      <c r="B331" s="1" t="n">
        <v>45264.39444444444</v>
      </c>
      <c r="C331" s="1" t="n">
        <v>46137</v>
      </c>
      <c r="D331" t="inlineStr">
        <is>
          <t>UPPSALA LÄN</t>
        </is>
      </c>
      <c r="E331" t="inlineStr">
        <is>
          <t>ENKÖPING</t>
        </is>
      </c>
      <c r="G331" t="n">
        <v>10.8</v>
      </c>
      <c r="H331" t="n">
        <v>0</v>
      </c>
      <c r="I331" t="n">
        <v>0</v>
      </c>
      <c r="J331" t="n">
        <v>0</v>
      </c>
      <c r="K331" t="n">
        <v>0</v>
      </c>
      <c r="L331" t="n">
        <v>0</v>
      </c>
      <c r="M331" t="n">
        <v>0</v>
      </c>
      <c r="N331" t="n">
        <v>0</v>
      </c>
      <c r="O331" t="n">
        <v>0</v>
      </c>
      <c r="P331" t="n">
        <v>0</v>
      </c>
      <c r="Q331" t="n">
        <v>0</v>
      </c>
      <c r="R331" s="2" t="inlineStr"/>
    </row>
    <row r="332" ht="15" customHeight="1">
      <c r="A332" t="inlineStr">
        <is>
          <t>A 60340-2025</t>
        </is>
      </c>
      <c r="B332" s="1" t="n">
        <v>45994.83415509259</v>
      </c>
      <c r="C332" s="1" t="n">
        <v>46137</v>
      </c>
      <c r="D332" t="inlineStr">
        <is>
          <t>UPPSALA LÄN</t>
        </is>
      </c>
      <c r="E332" t="inlineStr">
        <is>
          <t>ENKÖPING</t>
        </is>
      </c>
      <c r="G332" t="n">
        <v>5.6</v>
      </c>
      <c r="H332" t="n">
        <v>0</v>
      </c>
      <c r="I332" t="n">
        <v>0</v>
      </c>
      <c r="J332" t="n">
        <v>0</v>
      </c>
      <c r="K332" t="n">
        <v>0</v>
      </c>
      <c r="L332" t="n">
        <v>0</v>
      </c>
      <c r="M332" t="n">
        <v>0</v>
      </c>
      <c r="N332" t="n">
        <v>0</v>
      </c>
      <c r="O332" t="n">
        <v>0</v>
      </c>
      <c r="P332" t="n">
        <v>0</v>
      </c>
      <c r="Q332" t="n">
        <v>0</v>
      </c>
      <c r="R332" s="2" t="inlineStr"/>
    </row>
    <row r="333" ht="15" customHeight="1">
      <c r="A333" t="inlineStr">
        <is>
          <t>A 36599-2025</t>
        </is>
      </c>
      <c r="B333" s="1" t="n">
        <v>45870.51723379629</v>
      </c>
      <c r="C333" s="1" t="n">
        <v>46137</v>
      </c>
      <c r="D333" t="inlineStr">
        <is>
          <t>UPPSALA LÄN</t>
        </is>
      </c>
      <c r="E333" t="inlineStr">
        <is>
          <t>ENKÖPING</t>
        </is>
      </c>
      <c r="G333" t="n">
        <v>5.9</v>
      </c>
      <c r="H333" t="n">
        <v>0</v>
      </c>
      <c r="I333" t="n">
        <v>0</v>
      </c>
      <c r="J333" t="n">
        <v>0</v>
      </c>
      <c r="K333" t="n">
        <v>0</v>
      </c>
      <c r="L333" t="n">
        <v>0</v>
      </c>
      <c r="M333" t="n">
        <v>0</v>
      </c>
      <c r="N333" t="n">
        <v>0</v>
      </c>
      <c r="O333" t="n">
        <v>0</v>
      </c>
      <c r="P333" t="n">
        <v>0</v>
      </c>
      <c r="Q333" t="n">
        <v>0</v>
      </c>
      <c r="R333" s="2" t="inlineStr"/>
    </row>
    <row r="334" ht="15" customHeight="1">
      <c r="A334" t="inlineStr">
        <is>
          <t>A 60174-2025</t>
        </is>
      </c>
      <c r="B334" s="1" t="n">
        <v>45994.45039351852</v>
      </c>
      <c r="C334" s="1" t="n">
        <v>46137</v>
      </c>
      <c r="D334" t="inlineStr">
        <is>
          <t>UPPSALA LÄN</t>
        </is>
      </c>
      <c r="E334" t="inlineStr">
        <is>
          <t>ENKÖPING</t>
        </is>
      </c>
      <c r="G334" t="n">
        <v>2.8</v>
      </c>
      <c r="H334" t="n">
        <v>0</v>
      </c>
      <c r="I334" t="n">
        <v>0</v>
      </c>
      <c r="J334" t="n">
        <v>0</v>
      </c>
      <c r="K334" t="n">
        <v>0</v>
      </c>
      <c r="L334" t="n">
        <v>0</v>
      </c>
      <c r="M334" t="n">
        <v>0</v>
      </c>
      <c r="N334" t="n">
        <v>0</v>
      </c>
      <c r="O334" t="n">
        <v>0</v>
      </c>
      <c r="P334" t="n">
        <v>0</v>
      </c>
      <c r="Q334" t="n">
        <v>0</v>
      </c>
      <c r="R334" s="2" t="inlineStr"/>
    </row>
    <row r="335" ht="15" customHeight="1">
      <c r="A335" t="inlineStr">
        <is>
          <t>A 60175-2025</t>
        </is>
      </c>
      <c r="B335" s="1" t="n">
        <v>45994.45378472222</v>
      </c>
      <c r="C335" s="1" t="n">
        <v>46137</v>
      </c>
      <c r="D335" t="inlineStr">
        <is>
          <t>UPPSALA LÄN</t>
        </is>
      </c>
      <c r="E335" t="inlineStr">
        <is>
          <t>ENKÖPING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46137</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40812-2022</t>
        </is>
      </c>
      <c r="B337" s="1" t="n">
        <v>44824.68791666667</v>
      </c>
      <c r="C337" s="1" t="n">
        <v>46137</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60934-2025</t>
        </is>
      </c>
      <c r="B338" s="1" t="n">
        <v>45999</v>
      </c>
      <c r="C338" s="1" t="n">
        <v>46137</v>
      </c>
      <c r="D338" t="inlineStr">
        <is>
          <t>UPPSALA LÄN</t>
        </is>
      </c>
      <c r="E338" t="inlineStr">
        <is>
          <t>ENKÖPING</t>
        </is>
      </c>
      <c r="G338" t="n">
        <v>2.5</v>
      </c>
      <c r="H338" t="n">
        <v>0</v>
      </c>
      <c r="I338" t="n">
        <v>0</v>
      </c>
      <c r="J338" t="n">
        <v>0</v>
      </c>
      <c r="K338" t="n">
        <v>0</v>
      </c>
      <c r="L338" t="n">
        <v>0</v>
      </c>
      <c r="M338" t="n">
        <v>0</v>
      </c>
      <c r="N338" t="n">
        <v>0</v>
      </c>
      <c r="O338" t="n">
        <v>0</v>
      </c>
      <c r="P338" t="n">
        <v>0</v>
      </c>
      <c r="Q338" t="n">
        <v>0</v>
      </c>
      <c r="R338" s="2" t="inlineStr"/>
    </row>
    <row r="339" ht="15" customHeight="1">
      <c r="A339" t="inlineStr">
        <is>
          <t>A 61437-2025</t>
        </is>
      </c>
      <c r="B339" s="1" t="n">
        <v>46001.5659375</v>
      </c>
      <c r="C339" s="1" t="n">
        <v>46137</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43691-2024</t>
        </is>
      </c>
      <c r="B340" s="1" t="n">
        <v>45569</v>
      </c>
      <c r="C340" s="1" t="n">
        <v>46137</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37498-2025</t>
        </is>
      </c>
      <c r="B341" s="1" t="n">
        <v>45877</v>
      </c>
      <c r="C341" s="1" t="n">
        <v>46137</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37296-2025</t>
        </is>
      </c>
      <c r="B342" s="1" t="n">
        <v>45876</v>
      </c>
      <c r="C342" s="1" t="n">
        <v>46137</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37319-2025</t>
        </is>
      </c>
      <c r="B343" s="1" t="n">
        <v>45876</v>
      </c>
      <c r="C343" s="1" t="n">
        <v>46137</v>
      </c>
      <c r="D343" t="inlineStr">
        <is>
          <t>UPPSALA LÄN</t>
        </is>
      </c>
      <c r="E343" t="inlineStr">
        <is>
          <t>ENKÖPING</t>
        </is>
      </c>
      <c r="G343" t="n">
        <v>9.5</v>
      </c>
      <c r="H343" t="n">
        <v>0</v>
      </c>
      <c r="I343" t="n">
        <v>0</v>
      </c>
      <c r="J343" t="n">
        <v>0</v>
      </c>
      <c r="K343" t="n">
        <v>0</v>
      </c>
      <c r="L343" t="n">
        <v>0</v>
      </c>
      <c r="M343" t="n">
        <v>0</v>
      </c>
      <c r="N343" t="n">
        <v>0</v>
      </c>
      <c r="O343" t="n">
        <v>0</v>
      </c>
      <c r="P343" t="n">
        <v>0</v>
      </c>
      <c r="Q343" t="n">
        <v>0</v>
      </c>
      <c r="R343" s="2" t="inlineStr"/>
    </row>
    <row r="344" ht="15" customHeight="1">
      <c r="A344" t="inlineStr">
        <is>
          <t>A 29477-2025</t>
        </is>
      </c>
      <c r="B344" s="1" t="n">
        <v>45824.71537037037</v>
      </c>
      <c r="C344" s="1" t="n">
        <v>46137</v>
      </c>
      <c r="D344" t="inlineStr">
        <is>
          <t>UPPSALA LÄN</t>
        </is>
      </c>
      <c r="E344" t="inlineStr">
        <is>
          <t>ENKÖPING</t>
        </is>
      </c>
      <c r="G344" t="n">
        <v>13.4</v>
      </c>
      <c r="H344" t="n">
        <v>0</v>
      </c>
      <c r="I344" t="n">
        <v>0</v>
      </c>
      <c r="J344" t="n">
        <v>0</v>
      </c>
      <c r="K344" t="n">
        <v>0</v>
      </c>
      <c r="L344" t="n">
        <v>0</v>
      </c>
      <c r="M344" t="n">
        <v>0</v>
      </c>
      <c r="N344" t="n">
        <v>0</v>
      </c>
      <c r="O344" t="n">
        <v>0</v>
      </c>
      <c r="P344" t="n">
        <v>0</v>
      </c>
      <c r="Q344" t="n">
        <v>0</v>
      </c>
      <c r="R344" s="2" t="inlineStr"/>
    </row>
    <row r="345" ht="15" customHeight="1">
      <c r="A345" t="inlineStr">
        <is>
          <t>A 61778-2025</t>
        </is>
      </c>
      <c r="B345" s="1" t="n">
        <v>46002.66555555556</v>
      </c>
      <c r="C345" s="1" t="n">
        <v>46137</v>
      </c>
      <c r="D345" t="inlineStr">
        <is>
          <t>UPPSALA LÄN</t>
        </is>
      </c>
      <c r="E345" t="inlineStr">
        <is>
          <t>ENKÖPING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46137</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49622-2024</t>
        </is>
      </c>
      <c r="B347" s="1" t="n">
        <v>45596.58372685185</v>
      </c>
      <c r="C347" s="1" t="n">
        <v>46137</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38941-2025</t>
        </is>
      </c>
      <c r="B348" s="1" t="n">
        <v>45887</v>
      </c>
      <c r="C348" s="1" t="n">
        <v>46137</v>
      </c>
      <c r="D348" t="inlineStr">
        <is>
          <t>UPPSALA LÄN</t>
        </is>
      </c>
      <c r="E348" t="inlineStr">
        <is>
          <t>ENKÖPING</t>
        </is>
      </c>
      <c r="F348" t="inlineStr">
        <is>
          <t>Övriga statliga verk och myndigheter</t>
        </is>
      </c>
      <c r="G348" t="n">
        <v>0.6</v>
      </c>
      <c r="H348" t="n">
        <v>0</v>
      </c>
      <c r="I348" t="n">
        <v>0</v>
      </c>
      <c r="J348" t="n">
        <v>0</v>
      </c>
      <c r="K348" t="n">
        <v>0</v>
      </c>
      <c r="L348" t="n">
        <v>0</v>
      </c>
      <c r="M348" t="n">
        <v>0</v>
      </c>
      <c r="N348" t="n">
        <v>0</v>
      </c>
      <c r="O348" t="n">
        <v>0</v>
      </c>
      <c r="P348" t="n">
        <v>0</v>
      </c>
      <c r="Q348" t="n">
        <v>0</v>
      </c>
      <c r="R348" s="2" t="inlineStr"/>
    </row>
    <row r="349" ht="15" customHeight="1">
      <c r="A349" t="inlineStr">
        <is>
          <t>A 61889-2025</t>
        </is>
      </c>
      <c r="B349" s="1" t="n">
        <v>46003.44765046296</v>
      </c>
      <c r="C349" s="1" t="n">
        <v>46137</v>
      </c>
      <c r="D349" t="inlineStr">
        <is>
          <t>UPPSALA LÄN</t>
        </is>
      </c>
      <c r="E349" t="inlineStr">
        <is>
          <t>ENKÖPING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25333-2023</t>
        </is>
      </c>
      <c r="B350" s="1" t="n">
        <v>45083</v>
      </c>
      <c r="C350" s="1" t="n">
        <v>46137</v>
      </c>
      <c r="D350" t="inlineStr">
        <is>
          <t>UPPSALA LÄN</t>
        </is>
      </c>
      <c r="E350" t="inlineStr">
        <is>
          <t>ENKÖPING</t>
        </is>
      </c>
      <c r="G350" t="n">
        <v>2.7</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46137</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12754-2025</t>
        </is>
      </c>
      <c r="B352" s="1" t="n">
        <v>45733.56331018519</v>
      </c>
      <c r="C352" s="1" t="n">
        <v>46137</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62599-2025</t>
        </is>
      </c>
      <c r="B353" s="1" t="n">
        <v>46007.91961805556</v>
      </c>
      <c r="C353" s="1" t="n">
        <v>46137</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62772-2025</t>
        </is>
      </c>
      <c r="B354" s="1" t="n">
        <v>46008.60365740741</v>
      </c>
      <c r="C354" s="1" t="n">
        <v>46137</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63128-2025</t>
        </is>
      </c>
      <c r="B355" s="1" t="n">
        <v>46009</v>
      </c>
      <c r="C355" s="1" t="n">
        <v>46137</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62600-2025</t>
        </is>
      </c>
      <c r="B356" s="1" t="n">
        <v>46007.92175925926</v>
      </c>
      <c r="C356" s="1" t="n">
        <v>46137</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62602-2025</t>
        </is>
      </c>
      <c r="B357" s="1" t="n">
        <v>46007.92581018519</v>
      </c>
      <c r="C357" s="1" t="n">
        <v>46137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62601-2025</t>
        </is>
      </c>
      <c r="B358" s="1" t="n">
        <v>46007.92395833333</v>
      </c>
      <c r="C358" s="1" t="n">
        <v>46137</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16176-2025</t>
        </is>
      </c>
      <c r="B359" s="1" t="n">
        <v>45750</v>
      </c>
      <c r="C359" s="1" t="n">
        <v>46137</v>
      </c>
      <c r="D359" t="inlineStr">
        <is>
          <t>UPPSALA LÄN</t>
        </is>
      </c>
      <c r="E359" t="inlineStr">
        <is>
          <t>ENKÖPING</t>
        </is>
      </c>
      <c r="G359" t="n">
        <v>3.9</v>
      </c>
      <c r="H359" t="n">
        <v>0</v>
      </c>
      <c r="I359" t="n">
        <v>0</v>
      </c>
      <c r="J359" t="n">
        <v>0</v>
      </c>
      <c r="K359" t="n">
        <v>0</v>
      </c>
      <c r="L359" t="n">
        <v>0</v>
      </c>
      <c r="M359" t="n">
        <v>0</v>
      </c>
      <c r="N359" t="n">
        <v>0</v>
      </c>
      <c r="O359" t="n">
        <v>0</v>
      </c>
      <c r="P359" t="n">
        <v>0</v>
      </c>
      <c r="Q359" t="n">
        <v>0</v>
      </c>
      <c r="R359" s="2" t="inlineStr"/>
    </row>
    <row r="360" ht="15" customHeight="1">
      <c r="A360" t="inlineStr">
        <is>
          <t>A 56713-2024</t>
        </is>
      </c>
      <c r="B360" s="1" t="n">
        <v>45628</v>
      </c>
      <c r="C360" s="1" t="n">
        <v>46137</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37870-2023</t>
        </is>
      </c>
      <c r="B361" s="1" t="n">
        <v>45160.41996527778</v>
      </c>
      <c r="C361" s="1" t="n">
        <v>46137</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22094-2023</t>
        </is>
      </c>
      <c r="B362" s="1" t="n">
        <v>45069</v>
      </c>
      <c r="C362" s="1" t="n">
        <v>46137</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15405-2025</t>
        </is>
      </c>
      <c r="B363" s="1" t="n">
        <v>45747.44670138889</v>
      </c>
      <c r="C363" s="1" t="n">
        <v>46137</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35079-2024</t>
        </is>
      </c>
      <c r="B364" s="1" t="n">
        <v>45527.66770833333</v>
      </c>
      <c r="C364" s="1" t="n">
        <v>46137</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33581-2023</t>
        </is>
      </c>
      <c r="B365" s="1" t="n">
        <v>45131</v>
      </c>
      <c r="C365" s="1" t="n">
        <v>46137</v>
      </c>
      <c r="D365" t="inlineStr">
        <is>
          <t>UPPSALA LÄN</t>
        </is>
      </c>
      <c r="E365" t="inlineStr">
        <is>
          <t>ENKÖPING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46137</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56163-2021</t>
        </is>
      </c>
      <c r="B367" s="1" t="n">
        <v>44477</v>
      </c>
      <c r="C367" s="1" t="n">
        <v>46137</v>
      </c>
      <c r="D367" t="inlineStr">
        <is>
          <t>UPPSALA LÄN</t>
        </is>
      </c>
      <c r="E367" t="inlineStr">
        <is>
          <t>ENKÖPING</t>
        </is>
      </c>
      <c r="F367" t="inlineStr">
        <is>
          <t>Allmännings- och besparingsskogar</t>
        </is>
      </c>
      <c r="G367" t="n">
        <v>0.6</v>
      </c>
      <c r="H367" t="n">
        <v>0</v>
      </c>
      <c r="I367" t="n">
        <v>0</v>
      </c>
      <c r="J367" t="n">
        <v>0</v>
      </c>
      <c r="K367" t="n">
        <v>0</v>
      </c>
      <c r="L367" t="n">
        <v>0</v>
      </c>
      <c r="M367" t="n">
        <v>0</v>
      </c>
      <c r="N367" t="n">
        <v>0</v>
      </c>
      <c r="O367" t="n">
        <v>0</v>
      </c>
      <c r="P367" t="n">
        <v>0</v>
      </c>
      <c r="Q367" t="n">
        <v>0</v>
      </c>
      <c r="R367" s="2" t="inlineStr"/>
    </row>
    <row r="368" ht="15" customHeight="1">
      <c r="A368" t="inlineStr">
        <is>
          <t>A 47909-2024</t>
        </is>
      </c>
      <c r="B368" s="1" t="n">
        <v>45589.31866898148</v>
      </c>
      <c r="C368" s="1" t="n">
        <v>46137</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51932-2022</t>
        </is>
      </c>
      <c r="B369" s="1" t="n">
        <v>44872</v>
      </c>
      <c r="C369" s="1" t="n">
        <v>46137</v>
      </c>
      <c r="D369" t="inlineStr">
        <is>
          <t>UPPSALA LÄN</t>
        </is>
      </c>
      <c r="E369" t="inlineStr">
        <is>
          <t>ENKÖPING</t>
        </is>
      </c>
      <c r="G369" t="n">
        <v>5.5</v>
      </c>
      <c r="H369" t="n">
        <v>0</v>
      </c>
      <c r="I369" t="n">
        <v>0</v>
      </c>
      <c r="J369" t="n">
        <v>0</v>
      </c>
      <c r="K369" t="n">
        <v>0</v>
      </c>
      <c r="L369" t="n">
        <v>0</v>
      </c>
      <c r="M369" t="n">
        <v>0</v>
      </c>
      <c r="N369" t="n">
        <v>0</v>
      </c>
      <c r="O369" t="n">
        <v>0</v>
      </c>
      <c r="P369" t="n">
        <v>0</v>
      </c>
      <c r="Q369" t="n">
        <v>0</v>
      </c>
      <c r="R369" s="2" t="inlineStr"/>
    </row>
    <row r="370" ht="15" customHeight="1">
      <c r="A370" t="inlineStr">
        <is>
          <t>A 192-2026</t>
        </is>
      </c>
      <c r="B370" s="1" t="n">
        <v>46025</v>
      </c>
      <c r="C370" s="1" t="n">
        <v>46137</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861-2026</t>
        </is>
      </c>
      <c r="B371" s="1" t="n">
        <v>46030</v>
      </c>
      <c r="C371" s="1" t="n">
        <v>46137</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59497-2022</t>
        </is>
      </c>
      <c r="B372" s="1" t="n">
        <v>44907.48258101852</v>
      </c>
      <c r="C372" s="1" t="n">
        <v>46137</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9041-2023</t>
        </is>
      </c>
      <c r="B373" s="1" t="n">
        <v>44979</v>
      </c>
      <c r="C373" s="1" t="n">
        <v>46137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12755-2025</t>
        </is>
      </c>
      <c r="B374" s="1" t="n">
        <v>45733.56541666666</v>
      </c>
      <c r="C374" s="1" t="n">
        <v>46137</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59027-2024</t>
        </is>
      </c>
      <c r="B375" s="1" t="n">
        <v>45636.68755787037</v>
      </c>
      <c r="C375" s="1" t="n">
        <v>46137</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53587-2024</t>
        </is>
      </c>
      <c r="B376" s="1" t="n">
        <v>45614.66953703704</v>
      </c>
      <c r="C376" s="1" t="n">
        <v>46137</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46137</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2218-2026</t>
        </is>
      </c>
      <c r="B378" s="1" t="n">
        <v>46036.50010416667</v>
      </c>
      <c r="C378" s="1" t="n">
        <v>46137</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11503-2024</t>
        </is>
      </c>
      <c r="B379" s="1" t="n">
        <v>45372.68020833333</v>
      </c>
      <c r="C379" s="1" t="n">
        <v>46137</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39115-2024</t>
        </is>
      </c>
      <c r="B380" s="1" t="n">
        <v>45548</v>
      </c>
      <c r="C380" s="1" t="n">
        <v>46137</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46137</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56837-2024</t>
        </is>
      </c>
      <c r="B382" s="1" t="n">
        <v>45628</v>
      </c>
      <c r="C382" s="1" t="n">
        <v>46137</v>
      </c>
      <c r="D382" t="inlineStr">
        <is>
          <t>UPPSALA LÄN</t>
        </is>
      </c>
      <c r="E382" t="inlineStr">
        <is>
          <t>ENKÖPING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18821-2023</t>
        </is>
      </c>
      <c r="B383" s="1" t="n">
        <v>45044.3782175926</v>
      </c>
      <c r="C383" s="1" t="n">
        <v>46137</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5104-2026</t>
        </is>
      </c>
      <c r="B384" s="1" t="n">
        <v>46049.56914351852</v>
      </c>
      <c r="C384" s="1" t="n">
        <v>46137</v>
      </c>
      <c r="D384" t="inlineStr">
        <is>
          <t>UPPSALA LÄN</t>
        </is>
      </c>
      <c r="E384" t="inlineStr">
        <is>
          <t>ENKÖPING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46137</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25990-2025</t>
        </is>
      </c>
      <c r="B386" s="1" t="n">
        <v>45804.65229166667</v>
      </c>
      <c r="C386" s="1" t="n">
        <v>46137</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57835-2024</t>
        </is>
      </c>
      <c r="B387" s="1" t="n">
        <v>45631.39947916667</v>
      </c>
      <c r="C387" s="1" t="n">
        <v>46137</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53208-2023</t>
        </is>
      </c>
      <c r="B388" s="1" t="n">
        <v>45226</v>
      </c>
      <c r="C388" s="1" t="n">
        <v>46137</v>
      </c>
      <c r="D388" t="inlineStr">
        <is>
          <t>UPPSALA LÄN</t>
        </is>
      </c>
      <c r="E388" t="inlineStr">
        <is>
          <t>ENKÖPING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5569-2026</t>
        </is>
      </c>
      <c r="B389" s="1" t="n">
        <v>46050.89431712963</v>
      </c>
      <c r="C389" s="1" t="n">
        <v>46137</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19013-2025</t>
        </is>
      </c>
      <c r="B390" s="1" t="n">
        <v>45764.59533564815</v>
      </c>
      <c r="C390" s="1" t="n">
        <v>46137</v>
      </c>
      <c r="D390" t="inlineStr">
        <is>
          <t>UPPSALA LÄN</t>
        </is>
      </c>
      <c r="E390" t="inlineStr">
        <is>
          <t>ENKÖPING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25989-2025</t>
        </is>
      </c>
      <c r="B391" s="1" t="n">
        <v>45804.65050925926</v>
      </c>
      <c r="C391" s="1" t="n">
        <v>46137</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5948-2026</t>
        </is>
      </c>
      <c r="B392" s="1" t="n">
        <v>46052</v>
      </c>
      <c r="C392" s="1" t="n">
        <v>46137</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6049-2026</t>
        </is>
      </c>
      <c r="B393" s="1" t="n">
        <v>46052.63005787037</v>
      </c>
      <c r="C393" s="1" t="n">
        <v>46137</v>
      </c>
      <c r="D393" t="inlineStr">
        <is>
          <t>UPPSALA LÄN</t>
        </is>
      </c>
      <c r="E393" t="inlineStr">
        <is>
          <t>ENKÖPING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6031-2026</t>
        </is>
      </c>
      <c r="B394" s="1" t="n">
        <v>46052.61201388889</v>
      </c>
      <c r="C394" s="1" t="n">
        <v>46137</v>
      </c>
      <c r="D394" t="inlineStr">
        <is>
          <t>UPPSALA LÄN</t>
        </is>
      </c>
      <c r="E394" t="inlineStr">
        <is>
          <t>ENKÖPING</t>
        </is>
      </c>
      <c r="G394" t="n">
        <v>4.1</v>
      </c>
      <c r="H394" t="n">
        <v>0</v>
      </c>
      <c r="I394" t="n">
        <v>0</v>
      </c>
      <c r="J394" t="n">
        <v>0</v>
      </c>
      <c r="K394" t="n">
        <v>0</v>
      </c>
      <c r="L394" t="n">
        <v>0</v>
      </c>
      <c r="M394" t="n">
        <v>0</v>
      </c>
      <c r="N394" t="n">
        <v>0</v>
      </c>
      <c r="O394" t="n">
        <v>0</v>
      </c>
      <c r="P394" t="n">
        <v>0</v>
      </c>
      <c r="Q394" t="n">
        <v>0</v>
      </c>
      <c r="R394" s="2" t="inlineStr"/>
    </row>
    <row r="395" ht="15" customHeight="1">
      <c r="A395" t="inlineStr">
        <is>
          <t>A 6044-2026</t>
        </is>
      </c>
      <c r="B395" s="1" t="n">
        <v>46052.62506944445</v>
      </c>
      <c r="C395" s="1" t="n">
        <v>46137</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2164-2023</t>
        </is>
      </c>
      <c r="B396" s="1" t="n">
        <v>44941</v>
      </c>
      <c r="C396" s="1" t="n">
        <v>46137</v>
      </c>
      <c r="D396" t="inlineStr">
        <is>
          <t>UPPSALA LÄN</t>
        </is>
      </c>
      <c r="E396" t="inlineStr">
        <is>
          <t>ENKÖPING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13590-2026</t>
        </is>
      </c>
      <c r="B397" s="1" t="n">
        <v>46096</v>
      </c>
      <c r="C397" s="1" t="n">
        <v>46137</v>
      </c>
      <c r="D397" t="inlineStr">
        <is>
          <t>UPPSALA LÄN</t>
        </is>
      </c>
      <c r="E397" t="inlineStr">
        <is>
          <t>ENKÖPING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6047-2026</t>
        </is>
      </c>
      <c r="B398" s="1" t="n">
        <v>46052.62738425926</v>
      </c>
      <c r="C398" s="1" t="n">
        <v>46137</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6041-2026</t>
        </is>
      </c>
      <c r="B399" s="1" t="n">
        <v>46052.62184027778</v>
      </c>
      <c r="C399" s="1" t="n">
        <v>46137</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61952-2021</t>
        </is>
      </c>
      <c r="B400" s="1" t="n">
        <v>44502</v>
      </c>
      <c r="C400" s="1" t="n">
        <v>46137</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14083-2025</t>
        </is>
      </c>
      <c r="B401" s="1" t="n">
        <v>45740</v>
      </c>
      <c r="C401" s="1" t="n">
        <v>46137</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69879-2021</t>
        </is>
      </c>
      <c r="B402" s="1" t="n">
        <v>44532</v>
      </c>
      <c r="C402" s="1" t="n">
        <v>46137</v>
      </c>
      <c r="D402" t="inlineStr">
        <is>
          <t>UPPSALA LÄN</t>
        </is>
      </c>
      <c r="E402" t="inlineStr">
        <is>
          <t>ENKÖPING</t>
        </is>
      </c>
      <c r="G402" t="n">
        <v>4.2</v>
      </c>
      <c r="H402" t="n">
        <v>0</v>
      </c>
      <c r="I402" t="n">
        <v>0</v>
      </c>
      <c r="J402" t="n">
        <v>0</v>
      </c>
      <c r="K402" t="n">
        <v>0</v>
      </c>
      <c r="L402" t="n">
        <v>0</v>
      </c>
      <c r="M402" t="n">
        <v>0</v>
      </c>
      <c r="N402" t="n">
        <v>0</v>
      </c>
      <c r="O402" t="n">
        <v>0</v>
      </c>
      <c r="P402" t="n">
        <v>0</v>
      </c>
      <c r="Q402" t="n">
        <v>0</v>
      </c>
      <c r="R402" s="2" t="inlineStr"/>
    </row>
    <row r="403" ht="15" customHeight="1">
      <c r="A403" t="inlineStr">
        <is>
          <t>A 14296-2026</t>
        </is>
      </c>
      <c r="B403" s="1" t="n">
        <v>46099.7181712963</v>
      </c>
      <c r="C403" s="1" t="n">
        <v>46137</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7008-2026</t>
        </is>
      </c>
      <c r="B404" s="1" t="n">
        <v>46057.63806712963</v>
      </c>
      <c r="C404" s="1" t="n">
        <v>46137</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7003-2026</t>
        </is>
      </c>
      <c r="B405" s="1" t="n">
        <v>46057.63243055555</v>
      </c>
      <c r="C405" s="1" t="n">
        <v>46137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14178-2026</t>
        </is>
      </c>
      <c r="B406" s="1" t="n">
        <v>46099.49608796297</v>
      </c>
      <c r="C406" s="1" t="n">
        <v>46137</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14260-2026</t>
        </is>
      </c>
      <c r="B407" s="1" t="n">
        <v>46099.63395833333</v>
      </c>
      <c r="C407" s="1" t="n">
        <v>46137</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46137</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2161-2023</t>
        </is>
      </c>
      <c r="B409" s="1" t="n">
        <v>44941</v>
      </c>
      <c r="C409" s="1" t="n">
        <v>46137</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2165-2023</t>
        </is>
      </c>
      <c r="B410" s="1" t="n">
        <v>44941</v>
      </c>
      <c r="C410" s="1" t="n">
        <v>46137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14182-2026</t>
        </is>
      </c>
      <c r="B411" s="1" t="n">
        <v>46099.49839120371</v>
      </c>
      <c r="C411" s="1" t="n">
        <v>46137</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20112-2024</t>
        </is>
      </c>
      <c r="B412" s="1" t="n">
        <v>45434</v>
      </c>
      <c r="C412" s="1" t="n">
        <v>46137</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14229-2026</t>
        </is>
      </c>
      <c r="B413" s="1" t="n">
        <v>46099</v>
      </c>
      <c r="C413" s="1" t="n">
        <v>46137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7175-2026</t>
        </is>
      </c>
      <c r="B414" s="1" t="n">
        <v>46058.46399305556</v>
      </c>
      <c r="C414" s="1" t="n">
        <v>46137</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2162-2023</t>
        </is>
      </c>
      <c r="B415" s="1" t="n">
        <v>44941</v>
      </c>
      <c r="C415" s="1" t="n">
        <v>46137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32081-2024</t>
        </is>
      </c>
      <c r="B416" s="1" t="n">
        <v>45511.34605324074</v>
      </c>
      <c r="C416" s="1" t="n">
        <v>46137</v>
      </c>
      <c r="D416" t="inlineStr">
        <is>
          <t>UPPSALA LÄN</t>
        </is>
      </c>
      <c r="E416" t="inlineStr">
        <is>
          <t>ENKÖPING</t>
        </is>
      </c>
      <c r="G416" t="n">
        <v>5.4</v>
      </c>
      <c r="H416" t="n">
        <v>0</v>
      </c>
      <c r="I416" t="n">
        <v>0</v>
      </c>
      <c r="J416" t="n">
        <v>0</v>
      </c>
      <c r="K416" t="n">
        <v>0</v>
      </c>
      <c r="L416" t="n">
        <v>0</v>
      </c>
      <c r="M416" t="n">
        <v>0</v>
      </c>
      <c r="N416" t="n">
        <v>0</v>
      </c>
      <c r="O416" t="n">
        <v>0</v>
      </c>
      <c r="P416" t="n">
        <v>0</v>
      </c>
      <c r="Q416" t="n">
        <v>0</v>
      </c>
      <c r="R416" s="2" t="inlineStr"/>
    </row>
    <row r="417" ht="15" customHeight="1">
      <c r="A417" t="inlineStr">
        <is>
          <t>A 15003-2026</t>
        </is>
      </c>
      <c r="B417" s="1" t="n">
        <v>46104.60931712963</v>
      </c>
      <c r="C417" s="1" t="n">
        <v>46137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46137</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49525-2021</t>
        </is>
      </c>
      <c r="B419" s="1" t="n">
        <v>44455</v>
      </c>
      <c r="C419" s="1" t="n">
        <v>46137</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6959-2025</t>
        </is>
      </c>
      <c r="B420" s="1" t="n">
        <v>45701.49315972222</v>
      </c>
      <c r="C420" s="1" t="n">
        <v>46137</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14298-2026</t>
        </is>
      </c>
      <c r="B421" s="1" t="n">
        <v>46099</v>
      </c>
      <c r="C421" s="1" t="n">
        <v>46137</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8309-2026</t>
        </is>
      </c>
      <c r="B422" s="1" t="n">
        <v>46064.59081018518</v>
      </c>
      <c r="C422" s="1" t="n">
        <v>46137</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46137</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51011-2024</t>
        </is>
      </c>
      <c r="B424" s="1" t="n">
        <v>45603.39427083333</v>
      </c>
      <c r="C424" s="1" t="n">
        <v>46137</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15547-2026</t>
        </is>
      </c>
      <c r="B425" s="1" t="n">
        <v>46106.52613425926</v>
      </c>
      <c r="C425" s="1" t="n">
        <v>46137</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46137</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29918-2023</t>
        </is>
      </c>
      <c r="B427" s="1" t="n">
        <v>45099</v>
      </c>
      <c r="C427" s="1" t="n">
        <v>46137</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24291-2024</t>
        </is>
      </c>
      <c r="B428" s="1" t="n">
        <v>45457.4584837963</v>
      </c>
      <c r="C428" s="1" t="n">
        <v>46137</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9257-2026</t>
        </is>
      </c>
      <c r="B429" s="1" t="n">
        <v>46070.51166666667</v>
      </c>
      <c r="C429" s="1" t="n">
        <v>46137</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9474-2026</t>
        </is>
      </c>
      <c r="B430" s="1" t="n">
        <v>46071.52324074074</v>
      </c>
      <c r="C430" s="1" t="n">
        <v>46137</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9467-2026</t>
        </is>
      </c>
      <c r="B431" s="1" t="n">
        <v>46071.50694444445</v>
      </c>
      <c r="C431" s="1" t="n">
        <v>46137</v>
      </c>
      <c r="D431" t="inlineStr">
        <is>
          <t>UPPSALA LÄN</t>
        </is>
      </c>
      <c r="E431" t="inlineStr">
        <is>
          <t>ENKÖPING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9469-2026</t>
        </is>
      </c>
      <c r="B432" s="1" t="n">
        <v>46071.51248842593</v>
      </c>
      <c r="C432" s="1" t="n">
        <v>46137</v>
      </c>
      <c r="D432" t="inlineStr">
        <is>
          <t>UPPSALA LÄN</t>
        </is>
      </c>
      <c r="E432" t="inlineStr">
        <is>
          <t>ENKÖPING</t>
        </is>
      </c>
      <c r="G432" t="n">
        <v>3</v>
      </c>
      <c r="H432" t="n">
        <v>0</v>
      </c>
      <c r="I432" t="n">
        <v>0</v>
      </c>
      <c r="J432" t="n">
        <v>0</v>
      </c>
      <c r="K432" t="n">
        <v>0</v>
      </c>
      <c r="L432" t="n">
        <v>0</v>
      </c>
      <c r="M432" t="n">
        <v>0</v>
      </c>
      <c r="N432" t="n">
        <v>0</v>
      </c>
      <c r="O432" t="n">
        <v>0</v>
      </c>
      <c r="P432" t="n">
        <v>0</v>
      </c>
      <c r="Q432" t="n">
        <v>0</v>
      </c>
      <c r="R432" s="2" t="inlineStr"/>
    </row>
    <row r="433" ht="15" customHeight="1">
      <c r="A433" t="inlineStr">
        <is>
          <t>A 9148-2026</t>
        </is>
      </c>
      <c r="B433" s="1" t="n">
        <v>46070.30946759259</v>
      </c>
      <c r="C433" s="1" t="n">
        <v>46137</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2833-2025</t>
        </is>
      </c>
      <c r="B434" s="1" t="n">
        <v>45677.63206018518</v>
      </c>
      <c r="C434" s="1" t="n">
        <v>46137</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60125-2024</t>
        </is>
      </c>
      <c r="B435" s="1" t="n">
        <v>45642</v>
      </c>
      <c r="C435" s="1" t="n">
        <v>46137</v>
      </c>
      <c r="D435" t="inlineStr">
        <is>
          <t>UPPSALA LÄN</t>
        </is>
      </c>
      <c r="E435" t="inlineStr">
        <is>
          <t>ENKÖPING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50006-2023</t>
        </is>
      </c>
      <c r="B436" s="1" t="n">
        <v>45215</v>
      </c>
      <c r="C436" s="1" t="n">
        <v>46137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17418-2026</t>
        </is>
      </c>
      <c r="B437" s="1" t="n">
        <v>46120.3591087963</v>
      </c>
      <c r="C437" s="1" t="n">
        <v>46137</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17419-2026</t>
        </is>
      </c>
      <c r="B438" s="1" t="n">
        <v>46120.36064814815</v>
      </c>
      <c r="C438" s="1" t="n">
        <v>46137</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56526-2022</t>
        </is>
      </c>
      <c r="B439" s="1" t="n">
        <v>44893</v>
      </c>
      <c r="C439" s="1" t="n">
        <v>46137</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39858-2024</t>
        </is>
      </c>
      <c r="B440" s="1" t="n">
        <v>45553</v>
      </c>
      <c r="C440" s="1" t="n">
        <v>46137</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60289-2022</t>
        </is>
      </c>
      <c r="B441" s="1" t="n">
        <v>44910.53026620371</v>
      </c>
      <c r="C441" s="1" t="n">
        <v>46137</v>
      </c>
      <c r="D441" t="inlineStr">
        <is>
          <t>UPPSALA LÄN</t>
        </is>
      </c>
      <c r="E441" t="inlineStr">
        <is>
          <t>ENKÖPING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13110-2023</t>
        </is>
      </c>
      <c r="B442" s="1" t="n">
        <v>45001</v>
      </c>
      <c r="C442" s="1" t="n">
        <v>46137</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58384-2022</t>
        </is>
      </c>
      <c r="B443" s="1" t="n">
        <v>44901</v>
      </c>
      <c r="C443" s="1" t="n">
        <v>46137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59602-2022</t>
        </is>
      </c>
      <c r="B444" s="1" t="n">
        <v>44907.72241898148</v>
      </c>
      <c r="C444" s="1" t="n">
        <v>46137</v>
      </c>
      <c r="D444" t="inlineStr">
        <is>
          <t>UPPSALA LÄN</t>
        </is>
      </c>
      <c r="E444" t="inlineStr">
        <is>
          <t>ENKÖPING</t>
        </is>
      </c>
      <c r="G444" t="n">
        <v>14.2</v>
      </c>
      <c r="H444" t="n">
        <v>0</v>
      </c>
      <c r="I444" t="n">
        <v>0</v>
      </c>
      <c r="J444" t="n">
        <v>0</v>
      </c>
      <c r="K444" t="n">
        <v>0</v>
      </c>
      <c r="L444" t="n">
        <v>0</v>
      </c>
      <c r="M444" t="n">
        <v>0</v>
      </c>
      <c r="N444" t="n">
        <v>0</v>
      </c>
      <c r="O444" t="n">
        <v>0</v>
      </c>
      <c r="P444" t="n">
        <v>0</v>
      </c>
      <c r="Q444" t="n">
        <v>0</v>
      </c>
      <c r="R444" s="2" t="inlineStr"/>
    </row>
    <row r="445" ht="15" customHeight="1">
      <c r="A445" t="inlineStr">
        <is>
          <t>A 31965-2021</t>
        </is>
      </c>
      <c r="B445" s="1" t="n">
        <v>44370.56901620371</v>
      </c>
      <c r="C445" s="1" t="n">
        <v>46137</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67984-2021</t>
        </is>
      </c>
      <c r="B446" s="1" t="n">
        <v>44525.70237268518</v>
      </c>
      <c r="C446" s="1" t="n">
        <v>46137</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33619-2022</t>
        </is>
      </c>
      <c r="B447" s="1" t="n">
        <v>44789</v>
      </c>
      <c r="C447" s="1" t="n">
        <v>46137</v>
      </c>
      <c r="D447" t="inlineStr">
        <is>
          <t>UPPSALA LÄN</t>
        </is>
      </c>
      <c r="E447" t="inlineStr">
        <is>
          <t>ENKÖPING</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10829-2024</t>
        </is>
      </c>
      <c r="B448" s="1" t="n">
        <v>45369</v>
      </c>
      <c r="C448" s="1" t="n">
        <v>46137</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67982-2021</t>
        </is>
      </c>
      <c r="B449" s="1" t="n">
        <v>44525</v>
      </c>
      <c r="C449" s="1" t="n">
        <v>46137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51034-2024</t>
        </is>
      </c>
      <c r="B450" s="1" t="n">
        <v>45603.4262037037</v>
      </c>
      <c r="C450" s="1" t="n">
        <v>46137</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51036-2024</t>
        </is>
      </c>
      <c r="B451" s="1" t="n">
        <v>45603.42839120371</v>
      </c>
      <c r="C451" s="1" t="n">
        <v>46137</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55876-2024</t>
        </is>
      </c>
      <c r="B452" s="1" t="n">
        <v>45623.5546412037</v>
      </c>
      <c r="C452" s="1" t="n">
        <v>46137</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18643-2026</t>
        </is>
      </c>
      <c r="B453" s="1" t="n">
        <v>46128.33024305556</v>
      </c>
      <c r="C453" s="1" t="n">
        <v>46137</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11005-2023</t>
        </is>
      </c>
      <c r="B454" s="1" t="n">
        <v>44991</v>
      </c>
      <c r="C454" s="1" t="n">
        <v>46137</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18806-2026</t>
        </is>
      </c>
      <c r="B455" s="1" t="n">
        <v>46128.63238425926</v>
      </c>
      <c r="C455" s="1" t="n">
        <v>46137</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18565-2026</t>
        </is>
      </c>
      <c r="B456" s="1" t="n">
        <v>46127.5871412037</v>
      </c>
      <c r="C456" s="1" t="n">
        <v>46137</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57142-2021</t>
        </is>
      </c>
      <c r="B457" s="1" t="n">
        <v>44482</v>
      </c>
      <c r="C457" s="1" t="n">
        <v>46137</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57147-2021</t>
        </is>
      </c>
      <c r="B458" s="1" t="n">
        <v>44482</v>
      </c>
      <c r="C458" s="1" t="n">
        <v>46137</v>
      </c>
      <c r="D458" t="inlineStr">
        <is>
          <t>UPPSALA LÄN</t>
        </is>
      </c>
      <c r="E458" t="inlineStr">
        <is>
          <t>ENKÖPING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18644-2026</t>
        </is>
      </c>
      <c r="B459" s="1" t="n">
        <v>46128.33157407407</v>
      </c>
      <c r="C459" s="1" t="n">
        <v>46137</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7868-2024</t>
        </is>
      </c>
      <c r="B460" s="1" t="n">
        <v>45350.33020833333</v>
      </c>
      <c r="C460" s="1" t="n">
        <v>46137</v>
      </c>
      <c r="D460" t="inlineStr">
        <is>
          <t>UPPSALA LÄN</t>
        </is>
      </c>
      <c r="E460" t="inlineStr">
        <is>
          <t>ENKÖPING</t>
        </is>
      </c>
      <c r="G460" t="n">
        <v>0.3</v>
      </c>
      <c r="H460" t="n">
        <v>0</v>
      </c>
      <c r="I460" t="n">
        <v>0</v>
      </c>
      <c r="J460" t="n">
        <v>0</v>
      </c>
      <c r="K460" t="n">
        <v>0</v>
      </c>
      <c r="L460" t="n">
        <v>0</v>
      </c>
      <c r="M460" t="n">
        <v>0</v>
      </c>
      <c r="N460" t="n">
        <v>0</v>
      </c>
      <c r="O460" t="n">
        <v>0</v>
      </c>
      <c r="P460" t="n">
        <v>0</v>
      </c>
      <c r="Q460" t="n">
        <v>0</v>
      </c>
      <c r="R460" s="2" t="inlineStr"/>
    </row>
    <row r="461" ht="15" customHeight="1">
      <c r="A461" t="inlineStr">
        <is>
          <t>A 7870-2024</t>
        </is>
      </c>
      <c r="B461" s="1" t="n">
        <v>45350.33349537037</v>
      </c>
      <c r="C461" s="1" t="n">
        <v>46137</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9231-2023</t>
        </is>
      </c>
      <c r="B462" s="1" t="n">
        <v>44980</v>
      </c>
      <c r="C462" s="1" t="n">
        <v>46137</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27837-2025</t>
        </is>
      </c>
      <c r="B463" s="1" t="n">
        <v>45817.37207175926</v>
      </c>
      <c r="C463" s="1" t="n">
        <v>46137</v>
      </c>
      <c r="D463" t="inlineStr">
        <is>
          <t>UPPSALA LÄN</t>
        </is>
      </c>
      <c r="E463" t="inlineStr">
        <is>
          <t>ENKÖPING</t>
        </is>
      </c>
      <c r="G463" t="n">
        <v>7.3</v>
      </c>
      <c r="H463" t="n">
        <v>0</v>
      </c>
      <c r="I463" t="n">
        <v>0</v>
      </c>
      <c r="J463" t="n">
        <v>0</v>
      </c>
      <c r="K463" t="n">
        <v>0</v>
      </c>
      <c r="L463" t="n">
        <v>0</v>
      </c>
      <c r="M463" t="n">
        <v>0</v>
      </c>
      <c r="N463" t="n">
        <v>0</v>
      </c>
      <c r="O463" t="n">
        <v>0</v>
      </c>
      <c r="P463" t="n">
        <v>0</v>
      </c>
      <c r="Q463" t="n">
        <v>0</v>
      </c>
      <c r="R463" s="2" t="inlineStr"/>
    </row>
    <row r="464" ht="15" customHeight="1">
      <c r="A464" t="inlineStr">
        <is>
          <t>A 16916-2022</t>
        </is>
      </c>
      <c r="B464" s="1" t="n">
        <v>44676</v>
      </c>
      <c r="C464" s="1" t="n">
        <v>46137</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12411-2026</t>
        </is>
      </c>
      <c r="B465" s="1" t="n">
        <v>46090.42670138889</v>
      </c>
      <c r="C465" s="1" t="n">
        <v>46137</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46137</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18562-2026</t>
        </is>
      </c>
      <c r="B467" s="1" t="n">
        <v>46127</v>
      </c>
      <c r="C467" s="1" t="n">
        <v>46137</v>
      </c>
      <c r="D467" t="inlineStr">
        <is>
          <t>UPPSALA LÄN</t>
        </is>
      </c>
      <c r="E467" t="inlineStr">
        <is>
          <t>ENKÖPING</t>
        </is>
      </c>
      <c r="G467" t="n">
        <v>4</v>
      </c>
      <c r="H467" t="n">
        <v>0</v>
      </c>
      <c r="I467" t="n">
        <v>0</v>
      </c>
      <c r="J467" t="n">
        <v>0</v>
      </c>
      <c r="K467" t="n">
        <v>0</v>
      </c>
      <c r="L467" t="n">
        <v>0</v>
      </c>
      <c r="M467" t="n">
        <v>0</v>
      </c>
      <c r="N467" t="n">
        <v>0</v>
      </c>
      <c r="O467" t="n">
        <v>0</v>
      </c>
      <c r="P467" t="n">
        <v>0</v>
      </c>
      <c r="Q467" t="n">
        <v>0</v>
      </c>
      <c r="R467" s="2" t="inlineStr"/>
    </row>
    <row r="468" ht="15" customHeight="1">
      <c r="A468" t="inlineStr">
        <is>
          <t>A 31604-2023</t>
        </is>
      </c>
      <c r="B468" s="1" t="n">
        <v>45117.50368055556</v>
      </c>
      <c r="C468" s="1" t="n">
        <v>46137</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25598-2021</t>
        </is>
      </c>
      <c r="B469" s="1" t="n">
        <v>44343.4558912037</v>
      </c>
      <c r="C469" s="1" t="n">
        <v>46137</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15162-2025</t>
        </is>
      </c>
      <c r="B470" s="1" t="n">
        <v>45744</v>
      </c>
      <c r="C470" s="1" t="n">
        <v>46137</v>
      </c>
      <c r="D470" t="inlineStr">
        <is>
          <t>UPPSALA LÄN</t>
        </is>
      </c>
      <c r="E470" t="inlineStr">
        <is>
          <t>ENKÖPING</t>
        </is>
      </c>
      <c r="G470" t="n">
        <v>4.2</v>
      </c>
      <c r="H470" t="n">
        <v>0</v>
      </c>
      <c r="I470" t="n">
        <v>0</v>
      </c>
      <c r="J470" t="n">
        <v>0</v>
      </c>
      <c r="K470" t="n">
        <v>0</v>
      </c>
      <c r="L470" t="n">
        <v>0</v>
      </c>
      <c r="M470" t="n">
        <v>0</v>
      </c>
      <c r="N470" t="n">
        <v>0</v>
      </c>
      <c r="O470" t="n">
        <v>0</v>
      </c>
      <c r="P470" t="n">
        <v>0</v>
      </c>
      <c r="Q470" t="n">
        <v>0</v>
      </c>
      <c r="R470" s="2" t="inlineStr"/>
    </row>
    <row r="471" ht="15" customHeight="1">
      <c r="A471" t="inlineStr">
        <is>
          <t>A 5953-2026</t>
        </is>
      </c>
      <c r="B471" s="1" t="n">
        <v>46052.49119212963</v>
      </c>
      <c r="C471" s="1" t="n">
        <v>46137</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7168-2026</t>
        </is>
      </c>
      <c r="B472" s="1" t="n">
        <v>46058.45831018518</v>
      </c>
      <c r="C472" s="1" t="n">
        <v>46137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7172-2026</t>
        </is>
      </c>
      <c r="B473" s="1" t="n">
        <v>46058.46113425926</v>
      </c>
      <c r="C473" s="1" t="n">
        <v>46137</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7167-2026</t>
        </is>
      </c>
      <c r="B474" s="1" t="n">
        <v>46058.45677083333</v>
      </c>
      <c r="C474" s="1" t="n">
        <v>46137</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12996-2026</t>
        </is>
      </c>
      <c r="B475" s="1" t="n">
        <v>46092.68149305556</v>
      </c>
      <c r="C475" s="1" t="n">
        <v>46137</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52388-2024</t>
        </is>
      </c>
      <c r="B476" s="1" t="n">
        <v>45609.42939814815</v>
      </c>
      <c r="C476" s="1" t="n">
        <v>46137</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53607-2023</t>
        </is>
      </c>
      <c r="B477" s="1" t="n">
        <v>45230</v>
      </c>
      <c r="C477" s="1" t="n">
        <v>46137</v>
      </c>
      <c r="D477" t="inlineStr">
        <is>
          <t>UPPSALA LÄN</t>
        </is>
      </c>
      <c r="E477" t="inlineStr">
        <is>
          <t>ENKÖPING</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40202-2024</t>
        </is>
      </c>
      <c r="B478" s="1" t="n">
        <v>45554</v>
      </c>
      <c r="C478" s="1" t="n">
        <v>46137</v>
      </c>
      <c r="D478" t="inlineStr">
        <is>
          <t>UPPSALA LÄN</t>
        </is>
      </c>
      <c r="E478" t="inlineStr">
        <is>
          <t>ENKÖPING</t>
        </is>
      </c>
      <c r="G478" t="n">
        <v>6.2</v>
      </c>
      <c r="H478" t="n">
        <v>0</v>
      </c>
      <c r="I478" t="n">
        <v>0</v>
      </c>
      <c r="J478" t="n">
        <v>0</v>
      </c>
      <c r="K478" t="n">
        <v>0</v>
      </c>
      <c r="L478" t="n">
        <v>0</v>
      </c>
      <c r="M478" t="n">
        <v>0</v>
      </c>
      <c r="N478" t="n">
        <v>0</v>
      </c>
      <c r="O478" t="n">
        <v>0</v>
      </c>
      <c r="P478" t="n">
        <v>0</v>
      </c>
      <c r="Q478" t="n">
        <v>0</v>
      </c>
      <c r="R478" s="2" t="inlineStr"/>
    </row>
    <row r="479" ht="15" customHeight="1">
      <c r="A479" t="inlineStr">
        <is>
          <t>A 12997-2026</t>
        </is>
      </c>
      <c r="B479" s="1" t="n">
        <v>46092.6834375</v>
      </c>
      <c r="C479" s="1" t="n">
        <v>46137</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57152-2021</t>
        </is>
      </c>
      <c r="B480" s="1" t="n">
        <v>44482</v>
      </c>
      <c r="C480" s="1" t="n">
        <v>46137</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34124-2021</t>
        </is>
      </c>
      <c r="B481" s="1" t="n">
        <v>44379</v>
      </c>
      <c r="C481" s="1" t="n">
        <v>46137</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28518-2024</t>
        </is>
      </c>
      <c r="B482" s="1" t="n">
        <v>45477</v>
      </c>
      <c r="C482" s="1" t="n">
        <v>46137</v>
      </c>
      <c r="D482" t="inlineStr">
        <is>
          <t>UPPSALA LÄN</t>
        </is>
      </c>
      <c r="E482" t="inlineStr">
        <is>
          <t>ENKÖPING</t>
        </is>
      </c>
      <c r="G482" t="n">
        <v>3.4</v>
      </c>
      <c r="H482" t="n">
        <v>0</v>
      </c>
      <c r="I482" t="n">
        <v>0</v>
      </c>
      <c r="J482" t="n">
        <v>0</v>
      </c>
      <c r="K482" t="n">
        <v>0</v>
      </c>
      <c r="L482" t="n">
        <v>0</v>
      </c>
      <c r="M482" t="n">
        <v>0</v>
      </c>
      <c r="N482" t="n">
        <v>0</v>
      </c>
      <c r="O482" t="n">
        <v>0</v>
      </c>
      <c r="P482" t="n">
        <v>0</v>
      </c>
      <c r="Q482" t="n">
        <v>0</v>
      </c>
      <c r="R482" s="2" t="inlineStr"/>
    </row>
    <row r="483" ht="15" customHeight="1">
      <c r="A483" t="inlineStr">
        <is>
          <t>A 52299-2023</t>
        </is>
      </c>
      <c r="B483" s="1" t="n">
        <v>45224.61636574074</v>
      </c>
      <c r="C483" s="1" t="n">
        <v>46137</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30634-2022</t>
        </is>
      </c>
      <c r="B484" s="1" t="n">
        <v>44763.45711805556</v>
      </c>
      <c r="C484" s="1" t="n">
        <v>46137</v>
      </c>
      <c r="D484" t="inlineStr">
        <is>
          <t>UPPSALA LÄN</t>
        </is>
      </c>
      <c r="E484" t="inlineStr">
        <is>
          <t>ENKÖPING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18259-2025</t>
        </is>
      </c>
      <c r="B485" s="1" t="n">
        <v>45762</v>
      </c>
      <c r="C485" s="1" t="n">
        <v>46137</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14004-2023</t>
        </is>
      </c>
      <c r="B486" s="1" t="n">
        <v>45008</v>
      </c>
      <c r="C486" s="1" t="n">
        <v>46137</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52005-2024</t>
        </is>
      </c>
      <c r="B487" s="1" t="n">
        <v>45607.7627662037</v>
      </c>
      <c r="C487" s="1" t="n">
        <v>46137</v>
      </c>
      <c r="D487" t="inlineStr">
        <is>
          <t>UPPSALA LÄN</t>
        </is>
      </c>
      <c r="E487" t="inlineStr">
        <is>
          <t>ENKÖPING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1960-2022</t>
        </is>
      </c>
      <c r="B488" s="1" t="n">
        <v>44575</v>
      </c>
      <c r="C488" s="1" t="n">
        <v>46137</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49627-2024</t>
        </is>
      </c>
      <c r="B489" s="1" t="n">
        <v>45596.59140046296</v>
      </c>
      <c r="C489" s="1" t="n">
        <v>46137</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57998-2024</t>
        </is>
      </c>
      <c r="B490" s="1" t="n">
        <v>45631</v>
      </c>
      <c r="C490" s="1" t="n">
        <v>46137</v>
      </c>
      <c r="D490" t="inlineStr">
        <is>
          <t>UPPSALA LÄN</t>
        </is>
      </c>
      <c r="E490" t="inlineStr">
        <is>
          <t>ENKÖPING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9667-2024</t>
        </is>
      </c>
      <c r="B491" s="1" t="n">
        <v>45362.45130787037</v>
      </c>
      <c r="C491" s="1" t="n">
        <v>46137</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35645-2021</t>
        </is>
      </c>
      <c r="B492" s="1" t="n">
        <v>44386.42</v>
      </c>
      <c r="C492" s="1" t="n">
        <v>46137</v>
      </c>
      <c r="D492" t="inlineStr">
        <is>
          <t>UPPSALA LÄN</t>
        </is>
      </c>
      <c r="E492" t="inlineStr">
        <is>
          <t>ENKÖPING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15711-2025</t>
        </is>
      </c>
      <c r="B493" s="1" t="n">
        <v>45748</v>
      </c>
      <c r="C493" s="1" t="n">
        <v>46137</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28318-2024</t>
        </is>
      </c>
      <c r="B494" s="1" t="n">
        <v>45477</v>
      </c>
      <c r="C494" s="1" t="n">
        <v>46137</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69344-2021</t>
        </is>
      </c>
      <c r="B495" s="1" t="n">
        <v>44531</v>
      </c>
      <c r="C495" s="1" t="n">
        <v>46137</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51524-2022</t>
        </is>
      </c>
      <c r="B496" s="1" t="n">
        <v>44869</v>
      </c>
      <c r="C496" s="1" t="n">
        <v>46137</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46103-2023</t>
        </is>
      </c>
      <c r="B497" s="1" t="n">
        <v>45190</v>
      </c>
      <c r="C497" s="1" t="n">
        <v>46137</v>
      </c>
      <c r="D497" t="inlineStr">
        <is>
          <t>UPPSALA LÄN</t>
        </is>
      </c>
      <c r="E497" t="inlineStr">
        <is>
          <t>ENKÖPING</t>
        </is>
      </c>
      <c r="G497" t="n">
        <v>4.6</v>
      </c>
      <c r="H497" t="n">
        <v>0</v>
      </c>
      <c r="I497" t="n">
        <v>0</v>
      </c>
      <c r="J497" t="n">
        <v>0</v>
      </c>
      <c r="K497" t="n">
        <v>0</v>
      </c>
      <c r="L497" t="n">
        <v>0</v>
      </c>
      <c r="M497" t="n">
        <v>0</v>
      </c>
      <c r="N497" t="n">
        <v>0</v>
      </c>
      <c r="O497" t="n">
        <v>0</v>
      </c>
      <c r="P497" t="n">
        <v>0</v>
      </c>
      <c r="Q497" t="n">
        <v>0</v>
      </c>
      <c r="R497" s="2" t="inlineStr"/>
    </row>
    <row r="498" ht="15" customHeight="1">
      <c r="A498" t="inlineStr">
        <is>
          <t>A 41737-2022</t>
        </is>
      </c>
      <c r="B498" s="1" t="n">
        <v>44827.63826388889</v>
      </c>
      <c r="C498" s="1" t="n">
        <v>46137</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8137-2025</t>
        </is>
      </c>
      <c r="B499" s="1" t="n">
        <v>45707.8561574074</v>
      </c>
      <c r="C499" s="1" t="n">
        <v>46137</v>
      </c>
      <c r="D499" t="inlineStr">
        <is>
          <t>UPPSALA LÄN</t>
        </is>
      </c>
      <c r="E499" t="inlineStr">
        <is>
          <t>ENKÖPING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23301-2024</t>
        </is>
      </c>
      <c r="B500" s="1" t="n">
        <v>45453.4396412037</v>
      </c>
      <c r="C500" s="1" t="n">
        <v>46137</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52380-2024</t>
        </is>
      </c>
      <c r="B501" s="1" t="n">
        <v>45609</v>
      </c>
      <c r="C501" s="1" t="n">
        <v>46137</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30098-2024</t>
        </is>
      </c>
      <c r="B502" s="1" t="n">
        <v>45489.41609953704</v>
      </c>
      <c r="C502" s="1" t="n">
        <v>46137</v>
      </c>
      <c r="D502" t="inlineStr">
        <is>
          <t>UPPSALA LÄN</t>
        </is>
      </c>
      <c r="E502" t="inlineStr">
        <is>
          <t>ENKÖPING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34735-2023</t>
        </is>
      </c>
      <c r="B503" s="1" t="n">
        <v>45139</v>
      </c>
      <c r="C503" s="1" t="n">
        <v>46137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57328-2024</t>
        </is>
      </c>
      <c r="B504" s="1" t="n">
        <v>45629.62798611111</v>
      </c>
      <c r="C504" s="1" t="n">
        <v>46137</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29482-2022</t>
        </is>
      </c>
      <c r="B505" s="1" t="n">
        <v>44753.57703703704</v>
      </c>
      <c r="C505" s="1" t="n">
        <v>46137</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29483-2022</t>
        </is>
      </c>
      <c r="B506" s="1" t="n">
        <v>44753.57829861111</v>
      </c>
      <c r="C506" s="1" t="n">
        <v>46137</v>
      </c>
      <c r="D506" t="inlineStr">
        <is>
          <t>UPPSALA LÄN</t>
        </is>
      </c>
      <c r="E506" t="inlineStr">
        <is>
          <t>ENKÖPING</t>
        </is>
      </c>
      <c r="G506" t="n">
        <v>3.6</v>
      </c>
      <c r="H506" t="n">
        <v>0</v>
      </c>
      <c r="I506" t="n">
        <v>0</v>
      </c>
      <c r="J506" t="n">
        <v>0</v>
      </c>
      <c r="K506" t="n">
        <v>0</v>
      </c>
      <c r="L506" t="n">
        <v>0</v>
      </c>
      <c r="M506" t="n">
        <v>0</v>
      </c>
      <c r="N506" t="n">
        <v>0</v>
      </c>
      <c r="O506" t="n">
        <v>0</v>
      </c>
      <c r="P506" t="n">
        <v>0</v>
      </c>
      <c r="Q506" t="n">
        <v>0</v>
      </c>
      <c r="R506" s="2" t="inlineStr"/>
    </row>
    <row r="507" ht="15" customHeight="1">
      <c r="A507" t="inlineStr">
        <is>
          <t>A 44232-2022</t>
        </is>
      </c>
      <c r="B507" s="1" t="n">
        <v>44839</v>
      </c>
      <c r="C507" s="1" t="n">
        <v>46137</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61106-2022</t>
        </is>
      </c>
      <c r="B508" s="1" t="n">
        <v>44915.4128587963</v>
      </c>
      <c r="C508" s="1" t="n">
        <v>46137</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39624-2023</t>
        </is>
      </c>
      <c r="B509" s="1" t="n">
        <v>45164</v>
      </c>
      <c r="C509" s="1" t="n">
        <v>46137</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20184-2023</t>
        </is>
      </c>
      <c r="B510" s="1" t="n">
        <v>45055.5670949074</v>
      </c>
      <c r="C510" s="1" t="n">
        <v>46137</v>
      </c>
      <c r="D510" t="inlineStr">
        <is>
          <t>UPPSALA LÄN</t>
        </is>
      </c>
      <c r="E510" t="inlineStr">
        <is>
          <t>ENKÖPING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8152-2022</t>
        </is>
      </c>
      <c r="B511" s="1" t="n">
        <v>44609</v>
      </c>
      <c r="C511" s="1" t="n">
        <v>46137</v>
      </c>
      <c r="D511" t="inlineStr">
        <is>
          <t>UPPSALA LÄN</t>
        </is>
      </c>
      <c r="E511" t="inlineStr">
        <is>
          <t>ENKÖPING</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40223-2024</t>
        </is>
      </c>
      <c r="B512" s="1" t="n">
        <v>45554</v>
      </c>
      <c r="C512" s="1" t="n">
        <v>46137</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37035-2023</t>
        </is>
      </c>
      <c r="B513" s="1" t="n">
        <v>45155</v>
      </c>
      <c r="C513" s="1" t="n">
        <v>46137</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52889-2022</t>
        </is>
      </c>
      <c r="B514" s="1" t="n">
        <v>44875</v>
      </c>
      <c r="C514" s="1" t="n">
        <v>46137</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51030-2024</t>
        </is>
      </c>
      <c r="B515" s="1" t="n">
        <v>45603</v>
      </c>
      <c r="C515" s="1" t="n">
        <v>46137</v>
      </c>
      <c r="D515" t="inlineStr">
        <is>
          <t>UPPSALA LÄN</t>
        </is>
      </c>
      <c r="E515" t="inlineStr">
        <is>
          <t>ENKÖPING</t>
        </is>
      </c>
      <c r="G515" t="n">
        <v>2</v>
      </c>
      <c r="H515" t="n">
        <v>0</v>
      </c>
      <c r="I515" t="n">
        <v>0</v>
      </c>
      <c r="J515" t="n">
        <v>0</v>
      </c>
      <c r="K515" t="n">
        <v>0</v>
      </c>
      <c r="L515" t="n">
        <v>0</v>
      </c>
      <c r="M515" t="n">
        <v>0</v>
      </c>
      <c r="N515" t="n">
        <v>0</v>
      </c>
      <c r="O515" t="n">
        <v>0</v>
      </c>
      <c r="P515" t="n">
        <v>0</v>
      </c>
      <c r="Q515" t="n">
        <v>0</v>
      </c>
      <c r="R515" s="2" t="inlineStr"/>
    </row>
    <row r="516" ht="15" customHeight="1">
      <c r="A516" t="inlineStr">
        <is>
          <t>A 26292-2022</t>
        </is>
      </c>
      <c r="B516" s="1" t="n">
        <v>44735</v>
      </c>
      <c r="C516" s="1" t="n">
        <v>46137</v>
      </c>
      <c r="D516" t="inlineStr">
        <is>
          <t>UPPSALA LÄN</t>
        </is>
      </c>
      <c r="E516" t="inlineStr">
        <is>
          <t>ENKÖPING</t>
        </is>
      </c>
      <c r="F516" t="inlineStr">
        <is>
          <t>Kyrkan</t>
        </is>
      </c>
      <c r="G516" t="n">
        <v>4.6</v>
      </c>
      <c r="H516" t="n">
        <v>0</v>
      </c>
      <c r="I516" t="n">
        <v>0</v>
      </c>
      <c r="J516" t="n">
        <v>0</v>
      </c>
      <c r="K516" t="n">
        <v>0</v>
      </c>
      <c r="L516" t="n">
        <v>0</v>
      </c>
      <c r="M516" t="n">
        <v>0</v>
      </c>
      <c r="N516" t="n">
        <v>0</v>
      </c>
      <c r="O516" t="n">
        <v>0</v>
      </c>
      <c r="P516" t="n">
        <v>0</v>
      </c>
      <c r="Q516" t="n">
        <v>0</v>
      </c>
      <c r="R516" s="2" t="inlineStr"/>
    </row>
    <row r="517" ht="15" customHeight="1">
      <c r="A517" t="inlineStr">
        <is>
          <t>A 4044-2024</t>
        </is>
      </c>
      <c r="B517" s="1" t="n">
        <v>45323.45954861111</v>
      </c>
      <c r="C517" s="1" t="n">
        <v>46137</v>
      </c>
      <c r="D517" t="inlineStr">
        <is>
          <t>UPPSALA LÄN</t>
        </is>
      </c>
      <c r="E517" t="inlineStr">
        <is>
          <t>ENKÖPING</t>
        </is>
      </c>
      <c r="G517" t="n">
        <v>2.1</v>
      </c>
      <c r="H517" t="n">
        <v>0</v>
      </c>
      <c r="I517" t="n">
        <v>0</v>
      </c>
      <c r="J517" t="n">
        <v>0</v>
      </c>
      <c r="K517" t="n">
        <v>0</v>
      </c>
      <c r="L517" t="n">
        <v>0</v>
      </c>
      <c r="M517" t="n">
        <v>0</v>
      </c>
      <c r="N517" t="n">
        <v>0</v>
      </c>
      <c r="O517" t="n">
        <v>0</v>
      </c>
      <c r="P517" t="n">
        <v>0</v>
      </c>
      <c r="Q517" t="n">
        <v>0</v>
      </c>
      <c r="R517" s="2" t="inlineStr"/>
    </row>
    <row r="518">
      <c r="A518" t="inlineStr">
        <is>
          <t>A 33349-2024</t>
        </is>
      </c>
      <c r="B518" s="1" t="n">
        <v>45519</v>
      </c>
      <c r="C518" s="1" t="n">
        <v>46137</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2026-04-25T11:03:39Z</dcterms:created>
  <dcterms:modified xmlns:dcterms="http://purl.org/dc/terms/" xmlns:xsi="http://www.w3.org/2001/XMLSchema-instance" xsi:type="dcterms:W3CDTF">2026-04-25T11:03:39Z</dcterms:modified>
</cp:coreProperties>
</file>