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45916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45916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45916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45916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45916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45916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45916</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45916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45916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45916</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45916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45916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45916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45916</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45916</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45916</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45916</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45916</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45916</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45916</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45116-2023</t>
        </is>
      </c>
      <c r="B22" s="1" t="n">
        <v>45191</v>
      </c>
      <c r="C22" s="1" t="n">
        <v>45916</v>
      </c>
      <c r="D22" t="inlineStr">
        <is>
          <t>UPPSALA LÄN</t>
        </is>
      </c>
      <c r="E22" t="inlineStr">
        <is>
          <t>ENKÖPING</t>
        </is>
      </c>
      <c r="G22" t="n">
        <v>2</v>
      </c>
      <c r="H22" t="n">
        <v>0</v>
      </c>
      <c r="I22" t="n">
        <v>1</v>
      </c>
      <c r="J22" t="n">
        <v>0</v>
      </c>
      <c r="K22" t="n">
        <v>0</v>
      </c>
      <c r="L22" t="n">
        <v>0</v>
      </c>
      <c r="M22" t="n">
        <v>0</v>
      </c>
      <c r="N22" t="n">
        <v>0</v>
      </c>
      <c r="O22" t="n">
        <v>0</v>
      </c>
      <c r="P22" t="n">
        <v>0</v>
      </c>
      <c r="Q22" t="n">
        <v>1</v>
      </c>
      <c r="R22" s="2" t="inlineStr">
        <is>
          <t>Rävticka</t>
        </is>
      </c>
      <c r="S22">
        <f>HYPERLINK("https://klasma.github.io/Logging_0381/artfynd/A 45116-2023 artfynd.xlsx", "A 45116-2023")</f>
        <v/>
      </c>
      <c r="T22">
        <f>HYPERLINK("https://klasma.github.io/Logging_0381/kartor/A 45116-2023 karta.png", "A 45116-2023")</f>
        <v/>
      </c>
      <c r="V22">
        <f>HYPERLINK("https://klasma.github.io/Logging_0381/klagomål/A 45116-2023 FSC-klagomål.docx", "A 45116-2023")</f>
        <v/>
      </c>
      <c r="W22">
        <f>HYPERLINK("https://klasma.github.io/Logging_0381/klagomålsmail/A 45116-2023 FSC-klagomål mail.docx", "A 45116-2023")</f>
        <v/>
      </c>
      <c r="X22">
        <f>HYPERLINK("https://klasma.github.io/Logging_0381/tillsyn/A 45116-2023 tillsynsbegäran.docx", "A 45116-2023")</f>
        <v/>
      </c>
      <c r="Y22">
        <f>HYPERLINK("https://klasma.github.io/Logging_0381/tillsynsmail/A 45116-2023 tillsynsbegäran mail.docx", "A 45116-2023")</f>
        <v/>
      </c>
    </row>
    <row r="23" ht="15" customHeight="1">
      <c r="A23" t="inlineStr">
        <is>
          <t>A 26347-2025</t>
        </is>
      </c>
      <c r="B23" s="1" t="n">
        <v>45805.7403125</v>
      </c>
      <c r="C23" s="1" t="n">
        <v>45916</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1524-2023</t>
        </is>
      </c>
      <c r="B24" s="1" t="n">
        <v>44935</v>
      </c>
      <c r="C24" s="1" t="n">
        <v>45916</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Skogsduva</t>
        </is>
      </c>
      <c r="S24">
        <f>HYPERLINK("https://klasma.github.io/Logging_0381/artfynd/A 1524-2023 artfynd.xlsx", "A 1524-2023")</f>
        <v/>
      </c>
      <c r="T24">
        <f>HYPERLINK("https://klasma.github.io/Logging_0381/kartor/A 1524-2023 karta.png", "A 1524-2023")</f>
        <v/>
      </c>
      <c r="V24">
        <f>HYPERLINK("https://klasma.github.io/Logging_0381/klagomål/A 1524-2023 FSC-klagomål.docx", "A 1524-2023")</f>
        <v/>
      </c>
      <c r="W24">
        <f>HYPERLINK("https://klasma.github.io/Logging_0381/klagomålsmail/A 1524-2023 FSC-klagomål mail.docx", "A 1524-2023")</f>
        <v/>
      </c>
      <c r="X24">
        <f>HYPERLINK("https://klasma.github.io/Logging_0381/tillsyn/A 1524-2023 tillsynsbegäran.docx", "A 1524-2023")</f>
        <v/>
      </c>
      <c r="Y24">
        <f>HYPERLINK("https://klasma.github.io/Logging_0381/tillsynsmail/A 1524-2023 tillsynsbegäran mail.docx", "A 1524-2023")</f>
        <v/>
      </c>
      <c r="Z24">
        <f>HYPERLINK("https://klasma.github.io/Logging_0381/fåglar/A 1524-2023 prioriterade fågelarter.docx", "A 1524-2023")</f>
        <v/>
      </c>
    </row>
    <row r="25" ht="15" customHeight="1">
      <c r="A25" t="inlineStr">
        <is>
          <t>A 27060-2025</t>
        </is>
      </c>
      <c r="B25" s="1" t="n">
        <v>45811.63590277778</v>
      </c>
      <c r="C25" s="1" t="n">
        <v>45916</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17942-2024</t>
        </is>
      </c>
      <c r="B26" s="1" t="n">
        <v>45419</v>
      </c>
      <c r="C26" s="1" t="n">
        <v>45916</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29510-2025</t>
        </is>
      </c>
      <c r="B27" s="1" t="n">
        <v>45825</v>
      </c>
      <c r="C27" s="1" t="n">
        <v>45916</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23961-2022</t>
        </is>
      </c>
      <c r="B28" s="1" t="n">
        <v>44722</v>
      </c>
      <c r="C28" s="1" t="n">
        <v>45916</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Blåsippa</t>
        </is>
      </c>
      <c r="S28">
        <f>HYPERLINK("https://klasma.github.io/Logging_0381/artfynd/A 23961-2022 artfynd.xlsx", "A 23961-2022")</f>
        <v/>
      </c>
      <c r="T28">
        <f>HYPERLINK("https://klasma.github.io/Logging_0381/kartor/A 23961-2022 karta.png", "A 23961-2022")</f>
        <v/>
      </c>
      <c r="V28">
        <f>HYPERLINK("https://klasma.github.io/Logging_0381/klagomål/A 23961-2022 FSC-klagomål.docx", "A 23961-2022")</f>
        <v/>
      </c>
      <c r="W28">
        <f>HYPERLINK("https://klasma.github.io/Logging_0381/klagomålsmail/A 23961-2022 FSC-klagomål mail.docx", "A 23961-2022")</f>
        <v/>
      </c>
      <c r="X28">
        <f>HYPERLINK("https://klasma.github.io/Logging_0381/tillsyn/A 23961-2022 tillsynsbegäran.docx", "A 23961-2022")</f>
        <v/>
      </c>
      <c r="Y28">
        <f>HYPERLINK("https://klasma.github.io/Logging_0381/tillsynsmail/A 23961-2022 tillsynsbegäran mail.docx", "A 23961-2022")</f>
        <v/>
      </c>
    </row>
    <row r="29" ht="15" customHeight="1">
      <c r="A29" t="inlineStr">
        <is>
          <t>A 33339-2024</t>
        </is>
      </c>
      <c r="B29" s="1" t="n">
        <v>45519</v>
      </c>
      <c r="C29" s="1" t="n">
        <v>45916</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28900-2024</t>
        </is>
      </c>
      <c r="B30" s="1" t="n">
        <v>45480</v>
      </c>
      <c r="C30" s="1" t="n">
        <v>45916</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46749-2024</t>
        </is>
      </c>
      <c r="B31" s="1" t="n">
        <v>45583.48347222222</v>
      </c>
      <c r="C31" s="1" t="n">
        <v>45916</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16683-2021</t>
        </is>
      </c>
      <c r="B32" s="1" t="n">
        <v>44294.58495370371</v>
      </c>
      <c r="C32" s="1" t="n">
        <v>45916</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45916</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45916</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45916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45916</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45916</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45916</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45916</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45916</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45916</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45916</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45916</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45916</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45916</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45916</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45916</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45916</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45916</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45916</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45916</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45916</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45916</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45916</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45916</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45916</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45916</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45916</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45916</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45916</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45916</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45916</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45916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45916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45916</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45916</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45916</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45916</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45916</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45916</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45916</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45916</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45916</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45916</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45916</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45916</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45916</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45916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45916</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45916</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45916</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45916</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45916</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45916</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45916</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45916</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62046-2021</t>
        </is>
      </c>
      <c r="B87" s="1" t="n">
        <v>44502</v>
      </c>
      <c r="C87" s="1" t="n">
        <v>45916</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45916</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45916</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45916</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15997-2021</t>
        </is>
      </c>
      <c r="B91" s="1" t="n">
        <v>44287</v>
      </c>
      <c r="C91" s="1" t="n">
        <v>45916</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28795-2021</t>
        </is>
      </c>
      <c r="B92" s="1" t="n">
        <v>44357</v>
      </c>
      <c r="C92" s="1" t="n">
        <v>45916</v>
      </c>
      <c r="D92" t="inlineStr">
        <is>
          <t>UPPSALA LÄN</t>
        </is>
      </c>
      <c r="E92" t="inlineStr">
        <is>
          <t>ENKÖPING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45916</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45916</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45916</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45916</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45916</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24815-2022</t>
        </is>
      </c>
      <c r="B98" s="1" t="n">
        <v>44728</v>
      </c>
      <c r="C98" s="1" t="n">
        <v>45916</v>
      </c>
      <c r="D98" t="inlineStr">
        <is>
          <t>UPPSALA LÄN</t>
        </is>
      </c>
      <c r="E98" t="inlineStr">
        <is>
          <t>ENKÖPING</t>
        </is>
      </c>
      <c r="G98" t="n">
        <v>1.8</v>
      </c>
      <c r="H98" t="n">
        <v>0</v>
      </c>
      <c r="I98" t="n">
        <v>0</v>
      </c>
      <c r="J98" t="n">
        <v>0</v>
      </c>
      <c r="K98" t="n">
        <v>0</v>
      </c>
      <c r="L98" t="n">
        <v>0</v>
      </c>
      <c r="M98" t="n">
        <v>0</v>
      </c>
      <c r="N98" t="n">
        <v>0</v>
      </c>
      <c r="O98" t="n">
        <v>0</v>
      </c>
      <c r="P98" t="n">
        <v>0</v>
      </c>
      <c r="Q98" t="n">
        <v>0</v>
      </c>
      <c r="R98" s="2" t="inlineStr"/>
    </row>
    <row r="99" ht="15" customHeight="1">
      <c r="A99" t="inlineStr">
        <is>
          <t>A 57078-2021</t>
        </is>
      </c>
      <c r="B99" s="1" t="n">
        <v>44482.57855324074</v>
      </c>
      <c r="C99" s="1" t="n">
        <v>45916</v>
      </c>
      <c r="D99" t="inlineStr">
        <is>
          <t>UPPSALA LÄN</t>
        </is>
      </c>
      <c r="E99" t="inlineStr">
        <is>
          <t>ENKÖPING</t>
        </is>
      </c>
      <c r="G99" t="n">
        <v>3</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45916</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47516-2022</t>
        </is>
      </c>
      <c r="B101" s="1" t="n">
        <v>44853.68895833333</v>
      </c>
      <c r="C101" s="1" t="n">
        <v>45916</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58798-2020</t>
        </is>
      </c>
      <c r="B102" s="1" t="n">
        <v>44146</v>
      </c>
      <c r="C102" s="1" t="n">
        <v>45916</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57802-2020</t>
        </is>
      </c>
      <c r="B103" s="1" t="n">
        <v>44141</v>
      </c>
      <c r="C103" s="1" t="n">
        <v>45916</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15021-2022</t>
        </is>
      </c>
      <c r="B104" s="1" t="n">
        <v>44657</v>
      </c>
      <c r="C104" s="1" t="n">
        <v>45916</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42021-2021</t>
        </is>
      </c>
      <c r="B105" s="1" t="n">
        <v>44426</v>
      </c>
      <c r="C105" s="1" t="n">
        <v>45916</v>
      </c>
      <c r="D105" t="inlineStr">
        <is>
          <t>UPPSALA LÄN</t>
        </is>
      </c>
      <c r="E105" t="inlineStr">
        <is>
          <t>ENKÖPING</t>
        </is>
      </c>
      <c r="G105" t="n">
        <v>2.2</v>
      </c>
      <c r="H105" t="n">
        <v>0</v>
      </c>
      <c r="I105" t="n">
        <v>0</v>
      </c>
      <c r="J105" t="n">
        <v>0</v>
      </c>
      <c r="K105" t="n">
        <v>0</v>
      </c>
      <c r="L105" t="n">
        <v>0</v>
      </c>
      <c r="M105" t="n">
        <v>0</v>
      </c>
      <c r="N105" t="n">
        <v>0</v>
      </c>
      <c r="O105" t="n">
        <v>0</v>
      </c>
      <c r="P105" t="n">
        <v>0</v>
      </c>
      <c r="Q105" t="n">
        <v>0</v>
      </c>
      <c r="R105" s="2" t="inlineStr"/>
    </row>
    <row r="106" ht="15" customHeight="1">
      <c r="A106" t="inlineStr">
        <is>
          <t>A 29983-2021</t>
        </is>
      </c>
      <c r="B106" s="1" t="n">
        <v>44363</v>
      </c>
      <c r="C106" s="1" t="n">
        <v>45916</v>
      </c>
      <c r="D106" t="inlineStr">
        <is>
          <t>UPPSALA LÄN</t>
        </is>
      </c>
      <c r="E106" t="inlineStr">
        <is>
          <t>ENKÖPING</t>
        </is>
      </c>
      <c r="F106" t="inlineStr">
        <is>
          <t>Kommuner</t>
        </is>
      </c>
      <c r="G106" t="n">
        <v>3.1</v>
      </c>
      <c r="H106" t="n">
        <v>0</v>
      </c>
      <c r="I106" t="n">
        <v>0</v>
      </c>
      <c r="J106" t="n">
        <v>0</v>
      </c>
      <c r="K106" t="n">
        <v>0</v>
      </c>
      <c r="L106" t="n">
        <v>0</v>
      </c>
      <c r="M106" t="n">
        <v>0</v>
      </c>
      <c r="N106" t="n">
        <v>0</v>
      </c>
      <c r="O106" t="n">
        <v>0</v>
      </c>
      <c r="P106" t="n">
        <v>0</v>
      </c>
      <c r="Q106" t="n">
        <v>0</v>
      </c>
      <c r="R106" s="2" t="inlineStr"/>
    </row>
    <row r="107" ht="15" customHeight="1">
      <c r="A107" t="inlineStr">
        <is>
          <t>A 17467-2022</t>
        </is>
      </c>
      <c r="B107" s="1" t="n">
        <v>44679</v>
      </c>
      <c r="C107" s="1" t="n">
        <v>45916</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24883-2022</t>
        </is>
      </c>
      <c r="B108" s="1" t="n">
        <v>44728</v>
      </c>
      <c r="C108" s="1" t="n">
        <v>45916</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19630-2021</t>
        </is>
      </c>
      <c r="B109" s="1" t="n">
        <v>44312.61876157407</v>
      </c>
      <c r="C109" s="1" t="n">
        <v>45916</v>
      </c>
      <c r="D109" t="inlineStr">
        <is>
          <t>UPPSALA LÄN</t>
        </is>
      </c>
      <c r="E109" t="inlineStr">
        <is>
          <t>ENKÖPING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52464-2020</t>
        </is>
      </c>
      <c r="B110" s="1" t="n">
        <v>44118</v>
      </c>
      <c r="C110" s="1" t="n">
        <v>45916</v>
      </c>
      <c r="D110" t="inlineStr">
        <is>
          <t>UPPSALA LÄN</t>
        </is>
      </c>
      <c r="E110" t="inlineStr">
        <is>
          <t>ENKÖPING</t>
        </is>
      </c>
      <c r="G110" t="n">
        <v>4.6</v>
      </c>
      <c r="H110" t="n">
        <v>0</v>
      </c>
      <c r="I110" t="n">
        <v>0</v>
      </c>
      <c r="J110" t="n">
        <v>0</v>
      </c>
      <c r="K110" t="n">
        <v>0</v>
      </c>
      <c r="L110" t="n">
        <v>0</v>
      </c>
      <c r="M110" t="n">
        <v>0</v>
      </c>
      <c r="N110" t="n">
        <v>0</v>
      </c>
      <c r="O110" t="n">
        <v>0</v>
      </c>
      <c r="P110" t="n">
        <v>0</v>
      </c>
      <c r="Q110" t="n">
        <v>0</v>
      </c>
      <c r="R110" s="2" t="inlineStr"/>
    </row>
    <row r="111" ht="15" customHeight="1">
      <c r="A111" t="inlineStr">
        <is>
          <t>A 31013-2022</t>
        </is>
      </c>
      <c r="B111" s="1" t="n">
        <v>44768</v>
      </c>
      <c r="C111" s="1" t="n">
        <v>45916</v>
      </c>
      <c r="D111" t="inlineStr">
        <is>
          <t>UPPSALA LÄN</t>
        </is>
      </c>
      <c r="E111" t="inlineStr">
        <is>
          <t>ENKÖPING</t>
        </is>
      </c>
      <c r="F111" t="inlineStr">
        <is>
          <t>Allmännings- och besparingsskogar</t>
        </is>
      </c>
      <c r="G111" t="n">
        <v>0.5</v>
      </c>
      <c r="H111" t="n">
        <v>0</v>
      </c>
      <c r="I111" t="n">
        <v>0</v>
      </c>
      <c r="J111" t="n">
        <v>0</v>
      </c>
      <c r="K111" t="n">
        <v>0</v>
      </c>
      <c r="L111" t="n">
        <v>0</v>
      </c>
      <c r="M111" t="n">
        <v>0</v>
      </c>
      <c r="N111" t="n">
        <v>0</v>
      </c>
      <c r="O111" t="n">
        <v>0</v>
      </c>
      <c r="P111" t="n">
        <v>0</v>
      </c>
      <c r="Q111" t="n">
        <v>0</v>
      </c>
      <c r="R111" s="2" t="inlineStr"/>
    </row>
    <row r="112" ht="15" customHeight="1">
      <c r="A112" t="inlineStr">
        <is>
          <t>A 51092-2020</t>
        </is>
      </c>
      <c r="B112" s="1" t="n">
        <v>44112</v>
      </c>
      <c r="C112" s="1" t="n">
        <v>45916</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42029-2021</t>
        </is>
      </c>
      <c r="B113" s="1" t="n">
        <v>44426</v>
      </c>
      <c r="C113" s="1" t="n">
        <v>45916</v>
      </c>
      <c r="D113" t="inlineStr">
        <is>
          <t>UPPSALA LÄN</t>
        </is>
      </c>
      <c r="E113" t="inlineStr">
        <is>
          <t>ENKÖPING</t>
        </is>
      </c>
      <c r="G113" t="n">
        <v>5.3</v>
      </c>
      <c r="H113" t="n">
        <v>0</v>
      </c>
      <c r="I113" t="n">
        <v>0</v>
      </c>
      <c r="J113" t="n">
        <v>0</v>
      </c>
      <c r="K113" t="n">
        <v>0</v>
      </c>
      <c r="L113" t="n">
        <v>0</v>
      </c>
      <c r="M113" t="n">
        <v>0</v>
      </c>
      <c r="N113" t="n">
        <v>0</v>
      </c>
      <c r="O113" t="n">
        <v>0</v>
      </c>
      <c r="P113" t="n">
        <v>0</v>
      </c>
      <c r="Q113" t="n">
        <v>0</v>
      </c>
      <c r="R113" s="2" t="inlineStr"/>
    </row>
    <row r="114" ht="15" customHeight="1">
      <c r="A114" t="inlineStr">
        <is>
          <t>A 59121-2021</t>
        </is>
      </c>
      <c r="B114" s="1" t="n">
        <v>44490</v>
      </c>
      <c r="C114" s="1" t="n">
        <v>45916</v>
      </c>
      <c r="D114" t="inlineStr">
        <is>
          <t>UPPSALA LÄN</t>
        </is>
      </c>
      <c r="E114" t="inlineStr">
        <is>
          <t>ENKÖPING</t>
        </is>
      </c>
      <c r="G114" t="n">
        <v>2.4</v>
      </c>
      <c r="H114" t="n">
        <v>0</v>
      </c>
      <c r="I114" t="n">
        <v>0</v>
      </c>
      <c r="J114" t="n">
        <v>0</v>
      </c>
      <c r="K114" t="n">
        <v>0</v>
      </c>
      <c r="L114" t="n">
        <v>0</v>
      </c>
      <c r="M114" t="n">
        <v>0</v>
      </c>
      <c r="N114" t="n">
        <v>0</v>
      </c>
      <c r="O114" t="n">
        <v>0</v>
      </c>
      <c r="P114" t="n">
        <v>0</v>
      </c>
      <c r="Q114" t="n">
        <v>0</v>
      </c>
      <c r="R114" s="2" t="inlineStr"/>
    </row>
    <row r="115" ht="15" customHeight="1">
      <c r="A115" t="inlineStr">
        <is>
          <t>A 49063-2024</t>
        </is>
      </c>
      <c r="B115" s="1" t="n">
        <v>45594.59869212963</v>
      </c>
      <c r="C115" s="1" t="n">
        <v>45916</v>
      </c>
      <c r="D115" t="inlineStr">
        <is>
          <t>UPPSALA LÄN</t>
        </is>
      </c>
      <c r="E115" t="inlineStr">
        <is>
          <t>ENKÖPING</t>
        </is>
      </c>
      <c r="G115" t="n">
        <v>1.5</v>
      </c>
      <c r="H115" t="n">
        <v>0</v>
      </c>
      <c r="I115" t="n">
        <v>0</v>
      </c>
      <c r="J115" t="n">
        <v>0</v>
      </c>
      <c r="K115" t="n">
        <v>0</v>
      </c>
      <c r="L115" t="n">
        <v>0</v>
      </c>
      <c r="M115" t="n">
        <v>0</v>
      </c>
      <c r="N115" t="n">
        <v>0</v>
      </c>
      <c r="O115" t="n">
        <v>0</v>
      </c>
      <c r="P115" t="n">
        <v>0</v>
      </c>
      <c r="Q115" t="n">
        <v>0</v>
      </c>
      <c r="R115" s="2" t="inlineStr"/>
    </row>
    <row r="116" ht="15" customHeight="1">
      <c r="A116" t="inlineStr">
        <is>
          <t>A 13853-2023</t>
        </is>
      </c>
      <c r="B116" s="1" t="n">
        <v>45007</v>
      </c>
      <c r="C116" s="1" t="n">
        <v>45916</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68127-2021</t>
        </is>
      </c>
      <c r="B117" s="1" t="n">
        <v>44526.39513888889</v>
      </c>
      <c r="C117" s="1" t="n">
        <v>45916</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845-2025</t>
        </is>
      </c>
      <c r="B118" s="1" t="n">
        <v>45665</v>
      </c>
      <c r="C118" s="1" t="n">
        <v>45916</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849-2025</t>
        </is>
      </c>
      <c r="B119" s="1" t="n">
        <v>45665</v>
      </c>
      <c r="C119" s="1" t="n">
        <v>45916</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50747-2022</t>
        </is>
      </c>
      <c r="B120" s="1" t="n">
        <v>44867.40162037037</v>
      </c>
      <c r="C120" s="1" t="n">
        <v>45916</v>
      </c>
      <c r="D120" t="inlineStr">
        <is>
          <t>UPPSALA LÄN</t>
        </is>
      </c>
      <c r="E120" t="inlineStr">
        <is>
          <t>ENKÖPING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17657-2025</t>
        </is>
      </c>
      <c r="B121" s="1" t="n">
        <v>45758.35006944444</v>
      </c>
      <c r="C121" s="1" t="n">
        <v>45916</v>
      </c>
      <c r="D121" t="inlineStr">
        <is>
          <t>UPPSALA LÄN</t>
        </is>
      </c>
      <c r="E121" t="inlineStr">
        <is>
          <t>ENKÖPING</t>
        </is>
      </c>
      <c r="G121" t="n">
        <v>3</v>
      </c>
      <c r="H121" t="n">
        <v>0</v>
      </c>
      <c r="I121" t="n">
        <v>0</v>
      </c>
      <c r="J121" t="n">
        <v>0</v>
      </c>
      <c r="K121" t="n">
        <v>0</v>
      </c>
      <c r="L121" t="n">
        <v>0</v>
      </c>
      <c r="M121" t="n">
        <v>0</v>
      </c>
      <c r="N121" t="n">
        <v>0</v>
      </c>
      <c r="O121" t="n">
        <v>0</v>
      </c>
      <c r="P121" t="n">
        <v>0</v>
      </c>
      <c r="Q121" t="n">
        <v>0</v>
      </c>
      <c r="R121" s="2" t="inlineStr"/>
    </row>
    <row r="122" ht="15" customHeight="1">
      <c r="A122" t="inlineStr">
        <is>
          <t>A 1971-2022</t>
        </is>
      </c>
      <c r="B122" s="1" t="n">
        <v>44575</v>
      </c>
      <c r="C122" s="1" t="n">
        <v>45916</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49568-2022</t>
        </is>
      </c>
      <c r="B123" s="1" t="n">
        <v>44862.32791666667</v>
      </c>
      <c r="C123" s="1" t="n">
        <v>45916</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69567-2020</t>
        </is>
      </c>
      <c r="B124" s="1" t="n">
        <v>44194</v>
      </c>
      <c r="C124" s="1" t="n">
        <v>45916</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2968-2025</t>
        </is>
      </c>
      <c r="B125" s="1" t="n">
        <v>45678</v>
      </c>
      <c r="C125" s="1" t="n">
        <v>45916</v>
      </c>
      <c r="D125" t="inlineStr">
        <is>
          <t>UPPSALA LÄN</t>
        </is>
      </c>
      <c r="E125" t="inlineStr">
        <is>
          <t>ENKÖPING</t>
        </is>
      </c>
      <c r="G125" t="n">
        <v>1.1</v>
      </c>
      <c r="H125" t="n">
        <v>0</v>
      </c>
      <c r="I125" t="n">
        <v>0</v>
      </c>
      <c r="J125" t="n">
        <v>0</v>
      </c>
      <c r="K125" t="n">
        <v>0</v>
      </c>
      <c r="L125" t="n">
        <v>0</v>
      </c>
      <c r="M125" t="n">
        <v>0</v>
      </c>
      <c r="N125" t="n">
        <v>0</v>
      </c>
      <c r="O125" t="n">
        <v>0</v>
      </c>
      <c r="P125" t="n">
        <v>0</v>
      </c>
      <c r="Q125" t="n">
        <v>0</v>
      </c>
      <c r="R125" s="2" t="inlineStr"/>
    </row>
    <row r="126" ht="15" customHeight="1">
      <c r="A126" t="inlineStr">
        <is>
          <t>A 49525-2021</t>
        </is>
      </c>
      <c r="B126" s="1" t="n">
        <v>44455</v>
      </c>
      <c r="C126" s="1" t="n">
        <v>45916</v>
      </c>
      <c r="D126" t="inlineStr">
        <is>
          <t>UPPSALA LÄN</t>
        </is>
      </c>
      <c r="E126" t="inlineStr">
        <is>
          <t>ENKÖPING</t>
        </is>
      </c>
      <c r="G126" t="n">
        <v>1.8</v>
      </c>
      <c r="H126" t="n">
        <v>0</v>
      </c>
      <c r="I126" t="n">
        <v>0</v>
      </c>
      <c r="J126" t="n">
        <v>0</v>
      </c>
      <c r="K126" t="n">
        <v>0</v>
      </c>
      <c r="L126" t="n">
        <v>0</v>
      </c>
      <c r="M126" t="n">
        <v>0</v>
      </c>
      <c r="N126" t="n">
        <v>0</v>
      </c>
      <c r="O126" t="n">
        <v>0</v>
      </c>
      <c r="P126" t="n">
        <v>0</v>
      </c>
      <c r="Q126" t="n">
        <v>0</v>
      </c>
      <c r="R126" s="2" t="inlineStr"/>
    </row>
    <row r="127" ht="15" customHeight="1">
      <c r="A127" t="inlineStr">
        <is>
          <t>A 6959-2025</t>
        </is>
      </c>
      <c r="B127" s="1" t="n">
        <v>45701.49315972222</v>
      </c>
      <c r="C127" s="1" t="n">
        <v>45916</v>
      </c>
      <c r="D127" t="inlineStr">
        <is>
          <t>UPPSALA LÄN</t>
        </is>
      </c>
      <c r="E127" t="inlineStr">
        <is>
          <t>ENKÖPING</t>
        </is>
      </c>
      <c r="G127" t="n">
        <v>1.8</v>
      </c>
      <c r="H127" t="n">
        <v>0</v>
      </c>
      <c r="I127" t="n">
        <v>0</v>
      </c>
      <c r="J127" t="n">
        <v>0</v>
      </c>
      <c r="K127" t="n">
        <v>0</v>
      </c>
      <c r="L127" t="n">
        <v>0</v>
      </c>
      <c r="M127" t="n">
        <v>0</v>
      </c>
      <c r="N127" t="n">
        <v>0</v>
      </c>
      <c r="O127" t="n">
        <v>0</v>
      </c>
      <c r="P127" t="n">
        <v>0</v>
      </c>
      <c r="Q127" t="n">
        <v>0</v>
      </c>
      <c r="R127" s="2" t="inlineStr"/>
    </row>
    <row r="128" ht="15" customHeight="1">
      <c r="A128" t="inlineStr">
        <is>
          <t>A 20067-2021</t>
        </is>
      </c>
      <c r="B128" s="1" t="n">
        <v>44314</v>
      </c>
      <c r="C128" s="1" t="n">
        <v>45916</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47681-2024</t>
        </is>
      </c>
      <c r="B129" s="1" t="n">
        <v>45588</v>
      </c>
      <c r="C129" s="1" t="n">
        <v>45916</v>
      </c>
      <c r="D129" t="inlineStr">
        <is>
          <t>UPPSALA LÄN</t>
        </is>
      </c>
      <c r="E129" t="inlineStr">
        <is>
          <t>ENKÖPING</t>
        </is>
      </c>
      <c r="G129" t="n">
        <v>4.2</v>
      </c>
      <c r="H129" t="n">
        <v>0</v>
      </c>
      <c r="I129" t="n">
        <v>0</v>
      </c>
      <c r="J129" t="n">
        <v>0</v>
      </c>
      <c r="K129" t="n">
        <v>0</v>
      </c>
      <c r="L129" t="n">
        <v>0</v>
      </c>
      <c r="M129" t="n">
        <v>0</v>
      </c>
      <c r="N129" t="n">
        <v>0</v>
      </c>
      <c r="O129" t="n">
        <v>0</v>
      </c>
      <c r="P129" t="n">
        <v>0</v>
      </c>
      <c r="Q129" t="n">
        <v>0</v>
      </c>
      <c r="R129" s="2" t="inlineStr"/>
    </row>
    <row r="130" ht="15" customHeight="1">
      <c r="A130" t="inlineStr">
        <is>
          <t>A 15924-2022</t>
        </is>
      </c>
      <c r="B130" s="1" t="n">
        <v>44664</v>
      </c>
      <c r="C130" s="1" t="n">
        <v>45916</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15943-2022</t>
        </is>
      </c>
      <c r="B131" s="1" t="n">
        <v>44664.66428240741</v>
      </c>
      <c r="C131" s="1" t="n">
        <v>45916</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47106-2021</t>
        </is>
      </c>
      <c r="B132" s="1" t="n">
        <v>44446</v>
      </c>
      <c r="C132" s="1" t="n">
        <v>45916</v>
      </c>
      <c r="D132" t="inlineStr">
        <is>
          <t>UPPSALA LÄN</t>
        </is>
      </c>
      <c r="E132" t="inlineStr">
        <is>
          <t>ENKÖPING</t>
        </is>
      </c>
      <c r="G132" t="n">
        <v>7.6</v>
      </c>
      <c r="H132" t="n">
        <v>0</v>
      </c>
      <c r="I132" t="n">
        <v>0</v>
      </c>
      <c r="J132" t="n">
        <v>0</v>
      </c>
      <c r="K132" t="n">
        <v>0</v>
      </c>
      <c r="L132" t="n">
        <v>0</v>
      </c>
      <c r="M132" t="n">
        <v>0</v>
      </c>
      <c r="N132" t="n">
        <v>0</v>
      </c>
      <c r="O132" t="n">
        <v>0</v>
      </c>
      <c r="P132" t="n">
        <v>0</v>
      </c>
      <c r="Q132" t="n">
        <v>0</v>
      </c>
      <c r="R132" s="2" t="inlineStr"/>
    </row>
    <row r="133" ht="15" customHeight="1">
      <c r="A133" t="inlineStr">
        <is>
          <t>A 53496-2022</t>
        </is>
      </c>
      <c r="B133" s="1" t="n">
        <v>44879.57217592592</v>
      </c>
      <c r="C133" s="1" t="n">
        <v>45916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19731-2022</t>
        </is>
      </c>
      <c r="B134" s="1" t="n">
        <v>44694</v>
      </c>
      <c r="C134" s="1" t="n">
        <v>45916</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30437-2022</t>
        </is>
      </c>
      <c r="B135" s="1" t="n">
        <v>44761</v>
      </c>
      <c r="C135" s="1" t="n">
        <v>45916</v>
      </c>
      <c r="D135" t="inlineStr">
        <is>
          <t>UPPSALA LÄN</t>
        </is>
      </c>
      <c r="E135" t="inlineStr">
        <is>
          <t>ENKÖPING</t>
        </is>
      </c>
      <c r="G135" t="n">
        <v>3.4</v>
      </c>
      <c r="H135" t="n">
        <v>0</v>
      </c>
      <c r="I135" t="n">
        <v>0</v>
      </c>
      <c r="J135" t="n">
        <v>0</v>
      </c>
      <c r="K135" t="n">
        <v>0</v>
      </c>
      <c r="L135" t="n">
        <v>0</v>
      </c>
      <c r="M135" t="n">
        <v>0</v>
      </c>
      <c r="N135" t="n">
        <v>0</v>
      </c>
      <c r="O135" t="n">
        <v>0</v>
      </c>
      <c r="P135" t="n">
        <v>0</v>
      </c>
      <c r="Q135" t="n">
        <v>0</v>
      </c>
      <c r="R135" s="2" t="inlineStr"/>
    </row>
    <row r="136" ht="15" customHeight="1">
      <c r="A136" t="inlineStr">
        <is>
          <t>A 51011-2024</t>
        </is>
      </c>
      <c r="B136" s="1" t="n">
        <v>45603.39427083333</v>
      </c>
      <c r="C136" s="1" t="n">
        <v>45916</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62158-2023</t>
        </is>
      </c>
      <c r="B137" s="1" t="n">
        <v>45267</v>
      </c>
      <c r="C137" s="1" t="n">
        <v>45916</v>
      </c>
      <c r="D137" t="inlineStr">
        <is>
          <t>UPPSALA LÄN</t>
        </is>
      </c>
      <c r="E137" t="inlineStr">
        <is>
          <t>ENKÖPING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22981-2025</t>
        </is>
      </c>
      <c r="B138" s="1" t="n">
        <v>45790.56964120371</v>
      </c>
      <c r="C138" s="1" t="n">
        <v>45916</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60350-2022</t>
        </is>
      </c>
      <c r="B139" s="1" t="n">
        <v>44910</v>
      </c>
      <c r="C139" s="1" t="n">
        <v>45916</v>
      </c>
      <c r="D139" t="inlineStr">
        <is>
          <t>UPPSALA LÄN</t>
        </is>
      </c>
      <c r="E139" t="inlineStr">
        <is>
          <t>ENKÖPING</t>
        </is>
      </c>
      <c r="F139" t="inlineStr">
        <is>
          <t>Allmännings- och besparingsskogar</t>
        </is>
      </c>
      <c r="G139" t="n">
        <v>3.5</v>
      </c>
      <c r="H139" t="n">
        <v>0</v>
      </c>
      <c r="I139" t="n">
        <v>0</v>
      </c>
      <c r="J139" t="n">
        <v>0</v>
      </c>
      <c r="K139" t="n">
        <v>0</v>
      </c>
      <c r="L139" t="n">
        <v>0</v>
      </c>
      <c r="M139" t="n">
        <v>0</v>
      </c>
      <c r="N139" t="n">
        <v>0</v>
      </c>
      <c r="O139" t="n">
        <v>0</v>
      </c>
      <c r="P139" t="n">
        <v>0</v>
      </c>
      <c r="Q139" t="n">
        <v>0</v>
      </c>
      <c r="R139" s="2" t="inlineStr"/>
    </row>
    <row r="140" ht="15" customHeight="1">
      <c r="A140" t="inlineStr">
        <is>
          <t>A 15942-2022</t>
        </is>
      </c>
      <c r="B140" s="1" t="n">
        <v>44664</v>
      </c>
      <c r="C140" s="1" t="n">
        <v>45916</v>
      </c>
      <c r="D140" t="inlineStr">
        <is>
          <t>UPPSALA LÄN</t>
        </is>
      </c>
      <c r="E140" t="inlineStr">
        <is>
          <t>ENKÖPING</t>
        </is>
      </c>
      <c r="G140" t="n">
        <v>6.6</v>
      </c>
      <c r="H140" t="n">
        <v>0</v>
      </c>
      <c r="I140" t="n">
        <v>0</v>
      </c>
      <c r="J140" t="n">
        <v>0</v>
      </c>
      <c r="K140" t="n">
        <v>0</v>
      </c>
      <c r="L140" t="n">
        <v>0</v>
      </c>
      <c r="M140" t="n">
        <v>0</v>
      </c>
      <c r="N140" t="n">
        <v>0</v>
      </c>
      <c r="O140" t="n">
        <v>0</v>
      </c>
      <c r="P140" t="n">
        <v>0</v>
      </c>
      <c r="Q140" t="n">
        <v>0</v>
      </c>
      <c r="R140" s="2" t="inlineStr"/>
    </row>
    <row r="141" ht="15" customHeight="1">
      <c r="A141" t="inlineStr">
        <is>
          <t>A 2850-2025</t>
        </is>
      </c>
      <c r="B141" s="1" t="n">
        <v>45677</v>
      </c>
      <c r="C141" s="1" t="n">
        <v>45916</v>
      </c>
      <c r="D141" t="inlineStr">
        <is>
          <t>UPPSALA LÄN</t>
        </is>
      </c>
      <c r="E141" t="inlineStr">
        <is>
          <t>ENKÖPING</t>
        </is>
      </c>
      <c r="G141" t="n">
        <v>0.3</v>
      </c>
      <c r="H141" t="n">
        <v>0</v>
      </c>
      <c r="I141" t="n">
        <v>0</v>
      </c>
      <c r="J141" t="n">
        <v>0</v>
      </c>
      <c r="K141" t="n">
        <v>0</v>
      </c>
      <c r="L141" t="n">
        <v>0</v>
      </c>
      <c r="M141" t="n">
        <v>0</v>
      </c>
      <c r="N141" t="n">
        <v>0</v>
      </c>
      <c r="O141" t="n">
        <v>0</v>
      </c>
      <c r="P141" t="n">
        <v>0</v>
      </c>
      <c r="Q141" t="n">
        <v>0</v>
      </c>
      <c r="R141" s="2" t="inlineStr"/>
    </row>
    <row r="142" ht="15" customHeight="1">
      <c r="A142" t="inlineStr">
        <is>
          <t>A 2974-2025</t>
        </is>
      </c>
      <c r="B142" s="1" t="n">
        <v>45678.47168981482</v>
      </c>
      <c r="C142" s="1" t="n">
        <v>45916</v>
      </c>
      <c r="D142" t="inlineStr">
        <is>
          <t>UPPSALA LÄN</t>
        </is>
      </c>
      <c r="E142" t="inlineStr">
        <is>
          <t>ENKÖPING</t>
        </is>
      </c>
      <c r="G142" t="n">
        <v>1.6</v>
      </c>
      <c r="H142" t="n">
        <v>0</v>
      </c>
      <c r="I142" t="n">
        <v>0</v>
      </c>
      <c r="J142" t="n">
        <v>0</v>
      </c>
      <c r="K142" t="n">
        <v>0</v>
      </c>
      <c r="L142" t="n">
        <v>0</v>
      </c>
      <c r="M142" t="n">
        <v>0</v>
      </c>
      <c r="N142" t="n">
        <v>0</v>
      </c>
      <c r="O142" t="n">
        <v>0</v>
      </c>
      <c r="P142" t="n">
        <v>0</v>
      </c>
      <c r="Q142" t="n">
        <v>0</v>
      </c>
      <c r="R142" s="2" t="inlineStr"/>
    </row>
    <row r="143" ht="15" customHeight="1">
      <c r="A143" t="inlineStr">
        <is>
          <t>A 26319-2022</t>
        </is>
      </c>
      <c r="B143" s="1" t="n">
        <v>44735</v>
      </c>
      <c r="C143" s="1" t="n">
        <v>45916</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35647-2021</t>
        </is>
      </c>
      <c r="B144" s="1" t="n">
        <v>44386</v>
      </c>
      <c r="C144" s="1" t="n">
        <v>45916</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45956-2024</t>
        </is>
      </c>
      <c r="B145" s="1" t="n">
        <v>45580</v>
      </c>
      <c r="C145" s="1" t="n">
        <v>45916</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29918-2023</t>
        </is>
      </c>
      <c r="B146" s="1" t="n">
        <v>45099</v>
      </c>
      <c r="C146" s="1" t="n">
        <v>45916</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10831-2024</t>
        </is>
      </c>
      <c r="B147" s="1" t="n">
        <v>45369</v>
      </c>
      <c r="C147" s="1" t="n">
        <v>45916</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27786-2023</t>
        </is>
      </c>
      <c r="B148" s="1" t="n">
        <v>45098</v>
      </c>
      <c r="C148" s="1" t="n">
        <v>45916</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24291-2024</t>
        </is>
      </c>
      <c r="B149" s="1" t="n">
        <v>45457.4584837963</v>
      </c>
      <c r="C149" s="1" t="n">
        <v>45916</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8020-2022</t>
        </is>
      </c>
      <c r="B150" s="1" t="n">
        <v>44609</v>
      </c>
      <c r="C150" s="1" t="n">
        <v>45916</v>
      </c>
      <c r="D150" t="inlineStr">
        <is>
          <t>UPPSALA LÄN</t>
        </is>
      </c>
      <c r="E150" t="inlineStr">
        <is>
          <t>ENKÖPING</t>
        </is>
      </c>
      <c r="G150" t="n">
        <v>6</v>
      </c>
      <c r="H150" t="n">
        <v>0</v>
      </c>
      <c r="I150" t="n">
        <v>0</v>
      </c>
      <c r="J150" t="n">
        <v>0</v>
      </c>
      <c r="K150" t="n">
        <v>0</v>
      </c>
      <c r="L150" t="n">
        <v>0</v>
      </c>
      <c r="M150" t="n">
        <v>0</v>
      </c>
      <c r="N150" t="n">
        <v>0</v>
      </c>
      <c r="O150" t="n">
        <v>0</v>
      </c>
      <c r="P150" t="n">
        <v>0</v>
      </c>
      <c r="Q150" t="n">
        <v>0</v>
      </c>
      <c r="R150" s="2" t="inlineStr"/>
    </row>
    <row r="151" ht="15" customHeight="1">
      <c r="A151" t="inlineStr">
        <is>
          <t>A 74090-2021</t>
        </is>
      </c>
      <c r="B151" s="1" t="n">
        <v>44557</v>
      </c>
      <c r="C151" s="1" t="n">
        <v>45916</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48864-2022</t>
        </is>
      </c>
      <c r="B152" s="1" t="n">
        <v>44859</v>
      </c>
      <c r="C152" s="1" t="n">
        <v>45916</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34805-2024</t>
        </is>
      </c>
      <c r="B153" s="1" t="n">
        <v>45526</v>
      </c>
      <c r="C153" s="1" t="n">
        <v>45916</v>
      </c>
      <c r="D153" t="inlineStr">
        <is>
          <t>UPPSALA LÄN</t>
        </is>
      </c>
      <c r="E153" t="inlineStr">
        <is>
          <t>ENKÖPING</t>
        </is>
      </c>
      <c r="G153" t="n">
        <v>3.6</v>
      </c>
      <c r="H153" t="n">
        <v>0</v>
      </c>
      <c r="I153" t="n">
        <v>0</v>
      </c>
      <c r="J153" t="n">
        <v>0</v>
      </c>
      <c r="K153" t="n">
        <v>0</v>
      </c>
      <c r="L153" t="n">
        <v>0</v>
      </c>
      <c r="M153" t="n">
        <v>0</v>
      </c>
      <c r="N153" t="n">
        <v>0</v>
      </c>
      <c r="O153" t="n">
        <v>0</v>
      </c>
      <c r="P153" t="n">
        <v>0</v>
      </c>
      <c r="Q153" t="n">
        <v>0</v>
      </c>
      <c r="R153" s="2" t="inlineStr"/>
    </row>
    <row r="154" ht="15" customHeight="1">
      <c r="A154" t="inlineStr">
        <is>
          <t>A 17729-2023</t>
        </is>
      </c>
      <c r="B154" s="1" t="n">
        <v>45037</v>
      </c>
      <c r="C154" s="1" t="n">
        <v>45916</v>
      </c>
      <c r="D154" t="inlineStr">
        <is>
          <t>UPPSALA LÄN</t>
        </is>
      </c>
      <c r="E154" t="inlineStr">
        <is>
          <t>ENKÖPING</t>
        </is>
      </c>
      <c r="G154" t="n">
        <v>10.2</v>
      </c>
      <c r="H154" t="n">
        <v>0</v>
      </c>
      <c r="I154" t="n">
        <v>0</v>
      </c>
      <c r="J154" t="n">
        <v>0</v>
      </c>
      <c r="K154" t="n">
        <v>0</v>
      </c>
      <c r="L154" t="n">
        <v>0</v>
      </c>
      <c r="M154" t="n">
        <v>0</v>
      </c>
      <c r="N154" t="n">
        <v>0</v>
      </c>
      <c r="O154" t="n">
        <v>0</v>
      </c>
      <c r="P154" t="n">
        <v>0</v>
      </c>
      <c r="Q154" t="n">
        <v>0</v>
      </c>
      <c r="R154" s="2" t="inlineStr"/>
    </row>
    <row r="155" ht="15" customHeight="1">
      <c r="A155" t="inlineStr">
        <is>
          <t>A 6242-2025</t>
        </is>
      </c>
      <c r="B155" s="1" t="n">
        <v>45697</v>
      </c>
      <c r="C155" s="1" t="n">
        <v>45916</v>
      </c>
      <c r="D155" t="inlineStr">
        <is>
          <t>UPPSALA LÄN</t>
        </is>
      </c>
      <c r="E155" t="inlineStr">
        <is>
          <t>ENKÖPING</t>
        </is>
      </c>
      <c r="G155" t="n">
        <v>17.9</v>
      </c>
      <c r="H155" t="n">
        <v>0</v>
      </c>
      <c r="I155" t="n">
        <v>0</v>
      </c>
      <c r="J155" t="n">
        <v>0</v>
      </c>
      <c r="K155" t="n">
        <v>0</v>
      </c>
      <c r="L155" t="n">
        <v>0</v>
      </c>
      <c r="M155" t="n">
        <v>0</v>
      </c>
      <c r="N155" t="n">
        <v>0</v>
      </c>
      <c r="O155" t="n">
        <v>0</v>
      </c>
      <c r="P155" t="n">
        <v>0</v>
      </c>
      <c r="Q155" t="n">
        <v>0</v>
      </c>
      <c r="R155" s="2" t="inlineStr"/>
    </row>
    <row r="156" ht="15" customHeight="1">
      <c r="A156" t="inlineStr">
        <is>
          <t>A 42459-2024</t>
        </is>
      </c>
      <c r="B156" s="1" t="n">
        <v>45565</v>
      </c>
      <c r="C156" s="1" t="n">
        <v>45916</v>
      </c>
      <c r="D156" t="inlineStr">
        <is>
          <t>UPPSALA LÄN</t>
        </is>
      </c>
      <c r="E156" t="inlineStr">
        <is>
          <t>ENKÖPING</t>
        </is>
      </c>
      <c r="G156" t="n">
        <v>3.6</v>
      </c>
      <c r="H156" t="n">
        <v>0</v>
      </c>
      <c r="I156" t="n">
        <v>0</v>
      </c>
      <c r="J156" t="n">
        <v>0</v>
      </c>
      <c r="K156" t="n">
        <v>0</v>
      </c>
      <c r="L156" t="n">
        <v>0</v>
      </c>
      <c r="M156" t="n">
        <v>0</v>
      </c>
      <c r="N156" t="n">
        <v>0</v>
      </c>
      <c r="O156" t="n">
        <v>0</v>
      </c>
      <c r="P156" t="n">
        <v>0</v>
      </c>
      <c r="Q156" t="n">
        <v>0</v>
      </c>
      <c r="R156" s="2" t="inlineStr"/>
    </row>
    <row r="157" ht="15" customHeight="1">
      <c r="A157" t="inlineStr">
        <is>
          <t>A 5712-2025</t>
        </is>
      </c>
      <c r="B157" s="1" t="n">
        <v>45694</v>
      </c>
      <c r="C157" s="1" t="n">
        <v>45916</v>
      </c>
      <c r="D157" t="inlineStr">
        <is>
          <t>UPPSALA LÄN</t>
        </is>
      </c>
      <c r="E157" t="inlineStr">
        <is>
          <t>ENKÖPING</t>
        </is>
      </c>
      <c r="G157" t="n">
        <v>5.1</v>
      </c>
      <c r="H157" t="n">
        <v>0</v>
      </c>
      <c r="I157" t="n">
        <v>0</v>
      </c>
      <c r="J157" t="n">
        <v>0</v>
      </c>
      <c r="K157" t="n">
        <v>0</v>
      </c>
      <c r="L157" t="n">
        <v>0</v>
      </c>
      <c r="M157" t="n">
        <v>0</v>
      </c>
      <c r="N157" t="n">
        <v>0</v>
      </c>
      <c r="O157" t="n">
        <v>0</v>
      </c>
      <c r="P157" t="n">
        <v>0</v>
      </c>
      <c r="Q157" t="n">
        <v>0</v>
      </c>
      <c r="R157" s="2" t="inlineStr"/>
    </row>
    <row r="158" ht="15" customHeight="1">
      <c r="A158" t="inlineStr">
        <is>
          <t>A 5749-2025</t>
        </is>
      </c>
      <c r="B158" s="1" t="n">
        <v>45694</v>
      </c>
      <c r="C158" s="1" t="n">
        <v>45916</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60125-2024</t>
        </is>
      </c>
      <c r="B159" s="1" t="n">
        <v>45642</v>
      </c>
      <c r="C159" s="1" t="n">
        <v>45916</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10468-2025</t>
        </is>
      </c>
      <c r="B160" s="1" t="n">
        <v>45720</v>
      </c>
      <c r="C160" s="1" t="n">
        <v>45916</v>
      </c>
      <c r="D160" t="inlineStr">
        <is>
          <t>UPPSALA LÄN</t>
        </is>
      </c>
      <c r="E160" t="inlineStr">
        <is>
          <t>ENKÖPING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314-2025</t>
        </is>
      </c>
      <c r="B161" s="1" t="n">
        <v>45656</v>
      </c>
      <c r="C161" s="1" t="n">
        <v>45916</v>
      </c>
      <c r="D161" t="inlineStr">
        <is>
          <t>UPPSALA LÄN</t>
        </is>
      </c>
      <c r="E161" t="inlineStr">
        <is>
          <t>ENKÖPING</t>
        </is>
      </c>
      <c r="G161" t="n">
        <v>9</v>
      </c>
      <c r="H161" t="n">
        <v>0</v>
      </c>
      <c r="I161" t="n">
        <v>0</v>
      </c>
      <c r="J161" t="n">
        <v>0</v>
      </c>
      <c r="K161" t="n">
        <v>0</v>
      </c>
      <c r="L161" t="n">
        <v>0</v>
      </c>
      <c r="M161" t="n">
        <v>0</v>
      </c>
      <c r="N161" t="n">
        <v>0</v>
      </c>
      <c r="O161" t="n">
        <v>0</v>
      </c>
      <c r="P161" t="n">
        <v>0</v>
      </c>
      <c r="Q161" t="n">
        <v>0</v>
      </c>
      <c r="R161" s="2" t="inlineStr"/>
    </row>
    <row r="162" ht="15" customHeight="1">
      <c r="A162" t="inlineStr">
        <is>
          <t>A 11627-2025</t>
        </is>
      </c>
      <c r="B162" s="1" t="n">
        <v>45727</v>
      </c>
      <c r="C162" s="1" t="n">
        <v>45916</v>
      </c>
      <c r="D162" t="inlineStr">
        <is>
          <t>UPPSALA LÄN</t>
        </is>
      </c>
      <c r="E162" t="inlineStr">
        <is>
          <t>ENKÖPING</t>
        </is>
      </c>
      <c r="G162" t="n">
        <v>5.5</v>
      </c>
      <c r="H162" t="n">
        <v>0</v>
      </c>
      <c r="I162" t="n">
        <v>0</v>
      </c>
      <c r="J162" t="n">
        <v>0</v>
      </c>
      <c r="K162" t="n">
        <v>0</v>
      </c>
      <c r="L162" t="n">
        <v>0</v>
      </c>
      <c r="M162" t="n">
        <v>0</v>
      </c>
      <c r="N162" t="n">
        <v>0</v>
      </c>
      <c r="O162" t="n">
        <v>0</v>
      </c>
      <c r="P162" t="n">
        <v>0</v>
      </c>
      <c r="Q162" t="n">
        <v>0</v>
      </c>
      <c r="R162" s="2" t="inlineStr"/>
    </row>
    <row r="163" ht="15" customHeight="1">
      <c r="A163" t="inlineStr">
        <is>
          <t>A 10458-2022</t>
        </is>
      </c>
      <c r="B163" s="1" t="n">
        <v>44623.56711805556</v>
      </c>
      <c r="C163" s="1" t="n">
        <v>45916</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21017-2023</t>
        </is>
      </c>
      <c r="B164" s="1" t="n">
        <v>45061</v>
      </c>
      <c r="C164" s="1" t="n">
        <v>45916</v>
      </c>
      <c r="D164" t="inlineStr">
        <is>
          <t>UPPSALA LÄN</t>
        </is>
      </c>
      <c r="E164" t="inlineStr">
        <is>
          <t>ENKÖPING</t>
        </is>
      </c>
      <c r="G164" t="n">
        <v>4.8</v>
      </c>
      <c r="H164" t="n">
        <v>0</v>
      </c>
      <c r="I164" t="n">
        <v>0</v>
      </c>
      <c r="J164" t="n">
        <v>0</v>
      </c>
      <c r="K164" t="n">
        <v>0</v>
      </c>
      <c r="L164" t="n">
        <v>0</v>
      </c>
      <c r="M164" t="n">
        <v>0</v>
      </c>
      <c r="N164" t="n">
        <v>0</v>
      </c>
      <c r="O164" t="n">
        <v>0</v>
      </c>
      <c r="P164" t="n">
        <v>0</v>
      </c>
      <c r="Q164" t="n">
        <v>0</v>
      </c>
      <c r="R164" s="2" t="inlineStr"/>
    </row>
    <row r="165" ht="15" customHeight="1">
      <c r="A165" t="inlineStr">
        <is>
          <t>A 5211-2024</t>
        </is>
      </c>
      <c r="B165" s="1" t="n">
        <v>45330</v>
      </c>
      <c r="C165" s="1" t="n">
        <v>45916</v>
      </c>
      <c r="D165" t="inlineStr">
        <is>
          <t>UPPSALA LÄN</t>
        </is>
      </c>
      <c r="E165" t="inlineStr">
        <is>
          <t>ENKÖPING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10409-2025</t>
        </is>
      </c>
      <c r="B166" s="1" t="n">
        <v>45720.631875</v>
      </c>
      <c r="C166" s="1" t="n">
        <v>45916</v>
      </c>
      <c r="D166" t="inlineStr">
        <is>
          <t>UPPSALA LÄN</t>
        </is>
      </c>
      <c r="E166" t="inlineStr">
        <is>
          <t>ENKÖPING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18299-2025</t>
        </is>
      </c>
      <c r="B167" s="1" t="n">
        <v>45762</v>
      </c>
      <c r="C167" s="1" t="n">
        <v>45916</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2833-2025</t>
        </is>
      </c>
      <c r="B168" s="1" t="n">
        <v>45677.63206018518</v>
      </c>
      <c r="C168" s="1" t="n">
        <v>45916</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44115-2024</t>
        </is>
      </c>
      <c r="B169" s="1" t="n">
        <v>45572</v>
      </c>
      <c r="C169" s="1" t="n">
        <v>45916</v>
      </c>
      <c r="D169" t="inlineStr">
        <is>
          <t>UPPSALA LÄN</t>
        </is>
      </c>
      <c r="E169" t="inlineStr">
        <is>
          <t>ENKÖPING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24411-2024</t>
        </is>
      </c>
      <c r="B170" s="1" t="n">
        <v>45457</v>
      </c>
      <c r="C170" s="1" t="n">
        <v>45916</v>
      </c>
      <c r="D170" t="inlineStr">
        <is>
          <t>UPPSALA LÄN</t>
        </is>
      </c>
      <c r="E170" t="inlineStr">
        <is>
          <t>ENKÖPING</t>
        </is>
      </c>
      <c r="G170" t="n">
        <v>0.7</v>
      </c>
      <c r="H170" t="n">
        <v>0</v>
      </c>
      <c r="I170" t="n">
        <v>0</v>
      </c>
      <c r="J170" t="n">
        <v>0</v>
      </c>
      <c r="K170" t="n">
        <v>0</v>
      </c>
      <c r="L170" t="n">
        <v>0</v>
      </c>
      <c r="M170" t="n">
        <v>0</v>
      </c>
      <c r="N170" t="n">
        <v>0</v>
      </c>
      <c r="O170" t="n">
        <v>0</v>
      </c>
      <c r="P170" t="n">
        <v>0</v>
      </c>
      <c r="Q170" t="n">
        <v>0</v>
      </c>
      <c r="R170" s="2" t="inlineStr"/>
    </row>
    <row r="171" ht="15" customHeight="1">
      <c r="A171" t="inlineStr">
        <is>
          <t>A 21686-2022</t>
        </is>
      </c>
      <c r="B171" s="1" t="n">
        <v>44707</v>
      </c>
      <c r="C171" s="1" t="n">
        <v>45916</v>
      </c>
      <c r="D171" t="inlineStr">
        <is>
          <t>UPPSALA LÄN</t>
        </is>
      </c>
      <c r="E171" t="inlineStr">
        <is>
          <t>ENKÖPING</t>
        </is>
      </c>
      <c r="G171" t="n">
        <v>2.2</v>
      </c>
      <c r="H171" t="n">
        <v>0</v>
      </c>
      <c r="I171" t="n">
        <v>0</v>
      </c>
      <c r="J171" t="n">
        <v>0</v>
      </c>
      <c r="K171" t="n">
        <v>0</v>
      </c>
      <c r="L171" t="n">
        <v>0</v>
      </c>
      <c r="M171" t="n">
        <v>0</v>
      </c>
      <c r="N171" t="n">
        <v>0</v>
      </c>
      <c r="O171" t="n">
        <v>0</v>
      </c>
      <c r="P171" t="n">
        <v>0</v>
      </c>
      <c r="Q171" t="n">
        <v>0</v>
      </c>
      <c r="R171" s="2" t="inlineStr"/>
    </row>
    <row r="172" ht="15" customHeight="1">
      <c r="A172" t="inlineStr">
        <is>
          <t>A 9957-2023</t>
        </is>
      </c>
      <c r="B172" s="1" t="n">
        <v>44978</v>
      </c>
      <c r="C172" s="1" t="n">
        <v>45916</v>
      </c>
      <c r="D172" t="inlineStr">
        <is>
          <t>UPPSALA LÄN</t>
        </is>
      </c>
      <c r="E172" t="inlineStr">
        <is>
          <t>ENKÖPING</t>
        </is>
      </c>
      <c r="G172" t="n">
        <v>5.9</v>
      </c>
      <c r="H172" t="n">
        <v>0</v>
      </c>
      <c r="I172" t="n">
        <v>0</v>
      </c>
      <c r="J172" t="n">
        <v>0</v>
      </c>
      <c r="K172" t="n">
        <v>0</v>
      </c>
      <c r="L172" t="n">
        <v>0</v>
      </c>
      <c r="M172" t="n">
        <v>0</v>
      </c>
      <c r="N172" t="n">
        <v>0</v>
      </c>
      <c r="O172" t="n">
        <v>0</v>
      </c>
      <c r="P172" t="n">
        <v>0</v>
      </c>
      <c r="Q172" t="n">
        <v>0</v>
      </c>
      <c r="R172" s="2" t="inlineStr"/>
    </row>
    <row r="173" ht="15" customHeight="1">
      <c r="A173" t="inlineStr">
        <is>
          <t>A 18831-2023</t>
        </is>
      </c>
      <c r="B173" s="1" t="n">
        <v>45044.40798611111</v>
      </c>
      <c r="C173" s="1" t="n">
        <v>45916</v>
      </c>
      <c r="D173" t="inlineStr">
        <is>
          <t>UPPSALA LÄN</t>
        </is>
      </c>
      <c r="E173" t="inlineStr">
        <is>
          <t>ENKÖPING</t>
        </is>
      </c>
      <c r="G173" t="n">
        <v>4.3</v>
      </c>
      <c r="H173" t="n">
        <v>0</v>
      </c>
      <c r="I173" t="n">
        <v>0</v>
      </c>
      <c r="J173" t="n">
        <v>0</v>
      </c>
      <c r="K173" t="n">
        <v>0</v>
      </c>
      <c r="L173" t="n">
        <v>0</v>
      </c>
      <c r="M173" t="n">
        <v>0</v>
      </c>
      <c r="N173" t="n">
        <v>0</v>
      </c>
      <c r="O173" t="n">
        <v>0</v>
      </c>
      <c r="P173" t="n">
        <v>0</v>
      </c>
      <c r="Q173" t="n">
        <v>0</v>
      </c>
      <c r="R173" s="2" t="inlineStr"/>
    </row>
    <row r="174" ht="15" customHeight="1">
      <c r="A174" t="inlineStr">
        <is>
          <t>A 46593-2020</t>
        </is>
      </c>
      <c r="B174" s="1" t="n">
        <v>44095</v>
      </c>
      <c r="C174" s="1" t="n">
        <v>45916</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63402-2023</t>
        </is>
      </c>
      <c r="B175" s="1" t="n">
        <v>45274.50646990741</v>
      </c>
      <c r="C175" s="1" t="n">
        <v>45916</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16916-2023</t>
        </is>
      </c>
      <c r="B176" s="1" t="n">
        <v>45033.58347222222</v>
      </c>
      <c r="C176" s="1" t="n">
        <v>45916</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50006-2023</t>
        </is>
      </c>
      <c r="B177" s="1" t="n">
        <v>45215</v>
      </c>
      <c r="C177" s="1" t="n">
        <v>45916</v>
      </c>
      <c r="D177" t="inlineStr">
        <is>
          <t>UPPSALA LÄN</t>
        </is>
      </c>
      <c r="E177" t="inlineStr">
        <is>
          <t>ENKÖPING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56886-2023</t>
        </is>
      </c>
      <c r="B178" s="1" t="n">
        <v>45239</v>
      </c>
      <c r="C178" s="1" t="n">
        <v>45916</v>
      </c>
      <c r="D178" t="inlineStr">
        <is>
          <t>UPPSALA LÄN</t>
        </is>
      </c>
      <c r="E178" t="inlineStr">
        <is>
          <t>ENKÖPING</t>
        </is>
      </c>
      <c r="G178" t="n">
        <v>2</v>
      </c>
      <c r="H178" t="n">
        <v>0</v>
      </c>
      <c r="I178" t="n">
        <v>0</v>
      </c>
      <c r="J178" t="n">
        <v>0</v>
      </c>
      <c r="K178" t="n">
        <v>0</v>
      </c>
      <c r="L178" t="n">
        <v>0</v>
      </c>
      <c r="M178" t="n">
        <v>0</v>
      </c>
      <c r="N178" t="n">
        <v>0</v>
      </c>
      <c r="O178" t="n">
        <v>0</v>
      </c>
      <c r="P178" t="n">
        <v>0</v>
      </c>
      <c r="Q178" t="n">
        <v>0</v>
      </c>
      <c r="R178" s="2" t="inlineStr"/>
    </row>
    <row r="179" ht="15" customHeight="1">
      <c r="A179" t="inlineStr">
        <is>
          <t>A 6172-2023</t>
        </is>
      </c>
      <c r="B179" s="1" t="n">
        <v>44964.68663194445</v>
      </c>
      <c r="C179" s="1" t="n">
        <v>45916</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14402-2023</t>
        </is>
      </c>
      <c r="B180" s="1" t="n">
        <v>45012</v>
      </c>
      <c r="C180" s="1" t="n">
        <v>45916</v>
      </c>
      <c r="D180" t="inlineStr">
        <is>
          <t>UPPSALA LÄN</t>
        </is>
      </c>
      <c r="E180" t="inlineStr">
        <is>
          <t>ENKÖPING</t>
        </is>
      </c>
      <c r="G180" t="n">
        <v>9.5</v>
      </c>
      <c r="H180" t="n">
        <v>0</v>
      </c>
      <c r="I180" t="n">
        <v>0</v>
      </c>
      <c r="J180" t="n">
        <v>0</v>
      </c>
      <c r="K180" t="n">
        <v>0</v>
      </c>
      <c r="L180" t="n">
        <v>0</v>
      </c>
      <c r="M180" t="n">
        <v>0</v>
      </c>
      <c r="N180" t="n">
        <v>0</v>
      </c>
      <c r="O180" t="n">
        <v>0</v>
      </c>
      <c r="P180" t="n">
        <v>0</v>
      </c>
      <c r="Q180" t="n">
        <v>0</v>
      </c>
      <c r="R180" s="2" t="inlineStr"/>
    </row>
    <row r="181" ht="15" customHeight="1">
      <c r="A181" t="inlineStr">
        <is>
          <t>A 58092-2024</t>
        </is>
      </c>
      <c r="B181" s="1" t="n">
        <v>45632</v>
      </c>
      <c r="C181" s="1" t="n">
        <v>45916</v>
      </c>
      <c r="D181" t="inlineStr">
        <is>
          <t>UPPSALA LÄN</t>
        </is>
      </c>
      <c r="E181" t="inlineStr">
        <is>
          <t>ENKÖPING</t>
        </is>
      </c>
      <c r="G181" t="n">
        <v>4.8</v>
      </c>
      <c r="H181" t="n">
        <v>0</v>
      </c>
      <c r="I181" t="n">
        <v>0</v>
      </c>
      <c r="J181" t="n">
        <v>0</v>
      </c>
      <c r="K181" t="n">
        <v>0</v>
      </c>
      <c r="L181" t="n">
        <v>0</v>
      </c>
      <c r="M181" t="n">
        <v>0</v>
      </c>
      <c r="N181" t="n">
        <v>0</v>
      </c>
      <c r="O181" t="n">
        <v>0</v>
      </c>
      <c r="P181" t="n">
        <v>0</v>
      </c>
      <c r="Q181" t="n">
        <v>0</v>
      </c>
      <c r="R181" s="2" t="inlineStr"/>
    </row>
    <row r="182" ht="15" customHeight="1">
      <c r="A182" t="inlineStr">
        <is>
          <t>A 56526-2022</t>
        </is>
      </c>
      <c r="B182" s="1" t="n">
        <v>44893</v>
      </c>
      <c r="C182" s="1" t="n">
        <v>45916</v>
      </c>
      <c r="D182" t="inlineStr">
        <is>
          <t>UPPSALA LÄN</t>
        </is>
      </c>
      <c r="E182" t="inlineStr">
        <is>
          <t>ENKÖPING</t>
        </is>
      </c>
      <c r="G182" t="n">
        <v>3.8</v>
      </c>
      <c r="H182" t="n">
        <v>0</v>
      </c>
      <c r="I182" t="n">
        <v>0</v>
      </c>
      <c r="J182" t="n">
        <v>0</v>
      </c>
      <c r="K182" t="n">
        <v>0</v>
      </c>
      <c r="L182" t="n">
        <v>0</v>
      </c>
      <c r="M182" t="n">
        <v>0</v>
      </c>
      <c r="N182" t="n">
        <v>0</v>
      </c>
      <c r="O182" t="n">
        <v>0</v>
      </c>
      <c r="P182" t="n">
        <v>0</v>
      </c>
      <c r="Q182" t="n">
        <v>0</v>
      </c>
      <c r="R182" s="2" t="inlineStr"/>
    </row>
    <row r="183" ht="15" customHeight="1">
      <c r="A183" t="inlineStr">
        <is>
          <t>A 39858-2024</t>
        </is>
      </c>
      <c r="B183" s="1" t="n">
        <v>45553</v>
      </c>
      <c r="C183" s="1" t="n">
        <v>45916</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60289-2022</t>
        </is>
      </c>
      <c r="B184" s="1" t="n">
        <v>44910.53026620371</v>
      </c>
      <c r="C184" s="1" t="n">
        <v>45916</v>
      </c>
      <c r="D184" t="inlineStr">
        <is>
          <t>UPPSALA LÄN</t>
        </is>
      </c>
      <c r="E184" t="inlineStr">
        <is>
          <t>ENKÖPING</t>
        </is>
      </c>
      <c r="G184" t="n">
        <v>3.2</v>
      </c>
      <c r="H184" t="n">
        <v>0</v>
      </c>
      <c r="I184" t="n">
        <v>0</v>
      </c>
      <c r="J184" t="n">
        <v>0</v>
      </c>
      <c r="K184" t="n">
        <v>0</v>
      </c>
      <c r="L184" t="n">
        <v>0</v>
      </c>
      <c r="M184" t="n">
        <v>0</v>
      </c>
      <c r="N184" t="n">
        <v>0</v>
      </c>
      <c r="O184" t="n">
        <v>0</v>
      </c>
      <c r="P184" t="n">
        <v>0</v>
      </c>
      <c r="Q184" t="n">
        <v>0</v>
      </c>
      <c r="R184" s="2" t="inlineStr"/>
    </row>
    <row r="185" ht="15" customHeight="1">
      <c r="A185" t="inlineStr">
        <is>
          <t>A 13110-2023</t>
        </is>
      </c>
      <c r="B185" s="1" t="n">
        <v>45001</v>
      </c>
      <c r="C185" s="1" t="n">
        <v>45916</v>
      </c>
      <c r="D185" t="inlineStr">
        <is>
          <t>UPPSALA LÄN</t>
        </is>
      </c>
      <c r="E185" t="inlineStr">
        <is>
          <t>ENKÖPING</t>
        </is>
      </c>
      <c r="G185" t="n">
        <v>2.5</v>
      </c>
      <c r="H185" t="n">
        <v>0</v>
      </c>
      <c r="I185" t="n">
        <v>0</v>
      </c>
      <c r="J185" t="n">
        <v>0</v>
      </c>
      <c r="K185" t="n">
        <v>0</v>
      </c>
      <c r="L185" t="n">
        <v>0</v>
      </c>
      <c r="M185" t="n">
        <v>0</v>
      </c>
      <c r="N185" t="n">
        <v>0</v>
      </c>
      <c r="O185" t="n">
        <v>0</v>
      </c>
      <c r="P185" t="n">
        <v>0</v>
      </c>
      <c r="Q185" t="n">
        <v>0</v>
      </c>
      <c r="R185" s="2" t="inlineStr"/>
    </row>
    <row r="186" ht="15" customHeight="1">
      <c r="A186" t="inlineStr">
        <is>
          <t>A 58384-2022</t>
        </is>
      </c>
      <c r="B186" s="1" t="n">
        <v>44901</v>
      </c>
      <c r="C186" s="1" t="n">
        <v>45916</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27983-2024</t>
        </is>
      </c>
      <c r="B187" s="1" t="n">
        <v>45476</v>
      </c>
      <c r="C187" s="1" t="n">
        <v>45916</v>
      </c>
      <c r="D187" t="inlineStr">
        <is>
          <t>UPPSALA LÄN</t>
        </is>
      </c>
      <c r="E187" t="inlineStr">
        <is>
          <t>ENKÖPING</t>
        </is>
      </c>
      <c r="G187" t="n">
        <v>3.2</v>
      </c>
      <c r="H187" t="n">
        <v>0</v>
      </c>
      <c r="I187" t="n">
        <v>0</v>
      </c>
      <c r="J187" t="n">
        <v>0</v>
      </c>
      <c r="K187" t="n">
        <v>0</v>
      </c>
      <c r="L187" t="n">
        <v>0</v>
      </c>
      <c r="M187" t="n">
        <v>0</v>
      </c>
      <c r="N187" t="n">
        <v>0</v>
      </c>
      <c r="O187" t="n">
        <v>0</v>
      </c>
      <c r="P187" t="n">
        <v>0</v>
      </c>
      <c r="Q187" t="n">
        <v>0</v>
      </c>
      <c r="R187" s="2" t="inlineStr"/>
    </row>
    <row r="188" ht="15" customHeight="1">
      <c r="A188" t="inlineStr">
        <is>
          <t>A 59602-2022</t>
        </is>
      </c>
      <c r="B188" s="1" t="n">
        <v>44907.72241898148</v>
      </c>
      <c r="C188" s="1" t="n">
        <v>45916</v>
      </c>
      <c r="D188" t="inlineStr">
        <is>
          <t>UPPSALA LÄN</t>
        </is>
      </c>
      <c r="E188" t="inlineStr">
        <is>
          <t>ENKÖPING</t>
        </is>
      </c>
      <c r="G188" t="n">
        <v>14.2</v>
      </c>
      <c r="H188" t="n">
        <v>0</v>
      </c>
      <c r="I188" t="n">
        <v>0</v>
      </c>
      <c r="J188" t="n">
        <v>0</v>
      </c>
      <c r="K188" t="n">
        <v>0</v>
      </c>
      <c r="L188" t="n">
        <v>0</v>
      </c>
      <c r="M188" t="n">
        <v>0</v>
      </c>
      <c r="N188" t="n">
        <v>0</v>
      </c>
      <c r="O188" t="n">
        <v>0</v>
      </c>
      <c r="P188" t="n">
        <v>0</v>
      </c>
      <c r="Q188" t="n">
        <v>0</v>
      </c>
      <c r="R188" s="2" t="inlineStr"/>
    </row>
    <row r="189" ht="15" customHeight="1">
      <c r="A189" t="inlineStr">
        <is>
          <t>A 26017-2025</t>
        </is>
      </c>
      <c r="B189" s="1" t="n">
        <v>45804</v>
      </c>
      <c r="C189" s="1" t="n">
        <v>45916</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26024-2025</t>
        </is>
      </c>
      <c r="B190" s="1" t="n">
        <v>45804.6831712963</v>
      </c>
      <c r="C190" s="1" t="n">
        <v>45916</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26042-2025</t>
        </is>
      </c>
      <c r="B191" s="1" t="n">
        <v>45804.70018518518</v>
      </c>
      <c r="C191" s="1" t="n">
        <v>45916</v>
      </c>
      <c r="D191" t="inlineStr">
        <is>
          <t>UPPSALA LÄN</t>
        </is>
      </c>
      <c r="E191" t="inlineStr">
        <is>
          <t>ENKÖPING</t>
        </is>
      </c>
      <c r="G191" t="n">
        <v>1.2</v>
      </c>
      <c r="H191" t="n">
        <v>0</v>
      </c>
      <c r="I191" t="n">
        <v>0</v>
      </c>
      <c r="J191" t="n">
        <v>0</v>
      </c>
      <c r="K191" t="n">
        <v>0</v>
      </c>
      <c r="L191" t="n">
        <v>0</v>
      </c>
      <c r="M191" t="n">
        <v>0</v>
      </c>
      <c r="N191" t="n">
        <v>0</v>
      </c>
      <c r="O191" t="n">
        <v>0</v>
      </c>
      <c r="P191" t="n">
        <v>0</v>
      </c>
      <c r="Q191" t="n">
        <v>0</v>
      </c>
      <c r="R191" s="2" t="inlineStr"/>
    </row>
    <row r="192" ht="15" customHeight="1">
      <c r="A192" t="inlineStr">
        <is>
          <t>A 26005-2025</t>
        </is>
      </c>
      <c r="B192" s="1" t="n">
        <v>45804.67055555555</v>
      </c>
      <c r="C192" s="1" t="n">
        <v>45916</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26026-2025</t>
        </is>
      </c>
      <c r="B193" s="1" t="n">
        <v>45804.68510416667</v>
      </c>
      <c r="C193" s="1" t="n">
        <v>45916</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26030-2025</t>
        </is>
      </c>
      <c r="B194" s="1" t="n">
        <v>45804.68815972222</v>
      </c>
      <c r="C194" s="1" t="n">
        <v>45916</v>
      </c>
      <c r="D194" t="inlineStr">
        <is>
          <t>UPPSALA LÄN</t>
        </is>
      </c>
      <c r="E194" t="inlineStr">
        <is>
          <t>ENKÖPING</t>
        </is>
      </c>
      <c r="G194" t="n">
        <v>0.3</v>
      </c>
      <c r="H194" t="n">
        <v>0</v>
      </c>
      <c r="I194" t="n">
        <v>0</v>
      </c>
      <c r="J194" t="n">
        <v>0</v>
      </c>
      <c r="K194" t="n">
        <v>0</v>
      </c>
      <c r="L194" t="n">
        <v>0</v>
      </c>
      <c r="M194" t="n">
        <v>0</v>
      </c>
      <c r="N194" t="n">
        <v>0</v>
      </c>
      <c r="O194" t="n">
        <v>0</v>
      </c>
      <c r="P194" t="n">
        <v>0</v>
      </c>
      <c r="Q194" t="n">
        <v>0</v>
      </c>
      <c r="R194" s="2" t="inlineStr"/>
    </row>
    <row r="195" ht="15" customHeight="1">
      <c r="A195" t="inlineStr">
        <is>
          <t>A 26022-2025</t>
        </is>
      </c>
      <c r="B195" s="1" t="n">
        <v>45804.68006944445</v>
      </c>
      <c r="C195" s="1" t="n">
        <v>45916</v>
      </c>
      <c r="D195" t="inlineStr">
        <is>
          <t>UPPSALA LÄN</t>
        </is>
      </c>
      <c r="E195" t="inlineStr">
        <is>
          <t>ENKÖPING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25988-2025</t>
        </is>
      </c>
      <c r="B196" s="1" t="n">
        <v>45804.64814814815</v>
      </c>
      <c r="C196" s="1" t="n">
        <v>45916</v>
      </c>
      <c r="D196" t="inlineStr">
        <is>
          <t>UPPSALA LÄN</t>
        </is>
      </c>
      <c r="E196" t="inlineStr">
        <is>
          <t>ENKÖPING</t>
        </is>
      </c>
      <c r="G196" t="n">
        <v>4.7</v>
      </c>
      <c r="H196" t="n">
        <v>0</v>
      </c>
      <c r="I196" t="n">
        <v>0</v>
      </c>
      <c r="J196" t="n">
        <v>0</v>
      </c>
      <c r="K196" t="n">
        <v>0</v>
      </c>
      <c r="L196" t="n">
        <v>0</v>
      </c>
      <c r="M196" t="n">
        <v>0</v>
      </c>
      <c r="N196" t="n">
        <v>0</v>
      </c>
      <c r="O196" t="n">
        <v>0</v>
      </c>
      <c r="P196" t="n">
        <v>0</v>
      </c>
      <c r="Q196" t="n">
        <v>0</v>
      </c>
      <c r="R196" s="2" t="inlineStr"/>
    </row>
    <row r="197" ht="15" customHeight="1">
      <c r="A197" t="inlineStr">
        <is>
          <t>A 26031-2025</t>
        </is>
      </c>
      <c r="B197" s="1" t="n">
        <v>45804.69050925926</v>
      </c>
      <c r="C197" s="1" t="n">
        <v>45916</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26011-2025</t>
        </is>
      </c>
      <c r="B198" s="1" t="n">
        <v>45804.67412037037</v>
      </c>
      <c r="C198" s="1" t="n">
        <v>45916</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19298-2023</t>
        </is>
      </c>
      <c r="B199" s="1" t="n">
        <v>45048</v>
      </c>
      <c r="C199" s="1" t="n">
        <v>45916</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31965-2021</t>
        </is>
      </c>
      <c r="B200" s="1" t="n">
        <v>44370.56901620371</v>
      </c>
      <c r="C200" s="1" t="n">
        <v>45916</v>
      </c>
      <c r="D200" t="inlineStr">
        <is>
          <t>UPPSALA LÄN</t>
        </is>
      </c>
      <c r="E200" t="inlineStr">
        <is>
          <t>ENKÖPING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6147-2021</t>
        </is>
      </c>
      <c r="B201" s="1" t="n">
        <v>44232</v>
      </c>
      <c r="C201" s="1" t="n">
        <v>45916</v>
      </c>
      <c r="D201" t="inlineStr">
        <is>
          <t>UPPSALA LÄN</t>
        </is>
      </c>
      <c r="E201" t="inlineStr">
        <is>
          <t>ENKÖPING</t>
        </is>
      </c>
      <c r="G201" t="n">
        <v>1.6</v>
      </c>
      <c r="H201" t="n">
        <v>0</v>
      </c>
      <c r="I201" t="n">
        <v>0</v>
      </c>
      <c r="J201" t="n">
        <v>0</v>
      </c>
      <c r="K201" t="n">
        <v>0</v>
      </c>
      <c r="L201" t="n">
        <v>0</v>
      </c>
      <c r="M201" t="n">
        <v>0</v>
      </c>
      <c r="N201" t="n">
        <v>0</v>
      </c>
      <c r="O201" t="n">
        <v>0</v>
      </c>
      <c r="P201" t="n">
        <v>0</v>
      </c>
      <c r="Q201" t="n">
        <v>0</v>
      </c>
      <c r="R201" s="2" t="inlineStr"/>
    </row>
    <row r="202" ht="15" customHeight="1">
      <c r="A202" t="inlineStr">
        <is>
          <t>A 26041-2025</t>
        </is>
      </c>
      <c r="B202" s="1" t="n">
        <v>45804.69883101852</v>
      </c>
      <c r="C202" s="1" t="n">
        <v>45916</v>
      </c>
      <c r="D202" t="inlineStr">
        <is>
          <t>UPPSALA LÄN</t>
        </is>
      </c>
      <c r="E202" t="inlineStr">
        <is>
          <t>ENKÖPING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25990-2025</t>
        </is>
      </c>
      <c r="B203" s="1" t="n">
        <v>45804.65229166667</v>
      </c>
      <c r="C203" s="1" t="n">
        <v>45916</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67984-2021</t>
        </is>
      </c>
      <c r="B204" s="1" t="n">
        <v>44525.70237268518</v>
      </c>
      <c r="C204" s="1" t="n">
        <v>45916</v>
      </c>
      <c r="D204" t="inlineStr">
        <is>
          <t>UPPSALA LÄN</t>
        </is>
      </c>
      <c r="E204" t="inlineStr">
        <is>
          <t>ENKÖPING</t>
        </is>
      </c>
      <c r="G204" t="n">
        <v>1.4</v>
      </c>
      <c r="H204" t="n">
        <v>0</v>
      </c>
      <c r="I204" t="n">
        <v>0</v>
      </c>
      <c r="J204" t="n">
        <v>0</v>
      </c>
      <c r="K204" t="n">
        <v>0</v>
      </c>
      <c r="L204" t="n">
        <v>0</v>
      </c>
      <c r="M204" t="n">
        <v>0</v>
      </c>
      <c r="N204" t="n">
        <v>0</v>
      </c>
      <c r="O204" t="n">
        <v>0</v>
      </c>
      <c r="P204" t="n">
        <v>0</v>
      </c>
      <c r="Q204" t="n">
        <v>0</v>
      </c>
      <c r="R204" s="2" t="inlineStr"/>
    </row>
    <row r="205" ht="15" customHeight="1">
      <c r="A205" t="inlineStr">
        <is>
          <t>A 25847-2025</t>
        </is>
      </c>
      <c r="B205" s="1" t="n">
        <v>45804</v>
      </c>
      <c r="C205" s="1" t="n">
        <v>45916</v>
      </c>
      <c r="D205" t="inlineStr">
        <is>
          <t>UPPSALA LÄN</t>
        </is>
      </c>
      <c r="E205" t="inlineStr">
        <is>
          <t>ENKÖPING</t>
        </is>
      </c>
      <c r="G205" t="n">
        <v>3.6</v>
      </c>
      <c r="H205" t="n">
        <v>0</v>
      </c>
      <c r="I205" t="n">
        <v>0</v>
      </c>
      <c r="J205" t="n">
        <v>0</v>
      </c>
      <c r="K205" t="n">
        <v>0</v>
      </c>
      <c r="L205" t="n">
        <v>0</v>
      </c>
      <c r="M205" t="n">
        <v>0</v>
      </c>
      <c r="N205" t="n">
        <v>0</v>
      </c>
      <c r="O205" t="n">
        <v>0</v>
      </c>
      <c r="P205" t="n">
        <v>0</v>
      </c>
      <c r="Q205" t="n">
        <v>0</v>
      </c>
      <c r="R205" s="2" t="inlineStr"/>
    </row>
    <row r="206" ht="15" customHeight="1">
      <c r="A206" t="inlineStr">
        <is>
          <t>A 26047-2025</t>
        </is>
      </c>
      <c r="B206" s="1" t="n">
        <v>45804.70835648148</v>
      </c>
      <c r="C206" s="1" t="n">
        <v>45916</v>
      </c>
      <c r="D206" t="inlineStr">
        <is>
          <t>UPPSALA LÄN</t>
        </is>
      </c>
      <c r="E206" t="inlineStr">
        <is>
          <t>ENKÖPING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15939-2022</t>
        </is>
      </c>
      <c r="B207" s="1" t="n">
        <v>44664</v>
      </c>
      <c r="C207" s="1" t="n">
        <v>45916</v>
      </c>
      <c r="D207" t="inlineStr">
        <is>
          <t>UPPSALA LÄN</t>
        </is>
      </c>
      <c r="E207" t="inlineStr">
        <is>
          <t>ENKÖPING</t>
        </is>
      </c>
      <c r="G207" t="n">
        <v>2</v>
      </c>
      <c r="H207" t="n">
        <v>0</v>
      </c>
      <c r="I207" t="n">
        <v>0</v>
      </c>
      <c r="J207" t="n">
        <v>0</v>
      </c>
      <c r="K207" t="n">
        <v>0</v>
      </c>
      <c r="L207" t="n">
        <v>0</v>
      </c>
      <c r="M207" t="n">
        <v>0</v>
      </c>
      <c r="N207" t="n">
        <v>0</v>
      </c>
      <c r="O207" t="n">
        <v>0</v>
      </c>
      <c r="P207" t="n">
        <v>0</v>
      </c>
      <c r="Q207" t="n">
        <v>0</v>
      </c>
      <c r="R207" s="2" t="inlineStr"/>
    </row>
    <row r="208" ht="15" customHeight="1">
      <c r="A208" t="inlineStr">
        <is>
          <t>A 57153-2021</t>
        </is>
      </c>
      <c r="B208" s="1" t="n">
        <v>44482</v>
      </c>
      <c r="C208" s="1" t="n">
        <v>45916</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58062-2020</t>
        </is>
      </c>
      <c r="B209" s="1" t="n">
        <v>44144</v>
      </c>
      <c r="C209" s="1" t="n">
        <v>45916</v>
      </c>
      <c r="D209" t="inlineStr">
        <is>
          <t>UPPSALA LÄN</t>
        </is>
      </c>
      <c r="E209" t="inlineStr">
        <is>
          <t>ENKÖPING</t>
        </is>
      </c>
      <c r="G209" t="n">
        <v>2.3</v>
      </c>
      <c r="H209" t="n">
        <v>0</v>
      </c>
      <c r="I209" t="n">
        <v>0</v>
      </c>
      <c r="J209" t="n">
        <v>0</v>
      </c>
      <c r="K209" t="n">
        <v>0</v>
      </c>
      <c r="L209" t="n">
        <v>0</v>
      </c>
      <c r="M209" t="n">
        <v>0</v>
      </c>
      <c r="N209" t="n">
        <v>0</v>
      </c>
      <c r="O209" t="n">
        <v>0</v>
      </c>
      <c r="P209" t="n">
        <v>0</v>
      </c>
      <c r="Q209" t="n">
        <v>0</v>
      </c>
      <c r="R209" s="2" t="inlineStr"/>
    </row>
    <row r="210" ht="15" customHeight="1">
      <c r="A210" t="inlineStr">
        <is>
          <t>A 33619-2022</t>
        </is>
      </c>
      <c r="B210" s="1" t="n">
        <v>44789</v>
      </c>
      <c r="C210" s="1" t="n">
        <v>45916</v>
      </c>
      <c r="D210" t="inlineStr">
        <is>
          <t>UPPSALA LÄN</t>
        </is>
      </c>
      <c r="E210" t="inlineStr">
        <is>
          <t>ENKÖPING</t>
        </is>
      </c>
      <c r="F210" t="inlineStr">
        <is>
          <t>Allmännings- och besparingsskogar</t>
        </is>
      </c>
      <c r="G210" t="n">
        <v>4.5</v>
      </c>
      <c r="H210" t="n">
        <v>0</v>
      </c>
      <c r="I210" t="n">
        <v>0</v>
      </c>
      <c r="J210" t="n">
        <v>0</v>
      </c>
      <c r="K210" t="n">
        <v>0</v>
      </c>
      <c r="L210" t="n">
        <v>0</v>
      </c>
      <c r="M210" t="n">
        <v>0</v>
      </c>
      <c r="N210" t="n">
        <v>0</v>
      </c>
      <c r="O210" t="n">
        <v>0</v>
      </c>
      <c r="P210" t="n">
        <v>0</v>
      </c>
      <c r="Q210" t="n">
        <v>0</v>
      </c>
      <c r="R210" s="2" t="inlineStr"/>
    </row>
    <row r="211" ht="15" customHeight="1">
      <c r="A211" t="inlineStr">
        <is>
          <t>A 43697-2024</t>
        </is>
      </c>
      <c r="B211" s="1" t="n">
        <v>45569</v>
      </c>
      <c r="C211" s="1" t="n">
        <v>45916</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18592-2021</t>
        </is>
      </c>
      <c r="B212" s="1" t="n">
        <v>44306</v>
      </c>
      <c r="C212" s="1" t="n">
        <v>45916</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6356-2022</t>
        </is>
      </c>
      <c r="B213" s="1" t="n">
        <v>44600</v>
      </c>
      <c r="C213" s="1" t="n">
        <v>45916</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53343-2020</t>
        </is>
      </c>
      <c r="B214" s="1" t="n">
        <v>44123.53505787037</v>
      </c>
      <c r="C214" s="1" t="n">
        <v>45916</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45283-2022</t>
        </is>
      </c>
      <c r="B215" s="1" t="n">
        <v>44844</v>
      </c>
      <c r="C215" s="1" t="n">
        <v>45916</v>
      </c>
      <c r="D215" t="inlineStr">
        <is>
          <t>UPPSALA LÄN</t>
        </is>
      </c>
      <c r="E215" t="inlineStr">
        <is>
          <t>ENKÖPING</t>
        </is>
      </c>
      <c r="G215" t="n">
        <v>5.9</v>
      </c>
      <c r="H215" t="n">
        <v>0</v>
      </c>
      <c r="I215" t="n">
        <v>0</v>
      </c>
      <c r="J215" t="n">
        <v>0</v>
      </c>
      <c r="K215" t="n">
        <v>0</v>
      </c>
      <c r="L215" t="n">
        <v>0</v>
      </c>
      <c r="M215" t="n">
        <v>0</v>
      </c>
      <c r="N215" t="n">
        <v>0</v>
      </c>
      <c r="O215" t="n">
        <v>0</v>
      </c>
      <c r="P215" t="n">
        <v>0</v>
      </c>
      <c r="Q215" t="n">
        <v>0</v>
      </c>
      <c r="R215" s="2" t="inlineStr"/>
    </row>
    <row r="216" ht="15" customHeight="1">
      <c r="A216" t="inlineStr">
        <is>
          <t>A 35067-2024</t>
        </is>
      </c>
      <c r="B216" s="1" t="n">
        <v>45527.66153935185</v>
      </c>
      <c r="C216" s="1" t="n">
        <v>45916</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10829-2024</t>
        </is>
      </c>
      <c r="B217" s="1" t="n">
        <v>45369</v>
      </c>
      <c r="C217" s="1" t="n">
        <v>45916</v>
      </c>
      <c r="D217" t="inlineStr">
        <is>
          <t>UPPSALA LÄN</t>
        </is>
      </c>
      <c r="E217" t="inlineStr">
        <is>
          <t>ENKÖPING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41826-2024</t>
        </is>
      </c>
      <c r="B218" s="1" t="n">
        <v>45561</v>
      </c>
      <c r="C218" s="1" t="n">
        <v>45916</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67982-2021</t>
        </is>
      </c>
      <c r="B219" s="1" t="n">
        <v>44525</v>
      </c>
      <c r="C219" s="1" t="n">
        <v>45916</v>
      </c>
      <c r="D219" t="inlineStr">
        <is>
          <t>UPPSALA LÄN</t>
        </is>
      </c>
      <c r="E219" t="inlineStr">
        <is>
          <t>ENKÖPING</t>
        </is>
      </c>
      <c r="G219" t="n">
        <v>1.7</v>
      </c>
      <c r="H219" t="n">
        <v>0</v>
      </c>
      <c r="I219" t="n">
        <v>0</v>
      </c>
      <c r="J219" t="n">
        <v>0</v>
      </c>
      <c r="K219" t="n">
        <v>0</v>
      </c>
      <c r="L219" t="n">
        <v>0</v>
      </c>
      <c r="M219" t="n">
        <v>0</v>
      </c>
      <c r="N219" t="n">
        <v>0</v>
      </c>
      <c r="O219" t="n">
        <v>0</v>
      </c>
      <c r="P219" t="n">
        <v>0</v>
      </c>
      <c r="Q219" t="n">
        <v>0</v>
      </c>
      <c r="R219" s="2" t="inlineStr"/>
    </row>
    <row r="220" ht="15" customHeight="1">
      <c r="A220" t="inlineStr">
        <is>
          <t>A 13816-2021</t>
        </is>
      </c>
      <c r="B220" s="1" t="n">
        <v>44276</v>
      </c>
      <c r="C220" s="1" t="n">
        <v>45916</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51034-2024</t>
        </is>
      </c>
      <c r="B221" s="1" t="n">
        <v>45603.4262037037</v>
      </c>
      <c r="C221" s="1" t="n">
        <v>45916</v>
      </c>
      <c r="D221" t="inlineStr">
        <is>
          <t>UPPSALA LÄN</t>
        </is>
      </c>
      <c r="E221" t="inlineStr">
        <is>
          <t>ENKÖPING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42589-2022</t>
        </is>
      </c>
      <c r="B222" s="1" t="n">
        <v>44831</v>
      </c>
      <c r="C222" s="1" t="n">
        <v>45916</v>
      </c>
      <c r="D222" t="inlineStr">
        <is>
          <t>UPPSALA LÄN</t>
        </is>
      </c>
      <c r="E222" t="inlineStr">
        <is>
          <t>ENKÖPING</t>
        </is>
      </c>
      <c r="G222" t="n">
        <v>20</v>
      </c>
      <c r="H222" t="n">
        <v>0</v>
      </c>
      <c r="I222" t="n">
        <v>0</v>
      </c>
      <c r="J222" t="n">
        <v>0</v>
      </c>
      <c r="K222" t="n">
        <v>0</v>
      </c>
      <c r="L222" t="n">
        <v>0</v>
      </c>
      <c r="M222" t="n">
        <v>0</v>
      </c>
      <c r="N222" t="n">
        <v>0</v>
      </c>
      <c r="O222" t="n">
        <v>0</v>
      </c>
      <c r="P222" t="n">
        <v>0</v>
      </c>
      <c r="Q222" t="n">
        <v>0</v>
      </c>
      <c r="R222" s="2" t="inlineStr"/>
    </row>
    <row r="223" ht="15" customHeight="1">
      <c r="A223" t="inlineStr">
        <is>
          <t>A 51036-2024</t>
        </is>
      </c>
      <c r="B223" s="1" t="n">
        <v>45603.42839120371</v>
      </c>
      <c r="C223" s="1" t="n">
        <v>45916</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840-2025</t>
        </is>
      </c>
      <c r="B224" s="1" t="n">
        <v>45665</v>
      </c>
      <c r="C224" s="1" t="n">
        <v>45916</v>
      </c>
      <c r="D224" t="inlineStr">
        <is>
          <t>UPPSALA LÄN</t>
        </is>
      </c>
      <c r="E224" t="inlineStr">
        <is>
          <t>ENKÖPING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55876-2024</t>
        </is>
      </c>
      <c r="B225" s="1" t="n">
        <v>45623.5546412037</v>
      </c>
      <c r="C225" s="1" t="n">
        <v>45916</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37115-2024</t>
        </is>
      </c>
      <c r="B226" s="1" t="n">
        <v>45539</v>
      </c>
      <c r="C226" s="1" t="n">
        <v>45916</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11005-2023</t>
        </is>
      </c>
      <c r="B227" s="1" t="n">
        <v>44991</v>
      </c>
      <c r="C227" s="1" t="n">
        <v>45916</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45142-2023</t>
        </is>
      </c>
      <c r="B228" s="1" t="n">
        <v>45191.4702662037</v>
      </c>
      <c r="C228" s="1" t="n">
        <v>45916</v>
      </c>
      <c r="D228" t="inlineStr">
        <is>
          <t>UPPSALA LÄN</t>
        </is>
      </c>
      <c r="E228" t="inlineStr">
        <is>
          <t>ENKÖPING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11918-2025</t>
        </is>
      </c>
      <c r="B229" s="1" t="n">
        <v>45728.49331018519</v>
      </c>
      <c r="C229" s="1" t="n">
        <v>45916</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57142-2021</t>
        </is>
      </c>
      <c r="B230" s="1" t="n">
        <v>44482</v>
      </c>
      <c r="C230" s="1" t="n">
        <v>45916</v>
      </c>
      <c r="D230" t="inlineStr">
        <is>
          <t>UPPSALA LÄN</t>
        </is>
      </c>
      <c r="E230" t="inlineStr">
        <is>
          <t>ENKÖPING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57147-2021</t>
        </is>
      </c>
      <c r="B231" s="1" t="n">
        <v>44482</v>
      </c>
      <c r="C231" s="1" t="n">
        <v>45916</v>
      </c>
      <c r="D231" t="inlineStr">
        <is>
          <t>UPPSALA LÄN</t>
        </is>
      </c>
      <c r="E231" t="inlineStr">
        <is>
          <t>ENKÖPING</t>
        </is>
      </c>
      <c r="G231" t="n">
        <v>5.7</v>
      </c>
      <c r="H231" t="n">
        <v>0</v>
      </c>
      <c r="I231" t="n">
        <v>0</v>
      </c>
      <c r="J231" t="n">
        <v>0</v>
      </c>
      <c r="K231" t="n">
        <v>0</v>
      </c>
      <c r="L231" t="n">
        <v>0</v>
      </c>
      <c r="M231" t="n">
        <v>0</v>
      </c>
      <c r="N231" t="n">
        <v>0</v>
      </c>
      <c r="O231" t="n">
        <v>0</v>
      </c>
      <c r="P231" t="n">
        <v>0</v>
      </c>
      <c r="Q231" t="n">
        <v>0</v>
      </c>
      <c r="R231" s="2" t="inlineStr"/>
    </row>
    <row r="232" ht="15" customHeight="1">
      <c r="A232" t="inlineStr">
        <is>
          <t>A 31242-2024</t>
        </is>
      </c>
      <c r="B232" s="1" t="n">
        <v>45503</v>
      </c>
      <c r="C232" s="1" t="n">
        <v>45916</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27829-2025</t>
        </is>
      </c>
      <c r="B233" s="1" t="n">
        <v>45817</v>
      </c>
      <c r="C233" s="1" t="n">
        <v>45916</v>
      </c>
      <c r="D233" t="inlineStr">
        <is>
          <t>UPPSALA LÄN</t>
        </is>
      </c>
      <c r="E233" t="inlineStr">
        <is>
          <t>ENKÖPING</t>
        </is>
      </c>
      <c r="G233" t="n">
        <v>2.1</v>
      </c>
      <c r="H233" t="n">
        <v>0</v>
      </c>
      <c r="I233" t="n">
        <v>0</v>
      </c>
      <c r="J233" t="n">
        <v>0</v>
      </c>
      <c r="K233" t="n">
        <v>0</v>
      </c>
      <c r="L233" t="n">
        <v>0</v>
      </c>
      <c r="M233" t="n">
        <v>0</v>
      </c>
      <c r="N233" t="n">
        <v>0</v>
      </c>
      <c r="O233" t="n">
        <v>0</v>
      </c>
      <c r="P233" t="n">
        <v>0</v>
      </c>
      <c r="Q233" t="n">
        <v>0</v>
      </c>
      <c r="R233" s="2" t="inlineStr"/>
    </row>
    <row r="234" ht="15" customHeight="1">
      <c r="A234" t="inlineStr">
        <is>
          <t>A 7868-2024</t>
        </is>
      </c>
      <c r="B234" s="1" t="n">
        <v>45350.33020833333</v>
      </c>
      <c r="C234" s="1" t="n">
        <v>45916</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7870-2024</t>
        </is>
      </c>
      <c r="B235" s="1" t="n">
        <v>45350.33349537037</v>
      </c>
      <c r="C235" s="1" t="n">
        <v>45916</v>
      </c>
      <c r="D235" t="inlineStr">
        <is>
          <t>UPPSALA LÄN</t>
        </is>
      </c>
      <c r="E235" t="inlineStr">
        <is>
          <t>ENKÖPING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39009-2024</t>
        </is>
      </c>
      <c r="B236" s="1" t="n">
        <v>45548</v>
      </c>
      <c r="C236" s="1" t="n">
        <v>45916</v>
      </c>
      <c r="D236" t="inlineStr">
        <is>
          <t>UPPSALA LÄN</t>
        </is>
      </c>
      <c r="E236" t="inlineStr">
        <is>
          <t>ENKÖPING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8537-2025</t>
        </is>
      </c>
      <c r="B237" s="1" t="n">
        <v>45709</v>
      </c>
      <c r="C237" s="1" t="n">
        <v>45916</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9231-2023</t>
        </is>
      </c>
      <c r="B238" s="1" t="n">
        <v>44980</v>
      </c>
      <c r="C238" s="1" t="n">
        <v>45916</v>
      </c>
      <c r="D238" t="inlineStr">
        <is>
          <t>UPPSALA LÄN</t>
        </is>
      </c>
      <c r="E238" t="inlineStr">
        <is>
          <t>ENKÖPING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12434-2021</t>
        </is>
      </c>
      <c r="B239" s="1" t="n">
        <v>44267</v>
      </c>
      <c r="C239" s="1" t="n">
        <v>45916</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49614-2024</t>
        </is>
      </c>
      <c r="B240" s="1" t="n">
        <v>45596.57716435185</v>
      </c>
      <c r="C240" s="1" t="n">
        <v>45916</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49632-2024</t>
        </is>
      </c>
      <c r="B241" s="1" t="n">
        <v>45596</v>
      </c>
      <c r="C241" s="1" t="n">
        <v>45916</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16916-2022</t>
        </is>
      </c>
      <c r="B242" s="1" t="n">
        <v>44676</v>
      </c>
      <c r="C242" s="1" t="n">
        <v>45916</v>
      </c>
      <c r="D242" t="inlineStr">
        <is>
          <t>UPPSALA LÄN</t>
        </is>
      </c>
      <c r="E242" t="inlineStr">
        <is>
          <t>ENKÖPING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28758-2025</t>
        </is>
      </c>
      <c r="B243" s="1" t="n">
        <v>45820.41212962963</v>
      </c>
      <c r="C243" s="1" t="n">
        <v>45916</v>
      </c>
      <c r="D243" t="inlineStr">
        <is>
          <t>UPPSALA LÄN</t>
        </is>
      </c>
      <c r="E243" t="inlineStr">
        <is>
          <t>ENKÖPING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28862-2025</t>
        </is>
      </c>
      <c r="B244" s="1" t="n">
        <v>45820.59189814814</v>
      </c>
      <c r="C244" s="1" t="n">
        <v>45916</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28855-2025</t>
        </is>
      </c>
      <c r="B245" s="1" t="n">
        <v>45820.58274305556</v>
      </c>
      <c r="C245" s="1" t="n">
        <v>45916</v>
      </c>
      <c r="D245" t="inlineStr">
        <is>
          <t>UPPSALA LÄN</t>
        </is>
      </c>
      <c r="E245" t="inlineStr">
        <is>
          <t>ENKÖPING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29479-2022</t>
        </is>
      </c>
      <c r="B246" s="1" t="n">
        <v>44753.57265046296</v>
      </c>
      <c r="C246" s="1" t="n">
        <v>45916</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29093-2025</t>
        </is>
      </c>
      <c r="B247" s="1" t="n">
        <v>45821.55743055556</v>
      </c>
      <c r="C247" s="1" t="n">
        <v>45916</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30514-2021</t>
        </is>
      </c>
      <c r="B248" s="1" t="n">
        <v>44364</v>
      </c>
      <c r="C248" s="1" t="n">
        <v>45916</v>
      </c>
      <c r="D248" t="inlineStr">
        <is>
          <t>UPPSALA LÄN</t>
        </is>
      </c>
      <c r="E248" t="inlineStr">
        <is>
          <t>ENKÖPING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31604-2023</t>
        </is>
      </c>
      <c r="B249" s="1" t="n">
        <v>45117.50368055556</v>
      </c>
      <c r="C249" s="1" t="n">
        <v>45916</v>
      </c>
      <c r="D249" t="inlineStr">
        <is>
          <t>UPPSALA LÄN</t>
        </is>
      </c>
      <c r="E249" t="inlineStr">
        <is>
          <t>ENKÖPING</t>
        </is>
      </c>
      <c r="G249" t="n">
        <v>3.5</v>
      </c>
      <c r="H249" t="n">
        <v>0</v>
      </c>
      <c r="I249" t="n">
        <v>0</v>
      </c>
      <c r="J249" t="n">
        <v>0</v>
      </c>
      <c r="K249" t="n">
        <v>0</v>
      </c>
      <c r="L249" t="n">
        <v>0</v>
      </c>
      <c r="M249" t="n">
        <v>0</v>
      </c>
      <c r="N249" t="n">
        <v>0</v>
      </c>
      <c r="O249" t="n">
        <v>0</v>
      </c>
      <c r="P249" t="n">
        <v>0</v>
      </c>
      <c r="Q249" t="n">
        <v>0</v>
      </c>
      <c r="R249" s="2" t="inlineStr"/>
    </row>
    <row r="250" ht="15" customHeight="1">
      <c r="A250" t="inlineStr">
        <is>
          <t>A 25598-2021</t>
        </is>
      </c>
      <c r="B250" s="1" t="n">
        <v>44343.4558912037</v>
      </c>
      <c r="C250" s="1" t="n">
        <v>45916</v>
      </c>
      <c r="D250" t="inlineStr">
        <is>
          <t>UPPSALA LÄN</t>
        </is>
      </c>
      <c r="E250" t="inlineStr">
        <is>
          <t>ENKÖPING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15162-2025</t>
        </is>
      </c>
      <c r="B251" s="1" t="n">
        <v>45744</v>
      </c>
      <c r="C251" s="1" t="n">
        <v>45916</v>
      </c>
      <c r="D251" t="inlineStr">
        <is>
          <t>UPPSALA LÄN</t>
        </is>
      </c>
      <c r="E251" t="inlineStr">
        <is>
          <t>ENKÖPING</t>
        </is>
      </c>
      <c r="G251" t="n">
        <v>4.2</v>
      </c>
      <c r="H251" t="n">
        <v>0</v>
      </c>
      <c r="I251" t="n">
        <v>0</v>
      </c>
      <c r="J251" t="n">
        <v>0</v>
      </c>
      <c r="K251" t="n">
        <v>0</v>
      </c>
      <c r="L251" t="n">
        <v>0</v>
      </c>
      <c r="M251" t="n">
        <v>0</v>
      </c>
      <c r="N251" t="n">
        <v>0</v>
      </c>
      <c r="O251" t="n">
        <v>0</v>
      </c>
      <c r="P251" t="n">
        <v>0</v>
      </c>
      <c r="Q251" t="n">
        <v>0</v>
      </c>
      <c r="R251" s="2" t="inlineStr"/>
    </row>
    <row r="252" ht="15" customHeight="1">
      <c r="A252" t="inlineStr">
        <is>
          <t>A 29477-2025</t>
        </is>
      </c>
      <c r="B252" s="1" t="n">
        <v>45824.71537037037</v>
      </c>
      <c r="C252" s="1" t="n">
        <v>45916</v>
      </c>
      <c r="D252" t="inlineStr">
        <is>
          <t>UPPSALA LÄN</t>
        </is>
      </c>
      <c r="E252" t="inlineStr">
        <is>
          <t>ENKÖPING</t>
        </is>
      </c>
      <c r="G252" t="n">
        <v>13.4</v>
      </c>
      <c r="H252" t="n">
        <v>0</v>
      </c>
      <c r="I252" t="n">
        <v>0</v>
      </c>
      <c r="J252" t="n">
        <v>0</v>
      </c>
      <c r="K252" t="n">
        <v>0</v>
      </c>
      <c r="L252" t="n">
        <v>0</v>
      </c>
      <c r="M252" t="n">
        <v>0</v>
      </c>
      <c r="N252" t="n">
        <v>0</v>
      </c>
      <c r="O252" t="n">
        <v>0</v>
      </c>
      <c r="P252" t="n">
        <v>0</v>
      </c>
      <c r="Q252" t="n">
        <v>0</v>
      </c>
      <c r="R252" s="2" t="inlineStr"/>
    </row>
    <row r="253" ht="15" customHeight="1">
      <c r="A253" t="inlineStr">
        <is>
          <t>A 52388-2024</t>
        </is>
      </c>
      <c r="B253" s="1" t="n">
        <v>45609.42939814815</v>
      </c>
      <c r="C253" s="1" t="n">
        <v>45916</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27538-2023</t>
        </is>
      </c>
      <c r="B254" s="1" t="n">
        <v>45097</v>
      </c>
      <c r="C254" s="1" t="n">
        <v>45916</v>
      </c>
      <c r="D254" t="inlineStr">
        <is>
          <t>UPPSALA LÄN</t>
        </is>
      </c>
      <c r="E254" t="inlineStr">
        <is>
          <t>ENKÖPING</t>
        </is>
      </c>
      <c r="G254" t="n">
        <v>5.8</v>
      </c>
      <c r="H254" t="n">
        <v>0</v>
      </c>
      <c r="I254" t="n">
        <v>0</v>
      </c>
      <c r="J254" t="n">
        <v>0</v>
      </c>
      <c r="K254" t="n">
        <v>0</v>
      </c>
      <c r="L254" t="n">
        <v>0</v>
      </c>
      <c r="M254" t="n">
        <v>0</v>
      </c>
      <c r="N254" t="n">
        <v>0</v>
      </c>
      <c r="O254" t="n">
        <v>0</v>
      </c>
      <c r="P254" t="n">
        <v>0</v>
      </c>
      <c r="Q254" t="n">
        <v>0</v>
      </c>
      <c r="R254" s="2" t="inlineStr"/>
    </row>
    <row r="255" ht="15" customHeight="1">
      <c r="A255" t="inlineStr">
        <is>
          <t>A 53607-2023</t>
        </is>
      </c>
      <c r="B255" s="1" t="n">
        <v>45230</v>
      </c>
      <c r="C255" s="1" t="n">
        <v>45916</v>
      </c>
      <c r="D255" t="inlineStr">
        <is>
          <t>UPPSALA LÄN</t>
        </is>
      </c>
      <c r="E255" t="inlineStr">
        <is>
          <t>ENKÖPING</t>
        </is>
      </c>
      <c r="F255" t="inlineStr">
        <is>
          <t>Allmännings- och besparingsskogar</t>
        </is>
      </c>
      <c r="G255" t="n">
        <v>6.3</v>
      </c>
      <c r="H255" t="n">
        <v>0</v>
      </c>
      <c r="I255" t="n">
        <v>0</v>
      </c>
      <c r="J255" t="n">
        <v>0</v>
      </c>
      <c r="K255" t="n">
        <v>0</v>
      </c>
      <c r="L255" t="n">
        <v>0</v>
      </c>
      <c r="M255" t="n">
        <v>0</v>
      </c>
      <c r="N255" t="n">
        <v>0</v>
      </c>
      <c r="O255" t="n">
        <v>0</v>
      </c>
      <c r="P255" t="n">
        <v>0</v>
      </c>
      <c r="Q255" t="n">
        <v>0</v>
      </c>
      <c r="R255" s="2" t="inlineStr"/>
    </row>
    <row r="256" ht="15" customHeight="1">
      <c r="A256" t="inlineStr">
        <is>
          <t>A 15409-2025</t>
        </is>
      </c>
      <c r="B256" s="1" t="n">
        <v>45747</v>
      </c>
      <c r="C256" s="1" t="n">
        <v>45916</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60874-2023</t>
        </is>
      </c>
      <c r="B257" s="1" t="n">
        <v>45261.06280092592</v>
      </c>
      <c r="C257" s="1" t="n">
        <v>45916</v>
      </c>
      <c r="D257" t="inlineStr">
        <is>
          <t>UPPSALA LÄN</t>
        </is>
      </c>
      <c r="E257" t="inlineStr">
        <is>
          <t>ENKÖPING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40202-2024</t>
        </is>
      </c>
      <c r="B258" s="1" t="n">
        <v>45554</v>
      </c>
      <c r="C258" s="1" t="n">
        <v>45916</v>
      </c>
      <c r="D258" t="inlineStr">
        <is>
          <t>UPPSALA LÄN</t>
        </is>
      </c>
      <c r="E258" t="inlineStr">
        <is>
          <t>ENKÖPING</t>
        </is>
      </c>
      <c r="G258" t="n">
        <v>6.2</v>
      </c>
      <c r="H258" t="n">
        <v>0</v>
      </c>
      <c r="I258" t="n">
        <v>0</v>
      </c>
      <c r="J258" t="n">
        <v>0</v>
      </c>
      <c r="K258" t="n">
        <v>0</v>
      </c>
      <c r="L258" t="n">
        <v>0</v>
      </c>
      <c r="M258" t="n">
        <v>0</v>
      </c>
      <c r="N258" t="n">
        <v>0</v>
      </c>
      <c r="O258" t="n">
        <v>0</v>
      </c>
      <c r="P258" t="n">
        <v>0</v>
      </c>
      <c r="Q258" t="n">
        <v>0</v>
      </c>
      <c r="R258" s="2" t="inlineStr"/>
    </row>
    <row r="259" ht="15" customHeight="1">
      <c r="A259" t="inlineStr">
        <is>
          <t>A 50394-2024</t>
        </is>
      </c>
      <c r="B259" s="1" t="n">
        <v>45600</v>
      </c>
      <c r="C259" s="1" t="n">
        <v>45916</v>
      </c>
      <c r="D259" t="inlineStr">
        <is>
          <t>UPPSALA LÄN</t>
        </is>
      </c>
      <c r="E259" t="inlineStr">
        <is>
          <t>ENKÖPING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30837-2025</t>
        </is>
      </c>
      <c r="B260" s="1" t="n">
        <v>45831.7063425926</v>
      </c>
      <c r="C260" s="1" t="n">
        <v>45916</v>
      </c>
      <c r="D260" t="inlineStr">
        <is>
          <t>UPPSALA LÄN</t>
        </is>
      </c>
      <c r="E260" t="inlineStr">
        <is>
          <t>ENKÖPING</t>
        </is>
      </c>
      <c r="G260" t="n">
        <v>3.8</v>
      </c>
      <c r="H260" t="n">
        <v>0</v>
      </c>
      <c r="I260" t="n">
        <v>0</v>
      </c>
      <c r="J260" t="n">
        <v>0</v>
      </c>
      <c r="K260" t="n">
        <v>0</v>
      </c>
      <c r="L260" t="n">
        <v>0</v>
      </c>
      <c r="M260" t="n">
        <v>0</v>
      </c>
      <c r="N260" t="n">
        <v>0</v>
      </c>
      <c r="O260" t="n">
        <v>0</v>
      </c>
      <c r="P260" t="n">
        <v>0</v>
      </c>
      <c r="Q260" t="n">
        <v>0</v>
      </c>
      <c r="R260" s="2" t="inlineStr"/>
    </row>
    <row r="261" ht="15" customHeight="1">
      <c r="A261" t="inlineStr">
        <is>
          <t>A 8306-2021</t>
        </is>
      </c>
      <c r="B261" s="1" t="n">
        <v>44244</v>
      </c>
      <c r="C261" s="1" t="n">
        <v>45916</v>
      </c>
      <c r="D261" t="inlineStr">
        <is>
          <t>UPPSALA LÄN</t>
        </is>
      </c>
      <c r="E261" t="inlineStr">
        <is>
          <t>ENKÖPING</t>
        </is>
      </c>
      <c r="G261" t="n">
        <v>14.9</v>
      </c>
      <c r="H261" t="n">
        <v>0</v>
      </c>
      <c r="I261" t="n">
        <v>0</v>
      </c>
      <c r="J261" t="n">
        <v>0</v>
      </c>
      <c r="K261" t="n">
        <v>0</v>
      </c>
      <c r="L261" t="n">
        <v>0</v>
      </c>
      <c r="M261" t="n">
        <v>0</v>
      </c>
      <c r="N261" t="n">
        <v>0</v>
      </c>
      <c r="O261" t="n">
        <v>0</v>
      </c>
      <c r="P261" t="n">
        <v>0</v>
      </c>
      <c r="Q261" t="n">
        <v>0</v>
      </c>
      <c r="R261" s="2" t="inlineStr"/>
    </row>
    <row r="262" ht="15" customHeight="1">
      <c r="A262" t="inlineStr">
        <is>
          <t>A 51010-2024</t>
        </is>
      </c>
      <c r="B262" s="1" t="n">
        <v>45603.39285879629</v>
      </c>
      <c r="C262" s="1" t="n">
        <v>45916</v>
      </c>
      <c r="D262" t="inlineStr">
        <is>
          <t>UPPSALA LÄN</t>
        </is>
      </c>
      <c r="E262" t="inlineStr">
        <is>
          <t>ENKÖPING</t>
        </is>
      </c>
      <c r="G262" t="n">
        <v>1.7</v>
      </c>
      <c r="H262" t="n">
        <v>0</v>
      </c>
      <c r="I262" t="n">
        <v>0</v>
      </c>
      <c r="J262" t="n">
        <v>0</v>
      </c>
      <c r="K262" t="n">
        <v>0</v>
      </c>
      <c r="L262" t="n">
        <v>0</v>
      </c>
      <c r="M262" t="n">
        <v>0</v>
      </c>
      <c r="N262" t="n">
        <v>0</v>
      </c>
      <c r="O262" t="n">
        <v>0</v>
      </c>
      <c r="P262" t="n">
        <v>0</v>
      </c>
      <c r="Q262" t="n">
        <v>0</v>
      </c>
      <c r="R262" s="2" t="inlineStr"/>
    </row>
    <row r="263" ht="15" customHeight="1">
      <c r="A263" t="inlineStr">
        <is>
          <t>A 43016-2021</t>
        </is>
      </c>
      <c r="B263" s="1" t="n">
        <v>44431</v>
      </c>
      <c r="C263" s="1" t="n">
        <v>45916</v>
      </c>
      <c r="D263" t="inlineStr">
        <is>
          <t>UPPSALA LÄN</t>
        </is>
      </c>
      <c r="E263" t="inlineStr">
        <is>
          <t>ENKÖPING</t>
        </is>
      </c>
      <c r="G263" t="n">
        <v>1.5</v>
      </c>
      <c r="H263" t="n">
        <v>0</v>
      </c>
      <c r="I263" t="n">
        <v>0</v>
      </c>
      <c r="J263" t="n">
        <v>0</v>
      </c>
      <c r="K263" t="n">
        <v>0</v>
      </c>
      <c r="L263" t="n">
        <v>0</v>
      </c>
      <c r="M263" t="n">
        <v>0</v>
      </c>
      <c r="N263" t="n">
        <v>0</v>
      </c>
      <c r="O263" t="n">
        <v>0</v>
      </c>
      <c r="P263" t="n">
        <v>0</v>
      </c>
      <c r="Q263" t="n">
        <v>0</v>
      </c>
      <c r="R263" s="2" t="inlineStr"/>
    </row>
    <row r="264" ht="15" customHeight="1">
      <c r="A264" t="inlineStr">
        <is>
          <t>A 57152-2021</t>
        </is>
      </c>
      <c r="B264" s="1" t="n">
        <v>44482</v>
      </c>
      <c r="C264" s="1" t="n">
        <v>45916</v>
      </c>
      <c r="D264" t="inlineStr">
        <is>
          <t>UPPSALA LÄN</t>
        </is>
      </c>
      <c r="E264" t="inlineStr">
        <is>
          <t>ENKÖPING</t>
        </is>
      </c>
      <c r="G264" t="n">
        <v>1.4</v>
      </c>
      <c r="H264" t="n">
        <v>0</v>
      </c>
      <c r="I264" t="n">
        <v>0</v>
      </c>
      <c r="J264" t="n">
        <v>0</v>
      </c>
      <c r="K264" t="n">
        <v>0</v>
      </c>
      <c r="L264" t="n">
        <v>0</v>
      </c>
      <c r="M264" t="n">
        <v>0</v>
      </c>
      <c r="N264" t="n">
        <v>0</v>
      </c>
      <c r="O264" t="n">
        <v>0</v>
      </c>
      <c r="P264" t="n">
        <v>0</v>
      </c>
      <c r="Q264" t="n">
        <v>0</v>
      </c>
      <c r="R264" s="2" t="inlineStr"/>
    </row>
    <row r="265" ht="15" customHeight="1">
      <c r="A265" t="inlineStr">
        <is>
          <t>A 19147-2024</t>
        </is>
      </c>
      <c r="B265" s="1" t="n">
        <v>45428</v>
      </c>
      <c r="C265" s="1" t="n">
        <v>45916</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34124-2021</t>
        </is>
      </c>
      <c r="B266" s="1" t="n">
        <v>44379</v>
      </c>
      <c r="C266" s="1" t="n">
        <v>45916</v>
      </c>
      <c r="D266" t="inlineStr">
        <is>
          <t>UPPSALA LÄN</t>
        </is>
      </c>
      <c r="E266" t="inlineStr">
        <is>
          <t>ENKÖPING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28518-2024</t>
        </is>
      </c>
      <c r="B267" s="1" t="n">
        <v>45477</v>
      </c>
      <c r="C267" s="1" t="n">
        <v>45916</v>
      </c>
      <c r="D267" t="inlineStr">
        <is>
          <t>UPPSALA LÄN</t>
        </is>
      </c>
      <c r="E267" t="inlineStr">
        <is>
          <t>ENKÖPING</t>
        </is>
      </c>
      <c r="G267" t="n">
        <v>3.4</v>
      </c>
      <c r="H267" t="n">
        <v>0</v>
      </c>
      <c r="I267" t="n">
        <v>0</v>
      </c>
      <c r="J267" t="n">
        <v>0</v>
      </c>
      <c r="K267" t="n">
        <v>0</v>
      </c>
      <c r="L267" t="n">
        <v>0</v>
      </c>
      <c r="M267" t="n">
        <v>0</v>
      </c>
      <c r="N267" t="n">
        <v>0</v>
      </c>
      <c r="O267" t="n">
        <v>0</v>
      </c>
      <c r="P267" t="n">
        <v>0</v>
      </c>
      <c r="Q267" t="n">
        <v>0</v>
      </c>
      <c r="R267" s="2" t="inlineStr"/>
    </row>
    <row r="268" ht="15" customHeight="1">
      <c r="A268" t="inlineStr">
        <is>
          <t>A 52299-2023</t>
        </is>
      </c>
      <c r="B268" s="1" t="n">
        <v>45224.61636574074</v>
      </c>
      <c r="C268" s="1" t="n">
        <v>45916</v>
      </c>
      <c r="D268" t="inlineStr">
        <is>
          <t>UPPSALA LÄN</t>
        </is>
      </c>
      <c r="E268" t="inlineStr">
        <is>
          <t>ENKÖPING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57209-2024</t>
        </is>
      </c>
      <c r="B269" s="1" t="n">
        <v>45629.49311342592</v>
      </c>
      <c r="C269" s="1" t="n">
        <v>45916</v>
      </c>
      <c r="D269" t="inlineStr">
        <is>
          <t>UPPSALA LÄN</t>
        </is>
      </c>
      <c r="E269" t="inlineStr">
        <is>
          <t>ENKÖPING</t>
        </is>
      </c>
      <c r="G269" t="n">
        <v>3.2</v>
      </c>
      <c r="H269" t="n">
        <v>0</v>
      </c>
      <c r="I269" t="n">
        <v>0</v>
      </c>
      <c r="J269" t="n">
        <v>0</v>
      </c>
      <c r="K269" t="n">
        <v>0</v>
      </c>
      <c r="L269" t="n">
        <v>0</v>
      </c>
      <c r="M269" t="n">
        <v>0</v>
      </c>
      <c r="N269" t="n">
        <v>0</v>
      </c>
      <c r="O269" t="n">
        <v>0</v>
      </c>
      <c r="P269" t="n">
        <v>0</v>
      </c>
      <c r="Q269" t="n">
        <v>0</v>
      </c>
      <c r="R269" s="2" t="inlineStr"/>
    </row>
    <row r="270" ht="15" customHeight="1">
      <c r="A270" t="inlineStr">
        <is>
          <t>A 51120-2023</t>
        </is>
      </c>
      <c r="B270" s="1" t="n">
        <v>45219.3088425926</v>
      </c>
      <c r="C270" s="1" t="n">
        <v>45916</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12878-2025</t>
        </is>
      </c>
      <c r="B271" s="1" t="n">
        <v>45733.68571759259</v>
      </c>
      <c r="C271" s="1" t="n">
        <v>45916</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32111-2025</t>
        </is>
      </c>
      <c r="B272" s="1" t="n">
        <v>45835</v>
      </c>
      <c r="C272" s="1" t="n">
        <v>45916</v>
      </c>
      <c r="D272" t="inlineStr">
        <is>
          <t>UPPSALA LÄN</t>
        </is>
      </c>
      <c r="E272" t="inlineStr">
        <is>
          <t>ENKÖPING</t>
        </is>
      </c>
      <c r="G272" t="n">
        <v>1.7</v>
      </c>
      <c r="H272" t="n">
        <v>0</v>
      </c>
      <c r="I272" t="n">
        <v>0</v>
      </c>
      <c r="J272" t="n">
        <v>0</v>
      </c>
      <c r="K272" t="n">
        <v>0</v>
      </c>
      <c r="L272" t="n">
        <v>0</v>
      </c>
      <c r="M272" t="n">
        <v>0</v>
      </c>
      <c r="N272" t="n">
        <v>0</v>
      </c>
      <c r="O272" t="n">
        <v>0</v>
      </c>
      <c r="P272" t="n">
        <v>0</v>
      </c>
      <c r="Q272" t="n">
        <v>0</v>
      </c>
      <c r="R272" s="2" t="inlineStr"/>
    </row>
    <row r="273" ht="15" customHeight="1">
      <c r="A273" t="inlineStr">
        <is>
          <t>A 32031-2025</t>
        </is>
      </c>
      <c r="B273" s="1" t="n">
        <v>45835.41712962963</v>
      </c>
      <c r="C273" s="1" t="n">
        <v>45916</v>
      </c>
      <c r="D273" t="inlineStr">
        <is>
          <t>UPPSALA LÄN</t>
        </is>
      </c>
      <c r="E273" t="inlineStr">
        <is>
          <t>ENKÖPING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30634-2022</t>
        </is>
      </c>
      <c r="B274" s="1" t="n">
        <v>44763.45711805556</v>
      </c>
      <c r="C274" s="1" t="n">
        <v>45916</v>
      </c>
      <c r="D274" t="inlineStr">
        <is>
          <t>UPPSALA LÄN</t>
        </is>
      </c>
      <c r="E274" t="inlineStr">
        <is>
          <t>ENKÖPING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18259-2025</t>
        </is>
      </c>
      <c r="B275" s="1" t="n">
        <v>45762</v>
      </c>
      <c r="C275" s="1" t="n">
        <v>45916</v>
      </c>
      <c r="D275" t="inlineStr">
        <is>
          <t>UPPSALA LÄN</t>
        </is>
      </c>
      <c r="E275" t="inlineStr">
        <is>
          <t>ENKÖPING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43896-2022</t>
        </is>
      </c>
      <c r="B276" s="1" t="n">
        <v>44838</v>
      </c>
      <c r="C276" s="1" t="n">
        <v>45916</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14004-2023</t>
        </is>
      </c>
      <c r="B277" s="1" t="n">
        <v>45008</v>
      </c>
      <c r="C277" s="1" t="n">
        <v>45916</v>
      </c>
      <c r="D277" t="inlineStr">
        <is>
          <t>UPPSALA LÄN</t>
        </is>
      </c>
      <c r="E277" t="inlineStr">
        <is>
          <t>ENKÖPING</t>
        </is>
      </c>
      <c r="G277" t="n">
        <v>1.3</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45916</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52005-2024</t>
        </is>
      </c>
      <c r="B279" s="1" t="n">
        <v>45607.7627662037</v>
      </c>
      <c r="C279" s="1" t="n">
        <v>45916</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1960-2022</t>
        </is>
      </c>
      <c r="B280" s="1" t="n">
        <v>44575</v>
      </c>
      <c r="C280" s="1" t="n">
        <v>45916</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6157-2021</t>
        </is>
      </c>
      <c r="B281" s="1" t="n">
        <v>44232</v>
      </c>
      <c r="C281" s="1" t="n">
        <v>45916</v>
      </c>
      <c r="D281" t="inlineStr">
        <is>
          <t>UPPSALA LÄN</t>
        </is>
      </c>
      <c r="E281" t="inlineStr">
        <is>
          <t>ENKÖPING</t>
        </is>
      </c>
      <c r="G281" t="n">
        <v>3.9</v>
      </c>
      <c r="H281" t="n">
        <v>0</v>
      </c>
      <c r="I281" t="n">
        <v>0</v>
      </c>
      <c r="J281" t="n">
        <v>0</v>
      </c>
      <c r="K281" t="n">
        <v>0</v>
      </c>
      <c r="L281" t="n">
        <v>0</v>
      </c>
      <c r="M281" t="n">
        <v>0</v>
      </c>
      <c r="N281" t="n">
        <v>0</v>
      </c>
      <c r="O281" t="n">
        <v>0</v>
      </c>
      <c r="P281" t="n">
        <v>0</v>
      </c>
      <c r="Q281" t="n">
        <v>0</v>
      </c>
      <c r="R281" s="2" t="inlineStr"/>
    </row>
    <row r="282" ht="15" customHeight="1">
      <c r="A282" t="inlineStr">
        <is>
          <t>A 7090-2022</t>
        </is>
      </c>
      <c r="B282" s="1" t="n">
        <v>44603.59520833333</v>
      </c>
      <c r="C282" s="1" t="n">
        <v>45916</v>
      </c>
      <c r="D282" t="inlineStr">
        <is>
          <t>UPPSALA LÄN</t>
        </is>
      </c>
      <c r="E282" t="inlineStr">
        <is>
          <t>ENKÖPING</t>
        </is>
      </c>
      <c r="G282" t="n">
        <v>2.8</v>
      </c>
      <c r="H282" t="n">
        <v>0</v>
      </c>
      <c r="I282" t="n">
        <v>0</v>
      </c>
      <c r="J282" t="n">
        <v>0</v>
      </c>
      <c r="K282" t="n">
        <v>0</v>
      </c>
      <c r="L282" t="n">
        <v>0</v>
      </c>
      <c r="M282" t="n">
        <v>0</v>
      </c>
      <c r="N282" t="n">
        <v>0</v>
      </c>
      <c r="O282" t="n">
        <v>0</v>
      </c>
      <c r="P282" t="n">
        <v>0</v>
      </c>
      <c r="Q282" t="n">
        <v>0</v>
      </c>
      <c r="R282" s="2" t="inlineStr"/>
    </row>
    <row r="283" ht="15" customHeight="1">
      <c r="A283" t="inlineStr">
        <is>
          <t>A 9487-2025</t>
        </is>
      </c>
      <c r="B283" s="1" t="n">
        <v>45715.49331018519</v>
      </c>
      <c r="C283" s="1" t="n">
        <v>45916</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6144-2024</t>
        </is>
      </c>
      <c r="B284" s="1" t="n">
        <v>45337.4684837963</v>
      </c>
      <c r="C284" s="1" t="n">
        <v>45916</v>
      </c>
      <c r="D284" t="inlineStr">
        <is>
          <t>UPPSALA LÄN</t>
        </is>
      </c>
      <c r="E284" t="inlineStr">
        <is>
          <t>ENKÖPING</t>
        </is>
      </c>
      <c r="G284" t="n">
        <v>13.8</v>
      </c>
      <c r="H284" t="n">
        <v>0</v>
      </c>
      <c r="I284" t="n">
        <v>0</v>
      </c>
      <c r="J284" t="n">
        <v>0</v>
      </c>
      <c r="K284" t="n">
        <v>0</v>
      </c>
      <c r="L284" t="n">
        <v>0</v>
      </c>
      <c r="M284" t="n">
        <v>0</v>
      </c>
      <c r="N284" t="n">
        <v>0</v>
      </c>
      <c r="O284" t="n">
        <v>0</v>
      </c>
      <c r="P284" t="n">
        <v>0</v>
      </c>
      <c r="Q284" t="n">
        <v>0</v>
      </c>
      <c r="R284" s="2" t="inlineStr"/>
    </row>
    <row r="285" ht="15" customHeight="1">
      <c r="A285" t="inlineStr">
        <is>
          <t>A 33955-2024</t>
        </is>
      </c>
      <c r="B285" s="1" t="n">
        <v>45523.46952546296</v>
      </c>
      <c r="C285" s="1" t="n">
        <v>45916</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32477-2025</t>
        </is>
      </c>
      <c r="B286" s="1" t="n">
        <v>45838.43098379629</v>
      </c>
      <c r="C286" s="1" t="n">
        <v>45916</v>
      </c>
      <c r="D286" t="inlineStr">
        <is>
          <t>UPPSALA LÄN</t>
        </is>
      </c>
      <c r="E286" t="inlineStr">
        <is>
          <t>ENKÖPING</t>
        </is>
      </c>
      <c r="G286" t="n">
        <v>2.7</v>
      </c>
      <c r="H286" t="n">
        <v>0</v>
      </c>
      <c r="I286" t="n">
        <v>0</v>
      </c>
      <c r="J286" t="n">
        <v>0</v>
      </c>
      <c r="K286" t="n">
        <v>0</v>
      </c>
      <c r="L286" t="n">
        <v>0</v>
      </c>
      <c r="M286" t="n">
        <v>0</v>
      </c>
      <c r="N286" t="n">
        <v>0</v>
      </c>
      <c r="O286" t="n">
        <v>0</v>
      </c>
      <c r="P286" t="n">
        <v>0</v>
      </c>
      <c r="Q286" t="n">
        <v>0</v>
      </c>
      <c r="R286" s="2" t="inlineStr"/>
    </row>
    <row r="287" ht="15" customHeight="1">
      <c r="A287" t="inlineStr">
        <is>
          <t>A 15740-2025</t>
        </is>
      </c>
      <c r="B287" s="1" t="n">
        <v>45748</v>
      </c>
      <c r="C287" s="1" t="n">
        <v>45916</v>
      </c>
      <c r="D287" t="inlineStr">
        <is>
          <t>UPPSALA LÄN</t>
        </is>
      </c>
      <c r="E287" t="inlineStr">
        <is>
          <t>ENKÖPING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49623-2024</t>
        </is>
      </c>
      <c r="B288" s="1" t="n">
        <v>45596</v>
      </c>
      <c r="C288" s="1" t="n">
        <v>45916</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49627-2024</t>
        </is>
      </c>
      <c r="B289" s="1" t="n">
        <v>45596.59140046296</v>
      </c>
      <c r="C289" s="1" t="n">
        <v>45916</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57998-2024</t>
        </is>
      </c>
      <c r="B290" s="1" t="n">
        <v>45631</v>
      </c>
      <c r="C290" s="1" t="n">
        <v>45916</v>
      </c>
      <c r="D290" t="inlineStr">
        <is>
          <t>UPPSALA LÄN</t>
        </is>
      </c>
      <c r="E290" t="inlineStr">
        <is>
          <t>ENKÖPING</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9667-2024</t>
        </is>
      </c>
      <c r="B291" s="1" t="n">
        <v>45362.45130787037</v>
      </c>
      <c r="C291" s="1" t="n">
        <v>45916</v>
      </c>
      <c r="D291" t="inlineStr">
        <is>
          <t>UPPSALA LÄN</t>
        </is>
      </c>
      <c r="E291" t="inlineStr">
        <is>
          <t>ENKÖPING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17029-2025</t>
        </is>
      </c>
      <c r="B292" s="1" t="n">
        <v>45755.57291666666</v>
      </c>
      <c r="C292" s="1" t="n">
        <v>45916</v>
      </c>
      <c r="D292" t="inlineStr">
        <is>
          <t>UPPSALA LÄN</t>
        </is>
      </c>
      <c r="E292" t="inlineStr">
        <is>
          <t>ENKÖPING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66517-2020</t>
        </is>
      </c>
      <c r="B293" s="1" t="n">
        <v>44178</v>
      </c>
      <c r="C293" s="1" t="n">
        <v>45916</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18994-2025</t>
        </is>
      </c>
      <c r="B294" s="1" t="n">
        <v>45764.57350694444</v>
      </c>
      <c r="C294" s="1" t="n">
        <v>45916</v>
      </c>
      <c r="D294" t="inlineStr">
        <is>
          <t>UPPSALA LÄN</t>
        </is>
      </c>
      <c r="E294" t="inlineStr">
        <is>
          <t>ENKÖPING</t>
        </is>
      </c>
      <c r="G294" t="n">
        <v>3.8</v>
      </c>
      <c r="H294" t="n">
        <v>0</v>
      </c>
      <c r="I294" t="n">
        <v>0</v>
      </c>
      <c r="J294" t="n">
        <v>0</v>
      </c>
      <c r="K294" t="n">
        <v>0</v>
      </c>
      <c r="L294" t="n">
        <v>0</v>
      </c>
      <c r="M294" t="n">
        <v>0</v>
      </c>
      <c r="N294" t="n">
        <v>0</v>
      </c>
      <c r="O294" t="n">
        <v>0</v>
      </c>
      <c r="P294" t="n">
        <v>0</v>
      </c>
      <c r="Q294" t="n">
        <v>0</v>
      </c>
      <c r="R294" s="2" t="inlineStr"/>
    </row>
    <row r="295" ht="15" customHeight="1">
      <c r="A295" t="inlineStr">
        <is>
          <t>A 57848-2024</t>
        </is>
      </c>
      <c r="B295" s="1" t="n">
        <v>45631.40947916666</v>
      </c>
      <c r="C295" s="1" t="n">
        <v>45916</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49601-2024</t>
        </is>
      </c>
      <c r="B296" s="1" t="n">
        <v>45596.56288194445</v>
      </c>
      <c r="C296" s="1" t="n">
        <v>45916</v>
      </c>
      <c r="D296" t="inlineStr">
        <is>
          <t>UPPSALA LÄN</t>
        </is>
      </c>
      <c r="E296" t="inlineStr">
        <is>
          <t>ENKÖPING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35645-2021</t>
        </is>
      </c>
      <c r="B297" s="1" t="n">
        <v>44386.42</v>
      </c>
      <c r="C297" s="1" t="n">
        <v>45916</v>
      </c>
      <c r="D297" t="inlineStr">
        <is>
          <t>UPPSALA LÄN</t>
        </is>
      </c>
      <c r="E297" t="inlineStr">
        <is>
          <t>ENKÖPING</t>
        </is>
      </c>
      <c r="G297" t="n">
        <v>2.7</v>
      </c>
      <c r="H297" t="n">
        <v>0</v>
      </c>
      <c r="I297" t="n">
        <v>0</v>
      </c>
      <c r="J297" t="n">
        <v>0</v>
      </c>
      <c r="K297" t="n">
        <v>0</v>
      </c>
      <c r="L297" t="n">
        <v>0</v>
      </c>
      <c r="M297" t="n">
        <v>0</v>
      </c>
      <c r="N297" t="n">
        <v>0</v>
      </c>
      <c r="O297" t="n">
        <v>0</v>
      </c>
      <c r="P297" t="n">
        <v>0</v>
      </c>
      <c r="Q297" t="n">
        <v>0</v>
      </c>
      <c r="R297" s="2" t="inlineStr"/>
    </row>
    <row r="298" ht="15" customHeight="1">
      <c r="A298" t="inlineStr">
        <is>
          <t>A 16920-2023</t>
        </is>
      </c>
      <c r="B298" s="1" t="n">
        <v>45033.59030092593</v>
      </c>
      <c r="C298" s="1" t="n">
        <v>45916</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53586-2024</t>
        </is>
      </c>
      <c r="B299" s="1" t="n">
        <v>45614</v>
      </c>
      <c r="C299" s="1" t="n">
        <v>45916</v>
      </c>
      <c r="D299" t="inlineStr">
        <is>
          <t>UPPSALA LÄN</t>
        </is>
      </c>
      <c r="E299" t="inlineStr">
        <is>
          <t>ENKÖPING</t>
        </is>
      </c>
      <c r="G299" t="n">
        <v>6.6</v>
      </c>
      <c r="H299" t="n">
        <v>0</v>
      </c>
      <c r="I299" t="n">
        <v>0</v>
      </c>
      <c r="J299" t="n">
        <v>0</v>
      </c>
      <c r="K299" t="n">
        <v>0</v>
      </c>
      <c r="L299" t="n">
        <v>0</v>
      </c>
      <c r="M299" t="n">
        <v>0</v>
      </c>
      <c r="N299" t="n">
        <v>0</v>
      </c>
      <c r="O299" t="n">
        <v>0</v>
      </c>
      <c r="P299" t="n">
        <v>0</v>
      </c>
      <c r="Q299" t="n">
        <v>0</v>
      </c>
      <c r="R299" s="2" t="inlineStr"/>
    </row>
    <row r="300" ht="15" customHeight="1">
      <c r="A300" t="inlineStr">
        <is>
          <t>A 15711-2025</t>
        </is>
      </c>
      <c r="B300" s="1" t="n">
        <v>45748</v>
      </c>
      <c r="C300" s="1" t="n">
        <v>45916</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28318-2024</t>
        </is>
      </c>
      <c r="B301" s="1" t="n">
        <v>45477</v>
      </c>
      <c r="C301" s="1" t="n">
        <v>45916</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37319-2025</t>
        </is>
      </c>
      <c r="B302" s="1" t="n">
        <v>45876</v>
      </c>
      <c r="C302" s="1" t="n">
        <v>45916</v>
      </c>
      <c r="D302" t="inlineStr">
        <is>
          <t>UPPSALA LÄN</t>
        </is>
      </c>
      <c r="E302" t="inlineStr">
        <is>
          <t>ENKÖPING</t>
        </is>
      </c>
      <c r="G302" t="n">
        <v>9.5</v>
      </c>
      <c r="H302" t="n">
        <v>0</v>
      </c>
      <c r="I302" t="n">
        <v>0</v>
      </c>
      <c r="J302" t="n">
        <v>0</v>
      </c>
      <c r="K302" t="n">
        <v>0</v>
      </c>
      <c r="L302" t="n">
        <v>0</v>
      </c>
      <c r="M302" t="n">
        <v>0</v>
      </c>
      <c r="N302" t="n">
        <v>0</v>
      </c>
      <c r="O302" t="n">
        <v>0</v>
      </c>
      <c r="P302" t="n">
        <v>0</v>
      </c>
      <c r="Q302" t="n">
        <v>0</v>
      </c>
      <c r="R302" s="2" t="inlineStr"/>
    </row>
    <row r="303" ht="15" customHeight="1">
      <c r="A303" t="inlineStr">
        <is>
          <t>A 69344-2021</t>
        </is>
      </c>
      <c r="B303" s="1" t="n">
        <v>44531</v>
      </c>
      <c r="C303" s="1" t="n">
        <v>45916</v>
      </c>
      <c r="D303" t="inlineStr">
        <is>
          <t>UPPSALA LÄN</t>
        </is>
      </c>
      <c r="E303" t="inlineStr">
        <is>
          <t>ENKÖPING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37498-2025</t>
        </is>
      </c>
      <c r="B304" s="1" t="n">
        <v>45877</v>
      </c>
      <c r="C304" s="1" t="n">
        <v>45916</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37296-2025</t>
        </is>
      </c>
      <c r="B305" s="1" t="n">
        <v>45876</v>
      </c>
      <c r="C305" s="1" t="n">
        <v>45916</v>
      </c>
      <c r="D305" t="inlineStr">
        <is>
          <t>UPPSALA LÄN</t>
        </is>
      </c>
      <c r="E305" t="inlineStr">
        <is>
          <t>ENKÖPING</t>
        </is>
      </c>
      <c r="G305" t="n">
        <v>9.5</v>
      </c>
      <c r="H305" t="n">
        <v>0</v>
      </c>
      <c r="I305" t="n">
        <v>0</v>
      </c>
      <c r="J305" t="n">
        <v>0</v>
      </c>
      <c r="K305" t="n">
        <v>0</v>
      </c>
      <c r="L305" t="n">
        <v>0</v>
      </c>
      <c r="M305" t="n">
        <v>0</v>
      </c>
      <c r="N305" t="n">
        <v>0</v>
      </c>
      <c r="O305" t="n">
        <v>0</v>
      </c>
      <c r="P305" t="n">
        <v>0</v>
      </c>
      <c r="Q305" t="n">
        <v>0</v>
      </c>
      <c r="R305" s="2" t="inlineStr"/>
    </row>
    <row r="306" ht="15" customHeight="1">
      <c r="A306" t="inlineStr">
        <is>
          <t>A 39439-2025</t>
        </is>
      </c>
      <c r="B306" s="1" t="n">
        <v>45889</v>
      </c>
      <c r="C306" s="1" t="n">
        <v>45916</v>
      </c>
      <c r="D306" t="inlineStr">
        <is>
          <t>UPPSALA LÄN</t>
        </is>
      </c>
      <c r="E306" t="inlineStr">
        <is>
          <t>ENKÖPING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51524-2022</t>
        </is>
      </c>
      <c r="B307" s="1" t="n">
        <v>44869</v>
      </c>
      <c r="C307" s="1" t="n">
        <v>45916</v>
      </c>
      <c r="D307" t="inlineStr">
        <is>
          <t>UPPSALA LÄN</t>
        </is>
      </c>
      <c r="E307" t="inlineStr">
        <is>
          <t>ENKÖPING</t>
        </is>
      </c>
      <c r="G307" t="n">
        <v>6.6</v>
      </c>
      <c r="H307" t="n">
        <v>0</v>
      </c>
      <c r="I307" t="n">
        <v>0</v>
      </c>
      <c r="J307" t="n">
        <v>0</v>
      </c>
      <c r="K307" t="n">
        <v>0</v>
      </c>
      <c r="L307" t="n">
        <v>0</v>
      </c>
      <c r="M307" t="n">
        <v>0</v>
      </c>
      <c r="N307" t="n">
        <v>0</v>
      </c>
      <c r="O307" t="n">
        <v>0</v>
      </c>
      <c r="P307" t="n">
        <v>0</v>
      </c>
      <c r="Q307" t="n">
        <v>0</v>
      </c>
      <c r="R307" s="2" t="inlineStr"/>
    </row>
    <row r="308" ht="15" customHeight="1">
      <c r="A308" t="inlineStr">
        <is>
          <t>A 29513-2025</t>
        </is>
      </c>
      <c r="B308" s="1" t="n">
        <v>45825</v>
      </c>
      <c r="C308" s="1" t="n">
        <v>45916</v>
      </c>
      <c r="D308" t="inlineStr">
        <is>
          <t>UPPSALA LÄN</t>
        </is>
      </c>
      <c r="E308" t="inlineStr">
        <is>
          <t>ENKÖPING</t>
        </is>
      </c>
      <c r="G308" t="n">
        <v>2.6</v>
      </c>
      <c r="H308" t="n">
        <v>0</v>
      </c>
      <c r="I308" t="n">
        <v>0</v>
      </c>
      <c r="J308" t="n">
        <v>0</v>
      </c>
      <c r="K308" t="n">
        <v>0</v>
      </c>
      <c r="L308" t="n">
        <v>0</v>
      </c>
      <c r="M308" t="n">
        <v>0</v>
      </c>
      <c r="N308" t="n">
        <v>0</v>
      </c>
      <c r="O308" t="n">
        <v>0</v>
      </c>
      <c r="P308" t="n">
        <v>0</v>
      </c>
      <c r="Q308" t="n">
        <v>0</v>
      </c>
      <c r="R308" s="2" t="inlineStr"/>
    </row>
    <row r="309" ht="15" customHeight="1">
      <c r="A309" t="inlineStr">
        <is>
          <t>A 39746-2025</t>
        </is>
      </c>
      <c r="B309" s="1" t="n">
        <v>45891</v>
      </c>
      <c r="C309" s="1" t="n">
        <v>45916</v>
      </c>
      <c r="D309" t="inlineStr">
        <is>
          <t>UPPSALA LÄN</t>
        </is>
      </c>
      <c r="E309" t="inlineStr">
        <is>
          <t>ENKÖPING</t>
        </is>
      </c>
      <c r="G309" t="n">
        <v>7.4</v>
      </c>
      <c r="H309" t="n">
        <v>0</v>
      </c>
      <c r="I309" t="n">
        <v>0</v>
      </c>
      <c r="J309" t="n">
        <v>0</v>
      </c>
      <c r="K309" t="n">
        <v>0</v>
      </c>
      <c r="L309" t="n">
        <v>0</v>
      </c>
      <c r="M309" t="n">
        <v>0</v>
      </c>
      <c r="N309" t="n">
        <v>0</v>
      </c>
      <c r="O309" t="n">
        <v>0</v>
      </c>
      <c r="P309" t="n">
        <v>0</v>
      </c>
      <c r="Q309" t="n">
        <v>0</v>
      </c>
      <c r="R309" s="2" t="inlineStr"/>
    </row>
    <row r="310" ht="15" customHeight="1">
      <c r="A310" t="inlineStr">
        <is>
          <t>A 17844-2025</t>
        </is>
      </c>
      <c r="B310" s="1" t="n">
        <v>45758.59920138889</v>
      </c>
      <c r="C310" s="1" t="n">
        <v>45916</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43506-2023</t>
        </is>
      </c>
      <c r="B311" s="1" t="n">
        <v>45181</v>
      </c>
      <c r="C311" s="1" t="n">
        <v>45916</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46103-2023</t>
        </is>
      </c>
      <c r="B312" s="1" t="n">
        <v>45190</v>
      </c>
      <c r="C312" s="1" t="n">
        <v>45916</v>
      </c>
      <c r="D312" t="inlineStr">
        <is>
          <t>UPPSALA LÄN</t>
        </is>
      </c>
      <c r="E312" t="inlineStr">
        <is>
          <t>ENKÖPING</t>
        </is>
      </c>
      <c r="G312" t="n">
        <v>4.6</v>
      </c>
      <c r="H312" t="n">
        <v>0</v>
      </c>
      <c r="I312" t="n">
        <v>0</v>
      </c>
      <c r="J312" t="n">
        <v>0</v>
      </c>
      <c r="K312" t="n">
        <v>0</v>
      </c>
      <c r="L312" t="n">
        <v>0</v>
      </c>
      <c r="M312" t="n">
        <v>0</v>
      </c>
      <c r="N312" t="n">
        <v>0</v>
      </c>
      <c r="O312" t="n">
        <v>0</v>
      </c>
      <c r="P312" t="n">
        <v>0</v>
      </c>
      <c r="Q312" t="n">
        <v>0</v>
      </c>
      <c r="R312" s="2" t="inlineStr"/>
    </row>
    <row r="313" ht="15" customHeight="1">
      <c r="A313" t="inlineStr">
        <is>
          <t>A 27837-2025</t>
        </is>
      </c>
      <c r="B313" s="1" t="n">
        <v>45817.37207175926</v>
      </c>
      <c r="C313" s="1" t="n">
        <v>45916</v>
      </c>
      <c r="D313" t="inlineStr">
        <is>
          <t>UPPSALA LÄN</t>
        </is>
      </c>
      <c r="E313" t="inlineStr">
        <is>
          <t>ENKÖPING</t>
        </is>
      </c>
      <c r="G313" t="n">
        <v>7.3</v>
      </c>
      <c r="H313" t="n">
        <v>0</v>
      </c>
      <c r="I313" t="n">
        <v>0</v>
      </c>
      <c r="J313" t="n">
        <v>0</v>
      </c>
      <c r="K313" t="n">
        <v>0</v>
      </c>
      <c r="L313" t="n">
        <v>0</v>
      </c>
      <c r="M313" t="n">
        <v>0</v>
      </c>
      <c r="N313" t="n">
        <v>0</v>
      </c>
      <c r="O313" t="n">
        <v>0</v>
      </c>
      <c r="P313" t="n">
        <v>0</v>
      </c>
      <c r="Q313" t="n">
        <v>0</v>
      </c>
      <c r="R313" s="2" t="inlineStr"/>
    </row>
    <row r="314" ht="15" customHeight="1">
      <c r="A314" t="inlineStr">
        <is>
          <t>A 41737-2022</t>
        </is>
      </c>
      <c r="B314" s="1" t="n">
        <v>44827.63826388889</v>
      </c>
      <c r="C314" s="1" t="n">
        <v>45916</v>
      </c>
      <c r="D314" t="inlineStr">
        <is>
          <t>UPPSALA LÄN</t>
        </is>
      </c>
      <c r="E314" t="inlineStr">
        <is>
          <t>ENKÖPING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8137-2025</t>
        </is>
      </c>
      <c r="B315" s="1" t="n">
        <v>45707.8561574074</v>
      </c>
      <c r="C315" s="1" t="n">
        <v>45916</v>
      </c>
      <c r="D315" t="inlineStr">
        <is>
          <t>UPPSALA LÄN</t>
        </is>
      </c>
      <c r="E315" t="inlineStr">
        <is>
          <t>ENKÖPING</t>
        </is>
      </c>
      <c r="G315" t="n">
        <v>0.4</v>
      </c>
      <c r="H315" t="n">
        <v>0</v>
      </c>
      <c r="I315" t="n">
        <v>0</v>
      </c>
      <c r="J315" t="n">
        <v>0</v>
      </c>
      <c r="K315" t="n">
        <v>0</v>
      </c>
      <c r="L315" t="n">
        <v>0</v>
      </c>
      <c r="M315" t="n">
        <v>0</v>
      </c>
      <c r="N315" t="n">
        <v>0</v>
      </c>
      <c r="O315" t="n">
        <v>0</v>
      </c>
      <c r="P315" t="n">
        <v>0</v>
      </c>
      <c r="Q315" t="n">
        <v>0</v>
      </c>
      <c r="R315" s="2" t="inlineStr"/>
    </row>
    <row r="316" ht="15" customHeight="1">
      <c r="A316" t="inlineStr">
        <is>
          <t>A 34990-2025</t>
        </is>
      </c>
      <c r="B316" s="1" t="n">
        <v>45849.78916666667</v>
      </c>
      <c r="C316" s="1" t="n">
        <v>45916</v>
      </c>
      <c r="D316" t="inlineStr">
        <is>
          <t>UPPSALA LÄN</t>
        </is>
      </c>
      <c r="E316" t="inlineStr">
        <is>
          <t>ENKÖPING</t>
        </is>
      </c>
      <c r="G316" t="n">
        <v>1.3</v>
      </c>
      <c r="H316" t="n">
        <v>0</v>
      </c>
      <c r="I316" t="n">
        <v>0</v>
      </c>
      <c r="J316" t="n">
        <v>0</v>
      </c>
      <c r="K316" t="n">
        <v>0</v>
      </c>
      <c r="L316" t="n">
        <v>0</v>
      </c>
      <c r="M316" t="n">
        <v>0</v>
      </c>
      <c r="N316" t="n">
        <v>0</v>
      </c>
      <c r="O316" t="n">
        <v>0</v>
      </c>
      <c r="P316" t="n">
        <v>0</v>
      </c>
      <c r="Q316" t="n">
        <v>0</v>
      </c>
      <c r="R316" s="2" t="inlineStr"/>
    </row>
    <row r="317" ht="15" customHeight="1">
      <c r="A317" t="inlineStr">
        <is>
          <t>A 46186-2023</t>
        </is>
      </c>
      <c r="B317" s="1" t="n">
        <v>45196</v>
      </c>
      <c r="C317" s="1" t="n">
        <v>45916</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54595-2021</t>
        </is>
      </c>
      <c r="B318" s="1" t="n">
        <v>44473.58824074074</v>
      </c>
      <c r="C318" s="1" t="n">
        <v>45916</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54588-2024</t>
        </is>
      </c>
      <c r="B319" s="1" t="n">
        <v>45617</v>
      </c>
      <c r="C319" s="1" t="n">
        <v>45916</v>
      </c>
      <c r="D319" t="inlineStr">
        <is>
          <t>UPPSALA LÄN</t>
        </is>
      </c>
      <c r="E319" t="inlineStr">
        <is>
          <t>ENKÖPING</t>
        </is>
      </c>
      <c r="G319" t="n">
        <v>3.7</v>
      </c>
      <c r="H319" t="n">
        <v>0</v>
      </c>
      <c r="I319" t="n">
        <v>0</v>
      </c>
      <c r="J319" t="n">
        <v>0</v>
      </c>
      <c r="K319" t="n">
        <v>0</v>
      </c>
      <c r="L319" t="n">
        <v>0</v>
      </c>
      <c r="M319" t="n">
        <v>0</v>
      </c>
      <c r="N319" t="n">
        <v>0</v>
      </c>
      <c r="O319" t="n">
        <v>0</v>
      </c>
      <c r="P319" t="n">
        <v>0</v>
      </c>
      <c r="Q319" t="n">
        <v>0</v>
      </c>
      <c r="R319" s="2" t="inlineStr"/>
    </row>
    <row r="320" ht="15" customHeight="1">
      <c r="A320" t="inlineStr">
        <is>
          <t>A 23301-2024</t>
        </is>
      </c>
      <c r="B320" s="1" t="n">
        <v>45453.4396412037</v>
      </c>
      <c r="C320" s="1" t="n">
        <v>45916</v>
      </c>
      <c r="D320" t="inlineStr">
        <is>
          <t>UPPSALA LÄN</t>
        </is>
      </c>
      <c r="E320" t="inlineStr">
        <is>
          <t>ENKÖPING</t>
        </is>
      </c>
      <c r="G320" t="n">
        <v>4.3</v>
      </c>
      <c r="H320" t="n">
        <v>0</v>
      </c>
      <c r="I320" t="n">
        <v>0</v>
      </c>
      <c r="J320" t="n">
        <v>0</v>
      </c>
      <c r="K320" t="n">
        <v>0</v>
      </c>
      <c r="L320" t="n">
        <v>0</v>
      </c>
      <c r="M320" t="n">
        <v>0</v>
      </c>
      <c r="N320" t="n">
        <v>0</v>
      </c>
      <c r="O320" t="n">
        <v>0</v>
      </c>
      <c r="P320" t="n">
        <v>0</v>
      </c>
      <c r="Q320" t="n">
        <v>0</v>
      </c>
      <c r="R320" s="2" t="inlineStr"/>
    </row>
    <row r="321" ht="15" customHeight="1">
      <c r="A321" t="inlineStr">
        <is>
          <t>A 47428-2023</t>
        </is>
      </c>
      <c r="B321" s="1" t="n">
        <v>45202.66664351852</v>
      </c>
      <c r="C321" s="1" t="n">
        <v>45916</v>
      </c>
      <c r="D321" t="inlineStr">
        <is>
          <t>UPPSALA LÄN</t>
        </is>
      </c>
      <c r="E321" t="inlineStr">
        <is>
          <t>ENKÖPING</t>
        </is>
      </c>
      <c r="G321" t="n">
        <v>3</v>
      </c>
      <c r="H321" t="n">
        <v>0</v>
      </c>
      <c r="I321" t="n">
        <v>0</v>
      </c>
      <c r="J321" t="n">
        <v>0</v>
      </c>
      <c r="K321" t="n">
        <v>0</v>
      </c>
      <c r="L321" t="n">
        <v>0</v>
      </c>
      <c r="M321" t="n">
        <v>0</v>
      </c>
      <c r="N321" t="n">
        <v>0</v>
      </c>
      <c r="O321" t="n">
        <v>0</v>
      </c>
      <c r="P321" t="n">
        <v>0</v>
      </c>
      <c r="Q321" t="n">
        <v>0</v>
      </c>
      <c r="R321" s="2" t="inlineStr"/>
    </row>
    <row r="322" ht="15" customHeight="1">
      <c r="A322" t="inlineStr">
        <is>
          <t>A 52380-2024</t>
        </is>
      </c>
      <c r="B322" s="1" t="n">
        <v>45609</v>
      </c>
      <c r="C322" s="1" t="n">
        <v>45916</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5892-2023</t>
        </is>
      </c>
      <c r="B323" s="1" t="n">
        <v>44963.64883101852</v>
      </c>
      <c r="C323" s="1" t="n">
        <v>45916</v>
      </c>
      <c r="D323" t="inlineStr">
        <is>
          <t>UPPSALA LÄN</t>
        </is>
      </c>
      <c r="E323" t="inlineStr">
        <is>
          <t>ENKÖPING</t>
        </is>
      </c>
      <c r="G323" t="n">
        <v>5.5</v>
      </c>
      <c r="H323" t="n">
        <v>0</v>
      </c>
      <c r="I323" t="n">
        <v>0</v>
      </c>
      <c r="J323" t="n">
        <v>0</v>
      </c>
      <c r="K323" t="n">
        <v>0</v>
      </c>
      <c r="L323" t="n">
        <v>0</v>
      </c>
      <c r="M323" t="n">
        <v>0</v>
      </c>
      <c r="N323" t="n">
        <v>0</v>
      </c>
      <c r="O323" t="n">
        <v>0</v>
      </c>
      <c r="P323" t="n">
        <v>0</v>
      </c>
      <c r="Q323" t="n">
        <v>0</v>
      </c>
      <c r="R323" s="2" t="inlineStr"/>
    </row>
    <row r="324" ht="15" customHeight="1">
      <c r="A324" t="inlineStr">
        <is>
          <t>A 51042-2024</t>
        </is>
      </c>
      <c r="B324" s="1" t="n">
        <v>45603.4342824074</v>
      </c>
      <c r="C324" s="1" t="n">
        <v>45916</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12572-2021</t>
        </is>
      </c>
      <c r="B325" s="1" t="n">
        <v>44270.36438657407</v>
      </c>
      <c r="C325" s="1" t="n">
        <v>45916</v>
      </c>
      <c r="D325" t="inlineStr">
        <is>
          <t>UPPSALA LÄN</t>
        </is>
      </c>
      <c r="E325" t="inlineStr">
        <is>
          <t>ENKÖPING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30098-2024</t>
        </is>
      </c>
      <c r="B326" s="1" t="n">
        <v>45489.41609953704</v>
      </c>
      <c r="C326" s="1" t="n">
        <v>45916</v>
      </c>
      <c r="D326" t="inlineStr">
        <is>
          <t>UPPSALA LÄN</t>
        </is>
      </c>
      <c r="E326" t="inlineStr">
        <is>
          <t>ENKÖPING</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59441-2020</t>
        </is>
      </c>
      <c r="B327" s="1" t="n">
        <v>44148</v>
      </c>
      <c r="C327" s="1" t="n">
        <v>45916</v>
      </c>
      <c r="D327" t="inlineStr">
        <is>
          <t>UPPSALA LÄN</t>
        </is>
      </c>
      <c r="E327" t="inlineStr">
        <is>
          <t>ENKÖPING</t>
        </is>
      </c>
      <c r="G327" t="n">
        <v>4.8</v>
      </c>
      <c r="H327" t="n">
        <v>0</v>
      </c>
      <c r="I327" t="n">
        <v>0</v>
      </c>
      <c r="J327" t="n">
        <v>0</v>
      </c>
      <c r="K327" t="n">
        <v>0</v>
      </c>
      <c r="L327" t="n">
        <v>0</v>
      </c>
      <c r="M327" t="n">
        <v>0</v>
      </c>
      <c r="N327" t="n">
        <v>0</v>
      </c>
      <c r="O327" t="n">
        <v>0</v>
      </c>
      <c r="P327" t="n">
        <v>0</v>
      </c>
      <c r="Q327" t="n">
        <v>0</v>
      </c>
      <c r="R327" s="2" t="inlineStr"/>
    </row>
    <row r="328" ht="15" customHeight="1">
      <c r="A328" t="inlineStr">
        <is>
          <t>A 34735-2023</t>
        </is>
      </c>
      <c r="B328" s="1" t="n">
        <v>45139</v>
      </c>
      <c r="C328" s="1" t="n">
        <v>45916</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57328-2024</t>
        </is>
      </c>
      <c r="B329" s="1" t="n">
        <v>45629.62798611111</v>
      </c>
      <c r="C329" s="1" t="n">
        <v>45916</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671-2022</t>
        </is>
      </c>
      <c r="B330" s="1" t="n">
        <v>44568</v>
      </c>
      <c r="C330" s="1" t="n">
        <v>45916</v>
      </c>
      <c r="D330" t="inlineStr">
        <is>
          <t>UPPSALA LÄN</t>
        </is>
      </c>
      <c r="E330" t="inlineStr">
        <is>
          <t>ENKÖPING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41616-2025</t>
        </is>
      </c>
      <c r="B331" s="1" t="n">
        <v>45901.69684027778</v>
      </c>
      <c r="C331" s="1" t="n">
        <v>45916</v>
      </c>
      <c r="D331" t="inlineStr">
        <is>
          <t>UPPSALA LÄN</t>
        </is>
      </c>
      <c r="E331" t="inlineStr">
        <is>
          <t>ENKÖPING</t>
        </is>
      </c>
      <c r="F331" t="inlineStr">
        <is>
          <t>Allmännings- och besparingsskogar</t>
        </is>
      </c>
      <c r="G331" t="n">
        <v>17.3</v>
      </c>
      <c r="H331" t="n">
        <v>0</v>
      </c>
      <c r="I331" t="n">
        <v>0</v>
      </c>
      <c r="J331" t="n">
        <v>0</v>
      </c>
      <c r="K331" t="n">
        <v>0</v>
      </c>
      <c r="L331" t="n">
        <v>0</v>
      </c>
      <c r="M331" t="n">
        <v>0</v>
      </c>
      <c r="N331" t="n">
        <v>0</v>
      </c>
      <c r="O331" t="n">
        <v>0</v>
      </c>
      <c r="P331" t="n">
        <v>0</v>
      </c>
      <c r="Q331" t="n">
        <v>0</v>
      </c>
      <c r="R331" s="2" t="inlineStr"/>
    </row>
    <row r="332" ht="15" customHeight="1">
      <c r="A332" t="inlineStr">
        <is>
          <t>A 41618-2025</t>
        </is>
      </c>
      <c r="B332" s="1" t="n">
        <v>45901.70085648148</v>
      </c>
      <c r="C332" s="1" t="n">
        <v>45916</v>
      </c>
      <c r="D332" t="inlineStr">
        <is>
          <t>UPPSALA LÄN</t>
        </is>
      </c>
      <c r="E332" t="inlineStr">
        <is>
          <t>ENKÖPING</t>
        </is>
      </c>
      <c r="F332" t="inlineStr">
        <is>
          <t>Allmännings- och besparingsskogar</t>
        </is>
      </c>
      <c r="G332" t="n">
        <v>5.3</v>
      </c>
      <c r="H332" t="n">
        <v>0</v>
      </c>
      <c r="I332" t="n">
        <v>0</v>
      </c>
      <c r="J332" t="n">
        <v>0</v>
      </c>
      <c r="K332" t="n">
        <v>0</v>
      </c>
      <c r="L332" t="n">
        <v>0</v>
      </c>
      <c r="M332" t="n">
        <v>0</v>
      </c>
      <c r="N332" t="n">
        <v>0</v>
      </c>
      <c r="O332" t="n">
        <v>0</v>
      </c>
      <c r="P332" t="n">
        <v>0</v>
      </c>
      <c r="Q332" t="n">
        <v>0</v>
      </c>
      <c r="R332" s="2" t="inlineStr"/>
    </row>
    <row r="333" ht="15" customHeight="1">
      <c r="A333" t="inlineStr">
        <is>
          <t>A 43488-2023</t>
        </is>
      </c>
      <c r="B333" s="1" t="n">
        <v>45181</v>
      </c>
      <c r="C333" s="1" t="n">
        <v>45916</v>
      </c>
      <c r="D333" t="inlineStr">
        <is>
          <t>UPPSALA LÄN</t>
        </is>
      </c>
      <c r="E333" t="inlineStr">
        <is>
          <t>ENKÖPING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41637-2025</t>
        </is>
      </c>
      <c r="B334" s="1" t="n">
        <v>45901</v>
      </c>
      <c r="C334" s="1" t="n">
        <v>45916</v>
      </c>
      <c r="D334" t="inlineStr">
        <is>
          <t>UPPSALA LÄN</t>
        </is>
      </c>
      <c r="E334" t="inlineStr">
        <is>
          <t>ENKÖPING</t>
        </is>
      </c>
      <c r="F334" t="inlineStr">
        <is>
          <t>Allmännings- och besparingsskogar</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9171-2024</t>
        </is>
      </c>
      <c r="B335" s="1" t="n">
        <v>45358</v>
      </c>
      <c r="C335" s="1" t="n">
        <v>45916</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21501-2025</t>
        </is>
      </c>
      <c r="B336" s="1" t="n">
        <v>45782</v>
      </c>
      <c r="C336" s="1" t="n">
        <v>45916</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34988-2025</t>
        </is>
      </c>
      <c r="B337" s="1" t="n">
        <v>45849</v>
      </c>
      <c r="C337" s="1" t="n">
        <v>45916</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43230-2023</t>
        </is>
      </c>
      <c r="B338" s="1" t="n">
        <v>45183</v>
      </c>
      <c r="C338" s="1" t="n">
        <v>45916</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45362-2022</t>
        </is>
      </c>
      <c r="B339" s="1" t="n">
        <v>44844.62366898148</v>
      </c>
      <c r="C339" s="1" t="n">
        <v>45916</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72840-2021</t>
        </is>
      </c>
      <c r="B340" s="1" t="n">
        <v>44547</v>
      </c>
      <c r="C340" s="1" t="n">
        <v>45916</v>
      </c>
      <c r="D340" t="inlineStr">
        <is>
          <t>UPPSALA LÄN</t>
        </is>
      </c>
      <c r="E340" t="inlineStr">
        <is>
          <t>ENKÖPING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42029-2025</t>
        </is>
      </c>
      <c r="B341" s="1" t="n">
        <v>45903</v>
      </c>
      <c r="C341" s="1" t="n">
        <v>45916</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34987-2025</t>
        </is>
      </c>
      <c r="B342" s="1" t="n">
        <v>45849</v>
      </c>
      <c r="C342" s="1" t="n">
        <v>45916</v>
      </c>
      <c r="D342" t="inlineStr">
        <is>
          <t>UPPSALA LÄN</t>
        </is>
      </c>
      <c r="E342" t="inlineStr">
        <is>
          <t>ENKÖPING</t>
        </is>
      </c>
      <c r="G342" t="n">
        <v>2.2</v>
      </c>
      <c r="H342" t="n">
        <v>0</v>
      </c>
      <c r="I342" t="n">
        <v>0</v>
      </c>
      <c r="J342" t="n">
        <v>0</v>
      </c>
      <c r="K342" t="n">
        <v>0</v>
      </c>
      <c r="L342" t="n">
        <v>0</v>
      </c>
      <c r="M342" t="n">
        <v>0</v>
      </c>
      <c r="N342" t="n">
        <v>0</v>
      </c>
      <c r="O342" t="n">
        <v>0</v>
      </c>
      <c r="P342" t="n">
        <v>0</v>
      </c>
      <c r="Q342" t="n">
        <v>0</v>
      </c>
      <c r="R342" s="2" t="inlineStr"/>
    </row>
    <row r="343" ht="15" customHeight="1">
      <c r="A343" t="inlineStr">
        <is>
          <t>A 34989-2025</t>
        </is>
      </c>
      <c r="B343" s="1" t="n">
        <v>45849</v>
      </c>
      <c r="C343" s="1" t="n">
        <v>45916</v>
      </c>
      <c r="D343" t="inlineStr">
        <is>
          <t>UPPSALA LÄN</t>
        </is>
      </c>
      <c r="E343" t="inlineStr">
        <is>
          <t>ENKÖPING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29482-2022</t>
        </is>
      </c>
      <c r="B344" s="1" t="n">
        <v>44753.57703703704</v>
      </c>
      <c r="C344" s="1" t="n">
        <v>45916</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29483-2022</t>
        </is>
      </c>
      <c r="B345" s="1" t="n">
        <v>44753.57829861111</v>
      </c>
      <c r="C345" s="1" t="n">
        <v>45916</v>
      </c>
      <c r="D345" t="inlineStr">
        <is>
          <t>UPPSALA LÄN</t>
        </is>
      </c>
      <c r="E345" t="inlineStr">
        <is>
          <t>ENKÖPING</t>
        </is>
      </c>
      <c r="G345" t="n">
        <v>3.6</v>
      </c>
      <c r="H345" t="n">
        <v>0</v>
      </c>
      <c r="I345" t="n">
        <v>0</v>
      </c>
      <c r="J345" t="n">
        <v>0</v>
      </c>
      <c r="K345" t="n">
        <v>0</v>
      </c>
      <c r="L345" t="n">
        <v>0</v>
      </c>
      <c r="M345" t="n">
        <v>0</v>
      </c>
      <c r="N345" t="n">
        <v>0</v>
      </c>
      <c r="O345" t="n">
        <v>0</v>
      </c>
      <c r="P345" t="n">
        <v>0</v>
      </c>
      <c r="Q345" t="n">
        <v>0</v>
      </c>
      <c r="R345" s="2" t="inlineStr"/>
    </row>
    <row r="346" ht="15" customHeight="1">
      <c r="A346" t="inlineStr">
        <is>
          <t>A 41764-2025</t>
        </is>
      </c>
      <c r="B346" s="1" t="n">
        <v>45902</v>
      </c>
      <c r="C346" s="1" t="n">
        <v>45916</v>
      </c>
      <c r="D346" t="inlineStr">
        <is>
          <t>UPPSALA LÄN</t>
        </is>
      </c>
      <c r="E346" t="inlineStr">
        <is>
          <t>ENKÖPING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44232-2022</t>
        </is>
      </c>
      <c r="B347" s="1" t="n">
        <v>44839</v>
      </c>
      <c r="C347" s="1" t="n">
        <v>45916</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61106-2022</t>
        </is>
      </c>
      <c r="B348" s="1" t="n">
        <v>44915.4128587963</v>
      </c>
      <c r="C348" s="1" t="n">
        <v>45916</v>
      </c>
      <c r="D348" t="inlineStr">
        <is>
          <t>UPPSALA LÄN</t>
        </is>
      </c>
      <c r="E348" t="inlineStr">
        <is>
          <t>ENKÖPING</t>
        </is>
      </c>
      <c r="G348" t="n">
        <v>0.8</v>
      </c>
      <c r="H348" t="n">
        <v>0</v>
      </c>
      <c r="I348" t="n">
        <v>0</v>
      </c>
      <c r="J348" t="n">
        <v>0</v>
      </c>
      <c r="K348" t="n">
        <v>0</v>
      </c>
      <c r="L348" t="n">
        <v>0</v>
      </c>
      <c r="M348" t="n">
        <v>0</v>
      </c>
      <c r="N348" t="n">
        <v>0</v>
      </c>
      <c r="O348" t="n">
        <v>0</v>
      </c>
      <c r="P348" t="n">
        <v>0</v>
      </c>
      <c r="Q348" t="n">
        <v>0</v>
      </c>
      <c r="R348" s="2" t="inlineStr"/>
    </row>
    <row r="349" ht="15" customHeight="1">
      <c r="A349" t="inlineStr">
        <is>
          <t>A 39624-2023</t>
        </is>
      </c>
      <c r="B349" s="1" t="n">
        <v>45164</v>
      </c>
      <c r="C349" s="1" t="n">
        <v>45916</v>
      </c>
      <c r="D349" t="inlineStr">
        <is>
          <t>UPPSALA LÄN</t>
        </is>
      </c>
      <c r="E349" t="inlineStr">
        <is>
          <t>ENKÖPING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41765-2025</t>
        </is>
      </c>
      <c r="B350" s="1" t="n">
        <v>45902</v>
      </c>
      <c r="C350" s="1" t="n">
        <v>45916</v>
      </c>
      <c r="D350" t="inlineStr">
        <is>
          <t>UPPSALA LÄN</t>
        </is>
      </c>
      <c r="E350" t="inlineStr">
        <is>
          <t>ENKÖPING</t>
        </is>
      </c>
      <c r="G350" t="n">
        <v>2.7</v>
      </c>
      <c r="H350" t="n">
        <v>0</v>
      </c>
      <c r="I350" t="n">
        <v>0</v>
      </c>
      <c r="J350" t="n">
        <v>0</v>
      </c>
      <c r="K350" t="n">
        <v>0</v>
      </c>
      <c r="L350" t="n">
        <v>0</v>
      </c>
      <c r="M350" t="n">
        <v>0</v>
      </c>
      <c r="N350" t="n">
        <v>0</v>
      </c>
      <c r="O350" t="n">
        <v>0</v>
      </c>
      <c r="P350" t="n">
        <v>0</v>
      </c>
      <c r="Q350" t="n">
        <v>0</v>
      </c>
      <c r="R350" s="2" t="inlineStr"/>
    </row>
    <row r="351" ht="15" customHeight="1">
      <c r="A351" t="inlineStr">
        <is>
          <t>A 20184-2023</t>
        </is>
      </c>
      <c r="B351" s="1" t="n">
        <v>45055.5670949074</v>
      </c>
      <c r="C351" s="1" t="n">
        <v>45916</v>
      </c>
      <c r="D351" t="inlineStr">
        <is>
          <t>UPPSALA LÄN</t>
        </is>
      </c>
      <c r="E351" t="inlineStr">
        <is>
          <t>ENKÖPING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8152-2022</t>
        </is>
      </c>
      <c r="B352" s="1" t="n">
        <v>44609</v>
      </c>
      <c r="C352" s="1" t="n">
        <v>45916</v>
      </c>
      <c r="D352" t="inlineStr">
        <is>
          <t>UPPSALA LÄN</t>
        </is>
      </c>
      <c r="E352" t="inlineStr">
        <is>
          <t>ENKÖPING</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38941-2025</t>
        </is>
      </c>
      <c r="B353" s="1" t="n">
        <v>45887</v>
      </c>
      <c r="C353" s="1" t="n">
        <v>45916</v>
      </c>
      <c r="D353" t="inlineStr">
        <is>
          <t>UPPSALA LÄN</t>
        </is>
      </c>
      <c r="E353" t="inlineStr">
        <is>
          <t>ENKÖPING</t>
        </is>
      </c>
      <c r="F353" t="inlineStr">
        <is>
          <t>Övriga statliga verk och myndigheter</t>
        </is>
      </c>
      <c r="G353" t="n">
        <v>0.6</v>
      </c>
      <c r="H353" t="n">
        <v>0</v>
      </c>
      <c r="I353" t="n">
        <v>0</v>
      </c>
      <c r="J353" t="n">
        <v>0</v>
      </c>
      <c r="K353" t="n">
        <v>0</v>
      </c>
      <c r="L353" t="n">
        <v>0</v>
      </c>
      <c r="M353" t="n">
        <v>0</v>
      </c>
      <c r="N353" t="n">
        <v>0</v>
      </c>
      <c r="O353" t="n">
        <v>0</v>
      </c>
      <c r="P353" t="n">
        <v>0</v>
      </c>
      <c r="Q353" t="n">
        <v>0</v>
      </c>
      <c r="R353" s="2" t="inlineStr"/>
    </row>
    <row r="354" ht="15" customHeight="1">
      <c r="A354" t="inlineStr">
        <is>
          <t>A 49622-2024</t>
        </is>
      </c>
      <c r="B354" s="1" t="n">
        <v>45596.58372685185</v>
      </c>
      <c r="C354" s="1" t="n">
        <v>45916</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40223-2024</t>
        </is>
      </c>
      <c r="B355" s="1" t="n">
        <v>45554</v>
      </c>
      <c r="C355" s="1" t="n">
        <v>45916</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36492-2025</t>
        </is>
      </c>
      <c r="B356" s="1" t="n">
        <v>45869</v>
      </c>
      <c r="C356" s="1" t="n">
        <v>45916</v>
      </c>
      <c r="D356" t="inlineStr">
        <is>
          <t>UPPSALA LÄN</t>
        </is>
      </c>
      <c r="E356" t="inlineStr">
        <is>
          <t>ENKÖPING</t>
        </is>
      </c>
      <c r="G356" t="n">
        <v>6.3</v>
      </c>
      <c r="H356" t="n">
        <v>0</v>
      </c>
      <c r="I356" t="n">
        <v>0</v>
      </c>
      <c r="J356" t="n">
        <v>0</v>
      </c>
      <c r="K356" t="n">
        <v>0</v>
      </c>
      <c r="L356" t="n">
        <v>0</v>
      </c>
      <c r="M356" t="n">
        <v>0</v>
      </c>
      <c r="N356" t="n">
        <v>0</v>
      </c>
      <c r="O356" t="n">
        <v>0</v>
      </c>
      <c r="P356" t="n">
        <v>0</v>
      </c>
      <c r="Q356" t="n">
        <v>0</v>
      </c>
      <c r="R356" s="2" t="inlineStr"/>
    </row>
    <row r="357" ht="15" customHeight="1">
      <c r="A357" t="inlineStr">
        <is>
          <t>A 34617-2022</t>
        </is>
      </c>
      <c r="B357" s="1" t="n">
        <v>44795</v>
      </c>
      <c r="C357" s="1" t="n">
        <v>45916</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1992-2022</t>
        </is>
      </c>
      <c r="B358" s="1" t="n">
        <v>44575.56153935185</v>
      </c>
      <c r="C358" s="1" t="n">
        <v>45916</v>
      </c>
      <c r="D358" t="inlineStr">
        <is>
          <t>UPPSALA LÄN</t>
        </is>
      </c>
      <c r="E358" t="inlineStr">
        <is>
          <t>ENKÖPING</t>
        </is>
      </c>
      <c r="G358" t="n">
        <v>2.8</v>
      </c>
      <c r="H358" t="n">
        <v>0</v>
      </c>
      <c r="I358" t="n">
        <v>0</v>
      </c>
      <c r="J358" t="n">
        <v>0</v>
      </c>
      <c r="K358" t="n">
        <v>0</v>
      </c>
      <c r="L358" t="n">
        <v>0</v>
      </c>
      <c r="M358" t="n">
        <v>0</v>
      </c>
      <c r="N358" t="n">
        <v>0</v>
      </c>
      <c r="O358" t="n">
        <v>0</v>
      </c>
      <c r="P358" t="n">
        <v>0</v>
      </c>
      <c r="Q358" t="n">
        <v>0</v>
      </c>
      <c r="R358" s="2" t="inlineStr"/>
    </row>
    <row r="359" ht="15" customHeight="1">
      <c r="A359" t="inlineStr">
        <is>
          <t>A 18583-2021</t>
        </is>
      </c>
      <c r="B359" s="1" t="n">
        <v>44306</v>
      </c>
      <c r="C359" s="1" t="n">
        <v>45916</v>
      </c>
      <c r="D359" t="inlineStr">
        <is>
          <t>UPPSALA LÄN</t>
        </is>
      </c>
      <c r="E359" t="inlineStr">
        <is>
          <t>ENKÖPING</t>
        </is>
      </c>
      <c r="G359" t="n">
        <v>0.4</v>
      </c>
      <c r="H359" t="n">
        <v>0</v>
      </c>
      <c r="I359" t="n">
        <v>0</v>
      </c>
      <c r="J359" t="n">
        <v>0</v>
      </c>
      <c r="K359" t="n">
        <v>0</v>
      </c>
      <c r="L359" t="n">
        <v>0</v>
      </c>
      <c r="M359" t="n">
        <v>0</v>
      </c>
      <c r="N359" t="n">
        <v>0</v>
      </c>
      <c r="O359" t="n">
        <v>0</v>
      </c>
      <c r="P359" t="n">
        <v>0</v>
      </c>
      <c r="Q359" t="n">
        <v>0</v>
      </c>
      <c r="R359" s="2" t="inlineStr"/>
    </row>
    <row r="360" ht="15" customHeight="1">
      <c r="A360" t="inlineStr">
        <is>
          <t>A 37035-2023</t>
        </is>
      </c>
      <c r="B360" s="1" t="n">
        <v>45155</v>
      </c>
      <c r="C360" s="1" t="n">
        <v>45916</v>
      </c>
      <c r="D360" t="inlineStr">
        <is>
          <t>UPPSALA LÄN</t>
        </is>
      </c>
      <c r="E360" t="inlineStr">
        <is>
          <t>ENKÖPING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1695-2025</t>
        </is>
      </c>
      <c r="B361" s="1" t="n">
        <v>45670</v>
      </c>
      <c r="C361" s="1" t="n">
        <v>45916</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52889-2022</t>
        </is>
      </c>
      <c r="B362" s="1" t="n">
        <v>44875</v>
      </c>
      <c r="C362" s="1" t="n">
        <v>45916</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51027-2024</t>
        </is>
      </c>
      <c r="B363" s="1" t="n">
        <v>45603</v>
      </c>
      <c r="C363" s="1" t="n">
        <v>45916</v>
      </c>
      <c r="D363" t="inlineStr">
        <is>
          <t>UPPSALA LÄN</t>
        </is>
      </c>
      <c r="E363" t="inlineStr">
        <is>
          <t>ENKÖPING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51030-2024</t>
        </is>
      </c>
      <c r="B364" s="1" t="n">
        <v>45603</v>
      </c>
      <c r="C364" s="1" t="n">
        <v>45916</v>
      </c>
      <c r="D364" t="inlineStr">
        <is>
          <t>UPPSALA LÄN</t>
        </is>
      </c>
      <c r="E364" t="inlineStr">
        <is>
          <t>ENKÖPING</t>
        </is>
      </c>
      <c r="G364" t="n">
        <v>2</v>
      </c>
      <c r="H364" t="n">
        <v>0</v>
      </c>
      <c r="I364" t="n">
        <v>0</v>
      </c>
      <c r="J364" t="n">
        <v>0</v>
      </c>
      <c r="K364" t="n">
        <v>0</v>
      </c>
      <c r="L364" t="n">
        <v>0</v>
      </c>
      <c r="M364" t="n">
        <v>0</v>
      </c>
      <c r="N364" t="n">
        <v>0</v>
      </c>
      <c r="O364" t="n">
        <v>0</v>
      </c>
      <c r="P364" t="n">
        <v>0</v>
      </c>
      <c r="Q364" t="n">
        <v>0</v>
      </c>
      <c r="R364" s="2" t="inlineStr"/>
    </row>
    <row r="365" ht="15" customHeight="1">
      <c r="A365" t="inlineStr">
        <is>
          <t>A 36350-2025</t>
        </is>
      </c>
      <c r="B365" s="1" t="n">
        <v>45868</v>
      </c>
      <c r="C365" s="1" t="n">
        <v>45916</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43103-2025</t>
        </is>
      </c>
      <c r="B366" s="1" t="n">
        <v>45909</v>
      </c>
      <c r="C366" s="1" t="n">
        <v>45916</v>
      </c>
      <c r="D366" t="inlineStr">
        <is>
          <t>UPPSALA LÄN</t>
        </is>
      </c>
      <c r="E366" t="inlineStr">
        <is>
          <t>ENKÖPING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54357-2023</t>
        </is>
      </c>
      <c r="B367" s="1" t="n">
        <v>45225</v>
      </c>
      <c r="C367" s="1" t="n">
        <v>45916</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26292-2022</t>
        </is>
      </c>
      <c r="B368" s="1" t="n">
        <v>44735</v>
      </c>
      <c r="C368" s="1" t="n">
        <v>45916</v>
      </c>
      <c r="D368" t="inlineStr">
        <is>
          <t>UPPSALA LÄN</t>
        </is>
      </c>
      <c r="E368" t="inlineStr">
        <is>
          <t>ENKÖPING</t>
        </is>
      </c>
      <c r="F368" t="inlineStr">
        <is>
          <t>Kyrkan</t>
        </is>
      </c>
      <c r="G368" t="n">
        <v>4.6</v>
      </c>
      <c r="H368" t="n">
        <v>0</v>
      </c>
      <c r="I368" t="n">
        <v>0</v>
      </c>
      <c r="J368" t="n">
        <v>0</v>
      </c>
      <c r="K368" t="n">
        <v>0</v>
      </c>
      <c r="L368" t="n">
        <v>0</v>
      </c>
      <c r="M368" t="n">
        <v>0</v>
      </c>
      <c r="N368" t="n">
        <v>0</v>
      </c>
      <c r="O368" t="n">
        <v>0</v>
      </c>
      <c r="P368" t="n">
        <v>0</v>
      </c>
      <c r="Q368" t="n">
        <v>0</v>
      </c>
      <c r="R368" s="2" t="inlineStr"/>
    </row>
    <row r="369" ht="15" customHeight="1">
      <c r="A369" t="inlineStr">
        <is>
          <t>A 4044-2024</t>
        </is>
      </c>
      <c r="B369" s="1" t="n">
        <v>45323.45954861111</v>
      </c>
      <c r="C369" s="1" t="n">
        <v>45916</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24962-2023</t>
        </is>
      </c>
      <c r="B370" s="1" t="n">
        <v>45085.60123842592</v>
      </c>
      <c r="C370" s="1" t="n">
        <v>45916</v>
      </c>
      <c r="D370" t="inlineStr">
        <is>
          <t>UPPSALA LÄN</t>
        </is>
      </c>
      <c r="E370" t="inlineStr">
        <is>
          <t>ENKÖPING</t>
        </is>
      </c>
      <c r="G370" t="n">
        <v>2.8</v>
      </c>
      <c r="H370" t="n">
        <v>0</v>
      </c>
      <c r="I370" t="n">
        <v>0</v>
      </c>
      <c r="J370" t="n">
        <v>0</v>
      </c>
      <c r="K370" t="n">
        <v>0</v>
      </c>
      <c r="L370" t="n">
        <v>0</v>
      </c>
      <c r="M370" t="n">
        <v>0</v>
      </c>
      <c r="N370" t="n">
        <v>0</v>
      </c>
      <c r="O370" t="n">
        <v>0</v>
      </c>
      <c r="P370" t="n">
        <v>0</v>
      </c>
      <c r="Q370" t="n">
        <v>0</v>
      </c>
      <c r="R370" s="2" t="inlineStr"/>
    </row>
    <row r="371" ht="15" customHeight="1">
      <c r="A371" t="inlineStr">
        <is>
          <t>A 33349-2024</t>
        </is>
      </c>
      <c r="B371" s="1" t="n">
        <v>45519</v>
      </c>
      <c r="C371" s="1" t="n">
        <v>45916</v>
      </c>
      <c r="D371" t="inlineStr">
        <is>
          <t>UPPSALA LÄN</t>
        </is>
      </c>
      <c r="E371" t="inlineStr">
        <is>
          <t>ENKÖPING</t>
        </is>
      </c>
      <c r="G371" t="n">
        <v>3.6</v>
      </c>
      <c r="H371" t="n">
        <v>0</v>
      </c>
      <c r="I371" t="n">
        <v>0</v>
      </c>
      <c r="J371" t="n">
        <v>0</v>
      </c>
      <c r="K371" t="n">
        <v>0</v>
      </c>
      <c r="L371" t="n">
        <v>0</v>
      </c>
      <c r="M371" t="n">
        <v>0</v>
      </c>
      <c r="N371" t="n">
        <v>0</v>
      </c>
      <c r="O371" t="n">
        <v>0</v>
      </c>
      <c r="P371" t="n">
        <v>0</v>
      </c>
      <c r="Q371" t="n">
        <v>0</v>
      </c>
      <c r="R371" s="2" t="inlineStr"/>
    </row>
    <row r="372" ht="15" customHeight="1">
      <c r="A372" t="inlineStr">
        <is>
          <t>A 22912-2024</t>
        </is>
      </c>
      <c r="B372" s="1" t="n">
        <v>45448.73118055556</v>
      </c>
      <c r="C372" s="1" t="n">
        <v>45916</v>
      </c>
      <c r="D372" t="inlineStr">
        <is>
          <t>UPPSALA LÄN</t>
        </is>
      </c>
      <c r="E372" t="inlineStr">
        <is>
          <t>ENKÖPING</t>
        </is>
      </c>
      <c r="G372" t="n">
        <v>2.8</v>
      </c>
      <c r="H372" t="n">
        <v>0</v>
      </c>
      <c r="I372" t="n">
        <v>0</v>
      </c>
      <c r="J372" t="n">
        <v>0</v>
      </c>
      <c r="K372" t="n">
        <v>0</v>
      </c>
      <c r="L372" t="n">
        <v>0</v>
      </c>
      <c r="M372" t="n">
        <v>0</v>
      </c>
      <c r="N372" t="n">
        <v>0</v>
      </c>
      <c r="O372" t="n">
        <v>0</v>
      </c>
      <c r="P372" t="n">
        <v>0</v>
      </c>
      <c r="Q372" t="n">
        <v>0</v>
      </c>
      <c r="R372" s="2" t="inlineStr"/>
    </row>
    <row r="373" ht="15" customHeight="1">
      <c r="A373" t="inlineStr">
        <is>
          <t>A 67765-2020</t>
        </is>
      </c>
      <c r="B373" s="1" t="n">
        <v>44182</v>
      </c>
      <c r="C373" s="1" t="n">
        <v>45916</v>
      </c>
      <c r="D373" t="inlineStr">
        <is>
          <t>UPPSALA LÄN</t>
        </is>
      </c>
      <c r="E373" t="inlineStr">
        <is>
          <t>ENKÖPING</t>
        </is>
      </c>
      <c r="G373" t="n">
        <v>3.6</v>
      </c>
      <c r="H373" t="n">
        <v>0</v>
      </c>
      <c r="I373" t="n">
        <v>0</v>
      </c>
      <c r="J373" t="n">
        <v>0</v>
      </c>
      <c r="K373" t="n">
        <v>0</v>
      </c>
      <c r="L373" t="n">
        <v>0</v>
      </c>
      <c r="M373" t="n">
        <v>0</v>
      </c>
      <c r="N373" t="n">
        <v>0</v>
      </c>
      <c r="O373" t="n">
        <v>0</v>
      </c>
      <c r="P373" t="n">
        <v>0</v>
      </c>
      <c r="Q373" t="n">
        <v>0</v>
      </c>
      <c r="R373" s="2" t="inlineStr"/>
    </row>
    <row r="374" ht="15" customHeight="1">
      <c r="A374" t="inlineStr">
        <is>
          <t>A 43999-2025</t>
        </is>
      </c>
      <c r="B374" s="1" t="n">
        <v>45915.45158564814</v>
      </c>
      <c r="C374" s="1" t="n">
        <v>45916</v>
      </c>
      <c r="D374" t="inlineStr">
        <is>
          <t>UPPSALA LÄN</t>
        </is>
      </c>
      <c r="E374" t="inlineStr">
        <is>
          <t>ENKÖPING</t>
        </is>
      </c>
      <c r="G374" t="n">
        <v>4.1</v>
      </c>
      <c r="H374" t="n">
        <v>0</v>
      </c>
      <c r="I374" t="n">
        <v>0</v>
      </c>
      <c r="J374" t="n">
        <v>0</v>
      </c>
      <c r="K374" t="n">
        <v>0</v>
      </c>
      <c r="L374" t="n">
        <v>0</v>
      </c>
      <c r="M374" t="n">
        <v>0</v>
      </c>
      <c r="N374" t="n">
        <v>0</v>
      </c>
      <c r="O374" t="n">
        <v>0</v>
      </c>
      <c r="P374" t="n">
        <v>0</v>
      </c>
      <c r="Q374" t="n">
        <v>0</v>
      </c>
      <c r="R374" s="2" t="inlineStr"/>
    </row>
    <row r="375" ht="15" customHeight="1">
      <c r="A375" t="inlineStr">
        <is>
          <t>A 53149-2020</t>
        </is>
      </c>
      <c r="B375" s="1" t="n">
        <v>44120</v>
      </c>
      <c r="C375" s="1" t="n">
        <v>45916</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21612-2023</t>
        </is>
      </c>
      <c r="B376" s="1" t="n">
        <v>45063</v>
      </c>
      <c r="C376" s="1" t="n">
        <v>45916</v>
      </c>
      <c r="D376" t="inlineStr">
        <is>
          <t>UPPSALA LÄN</t>
        </is>
      </c>
      <c r="E376" t="inlineStr">
        <is>
          <t>ENKÖPING</t>
        </is>
      </c>
      <c r="F376" t="inlineStr">
        <is>
          <t>Allmännings- och besparingsskogar</t>
        </is>
      </c>
      <c r="G376" t="n">
        <v>1</v>
      </c>
      <c r="H376" t="n">
        <v>0</v>
      </c>
      <c r="I376" t="n">
        <v>0</v>
      </c>
      <c r="J376" t="n">
        <v>0</v>
      </c>
      <c r="K376" t="n">
        <v>0</v>
      </c>
      <c r="L376" t="n">
        <v>0</v>
      </c>
      <c r="M376" t="n">
        <v>0</v>
      </c>
      <c r="N376" t="n">
        <v>0</v>
      </c>
      <c r="O376" t="n">
        <v>0</v>
      </c>
      <c r="P376" t="n">
        <v>0</v>
      </c>
      <c r="Q376" t="n">
        <v>0</v>
      </c>
      <c r="R376" s="2" t="inlineStr"/>
    </row>
    <row r="377" ht="15" customHeight="1">
      <c r="A377" t="inlineStr">
        <is>
          <t>A 42756-2025</t>
        </is>
      </c>
      <c r="B377" s="1" t="n">
        <v>45908</v>
      </c>
      <c r="C377" s="1" t="n">
        <v>45916</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6298-2021</t>
        </is>
      </c>
      <c r="B378" s="1" t="n">
        <v>44235</v>
      </c>
      <c r="C378" s="1" t="n">
        <v>45916</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25989-2025</t>
        </is>
      </c>
      <c r="B379" s="1" t="n">
        <v>45804.65050925926</v>
      </c>
      <c r="C379" s="1" t="n">
        <v>45916</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14243-2025</t>
        </is>
      </c>
      <c r="B380" s="1" t="n">
        <v>45740.61288194444</v>
      </c>
      <c r="C380" s="1" t="n">
        <v>45916</v>
      </c>
      <c r="D380" t="inlineStr">
        <is>
          <t>UPPSALA LÄN</t>
        </is>
      </c>
      <c r="E380" t="inlineStr">
        <is>
          <t>ENKÖPING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33343-2024</t>
        </is>
      </c>
      <c r="B381" s="1" t="n">
        <v>45519</v>
      </c>
      <c r="C381" s="1" t="n">
        <v>45916</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58961-2024</t>
        </is>
      </c>
      <c r="B382" s="1" t="n">
        <v>45636.585</v>
      </c>
      <c r="C382" s="1" t="n">
        <v>45916</v>
      </c>
      <c r="D382" t="inlineStr">
        <is>
          <t>UPPSALA LÄN</t>
        </is>
      </c>
      <c r="E382" t="inlineStr">
        <is>
          <t>ENKÖPING</t>
        </is>
      </c>
      <c r="G382" t="n">
        <v>4</v>
      </c>
      <c r="H382" t="n">
        <v>0</v>
      </c>
      <c r="I382" t="n">
        <v>0</v>
      </c>
      <c r="J382" t="n">
        <v>0</v>
      </c>
      <c r="K382" t="n">
        <v>0</v>
      </c>
      <c r="L382" t="n">
        <v>0</v>
      </c>
      <c r="M382" t="n">
        <v>0</v>
      </c>
      <c r="N382" t="n">
        <v>0</v>
      </c>
      <c r="O382" t="n">
        <v>0</v>
      </c>
      <c r="P382" t="n">
        <v>0</v>
      </c>
      <c r="Q382" t="n">
        <v>0</v>
      </c>
      <c r="R382" s="2" t="inlineStr"/>
    </row>
    <row r="383" ht="15" customHeight="1">
      <c r="A383" t="inlineStr">
        <is>
          <t>A 36599-2025</t>
        </is>
      </c>
      <c r="B383" s="1" t="n">
        <v>45870.51723379629</v>
      </c>
      <c r="C383" s="1" t="n">
        <v>45916</v>
      </c>
      <c r="D383" t="inlineStr">
        <is>
          <t>UPPSALA LÄN</t>
        </is>
      </c>
      <c r="E383" t="inlineStr">
        <is>
          <t>ENKÖPING</t>
        </is>
      </c>
      <c r="G383" t="n">
        <v>5.9</v>
      </c>
      <c r="H383" t="n">
        <v>0</v>
      </c>
      <c r="I383" t="n">
        <v>0</v>
      </c>
      <c r="J383" t="n">
        <v>0</v>
      </c>
      <c r="K383" t="n">
        <v>0</v>
      </c>
      <c r="L383" t="n">
        <v>0</v>
      </c>
      <c r="M383" t="n">
        <v>0</v>
      </c>
      <c r="N383" t="n">
        <v>0</v>
      </c>
      <c r="O383" t="n">
        <v>0</v>
      </c>
      <c r="P383" t="n">
        <v>0</v>
      </c>
      <c r="Q383" t="n">
        <v>0</v>
      </c>
      <c r="R383" s="2" t="inlineStr"/>
    </row>
    <row r="384" ht="15" customHeight="1">
      <c r="A384" t="inlineStr">
        <is>
          <t>A 53595-2023</t>
        </is>
      </c>
      <c r="B384" s="1" t="n">
        <v>45223</v>
      </c>
      <c r="C384" s="1" t="n">
        <v>45916</v>
      </c>
      <c r="D384" t="inlineStr">
        <is>
          <t>UPPSALA LÄN</t>
        </is>
      </c>
      <c r="E384" t="inlineStr">
        <is>
          <t>ENKÖPING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15893-2024</t>
        </is>
      </c>
      <c r="B385" s="1" t="n">
        <v>45405</v>
      </c>
      <c r="C385" s="1" t="n">
        <v>45916</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18028-2023</t>
        </is>
      </c>
      <c r="B386" s="1" t="n">
        <v>45040</v>
      </c>
      <c r="C386" s="1" t="n">
        <v>45916</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18302-2025</t>
        </is>
      </c>
      <c r="B387" s="1" t="n">
        <v>45762</v>
      </c>
      <c r="C387" s="1" t="n">
        <v>45916</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28243-2023</t>
        </is>
      </c>
      <c r="B388" s="1" t="n">
        <v>45099.58885416666</v>
      </c>
      <c r="C388" s="1" t="n">
        <v>45916</v>
      </c>
      <c r="D388" t="inlineStr">
        <is>
          <t>UPPSALA LÄN</t>
        </is>
      </c>
      <c r="E388" t="inlineStr">
        <is>
          <t>ENKÖPING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48843-2023</t>
        </is>
      </c>
      <c r="B389" s="1" t="n">
        <v>45209</v>
      </c>
      <c r="C389" s="1" t="n">
        <v>45916</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33670-2024</t>
        </is>
      </c>
      <c r="B390" s="1" t="n">
        <v>45520</v>
      </c>
      <c r="C390" s="1" t="n">
        <v>45916</v>
      </c>
      <c r="D390" t="inlineStr">
        <is>
          <t>UPPSALA LÄN</t>
        </is>
      </c>
      <c r="E390" t="inlineStr">
        <is>
          <t>ENKÖPING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3235-2025</t>
        </is>
      </c>
      <c r="B391" s="1" t="n">
        <v>45679</v>
      </c>
      <c r="C391" s="1" t="n">
        <v>45916</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41828-2024</t>
        </is>
      </c>
      <c r="B392" s="1" t="n">
        <v>45561</v>
      </c>
      <c r="C392" s="1" t="n">
        <v>45916</v>
      </c>
      <c r="D392" t="inlineStr">
        <is>
          <t>UPPSALA LÄN</t>
        </is>
      </c>
      <c r="E392" t="inlineStr">
        <is>
          <t>ENKÖPING</t>
        </is>
      </c>
      <c r="G392" t="n">
        <v>2.5</v>
      </c>
      <c r="H392" t="n">
        <v>0</v>
      </c>
      <c r="I392" t="n">
        <v>0</v>
      </c>
      <c r="J392" t="n">
        <v>0</v>
      </c>
      <c r="K392" t="n">
        <v>0</v>
      </c>
      <c r="L392" t="n">
        <v>0</v>
      </c>
      <c r="M392" t="n">
        <v>0</v>
      </c>
      <c r="N392" t="n">
        <v>0</v>
      </c>
      <c r="O392" t="n">
        <v>0</v>
      </c>
      <c r="P392" t="n">
        <v>0</v>
      </c>
      <c r="Q392" t="n">
        <v>0</v>
      </c>
      <c r="R392" s="2" t="inlineStr"/>
    </row>
    <row r="393" ht="15" customHeight="1">
      <c r="A393" t="inlineStr">
        <is>
          <t>A 1536-2024</t>
        </is>
      </c>
      <c r="B393" s="1" t="n">
        <v>45306</v>
      </c>
      <c r="C393" s="1" t="n">
        <v>45916</v>
      </c>
      <c r="D393" t="inlineStr">
        <is>
          <t>UPPSALA LÄN</t>
        </is>
      </c>
      <c r="E393" t="inlineStr">
        <is>
          <t>ENKÖPING</t>
        </is>
      </c>
      <c r="F393" t="inlineStr">
        <is>
          <t>Kyrkan</t>
        </is>
      </c>
      <c r="G393" t="n">
        <v>5.6</v>
      </c>
      <c r="H393" t="n">
        <v>0</v>
      </c>
      <c r="I393" t="n">
        <v>0</v>
      </c>
      <c r="J393" t="n">
        <v>0</v>
      </c>
      <c r="K393" t="n">
        <v>0</v>
      </c>
      <c r="L393" t="n">
        <v>0</v>
      </c>
      <c r="M393" t="n">
        <v>0</v>
      </c>
      <c r="N393" t="n">
        <v>0</v>
      </c>
      <c r="O393" t="n">
        <v>0</v>
      </c>
      <c r="P393" t="n">
        <v>0</v>
      </c>
      <c r="Q393" t="n">
        <v>0</v>
      </c>
      <c r="R393" s="2" t="inlineStr"/>
    </row>
    <row r="394" ht="15" customHeight="1">
      <c r="A394" t="inlineStr">
        <is>
          <t>A 19376-2024</t>
        </is>
      </c>
      <c r="B394" s="1" t="n">
        <v>45429</v>
      </c>
      <c r="C394" s="1" t="n">
        <v>45916</v>
      </c>
      <c r="D394" t="inlineStr">
        <is>
          <t>UPPSALA LÄN</t>
        </is>
      </c>
      <c r="E394" t="inlineStr">
        <is>
          <t>ENKÖPING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42564-2024</t>
        </is>
      </c>
      <c r="B395" s="1" t="n">
        <v>45565.63358796296</v>
      </c>
      <c r="C395" s="1" t="n">
        <v>45916</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43492-2023</t>
        </is>
      </c>
      <c r="B396" s="1" t="n">
        <v>45181</v>
      </c>
      <c r="C396" s="1" t="n">
        <v>45916</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6626-2023</t>
        </is>
      </c>
      <c r="B397" s="1" t="n">
        <v>44966.55946759259</v>
      </c>
      <c r="C397" s="1" t="n">
        <v>45916</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61711-2020</t>
        </is>
      </c>
      <c r="B398" s="1" t="n">
        <v>44158</v>
      </c>
      <c r="C398" s="1" t="n">
        <v>45916</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12020-2024</t>
        </is>
      </c>
      <c r="B399" s="1" t="n">
        <v>45377</v>
      </c>
      <c r="C399" s="1" t="n">
        <v>45916</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45916</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14332-2024</t>
        </is>
      </c>
      <c r="B401" s="1" t="n">
        <v>45393</v>
      </c>
      <c r="C401" s="1" t="n">
        <v>45916</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61207-2023</t>
        </is>
      </c>
      <c r="B402" s="1" t="n">
        <v>45264.39444444444</v>
      </c>
      <c r="C402" s="1" t="n">
        <v>45916</v>
      </c>
      <c r="D402" t="inlineStr">
        <is>
          <t>UPPSALA LÄN</t>
        </is>
      </c>
      <c r="E402" t="inlineStr">
        <is>
          <t>ENKÖPING</t>
        </is>
      </c>
      <c r="G402" t="n">
        <v>10.8</v>
      </c>
      <c r="H402" t="n">
        <v>0</v>
      </c>
      <c r="I402" t="n">
        <v>0</v>
      </c>
      <c r="J402" t="n">
        <v>0</v>
      </c>
      <c r="K402" t="n">
        <v>0</v>
      </c>
      <c r="L402" t="n">
        <v>0</v>
      </c>
      <c r="M402" t="n">
        <v>0</v>
      </c>
      <c r="N402" t="n">
        <v>0</v>
      </c>
      <c r="O402" t="n">
        <v>0</v>
      </c>
      <c r="P402" t="n">
        <v>0</v>
      </c>
      <c r="Q402" t="n">
        <v>0</v>
      </c>
      <c r="R402" s="2" t="inlineStr"/>
    </row>
    <row r="403" ht="15" customHeight="1">
      <c r="A403" t="inlineStr">
        <is>
          <t>A 17165-2025</t>
        </is>
      </c>
      <c r="B403" s="1" t="n">
        <v>45756</v>
      </c>
      <c r="C403" s="1" t="n">
        <v>45916</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5013-2025</t>
        </is>
      </c>
      <c r="B404" s="1" t="n">
        <v>45691</v>
      </c>
      <c r="C404" s="1" t="n">
        <v>45916</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40812-2022</t>
        </is>
      </c>
      <c r="B405" s="1" t="n">
        <v>44824.68791666667</v>
      </c>
      <c r="C405" s="1" t="n">
        <v>45916</v>
      </c>
      <c r="D405" t="inlineStr">
        <is>
          <t>UPPSALA LÄN</t>
        </is>
      </c>
      <c r="E405" t="inlineStr">
        <is>
          <t>ENKÖPING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58896-2020</t>
        </is>
      </c>
      <c r="B406" s="1" t="n">
        <v>44146</v>
      </c>
      <c r="C406" s="1" t="n">
        <v>45916</v>
      </c>
      <c r="D406" t="inlineStr">
        <is>
          <t>UPPSALA LÄN</t>
        </is>
      </c>
      <c r="E406" t="inlineStr">
        <is>
          <t>ENKÖPING</t>
        </is>
      </c>
      <c r="G406" t="n">
        <v>2.5</v>
      </c>
      <c r="H406" t="n">
        <v>0</v>
      </c>
      <c r="I406" t="n">
        <v>0</v>
      </c>
      <c r="J406" t="n">
        <v>0</v>
      </c>
      <c r="K406" t="n">
        <v>0</v>
      </c>
      <c r="L406" t="n">
        <v>0</v>
      </c>
      <c r="M406" t="n">
        <v>0</v>
      </c>
      <c r="N406" t="n">
        <v>0</v>
      </c>
      <c r="O406" t="n">
        <v>0</v>
      </c>
      <c r="P406" t="n">
        <v>0</v>
      </c>
      <c r="Q406" t="n">
        <v>0</v>
      </c>
      <c r="R406" s="2" t="inlineStr"/>
    </row>
    <row r="407" ht="15" customHeight="1">
      <c r="A407" t="inlineStr">
        <is>
          <t>A 37170-2021</t>
        </is>
      </c>
      <c r="B407" s="1" t="n">
        <v>44395</v>
      </c>
      <c r="C407" s="1" t="n">
        <v>45916</v>
      </c>
      <c r="D407" t="inlineStr">
        <is>
          <t>UPPSALA LÄN</t>
        </is>
      </c>
      <c r="E407" t="inlineStr">
        <is>
          <t>ENKÖPING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43691-2024</t>
        </is>
      </c>
      <c r="B408" s="1" t="n">
        <v>45569</v>
      </c>
      <c r="C408" s="1" t="n">
        <v>45916</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58147-2024</t>
        </is>
      </c>
      <c r="B409" s="1" t="n">
        <v>45632.4334375</v>
      </c>
      <c r="C409" s="1" t="n">
        <v>45916</v>
      </c>
      <c r="D409" t="inlineStr">
        <is>
          <t>UPPSALA LÄN</t>
        </is>
      </c>
      <c r="E409" t="inlineStr">
        <is>
          <t>ENKÖPING</t>
        </is>
      </c>
      <c r="G409" t="n">
        <v>3</v>
      </c>
      <c r="H409" t="n">
        <v>0</v>
      </c>
      <c r="I409" t="n">
        <v>0</v>
      </c>
      <c r="J409" t="n">
        <v>0</v>
      </c>
      <c r="K409" t="n">
        <v>0</v>
      </c>
      <c r="L409" t="n">
        <v>0</v>
      </c>
      <c r="M409" t="n">
        <v>0</v>
      </c>
      <c r="N409" t="n">
        <v>0</v>
      </c>
      <c r="O409" t="n">
        <v>0</v>
      </c>
      <c r="P409" t="n">
        <v>0</v>
      </c>
      <c r="Q409" t="n">
        <v>0</v>
      </c>
      <c r="R409" s="2" t="inlineStr"/>
    </row>
    <row r="410" ht="15" customHeight="1">
      <c r="A410" t="inlineStr">
        <is>
          <t>A 25333-2023</t>
        </is>
      </c>
      <c r="B410" s="1" t="n">
        <v>45083</v>
      </c>
      <c r="C410" s="1" t="n">
        <v>45916</v>
      </c>
      <c r="D410" t="inlineStr">
        <is>
          <t>UPPSALA LÄN</t>
        </is>
      </c>
      <c r="E410" t="inlineStr">
        <is>
          <t>ENKÖPING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4562-2025</t>
        </is>
      </c>
      <c r="B411" s="1" t="n">
        <v>45687</v>
      </c>
      <c r="C411" s="1" t="n">
        <v>45916</v>
      </c>
      <c r="D411" t="inlineStr">
        <is>
          <t>UPPSALA LÄN</t>
        </is>
      </c>
      <c r="E411" t="inlineStr">
        <is>
          <t>ENKÖPING</t>
        </is>
      </c>
      <c r="G411" t="n">
        <v>2.5</v>
      </c>
      <c r="H411" t="n">
        <v>0</v>
      </c>
      <c r="I411" t="n">
        <v>0</v>
      </c>
      <c r="J411" t="n">
        <v>0</v>
      </c>
      <c r="K411" t="n">
        <v>0</v>
      </c>
      <c r="L411" t="n">
        <v>0</v>
      </c>
      <c r="M411" t="n">
        <v>0</v>
      </c>
      <c r="N411" t="n">
        <v>0</v>
      </c>
      <c r="O411" t="n">
        <v>0</v>
      </c>
      <c r="P411" t="n">
        <v>0</v>
      </c>
      <c r="Q411" t="n">
        <v>0</v>
      </c>
      <c r="R411" s="2" t="inlineStr"/>
    </row>
    <row r="412" ht="15" customHeight="1">
      <c r="A412" t="inlineStr">
        <is>
          <t>A 3300-2025</t>
        </is>
      </c>
      <c r="B412" s="1" t="n">
        <v>45679</v>
      </c>
      <c r="C412" s="1" t="n">
        <v>45916</v>
      </c>
      <c r="D412" t="inlineStr">
        <is>
          <t>UPPSALA LÄN</t>
        </is>
      </c>
      <c r="E412" t="inlineStr">
        <is>
          <t>ENKÖPING</t>
        </is>
      </c>
      <c r="G412" t="n">
        <v>8.9</v>
      </c>
      <c r="H412" t="n">
        <v>0</v>
      </c>
      <c r="I412" t="n">
        <v>0</v>
      </c>
      <c r="J412" t="n">
        <v>0</v>
      </c>
      <c r="K412" t="n">
        <v>0</v>
      </c>
      <c r="L412" t="n">
        <v>0</v>
      </c>
      <c r="M412" t="n">
        <v>0</v>
      </c>
      <c r="N412" t="n">
        <v>0</v>
      </c>
      <c r="O412" t="n">
        <v>0</v>
      </c>
      <c r="P412" t="n">
        <v>0</v>
      </c>
      <c r="Q412" t="n">
        <v>0</v>
      </c>
      <c r="R412" s="2" t="inlineStr"/>
    </row>
    <row r="413" ht="15" customHeight="1">
      <c r="A413" t="inlineStr">
        <is>
          <t>A 3550-2023</t>
        </is>
      </c>
      <c r="B413" s="1" t="n">
        <v>44950</v>
      </c>
      <c r="C413" s="1" t="n">
        <v>45916</v>
      </c>
      <c r="D413" t="inlineStr">
        <is>
          <t>UPPSALA LÄN</t>
        </is>
      </c>
      <c r="E413" t="inlineStr">
        <is>
          <t>ENKÖPING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19014-2025</t>
        </is>
      </c>
      <c r="B414" s="1" t="n">
        <v>45764.59631944444</v>
      </c>
      <c r="C414" s="1" t="n">
        <v>45916</v>
      </c>
      <c r="D414" t="inlineStr">
        <is>
          <t>UPPSALA LÄN</t>
        </is>
      </c>
      <c r="E414" t="inlineStr">
        <is>
          <t>ENKÖPING</t>
        </is>
      </c>
      <c r="G414" t="n">
        <v>0.2</v>
      </c>
      <c r="H414" t="n">
        <v>0</v>
      </c>
      <c r="I414" t="n">
        <v>0</v>
      </c>
      <c r="J414" t="n">
        <v>0</v>
      </c>
      <c r="K414" t="n">
        <v>0</v>
      </c>
      <c r="L414" t="n">
        <v>0</v>
      </c>
      <c r="M414" t="n">
        <v>0</v>
      </c>
      <c r="N414" t="n">
        <v>0</v>
      </c>
      <c r="O414" t="n">
        <v>0</v>
      </c>
      <c r="P414" t="n">
        <v>0</v>
      </c>
      <c r="Q414" t="n">
        <v>0</v>
      </c>
      <c r="R414" s="2" t="inlineStr"/>
    </row>
    <row r="415" ht="15" customHeight="1">
      <c r="A415" t="inlineStr">
        <is>
          <t>A 12754-2025</t>
        </is>
      </c>
      <c r="B415" s="1" t="n">
        <v>45733.56331018519</v>
      </c>
      <c r="C415" s="1" t="n">
        <v>45916</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16176-2025</t>
        </is>
      </c>
      <c r="B416" s="1" t="n">
        <v>45750</v>
      </c>
      <c r="C416" s="1" t="n">
        <v>45916</v>
      </c>
      <c r="D416" t="inlineStr">
        <is>
          <t>UPPSALA LÄN</t>
        </is>
      </c>
      <c r="E416" t="inlineStr">
        <is>
          <t>ENKÖPING</t>
        </is>
      </c>
      <c r="G416" t="n">
        <v>3.9</v>
      </c>
      <c r="H416" t="n">
        <v>0</v>
      </c>
      <c r="I416" t="n">
        <v>0</v>
      </c>
      <c r="J416" t="n">
        <v>0</v>
      </c>
      <c r="K416" t="n">
        <v>0</v>
      </c>
      <c r="L416" t="n">
        <v>0</v>
      </c>
      <c r="M416" t="n">
        <v>0</v>
      </c>
      <c r="N416" t="n">
        <v>0</v>
      </c>
      <c r="O416" t="n">
        <v>0</v>
      </c>
      <c r="P416" t="n">
        <v>0</v>
      </c>
      <c r="Q416" t="n">
        <v>0</v>
      </c>
      <c r="R416" s="2" t="inlineStr"/>
    </row>
    <row r="417" ht="15" customHeight="1">
      <c r="A417" t="inlineStr">
        <is>
          <t>A 12958-2024</t>
        </is>
      </c>
      <c r="B417" s="1" t="n">
        <v>45385</v>
      </c>
      <c r="C417" s="1" t="n">
        <v>45916</v>
      </c>
      <c r="D417" t="inlineStr">
        <is>
          <t>UPPSALA LÄN</t>
        </is>
      </c>
      <c r="E417" t="inlineStr">
        <is>
          <t>ENKÖPING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56713-2024</t>
        </is>
      </c>
      <c r="B418" s="1" t="n">
        <v>45628</v>
      </c>
      <c r="C418" s="1" t="n">
        <v>45916</v>
      </c>
      <c r="D418" t="inlineStr">
        <is>
          <t>UPPSALA LÄN</t>
        </is>
      </c>
      <c r="E418" t="inlineStr">
        <is>
          <t>ENKÖPING</t>
        </is>
      </c>
      <c r="G418" t="n">
        <v>1.7</v>
      </c>
      <c r="H418" t="n">
        <v>0</v>
      </c>
      <c r="I418" t="n">
        <v>0</v>
      </c>
      <c r="J418" t="n">
        <v>0</v>
      </c>
      <c r="K418" t="n">
        <v>0</v>
      </c>
      <c r="L418" t="n">
        <v>0</v>
      </c>
      <c r="M418" t="n">
        <v>0</v>
      </c>
      <c r="N418" t="n">
        <v>0</v>
      </c>
      <c r="O418" t="n">
        <v>0</v>
      </c>
      <c r="P418" t="n">
        <v>0</v>
      </c>
      <c r="Q418" t="n">
        <v>0</v>
      </c>
      <c r="R418" s="2" t="inlineStr"/>
    </row>
    <row r="419" ht="15" customHeight="1">
      <c r="A419" t="inlineStr">
        <is>
          <t>A 37870-2023</t>
        </is>
      </c>
      <c r="B419" s="1" t="n">
        <v>45160.41996527778</v>
      </c>
      <c r="C419" s="1" t="n">
        <v>45916</v>
      </c>
      <c r="D419" t="inlineStr">
        <is>
          <t>UPPSALA LÄN</t>
        </is>
      </c>
      <c r="E419" t="inlineStr">
        <is>
          <t>ENKÖPING</t>
        </is>
      </c>
      <c r="G419" t="n">
        <v>3.5</v>
      </c>
      <c r="H419" t="n">
        <v>0</v>
      </c>
      <c r="I419" t="n">
        <v>0</v>
      </c>
      <c r="J419" t="n">
        <v>0</v>
      </c>
      <c r="K419" t="n">
        <v>0</v>
      </c>
      <c r="L419" t="n">
        <v>0</v>
      </c>
      <c r="M419" t="n">
        <v>0</v>
      </c>
      <c r="N419" t="n">
        <v>0</v>
      </c>
      <c r="O419" t="n">
        <v>0</v>
      </c>
      <c r="P419" t="n">
        <v>0</v>
      </c>
      <c r="Q419" t="n">
        <v>0</v>
      </c>
      <c r="R419" s="2" t="inlineStr"/>
    </row>
    <row r="420" ht="15" customHeight="1">
      <c r="A420" t="inlineStr">
        <is>
          <t>A 22094-2023</t>
        </is>
      </c>
      <c r="B420" s="1" t="n">
        <v>45069</v>
      </c>
      <c r="C420" s="1" t="n">
        <v>45916</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1651-2024</t>
        </is>
      </c>
      <c r="B421" s="1" t="n">
        <v>45306.73770833333</v>
      </c>
      <c r="C421" s="1" t="n">
        <v>45916</v>
      </c>
      <c r="D421" t="inlineStr">
        <is>
          <t>UPPSALA LÄN</t>
        </is>
      </c>
      <c r="E421" t="inlineStr">
        <is>
          <t>ENKÖPING</t>
        </is>
      </c>
      <c r="G421" t="n">
        <v>10.2</v>
      </c>
      <c r="H421" t="n">
        <v>0</v>
      </c>
      <c r="I421" t="n">
        <v>0</v>
      </c>
      <c r="J421" t="n">
        <v>0</v>
      </c>
      <c r="K421" t="n">
        <v>0</v>
      </c>
      <c r="L421" t="n">
        <v>0</v>
      </c>
      <c r="M421" t="n">
        <v>0</v>
      </c>
      <c r="N421" t="n">
        <v>0</v>
      </c>
      <c r="O421" t="n">
        <v>0</v>
      </c>
      <c r="P421" t="n">
        <v>0</v>
      </c>
      <c r="Q421" t="n">
        <v>0</v>
      </c>
      <c r="R421" s="2" t="inlineStr"/>
    </row>
    <row r="422" ht="15" customHeight="1">
      <c r="A422" t="inlineStr">
        <is>
          <t>A 15405-2025</t>
        </is>
      </c>
      <c r="B422" s="1" t="n">
        <v>45747.44670138889</v>
      </c>
      <c r="C422" s="1" t="n">
        <v>45916</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35079-2024</t>
        </is>
      </c>
      <c r="B423" s="1" t="n">
        <v>45527.66770833333</v>
      </c>
      <c r="C423" s="1" t="n">
        <v>45916</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51012-2024</t>
        </is>
      </c>
      <c r="B424" s="1" t="n">
        <v>45603.39686342593</v>
      </c>
      <c r="C424" s="1" t="n">
        <v>45916</v>
      </c>
      <c r="D424" t="inlineStr">
        <is>
          <t>UPPSALA LÄN</t>
        </is>
      </c>
      <c r="E424" t="inlineStr">
        <is>
          <t>ENKÖPING</t>
        </is>
      </c>
      <c r="G424" t="n">
        <v>2.7</v>
      </c>
      <c r="H424" t="n">
        <v>0</v>
      </c>
      <c r="I424" t="n">
        <v>0</v>
      </c>
      <c r="J424" t="n">
        <v>0</v>
      </c>
      <c r="K424" t="n">
        <v>0</v>
      </c>
      <c r="L424" t="n">
        <v>0</v>
      </c>
      <c r="M424" t="n">
        <v>0</v>
      </c>
      <c r="N424" t="n">
        <v>0</v>
      </c>
      <c r="O424" t="n">
        <v>0</v>
      </c>
      <c r="P424" t="n">
        <v>0</v>
      </c>
      <c r="Q424" t="n">
        <v>0</v>
      </c>
      <c r="R424" s="2" t="inlineStr"/>
    </row>
    <row r="425" ht="15" customHeight="1">
      <c r="A425" t="inlineStr">
        <is>
          <t>A 51037-2024</t>
        </is>
      </c>
      <c r="B425" s="1" t="n">
        <v>45603.43005787037</v>
      </c>
      <c r="C425" s="1" t="n">
        <v>45916</v>
      </c>
      <c r="D425" t="inlineStr">
        <is>
          <t>UPPSALA LÄN</t>
        </is>
      </c>
      <c r="E425" t="inlineStr">
        <is>
          <t>ENKÖPING</t>
        </is>
      </c>
      <c r="G425" t="n">
        <v>5.7</v>
      </c>
      <c r="H425" t="n">
        <v>0</v>
      </c>
      <c r="I425" t="n">
        <v>0</v>
      </c>
      <c r="J425" t="n">
        <v>0</v>
      </c>
      <c r="K425" t="n">
        <v>0</v>
      </c>
      <c r="L425" t="n">
        <v>0</v>
      </c>
      <c r="M425" t="n">
        <v>0</v>
      </c>
      <c r="N425" t="n">
        <v>0</v>
      </c>
      <c r="O425" t="n">
        <v>0</v>
      </c>
      <c r="P425" t="n">
        <v>0</v>
      </c>
      <c r="Q425" t="n">
        <v>0</v>
      </c>
      <c r="R425" s="2" t="inlineStr"/>
    </row>
    <row r="426" ht="15" customHeight="1">
      <c r="A426" t="inlineStr">
        <is>
          <t>A 57940-2022</t>
        </is>
      </c>
      <c r="B426" s="1" t="n">
        <v>44900</v>
      </c>
      <c r="C426" s="1" t="n">
        <v>45916</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33581-2023</t>
        </is>
      </c>
      <c r="B427" s="1" t="n">
        <v>45131</v>
      </c>
      <c r="C427" s="1" t="n">
        <v>45916</v>
      </c>
      <c r="D427" t="inlineStr">
        <is>
          <t>UPPSALA LÄN</t>
        </is>
      </c>
      <c r="E427" t="inlineStr">
        <is>
          <t>ENKÖPING</t>
        </is>
      </c>
      <c r="G427" t="n">
        <v>3.5</v>
      </c>
      <c r="H427" t="n">
        <v>0</v>
      </c>
      <c r="I427" t="n">
        <v>0</v>
      </c>
      <c r="J427" t="n">
        <v>0</v>
      </c>
      <c r="K427" t="n">
        <v>0</v>
      </c>
      <c r="L427" t="n">
        <v>0</v>
      </c>
      <c r="M427" t="n">
        <v>0</v>
      </c>
      <c r="N427" t="n">
        <v>0</v>
      </c>
      <c r="O427" t="n">
        <v>0</v>
      </c>
      <c r="P427" t="n">
        <v>0</v>
      </c>
      <c r="Q427" t="n">
        <v>0</v>
      </c>
      <c r="R427" s="2" t="inlineStr"/>
    </row>
    <row r="428" ht="15" customHeight="1">
      <c r="A428" t="inlineStr">
        <is>
          <t>A 56163-2021</t>
        </is>
      </c>
      <c r="B428" s="1" t="n">
        <v>44477</v>
      </c>
      <c r="C428" s="1" t="n">
        <v>45916</v>
      </c>
      <c r="D428" t="inlineStr">
        <is>
          <t>UPPSALA LÄN</t>
        </is>
      </c>
      <c r="E428" t="inlineStr">
        <is>
          <t>ENKÖPING</t>
        </is>
      </c>
      <c r="F428" t="inlineStr">
        <is>
          <t>Allmännings- och besparingsskogar</t>
        </is>
      </c>
      <c r="G428" t="n">
        <v>0.6</v>
      </c>
      <c r="H428" t="n">
        <v>0</v>
      </c>
      <c r="I428" t="n">
        <v>0</v>
      </c>
      <c r="J428" t="n">
        <v>0</v>
      </c>
      <c r="K428" t="n">
        <v>0</v>
      </c>
      <c r="L428" t="n">
        <v>0</v>
      </c>
      <c r="M428" t="n">
        <v>0</v>
      </c>
      <c r="N428" t="n">
        <v>0</v>
      </c>
      <c r="O428" t="n">
        <v>0</v>
      </c>
      <c r="P428" t="n">
        <v>0</v>
      </c>
      <c r="Q428" t="n">
        <v>0</v>
      </c>
      <c r="R428" s="2" t="inlineStr"/>
    </row>
    <row r="429" ht="15" customHeight="1">
      <c r="A429" t="inlineStr">
        <is>
          <t>A 47909-2024</t>
        </is>
      </c>
      <c r="B429" s="1" t="n">
        <v>45589.31866898148</v>
      </c>
      <c r="C429" s="1" t="n">
        <v>45916</v>
      </c>
      <c r="D429" t="inlineStr">
        <is>
          <t>UPPSALA LÄN</t>
        </is>
      </c>
      <c r="E429" t="inlineStr">
        <is>
          <t>ENKÖPING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51932-2022</t>
        </is>
      </c>
      <c r="B430" s="1" t="n">
        <v>44872</v>
      </c>
      <c r="C430" s="1" t="n">
        <v>45916</v>
      </c>
      <c r="D430" t="inlineStr">
        <is>
          <t>UPPSALA LÄN</t>
        </is>
      </c>
      <c r="E430" t="inlineStr">
        <is>
          <t>ENKÖPING</t>
        </is>
      </c>
      <c r="G430" t="n">
        <v>5.5</v>
      </c>
      <c r="H430" t="n">
        <v>0</v>
      </c>
      <c r="I430" t="n">
        <v>0</v>
      </c>
      <c r="J430" t="n">
        <v>0</v>
      </c>
      <c r="K430" t="n">
        <v>0</v>
      </c>
      <c r="L430" t="n">
        <v>0</v>
      </c>
      <c r="M430" t="n">
        <v>0</v>
      </c>
      <c r="N430" t="n">
        <v>0</v>
      </c>
      <c r="O430" t="n">
        <v>0</v>
      </c>
      <c r="P430" t="n">
        <v>0</v>
      </c>
      <c r="Q430" t="n">
        <v>0</v>
      </c>
      <c r="R430" s="2" t="inlineStr"/>
    </row>
    <row r="431" ht="15" customHeight="1">
      <c r="A431" t="inlineStr">
        <is>
          <t>A 59497-2022</t>
        </is>
      </c>
      <c r="B431" s="1" t="n">
        <v>44907.48258101852</v>
      </c>
      <c r="C431" s="1" t="n">
        <v>45916</v>
      </c>
      <c r="D431" t="inlineStr">
        <is>
          <t>UPPSALA LÄN</t>
        </is>
      </c>
      <c r="E431" t="inlineStr">
        <is>
          <t>ENKÖPING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9041-2023</t>
        </is>
      </c>
      <c r="B432" s="1" t="n">
        <v>44979</v>
      </c>
      <c r="C432" s="1" t="n">
        <v>45916</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63310-2021</t>
        </is>
      </c>
      <c r="B433" s="1" t="n">
        <v>44508</v>
      </c>
      <c r="C433" s="1" t="n">
        <v>45916</v>
      </c>
      <c r="D433" t="inlineStr">
        <is>
          <t>UPPSALA LÄN</t>
        </is>
      </c>
      <c r="E433" t="inlineStr">
        <is>
          <t>ENKÖPING</t>
        </is>
      </c>
      <c r="G433" t="n">
        <v>3.5</v>
      </c>
      <c r="H433" t="n">
        <v>0</v>
      </c>
      <c r="I433" t="n">
        <v>0</v>
      </c>
      <c r="J433" t="n">
        <v>0</v>
      </c>
      <c r="K433" t="n">
        <v>0</v>
      </c>
      <c r="L433" t="n">
        <v>0</v>
      </c>
      <c r="M433" t="n">
        <v>0</v>
      </c>
      <c r="N433" t="n">
        <v>0</v>
      </c>
      <c r="O433" t="n">
        <v>0</v>
      </c>
      <c r="P433" t="n">
        <v>0</v>
      </c>
      <c r="Q433" t="n">
        <v>0</v>
      </c>
      <c r="R433" s="2" t="inlineStr"/>
    </row>
    <row r="434" ht="15" customHeight="1">
      <c r="A434" t="inlineStr">
        <is>
          <t>A 20440-2025</t>
        </is>
      </c>
      <c r="B434" s="1" t="n">
        <v>45775</v>
      </c>
      <c r="C434" s="1" t="n">
        <v>45916</v>
      </c>
      <c r="D434" t="inlineStr">
        <is>
          <t>UPPSALA LÄN</t>
        </is>
      </c>
      <c r="E434" t="inlineStr">
        <is>
          <t>ENKÖPING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12755-2025</t>
        </is>
      </c>
      <c r="B435" s="1" t="n">
        <v>45733.56541666666</v>
      </c>
      <c r="C435" s="1" t="n">
        <v>45916</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59027-2024</t>
        </is>
      </c>
      <c r="B436" s="1" t="n">
        <v>45636.68755787037</v>
      </c>
      <c r="C436" s="1" t="n">
        <v>45916</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19488-2022</t>
        </is>
      </c>
      <c r="B437" s="1" t="n">
        <v>44693</v>
      </c>
      <c r="C437" s="1" t="n">
        <v>45916</v>
      </c>
      <c r="D437" t="inlineStr">
        <is>
          <t>UPPSALA LÄN</t>
        </is>
      </c>
      <c r="E437" t="inlineStr">
        <is>
          <t>ENKÖPING</t>
        </is>
      </c>
      <c r="G437" t="n">
        <v>7.8</v>
      </c>
      <c r="H437" t="n">
        <v>0</v>
      </c>
      <c r="I437" t="n">
        <v>0</v>
      </c>
      <c r="J437" t="n">
        <v>0</v>
      </c>
      <c r="K437" t="n">
        <v>0</v>
      </c>
      <c r="L437" t="n">
        <v>0</v>
      </c>
      <c r="M437" t="n">
        <v>0</v>
      </c>
      <c r="N437" t="n">
        <v>0</v>
      </c>
      <c r="O437" t="n">
        <v>0</v>
      </c>
      <c r="P437" t="n">
        <v>0</v>
      </c>
      <c r="Q437" t="n">
        <v>0</v>
      </c>
      <c r="R437" s="2" t="inlineStr"/>
    </row>
    <row r="438" ht="15" customHeight="1">
      <c r="A438" t="inlineStr">
        <is>
          <t>A 53587-2024</t>
        </is>
      </c>
      <c r="B438" s="1" t="n">
        <v>45614.66953703704</v>
      </c>
      <c r="C438" s="1" t="n">
        <v>45916</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5188-2022</t>
        </is>
      </c>
      <c r="B439" s="1" t="n">
        <v>44594.4471412037</v>
      </c>
      <c r="C439" s="1" t="n">
        <v>45916</v>
      </c>
      <c r="D439" t="inlineStr">
        <is>
          <t>UPPSALA LÄN</t>
        </is>
      </c>
      <c r="E439" t="inlineStr">
        <is>
          <t>ENKÖPING</t>
        </is>
      </c>
      <c r="G439" t="n">
        <v>1.6</v>
      </c>
      <c r="H439" t="n">
        <v>0</v>
      </c>
      <c r="I439" t="n">
        <v>0</v>
      </c>
      <c r="J439" t="n">
        <v>0</v>
      </c>
      <c r="K439" t="n">
        <v>0</v>
      </c>
      <c r="L439" t="n">
        <v>0</v>
      </c>
      <c r="M439" t="n">
        <v>0</v>
      </c>
      <c r="N439" t="n">
        <v>0</v>
      </c>
      <c r="O439" t="n">
        <v>0</v>
      </c>
      <c r="P439" t="n">
        <v>0</v>
      </c>
      <c r="Q439" t="n">
        <v>0</v>
      </c>
      <c r="R439" s="2" t="inlineStr"/>
    </row>
    <row r="440" ht="15" customHeight="1">
      <c r="A440" t="inlineStr">
        <is>
          <t>A 11503-2024</t>
        </is>
      </c>
      <c r="B440" s="1" t="n">
        <v>45372.68020833333</v>
      </c>
      <c r="C440" s="1" t="n">
        <v>45916</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31622-2022</t>
        </is>
      </c>
      <c r="B441" s="1" t="n">
        <v>44775</v>
      </c>
      <c r="C441" s="1" t="n">
        <v>45916</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39115-2024</t>
        </is>
      </c>
      <c r="B442" s="1" t="n">
        <v>45548</v>
      </c>
      <c r="C442" s="1" t="n">
        <v>45916</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25334-2023</t>
        </is>
      </c>
      <c r="B443" s="1" t="n">
        <v>45083</v>
      </c>
      <c r="C443" s="1" t="n">
        <v>45916</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56837-2024</t>
        </is>
      </c>
      <c r="B444" s="1" t="n">
        <v>45628</v>
      </c>
      <c r="C444" s="1" t="n">
        <v>45916</v>
      </c>
      <c r="D444" t="inlineStr">
        <is>
          <t>UPPSALA LÄN</t>
        </is>
      </c>
      <c r="E444" t="inlineStr">
        <is>
          <t>ENKÖPING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12102-2024</t>
        </is>
      </c>
      <c r="B445" s="1" t="n">
        <v>45377</v>
      </c>
      <c r="C445" s="1" t="n">
        <v>45916</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59602-2024</t>
        </is>
      </c>
      <c r="B446" s="1" t="n">
        <v>45638</v>
      </c>
      <c r="C446" s="1" t="n">
        <v>45916</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18821-2023</t>
        </is>
      </c>
      <c r="B447" s="1" t="n">
        <v>45044.3782175926</v>
      </c>
      <c r="C447" s="1" t="n">
        <v>45916</v>
      </c>
      <c r="D447" t="inlineStr">
        <is>
          <t>UPPSALA LÄN</t>
        </is>
      </c>
      <c r="E447" t="inlineStr">
        <is>
          <t>ENKÖPING</t>
        </is>
      </c>
      <c r="G447" t="n">
        <v>6</v>
      </c>
      <c r="H447" t="n">
        <v>0</v>
      </c>
      <c r="I447" t="n">
        <v>0</v>
      </c>
      <c r="J447" t="n">
        <v>0</v>
      </c>
      <c r="K447" t="n">
        <v>0</v>
      </c>
      <c r="L447" t="n">
        <v>0</v>
      </c>
      <c r="M447" t="n">
        <v>0</v>
      </c>
      <c r="N447" t="n">
        <v>0</v>
      </c>
      <c r="O447" t="n">
        <v>0</v>
      </c>
      <c r="P447" t="n">
        <v>0</v>
      </c>
      <c r="Q447" t="n">
        <v>0</v>
      </c>
      <c r="R447" s="2" t="inlineStr"/>
    </row>
    <row r="448" ht="15" customHeight="1">
      <c r="A448" t="inlineStr">
        <is>
          <t>A 44131-2023</t>
        </is>
      </c>
      <c r="B448" s="1" t="n">
        <v>45188</v>
      </c>
      <c r="C448" s="1" t="n">
        <v>45916</v>
      </c>
      <c r="D448" t="inlineStr">
        <is>
          <t>UPPSALA LÄN</t>
        </is>
      </c>
      <c r="E448" t="inlineStr">
        <is>
          <t>ENKÖPING</t>
        </is>
      </c>
      <c r="G448" t="n">
        <v>0.3</v>
      </c>
      <c r="H448" t="n">
        <v>0</v>
      </c>
      <c r="I448" t="n">
        <v>0</v>
      </c>
      <c r="J448" t="n">
        <v>0</v>
      </c>
      <c r="K448" t="n">
        <v>0</v>
      </c>
      <c r="L448" t="n">
        <v>0</v>
      </c>
      <c r="M448" t="n">
        <v>0</v>
      </c>
      <c r="N448" t="n">
        <v>0</v>
      </c>
      <c r="O448" t="n">
        <v>0</v>
      </c>
      <c r="P448" t="n">
        <v>0</v>
      </c>
      <c r="Q448" t="n">
        <v>0</v>
      </c>
      <c r="R448" s="2" t="inlineStr"/>
    </row>
    <row r="449" ht="15" customHeight="1">
      <c r="A449" t="inlineStr">
        <is>
          <t>A 60533-2021</t>
        </is>
      </c>
      <c r="B449" s="1" t="n">
        <v>44496</v>
      </c>
      <c r="C449" s="1" t="n">
        <v>45916</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35052-2024</t>
        </is>
      </c>
      <c r="B450" s="1" t="n">
        <v>45527.6516087963</v>
      </c>
      <c r="C450" s="1" t="n">
        <v>45916</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51008-2024</t>
        </is>
      </c>
      <c r="B451" s="1" t="n">
        <v>45603.39041666667</v>
      </c>
      <c r="C451" s="1" t="n">
        <v>45916</v>
      </c>
      <c r="D451" t="inlineStr">
        <is>
          <t>UPPSALA LÄN</t>
        </is>
      </c>
      <c r="E451" t="inlineStr">
        <is>
          <t>ENKÖPING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57335-2024</t>
        </is>
      </c>
      <c r="B452" s="1" t="n">
        <v>45629.63302083333</v>
      </c>
      <c r="C452" s="1" t="n">
        <v>45916</v>
      </c>
      <c r="D452" t="inlineStr">
        <is>
          <t>UPPSALA LÄN</t>
        </is>
      </c>
      <c r="E452" t="inlineStr">
        <is>
          <t>ENKÖPING</t>
        </is>
      </c>
      <c r="G452" t="n">
        <v>2.1</v>
      </c>
      <c r="H452" t="n">
        <v>0</v>
      </c>
      <c r="I452" t="n">
        <v>0</v>
      </c>
      <c r="J452" t="n">
        <v>0</v>
      </c>
      <c r="K452" t="n">
        <v>0</v>
      </c>
      <c r="L452" t="n">
        <v>0</v>
      </c>
      <c r="M452" t="n">
        <v>0</v>
      </c>
      <c r="N452" t="n">
        <v>0</v>
      </c>
      <c r="O452" t="n">
        <v>0</v>
      </c>
      <c r="P452" t="n">
        <v>0</v>
      </c>
      <c r="Q452" t="n">
        <v>0</v>
      </c>
      <c r="R452" s="2" t="inlineStr"/>
    </row>
    <row r="453" ht="15" customHeight="1">
      <c r="A453" t="inlineStr">
        <is>
          <t>A 57835-2024</t>
        </is>
      </c>
      <c r="B453" s="1" t="n">
        <v>45631.39947916667</v>
      </c>
      <c r="C453" s="1" t="n">
        <v>45916</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53208-2023</t>
        </is>
      </c>
      <c r="B454" s="1" t="n">
        <v>45226</v>
      </c>
      <c r="C454" s="1" t="n">
        <v>45916</v>
      </c>
      <c r="D454" t="inlineStr">
        <is>
          <t>UPPSALA LÄN</t>
        </is>
      </c>
      <c r="E454" t="inlineStr">
        <is>
          <t>ENKÖPING</t>
        </is>
      </c>
      <c r="G454" t="n">
        <v>4.3</v>
      </c>
      <c r="H454" t="n">
        <v>0</v>
      </c>
      <c r="I454" t="n">
        <v>0</v>
      </c>
      <c r="J454" t="n">
        <v>0</v>
      </c>
      <c r="K454" t="n">
        <v>0</v>
      </c>
      <c r="L454" t="n">
        <v>0</v>
      </c>
      <c r="M454" t="n">
        <v>0</v>
      </c>
      <c r="N454" t="n">
        <v>0</v>
      </c>
      <c r="O454" t="n">
        <v>0</v>
      </c>
      <c r="P454" t="n">
        <v>0</v>
      </c>
      <c r="Q454" t="n">
        <v>0</v>
      </c>
      <c r="R454" s="2" t="inlineStr"/>
    </row>
    <row r="455" ht="15" customHeight="1">
      <c r="A455" t="inlineStr">
        <is>
          <t>A 19013-2025</t>
        </is>
      </c>
      <c r="B455" s="1" t="n">
        <v>45764.59533564815</v>
      </c>
      <c r="C455" s="1" t="n">
        <v>45916</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2164-2023</t>
        </is>
      </c>
      <c r="B456" s="1" t="n">
        <v>44941</v>
      </c>
      <c r="C456" s="1" t="n">
        <v>45916</v>
      </c>
      <c r="D456" t="inlineStr">
        <is>
          <t>UPPSALA LÄN</t>
        </is>
      </c>
      <c r="E456" t="inlineStr">
        <is>
          <t>ENKÖPING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22156-2025</t>
        </is>
      </c>
      <c r="B457" s="1" t="n">
        <v>45785.57512731481</v>
      </c>
      <c r="C457" s="1" t="n">
        <v>45916</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22150-2025</t>
        </is>
      </c>
      <c r="B458" s="1" t="n">
        <v>45785.56398148148</v>
      </c>
      <c r="C458" s="1" t="n">
        <v>45916</v>
      </c>
      <c r="D458" t="inlineStr">
        <is>
          <t>UPPSALA LÄN</t>
        </is>
      </c>
      <c r="E458" t="inlineStr">
        <is>
          <t>ENKÖPING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61952-2021</t>
        </is>
      </c>
      <c r="B459" s="1" t="n">
        <v>44502</v>
      </c>
      <c r="C459" s="1" t="n">
        <v>45916</v>
      </c>
      <c r="D459" t="inlineStr">
        <is>
          <t>UPPSALA LÄN</t>
        </is>
      </c>
      <c r="E459" t="inlineStr">
        <is>
          <t>ENKÖPING</t>
        </is>
      </c>
      <c r="G459" t="n">
        <v>2.3</v>
      </c>
      <c r="H459" t="n">
        <v>0</v>
      </c>
      <c r="I459" t="n">
        <v>0</v>
      </c>
      <c r="J459" t="n">
        <v>0</v>
      </c>
      <c r="K459" t="n">
        <v>0</v>
      </c>
      <c r="L459" t="n">
        <v>0</v>
      </c>
      <c r="M459" t="n">
        <v>0</v>
      </c>
      <c r="N459" t="n">
        <v>0</v>
      </c>
      <c r="O459" t="n">
        <v>0</v>
      </c>
      <c r="P459" t="n">
        <v>0</v>
      </c>
      <c r="Q459" t="n">
        <v>0</v>
      </c>
      <c r="R459" s="2" t="inlineStr"/>
    </row>
    <row r="460" ht="15" customHeight="1">
      <c r="A460" t="inlineStr">
        <is>
          <t>A 14083-2025</t>
        </is>
      </c>
      <c r="B460" s="1" t="n">
        <v>45740</v>
      </c>
      <c r="C460" s="1" t="n">
        <v>45916</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69879-2021</t>
        </is>
      </c>
      <c r="B461" s="1" t="n">
        <v>44532</v>
      </c>
      <c r="C461" s="1" t="n">
        <v>45916</v>
      </c>
      <c r="D461" t="inlineStr">
        <is>
          <t>UPPSALA LÄN</t>
        </is>
      </c>
      <c r="E461" t="inlineStr">
        <is>
          <t>ENKÖPING</t>
        </is>
      </c>
      <c r="G461" t="n">
        <v>4.2</v>
      </c>
      <c r="H461" t="n">
        <v>0</v>
      </c>
      <c r="I461" t="n">
        <v>0</v>
      </c>
      <c r="J461" t="n">
        <v>0</v>
      </c>
      <c r="K461" t="n">
        <v>0</v>
      </c>
      <c r="L461" t="n">
        <v>0</v>
      </c>
      <c r="M461" t="n">
        <v>0</v>
      </c>
      <c r="N461" t="n">
        <v>0</v>
      </c>
      <c r="O461" t="n">
        <v>0</v>
      </c>
      <c r="P461" t="n">
        <v>0</v>
      </c>
      <c r="Q461" t="n">
        <v>0</v>
      </c>
      <c r="R461" s="2" t="inlineStr"/>
    </row>
    <row r="462" ht="15" customHeight="1">
      <c r="A462" t="inlineStr">
        <is>
          <t>A 52169-2020</t>
        </is>
      </c>
      <c r="B462" s="1" t="n">
        <v>44117</v>
      </c>
      <c r="C462" s="1" t="n">
        <v>45916</v>
      </c>
      <c r="D462" t="inlineStr">
        <is>
          <t>UPPSALA LÄN</t>
        </is>
      </c>
      <c r="E462" t="inlineStr">
        <is>
          <t>ENKÖPING</t>
        </is>
      </c>
      <c r="F462" t="inlineStr">
        <is>
          <t>Allmännings- och besparingsskogar</t>
        </is>
      </c>
      <c r="G462" t="n">
        <v>1.5</v>
      </c>
      <c r="H462" t="n">
        <v>0</v>
      </c>
      <c r="I462" t="n">
        <v>0</v>
      </c>
      <c r="J462" t="n">
        <v>0</v>
      </c>
      <c r="K462" t="n">
        <v>0</v>
      </c>
      <c r="L462" t="n">
        <v>0</v>
      </c>
      <c r="M462" t="n">
        <v>0</v>
      </c>
      <c r="N462" t="n">
        <v>0</v>
      </c>
      <c r="O462" t="n">
        <v>0</v>
      </c>
      <c r="P462" t="n">
        <v>0</v>
      </c>
      <c r="Q462" t="n">
        <v>0</v>
      </c>
      <c r="R462" s="2" t="inlineStr"/>
    </row>
    <row r="463" ht="15" customHeight="1">
      <c r="A463" t="inlineStr">
        <is>
          <t>A 30087-2024</t>
        </is>
      </c>
      <c r="B463" s="1" t="n">
        <v>45489.39447916667</v>
      </c>
      <c r="C463" s="1" t="n">
        <v>45916</v>
      </c>
      <c r="D463" t="inlineStr">
        <is>
          <t>UPPSALA LÄN</t>
        </is>
      </c>
      <c r="E463" t="inlineStr">
        <is>
          <t>ENKÖPING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54776-2024</t>
        </is>
      </c>
      <c r="B464" s="1" t="n">
        <v>45618</v>
      </c>
      <c r="C464" s="1" t="n">
        <v>45916</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22729-2025</t>
        </is>
      </c>
      <c r="B465" s="1" t="n">
        <v>45789.57790509259</v>
      </c>
      <c r="C465" s="1" t="n">
        <v>45916</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14518-2025</t>
        </is>
      </c>
      <c r="B466" s="1" t="n">
        <v>45741</v>
      </c>
      <c r="C466" s="1" t="n">
        <v>45916</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22677-2025</t>
        </is>
      </c>
      <c r="B467" s="1" t="n">
        <v>45789.49515046296</v>
      </c>
      <c r="C467" s="1" t="n">
        <v>45916</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22679-2025</t>
        </is>
      </c>
      <c r="B468" s="1" t="n">
        <v>45789.49747685185</v>
      </c>
      <c r="C468" s="1" t="n">
        <v>45916</v>
      </c>
      <c r="D468" t="inlineStr">
        <is>
          <t>UPPSALA LÄN</t>
        </is>
      </c>
      <c r="E468" t="inlineStr">
        <is>
          <t>ENKÖPING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22770-2025</t>
        </is>
      </c>
      <c r="B469" s="1" t="n">
        <v>45789.63454861111</v>
      </c>
      <c r="C469" s="1" t="n">
        <v>45916</v>
      </c>
      <c r="D469" t="inlineStr">
        <is>
          <t>UPPSALA LÄN</t>
        </is>
      </c>
      <c r="E469" t="inlineStr">
        <is>
          <t>ENKÖPING</t>
        </is>
      </c>
      <c r="G469" t="n">
        <v>4.5</v>
      </c>
      <c r="H469" t="n">
        <v>0</v>
      </c>
      <c r="I469" t="n">
        <v>0</v>
      </c>
      <c r="J469" t="n">
        <v>0</v>
      </c>
      <c r="K469" t="n">
        <v>0</v>
      </c>
      <c r="L469" t="n">
        <v>0</v>
      </c>
      <c r="M469" t="n">
        <v>0</v>
      </c>
      <c r="N469" t="n">
        <v>0</v>
      </c>
      <c r="O469" t="n">
        <v>0</v>
      </c>
      <c r="P469" t="n">
        <v>0</v>
      </c>
      <c r="Q469" t="n">
        <v>0</v>
      </c>
      <c r="R469" s="2" t="inlineStr"/>
    </row>
    <row r="470" ht="15" customHeight="1">
      <c r="A470" t="inlineStr">
        <is>
          <t>A 22800-2025</t>
        </is>
      </c>
      <c r="B470" s="1" t="n">
        <v>45789.6669212963</v>
      </c>
      <c r="C470" s="1" t="n">
        <v>45916</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6981-2025</t>
        </is>
      </c>
      <c r="B471" s="1" t="n">
        <v>45701</v>
      </c>
      <c r="C471" s="1" t="n">
        <v>45916</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15757-2023</t>
        </is>
      </c>
      <c r="B472" s="1" t="n">
        <v>45021</v>
      </c>
      <c r="C472" s="1" t="n">
        <v>45916</v>
      </c>
      <c r="D472" t="inlineStr">
        <is>
          <t>UPPSALA LÄN</t>
        </is>
      </c>
      <c r="E472" t="inlineStr">
        <is>
          <t>ENKÖPING</t>
        </is>
      </c>
      <c r="G472" t="n">
        <v>3</v>
      </c>
      <c r="H472" t="n">
        <v>0</v>
      </c>
      <c r="I472" t="n">
        <v>0</v>
      </c>
      <c r="J472" t="n">
        <v>0</v>
      </c>
      <c r="K472" t="n">
        <v>0</v>
      </c>
      <c r="L472" t="n">
        <v>0</v>
      </c>
      <c r="M472" t="n">
        <v>0</v>
      </c>
      <c r="N472" t="n">
        <v>0</v>
      </c>
      <c r="O472" t="n">
        <v>0</v>
      </c>
      <c r="P472" t="n">
        <v>0</v>
      </c>
      <c r="Q472" t="n">
        <v>0</v>
      </c>
      <c r="R472" s="2" t="inlineStr"/>
    </row>
    <row r="473" ht="15" customHeight="1">
      <c r="A473" t="inlineStr">
        <is>
          <t>A 22786-2025</t>
        </is>
      </c>
      <c r="B473" s="1" t="n">
        <v>45789.64643518518</v>
      </c>
      <c r="C473" s="1" t="n">
        <v>45916</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68123-2021</t>
        </is>
      </c>
      <c r="B474" s="1" t="n">
        <v>44526.39126157408</v>
      </c>
      <c r="C474" s="1" t="n">
        <v>45916</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22632-2025</t>
        </is>
      </c>
      <c r="B475" s="1" t="n">
        <v>45789.44361111111</v>
      </c>
      <c r="C475" s="1" t="n">
        <v>45916</v>
      </c>
      <c r="D475" t="inlineStr">
        <is>
          <t>UPPSALA LÄN</t>
        </is>
      </c>
      <c r="E475" t="inlineStr">
        <is>
          <t>ENKÖPING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22680-2025</t>
        </is>
      </c>
      <c r="B476" s="1" t="n">
        <v>45789.5005787037</v>
      </c>
      <c r="C476" s="1" t="n">
        <v>45916</v>
      </c>
      <c r="D476" t="inlineStr">
        <is>
          <t>UPPSALA LÄN</t>
        </is>
      </c>
      <c r="E476" t="inlineStr">
        <is>
          <t>ENKÖPING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22802-2025</t>
        </is>
      </c>
      <c r="B477" s="1" t="n">
        <v>45789.6686574074</v>
      </c>
      <c r="C477" s="1" t="n">
        <v>45916</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2161-2023</t>
        </is>
      </c>
      <c r="B478" s="1" t="n">
        <v>44941</v>
      </c>
      <c r="C478" s="1" t="n">
        <v>45916</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2165-2023</t>
        </is>
      </c>
      <c r="B479" s="1" t="n">
        <v>44941</v>
      </c>
      <c r="C479" s="1" t="n">
        <v>45916</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20112-2024</t>
        </is>
      </c>
      <c r="B480" s="1" t="n">
        <v>45434</v>
      </c>
      <c r="C480" s="1" t="n">
        <v>45916</v>
      </c>
      <c r="D480" t="inlineStr">
        <is>
          <t>UPPSALA LÄN</t>
        </is>
      </c>
      <c r="E480" t="inlineStr">
        <is>
          <t>ENKÖPING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22793-2025</t>
        </is>
      </c>
      <c r="B481" s="1" t="n">
        <v>45789.65693287037</v>
      </c>
      <c r="C481" s="1" t="n">
        <v>45916</v>
      </c>
      <c r="D481" t="inlineStr">
        <is>
          <t>UPPSALA LÄN</t>
        </is>
      </c>
      <c r="E481" t="inlineStr">
        <is>
          <t>ENKÖPING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22795-2025</t>
        </is>
      </c>
      <c r="B482" s="1" t="n">
        <v>45789.65944444444</v>
      </c>
      <c r="C482" s="1" t="n">
        <v>45916</v>
      </c>
      <c r="D482" t="inlineStr">
        <is>
          <t>UPPSALA LÄN</t>
        </is>
      </c>
      <c r="E482" t="inlineStr">
        <is>
          <t>ENKÖPING</t>
        </is>
      </c>
      <c r="G482" t="n">
        <v>10.4</v>
      </c>
      <c r="H482" t="n">
        <v>0</v>
      </c>
      <c r="I482" t="n">
        <v>0</v>
      </c>
      <c r="J482" t="n">
        <v>0</v>
      </c>
      <c r="K482" t="n">
        <v>0</v>
      </c>
      <c r="L482" t="n">
        <v>0</v>
      </c>
      <c r="M482" t="n">
        <v>0</v>
      </c>
      <c r="N482" t="n">
        <v>0</v>
      </c>
      <c r="O482" t="n">
        <v>0</v>
      </c>
      <c r="P482" t="n">
        <v>0</v>
      </c>
      <c r="Q482" t="n">
        <v>0</v>
      </c>
      <c r="R482" s="2" t="inlineStr"/>
    </row>
    <row r="483" ht="15" customHeight="1">
      <c r="A483" t="inlineStr">
        <is>
          <t>A 22725-2025</t>
        </is>
      </c>
      <c r="B483" s="1" t="n">
        <v>45789.57371527778</v>
      </c>
      <c r="C483" s="1" t="n">
        <v>45916</v>
      </c>
      <c r="D483" t="inlineStr">
        <is>
          <t>UPPSALA LÄN</t>
        </is>
      </c>
      <c r="E483" t="inlineStr">
        <is>
          <t>ENKÖPING</t>
        </is>
      </c>
      <c r="G483" t="n">
        <v>4.8</v>
      </c>
      <c r="H483" t="n">
        <v>0</v>
      </c>
      <c r="I483" t="n">
        <v>0</v>
      </c>
      <c r="J483" t="n">
        <v>0</v>
      </c>
      <c r="K483" t="n">
        <v>0</v>
      </c>
      <c r="L483" t="n">
        <v>0</v>
      </c>
      <c r="M483" t="n">
        <v>0</v>
      </c>
      <c r="N483" t="n">
        <v>0</v>
      </c>
      <c r="O483" t="n">
        <v>0</v>
      </c>
      <c r="P483" t="n">
        <v>0</v>
      </c>
      <c r="Q483" t="n">
        <v>0</v>
      </c>
      <c r="R483" s="2" t="inlineStr"/>
    </row>
    <row r="484" ht="15" customHeight="1">
      <c r="A484" t="inlineStr">
        <is>
          <t>A 2162-2023</t>
        </is>
      </c>
      <c r="B484" s="1" t="n">
        <v>44941</v>
      </c>
      <c r="C484" s="1" t="n">
        <v>45916</v>
      </c>
      <c r="D484" t="inlineStr">
        <is>
          <t>UPPSALA LÄN</t>
        </is>
      </c>
      <c r="E484" t="inlineStr">
        <is>
          <t>ENKÖPING</t>
        </is>
      </c>
      <c r="G484" t="n">
        <v>2.4</v>
      </c>
      <c r="H484" t="n">
        <v>0</v>
      </c>
      <c r="I484" t="n">
        <v>0</v>
      </c>
      <c r="J484" t="n">
        <v>0</v>
      </c>
      <c r="K484" t="n">
        <v>0</v>
      </c>
      <c r="L484" t="n">
        <v>0</v>
      </c>
      <c r="M484" t="n">
        <v>0</v>
      </c>
      <c r="N484" t="n">
        <v>0</v>
      </c>
      <c r="O484" t="n">
        <v>0</v>
      </c>
      <c r="P484" t="n">
        <v>0</v>
      </c>
      <c r="Q484" t="n">
        <v>0</v>
      </c>
      <c r="R484" s="2" t="inlineStr"/>
    </row>
    <row r="485">
      <c r="A485" t="inlineStr">
        <is>
          <t>A 32081-2024</t>
        </is>
      </c>
      <c r="B485" s="1" t="n">
        <v>45511.34605324074</v>
      </c>
      <c r="C485" s="1" t="n">
        <v>45916</v>
      </c>
      <c r="D485" t="inlineStr">
        <is>
          <t>UPPSALA LÄN</t>
        </is>
      </c>
      <c r="E485" t="inlineStr">
        <is>
          <t>ENKÖPING</t>
        </is>
      </c>
      <c r="G485" t="n">
        <v>5.4</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2025-09-16T08:54:51Z</dcterms:created>
  <dcterms:modified xmlns:dcterms="http://purl.org/dc/terms/" xmlns:xsi="http://www.w3.org/2001/XMLSchema-instance" xsi:type="dcterms:W3CDTF">2025-09-16T08:54:52Z</dcterms:modified>
</cp:coreProperties>
</file>