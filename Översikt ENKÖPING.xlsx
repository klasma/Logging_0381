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46085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46085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46085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46085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46085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46085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46085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46085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46085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46085</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46085</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46085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9147-2026</t>
        </is>
      </c>
      <c r="B14" s="1" t="n">
        <v>46070.30649305556</v>
      </c>
      <c r="C14" s="1" t="n">
        <v>46085</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50105-2023</t>
        </is>
      </c>
      <c r="B15" s="1" t="n">
        <v>45215</v>
      </c>
      <c r="C15" s="1" t="n">
        <v>46085</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46085</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52092-2022</t>
        </is>
      </c>
      <c r="B17" s="1" t="n">
        <v>44873</v>
      </c>
      <c r="C17" s="1" t="n">
        <v>46085</v>
      </c>
      <c r="D17" t="inlineStr">
        <is>
          <t>UPPSALA LÄN</t>
        </is>
      </c>
      <c r="E17" t="inlineStr">
        <is>
          <t>ENKÖPING</t>
        </is>
      </c>
      <c r="G17" t="n">
        <v>2.4</v>
      </c>
      <c r="H17" t="n">
        <v>1</v>
      </c>
      <c r="I17" t="n">
        <v>0</v>
      </c>
      <c r="J17" t="n">
        <v>1</v>
      </c>
      <c r="K17" t="n">
        <v>1</v>
      </c>
      <c r="L17" t="n">
        <v>0</v>
      </c>
      <c r="M17" t="n">
        <v>0</v>
      </c>
      <c r="N17" t="n">
        <v>0</v>
      </c>
      <c r="O17" t="n">
        <v>2</v>
      </c>
      <c r="P17" t="n">
        <v>1</v>
      </c>
      <c r="Q17" t="n">
        <v>2</v>
      </c>
      <c r="R17" s="2" t="inlineStr">
        <is>
          <t>Bombmurkla
Fyrflikig jordstjärna</t>
        </is>
      </c>
      <c r="S17">
        <f>HYPERLINK("https://klasma.github.io/Logging_0381/artfynd/A 52092-2022 artfynd.xlsx", "A 52092-2022")</f>
        <v/>
      </c>
      <c r="T17">
        <f>HYPERLINK("https://klasma.github.io/Logging_0381/kartor/A 52092-2022 karta.png", "A 52092-2022")</f>
        <v/>
      </c>
      <c r="V17">
        <f>HYPERLINK("https://klasma.github.io/Logging_0381/klagomål/A 52092-2022 FSC-klagomål.docx", "A 52092-2022")</f>
        <v/>
      </c>
      <c r="W17">
        <f>HYPERLINK("https://klasma.github.io/Logging_0381/klagomålsmail/A 52092-2022 FSC-klagomål mail.docx", "A 52092-2022")</f>
        <v/>
      </c>
      <c r="X17">
        <f>HYPERLINK("https://klasma.github.io/Logging_0381/tillsyn/A 52092-2022 tillsynsbegäran.docx", "A 52092-2022")</f>
        <v/>
      </c>
      <c r="Y17">
        <f>HYPERLINK("https://klasma.github.io/Logging_0381/tillsynsmail/A 52092-2022 tillsynsbegäran mail.docx", "A 52092-2022")</f>
        <v/>
      </c>
    </row>
    <row r="18" ht="15" customHeight="1">
      <c r="A18" t="inlineStr">
        <is>
          <t>A 21970-2025</t>
        </is>
      </c>
      <c r="B18" s="1" t="n">
        <v>45784.63335648148</v>
      </c>
      <c r="C18" s="1" t="n">
        <v>46085</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46085</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46085</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46085</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46085</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33339-2024</t>
        </is>
      </c>
      <c r="B23" s="1" t="n">
        <v>45519</v>
      </c>
      <c r="C23" s="1" t="n">
        <v>46085</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29510-2025</t>
        </is>
      </c>
      <c r="B24" s="1" t="n">
        <v>45825</v>
      </c>
      <c r="C24" s="1" t="n">
        <v>46085</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45116-2023</t>
        </is>
      </c>
      <c r="B25" s="1" t="n">
        <v>45191</v>
      </c>
      <c r="C25" s="1" t="n">
        <v>46085</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52439-2025</t>
        </is>
      </c>
      <c r="B26" s="1" t="n">
        <v>45954.40697916667</v>
      </c>
      <c r="C26" s="1" t="n">
        <v>46085</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4166-2026</t>
        </is>
      </c>
      <c r="B27" s="1" t="n">
        <v>46044.66402777778</v>
      </c>
      <c r="C27" s="1" t="n">
        <v>46085</v>
      </c>
      <c r="D27" t="inlineStr">
        <is>
          <t>UPPSALA LÄN</t>
        </is>
      </c>
      <c r="E27" t="inlineStr">
        <is>
          <t>ENKÖPING</t>
        </is>
      </c>
      <c r="G27" t="n">
        <v>1.7</v>
      </c>
      <c r="H27" t="n">
        <v>1</v>
      </c>
      <c r="I27" t="n">
        <v>0</v>
      </c>
      <c r="J27" t="n">
        <v>1</v>
      </c>
      <c r="K27" t="n">
        <v>0</v>
      </c>
      <c r="L27" t="n">
        <v>0</v>
      </c>
      <c r="M27" t="n">
        <v>0</v>
      </c>
      <c r="N27" t="n">
        <v>0</v>
      </c>
      <c r="O27" t="n">
        <v>1</v>
      </c>
      <c r="P27" t="n">
        <v>0</v>
      </c>
      <c r="Q27" t="n">
        <v>1</v>
      </c>
      <c r="R27" s="2" t="inlineStr">
        <is>
          <t>Gulsparv</t>
        </is>
      </c>
      <c r="S27">
        <f>HYPERLINK("https://klasma.github.io/Logging_0381/artfynd/A 4166-2026 artfynd.xlsx", "A 4166-2026")</f>
        <v/>
      </c>
      <c r="T27">
        <f>HYPERLINK("https://klasma.github.io/Logging_0381/kartor/A 4166-2026 karta.png", "A 4166-2026")</f>
        <v/>
      </c>
      <c r="V27">
        <f>HYPERLINK("https://klasma.github.io/Logging_0381/klagomål/A 4166-2026 FSC-klagomål.docx", "A 4166-2026")</f>
        <v/>
      </c>
      <c r="W27">
        <f>HYPERLINK("https://klasma.github.io/Logging_0381/klagomålsmail/A 4166-2026 FSC-klagomål mail.docx", "A 4166-2026")</f>
        <v/>
      </c>
      <c r="X27">
        <f>HYPERLINK("https://klasma.github.io/Logging_0381/tillsyn/A 4166-2026 tillsynsbegäran.docx", "A 4166-2026")</f>
        <v/>
      </c>
      <c r="Y27">
        <f>HYPERLINK("https://klasma.github.io/Logging_0381/tillsynsmail/A 4166-2026 tillsynsbegäran mail.docx", "A 4166-2026")</f>
        <v/>
      </c>
      <c r="Z27">
        <f>HYPERLINK("https://klasma.github.io/Logging_0381/fåglar/A 4166-2026 prioriterade fågelarter.docx", "A 4166-2026")</f>
        <v/>
      </c>
    </row>
    <row r="28" ht="15" customHeight="1">
      <c r="A28" t="inlineStr">
        <is>
          <t>A 23961-2022</t>
        </is>
      </c>
      <c r="B28" s="1" t="n">
        <v>44722</v>
      </c>
      <c r="C28" s="1" t="n">
        <v>46085</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Blåsippa</t>
        </is>
      </c>
      <c r="S28">
        <f>HYPERLINK("https://klasma.github.io/Logging_0381/artfynd/A 23961-2022 artfynd.xlsx", "A 23961-2022")</f>
        <v/>
      </c>
      <c r="T28">
        <f>HYPERLINK("https://klasma.github.io/Logging_0381/kartor/A 23961-2022 karta.png", "A 23961-2022")</f>
        <v/>
      </c>
      <c r="V28">
        <f>HYPERLINK("https://klasma.github.io/Logging_0381/klagomål/A 23961-2022 FSC-klagomål.docx", "A 23961-2022")</f>
        <v/>
      </c>
      <c r="W28">
        <f>HYPERLINK("https://klasma.github.io/Logging_0381/klagomålsmail/A 23961-2022 FSC-klagomål mail.docx", "A 23961-2022")</f>
        <v/>
      </c>
      <c r="X28">
        <f>HYPERLINK("https://klasma.github.io/Logging_0381/tillsyn/A 23961-2022 tillsynsbegäran.docx", "A 23961-2022")</f>
        <v/>
      </c>
      <c r="Y28">
        <f>HYPERLINK("https://klasma.github.io/Logging_0381/tillsynsmail/A 23961-2022 tillsynsbegäran mail.docx", "A 23961-2022")</f>
        <v/>
      </c>
    </row>
    <row r="29" ht="15" customHeight="1">
      <c r="A29" t="inlineStr">
        <is>
          <t>A 28900-2024</t>
        </is>
      </c>
      <c r="B29" s="1" t="n">
        <v>45480</v>
      </c>
      <c r="C29" s="1" t="n">
        <v>46085</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17942-2024</t>
        </is>
      </c>
      <c r="B30" s="1" t="n">
        <v>45419</v>
      </c>
      <c r="C30" s="1" t="n">
        <v>46085</v>
      </c>
      <c r="D30" t="inlineStr">
        <is>
          <t>UPPSALA LÄN</t>
        </is>
      </c>
      <c r="E30" t="inlineStr">
        <is>
          <t>ENKÖPING</t>
        </is>
      </c>
      <c r="G30" t="n">
        <v>0.8</v>
      </c>
      <c r="H30" t="n">
        <v>0</v>
      </c>
      <c r="I30" t="n">
        <v>0</v>
      </c>
      <c r="J30" t="n">
        <v>1</v>
      </c>
      <c r="K30" t="n">
        <v>0</v>
      </c>
      <c r="L30" t="n">
        <v>0</v>
      </c>
      <c r="M30" t="n">
        <v>0</v>
      </c>
      <c r="N30" t="n">
        <v>0</v>
      </c>
      <c r="O30" t="n">
        <v>1</v>
      </c>
      <c r="P30" t="n">
        <v>0</v>
      </c>
      <c r="Q30" t="n">
        <v>1</v>
      </c>
      <c r="R30" s="2" t="inlineStr">
        <is>
          <t>Ängsskära</t>
        </is>
      </c>
      <c r="S30">
        <f>HYPERLINK("https://klasma.github.io/Logging_0381/artfynd/A 17942-2024 artfynd.xlsx", "A 17942-2024")</f>
        <v/>
      </c>
      <c r="T30">
        <f>HYPERLINK("https://klasma.github.io/Logging_0381/kartor/A 17942-2024 karta.png", "A 17942-2024")</f>
        <v/>
      </c>
      <c r="V30">
        <f>HYPERLINK("https://klasma.github.io/Logging_0381/klagomål/A 17942-2024 FSC-klagomål.docx", "A 17942-2024")</f>
        <v/>
      </c>
      <c r="W30">
        <f>HYPERLINK("https://klasma.github.io/Logging_0381/klagomålsmail/A 17942-2024 FSC-klagomål mail.docx", "A 17942-2024")</f>
        <v/>
      </c>
      <c r="X30">
        <f>HYPERLINK("https://klasma.github.io/Logging_0381/tillsyn/A 17942-2024 tillsynsbegäran.docx", "A 17942-2024")</f>
        <v/>
      </c>
      <c r="Y30">
        <f>HYPERLINK("https://klasma.github.io/Logging_0381/tillsynsmail/A 17942-2024 tillsynsbegäran mail.docx", "A 17942-2024")</f>
        <v/>
      </c>
    </row>
    <row r="31" ht="15" customHeight="1">
      <c r="A31" t="inlineStr">
        <is>
          <t>A 46749-2024</t>
        </is>
      </c>
      <c r="B31" s="1" t="n">
        <v>45583.48347222222</v>
      </c>
      <c r="C31" s="1" t="n">
        <v>46085</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Tallkötticka</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1524-2023</t>
        </is>
      </c>
      <c r="B32" s="1" t="n">
        <v>44935</v>
      </c>
      <c r="C32" s="1" t="n">
        <v>46085</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Skogsduva</t>
        </is>
      </c>
      <c r="S32">
        <f>HYPERLINK("https://klasma.github.io/Logging_0381/artfynd/A 1524-2023 artfynd.xlsx", "A 1524-2023")</f>
        <v/>
      </c>
      <c r="T32">
        <f>HYPERLINK("https://klasma.github.io/Logging_0381/kartor/A 1524-2023 karta.png", "A 1524-2023")</f>
        <v/>
      </c>
      <c r="V32">
        <f>HYPERLINK("https://klasma.github.io/Logging_0381/klagomål/A 1524-2023 FSC-klagomål.docx", "A 1524-2023")</f>
        <v/>
      </c>
      <c r="W32">
        <f>HYPERLINK("https://klasma.github.io/Logging_0381/klagomålsmail/A 1524-2023 FSC-klagomål mail.docx", "A 1524-2023")</f>
        <v/>
      </c>
      <c r="X32">
        <f>HYPERLINK("https://klasma.github.io/Logging_0381/tillsyn/A 1524-2023 tillsynsbegäran.docx", "A 1524-2023")</f>
        <v/>
      </c>
      <c r="Y32">
        <f>HYPERLINK("https://klasma.github.io/Logging_0381/tillsynsmail/A 1524-2023 tillsynsbegäran mail.docx", "A 1524-2023")</f>
        <v/>
      </c>
      <c r="Z32">
        <f>HYPERLINK("https://klasma.github.io/Logging_0381/fåglar/A 1524-2023 prioriterade fågelarter.docx", "A 1524-2023")</f>
        <v/>
      </c>
    </row>
    <row r="33" ht="15" customHeight="1">
      <c r="A33" t="inlineStr">
        <is>
          <t>A 26347-2025</t>
        </is>
      </c>
      <c r="B33" s="1" t="n">
        <v>45805.7403125</v>
      </c>
      <c r="C33" s="1" t="n">
        <v>46085</v>
      </c>
      <c r="D33" t="inlineStr">
        <is>
          <t>UPPSALA LÄN</t>
        </is>
      </c>
      <c r="E33" t="inlineStr">
        <is>
          <t>ENKÖPING</t>
        </is>
      </c>
      <c r="G33" t="n">
        <v>7.3</v>
      </c>
      <c r="H33" t="n">
        <v>1</v>
      </c>
      <c r="I33" t="n">
        <v>0</v>
      </c>
      <c r="J33" t="n">
        <v>0</v>
      </c>
      <c r="K33" t="n">
        <v>1</v>
      </c>
      <c r="L33" t="n">
        <v>0</v>
      </c>
      <c r="M33" t="n">
        <v>0</v>
      </c>
      <c r="N33" t="n">
        <v>0</v>
      </c>
      <c r="O33" t="n">
        <v>1</v>
      </c>
      <c r="P33" t="n">
        <v>1</v>
      </c>
      <c r="Q33" t="n">
        <v>1</v>
      </c>
      <c r="R33" s="2" t="inlineStr">
        <is>
          <t>Tofsvipa</t>
        </is>
      </c>
      <c r="S33">
        <f>HYPERLINK("https://klasma.github.io/Logging_0381/artfynd/A 26347-2025 artfynd.xlsx", "A 26347-2025")</f>
        <v/>
      </c>
      <c r="T33">
        <f>HYPERLINK("https://klasma.github.io/Logging_0381/kartor/A 26347-2025 karta.png", "A 26347-2025")</f>
        <v/>
      </c>
      <c r="V33">
        <f>HYPERLINK("https://klasma.github.io/Logging_0381/klagomål/A 26347-2025 FSC-klagomål.docx", "A 26347-2025")</f>
        <v/>
      </c>
      <c r="W33">
        <f>HYPERLINK("https://klasma.github.io/Logging_0381/klagomålsmail/A 26347-2025 FSC-klagomål mail.docx", "A 26347-2025")</f>
        <v/>
      </c>
      <c r="X33">
        <f>HYPERLINK("https://klasma.github.io/Logging_0381/tillsyn/A 26347-2025 tillsynsbegäran.docx", "A 26347-2025")</f>
        <v/>
      </c>
      <c r="Y33">
        <f>HYPERLINK("https://klasma.github.io/Logging_0381/tillsynsmail/A 26347-2025 tillsynsbegäran mail.docx", "A 26347-2025")</f>
        <v/>
      </c>
    </row>
    <row r="34" ht="15" customHeight="1">
      <c r="A34" t="inlineStr">
        <is>
          <t>A 27060-2025</t>
        </is>
      </c>
      <c r="B34" s="1" t="n">
        <v>45811.63590277778</v>
      </c>
      <c r="C34" s="1" t="n">
        <v>46085</v>
      </c>
      <c r="D34" t="inlineStr">
        <is>
          <t>UPPSALA LÄN</t>
        </is>
      </c>
      <c r="E34" t="inlineStr">
        <is>
          <t>ENKÖPING</t>
        </is>
      </c>
      <c r="G34" t="n">
        <v>2.6</v>
      </c>
      <c r="H34" t="n">
        <v>0</v>
      </c>
      <c r="I34" t="n">
        <v>1</v>
      </c>
      <c r="J34" t="n">
        <v>0</v>
      </c>
      <c r="K34" t="n">
        <v>0</v>
      </c>
      <c r="L34" t="n">
        <v>0</v>
      </c>
      <c r="M34" t="n">
        <v>0</v>
      </c>
      <c r="N34" t="n">
        <v>0</v>
      </c>
      <c r="O34" t="n">
        <v>0</v>
      </c>
      <c r="P34" t="n">
        <v>0</v>
      </c>
      <c r="Q34" t="n">
        <v>1</v>
      </c>
      <c r="R34" s="2" t="inlineStr">
        <is>
          <t>Granbarkgnagare</t>
        </is>
      </c>
      <c r="S34">
        <f>HYPERLINK("https://klasma.github.io/Logging_0381/artfynd/A 27060-2025 artfynd.xlsx", "A 27060-2025")</f>
        <v/>
      </c>
      <c r="T34">
        <f>HYPERLINK("https://klasma.github.io/Logging_0381/kartor/A 27060-2025 karta.png", "A 27060-2025")</f>
        <v/>
      </c>
      <c r="V34">
        <f>HYPERLINK("https://klasma.github.io/Logging_0381/klagomål/A 27060-2025 FSC-klagomål.docx", "A 27060-2025")</f>
        <v/>
      </c>
      <c r="W34">
        <f>HYPERLINK("https://klasma.github.io/Logging_0381/klagomålsmail/A 27060-2025 FSC-klagomål mail.docx", "A 27060-2025")</f>
        <v/>
      </c>
      <c r="X34">
        <f>HYPERLINK("https://klasma.github.io/Logging_0381/tillsyn/A 27060-2025 tillsynsbegäran.docx", "A 27060-2025")</f>
        <v/>
      </c>
      <c r="Y34">
        <f>HYPERLINK("https://klasma.github.io/Logging_0381/tillsynsmail/A 27060-2025 tillsynsbegäran mail.docx", "A 27060-2025")</f>
        <v/>
      </c>
    </row>
    <row r="35" ht="15" customHeight="1">
      <c r="A35" t="inlineStr">
        <is>
          <t>A 16683-2021</t>
        </is>
      </c>
      <c r="B35" s="1" t="n">
        <v>44294.58495370371</v>
      </c>
      <c r="C35" s="1" t="n">
        <v>46085</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46085</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46085</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46085</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46085</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46085</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46085</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46085</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37570-2021</t>
        </is>
      </c>
      <c r="B43" s="1" t="n">
        <v>44399</v>
      </c>
      <c r="C43" s="1" t="n">
        <v>46085</v>
      </c>
      <c r="D43" t="inlineStr">
        <is>
          <t>UPPSALA LÄN</t>
        </is>
      </c>
      <c r="E43" t="inlineStr">
        <is>
          <t>ENKÖPING</t>
        </is>
      </c>
      <c r="G43" t="n">
        <v>0.4</v>
      </c>
      <c r="H43" t="n">
        <v>0</v>
      </c>
      <c r="I43" t="n">
        <v>0</v>
      </c>
      <c r="J43" t="n">
        <v>0</v>
      </c>
      <c r="K43" t="n">
        <v>0</v>
      </c>
      <c r="L43" t="n">
        <v>0</v>
      </c>
      <c r="M43" t="n">
        <v>0</v>
      </c>
      <c r="N43" t="n">
        <v>0</v>
      </c>
      <c r="O43" t="n">
        <v>0</v>
      </c>
      <c r="P43" t="n">
        <v>0</v>
      </c>
      <c r="Q43" t="n">
        <v>0</v>
      </c>
      <c r="R43" s="2" t="inlineStr"/>
    </row>
    <row r="44" ht="15" customHeight="1">
      <c r="A44" t="inlineStr">
        <is>
          <t>A 37571-2021</t>
        </is>
      </c>
      <c r="B44" s="1" t="n">
        <v>44399.58929398148</v>
      </c>
      <c r="C44" s="1" t="n">
        <v>46085</v>
      </c>
      <c r="D44" t="inlineStr">
        <is>
          <t>UPPSALA LÄN</t>
        </is>
      </c>
      <c r="E44" t="inlineStr">
        <is>
          <t>ENKÖPING</t>
        </is>
      </c>
      <c r="G44" t="n">
        <v>4.6</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46085</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46085</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46085</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46085</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46085</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46085</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46085</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46085</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46085</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46085</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46085</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46085</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46085</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46085</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46085</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46085</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46085</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46085</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46085</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46085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46085</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46085</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46085</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46085</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46085</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46085</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46085</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46085</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46085</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46085</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46085</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46085</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46085</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46085</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46085</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46085</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46085</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46085</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46085</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46085</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46085</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46085</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46085</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46085</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46085</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46085</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46085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46085</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46085</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46085</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46085</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46085</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46085</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46085</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46085</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46085</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46085</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46085</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46085</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46085</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46085</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46085</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35647-2021</t>
        </is>
      </c>
      <c r="B107" s="1" t="n">
        <v>44386</v>
      </c>
      <c r="C107" s="1" t="n">
        <v>46085</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46085</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46085</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21017-2023</t>
        </is>
      </c>
      <c r="B110" s="1" t="n">
        <v>45061</v>
      </c>
      <c r="C110" s="1" t="n">
        <v>46085</v>
      </c>
      <c r="D110" t="inlineStr">
        <is>
          <t>UPPSALA LÄN</t>
        </is>
      </c>
      <c r="E110" t="inlineStr">
        <is>
          <t>ENKÖPING</t>
        </is>
      </c>
      <c r="G110" t="n">
        <v>4.8</v>
      </c>
      <c r="H110" t="n">
        <v>0</v>
      </c>
      <c r="I110" t="n">
        <v>0</v>
      </c>
      <c r="J110" t="n">
        <v>0</v>
      </c>
      <c r="K110" t="n">
        <v>0</v>
      </c>
      <c r="L110" t="n">
        <v>0</v>
      </c>
      <c r="M110" t="n">
        <v>0</v>
      </c>
      <c r="N110" t="n">
        <v>0</v>
      </c>
      <c r="O110" t="n">
        <v>0</v>
      </c>
      <c r="P110" t="n">
        <v>0</v>
      </c>
      <c r="Q110" t="n">
        <v>0</v>
      </c>
      <c r="R110" s="2" t="inlineStr"/>
    </row>
    <row r="111" ht="15" customHeight="1">
      <c r="A111" t="inlineStr">
        <is>
          <t>A 24962-2023</t>
        </is>
      </c>
      <c r="B111" s="1" t="n">
        <v>45085.60123842592</v>
      </c>
      <c r="C111" s="1" t="n">
        <v>46085</v>
      </c>
      <c r="D111" t="inlineStr">
        <is>
          <t>UPPSALA LÄN</t>
        </is>
      </c>
      <c r="E111" t="inlineStr">
        <is>
          <t>ENKÖPING</t>
        </is>
      </c>
      <c r="G111" t="n">
        <v>2.8</v>
      </c>
      <c r="H111" t="n">
        <v>0</v>
      </c>
      <c r="I111" t="n">
        <v>0</v>
      </c>
      <c r="J111" t="n">
        <v>0</v>
      </c>
      <c r="K111" t="n">
        <v>0</v>
      </c>
      <c r="L111" t="n">
        <v>0</v>
      </c>
      <c r="M111" t="n">
        <v>0</v>
      </c>
      <c r="N111" t="n">
        <v>0</v>
      </c>
      <c r="O111" t="n">
        <v>0</v>
      </c>
      <c r="P111" t="n">
        <v>0</v>
      </c>
      <c r="Q111" t="n">
        <v>0</v>
      </c>
      <c r="R111" s="2" t="inlineStr"/>
    </row>
    <row r="112" ht="15" customHeight="1">
      <c r="A112" t="inlineStr">
        <is>
          <t>A 69344-2021</t>
        </is>
      </c>
      <c r="B112" s="1" t="n">
        <v>44531</v>
      </c>
      <c r="C112" s="1" t="n">
        <v>46085</v>
      </c>
      <c r="D112" t="inlineStr">
        <is>
          <t>UPPSALA LÄN</t>
        </is>
      </c>
      <c r="E112" t="inlineStr">
        <is>
          <t>ENKÖPING</t>
        </is>
      </c>
      <c r="G112" t="n">
        <v>2.9</v>
      </c>
      <c r="H112" t="n">
        <v>0</v>
      </c>
      <c r="I112" t="n">
        <v>0</v>
      </c>
      <c r="J112" t="n">
        <v>0</v>
      </c>
      <c r="K112" t="n">
        <v>0</v>
      </c>
      <c r="L112" t="n">
        <v>0</v>
      </c>
      <c r="M112" t="n">
        <v>0</v>
      </c>
      <c r="N112" t="n">
        <v>0</v>
      </c>
      <c r="O112" t="n">
        <v>0</v>
      </c>
      <c r="P112" t="n">
        <v>0</v>
      </c>
      <c r="Q112" t="n">
        <v>0</v>
      </c>
      <c r="R112" s="2" t="inlineStr"/>
    </row>
    <row r="113" ht="15" customHeight="1">
      <c r="A113" t="inlineStr">
        <is>
          <t>A 44131-2023</t>
        </is>
      </c>
      <c r="B113" s="1" t="n">
        <v>45188</v>
      </c>
      <c r="C113" s="1" t="n">
        <v>46085</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29482-2022</t>
        </is>
      </c>
      <c r="B114" s="1" t="n">
        <v>44753.57703703704</v>
      </c>
      <c r="C114" s="1" t="n">
        <v>46085</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29483-2022</t>
        </is>
      </c>
      <c r="B115" s="1" t="n">
        <v>44753.57829861111</v>
      </c>
      <c r="C115" s="1" t="n">
        <v>46085</v>
      </c>
      <c r="D115" t="inlineStr">
        <is>
          <t>UPPSALA LÄN</t>
        </is>
      </c>
      <c r="E115" t="inlineStr">
        <is>
          <t>ENKÖPING</t>
        </is>
      </c>
      <c r="G115" t="n">
        <v>3.6</v>
      </c>
      <c r="H115" t="n">
        <v>0</v>
      </c>
      <c r="I115" t="n">
        <v>0</v>
      </c>
      <c r="J115" t="n">
        <v>0</v>
      </c>
      <c r="K115" t="n">
        <v>0</v>
      </c>
      <c r="L115" t="n">
        <v>0</v>
      </c>
      <c r="M115" t="n">
        <v>0</v>
      </c>
      <c r="N115" t="n">
        <v>0</v>
      </c>
      <c r="O115" t="n">
        <v>0</v>
      </c>
      <c r="P115" t="n">
        <v>0</v>
      </c>
      <c r="Q115" t="n">
        <v>0</v>
      </c>
      <c r="R115" s="2" t="inlineStr"/>
    </row>
    <row r="116" ht="15" customHeight="1">
      <c r="A116" t="inlineStr">
        <is>
          <t>A 56176-2021</t>
        </is>
      </c>
      <c r="B116" s="1" t="n">
        <v>44477</v>
      </c>
      <c r="C116" s="1" t="n">
        <v>46085</v>
      </c>
      <c r="D116" t="inlineStr">
        <is>
          <t>UPPSALA LÄN</t>
        </is>
      </c>
      <c r="E116" t="inlineStr">
        <is>
          <t>ENKÖPING</t>
        </is>
      </c>
      <c r="G116" t="n">
        <v>2.9</v>
      </c>
      <c r="H116" t="n">
        <v>0</v>
      </c>
      <c r="I116" t="n">
        <v>0</v>
      </c>
      <c r="J116" t="n">
        <v>0</v>
      </c>
      <c r="K116" t="n">
        <v>0</v>
      </c>
      <c r="L116" t="n">
        <v>0</v>
      </c>
      <c r="M116" t="n">
        <v>0</v>
      </c>
      <c r="N116" t="n">
        <v>0</v>
      </c>
      <c r="O116" t="n">
        <v>0</v>
      </c>
      <c r="P116" t="n">
        <v>0</v>
      </c>
      <c r="Q116" t="n">
        <v>0</v>
      </c>
      <c r="R116" s="2" t="inlineStr"/>
    </row>
    <row r="117" ht="15" customHeight="1">
      <c r="A117" t="inlineStr">
        <is>
          <t>A 37170-2021</t>
        </is>
      </c>
      <c r="B117" s="1" t="n">
        <v>44395</v>
      </c>
      <c r="C117" s="1" t="n">
        <v>46085</v>
      </c>
      <c r="D117" t="inlineStr">
        <is>
          <t>UPPSALA LÄN</t>
        </is>
      </c>
      <c r="E117" t="inlineStr">
        <is>
          <t>ENKÖPING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29983-2021</t>
        </is>
      </c>
      <c r="B118" s="1" t="n">
        <v>44363</v>
      </c>
      <c r="C118" s="1" t="n">
        <v>46085</v>
      </c>
      <c r="D118" t="inlineStr">
        <is>
          <t>UPPSALA LÄN</t>
        </is>
      </c>
      <c r="E118" t="inlineStr">
        <is>
          <t>ENKÖPING</t>
        </is>
      </c>
      <c r="F118" t="inlineStr">
        <is>
          <t>Kommuner</t>
        </is>
      </c>
      <c r="G118" t="n">
        <v>3.1</v>
      </c>
      <c r="H118" t="n">
        <v>0</v>
      </c>
      <c r="I118" t="n">
        <v>0</v>
      </c>
      <c r="J118" t="n">
        <v>0</v>
      </c>
      <c r="K118" t="n">
        <v>0</v>
      </c>
      <c r="L118" t="n">
        <v>0</v>
      </c>
      <c r="M118" t="n">
        <v>0</v>
      </c>
      <c r="N118" t="n">
        <v>0</v>
      </c>
      <c r="O118" t="n">
        <v>0</v>
      </c>
      <c r="P118" t="n">
        <v>0</v>
      </c>
      <c r="Q118" t="n">
        <v>0</v>
      </c>
      <c r="R118" s="2" t="inlineStr"/>
    </row>
    <row r="119" ht="15" customHeight="1">
      <c r="A119" t="inlineStr">
        <is>
          <t>A 53496-2022</t>
        </is>
      </c>
      <c r="B119" s="1" t="n">
        <v>44879.57217592592</v>
      </c>
      <c r="C119" s="1" t="n">
        <v>46085</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31965-2021</t>
        </is>
      </c>
      <c r="B120" s="1" t="n">
        <v>44370.56901620371</v>
      </c>
      <c r="C120" s="1" t="n">
        <v>46085</v>
      </c>
      <c r="D120" t="inlineStr">
        <is>
          <t>UPPSALA LÄN</t>
        </is>
      </c>
      <c r="E120" t="inlineStr">
        <is>
          <t>ENKÖPING</t>
        </is>
      </c>
      <c r="G120" t="n">
        <v>0.9</v>
      </c>
      <c r="H120" t="n">
        <v>0</v>
      </c>
      <c r="I120" t="n">
        <v>0</v>
      </c>
      <c r="J120" t="n">
        <v>0</v>
      </c>
      <c r="K120" t="n">
        <v>0</v>
      </c>
      <c r="L120" t="n">
        <v>0</v>
      </c>
      <c r="M120" t="n">
        <v>0</v>
      </c>
      <c r="N120" t="n">
        <v>0</v>
      </c>
      <c r="O120" t="n">
        <v>0</v>
      </c>
      <c r="P120" t="n">
        <v>0</v>
      </c>
      <c r="Q120" t="n">
        <v>0</v>
      </c>
      <c r="R120" s="2" t="inlineStr"/>
    </row>
    <row r="121" ht="15" customHeight="1">
      <c r="A121" t="inlineStr">
        <is>
          <t>A 7870-2024</t>
        </is>
      </c>
      <c r="B121" s="1" t="n">
        <v>45350.33349537037</v>
      </c>
      <c r="C121" s="1" t="n">
        <v>46085</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28243-2023</t>
        </is>
      </c>
      <c r="B122" s="1" t="n">
        <v>45099.58885416666</v>
      </c>
      <c r="C122" s="1" t="n">
        <v>46085</v>
      </c>
      <c r="D122" t="inlineStr">
        <is>
          <t>UPPSALA LÄN</t>
        </is>
      </c>
      <c r="E122" t="inlineStr">
        <is>
          <t>ENKÖPING</t>
        </is>
      </c>
      <c r="G122" t="n">
        <v>1.9</v>
      </c>
      <c r="H122" t="n">
        <v>0</v>
      </c>
      <c r="I122" t="n">
        <v>0</v>
      </c>
      <c r="J122" t="n">
        <v>0</v>
      </c>
      <c r="K122" t="n">
        <v>0</v>
      </c>
      <c r="L122" t="n">
        <v>0</v>
      </c>
      <c r="M122" t="n">
        <v>0</v>
      </c>
      <c r="N122" t="n">
        <v>0</v>
      </c>
      <c r="O122" t="n">
        <v>0</v>
      </c>
      <c r="P122" t="n">
        <v>0</v>
      </c>
      <c r="Q122" t="n">
        <v>0</v>
      </c>
      <c r="R122" s="2" t="inlineStr"/>
    </row>
    <row r="123" ht="15" customHeight="1">
      <c r="A123" t="inlineStr">
        <is>
          <t>A 10468-2025</t>
        </is>
      </c>
      <c r="B123" s="1" t="n">
        <v>45720</v>
      </c>
      <c r="C123" s="1" t="n">
        <v>46085</v>
      </c>
      <c r="D123" t="inlineStr">
        <is>
          <t>UPPSALA LÄN</t>
        </is>
      </c>
      <c r="E123" t="inlineStr">
        <is>
          <t>ENKÖPING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10829-2024</t>
        </is>
      </c>
      <c r="B124" s="1" t="n">
        <v>45369</v>
      </c>
      <c r="C124" s="1" t="n">
        <v>46085</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2161-2023</t>
        </is>
      </c>
      <c r="B125" s="1" t="n">
        <v>44941</v>
      </c>
      <c r="C125" s="1" t="n">
        <v>46085</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2165-2023</t>
        </is>
      </c>
      <c r="B126" s="1" t="n">
        <v>44941</v>
      </c>
      <c r="C126" s="1" t="n">
        <v>46085</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43488-2023</t>
        </is>
      </c>
      <c r="B127" s="1" t="n">
        <v>45181</v>
      </c>
      <c r="C127" s="1" t="n">
        <v>46085</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12755-2025</t>
        </is>
      </c>
      <c r="B128" s="1" t="n">
        <v>45733.56541666666</v>
      </c>
      <c r="C128" s="1" t="n">
        <v>46085</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4044-2024</t>
        </is>
      </c>
      <c r="B129" s="1" t="n">
        <v>45323.45954861111</v>
      </c>
      <c r="C129" s="1" t="n">
        <v>46085</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5211-2024</t>
        </is>
      </c>
      <c r="B130" s="1" t="n">
        <v>45330</v>
      </c>
      <c r="C130" s="1" t="n">
        <v>46085</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46103-2023</t>
        </is>
      </c>
      <c r="B131" s="1" t="n">
        <v>45190</v>
      </c>
      <c r="C131" s="1" t="n">
        <v>46085</v>
      </c>
      <c r="D131" t="inlineStr">
        <is>
          <t>UPPSALA LÄN</t>
        </is>
      </c>
      <c r="E131" t="inlineStr">
        <is>
          <t>ENKÖPING</t>
        </is>
      </c>
      <c r="G131" t="n">
        <v>4.6</v>
      </c>
      <c r="H131" t="n">
        <v>0</v>
      </c>
      <c r="I131" t="n">
        <v>0</v>
      </c>
      <c r="J131" t="n">
        <v>0</v>
      </c>
      <c r="K131" t="n">
        <v>0</v>
      </c>
      <c r="L131" t="n">
        <v>0</v>
      </c>
      <c r="M131" t="n">
        <v>0</v>
      </c>
      <c r="N131" t="n">
        <v>0</v>
      </c>
      <c r="O131" t="n">
        <v>0</v>
      </c>
      <c r="P131" t="n">
        <v>0</v>
      </c>
      <c r="Q131" t="n">
        <v>0</v>
      </c>
      <c r="R131" s="2" t="inlineStr"/>
    </row>
    <row r="132" ht="15" customHeight="1">
      <c r="A132" t="inlineStr">
        <is>
          <t>A 13853-2023</t>
        </is>
      </c>
      <c r="B132" s="1" t="n">
        <v>45007</v>
      </c>
      <c r="C132" s="1" t="n">
        <v>46085</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63310-2021</t>
        </is>
      </c>
      <c r="B133" s="1" t="n">
        <v>44508</v>
      </c>
      <c r="C133" s="1" t="n">
        <v>46085</v>
      </c>
      <c r="D133" t="inlineStr">
        <is>
          <t>UPPSALA LÄN</t>
        </is>
      </c>
      <c r="E133" t="inlineStr">
        <is>
          <t>ENKÖPING</t>
        </is>
      </c>
      <c r="G133" t="n">
        <v>3.5</v>
      </c>
      <c r="H133" t="n">
        <v>0</v>
      </c>
      <c r="I133" t="n">
        <v>0</v>
      </c>
      <c r="J133" t="n">
        <v>0</v>
      </c>
      <c r="K133" t="n">
        <v>0</v>
      </c>
      <c r="L133" t="n">
        <v>0</v>
      </c>
      <c r="M133" t="n">
        <v>0</v>
      </c>
      <c r="N133" t="n">
        <v>0</v>
      </c>
      <c r="O133" t="n">
        <v>0</v>
      </c>
      <c r="P133" t="n">
        <v>0</v>
      </c>
      <c r="Q133" t="n">
        <v>0</v>
      </c>
      <c r="R133" s="2" t="inlineStr"/>
    </row>
    <row r="134" ht="15" customHeight="1">
      <c r="A134" t="inlineStr">
        <is>
          <t>A 7003-2026</t>
        </is>
      </c>
      <c r="B134" s="1" t="n">
        <v>46057.63243055555</v>
      </c>
      <c r="C134" s="1" t="n">
        <v>46085</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61106-2022</t>
        </is>
      </c>
      <c r="B135" s="1" t="n">
        <v>44915.4128587963</v>
      </c>
      <c r="C135" s="1" t="n">
        <v>46085</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7008-2026</t>
        </is>
      </c>
      <c r="B136" s="1" t="n">
        <v>46057.63806712963</v>
      </c>
      <c r="C136" s="1" t="n">
        <v>46085</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9171-2024</t>
        </is>
      </c>
      <c r="B137" s="1" t="n">
        <v>45358</v>
      </c>
      <c r="C137" s="1" t="n">
        <v>46085</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7168-2026</t>
        </is>
      </c>
      <c r="B138" s="1" t="n">
        <v>46058.45831018518</v>
      </c>
      <c r="C138" s="1" t="n">
        <v>46085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7175-2026</t>
        </is>
      </c>
      <c r="B139" s="1" t="n">
        <v>46058.46399305556</v>
      </c>
      <c r="C139" s="1" t="n">
        <v>46085</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7167-2026</t>
        </is>
      </c>
      <c r="B140" s="1" t="n">
        <v>46058.45677083333</v>
      </c>
      <c r="C140" s="1" t="n">
        <v>46085</v>
      </c>
      <c r="D140" t="inlineStr">
        <is>
          <t>UPPSALA LÄN</t>
        </is>
      </c>
      <c r="E140" t="inlineStr">
        <is>
          <t>ENKÖPING</t>
        </is>
      </c>
      <c r="G140" t="n">
        <v>0.9</v>
      </c>
      <c r="H140" t="n">
        <v>0</v>
      </c>
      <c r="I140" t="n">
        <v>0</v>
      </c>
      <c r="J140" t="n">
        <v>0</v>
      </c>
      <c r="K140" t="n">
        <v>0</v>
      </c>
      <c r="L140" t="n">
        <v>0</v>
      </c>
      <c r="M140" t="n">
        <v>0</v>
      </c>
      <c r="N140" t="n">
        <v>0</v>
      </c>
      <c r="O140" t="n">
        <v>0</v>
      </c>
      <c r="P140" t="n">
        <v>0</v>
      </c>
      <c r="Q140" t="n">
        <v>0</v>
      </c>
      <c r="R140" s="2" t="inlineStr"/>
    </row>
    <row r="141" ht="15" customHeight="1">
      <c r="A141" t="inlineStr">
        <is>
          <t>A 671-2022</t>
        </is>
      </c>
      <c r="B141" s="1" t="n">
        <v>44568</v>
      </c>
      <c r="C141" s="1" t="n">
        <v>46085</v>
      </c>
      <c r="D141" t="inlineStr">
        <is>
          <t>UPPSALA LÄN</t>
        </is>
      </c>
      <c r="E141" t="inlineStr">
        <is>
          <t>ENKÖPING</t>
        </is>
      </c>
      <c r="G141" t="n">
        <v>3.5</v>
      </c>
      <c r="H141" t="n">
        <v>0</v>
      </c>
      <c r="I141" t="n">
        <v>0</v>
      </c>
      <c r="J141" t="n">
        <v>0</v>
      </c>
      <c r="K141" t="n">
        <v>0</v>
      </c>
      <c r="L141" t="n">
        <v>0</v>
      </c>
      <c r="M141" t="n">
        <v>0</v>
      </c>
      <c r="N141" t="n">
        <v>0</v>
      </c>
      <c r="O141" t="n">
        <v>0</v>
      </c>
      <c r="P141" t="n">
        <v>0</v>
      </c>
      <c r="Q141" t="n">
        <v>0</v>
      </c>
      <c r="R141" s="2" t="inlineStr"/>
    </row>
    <row r="142" ht="15" customHeight="1">
      <c r="A142" t="inlineStr">
        <is>
          <t>A 11005-2023</t>
        </is>
      </c>
      <c r="B142" s="1" t="n">
        <v>44991</v>
      </c>
      <c r="C142" s="1" t="n">
        <v>46085</v>
      </c>
      <c r="D142" t="inlineStr">
        <is>
          <t>UPPSALA LÄN</t>
        </is>
      </c>
      <c r="E142" t="inlineStr">
        <is>
          <t>ENKÖPING</t>
        </is>
      </c>
      <c r="G142" t="n">
        <v>1.1</v>
      </c>
      <c r="H142" t="n">
        <v>0</v>
      </c>
      <c r="I142" t="n">
        <v>0</v>
      </c>
      <c r="J142" t="n">
        <v>0</v>
      </c>
      <c r="K142" t="n">
        <v>0</v>
      </c>
      <c r="L142" t="n">
        <v>0</v>
      </c>
      <c r="M142" t="n">
        <v>0</v>
      </c>
      <c r="N142" t="n">
        <v>0</v>
      </c>
      <c r="O142" t="n">
        <v>0</v>
      </c>
      <c r="P142" t="n">
        <v>0</v>
      </c>
      <c r="Q142" t="n">
        <v>0</v>
      </c>
      <c r="R142" s="2" t="inlineStr"/>
    </row>
    <row r="143" ht="15" customHeight="1">
      <c r="A143" t="inlineStr">
        <is>
          <t>A 7172-2026</t>
        </is>
      </c>
      <c r="B143" s="1" t="n">
        <v>46058.46113425926</v>
      </c>
      <c r="C143" s="1" t="n">
        <v>46085</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60848-2025</t>
        </is>
      </c>
      <c r="B144" s="1" t="n">
        <v>45999</v>
      </c>
      <c r="C144" s="1" t="n">
        <v>46085</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29918-2023</t>
        </is>
      </c>
      <c r="B145" s="1" t="n">
        <v>45099</v>
      </c>
      <c r="C145" s="1" t="n">
        <v>46085</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39746-2025</t>
        </is>
      </c>
      <c r="B146" s="1" t="n">
        <v>45891</v>
      </c>
      <c r="C146" s="1" t="n">
        <v>46085</v>
      </c>
      <c r="D146" t="inlineStr">
        <is>
          <t>UPPSALA LÄN</t>
        </is>
      </c>
      <c r="E146" t="inlineStr">
        <is>
          <t>ENKÖPING</t>
        </is>
      </c>
      <c r="G146" t="n">
        <v>7.4</v>
      </c>
      <c r="H146" t="n">
        <v>0</v>
      </c>
      <c r="I146" t="n">
        <v>0</v>
      </c>
      <c r="J146" t="n">
        <v>0</v>
      </c>
      <c r="K146" t="n">
        <v>0</v>
      </c>
      <c r="L146" t="n">
        <v>0</v>
      </c>
      <c r="M146" t="n">
        <v>0</v>
      </c>
      <c r="N146" t="n">
        <v>0</v>
      </c>
      <c r="O146" t="n">
        <v>0</v>
      </c>
      <c r="P146" t="n">
        <v>0</v>
      </c>
      <c r="Q146" t="n">
        <v>0</v>
      </c>
      <c r="R146" s="2" t="inlineStr"/>
    </row>
    <row r="147" ht="15" customHeight="1">
      <c r="A147" t="inlineStr">
        <is>
          <t>A 58384-2022</t>
        </is>
      </c>
      <c r="B147" s="1" t="n">
        <v>44901</v>
      </c>
      <c r="C147" s="1" t="n">
        <v>46085</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43016-2021</t>
        </is>
      </c>
      <c r="B148" s="1" t="n">
        <v>44431</v>
      </c>
      <c r="C148" s="1" t="n">
        <v>46085</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15893-2024</t>
        </is>
      </c>
      <c r="B149" s="1" t="n">
        <v>45405</v>
      </c>
      <c r="C149" s="1" t="n">
        <v>46085</v>
      </c>
      <c r="D149" t="inlineStr">
        <is>
          <t>UPPSALA LÄN</t>
        </is>
      </c>
      <c r="E149" t="inlineStr">
        <is>
          <t>ENKÖPING</t>
        </is>
      </c>
      <c r="G149" t="n">
        <v>1.9</v>
      </c>
      <c r="H149" t="n">
        <v>0</v>
      </c>
      <c r="I149" t="n">
        <v>0</v>
      </c>
      <c r="J149" t="n">
        <v>0</v>
      </c>
      <c r="K149" t="n">
        <v>0</v>
      </c>
      <c r="L149" t="n">
        <v>0</v>
      </c>
      <c r="M149" t="n">
        <v>0</v>
      </c>
      <c r="N149" t="n">
        <v>0</v>
      </c>
      <c r="O149" t="n">
        <v>0</v>
      </c>
      <c r="P149" t="n">
        <v>0</v>
      </c>
      <c r="Q149" t="n">
        <v>0</v>
      </c>
      <c r="R149" s="2" t="inlineStr"/>
    </row>
    <row r="150" ht="15" customHeight="1">
      <c r="A150" t="inlineStr">
        <is>
          <t>A 33343-2024</t>
        </is>
      </c>
      <c r="B150" s="1" t="n">
        <v>45519</v>
      </c>
      <c r="C150" s="1" t="n">
        <v>46085</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57142-2021</t>
        </is>
      </c>
      <c r="B151" s="1" t="n">
        <v>44482</v>
      </c>
      <c r="C151" s="1" t="n">
        <v>46085</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57153-2021</t>
        </is>
      </c>
      <c r="B152" s="1" t="n">
        <v>44482</v>
      </c>
      <c r="C152" s="1" t="n">
        <v>46085</v>
      </c>
      <c r="D152" t="inlineStr">
        <is>
          <t>UPPSALA LÄN</t>
        </is>
      </c>
      <c r="E152" t="inlineStr">
        <is>
          <t>ENKÖPING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5188-2022</t>
        </is>
      </c>
      <c r="B153" s="1" t="n">
        <v>44594.4471412037</v>
      </c>
      <c r="C153" s="1" t="n">
        <v>46085</v>
      </c>
      <c r="D153" t="inlineStr">
        <is>
          <t>UPPSALA LÄN</t>
        </is>
      </c>
      <c r="E153" t="inlineStr">
        <is>
          <t>ENKÖPING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19014-2025</t>
        </is>
      </c>
      <c r="B154" s="1" t="n">
        <v>45764.59631944444</v>
      </c>
      <c r="C154" s="1" t="n">
        <v>46085</v>
      </c>
      <c r="D154" t="inlineStr">
        <is>
          <t>UPPSALA LÄN</t>
        </is>
      </c>
      <c r="E154" t="inlineStr">
        <is>
          <t>ENKÖPING</t>
        </is>
      </c>
      <c r="G154" t="n">
        <v>0.2</v>
      </c>
      <c r="H154" t="n">
        <v>0</v>
      </c>
      <c r="I154" t="n">
        <v>0</v>
      </c>
      <c r="J154" t="n">
        <v>0</v>
      </c>
      <c r="K154" t="n">
        <v>0</v>
      </c>
      <c r="L154" t="n">
        <v>0</v>
      </c>
      <c r="M154" t="n">
        <v>0</v>
      </c>
      <c r="N154" t="n">
        <v>0</v>
      </c>
      <c r="O154" t="n">
        <v>0</v>
      </c>
      <c r="P154" t="n">
        <v>0</v>
      </c>
      <c r="Q154" t="n">
        <v>0</v>
      </c>
      <c r="R154" s="2" t="inlineStr"/>
    </row>
    <row r="155" ht="15" customHeight="1">
      <c r="A155" t="inlineStr">
        <is>
          <t>A 43691-2024</t>
        </is>
      </c>
      <c r="B155" s="1" t="n">
        <v>45569</v>
      </c>
      <c r="C155" s="1" t="n">
        <v>46085</v>
      </c>
      <c r="D155" t="inlineStr">
        <is>
          <t>UPPSALA LÄN</t>
        </is>
      </c>
      <c r="E155" t="inlineStr">
        <is>
          <t>ENKÖPING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19376-2024</t>
        </is>
      </c>
      <c r="B156" s="1" t="n">
        <v>45429</v>
      </c>
      <c r="C156" s="1" t="n">
        <v>46085</v>
      </c>
      <c r="D156" t="inlineStr">
        <is>
          <t>UPPSALA LÄN</t>
        </is>
      </c>
      <c r="E156" t="inlineStr">
        <is>
          <t>ENKÖPING</t>
        </is>
      </c>
      <c r="G156" t="n">
        <v>1.6</v>
      </c>
      <c r="H156" t="n">
        <v>0</v>
      </c>
      <c r="I156" t="n">
        <v>0</v>
      </c>
      <c r="J156" t="n">
        <v>0</v>
      </c>
      <c r="K156" t="n">
        <v>0</v>
      </c>
      <c r="L156" t="n">
        <v>0</v>
      </c>
      <c r="M156" t="n">
        <v>0</v>
      </c>
      <c r="N156" t="n">
        <v>0</v>
      </c>
      <c r="O156" t="n">
        <v>0</v>
      </c>
      <c r="P156" t="n">
        <v>0</v>
      </c>
      <c r="Q156" t="n">
        <v>0</v>
      </c>
      <c r="R156" s="2" t="inlineStr"/>
    </row>
    <row r="157" ht="15" customHeight="1">
      <c r="A157" t="inlineStr">
        <is>
          <t>A 8309-2026</t>
        </is>
      </c>
      <c r="B157" s="1" t="n">
        <v>46064.59081018518</v>
      </c>
      <c r="C157" s="1" t="n">
        <v>46085</v>
      </c>
      <c r="D157" t="inlineStr">
        <is>
          <t>UPPSALA LÄN</t>
        </is>
      </c>
      <c r="E157" t="inlineStr">
        <is>
          <t>ENKÖPING</t>
        </is>
      </c>
      <c r="G157" t="n">
        <v>1.9</v>
      </c>
      <c r="H157" t="n">
        <v>0</v>
      </c>
      <c r="I157" t="n">
        <v>0</v>
      </c>
      <c r="J157" t="n">
        <v>0</v>
      </c>
      <c r="K157" t="n">
        <v>0</v>
      </c>
      <c r="L157" t="n">
        <v>0</v>
      </c>
      <c r="M157" t="n">
        <v>0</v>
      </c>
      <c r="N157" t="n">
        <v>0</v>
      </c>
      <c r="O157" t="n">
        <v>0</v>
      </c>
      <c r="P157" t="n">
        <v>0</v>
      </c>
      <c r="Q157" t="n">
        <v>0</v>
      </c>
      <c r="R157" s="2" t="inlineStr"/>
    </row>
    <row r="158" ht="15" customHeight="1">
      <c r="A158" t="inlineStr">
        <is>
          <t>A 33670-2024</t>
        </is>
      </c>
      <c r="B158" s="1" t="n">
        <v>45520</v>
      </c>
      <c r="C158" s="1" t="n">
        <v>46085</v>
      </c>
      <c r="D158" t="inlineStr">
        <is>
          <t>UPPSALA LÄN</t>
        </is>
      </c>
      <c r="E158" t="inlineStr">
        <is>
          <t>ENKÖPING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41618-2025</t>
        </is>
      </c>
      <c r="B159" s="1" t="n">
        <v>45901.70085648148</v>
      </c>
      <c r="C159" s="1" t="n">
        <v>46085</v>
      </c>
      <c r="D159" t="inlineStr">
        <is>
          <t>UPPSALA LÄN</t>
        </is>
      </c>
      <c r="E159" t="inlineStr">
        <is>
          <t>ENKÖPING</t>
        </is>
      </c>
      <c r="F159" t="inlineStr">
        <is>
          <t>Allmännings- och besparingsskogar</t>
        </is>
      </c>
      <c r="G159" t="n">
        <v>5.3</v>
      </c>
      <c r="H159" t="n">
        <v>0</v>
      </c>
      <c r="I159" t="n">
        <v>0</v>
      </c>
      <c r="J159" t="n">
        <v>0</v>
      </c>
      <c r="K159" t="n">
        <v>0</v>
      </c>
      <c r="L159" t="n">
        <v>0</v>
      </c>
      <c r="M159" t="n">
        <v>0</v>
      </c>
      <c r="N159" t="n">
        <v>0</v>
      </c>
      <c r="O159" t="n">
        <v>0</v>
      </c>
      <c r="P159" t="n">
        <v>0</v>
      </c>
      <c r="Q159" t="n">
        <v>0</v>
      </c>
      <c r="R159" s="2" t="inlineStr"/>
    </row>
    <row r="160" ht="15" customHeight="1">
      <c r="A160" t="inlineStr">
        <is>
          <t>A 25333-2023</t>
        </is>
      </c>
      <c r="B160" s="1" t="n">
        <v>45083</v>
      </c>
      <c r="C160" s="1" t="n">
        <v>46085</v>
      </c>
      <c r="D160" t="inlineStr">
        <is>
          <t>UPPSALA LÄN</t>
        </is>
      </c>
      <c r="E160" t="inlineStr">
        <is>
          <t>ENKÖPING</t>
        </is>
      </c>
      <c r="G160" t="n">
        <v>2.7</v>
      </c>
      <c r="H160" t="n">
        <v>0</v>
      </c>
      <c r="I160" t="n">
        <v>0</v>
      </c>
      <c r="J160" t="n">
        <v>0</v>
      </c>
      <c r="K160" t="n">
        <v>0</v>
      </c>
      <c r="L160" t="n">
        <v>0</v>
      </c>
      <c r="M160" t="n">
        <v>0</v>
      </c>
      <c r="N160" t="n">
        <v>0</v>
      </c>
      <c r="O160" t="n">
        <v>0</v>
      </c>
      <c r="P160" t="n">
        <v>0</v>
      </c>
      <c r="Q160" t="n">
        <v>0</v>
      </c>
      <c r="R160" s="2" t="inlineStr"/>
    </row>
    <row r="161" ht="15" customHeight="1">
      <c r="A161" t="inlineStr">
        <is>
          <t>A 19147-2024</t>
        </is>
      </c>
      <c r="B161" s="1" t="n">
        <v>45428</v>
      </c>
      <c r="C161" s="1" t="n">
        <v>46085</v>
      </c>
      <c r="D161" t="inlineStr">
        <is>
          <t>UPPSALA LÄN</t>
        </is>
      </c>
      <c r="E161" t="inlineStr">
        <is>
          <t>ENKÖPING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41765-2025</t>
        </is>
      </c>
      <c r="B162" s="1" t="n">
        <v>45902</v>
      </c>
      <c r="C162" s="1" t="n">
        <v>46085</v>
      </c>
      <c r="D162" t="inlineStr">
        <is>
          <t>UPPSALA LÄN</t>
        </is>
      </c>
      <c r="E162" t="inlineStr">
        <is>
          <t>ENKÖPING</t>
        </is>
      </c>
      <c r="G162" t="n">
        <v>2.7</v>
      </c>
      <c r="H162" t="n">
        <v>0</v>
      </c>
      <c r="I162" t="n">
        <v>0</v>
      </c>
      <c r="J162" t="n">
        <v>0</v>
      </c>
      <c r="K162" t="n">
        <v>0</v>
      </c>
      <c r="L162" t="n">
        <v>0</v>
      </c>
      <c r="M162" t="n">
        <v>0</v>
      </c>
      <c r="N162" t="n">
        <v>0</v>
      </c>
      <c r="O162" t="n">
        <v>0</v>
      </c>
      <c r="P162" t="n">
        <v>0</v>
      </c>
      <c r="Q162" t="n">
        <v>0</v>
      </c>
      <c r="R162" s="2" t="inlineStr"/>
    </row>
    <row r="163" ht="15" customHeight="1">
      <c r="A163" t="inlineStr">
        <is>
          <t>A 41616-2025</t>
        </is>
      </c>
      <c r="B163" s="1" t="n">
        <v>45901.69684027778</v>
      </c>
      <c r="C163" s="1" t="n">
        <v>46085</v>
      </c>
      <c r="D163" t="inlineStr">
        <is>
          <t>UPPSALA LÄN</t>
        </is>
      </c>
      <c r="E163" t="inlineStr">
        <is>
          <t>ENKÖPING</t>
        </is>
      </c>
      <c r="F163" t="inlineStr">
        <is>
          <t>Allmännings- och besparingsskogar</t>
        </is>
      </c>
      <c r="G163" t="n">
        <v>17.3</v>
      </c>
      <c r="H163" t="n">
        <v>0</v>
      </c>
      <c r="I163" t="n">
        <v>0</v>
      </c>
      <c r="J163" t="n">
        <v>0</v>
      </c>
      <c r="K163" t="n">
        <v>0</v>
      </c>
      <c r="L163" t="n">
        <v>0</v>
      </c>
      <c r="M163" t="n">
        <v>0</v>
      </c>
      <c r="N163" t="n">
        <v>0</v>
      </c>
      <c r="O163" t="n">
        <v>0</v>
      </c>
      <c r="P163" t="n">
        <v>0</v>
      </c>
      <c r="Q163" t="n">
        <v>0</v>
      </c>
      <c r="R163" s="2" t="inlineStr"/>
    </row>
    <row r="164" ht="15" customHeight="1">
      <c r="A164" t="inlineStr">
        <is>
          <t>A 67982-2021</t>
        </is>
      </c>
      <c r="B164" s="1" t="n">
        <v>44525</v>
      </c>
      <c r="C164" s="1" t="n">
        <v>46085</v>
      </c>
      <c r="D164" t="inlineStr">
        <is>
          <t>UPPSALA LÄN</t>
        </is>
      </c>
      <c r="E164" t="inlineStr">
        <is>
          <t>ENKÖPING</t>
        </is>
      </c>
      <c r="G164" t="n">
        <v>1.7</v>
      </c>
      <c r="H164" t="n">
        <v>0</v>
      </c>
      <c r="I164" t="n">
        <v>0</v>
      </c>
      <c r="J164" t="n">
        <v>0</v>
      </c>
      <c r="K164" t="n">
        <v>0</v>
      </c>
      <c r="L164" t="n">
        <v>0</v>
      </c>
      <c r="M164" t="n">
        <v>0</v>
      </c>
      <c r="N164" t="n">
        <v>0</v>
      </c>
      <c r="O164" t="n">
        <v>0</v>
      </c>
      <c r="P164" t="n">
        <v>0</v>
      </c>
      <c r="Q164" t="n">
        <v>0</v>
      </c>
      <c r="R164" s="2" t="inlineStr"/>
    </row>
    <row r="165" ht="15" customHeight="1">
      <c r="A165" t="inlineStr">
        <is>
          <t>A 41637-2025</t>
        </is>
      </c>
      <c r="B165" s="1" t="n">
        <v>45901</v>
      </c>
      <c r="C165" s="1" t="n">
        <v>46085</v>
      </c>
      <c r="D165" t="inlineStr">
        <is>
          <t>UPPSALA LÄN</t>
        </is>
      </c>
      <c r="E165" t="inlineStr">
        <is>
          <t>ENKÖPING</t>
        </is>
      </c>
      <c r="F165" t="inlineStr">
        <is>
          <t>Allmännings- och besparingsskogar</t>
        </is>
      </c>
      <c r="G165" t="n">
        <v>8.699999999999999</v>
      </c>
      <c r="H165" t="n">
        <v>0</v>
      </c>
      <c r="I165" t="n">
        <v>0</v>
      </c>
      <c r="J165" t="n">
        <v>0</v>
      </c>
      <c r="K165" t="n">
        <v>0</v>
      </c>
      <c r="L165" t="n">
        <v>0</v>
      </c>
      <c r="M165" t="n">
        <v>0</v>
      </c>
      <c r="N165" t="n">
        <v>0</v>
      </c>
      <c r="O165" t="n">
        <v>0</v>
      </c>
      <c r="P165" t="n">
        <v>0</v>
      </c>
      <c r="Q165" t="n">
        <v>0</v>
      </c>
      <c r="R165" s="2" t="inlineStr"/>
    </row>
    <row r="166" ht="15" customHeight="1">
      <c r="A166" t="inlineStr">
        <is>
          <t>A 57835-2024</t>
        </is>
      </c>
      <c r="B166" s="1" t="n">
        <v>45631.39947916667</v>
      </c>
      <c r="C166" s="1" t="n">
        <v>46085</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21612-2023</t>
        </is>
      </c>
      <c r="B167" s="1" t="n">
        <v>45063</v>
      </c>
      <c r="C167" s="1" t="n">
        <v>46085</v>
      </c>
      <c r="D167" t="inlineStr">
        <is>
          <t>UPPSALA LÄN</t>
        </is>
      </c>
      <c r="E167" t="inlineStr">
        <is>
          <t>ENKÖPING</t>
        </is>
      </c>
      <c r="F167" t="inlineStr">
        <is>
          <t>Allmännings- och besparingsskogar</t>
        </is>
      </c>
      <c r="G167" t="n">
        <v>1</v>
      </c>
      <c r="H167" t="n">
        <v>0</v>
      </c>
      <c r="I167" t="n">
        <v>0</v>
      </c>
      <c r="J167" t="n">
        <v>0</v>
      </c>
      <c r="K167" t="n">
        <v>0</v>
      </c>
      <c r="L167" t="n">
        <v>0</v>
      </c>
      <c r="M167" t="n">
        <v>0</v>
      </c>
      <c r="N167" t="n">
        <v>0</v>
      </c>
      <c r="O167" t="n">
        <v>0</v>
      </c>
      <c r="P167" t="n">
        <v>0</v>
      </c>
      <c r="Q167" t="n">
        <v>0</v>
      </c>
      <c r="R167" s="2" t="inlineStr"/>
    </row>
    <row r="168" ht="15" customHeight="1">
      <c r="A168" t="inlineStr">
        <is>
          <t>A 39624-2023</t>
        </is>
      </c>
      <c r="B168" s="1" t="n">
        <v>45164</v>
      </c>
      <c r="C168" s="1" t="n">
        <v>46085</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47516-2022</t>
        </is>
      </c>
      <c r="B169" s="1" t="n">
        <v>44853.68895833333</v>
      </c>
      <c r="C169" s="1" t="n">
        <v>46085</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9148-2026</t>
        </is>
      </c>
      <c r="B170" s="1" t="n">
        <v>46070.30946759259</v>
      </c>
      <c r="C170" s="1" t="n">
        <v>46085</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25989-2025</t>
        </is>
      </c>
      <c r="B171" s="1" t="n">
        <v>45804.65050925926</v>
      </c>
      <c r="C171" s="1" t="n">
        <v>46085</v>
      </c>
      <c r="D171" t="inlineStr">
        <is>
          <t>UPPSALA LÄN</t>
        </is>
      </c>
      <c r="E171" t="inlineStr">
        <is>
          <t>ENKÖPING</t>
        </is>
      </c>
      <c r="G171" t="n">
        <v>1.2</v>
      </c>
      <c r="H171" t="n">
        <v>0</v>
      </c>
      <c r="I171" t="n">
        <v>0</v>
      </c>
      <c r="J171" t="n">
        <v>0</v>
      </c>
      <c r="K171" t="n">
        <v>0</v>
      </c>
      <c r="L171" t="n">
        <v>0</v>
      </c>
      <c r="M171" t="n">
        <v>0</v>
      </c>
      <c r="N171" t="n">
        <v>0</v>
      </c>
      <c r="O171" t="n">
        <v>0</v>
      </c>
      <c r="P171" t="n">
        <v>0</v>
      </c>
      <c r="Q171" t="n">
        <v>0</v>
      </c>
      <c r="R171" s="2" t="inlineStr"/>
    </row>
    <row r="172" ht="15" customHeight="1">
      <c r="A172" t="inlineStr">
        <is>
          <t>A 9257-2026</t>
        </is>
      </c>
      <c r="B172" s="1" t="n">
        <v>46070.51166666667</v>
      </c>
      <c r="C172" s="1" t="n">
        <v>46085</v>
      </c>
      <c r="D172" t="inlineStr">
        <is>
          <t>UPPSALA LÄN</t>
        </is>
      </c>
      <c r="E172" t="inlineStr">
        <is>
          <t>ENKÖPING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50747-2022</t>
        </is>
      </c>
      <c r="B173" s="1" t="n">
        <v>44867.40162037037</v>
      </c>
      <c r="C173" s="1" t="n">
        <v>46085</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57152-2021</t>
        </is>
      </c>
      <c r="B174" s="1" t="n">
        <v>44482</v>
      </c>
      <c r="C174" s="1" t="n">
        <v>46085</v>
      </c>
      <c r="D174" t="inlineStr">
        <is>
          <t>UPPSALA LÄN</t>
        </is>
      </c>
      <c r="E174" t="inlineStr">
        <is>
          <t>ENKÖPING</t>
        </is>
      </c>
      <c r="G174" t="n">
        <v>1.4</v>
      </c>
      <c r="H174" t="n">
        <v>0</v>
      </c>
      <c r="I174" t="n">
        <v>0</v>
      </c>
      <c r="J174" t="n">
        <v>0</v>
      </c>
      <c r="K174" t="n">
        <v>0</v>
      </c>
      <c r="L174" t="n">
        <v>0</v>
      </c>
      <c r="M174" t="n">
        <v>0</v>
      </c>
      <c r="N174" t="n">
        <v>0</v>
      </c>
      <c r="O174" t="n">
        <v>0</v>
      </c>
      <c r="P174" t="n">
        <v>0</v>
      </c>
      <c r="Q174" t="n">
        <v>0</v>
      </c>
      <c r="R174" s="2" t="inlineStr"/>
    </row>
    <row r="175" ht="15" customHeight="1">
      <c r="A175" t="inlineStr">
        <is>
          <t>A 5892-2023</t>
        </is>
      </c>
      <c r="B175" s="1" t="n">
        <v>44963.64883101852</v>
      </c>
      <c r="C175" s="1" t="n">
        <v>46085</v>
      </c>
      <c r="D175" t="inlineStr">
        <is>
          <t>UPPSALA LÄN</t>
        </is>
      </c>
      <c r="E175" t="inlineStr">
        <is>
          <t>ENKÖPING</t>
        </is>
      </c>
      <c r="G175" t="n">
        <v>5.5</v>
      </c>
      <c r="H175" t="n">
        <v>0</v>
      </c>
      <c r="I175" t="n">
        <v>0</v>
      </c>
      <c r="J175" t="n">
        <v>0</v>
      </c>
      <c r="K175" t="n">
        <v>0</v>
      </c>
      <c r="L175" t="n">
        <v>0</v>
      </c>
      <c r="M175" t="n">
        <v>0</v>
      </c>
      <c r="N175" t="n">
        <v>0</v>
      </c>
      <c r="O175" t="n">
        <v>0</v>
      </c>
      <c r="P175" t="n">
        <v>0</v>
      </c>
      <c r="Q175" t="n">
        <v>0</v>
      </c>
      <c r="R175" s="2" t="inlineStr"/>
    </row>
    <row r="176" ht="15" customHeight="1">
      <c r="A176" t="inlineStr">
        <is>
          <t>A 25990-2025</t>
        </is>
      </c>
      <c r="B176" s="1" t="n">
        <v>45804.65229166667</v>
      </c>
      <c r="C176" s="1" t="n">
        <v>46085</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30437-2022</t>
        </is>
      </c>
      <c r="B177" s="1" t="n">
        <v>44761</v>
      </c>
      <c r="C177" s="1" t="n">
        <v>46085</v>
      </c>
      <c r="D177" t="inlineStr">
        <is>
          <t>UPPSALA LÄN</t>
        </is>
      </c>
      <c r="E177" t="inlineStr">
        <is>
          <t>ENKÖPING</t>
        </is>
      </c>
      <c r="G177" t="n">
        <v>3.4</v>
      </c>
      <c r="H177" t="n">
        <v>0</v>
      </c>
      <c r="I177" t="n">
        <v>0</v>
      </c>
      <c r="J177" t="n">
        <v>0</v>
      </c>
      <c r="K177" t="n">
        <v>0</v>
      </c>
      <c r="L177" t="n">
        <v>0</v>
      </c>
      <c r="M177" t="n">
        <v>0</v>
      </c>
      <c r="N177" t="n">
        <v>0</v>
      </c>
      <c r="O177" t="n">
        <v>0</v>
      </c>
      <c r="P177" t="n">
        <v>0</v>
      </c>
      <c r="Q177" t="n">
        <v>0</v>
      </c>
      <c r="R177" s="2" t="inlineStr"/>
    </row>
    <row r="178" ht="15" customHeight="1">
      <c r="A178" t="inlineStr">
        <is>
          <t>A 12572-2021</t>
        </is>
      </c>
      <c r="B178" s="1" t="n">
        <v>44270.36438657407</v>
      </c>
      <c r="C178" s="1" t="n">
        <v>46085</v>
      </c>
      <c r="D178" t="inlineStr">
        <is>
          <t>UPPSALA LÄN</t>
        </is>
      </c>
      <c r="E178" t="inlineStr">
        <is>
          <t>ENKÖPING</t>
        </is>
      </c>
      <c r="G178" t="n">
        <v>3.3</v>
      </c>
      <c r="H178" t="n">
        <v>0</v>
      </c>
      <c r="I178" t="n">
        <v>0</v>
      </c>
      <c r="J178" t="n">
        <v>0</v>
      </c>
      <c r="K178" t="n">
        <v>0</v>
      </c>
      <c r="L178" t="n">
        <v>0</v>
      </c>
      <c r="M178" t="n">
        <v>0</v>
      </c>
      <c r="N178" t="n">
        <v>0</v>
      </c>
      <c r="O178" t="n">
        <v>0</v>
      </c>
      <c r="P178" t="n">
        <v>0</v>
      </c>
      <c r="Q178" t="n">
        <v>0</v>
      </c>
      <c r="R178" s="2" t="inlineStr"/>
    </row>
    <row r="179" ht="15" customHeight="1">
      <c r="A179" t="inlineStr">
        <is>
          <t>A 42029-2025</t>
        </is>
      </c>
      <c r="B179" s="1" t="n">
        <v>45903</v>
      </c>
      <c r="C179" s="1" t="n">
        <v>46085</v>
      </c>
      <c r="D179" t="inlineStr">
        <is>
          <t>UPPSALA LÄN</t>
        </is>
      </c>
      <c r="E179" t="inlineStr">
        <is>
          <t>ENKÖPING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39858-2024</t>
        </is>
      </c>
      <c r="B180" s="1" t="n">
        <v>45553</v>
      </c>
      <c r="C180" s="1" t="n">
        <v>46085</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192-2026</t>
        </is>
      </c>
      <c r="B181" s="1" t="n">
        <v>46025</v>
      </c>
      <c r="C181" s="1" t="n">
        <v>46085</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20112-2024</t>
        </is>
      </c>
      <c r="B182" s="1" t="n">
        <v>45434</v>
      </c>
      <c r="C182" s="1" t="n">
        <v>46085</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9469-2026</t>
        </is>
      </c>
      <c r="B183" s="1" t="n">
        <v>46071.51248842593</v>
      </c>
      <c r="C183" s="1" t="n">
        <v>46085</v>
      </c>
      <c r="D183" t="inlineStr">
        <is>
          <t>UPPSALA LÄN</t>
        </is>
      </c>
      <c r="E183" t="inlineStr">
        <is>
          <t>ENKÖPING</t>
        </is>
      </c>
      <c r="G183" t="n">
        <v>3</v>
      </c>
      <c r="H183" t="n">
        <v>0</v>
      </c>
      <c r="I183" t="n">
        <v>0</v>
      </c>
      <c r="J183" t="n">
        <v>0</v>
      </c>
      <c r="K183" t="n">
        <v>0</v>
      </c>
      <c r="L183" t="n">
        <v>0</v>
      </c>
      <c r="M183" t="n">
        <v>0</v>
      </c>
      <c r="N183" t="n">
        <v>0</v>
      </c>
      <c r="O183" t="n">
        <v>0</v>
      </c>
      <c r="P183" t="n">
        <v>0</v>
      </c>
      <c r="Q183" t="n">
        <v>0</v>
      </c>
      <c r="R183" s="2" t="inlineStr"/>
    </row>
    <row r="184" ht="15" customHeight="1">
      <c r="A184" t="inlineStr">
        <is>
          <t>A 9474-2026</t>
        </is>
      </c>
      <c r="B184" s="1" t="n">
        <v>46071.52324074074</v>
      </c>
      <c r="C184" s="1" t="n">
        <v>46085</v>
      </c>
      <c r="D184" t="inlineStr">
        <is>
          <t>UPPSALA LÄN</t>
        </is>
      </c>
      <c r="E184" t="inlineStr">
        <is>
          <t>ENKÖPING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42756-2025</t>
        </is>
      </c>
      <c r="B185" s="1" t="n">
        <v>45908</v>
      </c>
      <c r="C185" s="1" t="n">
        <v>46085</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9957-2023</t>
        </is>
      </c>
      <c r="B186" s="1" t="n">
        <v>44978</v>
      </c>
      <c r="C186" s="1" t="n">
        <v>46085</v>
      </c>
      <c r="D186" t="inlineStr">
        <is>
          <t>UPPSALA LÄN</t>
        </is>
      </c>
      <c r="E186" t="inlineStr">
        <is>
          <t>ENKÖPING</t>
        </is>
      </c>
      <c r="G186" t="n">
        <v>5.9</v>
      </c>
      <c r="H186" t="n">
        <v>0</v>
      </c>
      <c r="I186" t="n">
        <v>0</v>
      </c>
      <c r="J186" t="n">
        <v>0</v>
      </c>
      <c r="K186" t="n">
        <v>0</v>
      </c>
      <c r="L186" t="n">
        <v>0</v>
      </c>
      <c r="M186" t="n">
        <v>0</v>
      </c>
      <c r="N186" t="n">
        <v>0</v>
      </c>
      <c r="O186" t="n">
        <v>0</v>
      </c>
      <c r="P186" t="n">
        <v>0</v>
      </c>
      <c r="Q186" t="n">
        <v>0</v>
      </c>
      <c r="R186" s="2" t="inlineStr"/>
    </row>
    <row r="187" ht="15" customHeight="1">
      <c r="A187" t="inlineStr">
        <is>
          <t>A 51932-2022</t>
        </is>
      </c>
      <c r="B187" s="1" t="n">
        <v>44872</v>
      </c>
      <c r="C187" s="1" t="n">
        <v>46085</v>
      </c>
      <c r="D187" t="inlineStr">
        <is>
          <t>UPPSALA LÄN</t>
        </is>
      </c>
      <c r="E187" t="inlineStr">
        <is>
          <t>ENKÖPING</t>
        </is>
      </c>
      <c r="G187" t="n">
        <v>5.5</v>
      </c>
      <c r="H187" t="n">
        <v>0</v>
      </c>
      <c r="I187" t="n">
        <v>0</v>
      </c>
      <c r="J187" t="n">
        <v>0</v>
      </c>
      <c r="K187" t="n">
        <v>0</v>
      </c>
      <c r="L187" t="n">
        <v>0</v>
      </c>
      <c r="M187" t="n">
        <v>0</v>
      </c>
      <c r="N187" t="n">
        <v>0</v>
      </c>
      <c r="O187" t="n">
        <v>0</v>
      </c>
      <c r="P187" t="n">
        <v>0</v>
      </c>
      <c r="Q187" t="n">
        <v>0</v>
      </c>
      <c r="R187" s="2" t="inlineStr"/>
    </row>
    <row r="188" ht="15" customHeight="1">
      <c r="A188" t="inlineStr">
        <is>
          <t>A 12958-2024</t>
        </is>
      </c>
      <c r="B188" s="1" t="n">
        <v>45385</v>
      </c>
      <c r="C188" s="1" t="n">
        <v>46085</v>
      </c>
      <c r="D188" t="inlineStr">
        <is>
          <t>UPPSALA LÄN</t>
        </is>
      </c>
      <c r="E188" t="inlineStr">
        <is>
          <t>ENKÖPING</t>
        </is>
      </c>
      <c r="G188" t="n">
        <v>2.1</v>
      </c>
      <c r="H188" t="n">
        <v>0</v>
      </c>
      <c r="I188" t="n">
        <v>0</v>
      </c>
      <c r="J188" t="n">
        <v>0</v>
      </c>
      <c r="K188" t="n">
        <v>0</v>
      </c>
      <c r="L188" t="n">
        <v>0</v>
      </c>
      <c r="M188" t="n">
        <v>0</v>
      </c>
      <c r="N188" t="n">
        <v>0</v>
      </c>
      <c r="O188" t="n">
        <v>0</v>
      </c>
      <c r="P188" t="n">
        <v>0</v>
      </c>
      <c r="Q188" t="n">
        <v>0</v>
      </c>
      <c r="R188" s="2" t="inlineStr"/>
    </row>
    <row r="189" ht="15" customHeight="1">
      <c r="A189" t="inlineStr">
        <is>
          <t>A 861-2026</t>
        </is>
      </c>
      <c r="B189" s="1" t="n">
        <v>46030</v>
      </c>
      <c r="C189" s="1" t="n">
        <v>46085</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8152-2022</t>
        </is>
      </c>
      <c r="B190" s="1" t="n">
        <v>44609</v>
      </c>
      <c r="C190" s="1" t="n">
        <v>46085</v>
      </c>
      <c r="D190" t="inlineStr">
        <is>
          <t>UPPSALA LÄN</t>
        </is>
      </c>
      <c r="E190" t="inlineStr">
        <is>
          <t>ENKÖPING</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9467-2026</t>
        </is>
      </c>
      <c r="B191" s="1" t="n">
        <v>46071.50694444445</v>
      </c>
      <c r="C191" s="1" t="n">
        <v>46085</v>
      </c>
      <c r="D191" t="inlineStr">
        <is>
          <t>UPPSALA LÄN</t>
        </is>
      </c>
      <c r="E191" t="inlineStr">
        <is>
          <t>ENKÖPING</t>
        </is>
      </c>
      <c r="G191" t="n">
        <v>5.9</v>
      </c>
      <c r="H191" t="n">
        <v>0</v>
      </c>
      <c r="I191" t="n">
        <v>0</v>
      </c>
      <c r="J191" t="n">
        <v>0</v>
      </c>
      <c r="K191" t="n">
        <v>0</v>
      </c>
      <c r="L191" t="n">
        <v>0</v>
      </c>
      <c r="M191" t="n">
        <v>0</v>
      </c>
      <c r="N191" t="n">
        <v>0</v>
      </c>
      <c r="O191" t="n">
        <v>0</v>
      </c>
      <c r="P191" t="n">
        <v>0</v>
      </c>
      <c r="Q191" t="n">
        <v>0</v>
      </c>
      <c r="R191" s="2" t="inlineStr"/>
    </row>
    <row r="192" ht="15" customHeight="1">
      <c r="A192" t="inlineStr">
        <is>
          <t>A 17657-2025</t>
        </is>
      </c>
      <c r="B192" s="1" t="n">
        <v>45758.35006944444</v>
      </c>
      <c r="C192" s="1" t="n">
        <v>46085</v>
      </c>
      <c r="D192" t="inlineStr">
        <is>
          <t>UPPSALA LÄN</t>
        </is>
      </c>
      <c r="E192" t="inlineStr">
        <is>
          <t>ENKÖPING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40812-2022</t>
        </is>
      </c>
      <c r="B193" s="1" t="n">
        <v>44824.68791666667</v>
      </c>
      <c r="C193" s="1" t="n">
        <v>46085</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24291-2024</t>
        </is>
      </c>
      <c r="B194" s="1" t="n">
        <v>45457.4584837963</v>
      </c>
      <c r="C194" s="1" t="n">
        <v>46085</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41764-2025</t>
        </is>
      </c>
      <c r="B195" s="1" t="n">
        <v>45902</v>
      </c>
      <c r="C195" s="1" t="n">
        <v>46085</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51042-2024</t>
        </is>
      </c>
      <c r="B196" s="1" t="n">
        <v>45603.4342824074</v>
      </c>
      <c r="C196" s="1" t="n">
        <v>46085</v>
      </c>
      <c r="D196" t="inlineStr">
        <is>
          <t>UPPSALA LÄN</t>
        </is>
      </c>
      <c r="E196" t="inlineStr">
        <is>
          <t>ENKÖPING</t>
        </is>
      </c>
      <c r="G196" t="n">
        <v>4.6</v>
      </c>
      <c r="H196" t="n">
        <v>0</v>
      </c>
      <c r="I196" t="n">
        <v>0</v>
      </c>
      <c r="J196" t="n">
        <v>0</v>
      </c>
      <c r="K196" t="n">
        <v>0</v>
      </c>
      <c r="L196" t="n">
        <v>0</v>
      </c>
      <c r="M196" t="n">
        <v>0</v>
      </c>
      <c r="N196" t="n">
        <v>0</v>
      </c>
      <c r="O196" t="n">
        <v>0</v>
      </c>
      <c r="P196" t="n">
        <v>0</v>
      </c>
      <c r="Q196" t="n">
        <v>0</v>
      </c>
      <c r="R196" s="2" t="inlineStr"/>
    </row>
    <row r="197" ht="15" customHeight="1">
      <c r="A197" t="inlineStr">
        <is>
          <t>A 44232-2022</t>
        </is>
      </c>
      <c r="B197" s="1" t="n">
        <v>44839</v>
      </c>
      <c r="C197" s="1" t="n">
        <v>46085</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22632-2025</t>
        </is>
      </c>
      <c r="B198" s="1" t="n">
        <v>45789.44361111111</v>
      </c>
      <c r="C198" s="1" t="n">
        <v>46085</v>
      </c>
      <c r="D198" t="inlineStr">
        <is>
          <t>UPPSALA LÄN</t>
        </is>
      </c>
      <c r="E198" t="inlineStr">
        <is>
          <t>ENKÖPING</t>
        </is>
      </c>
      <c r="G198" t="n">
        <v>2.1</v>
      </c>
      <c r="H198" t="n">
        <v>0</v>
      </c>
      <c r="I198" t="n">
        <v>0</v>
      </c>
      <c r="J198" t="n">
        <v>0</v>
      </c>
      <c r="K198" t="n">
        <v>0</v>
      </c>
      <c r="L198" t="n">
        <v>0</v>
      </c>
      <c r="M198" t="n">
        <v>0</v>
      </c>
      <c r="N198" t="n">
        <v>0</v>
      </c>
      <c r="O198" t="n">
        <v>0</v>
      </c>
      <c r="P198" t="n">
        <v>0</v>
      </c>
      <c r="Q198" t="n">
        <v>0</v>
      </c>
      <c r="R198" s="2" t="inlineStr"/>
    </row>
    <row r="199" ht="15" customHeight="1">
      <c r="A199" t="inlineStr">
        <is>
          <t>A 51037-2024</t>
        </is>
      </c>
      <c r="B199" s="1" t="n">
        <v>45603.43005787037</v>
      </c>
      <c r="C199" s="1" t="n">
        <v>46085</v>
      </c>
      <c r="D199" t="inlineStr">
        <is>
          <t>UPPSALA LÄN</t>
        </is>
      </c>
      <c r="E199" t="inlineStr">
        <is>
          <t>ENKÖPING</t>
        </is>
      </c>
      <c r="G199" t="n">
        <v>5.7</v>
      </c>
      <c r="H199" t="n">
        <v>0</v>
      </c>
      <c r="I199" t="n">
        <v>0</v>
      </c>
      <c r="J199" t="n">
        <v>0</v>
      </c>
      <c r="K199" t="n">
        <v>0</v>
      </c>
      <c r="L199" t="n">
        <v>0</v>
      </c>
      <c r="M199" t="n">
        <v>0</v>
      </c>
      <c r="N199" t="n">
        <v>0</v>
      </c>
      <c r="O199" t="n">
        <v>0</v>
      </c>
      <c r="P199" t="n">
        <v>0</v>
      </c>
      <c r="Q199" t="n">
        <v>0</v>
      </c>
      <c r="R199" s="2" t="inlineStr"/>
    </row>
    <row r="200" ht="15" customHeight="1">
      <c r="A200" t="inlineStr">
        <is>
          <t>A 47428-2023</t>
        </is>
      </c>
      <c r="B200" s="1" t="n">
        <v>45202.66664351852</v>
      </c>
      <c r="C200" s="1" t="n">
        <v>46085</v>
      </c>
      <c r="D200" t="inlineStr">
        <is>
          <t>UPPSALA LÄN</t>
        </is>
      </c>
      <c r="E200" t="inlineStr">
        <is>
          <t>ENKÖPING</t>
        </is>
      </c>
      <c r="G200" t="n">
        <v>3</v>
      </c>
      <c r="H200" t="n">
        <v>0</v>
      </c>
      <c r="I200" t="n">
        <v>0</v>
      </c>
      <c r="J200" t="n">
        <v>0</v>
      </c>
      <c r="K200" t="n">
        <v>0</v>
      </c>
      <c r="L200" t="n">
        <v>0</v>
      </c>
      <c r="M200" t="n">
        <v>0</v>
      </c>
      <c r="N200" t="n">
        <v>0</v>
      </c>
      <c r="O200" t="n">
        <v>0</v>
      </c>
      <c r="P200" t="n">
        <v>0</v>
      </c>
      <c r="Q200" t="n">
        <v>0</v>
      </c>
      <c r="R200" s="2" t="inlineStr"/>
    </row>
    <row r="201" ht="15" customHeight="1">
      <c r="A201" t="inlineStr">
        <is>
          <t>A 15939-2022</t>
        </is>
      </c>
      <c r="B201" s="1" t="n">
        <v>44664</v>
      </c>
      <c r="C201" s="1" t="n">
        <v>46085</v>
      </c>
      <c r="D201" t="inlineStr">
        <is>
          <t>UPPSALA LÄN</t>
        </is>
      </c>
      <c r="E201" t="inlineStr">
        <is>
          <t>ENKÖPING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51027-2024</t>
        </is>
      </c>
      <c r="B202" s="1" t="n">
        <v>45603</v>
      </c>
      <c r="C202" s="1" t="n">
        <v>46085</v>
      </c>
      <c r="D202" t="inlineStr">
        <is>
          <t>UPPSALA LÄN</t>
        </is>
      </c>
      <c r="E202" t="inlineStr">
        <is>
          <t>ENKÖPING</t>
        </is>
      </c>
      <c r="G202" t="n">
        <v>3.5</v>
      </c>
      <c r="H202" t="n">
        <v>0</v>
      </c>
      <c r="I202" t="n">
        <v>0</v>
      </c>
      <c r="J202" t="n">
        <v>0</v>
      </c>
      <c r="K202" t="n">
        <v>0</v>
      </c>
      <c r="L202" t="n">
        <v>0</v>
      </c>
      <c r="M202" t="n">
        <v>0</v>
      </c>
      <c r="N202" t="n">
        <v>0</v>
      </c>
      <c r="O202" t="n">
        <v>0</v>
      </c>
      <c r="P202" t="n">
        <v>0</v>
      </c>
      <c r="Q202" t="n">
        <v>0</v>
      </c>
      <c r="R202" s="2" t="inlineStr"/>
    </row>
    <row r="203" ht="15" customHeight="1">
      <c r="A203" t="inlineStr">
        <is>
          <t>A 50394-2024</t>
        </is>
      </c>
      <c r="B203" s="1" t="n">
        <v>45600</v>
      </c>
      <c r="C203" s="1" t="n">
        <v>46085</v>
      </c>
      <c r="D203" t="inlineStr">
        <is>
          <t>UPPSALA LÄN</t>
        </is>
      </c>
      <c r="E203" t="inlineStr">
        <is>
          <t>ENKÖPING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72840-2021</t>
        </is>
      </c>
      <c r="B204" s="1" t="n">
        <v>44547</v>
      </c>
      <c r="C204" s="1" t="n">
        <v>46085</v>
      </c>
      <c r="D204" t="inlineStr">
        <is>
          <t>UPPSALA LÄN</t>
        </is>
      </c>
      <c r="E204" t="inlineStr">
        <is>
          <t>ENKÖPING</t>
        </is>
      </c>
      <c r="G204" t="n">
        <v>1.9</v>
      </c>
      <c r="H204" t="n">
        <v>0</v>
      </c>
      <c r="I204" t="n">
        <v>0</v>
      </c>
      <c r="J204" t="n">
        <v>0</v>
      </c>
      <c r="K204" t="n">
        <v>0</v>
      </c>
      <c r="L204" t="n">
        <v>0</v>
      </c>
      <c r="M204" t="n">
        <v>0</v>
      </c>
      <c r="N204" t="n">
        <v>0</v>
      </c>
      <c r="O204" t="n">
        <v>0</v>
      </c>
      <c r="P204" t="n">
        <v>0</v>
      </c>
      <c r="Q204" t="n">
        <v>0</v>
      </c>
      <c r="R204" s="2" t="inlineStr"/>
    </row>
    <row r="205" ht="15" customHeight="1">
      <c r="A205" t="inlineStr">
        <is>
          <t>A 44419-2025</t>
        </is>
      </c>
      <c r="B205" s="1" t="n">
        <v>45916.54671296296</v>
      </c>
      <c r="C205" s="1" t="n">
        <v>46085</v>
      </c>
      <c r="D205" t="inlineStr">
        <is>
          <t>UPPSALA LÄN</t>
        </is>
      </c>
      <c r="E205" t="inlineStr">
        <is>
          <t>ENKÖPING</t>
        </is>
      </c>
      <c r="G205" t="n">
        <v>1.6</v>
      </c>
      <c r="H205" t="n">
        <v>0</v>
      </c>
      <c r="I205" t="n">
        <v>0</v>
      </c>
      <c r="J205" t="n">
        <v>0</v>
      </c>
      <c r="K205" t="n">
        <v>0</v>
      </c>
      <c r="L205" t="n">
        <v>0</v>
      </c>
      <c r="M205" t="n">
        <v>0</v>
      </c>
      <c r="N205" t="n">
        <v>0</v>
      </c>
      <c r="O205" t="n">
        <v>0</v>
      </c>
      <c r="P205" t="n">
        <v>0</v>
      </c>
      <c r="Q205" t="n">
        <v>0</v>
      </c>
      <c r="R205" s="2" t="inlineStr"/>
    </row>
    <row r="206" ht="15" customHeight="1">
      <c r="A206" t="inlineStr">
        <is>
          <t>A 43999-2025</t>
        </is>
      </c>
      <c r="B206" s="1" t="n">
        <v>45915.45158564814</v>
      </c>
      <c r="C206" s="1" t="n">
        <v>46085</v>
      </c>
      <c r="D206" t="inlineStr">
        <is>
          <t>UPPSALA LÄN</t>
        </is>
      </c>
      <c r="E206" t="inlineStr">
        <is>
          <t>ENKÖPING</t>
        </is>
      </c>
      <c r="G206" t="n">
        <v>4.1</v>
      </c>
      <c r="H206" t="n">
        <v>0</v>
      </c>
      <c r="I206" t="n">
        <v>0</v>
      </c>
      <c r="J206" t="n">
        <v>0</v>
      </c>
      <c r="K206" t="n">
        <v>0</v>
      </c>
      <c r="L206" t="n">
        <v>0</v>
      </c>
      <c r="M206" t="n">
        <v>0</v>
      </c>
      <c r="N206" t="n">
        <v>0</v>
      </c>
      <c r="O206" t="n">
        <v>0</v>
      </c>
      <c r="P206" t="n">
        <v>0</v>
      </c>
      <c r="Q206" t="n">
        <v>0</v>
      </c>
      <c r="R206" s="2" t="inlineStr"/>
    </row>
    <row r="207" ht="15" customHeight="1">
      <c r="A207" t="inlineStr">
        <is>
          <t>A 32477-2025</t>
        </is>
      </c>
      <c r="B207" s="1" t="n">
        <v>45838.43098379629</v>
      </c>
      <c r="C207" s="1" t="n">
        <v>46085</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45362-2022</t>
        </is>
      </c>
      <c r="B208" s="1" t="n">
        <v>44844.62366898148</v>
      </c>
      <c r="C208" s="1" t="n">
        <v>46085</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56526-2022</t>
        </is>
      </c>
      <c r="B209" s="1" t="n">
        <v>44893</v>
      </c>
      <c r="C209" s="1" t="n">
        <v>46085</v>
      </c>
      <c r="D209" t="inlineStr">
        <is>
          <t>UPPSALA LÄN</t>
        </is>
      </c>
      <c r="E209" t="inlineStr">
        <is>
          <t>ENKÖPING</t>
        </is>
      </c>
      <c r="G209" t="n">
        <v>3.8</v>
      </c>
      <c r="H209" t="n">
        <v>0</v>
      </c>
      <c r="I209" t="n">
        <v>0</v>
      </c>
      <c r="J209" t="n">
        <v>0</v>
      </c>
      <c r="K209" t="n">
        <v>0</v>
      </c>
      <c r="L209" t="n">
        <v>0</v>
      </c>
      <c r="M209" t="n">
        <v>0</v>
      </c>
      <c r="N209" t="n">
        <v>0</v>
      </c>
      <c r="O209" t="n">
        <v>0</v>
      </c>
      <c r="P209" t="n">
        <v>0</v>
      </c>
      <c r="Q209" t="n">
        <v>0</v>
      </c>
      <c r="R209" s="2" t="inlineStr"/>
    </row>
    <row r="210" ht="15" customHeight="1">
      <c r="A210" t="inlineStr">
        <is>
          <t>A 2218-2026</t>
        </is>
      </c>
      <c r="B210" s="1" t="n">
        <v>46036.50010416667</v>
      </c>
      <c r="C210" s="1" t="n">
        <v>46085</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37870-2023</t>
        </is>
      </c>
      <c r="B211" s="1" t="n">
        <v>45160.41996527778</v>
      </c>
      <c r="C211" s="1" t="n">
        <v>46085</v>
      </c>
      <c r="D211" t="inlineStr">
        <is>
          <t>UPPSALA LÄN</t>
        </is>
      </c>
      <c r="E211" t="inlineStr">
        <is>
          <t>ENKÖPING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7090-2022</t>
        </is>
      </c>
      <c r="B212" s="1" t="n">
        <v>44603.59520833333</v>
      </c>
      <c r="C212" s="1" t="n">
        <v>46085</v>
      </c>
      <c r="D212" t="inlineStr">
        <is>
          <t>UPPSALA LÄN</t>
        </is>
      </c>
      <c r="E212" t="inlineStr">
        <is>
          <t>ENKÖPING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49063-2024</t>
        </is>
      </c>
      <c r="B213" s="1" t="n">
        <v>45594.59869212963</v>
      </c>
      <c r="C213" s="1" t="n">
        <v>46085</v>
      </c>
      <c r="D213" t="inlineStr">
        <is>
          <t>UPPSALA LÄN</t>
        </is>
      </c>
      <c r="E213" t="inlineStr">
        <is>
          <t>ENKÖPING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60350-2022</t>
        </is>
      </c>
      <c r="B214" s="1" t="n">
        <v>44910</v>
      </c>
      <c r="C214" s="1" t="n">
        <v>46085</v>
      </c>
      <c r="D214" t="inlineStr">
        <is>
          <t>UPPSALA LÄN</t>
        </is>
      </c>
      <c r="E214" t="inlineStr">
        <is>
          <t>ENKÖPING</t>
        </is>
      </c>
      <c r="F214" t="inlineStr">
        <is>
          <t>Allmännings- och besparingsskogar</t>
        </is>
      </c>
      <c r="G214" t="n">
        <v>3.5</v>
      </c>
      <c r="H214" t="n">
        <v>0</v>
      </c>
      <c r="I214" t="n">
        <v>0</v>
      </c>
      <c r="J214" t="n">
        <v>0</v>
      </c>
      <c r="K214" t="n">
        <v>0</v>
      </c>
      <c r="L214" t="n">
        <v>0</v>
      </c>
      <c r="M214" t="n">
        <v>0</v>
      </c>
      <c r="N214" t="n">
        <v>0</v>
      </c>
      <c r="O214" t="n">
        <v>0</v>
      </c>
      <c r="P214" t="n">
        <v>0</v>
      </c>
      <c r="Q214" t="n">
        <v>0</v>
      </c>
      <c r="R214" s="2" t="inlineStr"/>
    </row>
    <row r="215" ht="15" customHeight="1">
      <c r="A215" t="inlineStr">
        <is>
          <t>A 14083-2025</t>
        </is>
      </c>
      <c r="B215" s="1" t="n">
        <v>45740</v>
      </c>
      <c r="C215" s="1" t="n">
        <v>46085</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2258-2026</t>
        </is>
      </c>
      <c r="B216" s="1" t="n">
        <v>46036</v>
      </c>
      <c r="C216" s="1" t="n">
        <v>46085</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28518-2024</t>
        </is>
      </c>
      <c r="B217" s="1" t="n">
        <v>45477</v>
      </c>
      <c r="C217" s="1" t="n">
        <v>46085</v>
      </c>
      <c r="D217" t="inlineStr">
        <is>
          <t>UPPSALA LÄN</t>
        </is>
      </c>
      <c r="E217" t="inlineStr">
        <is>
          <t>ENKÖPING</t>
        </is>
      </c>
      <c r="G217" t="n">
        <v>3.4</v>
      </c>
      <c r="H217" t="n">
        <v>0</v>
      </c>
      <c r="I217" t="n">
        <v>0</v>
      </c>
      <c r="J217" t="n">
        <v>0</v>
      </c>
      <c r="K217" t="n">
        <v>0</v>
      </c>
      <c r="L217" t="n">
        <v>0</v>
      </c>
      <c r="M217" t="n">
        <v>0</v>
      </c>
      <c r="N217" t="n">
        <v>0</v>
      </c>
      <c r="O217" t="n">
        <v>0</v>
      </c>
      <c r="P217" t="n">
        <v>0</v>
      </c>
      <c r="Q217" t="n">
        <v>0</v>
      </c>
      <c r="R217" s="2" t="inlineStr"/>
    </row>
    <row r="218" ht="15" customHeight="1">
      <c r="A218" t="inlineStr">
        <is>
          <t>A 19298-2023</t>
        </is>
      </c>
      <c r="B218" s="1" t="n">
        <v>45048</v>
      </c>
      <c r="C218" s="1" t="n">
        <v>46085</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15409-2025</t>
        </is>
      </c>
      <c r="B219" s="1" t="n">
        <v>45747</v>
      </c>
      <c r="C219" s="1" t="n">
        <v>46085</v>
      </c>
      <c r="D219" t="inlineStr">
        <is>
          <t>UPPSALA LÄN</t>
        </is>
      </c>
      <c r="E219" t="inlineStr">
        <is>
          <t>ENKÖPING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34617-2022</t>
        </is>
      </c>
      <c r="B220" s="1" t="n">
        <v>44795</v>
      </c>
      <c r="C220" s="1" t="n">
        <v>46085</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40202-2024</t>
        </is>
      </c>
      <c r="B221" s="1" t="n">
        <v>45554</v>
      </c>
      <c r="C221" s="1" t="n">
        <v>46085</v>
      </c>
      <c r="D221" t="inlineStr">
        <is>
          <t>UPPSALA LÄN</t>
        </is>
      </c>
      <c r="E221" t="inlineStr">
        <is>
          <t>ENKÖPING</t>
        </is>
      </c>
      <c r="G221" t="n">
        <v>6.2</v>
      </c>
      <c r="H221" t="n">
        <v>0</v>
      </c>
      <c r="I221" t="n">
        <v>0</v>
      </c>
      <c r="J221" t="n">
        <v>0</v>
      </c>
      <c r="K221" t="n">
        <v>0</v>
      </c>
      <c r="L221" t="n">
        <v>0</v>
      </c>
      <c r="M221" t="n">
        <v>0</v>
      </c>
      <c r="N221" t="n">
        <v>0</v>
      </c>
      <c r="O221" t="n">
        <v>0</v>
      </c>
      <c r="P221" t="n">
        <v>0</v>
      </c>
      <c r="Q221" t="n">
        <v>0</v>
      </c>
      <c r="R221" s="2" t="inlineStr"/>
    </row>
    <row r="222" ht="15" customHeight="1">
      <c r="A222" t="inlineStr">
        <is>
          <t>A 40223-2024</t>
        </is>
      </c>
      <c r="B222" s="1" t="n">
        <v>45554</v>
      </c>
      <c r="C222" s="1" t="n">
        <v>46085</v>
      </c>
      <c r="D222" t="inlineStr">
        <is>
          <t>UPPSALA LÄN</t>
        </is>
      </c>
      <c r="E222" t="inlineStr">
        <is>
          <t>ENKÖPING</t>
        </is>
      </c>
      <c r="G222" t="n">
        <v>1.9</v>
      </c>
      <c r="H222" t="n">
        <v>0</v>
      </c>
      <c r="I222" t="n">
        <v>0</v>
      </c>
      <c r="J222" t="n">
        <v>0</v>
      </c>
      <c r="K222" t="n">
        <v>0</v>
      </c>
      <c r="L222" t="n">
        <v>0</v>
      </c>
      <c r="M222" t="n">
        <v>0</v>
      </c>
      <c r="N222" t="n">
        <v>0</v>
      </c>
      <c r="O222" t="n">
        <v>0</v>
      </c>
      <c r="P222" t="n">
        <v>0</v>
      </c>
      <c r="Q222" t="n">
        <v>0</v>
      </c>
      <c r="R222" s="2" t="inlineStr"/>
    </row>
    <row r="223" ht="15" customHeight="1">
      <c r="A223" t="inlineStr">
        <is>
          <t>A 30098-2024</t>
        </is>
      </c>
      <c r="B223" s="1" t="n">
        <v>45489.41609953704</v>
      </c>
      <c r="C223" s="1" t="n">
        <v>46085</v>
      </c>
      <c r="D223" t="inlineStr">
        <is>
          <t>UPPSALA LÄN</t>
        </is>
      </c>
      <c r="E223" t="inlineStr">
        <is>
          <t>ENKÖPING</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69879-2021</t>
        </is>
      </c>
      <c r="B224" s="1" t="n">
        <v>44532</v>
      </c>
      <c r="C224" s="1" t="n">
        <v>46085</v>
      </c>
      <c r="D224" t="inlineStr">
        <is>
          <t>UPPSALA LÄN</t>
        </is>
      </c>
      <c r="E224" t="inlineStr">
        <is>
          <t>ENKÖPING</t>
        </is>
      </c>
      <c r="G224" t="n">
        <v>4.2</v>
      </c>
      <c r="H224" t="n">
        <v>0</v>
      </c>
      <c r="I224" t="n">
        <v>0</v>
      </c>
      <c r="J224" t="n">
        <v>0</v>
      </c>
      <c r="K224" t="n">
        <v>0</v>
      </c>
      <c r="L224" t="n">
        <v>0</v>
      </c>
      <c r="M224" t="n">
        <v>0</v>
      </c>
      <c r="N224" t="n">
        <v>0</v>
      </c>
      <c r="O224" t="n">
        <v>0</v>
      </c>
      <c r="P224" t="n">
        <v>0</v>
      </c>
      <c r="Q224" t="n">
        <v>0</v>
      </c>
      <c r="R224" s="2" t="inlineStr"/>
    </row>
    <row r="225" ht="15" customHeight="1">
      <c r="A225" t="inlineStr">
        <is>
          <t>A 45755-2025</t>
        </is>
      </c>
      <c r="B225" s="1" t="n">
        <v>45923.50240740741</v>
      </c>
      <c r="C225" s="1" t="n">
        <v>46085</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19013-2025</t>
        </is>
      </c>
      <c r="B226" s="1" t="n">
        <v>45764.59533564815</v>
      </c>
      <c r="C226" s="1" t="n">
        <v>46085</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46590-2025</t>
        </is>
      </c>
      <c r="B227" s="1" t="n">
        <v>45926.39542824074</v>
      </c>
      <c r="C227" s="1" t="n">
        <v>46085</v>
      </c>
      <c r="D227" t="inlineStr">
        <is>
          <t>UPPSALA LÄN</t>
        </is>
      </c>
      <c r="E227" t="inlineStr">
        <is>
          <t>ENKÖPING</t>
        </is>
      </c>
      <c r="G227" t="n">
        <v>2.7</v>
      </c>
      <c r="H227" t="n">
        <v>0</v>
      </c>
      <c r="I227" t="n">
        <v>0</v>
      </c>
      <c r="J227" t="n">
        <v>0</v>
      </c>
      <c r="K227" t="n">
        <v>0</v>
      </c>
      <c r="L227" t="n">
        <v>0</v>
      </c>
      <c r="M227" t="n">
        <v>0</v>
      </c>
      <c r="N227" t="n">
        <v>0</v>
      </c>
      <c r="O227" t="n">
        <v>0</v>
      </c>
      <c r="P227" t="n">
        <v>0</v>
      </c>
      <c r="Q227" t="n">
        <v>0</v>
      </c>
      <c r="R227" s="2" t="inlineStr"/>
    </row>
    <row r="228" ht="15" customHeight="1">
      <c r="A228" t="inlineStr">
        <is>
          <t>A 57335-2024</t>
        </is>
      </c>
      <c r="B228" s="1" t="n">
        <v>45629.63302083333</v>
      </c>
      <c r="C228" s="1" t="n">
        <v>46085</v>
      </c>
      <c r="D228" t="inlineStr">
        <is>
          <t>UPPSALA LÄN</t>
        </is>
      </c>
      <c r="E228" t="inlineStr">
        <is>
          <t>ENKÖPING</t>
        </is>
      </c>
      <c r="G228" t="n">
        <v>2.1</v>
      </c>
      <c r="H228" t="n">
        <v>0</v>
      </c>
      <c r="I228" t="n">
        <v>0</v>
      </c>
      <c r="J228" t="n">
        <v>0</v>
      </c>
      <c r="K228" t="n">
        <v>0</v>
      </c>
      <c r="L228" t="n">
        <v>0</v>
      </c>
      <c r="M228" t="n">
        <v>0</v>
      </c>
      <c r="N228" t="n">
        <v>0</v>
      </c>
      <c r="O228" t="n">
        <v>0</v>
      </c>
      <c r="P228" t="n">
        <v>0</v>
      </c>
      <c r="Q228" t="n">
        <v>0</v>
      </c>
      <c r="R228" s="2" t="inlineStr"/>
    </row>
    <row r="229" ht="15" customHeight="1">
      <c r="A229" t="inlineStr">
        <is>
          <t>A 23301-2024</t>
        </is>
      </c>
      <c r="B229" s="1" t="n">
        <v>45453.4396412037</v>
      </c>
      <c r="C229" s="1" t="n">
        <v>46085</v>
      </c>
      <c r="D229" t="inlineStr">
        <is>
          <t>UPPSALA LÄN</t>
        </is>
      </c>
      <c r="E229" t="inlineStr">
        <is>
          <t>ENKÖPING</t>
        </is>
      </c>
      <c r="G229" t="n">
        <v>4.3</v>
      </c>
      <c r="H229" t="n">
        <v>0</v>
      </c>
      <c r="I229" t="n">
        <v>0</v>
      </c>
      <c r="J229" t="n">
        <v>0</v>
      </c>
      <c r="K229" t="n">
        <v>0</v>
      </c>
      <c r="L229" t="n">
        <v>0</v>
      </c>
      <c r="M229" t="n">
        <v>0</v>
      </c>
      <c r="N229" t="n">
        <v>0</v>
      </c>
      <c r="O229" t="n">
        <v>0</v>
      </c>
      <c r="P229" t="n">
        <v>0</v>
      </c>
      <c r="Q229" t="n">
        <v>0</v>
      </c>
      <c r="R229" s="2" t="inlineStr"/>
    </row>
    <row r="230" ht="15" customHeight="1">
      <c r="A230" t="inlineStr">
        <is>
          <t>A 34989-2025</t>
        </is>
      </c>
      <c r="B230" s="1" t="n">
        <v>45849</v>
      </c>
      <c r="C230" s="1" t="n">
        <v>46085</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2833-2025</t>
        </is>
      </c>
      <c r="B231" s="1" t="n">
        <v>45677.63206018518</v>
      </c>
      <c r="C231" s="1" t="n">
        <v>46085</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34990-2025</t>
        </is>
      </c>
      <c r="B232" s="1" t="n">
        <v>45849.78916666667</v>
      </c>
      <c r="C232" s="1" t="n">
        <v>46085</v>
      </c>
      <c r="D232" t="inlineStr">
        <is>
          <t>UPPSALA LÄN</t>
        </is>
      </c>
      <c r="E232" t="inlineStr">
        <is>
          <t>ENKÖPING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1651-2024</t>
        </is>
      </c>
      <c r="B233" s="1" t="n">
        <v>45306.73770833333</v>
      </c>
      <c r="C233" s="1" t="n">
        <v>46085</v>
      </c>
      <c r="D233" t="inlineStr">
        <is>
          <t>UPPSALA LÄN</t>
        </is>
      </c>
      <c r="E233" t="inlineStr">
        <is>
          <t>ENKÖPING</t>
        </is>
      </c>
      <c r="G233" t="n">
        <v>10.2</v>
      </c>
      <c r="H233" t="n">
        <v>0</v>
      </c>
      <c r="I233" t="n">
        <v>0</v>
      </c>
      <c r="J233" t="n">
        <v>0</v>
      </c>
      <c r="K233" t="n">
        <v>0</v>
      </c>
      <c r="L233" t="n">
        <v>0</v>
      </c>
      <c r="M233" t="n">
        <v>0</v>
      </c>
      <c r="N233" t="n">
        <v>0</v>
      </c>
      <c r="O233" t="n">
        <v>0</v>
      </c>
      <c r="P233" t="n">
        <v>0</v>
      </c>
      <c r="Q233" t="n">
        <v>0</v>
      </c>
      <c r="R233" s="2" t="inlineStr"/>
    </row>
    <row r="234" ht="15" customHeight="1">
      <c r="A234" t="inlineStr">
        <is>
          <t>A 60289-2022</t>
        </is>
      </c>
      <c r="B234" s="1" t="n">
        <v>44910.53026620371</v>
      </c>
      <c r="C234" s="1" t="n">
        <v>46085</v>
      </c>
      <c r="D234" t="inlineStr">
        <is>
          <t>UPPSALA LÄN</t>
        </is>
      </c>
      <c r="E234" t="inlineStr">
        <is>
          <t>ENKÖPING</t>
        </is>
      </c>
      <c r="G234" t="n">
        <v>3.2</v>
      </c>
      <c r="H234" t="n">
        <v>0</v>
      </c>
      <c r="I234" t="n">
        <v>0</v>
      </c>
      <c r="J234" t="n">
        <v>0</v>
      </c>
      <c r="K234" t="n">
        <v>0</v>
      </c>
      <c r="L234" t="n">
        <v>0</v>
      </c>
      <c r="M234" t="n">
        <v>0</v>
      </c>
      <c r="N234" t="n">
        <v>0</v>
      </c>
      <c r="O234" t="n">
        <v>0</v>
      </c>
      <c r="P234" t="n">
        <v>0</v>
      </c>
      <c r="Q234" t="n">
        <v>0</v>
      </c>
      <c r="R234" s="2" t="inlineStr"/>
    </row>
    <row r="235" ht="15" customHeight="1">
      <c r="A235" t="inlineStr">
        <is>
          <t>A 47441-2025</t>
        </is>
      </c>
      <c r="B235" s="1" t="n">
        <v>45930.63986111111</v>
      </c>
      <c r="C235" s="1" t="n">
        <v>46085</v>
      </c>
      <c r="D235" t="inlineStr">
        <is>
          <t>UPPSALA LÄN</t>
        </is>
      </c>
      <c r="E235" t="inlineStr">
        <is>
          <t>ENKÖPING</t>
        </is>
      </c>
      <c r="F235" t="inlineStr">
        <is>
          <t>Allmännings- och besparingsskogar</t>
        </is>
      </c>
      <c r="G235" t="n">
        <v>11.5</v>
      </c>
      <c r="H235" t="n">
        <v>0</v>
      </c>
      <c r="I235" t="n">
        <v>0</v>
      </c>
      <c r="J235" t="n">
        <v>0</v>
      </c>
      <c r="K235" t="n">
        <v>0</v>
      </c>
      <c r="L235" t="n">
        <v>0</v>
      </c>
      <c r="M235" t="n">
        <v>0</v>
      </c>
      <c r="N235" t="n">
        <v>0</v>
      </c>
      <c r="O235" t="n">
        <v>0</v>
      </c>
      <c r="P235" t="n">
        <v>0</v>
      </c>
      <c r="Q235" t="n">
        <v>0</v>
      </c>
      <c r="R235" s="2" t="inlineStr"/>
    </row>
    <row r="236" ht="15" customHeight="1">
      <c r="A236" t="inlineStr">
        <is>
          <t>A 33619-2022</t>
        </is>
      </c>
      <c r="B236" s="1" t="n">
        <v>44789</v>
      </c>
      <c r="C236" s="1" t="n">
        <v>46085</v>
      </c>
      <c r="D236" t="inlineStr">
        <is>
          <t>UPPSALA LÄN</t>
        </is>
      </c>
      <c r="E236" t="inlineStr">
        <is>
          <t>ENKÖPING</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46940-2025</t>
        </is>
      </c>
      <c r="B237" s="1" t="n">
        <v>45929.45483796296</v>
      </c>
      <c r="C237" s="1" t="n">
        <v>46085</v>
      </c>
      <c r="D237" t="inlineStr">
        <is>
          <t>UPPSALA LÄN</t>
        </is>
      </c>
      <c r="E237" t="inlineStr">
        <is>
          <t>ENKÖPING</t>
        </is>
      </c>
      <c r="G237" t="n">
        <v>5.3</v>
      </c>
      <c r="H237" t="n">
        <v>0</v>
      </c>
      <c r="I237" t="n">
        <v>0</v>
      </c>
      <c r="J237" t="n">
        <v>0</v>
      </c>
      <c r="K237" t="n">
        <v>0</v>
      </c>
      <c r="L237" t="n">
        <v>0</v>
      </c>
      <c r="M237" t="n">
        <v>0</v>
      </c>
      <c r="N237" t="n">
        <v>0</v>
      </c>
      <c r="O237" t="n">
        <v>0</v>
      </c>
      <c r="P237" t="n">
        <v>0</v>
      </c>
      <c r="Q237" t="n">
        <v>0</v>
      </c>
      <c r="R237" s="2" t="inlineStr"/>
    </row>
    <row r="238" ht="15" customHeight="1">
      <c r="A238" t="inlineStr">
        <is>
          <t>A 31604-2023</t>
        </is>
      </c>
      <c r="B238" s="1" t="n">
        <v>45117.50368055556</v>
      </c>
      <c r="C238" s="1" t="n">
        <v>46085</v>
      </c>
      <c r="D238" t="inlineStr">
        <is>
          <t>UPPSALA LÄN</t>
        </is>
      </c>
      <c r="E238" t="inlineStr">
        <is>
          <t>ENKÖPING</t>
        </is>
      </c>
      <c r="G238" t="n">
        <v>3.5</v>
      </c>
      <c r="H238" t="n">
        <v>0</v>
      </c>
      <c r="I238" t="n">
        <v>0</v>
      </c>
      <c r="J238" t="n">
        <v>0</v>
      </c>
      <c r="K238" t="n">
        <v>0</v>
      </c>
      <c r="L238" t="n">
        <v>0</v>
      </c>
      <c r="M238" t="n">
        <v>0</v>
      </c>
      <c r="N238" t="n">
        <v>0</v>
      </c>
      <c r="O238" t="n">
        <v>0</v>
      </c>
      <c r="P238" t="n">
        <v>0</v>
      </c>
      <c r="Q238" t="n">
        <v>0</v>
      </c>
      <c r="R238" s="2" t="inlineStr"/>
    </row>
    <row r="239" ht="15" customHeight="1">
      <c r="A239" t="inlineStr">
        <is>
          <t>A 59602-2024</t>
        </is>
      </c>
      <c r="B239" s="1" t="n">
        <v>45638</v>
      </c>
      <c r="C239" s="1" t="n">
        <v>46085</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14243-2025</t>
        </is>
      </c>
      <c r="B240" s="1" t="n">
        <v>45740.61288194444</v>
      </c>
      <c r="C240" s="1" t="n">
        <v>46085</v>
      </c>
      <c r="D240" t="inlineStr">
        <is>
          <t>UPPSALA LÄN</t>
        </is>
      </c>
      <c r="E240" t="inlineStr">
        <is>
          <t>ENKÖPING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19488-2022</t>
        </is>
      </c>
      <c r="B241" s="1" t="n">
        <v>44693</v>
      </c>
      <c r="C241" s="1" t="n">
        <v>46085</v>
      </c>
      <c r="D241" t="inlineStr">
        <is>
          <t>UPPSALA LÄN</t>
        </is>
      </c>
      <c r="E241" t="inlineStr">
        <is>
          <t>ENKÖPING</t>
        </is>
      </c>
      <c r="G241" t="n">
        <v>7.8</v>
      </c>
      <c r="H241" t="n">
        <v>0</v>
      </c>
      <c r="I241" t="n">
        <v>0</v>
      </c>
      <c r="J241" t="n">
        <v>0</v>
      </c>
      <c r="K241" t="n">
        <v>0</v>
      </c>
      <c r="L241" t="n">
        <v>0</v>
      </c>
      <c r="M241" t="n">
        <v>0</v>
      </c>
      <c r="N241" t="n">
        <v>0</v>
      </c>
      <c r="O241" t="n">
        <v>0</v>
      </c>
      <c r="P241" t="n">
        <v>0</v>
      </c>
      <c r="Q241" t="n">
        <v>0</v>
      </c>
      <c r="R241" s="2" t="inlineStr"/>
    </row>
    <row r="242" ht="15" customHeight="1">
      <c r="A242" t="inlineStr">
        <is>
          <t>A 31242-2024</t>
        </is>
      </c>
      <c r="B242" s="1" t="n">
        <v>45503</v>
      </c>
      <c r="C242" s="1" t="n">
        <v>46085</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48423-2025</t>
        </is>
      </c>
      <c r="B243" s="1" t="n">
        <v>45934.68024305555</v>
      </c>
      <c r="C243" s="1" t="n">
        <v>46085</v>
      </c>
      <c r="D243" t="inlineStr">
        <is>
          <t>UPPSALA LÄN</t>
        </is>
      </c>
      <c r="E243" t="inlineStr">
        <is>
          <t>ENKÖPING</t>
        </is>
      </c>
      <c r="G243" t="n">
        <v>4.3</v>
      </c>
      <c r="H243" t="n">
        <v>0</v>
      </c>
      <c r="I243" t="n">
        <v>0</v>
      </c>
      <c r="J243" t="n">
        <v>0</v>
      </c>
      <c r="K243" t="n">
        <v>0</v>
      </c>
      <c r="L243" t="n">
        <v>0</v>
      </c>
      <c r="M243" t="n">
        <v>0</v>
      </c>
      <c r="N243" t="n">
        <v>0</v>
      </c>
      <c r="O243" t="n">
        <v>0</v>
      </c>
      <c r="P243" t="n">
        <v>0</v>
      </c>
      <c r="Q243" t="n">
        <v>0</v>
      </c>
      <c r="R243" s="2" t="inlineStr"/>
    </row>
    <row r="244" ht="15" customHeight="1">
      <c r="A244" t="inlineStr">
        <is>
          <t>A 41826-2024</t>
        </is>
      </c>
      <c r="B244" s="1" t="n">
        <v>45561</v>
      </c>
      <c r="C244" s="1" t="n">
        <v>46085</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48424-2025</t>
        </is>
      </c>
      <c r="B245" s="1" t="n">
        <v>45934.69131944444</v>
      </c>
      <c r="C245" s="1" t="n">
        <v>46085</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2162-2023</t>
        </is>
      </c>
      <c r="B246" s="1" t="n">
        <v>44941</v>
      </c>
      <c r="C246" s="1" t="n">
        <v>46085</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16916-2022</t>
        </is>
      </c>
      <c r="B247" s="1" t="n">
        <v>44676</v>
      </c>
      <c r="C247" s="1" t="n">
        <v>46085</v>
      </c>
      <c r="D247" t="inlineStr">
        <is>
          <t>UPPSALA LÄN</t>
        </is>
      </c>
      <c r="E247" t="inlineStr">
        <is>
          <t>ENKÖPING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56163-2021</t>
        </is>
      </c>
      <c r="B248" s="1" t="n">
        <v>44477</v>
      </c>
      <c r="C248" s="1" t="n">
        <v>46085</v>
      </c>
      <c r="D248" t="inlineStr">
        <is>
          <t>UPPSALA LÄN</t>
        </is>
      </c>
      <c r="E248" t="inlineStr">
        <is>
          <t>ENKÖPING</t>
        </is>
      </c>
      <c r="F248" t="inlineStr">
        <is>
          <t>Allmännings- och besparingsskogar</t>
        </is>
      </c>
      <c r="G248" t="n">
        <v>0.6</v>
      </c>
      <c r="H248" t="n">
        <v>0</v>
      </c>
      <c r="I248" t="n">
        <v>0</v>
      </c>
      <c r="J248" t="n">
        <v>0</v>
      </c>
      <c r="K248" t="n">
        <v>0</v>
      </c>
      <c r="L248" t="n">
        <v>0</v>
      </c>
      <c r="M248" t="n">
        <v>0</v>
      </c>
      <c r="N248" t="n">
        <v>0</v>
      </c>
      <c r="O248" t="n">
        <v>0</v>
      </c>
      <c r="P248" t="n">
        <v>0</v>
      </c>
      <c r="Q248" t="n">
        <v>0</v>
      </c>
      <c r="R248" s="2" t="inlineStr"/>
    </row>
    <row r="249" ht="15" customHeight="1">
      <c r="A249" t="inlineStr">
        <is>
          <t>A 44115-2024</t>
        </is>
      </c>
      <c r="B249" s="1" t="n">
        <v>45572</v>
      </c>
      <c r="C249" s="1" t="n">
        <v>46085</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28318-2024</t>
        </is>
      </c>
      <c r="B250" s="1" t="n">
        <v>45477</v>
      </c>
      <c r="C250" s="1" t="n">
        <v>46085</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48678-2025</t>
        </is>
      </c>
      <c r="B251" s="1" t="n">
        <v>45936.59168981481</v>
      </c>
      <c r="C251" s="1" t="n">
        <v>46085</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49068-2025</t>
        </is>
      </c>
      <c r="B252" s="1" t="n">
        <v>45937.64766203704</v>
      </c>
      <c r="C252" s="1" t="n">
        <v>46085</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30634-2022</t>
        </is>
      </c>
      <c r="B253" s="1" t="n">
        <v>44763.45711805556</v>
      </c>
      <c r="C253" s="1" t="n">
        <v>46085</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39439-2025</t>
        </is>
      </c>
      <c r="B254" s="1" t="n">
        <v>45889</v>
      </c>
      <c r="C254" s="1" t="n">
        <v>46085</v>
      </c>
      <c r="D254" t="inlineStr">
        <is>
          <t>UPPSALA LÄN</t>
        </is>
      </c>
      <c r="E254" t="inlineStr">
        <is>
          <t>ENKÖPING</t>
        </is>
      </c>
      <c r="G254" t="n">
        <v>0.4</v>
      </c>
      <c r="H254" t="n">
        <v>0</v>
      </c>
      <c r="I254" t="n">
        <v>0</v>
      </c>
      <c r="J254" t="n">
        <v>0</v>
      </c>
      <c r="K254" t="n">
        <v>0</v>
      </c>
      <c r="L254" t="n">
        <v>0</v>
      </c>
      <c r="M254" t="n">
        <v>0</v>
      </c>
      <c r="N254" t="n">
        <v>0</v>
      </c>
      <c r="O254" t="n">
        <v>0</v>
      </c>
      <c r="P254" t="n">
        <v>0</v>
      </c>
      <c r="Q254" t="n">
        <v>0</v>
      </c>
      <c r="R254" s="2" t="inlineStr"/>
    </row>
    <row r="255" ht="15" customHeight="1">
      <c r="A255" t="inlineStr">
        <is>
          <t>A 43103-2025</t>
        </is>
      </c>
      <c r="B255" s="1" t="n">
        <v>45909</v>
      </c>
      <c r="C255" s="1" t="n">
        <v>46085</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3300-2025</t>
        </is>
      </c>
      <c r="B256" s="1" t="n">
        <v>45679</v>
      </c>
      <c r="C256" s="1" t="n">
        <v>46085</v>
      </c>
      <c r="D256" t="inlineStr">
        <is>
          <t>UPPSALA LÄN</t>
        </is>
      </c>
      <c r="E256" t="inlineStr">
        <is>
          <t>ENKÖPING</t>
        </is>
      </c>
      <c r="G256" t="n">
        <v>8.9</v>
      </c>
      <c r="H256" t="n">
        <v>0</v>
      </c>
      <c r="I256" t="n">
        <v>0</v>
      </c>
      <c r="J256" t="n">
        <v>0</v>
      </c>
      <c r="K256" t="n">
        <v>0</v>
      </c>
      <c r="L256" t="n">
        <v>0</v>
      </c>
      <c r="M256" t="n">
        <v>0</v>
      </c>
      <c r="N256" t="n">
        <v>0</v>
      </c>
      <c r="O256" t="n">
        <v>0</v>
      </c>
      <c r="P256" t="n">
        <v>0</v>
      </c>
      <c r="Q256" t="n">
        <v>0</v>
      </c>
      <c r="R256" s="2" t="inlineStr"/>
    </row>
    <row r="257" ht="15" customHeight="1">
      <c r="A257" t="inlineStr">
        <is>
          <t>A 14402-2023</t>
        </is>
      </c>
      <c r="B257" s="1" t="n">
        <v>45012</v>
      </c>
      <c r="C257" s="1" t="n">
        <v>46085</v>
      </c>
      <c r="D257" t="inlineStr">
        <is>
          <t>UPPSALA LÄN</t>
        </is>
      </c>
      <c r="E257" t="inlineStr">
        <is>
          <t>ENKÖPING</t>
        </is>
      </c>
      <c r="G257" t="n">
        <v>9.5</v>
      </c>
      <c r="H257" t="n">
        <v>0</v>
      </c>
      <c r="I257" t="n">
        <v>0</v>
      </c>
      <c r="J257" t="n">
        <v>0</v>
      </c>
      <c r="K257" t="n">
        <v>0</v>
      </c>
      <c r="L257" t="n">
        <v>0</v>
      </c>
      <c r="M257" t="n">
        <v>0</v>
      </c>
      <c r="N257" t="n">
        <v>0</v>
      </c>
      <c r="O257" t="n">
        <v>0</v>
      </c>
      <c r="P257" t="n">
        <v>0</v>
      </c>
      <c r="Q257" t="n">
        <v>0</v>
      </c>
      <c r="R257" s="2" t="inlineStr"/>
    </row>
    <row r="258" ht="15" customHeight="1">
      <c r="A258" t="inlineStr">
        <is>
          <t>A 49073-2025</t>
        </is>
      </c>
      <c r="B258" s="1" t="n">
        <v>45937.65512731481</v>
      </c>
      <c r="C258" s="1" t="n">
        <v>46085</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39115-2024</t>
        </is>
      </c>
      <c r="B259" s="1" t="n">
        <v>45548</v>
      </c>
      <c r="C259" s="1" t="n">
        <v>46085</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12020-2024</t>
        </is>
      </c>
      <c r="B260" s="1" t="n">
        <v>45377</v>
      </c>
      <c r="C260" s="1" t="n">
        <v>46085</v>
      </c>
      <c r="D260" t="inlineStr">
        <is>
          <t>UPPSALA LÄN</t>
        </is>
      </c>
      <c r="E260" t="inlineStr">
        <is>
          <t>ENKÖPING</t>
        </is>
      </c>
      <c r="G260" t="n">
        <v>2</v>
      </c>
      <c r="H260" t="n">
        <v>0</v>
      </c>
      <c r="I260" t="n">
        <v>0</v>
      </c>
      <c r="J260" t="n">
        <v>0</v>
      </c>
      <c r="K260" t="n">
        <v>0</v>
      </c>
      <c r="L260" t="n">
        <v>0</v>
      </c>
      <c r="M260" t="n">
        <v>0</v>
      </c>
      <c r="N260" t="n">
        <v>0</v>
      </c>
      <c r="O260" t="n">
        <v>0</v>
      </c>
      <c r="P260" t="n">
        <v>0</v>
      </c>
      <c r="Q260" t="n">
        <v>0</v>
      </c>
      <c r="R260" s="2" t="inlineStr"/>
    </row>
    <row r="261" ht="15" customHeight="1">
      <c r="A261" t="inlineStr">
        <is>
          <t>A 51120-2023</t>
        </is>
      </c>
      <c r="B261" s="1" t="n">
        <v>45219.3088425926</v>
      </c>
      <c r="C261" s="1" t="n">
        <v>46085</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26319-2022</t>
        </is>
      </c>
      <c r="B262" s="1" t="n">
        <v>44735</v>
      </c>
      <c r="C262" s="1" t="n">
        <v>46085</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54357-2023</t>
        </is>
      </c>
      <c r="B263" s="1" t="n">
        <v>45225</v>
      </c>
      <c r="C263" s="1" t="n">
        <v>46085</v>
      </c>
      <c r="D263" t="inlineStr">
        <is>
          <t>UPPSALA LÄN</t>
        </is>
      </c>
      <c r="E263" t="inlineStr">
        <is>
          <t>ENKÖPING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13816-2021</t>
        </is>
      </c>
      <c r="B264" s="1" t="n">
        <v>44276</v>
      </c>
      <c r="C264" s="1" t="n">
        <v>46085</v>
      </c>
      <c r="D264" t="inlineStr">
        <is>
          <t>UPPSALA LÄN</t>
        </is>
      </c>
      <c r="E264" t="inlineStr">
        <is>
          <t>ENKÖPING</t>
        </is>
      </c>
      <c r="G264" t="n">
        <v>0.4</v>
      </c>
      <c r="H264" t="n">
        <v>0</v>
      </c>
      <c r="I264" t="n">
        <v>0</v>
      </c>
      <c r="J264" t="n">
        <v>0</v>
      </c>
      <c r="K264" t="n">
        <v>0</v>
      </c>
      <c r="L264" t="n">
        <v>0</v>
      </c>
      <c r="M264" t="n">
        <v>0</v>
      </c>
      <c r="N264" t="n">
        <v>0</v>
      </c>
      <c r="O264" t="n">
        <v>0</v>
      </c>
      <c r="P264" t="n">
        <v>0</v>
      </c>
      <c r="Q264" t="n">
        <v>0</v>
      </c>
      <c r="R264" s="2" t="inlineStr"/>
    </row>
    <row r="265" ht="15" customHeight="1">
      <c r="A265" t="inlineStr">
        <is>
          <t>A 63402-2023</t>
        </is>
      </c>
      <c r="B265" s="1" t="n">
        <v>45274.50646990741</v>
      </c>
      <c r="C265" s="1" t="n">
        <v>46085</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69344-2021</t>
        </is>
      </c>
      <c r="B266" s="1" t="n">
        <v>44531</v>
      </c>
      <c r="C266" s="1" t="n">
        <v>46085</v>
      </c>
      <c r="D266" t="inlineStr">
        <is>
          <t>UPPSALA LÄN</t>
        </is>
      </c>
      <c r="E266" t="inlineStr">
        <is>
          <t>ENKÖPING</t>
        </is>
      </c>
      <c r="G266" t="n">
        <v>2.9</v>
      </c>
      <c r="H266" t="n">
        <v>0</v>
      </c>
      <c r="I266" t="n">
        <v>0</v>
      </c>
      <c r="J266" t="n">
        <v>0</v>
      </c>
      <c r="K266" t="n">
        <v>0</v>
      </c>
      <c r="L266" t="n">
        <v>0</v>
      </c>
      <c r="M266" t="n">
        <v>0</v>
      </c>
      <c r="N266" t="n">
        <v>0</v>
      </c>
      <c r="O266" t="n">
        <v>0</v>
      </c>
      <c r="P266" t="n">
        <v>0</v>
      </c>
      <c r="Q266" t="n">
        <v>0</v>
      </c>
      <c r="R266" s="2" t="inlineStr"/>
    </row>
    <row r="267" ht="15" customHeight="1">
      <c r="A267" t="inlineStr">
        <is>
          <t>A 53208-2023</t>
        </is>
      </c>
      <c r="B267" s="1" t="n">
        <v>45226</v>
      </c>
      <c r="C267" s="1" t="n">
        <v>46085</v>
      </c>
      <c r="D267" t="inlineStr">
        <is>
          <t>UPPSALA LÄN</t>
        </is>
      </c>
      <c r="E267" t="inlineStr">
        <is>
          <t>ENKÖPING</t>
        </is>
      </c>
      <c r="G267" t="n">
        <v>4.3</v>
      </c>
      <c r="H267" t="n">
        <v>0</v>
      </c>
      <c r="I267" t="n">
        <v>0</v>
      </c>
      <c r="J267" t="n">
        <v>0</v>
      </c>
      <c r="K267" t="n">
        <v>0</v>
      </c>
      <c r="L267" t="n">
        <v>0</v>
      </c>
      <c r="M267" t="n">
        <v>0</v>
      </c>
      <c r="N267" t="n">
        <v>0</v>
      </c>
      <c r="O267" t="n">
        <v>0</v>
      </c>
      <c r="P267" t="n">
        <v>0</v>
      </c>
      <c r="Q267" t="n">
        <v>0</v>
      </c>
      <c r="R267" s="2" t="inlineStr"/>
    </row>
    <row r="268" ht="15" customHeight="1">
      <c r="A268" t="inlineStr">
        <is>
          <t>A 51162-2025</t>
        </is>
      </c>
      <c r="B268" s="1" t="n">
        <v>45947.58820601852</v>
      </c>
      <c r="C268" s="1" t="n">
        <v>46085</v>
      </c>
      <c r="D268" t="inlineStr">
        <is>
          <t>UPPSALA LÄN</t>
        </is>
      </c>
      <c r="E268" t="inlineStr">
        <is>
          <t>ENKÖPING</t>
        </is>
      </c>
      <c r="G268" t="n">
        <v>3.4</v>
      </c>
      <c r="H268" t="n">
        <v>0</v>
      </c>
      <c r="I268" t="n">
        <v>0</v>
      </c>
      <c r="J268" t="n">
        <v>0</v>
      </c>
      <c r="K268" t="n">
        <v>0</v>
      </c>
      <c r="L268" t="n">
        <v>0</v>
      </c>
      <c r="M268" t="n">
        <v>0</v>
      </c>
      <c r="N268" t="n">
        <v>0</v>
      </c>
      <c r="O268" t="n">
        <v>0</v>
      </c>
      <c r="P268" t="n">
        <v>0</v>
      </c>
      <c r="Q268" t="n">
        <v>0</v>
      </c>
      <c r="R268" s="2" t="inlineStr"/>
    </row>
    <row r="269" ht="15" customHeight="1">
      <c r="A269" t="inlineStr">
        <is>
          <t>A 51133-2025</t>
        </is>
      </c>
      <c r="B269" s="1" t="n">
        <v>45947.55598379629</v>
      </c>
      <c r="C269" s="1" t="n">
        <v>46085</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34124-2021</t>
        </is>
      </c>
      <c r="B270" s="1" t="n">
        <v>44379</v>
      </c>
      <c r="C270" s="1" t="n">
        <v>46085</v>
      </c>
      <c r="D270" t="inlineStr">
        <is>
          <t>UPPSALA LÄN</t>
        </is>
      </c>
      <c r="E270" t="inlineStr">
        <is>
          <t>ENKÖPING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43697-2024</t>
        </is>
      </c>
      <c r="B271" s="1" t="n">
        <v>45569</v>
      </c>
      <c r="C271" s="1" t="n">
        <v>46085</v>
      </c>
      <c r="D271" t="inlineStr">
        <is>
          <t>UPPSALA LÄN</t>
        </is>
      </c>
      <c r="E271" t="inlineStr">
        <is>
          <t>ENKÖPING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27983-2024</t>
        </is>
      </c>
      <c r="B272" s="1" t="n">
        <v>45476</v>
      </c>
      <c r="C272" s="1" t="n">
        <v>46085</v>
      </c>
      <c r="D272" t="inlineStr">
        <is>
          <t>UPPSALA LÄN</t>
        </is>
      </c>
      <c r="E272" t="inlineStr">
        <is>
          <t>ENKÖPING</t>
        </is>
      </c>
      <c r="G272" t="n">
        <v>3.2</v>
      </c>
      <c r="H272" t="n">
        <v>0</v>
      </c>
      <c r="I272" t="n">
        <v>0</v>
      </c>
      <c r="J272" t="n">
        <v>0</v>
      </c>
      <c r="K272" t="n">
        <v>0</v>
      </c>
      <c r="L272" t="n">
        <v>0</v>
      </c>
      <c r="M272" t="n">
        <v>0</v>
      </c>
      <c r="N272" t="n">
        <v>0</v>
      </c>
      <c r="O272" t="n">
        <v>0</v>
      </c>
      <c r="P272" t="n">
        <v>0</v>
      </c>
      <c r="Q272" t="n">
        <v>0</v>
      </c>
      <c r="R272" s="2" t="inlineStr"/>
    </row>
    <row r="273" ht="15" customHeight="1">
      <c r="A273" t="inlineStr">
        <is>
          <t>A 26017-2025</t>
        </is>
      </c>
      <c r="B273" s="1" t="n">
        <v>45804</v>
      </c>
      <c r="C273" s="1" t="n">
        <v>46085</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18259-2025</t>
        </is>
      </c>
      <c r="B274" s="1" t="n">
        <v>45762</v>
      </c>
      <c r="C274" s="1" t="n">
        <v>46085</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51010-2024</t>
        </is>
      </c>
      <c r="B275" s="1" t="n">
        <v>45603.39285879629</v>
      </c>
      <c r="C275" s="1" t="n">
        <v>46085</v>
      </c>
      <c r="D275" t="inlineStr">
        <is>
          <t>UPPSALA LÄN</t>
        </is>
      </c>
      <c r="E275" t="inlineStr">
        <is>
          <t>ENKÖPING</t>
        </is>
      </c>
      <c r="G275" t="n">
        <v>1.7</v>
      </c>
      <c r="H275" t="n">
        <v>0</v>
      </c>
      <c r="I275" t="n">
        <v>0</v>
      </c>
      <c r="J275" t="n">
        <v>0</v>
      </c>
      <c r="K275" t="n">
        <v>0</v>
      </c>
      <c r="L275" t="n">
        <v>0</v>
      </c>
      <c r="M275" t="n">
        <v>0</v>
      </c>
      <c r="N275" t="n">
        <v>0</v>
      </c>
      <c r="O275" t="n">
        <v>0</v>
      </c>
      <c r="P275" t="n">
        <v>0</v>
      </c>
      <c r="Q275" t="n">
        <v>0</v>
      </c>
      <c r="R275" s="2" t="inlineStr"/>
    </row>
    <row r="276" ht="15" customHeight="1">
      <c r="A276" t="inlineStr">
        <is>
          <t>A 62158-2023</t>
        </is>
      </c>
      <c r="B276" s="1" t="n">
        <v>45267</v>
      </c>
      <c r="C276" s="1" t="n">
        <v>46085</v>
      </c>
      <c r="D276" t="inlineStr">
        <is>
          <t>UPPSALA LÄN</t>
        </is>
      </c>
      <c r="E276" t="inlineStr">
        <is>
          <t>ENKÖPING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22912-2024</t>
        </is>
      </c>
      <c r="B277" s="1" t="n">
        <v>45448.73118055556</v>
      </c>
      <c r="C277" s="1" t="n">
        <v>46085</v>
      </c>
      <c r="D277" t="inlineStr">
        <is>
          <t>UPPSALA LÄN</t>
        </is>
      </c>
      <c r="E277" t="inlineStr">
        <is>
          <t>ENKÖPING</t>
        </is>
      </c>
      <c r="G277" t="n">
        <v>2.8</v>
      </c>
      <c r="H277" t="n">
        <v>0</v>
      </c>
      <c r="I277" t="n">
        <v>0</v>
      </c>
      <c r="J277" t="n">
        <v>0</v>
      </c>
      <c r="K277" t="n">
        <v>0</v>
      </c>
      <c r="L277" t="n">
        <v>0</v>
      </c>
      <c r="M277" t="n">
        <v>0</v>
      </c>
      <c r="N277" t="n">
        <v>0</v>
      </c>
      <c r="O277" t="n">
        <v>0</v>
      </c>
      <c r="P277" t="n">
        <v>0</v>
      </c>
      <c r="Q277" t="n">
        <v>0</v>
      </c>
      <c r="R277" s="2" t="inlineStr"/>
    </row>
    <row r="278" ht="15" customHeight="1">
      <c r="A278" t="inlineStr">
        <is>
          <t>A 60874-2023</t>
        </is>
      </c>
      <c r="B278" s="1" t="n">
        <v>45261.06280092592</v>
      </c>
      <c r="C278" s="1" t="n">
        <v>46085</v>
      </c>
      <c r="D278" t="inlineStr">
        <is>
          <t>UPPSALA LÄN</t>
        </is>
      </c>
      <c r="E278" t="inlineStr">
        <is>
          <t>ENKÖPING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9667-2024</t>
        </is>
      </c>
      <c r="B279" s="1" t="n">
        <v>45362.45130787037</v>
      </c>
      <c r="C279" s="1" t="n">
        <v>46085</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26011-2025</t>
        </is>
      </c>
      <c r="B280" s="1" t="n">
        <v>45804.67412037037</v>
      </c>
      <c r="C280" s="1" t="n">
        <v>46085</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3550-2023</t>
        </is>
      </c>
      <c r="B281" s="1" t="n">
        <v>44950</v>
      </c>
      <c r="C281" s="1" t="n">
        <v>46085</v>
      </c>
      <c r="D281" t="inlineStr">
        <is>
          <t>UPPSALA LÄN</t>
        </is>
      </c>
      <c r="E281" t="inlineStr">
        <is>
          <t>ENKÖPING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26292-2022</t>
        </is>
      </c>
      <c r="B282" s="1" t="n">
        <v>44735</v>
      </c>
      <c r="C282" s="1" t="n">
        <v>46085</v>
      </c>
      <c r="D282" t="inlineStr">
        <is>
          <t>UPPSALA LÄN</t>
        </is>
      </c>
      <c r="E282" t="inlineStr">
        <is>
          <t>ENKÖPING</t>
        </is>
      </c>
      <c r="F282" t="inlineStr">
        <is>
          <t>Kyrkan</t>
        </is>
      </c>
      <c r="G282" t="n">
        <v>4.6</v>
      </c>
      <c r="H282" t="n">
        <v>0</v>
      </c>
      <c r="I282" t="n">
        <v>0</v>
      </c>
      <c r="J282" t="n">
        <v>0</v>
      </c>
      <c r="K282" t="n">
        <v>0</v>
      </c>
      <c r="L282" t="n">
        <v>0</v>
      </c>
      <c r="M282" t="n">
        <v>0</v>
      </c>
      <c r="N282" t="n">
        <v>0</v>
      </c>
      <c r="O282" t="n">
        <v>0</v>
      </c>
      <c r="P282" t="n">
        <v>0</v>
      </c>
      <c r="Q282" t="n">
        <v>0</v>
      </c>
      <c r="R282" s="2" t="inlineStr"/>
    </row>
    <row r="283" ht="15" customHeight="1">
      <c r="A283" t="inlineStr">
        <is>
          <t>A 61207-2023</t>
        </is>
      </c>
      <c r="B283" s="1" t="n">
        <v>45264.39444444444</v>
      </c>
      <c r="C283" s="1" t="n">
        <v>46085</v>
      </c>
      <c r="D283" t="inlineStr">
        <is>
          <t>UPPSALA LÄN</t>
        </is>
      </c>
      <c r="E283" t="inlineStr">
        <is>
          <t>ENKÖPING</t>
        </is>
      </c>
      <c r="G283" t="n">
        <v>10.8</v>
      </c>
      <c r="H283" t="n">
        <v>0</v>
      </c>
      <c r="I283" t="n">
        <v>0</v>
      </c>
      <c r="J283" t="n">
        <v>0</v>
      </c>
      <c r="K283" t="n">
        <v>0</v>
      </c>
      <c r="L283" t="n">
        <v>0</v>
      </c>
      <c r="M283" t="n">
        <v>0</v>
      </c>
      <c r="N283" t="n">
        <v>0</v>
      </c>
      <c r="O283" t="n">
        <v>0</v>
      </c>
      <c r="P283" t="n">
        <v>0</v>
      </c>
      <c r="Q283" t="n">
        <v>0</v>
      </c>
      <c r="R283" s="2" t="inlineStr"/>
    </row>
    <row r="284" ht="15" customHeight="1">
      <c r="A284" t="inlineStr">
        <is>
          <t>A 54263-2025</t>
        </is>
      </c>
      <c r="B284" s="1" t="n">
        <v>45964.66271990741</v>
      </c>
      <c r="C284" s="1" t="n">
        <v>46085</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2850-2025</t>
        </is>
      </c>
      <c r="B285" s="1" t="n">
        <v>45677</v>
      </c>
      <c r="C285" s="1" t="n">
        <v>46085</v>
      </c>
      <c r="D285" t="inlineStr">
        <is>
          <t>UPPSALA LÄN</t>
        </is>
      </c>
      <c r="E285" t="inlineStr">
        <is>
          <t>ENKÖPING</t>
        </is>
      </c>
      <c r="G285" t="n">
        <v>0.3</v>
      </c>
      <c r="H285" t="n">
        <v>0</v>
      </c>
      <c r="I285" t="n">
        <v>0</v>
      </c>
      <c r="J285" t="n">
        <v>0</v>
      </c>
      <c r="K285" t="n">
        <v>0</v>
      </c>
      <c r="L285" t="n">
        <v>0</v>
      </c>
      <c r="M285" t="n">
        <v>0</v>
      </c>
      <c r="N285" t="n">
        <v>0</v>
      </c>
      <c r="O285" t="n">
        <v>0</v>
      </c>
      <c r="P285" t="n">
        <v>0</v>
      </c>
      <c r="Q285" t="n">
        <v>0</v>
      </c>
      <c r="R285" s="2" t="inlineStr"/>
    </row>
    <row r="286" ht="15" customHeight="1">
      <c r="A286" t="inlineStr">
        <is>
          <t>A 43506-2023</t>
        </is>
      </c>
      <c r="B286" s="1" t="n">
        <v>45181</v>
      </c>
      <c r="C286" s="1" t="n">
        <v>46085</v>
      </c>
      <c r="D286" t="inlineStr">
        <is>
          <t>UPPSALA LÄN</t>
        </is>
      </c>
      <c r="E286" t="inlineStr">
        <is>
          <t>ENKÖPING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840-2025</t>
        </is>
      </c>
      <c r="B287" s="1" t="n">
        <v>45665</v>
      </c>
      <c r="C287" s="1" t="n">
        <v>46085</v>
      </c>
      <c r="D287" t="inlineStr">
        <is>
          <t>UPPSALA LÄN</t>
        </is>
      </c>
      <c r="E287" t="inlineStr">
        <is>
          <t>ENKÖPING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14004-2023</t>
        </is>
      </c>
      <c r="B288" s="1" t="n">
        <v>45008</v>
      </c>
      <c r="C288" s="1" t="n">
        <v>46085</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51012-2024</t>
        </is>
      </c>
      <c r="B289" s="1" t="n">
        <v>45603.39686342593</v>
      </c>
      <c r="C289" s="1" t="n">
        <v>46085</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54844-2025</t>
        </is>
      </c>
      <c r="B290" s="1" t="n">
        <v>45966.69570601852</v>
      </c>
      <c r="C290" s="1" t="n">
        <v>46085</v>
      </c>
      <c r="D290" t="inlineStr">
        <is>
          <t>UPPSALA LÄN</t>
        </is>
      </c>
      <c r="E290" t="inlineStr">
        <is>
          <t>ENKÖPING</t>
        </is>
      </c>
      <c r="G290" t="n">
        <v>5.5</v>
      </c>
      <c r="H290" t="n">
        <v>0</v>
      </c>
      <c r="I290" t="n">
        <v>0</v>
      </c>
      <c r="J290" t="n">
        <v>0</v>
      </c>
      <c r="K290" t="n">
        <v>0</v>
      </c>
      <c r="L290" t="n">
        <v>0</v>
      </c>
      <c r="M290" t="n">
        <v>0</v>
      </c>
      <c r="N290" t="n">
        <v>0</v>
      </c>
      <c r="O290" t="n">
        <v>0</v>
      </c>
      <c r="P290" t="n">
        <v>0</v>
      </c>
      <c r="Q290" t="n">
        <v>0</v>
      </c>
      <c r="R290" s="2" t="inlineStr"/>
    </row>
    <row r="291" ht="15" customHeight="1">
      <c r="A291" t="inlineStr">
        <is>
          <t>A 41828-2024</t>
        </is>
      </c>
      <c r="B291" s="1" t="n">
        <v>45561</v>
      </c>
      <c r="C291" s="1" t="n">
        <v>46085</v>
      </c>
      <c r="D291" t="inlineStr">
        <is>
          <t>UPPSALA LÄN</t>
        </is>
      </c>
      <c r="E291" t="inlineStr">
        <is>
          <t>ENKÖPING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10458-2022</t>
        </is>
      </c>
      <c r="B292" s="1" t="n">
        <v>44623.56711805556</v>
      </c>
      <c r="C292" s="1" t="n">
        <v>46085</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54758-2025</t>
        </is>
      </c>
      <c r="B293" s="1" t="n">
        <v>45966.59737268519</v>
      </c>
      <c r="C293" s="1" t="n">
        <v>46085</v>
      </c>
      <c r="D293" t="inlineStr">
        <is>
          <t>UPPSALA LÄN</t>
        </is>
      </c>
      <c r="E293" t="inlineStr">
        <is>
          <t>ENKÖPING</t>
        </is>
      </c>
      <c r="G293" t="n">
        <v>3.3</v>
      </c>
      <c r="H293" t="n">
        <v>0</v>
      </c>
      <c r="I293" t="n">
        <v>0</v>
      </c>
      <c r="J293" t="n">
        <v>0</v>
      </c>
      <c r="K293" t="n">
        <v>0</v>
      </c>
      <c r="L293" t="n">
        <v>0</v>
      </c>
      <c r="M293" t="n">
        <v>0</v>
      </c>
      <c r="N293" t="n">
        <v>0</v>
      </c>
      <c r="O293" t="n">
        <v>0</v>
      </c>
      <c r="P293" t="n">
        <v>0</v>
      </c>
      <c r="Q293" t="n">
        <v>0</v>
      </c>
      <c r="R293" s="2" t="inlineStr"/>
    </row>
    <row r="294" ht="15" customHeight="1">
      <c r="A294" t="inlineStr">
        <is>
          <t>A 45142-2023</t>
        </is>
      </c>
      <c r="B294" s="1" t="n">
        <v>45191.4702662037</v>
      </c>
      <c r="C294" s="1" t="n">
        <v>46085</v>
      </c>
      <c r="D294" t="inlineStr">
        <is>
          <t>UPPSALA LÄN</t>
        </is>
      </c>
      <c r="E294" t="inlineStr">
        <is>
          <t>ENKÖPING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54541-2025</t>
        </is>
      </c>
      <c r="B295" s="1" t="n">
        <v>45965.64733796296</v>
      </c>
      <c r="C295" s="1" t="n">
        <v>46085</v>
      </c>
      <c r="D295" t="inlineStr">
        <is>
          <t>UPPSALA LÄN</t>
        </is>
      </c>
      <c r="E295" t="inlineStr">
        <is>
          <t>ENKÖPING</t>
        </is>
      </c>
      <c r="G295" t="n">
        <v>3.1</v>
      </c>
      <c r="H295" t="n">
        <v>0</v>
      </c>
      <c r="I295" t="n">
        <v>0</v>
      </c>
      <c r="J295" t="n">
        <v>0</v>
      </c>
      <c r="K295" t="n">
        <v>0</v>
      </c>
      <c r="L295" t="n">
        <v>0</v>
      </c>
      <c r="M295" t="n">
        <v>0</v>
      </c>
      <c r="N295" t="n">
        <v>0</v>
      </c>
      <c r="O295" t="n">
        <v>0</v>
      </c>
      <c r="P295" t="n">
        <v>0</v>
      </c>
      <c r="Q295" t="n">
        <v>0</v>
      </c>
      <c r="R295" s="2" t="inlineStr"/>
    </row>
    <row r="296" ht="15" customHeight="1">
      <c r="A296" t="inlineStr">
        <is>
          <t>A 57998-2024</t>
        </is>
      </c>
      <c r="B296" s="1" t="n">
        <v>45631</v>
      </c>
      <c r="C296" s="1" t="n">
        <v>46085</v>
      </c>
      <c r="D296" t="inlineStr">
        <is>
          <t>UPPSALA LÄN</t>
        </is>
      </c>
      <c r="E296" t="inlineStr">
        <is>
          <t>ENKÖPING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10465-2022</t>
        </is>
      </c>
      <c r="B297" s="1" t="n">
        <v>44623</v>
      </c>
      <c r="C297" s="1" t="n">
        <v>46085</v>
      </c>
      <c r="D297" t="inlineStr">
        <is>
          <t>UPPSALA LÄN</t>
        </is>
      </c>
      <c r="E297" t="inlineStr">
        <is>
          <t>ENKÖPING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14332-2024</t>
        </is>
      </c>
      <c r="B298" s="1" t="n">
        <v>45393</v>
      </c>
      <c r="C298" s="1" t="n">
        <v>46085</v>
      </c>
      <c r="D298" t="inlineStr">
        <is>
          <t>UPPSALA LÄN</t>
        </is>
      </c>
      <c r="E298" t="inlineStr">
        <is>
          <t>ENKÖPING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18831-2023</t>
        </is>
      </c>
      <c r="B299" s="1" t="n">
        <v>45044.40798611111</v>
      </c>
      <c r="C299" s="1" t="n">
        <v>46085</v>
      </c>
      <c r="D299" t="inlineStr">
        <is>
          <t>UPPSALA LÄN</t>
        </is>
      </c>
      <c r="E299" t="inlineStr">
        <is>
          <t>ENKÖPING</t>
        </is>
      </c>
      <c r="G299" t="n">
        <v>4.3</v>
      </c>
      <c r="H299" t="n">
        <v>0</v>
      </c>
      <c r="I299" t="n">
        <v>0</v>
      </c>
      <c r="J299" t="n">
        <v>0</v>
      </c>
      <c r="K299" t="n">
        <v>0</v>
      </c>
      <c r="L299" t="n">
        <v>0</v>
      </c>
      <c r="M299" t="n">
        <v>0</v>
      </c>
      <c r="N299" t="n">
        <v>0</v>
      </c>
      <c r="O299" t="n">
        <v>0</v>
      </c>
      <c r="P299" t="n">
        <v>0</v>
      </c>
      <c r="Q299" t="n">
        <v>0</v>
      </c>
      <c r="R299" s="2" t="inlineStr"/>
    </row>
    <row r="300" ht="15" customHeight="1">
      <c r="A300" t="inlineStr">
        <is>
          <t>A 5013-2025</t>
        </is>
      </c>
      <c r="B300" s="1" t="n">
        <v>45691</v>
      </c>
      <c r="C300" s="1" t="n">
        <v>46085</v>
      </c>
      <c r="D300" t="inlineStr">
        <is>
          <t>UPPSALA LÄN</t>
        </is>
      </c>
      <c r="E300" t="inlineStr">
        <is>
          <t>ENKÖPING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11503-2024</t>
        </is>
      </c>
      <c r="B301" s="1" t="n">
        <v>45372.68020833333</v>
      </c>
      <c r="C301" s="1" t="n">
        <v>46085</v>
      </c>
      <c r="D301" t="inlineStr">
        <is>
          <t>UPPSALA LÄN</t>
        </is>
      </c>
      <c r="E301" t="inlineStr">
        <is>
          <t>ENKÖPING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55567-2025</t>
        </is>
      </c>
      <c r="B302" s="1" t="n">
        <v>45971.65589120371</v>
      </c>
      <c r="C302" s="1" t="n">
        <v>46085</v>
      </c>
      <c r="D302" t="inlineStr">
        <is>
          <t>UPPSALA LÄN</t>
        </is>
      </c>
      <c r="E302" t="inlineStr">
        <is>
          <t>ENKÖPING</t>
        </is>
      </c>
      <c r="G302" t="n">
        <v>1.3</v>
      </c>
      <c r="H302" t="n">
        <v>0</v>
      </c>
      <c r="I302" t="n">
        <v>0</v>
      </c>
      <c r="J302" t="n">
        <v>0</v>
      </c>
      <c r="K302" t="n">
        <v>0</v>
      </c>
      <c r="L302" t="n">
        <v>0</v>
      </c>
      <c r="M302" t="n">
        <v>0</v>
      </c>
      <c r="N302" t="n">
        <v>0</v>
      </c>
      <c r="O302" t="n">
        <v>0</v>
      </c>
      <c r="P302" t="n">
        <v>0</v>
      </c>
      <c r="Q302" t="n">
        <v>0</v>
      </c>
      <c r="R302" s="2" t="inlineStr"/>
    </row>
    <row r="303" ht="15" customHeight="1">
      <c r="A303" t="inlineStr">
        <is>
          <t>A 2164-2023</t>
        </is>
      </c>
      <c r="B303" s="1" t="n">
        <v>44941</v>
      </c>
      <c r="C303" s="1" t="n">
        <v>46085</v>
      </c>
      <c r="D303" t="inlineStr">
        <is>
          <t>UPPSALA LÄN</t>
        </is>
      </c>
      <c r="E303" t="inlineStr">
        <is>
          <t>ENKÖPING</t>
        </is>
      </c>
      <c r="G303" t="n">
        <v>2.5</v>
      </c>
      <c r="H303" t="n">
        <v>0</v>
      </c>
      <c r="I303" t="n">
        <v>0</v>
      </c>
      <c r="J303" t="n">
        <v>0</v>
      </c>
      <c r="K303" t="n">
        <v>0</v>
      </c>
      <c r="L303" t="n">
        <v>0</v>
      </c>
      <c r="M303" t="n">
        <v>0</v>
      </c>
      <c r="N303" t="n">
        <v>0</v>
      </c>
      <c r="O303" t="n">
        <v>0</v>
      </c>
      <c r="P303" t="n">
        <v>0</v>
      </c>
      <c r="Q303" t="n">
        <v>0</v>
      </c>
      <c r="R303" s="2" t="inlineStr"/>
    </row>
    <row r="304" ht="15" customHeight="1">
      <c r="A304" t="inlineStr">
        <is>
          <t>A 33581-2023</t>
        </is>
      </c>
      <c r="B304" s="1" t="n">
        <v>45131</v>
      </c>
      <c r="C304" s="1" t="n">
        <v>46085</v>
      </c>
      <c r="D304" t="inlineStr">
        <is>
          <t>UPPSALA LÄN</t>
        </is>
      </c>
      <c r="E304" t="inlineStr">
        <is>
          <t>ENKÖPING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33955-2024</t>
        </is>
      </c>
      <c r="B305" s="1" t="n">
        <v>45523.46952546296</v>
      </c>
      <c r="C305" s="1" t="n">
        <v>46085</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37115-2024</t>
        </is>
      </c>
      <c r="B306" s="1" t="n">
        <v>45539</v>
      </c>
      <c r="C306" s="1" t="n">
        <v>46085</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6172-2023</t>
        </is>
      </c>
      <c r="B307" s="1" t="n">
        <v>44964.68663194445</v>
      </c>
      <c r="C307" s="1" t="n">
        <v>46085</v>
      </c>
      <c r="D307" t="inlineStr">
        <is>
          <t>UPPSALA LÄN</t>
        </is>
      </c>
      <c r="E307" t="inlineStr">
        <is>
          <t>ENKÖPING</t>
        </is>
      </c>
      <c r="G307" t="n">
        <v>2.6</v>
      </c>
      <c r="H307" t="n">
        <v>0</v>
      </c>
      <c r="I307" t="n">
        <v>0</v>
      </c>
      <c r="J307" t="n">
        <v>0</v>
      </c>
      <c r="K307" t="n">
        <v>0</v>
      </c>
      <c r="L307" t="n">
        <v>0</v>
      </c>
      <c r="M307" t="n">
        <v>0</v>
      </c>
      <c r="N307" t="n">
        <v>0</v>
      </c>
      <c r="O307" t="n">
        <v>0</v>
      </c>
      <c r="P307" t="n">
        <v>0</v>
      </c>
      <c r="Q307" t="n">
        <v>0</v>
      </c>
      <c r="R307" s="2" t="inlineStr"/>
    </row>
    <row r="308" ht="15" customHeight="1">
      <c r="A308" t="inlineStr">
        <is>
          <t>A 10409-2025</t>
        </is>
      </c>
      <c r="B308" s="1" t="n">
        <v>45720.631875</v>
      </c>
      <c r="C308" s="1" t="n">
        <v>46085</v>
      </c>
      <c r="D308" t="inlineStr">
        <is>
          <t>UPPSALA LÄN</t>
        </is>
      </c>
      <c r="E308" t="inlineStr">
        <is>
          <t>ENKÖPING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56625-2025</t>
        </is>
      </c>
      <c r="B309" s="1" t="n">
        <v>45975.60608796297</v>
      </c>
      <c r="C309" s="1" t="n">
        <v>46085</v>
      </c>
      <c r="D309" t="inlineStr">
        <is>
          <t>UPPSALA LÄN</t>
        </is>
      </c>
      <c r="E309" t="inlineStr">
        <is>
          <t>ENKÖPING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57294-2025</t>
        </is>
      </c>
      <c r="B310" s="1" t="n">
        <v>45979</v>
      </c>
      <c r="C310" s="1" t="n">
        <v>46085</v>
      </c>
      <c r="D310" t="inlineStr">
        <is>
          <t>UPPSALA LÄN</t>
        </is>
      </c>
      <c r="E310" t="inlineStr">
        <is>
          <t>ENKÖPING</t>
        </is>
      </c>
      <c r="G310" t="n">
        <v>6.2</v>
      </c>
      <c r="H310" t="n">
        <v>0</v>
      </c>
      <c r="I310" t="n">
        <v>0</v>
      </c>
      <c r="J310" t="n">
        <v>0</v>
      </c>
      <c r="K310" t="n">
        <v>0</v>
      </c>
      <c r="L310" t="n">
        <v>0</v>
      </c>
      <c r="M310" t="n">
        <v>0</v>
      </c>
      <c r="N310" t="n">
        <v>0</v>
      </c>
      <c r="O310" t="n">
        <v>0</v>
      </c>
      <c r="P310" t="n">
        <v>0</v>
      </c>
      <c r="Q310" t="n">
        <v>0</v>
      </c>
      <c r="R310" s="2" t="inlineStr"/>
    </row>
    <row r="311" ht="15" customHeight="1">
      <c r="A311" t="inlineStr">
        <is>
          <t>A 1960-2022</t>
        </is>
      </c>
      <c r="B311" s="1" t="n">
        <v>44575</v>
      </c>
      <c r="C311" s="1" t="n">
        <v>46085</v>
      </c>
      <c r="D311" t="inlineStr">
        <is>
          <t>UPPSALA LÄN</t>
        </is>
      </c>
      <c r="E311" t="inlineStr">
        <is>
          <t>ENKÖPING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18028-2023</t>
        </is>
      </c>
      <c r="B312" s="1" t="n">
        <v>45040</v>
      </c>
      <c r="C312" s="1" t="n">
        <v>46085</v>
      </c>
      <c r="D312" t="inlineStr">
        <is>
          <t>UPPSALA LÄN</t>
        </is>
      </c>
      <c r="E312" t="inlineStr">
        <is>
          <t>ENKÖPING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58025-2025</t>
        </is>
      </c>
      <c r="B313" s="1" t="n">
        <v>45982</v>
      </c>
      <c r="C313" s="1" t="n">
        <v>46085</v>
      </c>
      <c r="D313" t="inlineStr">
        <is>
          <t>UPPSALA LÄN</t>
        </is>
      </c>
      <c r="E313" t="inlineStr">
        <is>
          <t>ENKÖPING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49568-2022</t>
        </is>
      </c>
      <c r="B314" s="1" t="n">
        <v>44862.32791666667</v>
      </c>
      <c r="C314" s="1" t="n">
        <v>46085</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42459-2024</t>
        </is>
      </c>
      <c r="B315" s="1" t="n">
        <v>45565</v>
      </c>
      <c r="C315" s="1" t="n">
        <v>46085</v>
      </c>
      <c r="D315" t="inlineStr">
        <is>
          <t>UPPSALA LÄN</t>
        </is>
      </c>
      <c r="E315" t="inlineStr">
        <is>
          <t>ENKÖPING</t>
        </is>
      </c>
      <c r="G315" t="n">
        <v>3.6</v>
      </c>
      <c r="H315" t="n">
        <v>0</v>
      </c>
      <c r="I315" t="n">
        <v>0</v>
      </c>
      <c r="J315" t="n">
        <v>0</v>
      </c>
      <c r="K315" t="n">
        <v>0</v>
      </c>
      <c r="L315" t="n">
        <v>0</v>
      </c>
      <c r="M315" t="n">
        <v>0</v>
      </c>
      <c r="N315" t="n">
        <v>0</v>
      </c>
      <c r="O315" t="n">
        <v>0</v>
      </c>
      <c r="P315" t="n">
        <v>0</v>
      </c>
      <c r="Q315" t="n">
        <v>0</v>
      </c>
      <c r="R315" s="2" t="inlineStr"/>
    </row>
    <row r="316" ht="15" customHeight="1">
      <c r="A316" t="inlineStr">
        <is>
          <t>A 48864-2022</t>
        </is>
      </c>
      <c r="B316" s="1" t="n">
        <v>44859</v>
      </c>
      <c r="C316" s="1" t="n">
        <v>46085</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31622-2022</t>
        </is>
      </c>
      <c r="B317" s="1" t="n">
        <v>44775</v>
      </c>
      <c r="C317" s="1" t="n">
        <v>46085</v>
      </c>
      <c r="D317" t="inlineStr">
        <is>
          <t>UPPSALA LÄN</t>
        </is>
      </c>
      <c r="E317" t="inlineStr">
        <is>
          <t>ENKÖPING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57188-2025</t>
        </is>
      </c>
      <c r="B318" s="1" t="n">
        <v>45979</v>
      </c>
      <c r="C318" s="1" t="n">
        <v>46085</v>
      </c>
      <c r="D318" t="inlineStr">
        <is>
          <t>UPPSALA LÄN</t>
        </is>
      </c>
      <c r="E318" t="inlineStr">
        <is>
          <t>ENKÖPING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21686-2022</t>
        </is>
      </c>
      <c r="B319" s="1" t="n">
        <v>44707</v>
      </c>
      <c r="C319" s="1" t="n">
        <v>46085</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29479-2022</t>
        </is>
      </c>
      <c r="B320" s="1" t="n">
        <v>44753.57265046296</v>
      </c>
      <c r="C320" s="1" t="n">
        <v>46085</v>
      </c>
      <c r="D320" t="inlineStr">
        <is>
          <t>UPPSALA LÄN</t>
        </is>
      </c>
      <c r="E320" t="inlineStr">
        <is>
          <t>ENKÖPING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49525-2021</t>
        </is>
      </c>
      <c r="B321" s="1" t="n">
        <v>44455</v>
      </c>
      <c r="C321" s="1" t="n">
        <v>46085</v>
      </c>
      <c r="D321" t="inlineStr">
        <is>
          <t>UPPSALA LÄN</t>
        </is>
      </c>
      <c r="E321" t="inlineStr">
        <is>
          <t>ENKÖPING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6356-2022</t>
        </is>
      </c>
      <c r="B322" s="1" t="n">
        <v>44600</v>
      </c>
      <c r="C322" s="1" t="n">
        <v>46085</v>
      </c>
      <c r="D322" t="inlineStr">
        <is>
          <t>UPPSALA LÄN</t>
        </is>
      </c>
      <c r="E322" t="inlineStr">
        <is>
          <t>ENKÖPING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59668-2025</t>
        </is>
      </c>
      <c r="B323" s="1" t="n">
        <v>45992.45567129629</v>
      </c>
      <c r="C323" s="1" t="n">
        <v>46085</v>
      </c>
      <c r="D323" t="inlineStr">
        <is>
          <t>UPPSALA LÄN</t>
        </is>
      </c>
      <c r="E323" t="inlineStr">
        <is>
          <t>ENKÖPING</t>
        </is>
      </c>
      <c r="G323" t="n">
        <v>3.3</v>
      </c>
      <c r="H323" t="n">
        <v>0</v>
      </c>
      <c r="I323" t="n">
        <v>0</v>
      </c>
      <c r="J323" t="n">
        <v>0</v>
      </c>
      <c r="K323" t="n">
        <v>0</v>
      </c>
      <c r="L323" t="n">
        <v>0</v>
      </c>
      <c r="M323" t="n">
        <v>0</v>
      </c>
      <c r="N323" t="n">
        <v>0</v>
      </c>
      <c r="O323" t="n">
        <v>0</v>
      </c>
      <c r="P323" t="n">
        <v>0</v>
      </c>
      <c r="Q323" t="n">
        <v>0</v>
      </c>
      <c r="R323" s="2" t="inlineStr"/>
    </row>
    <row r="324" ht="15" customHeight="1">
      <c r="A324" t="inlineStr">
        <is>
          <t>A 57147-2021</t>
        </is>
      </c>
      <c r="B324" s="1" t="n">
        <v>44482</v>
      </c>
      <c r="C324" s="1" t="n">
        <v>46085</v>
      </c>
      <c r="D324" t="inlineStr">
        <is>
          <t>UPPSALA LÄN</t>
        </is>
      </c>
      <c r="E324" t="inlineStr">
        <is>
          <t>ENKÖPING</t>
        </is>
      </c>
      <c r="G324" t="n">
        <v>5.7</v>
      </c>
      <c r="H324" t="n">
        <v>0</v>
      </c>
      <c r="I324" t="n">
        <v>0</v>
      </c>
      <c r="J324" t="n">
        <v>0</v>
      </c>
      <c r="K324" t="n">
        <v>0</v>
      </c>
      <c r="L324" t="n">
        <v>0</v>
      </c>
      <c r="M324" t="n">
        <v>0</v>
      </c>
      <c r="N324" t="n">
        <v>0</v>
      </c>
      <c r="O324" t="n">
        <v>0</v>
      </c>
      <c r="P324" t="n">
        <v>0</v>
      </c>
      <c r="Q324" t="n">
        <v>0</v>
      </c>
      <c r="R324" s="2" t="inlineStr"/>
    </row>
    <row r="325" ht="15" customHeight="1">
      <c r="A325" t="inlineStr">
        <is>
          <t>A 59964-2025</t>
        </is>
      </c>
      <c r="B325" s="1" t="n">
        <v>45993.48043981481</v>
      </c>
      <c r="C325" s="1" t="n">
        <v>46085</v>
      </c>
      <c r="D325" t="inlineStr">
        <is>
          <t>UPPSALA LÄN</t>
        </is>
      </c>
      <c r="E325" t="inlineStr">
        <is>
          <t>ENKÖPING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47909-2024</t>
        </is>
      </c>
      <c r="B326" s="1" t="n">
        <v>45589.31866898148</v>
      </c>
      <c r="C326" s="1" t="n">
        <v>46085</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60174-2025</t>
        </is>
      </c>
      <c r="B327" s="1" t="n">
        <v>45994.45039351852</v>
      </c>
      <c r="C327" s="1" t="n">
        <v>46085</v>
      </c>
      <c r="D327" t="inlineStr">
        <is>
          <t>UPPSALA LÄN</t>
        </is>
      </c>
      <c r="E327" t="inlineStr">
        <is>
          <t>ENKÖPING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60175-2025</t>
        </is>
      </c>
      <c r="B328" s="1" t="n">
        <v>45994.45378472222</v>
      </c>
      <c r="C328" s="1" t="n">
        <v>46085</v>
      </c>
      <c r="D328" t="inlineStr">
        <is>
          <t>UPPSALA LÄN</t>
        </is>
      </c>
      <c r="E328" t="inlineStr">
        <is>
          <t>ENKÖPING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52005-2024</t>
        </is>
      </c>
      <c r="B329" s="1" t="n">
        <v>45607.7627662037</v>
      </c>
      <c r="C329" s="1" t="n">
        <v>46085</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60340-2025</t>
        </is>
      </c>
      <c r="B330" s="1" t="n">
        <v>45994.83415509259</v>
      </c>
      <c r="C330" s="1" t="n">
        <v>46085</v>
      </c>
      <c r="D330" t="inlineStr">
        <is>
          <t>UPPSALA LÄN</t>
        </is>
      </c>
      <c r="E330" t="inlineStr">
        <is>
          <t>ENKÖPING</t>
        </is>
      </c>
      <c r="G330" t="n">
        <v>5.6</v>
      </c>
      <c r="H330" t="n">
        <v>0</v>
      </c>
      <c r="I330" t="n">
        <v>0</v>
      </c>
      <c r="J330" t="n">
        <v>0</v>
      </c>
      <c r="K330" t="n">
        <v>0</v>
      </c>
      <c r="L330" t="n">
        <v>0</v>
      </c>
      <c r="M330" t="n">
        <v>0</v>
      </c>
      <c r="N330" t="n">
        <v>0</v>
      </c>
      <c r="O330" t="n">
        <v>0</v>
      </c>
      <c r="P330" t="n">
        <v>0</v>
      </c>
      <c r="Q330" t="n">
        <v>0</v>
      </c>
      <c r="R330" s="2" t="inlineStr"/>
    </row>
    <row r="331" ht="15" customHeight="1">
      <c r="A331" t="inlineStr">
        <is>
          <t>A 60947-2025</t>
        </is>
      </c>
      <c r="B331" s="1" t="n">
        <v>45999</v>
      </c>
      <c r="C331" s="1" t="n">
        <v>46085</v>
      </c>
      <c r="D331" t="inlineStr">
        <is>
          <t>UPPSALA LÄN</t>
        </is>
      </c>
      <c r="E331" t="inlineStr">
        <is>
          <t>ENKÖPING</t>
        </is>
      </c>
      <c r="G331" t="n">
        <v>4</v>
      </c>
      <c r="H331" t="n">
        <v>0</v>
      </c>
      <c r="I331" t="n">
        <v>0</v>
      </c>
      <c r="J331" t="n">
        <v>0</v>
      </c>
      <c r="K331" t="n">
        <v>0</v>
      </c>
      <c r="L331" t="n">
        <v>0</v>
      </c>
      <c r="M331" t="n">
        <v>0</v>
      </c>
      <c r="N331" t="n">
        <v>0</v>
      </c>
      <c r="O331" t="n">
        <v>0</v>
      </c>
      <c r="P331" t="n">
        <v>0</v>
      </c>
      <c r="Q331" t="n">
        <v>0</v>
      </c>
      <c r="R331" s="2" t="inlineStr"/>
    </row>
    <row r="332" ht="15" customHeight="1">
      <c r="A332" t="inlineStr">
        <is>
          <t>A 57328-2024</t>
        </is>
      </c>
      <c r="B332" s="1" t="n">
        <v>45629.62798611111</v>
      </c>
      <c r="C332" s="1" t="n">
        <v>46085</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29477-2025</t>
        </is>
      </c>
      <c r="B333" s="1" t="n">
        <v>45824.71537037037</v>
      </c>
      <c r="C333" s="1" t="n">
        <v>46085</v>
      </c>
      <c r="D333" t="inlineStr">
        <is>
          <t>UPPSALA LÄN</t>
        </is>
      </c>
      <c r="E333" t="inlineStr">
        <is>
          <t>ENKÖPING</t>
        </is>
      </c>
      <c r="G333" t="n">
        <v>13.4</v>
      </c>
      <c r="H333" t="n">
        <v>0</v>
      </c>
      <c r="I333" t="n">
        <v>0</v>
      </c>
      <c r="J333" t="n">
        <v>0</v>
      </c>
      <c r="K333" t="n">
        <v>0</v>
      </c>
      <c r="L333" t="n">
        <v>0</v>
      </c>
      <c r="M333" t="n">
        <v>0</v>
      </c>
      <c r="N333" t="n">
        <v>0</v>
      </c>
      <c r="O333" t="n">
        <v>0</v>
      </c>
      <c r="P333" t="n">
        <v>0</v>
      </c>
      <c r="Q333" t="n">
        <v>0</v>
      </c>
      <c r="R333" s="2" t="inlineStr"/>
    </row>
    <row r="334" ht="15" customHeight="1">
      <c r="A334" t="inlineStr">
        <is>
          <t>A 60934-2025</t>
        </is>
      </c>
      <c r="B334" s="1" t="n">
        <v>45999</v>
      </c>
      <c r="C334" s="1" t="n">
        <v>46085</v>
      </c>
      <c r="D334" t="inlineStr">
        <is>
          <t>UPPSALA LÄN</t>
        </is>
      </c>
      <c r="E334" t="inlineStr">
        <is>
          <t>ENKÖPING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53586-2024</t>
        </is>
      </c>
      <c r="B335" s="1" t="n">
        <v>45614</v>
      </c>
      <c r="C335" s="1" t="n">
        <v>46085</v>
      </c>
      <c r="D335" t="inlineStr">
        <is>
          <t>UPPSALA LÄN</t>
        </is>
      </c>
      <c r="E335" t="inlineStr">
        <is>
          <t>ENKÖPING</t>
        </is>
      </c>
      <c r="G335" t="n">
        <v>6.6</v>
      </c>
      <c r="H335" t="n">
        <v>0</v>
      </c>
      <c r="I335" t="n">
        <v>0</v>
      </c>
      <c r="J335" t="n">
        <v>0</v>
      </c>
      <c r="K335" t="n">
        <v>0</v>
      </c>
      <c r="L335" t="n">
        <v>0</v>
      </c>
      <c r="M335" t="n">
        <v>0</v>
      </c>
      <c r="N335" t="n">
        <v>0</v>
      </c>
      <c r="O335" t="n">
        <v>0</v>
      </c>
      <c r="P335" t="n">
        <v>0</v>
      </c>
      <c r="Q335" t="n">
        <v>0</v>
      </c>
      <c r="R335" s="2" t="inlineStr"/>
    </row>
    <row r="336" ht="15" customHeight="1">
      <c r="A336" t="inlineStr">
        <is>
          <t>A 51034-2024</t>
        </is>
      </c>
      <c r="B336" s="1" t="n">
        <v>45603.4262037037</v>
      </c>
      <c r="C336" s="1" t="n">
        <v>46085</v>
      </c>
      <c r="D336" t="inlineStr">
        <is>
          <t>UPPSALA LÄN</t>
        </is>
      </c>
      <c r="E336" t="inlineStr">
        <is>
          <t>ENKÖPING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51036-2024</t>
        </is>
      </c>
      <c r="B337" s="1" t="n">
        <v>45603.42839120371</v>
      </c>
      <c r="C337" s="1" t="n">
        <v>46085</v>
      </c>
      <c r="D337" t="inlineStr">
        <is>
          <t>UPPSALA LÄN</t>
        </is>
      </c>
      <c r="E337" t="inlineStr">
        <is>
          <t>ENKÖPING</t>
        </is>
      </c>
      <c r="G337" t="n">
        <v>2.6</v>
      </c>
      <c r="H337" t="n">
        <v>0</v>
      </c>
      <c r="I337" t="n">
        <v>0</v>
      </c>
      <c r="J337" t="n">
        <v>0</v>
      </c>
      <c r="K337" t="n">
        <v>0</v>
      </c>
      <c r="L337" t="n">
        <v>0</v>
      </c>
      <c r="M337" t="n">
        <v>0</v>
      </c>
      <c r="N337" t="n">
        <v>0</v>
      </c>
      <c r="O337" t="n">
        <v>0</v>
      </c>
      <c r="P337" t="n">
        <v>0</v>
      </c>
      <c r="Q337" t="n">
        <v>0</v>
      </c>
      <c r="R337" s="2" t="inlineStr"/>
    </row>
    <row r="338" ht="15" customHeight="1">
      <c r="A338" t="inlineStr">
        <is>
          <t>A 43492-2023</t>
        </is>
      </c>
      <c r="B338" s="1" t="n">
        <v>45181</v>
      </c>
      <c r="C338" s="1" t="n">
        <v>46085</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61437-2025</t>
        </is>
      </c>
      <c r="B339" s="1" t="n">
        <v>46001.5659375</v>
      </c>
      <c r="C339" s="1" t="n">
        <v>46085</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38941-2025</t>
        </is>
      </c>
      <c r="B340" s="1" t="n">
        <v>45887</v>
      </c>
      <c r="C340" s="1" t="n">
        <v>46085</v>
      </c>
      <c r="D340" t="inlineStr">
        <is>
          <t>UPPSALA LÄN</t>
        </is>
      </c>
      <c r="E340" t="inlineStr">
        <is>
          <t>ENKÖPING</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1536-2024</t>
        </is>
      </c>
      <c r="B341" s="1" t="n">
        <v>45306</v>
      </c>
      <c r="C341" s="1" t="n">
        <v>46085</v>
      </c>
      <c r="D341" t="inlineStr">
        <is>
          <t>UPPSALA LÄN</t>
        </is>
      </c>
      <c r="E341" t="inlineStr">
        <is>
          <t>ENKÖPING</t>
        </is>
      </c>
      <c r="F341" t="inlineStr">
        <is>
          <t>Kyrkan</t>
        </is>
      </c>
      <c r="G341" t="n">
        <v>5.6</v>
      </c>
      <c r="H341" t="n">
        <v>0</v>
      </c>
      <c r="I341" t="n">
        <v>0</v>
      </c>
      <c r="J341" t="n">
        <v>0</v>
      </c>
      <c r="K341" t="n">
        <v>0</v>
      </c>
      <c r="L341" t="n">
        <v>0</v>
      </c>
      <c r="M341" t="n">
        <v>0</v>
      </c>
      <c r="N341" t="n">
        <v>0</v>
      </c>
      <c r="O341" t="n">
        <v>0</v>
      </c>
      <c r="P341" t="n">
        <v>0</v>
      </c>
      <c r="Q341" t="n">
        <v>0</v>
      </c>
      <c r="R341" s="2" t="inlineStr"/>
    </row>
    <row r="342" ht="15" customHeight="1">
      <c r="A342" t="inlineStr">
        <is>
          <t>A 2974-2025</t>
        </is>
      </c>
      <c r="B342" s="1" t="n">
        <v>45678.47168981482</v>
      </c>
      <c r="C342" s="1" t="n">
        <v>46085</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16916-2023</t>
        </is>
      </c>
      <c r="B343" s="1" t="n">
        <v>45033.58347222222</v>
      </c>
      <c r="C343" s="1" t="n">
        <v>46085</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61778-2025</t>
        </is>
      </c>
      <c r="B344" s="1" t="n">
        <v>46002.66555555556</v>
      </c>
      <c r="C344" s="1" t="n">
        <v>46085</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16920-2023</t>
        </is>
      </c>
      <c r="B345" s="1" t="n">
        <v>45033.59030092593</v>
      </c>
      <c r="C345" s="1" t="n">
        <v>46085</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61811-2025</t>
        </is>
      </c>
      <c r="B346" s="1" t="n">
        <v>46002.90059027778</v>
      </c>
      <c r="C346" s="1" t="n">
        <v>46085</v>
      </c>
      <c r="D346" t="inlineStr">
        <is>
          <t>UPPSALA LÄN</t>
        </is>
      </c>
      <c r="E346" t="inlineStr">
        <is>
          <t>ENKÖPING</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52388-2024</t>
        </is>
      </c>
      <c r="B347" s="1" t="n">
        <v>45609.42939814815</v>
      </c>
      <c r="C347" s="1" t="n">
        <v>46085</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12434-2021</t>
        </is>
      </c>
      <c r="B348" s="1" t="n">
        <v>44267</v>
      </c>
      <c r="C348" s="1" t="n">
        <v>46085</v>
      </c>
      <c r="D348" t="inlineStr">
        <is>
          <t>UPPSALA LÄN</t>
        </is>
      </c>
      <c r="E348" t="inlineStr">
        <is>
          <t>ENKÖPING</t>
        </is>
      </c>
      <c r="G348" t="n">
        <v>5.3</v>
      </c>
      <c r="H348" t="n">
        <v>0</v>
      </c>
      <c r="I348" t="n">
        <v>0</v>
      </c>
      <c r="J348" t="n">
        <v>0</v>
      </c>
      <c r="K348" t="n">
        <v>0</v>
      </c>
      <c r="L348" t="n">
        <v>0</v>
      </c>
      <c r="M348" t="n">
        <v>0</v>
      </c>
      <c r="N348" t="n">
        <v>0</v>
      </c>
      <c r="O348" t="n">
        <v>0</v>
      </c>
      <c r="P348" t="n">
        <v>0</v>
      </c>
      <c r="Q348" t="n">
        <v>0</v>
      </c>
      <c r="R348" s="2" t="inlineStr"/>
    </row>
    <row r="349" ht="15" customHeight="1">
      <c r="A349" t="inlineStr">
        <is>
          <t>A 56837-2024</t>
        </is>
      </c>
      <c r="B349" s="1" t="n">
        <v>45628</v>
      </c>
      <c r="C349" s="1" t="n">
        <v>46085</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1992-2022</t>
        </is>
      </c>
      <c r="B350" s="1" t="n">
        <v>44575.56153935185</v>
      </c>
      <c r="C350" s="1" t="n">
        <v>46085</v>
      </c>
      <c r="D350" t="inlineStr">
        <is>
          <t>UPPSALA LÄN</t>
        </is>
      </c>
      <c r="E350" t="inlineStr">
        <is>
          <t>ENKÖPING</t>
        </is>
      </c>
      <c r="G350" t="n">
        <v>2.8</v>
      </c>
      <c r="H350" t="n">
        <v>0</v>
      </c>
      <c r="I350" t="n">
        <v>0</v>
      </c>
      <c r="J350" t="n">
        <v>0</v>
      </c>
      <c r="K350" t="n">
        <v>0</v>
      </c>
      <c r="L350" t="n">
        <v>0</v>
      </c>
      <c r="M350" t="n">
        <v>0</v>
      </c>
      <c r="N350" t="n">
        <v>0</v>
      </c>
      <c r="O350" t="n">
        <v>0</v>
      </c>
      <c r="P350" t="n">
        <v>0</v>
      </c>
      <c r="Q350" t="n">
        <v>0</v>
      </c>
      <c r="R350" s="2" t="inlineStr"/>
    </row>
    <row r="351" ht="15" customHeight="1">
      <c r="A351" t="inlineStr">
        <is>
          <t>A 6626-2023</t>
        </is>
      </c>
      <c r="B351" s="1" t="n">
        <v>44966.55946759259</v>
      </c>
      <c r="C351" s="1" t="n">
        <v>46085</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48843-2023</t>
        </is>
      </c>
      <c r="B352" s="1" t="n">
        <v>45209</v>
      </c>
      <c r="C352" s="1" t="n">
        <v>46085</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57940-2022</t>
        </is>
      </c>
      <c r="B353" s="1" t="n">
        <v>44900</v>
      </c>
      <c r="C353" s="1" t="n">
        <v>46085</v>
      </c>
      <c r="D353" t="inlineStr">
        <is>
          <t>UPPSALA LÄN</t>
        </is>
      </c>
      <c r="E353" t="inlineStr">
        <is>
          <t>ENKÖPING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61889-2025</t>
        </is>
      </c>
      <c r="B354" s="1" t="n">
        <v>46003.44765046296</v>
      </c>
      <c r="C354" s="1" t="n">
        <v>46085</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35079-2024</t>
        </is>
      </c>
      <c r="B355" s="1" t="n">
        <v>45527.66770833333</v>
      </c>
      <c r="C355" s="1" t="n">
        <v>46085</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53595-2023</t>
        </is>
      </c>
      <c r="B356" s="1" t="n">
        <v>45223</v>
      </c>
      <c r="C356" s="1" t="n">
        <v>46085</v>
      </c>
      <c r="D356" t="inlineStr">
        <is>
          <t>UPPSALA LÄN</t>
        </is>
      </c>
      <c r="E356" t="inlineStr">
        <is>
          <t>ENKÖPING</t>
        </is>
      </c>
      <c r="G356" t="n">
        <v>2.6</v>
      </c>
      <c r="H356" t="n">
        <v>0</v>
      </c>
      <c r="I356" t="n">
        <v>0</v>
      </c>
      <c r="J356" t="n">
        <v>0</v>
      </c>
      <c r="K356" t="n">
        <v>0</v>
      </c>
      <c r="L356" t="n">
        <v>0</v>
      </c>
      <c r="M356" t="n">
        <v>0</v>
      </c>
      <c r="N356" t="n">
        <v>0</v>
      </c>
      <c r="O356" t="n">
        <v>0</v>
      </c>
      <c r="P356" t="n">
        <v>0</v>
      </c>
      <c r="Q356" t="n">
        <v>0</v>
      </c>
      <c r="R356" s="2" t="inlineStr"/>
    </row>
    <row r="357" ht="15" customHeight="1">
      <c r="A357" t="inlineStr">
        <is>
          <t>A 62772-2025</t>
        </is>
      </c>
      <c r="B357" s="1" t="n">
        <v>46008.60365740741</v>
      </c>
      <c r="C357" s="1" t="n">
        <v>46085</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62599-2025</t>
        </is>
      </c>
      <c r="B358" s="1" t="n">
        <v>46007.91961805556</v>
      </c>
      <c r="C358" s="1" t="n">
        <v>46085</v>
      </c>
      <c r="D358" t="inlineStr">
        <is>
          <t>UPPSALA LÄN</t>
        </is>
      </c>
      <c r="E358" t="inlineStr">
        <is>
          <t>ENKÖPING</t>
        </is>
      </c>
      <c r="G358" t="n">
        <v>1.6</v>
      </c>
      <c r="H358" t="n">
        <v>0</v>
      </c>
      <c r="I358" t="n">
        <v>0</v>
      </c>
      <c r="J358" t="n">
        <v>0</v>
      </c>
      <c r="K358" t="n">
        <v>0</v>
      </c>
      <c r="L358" t="n">
        <v>0</v>
      </c>
      <c r="M358" t="n">
        <v>0</v>
      </c>
      <c r="N358" t="n">
        <v>0</v>
      </c>
      <c r="O358" t="n">
        <v>0</v>
      </c>
      <c r="P358" t="n">
        <v>0</v>
      </c>
      <c r="Q358" t="n">
        <v>0</v>
      </c>
      <c r="R358" s="2" t="inlineStr"/>
    </row>
    <row r="359" ht="15" customHeight="1">
      <c r="A359" t="inlineStr">
        <is>
          <t>A 5104-2026</t>
        </is>
      </c>
      <c r="B359" s="1" t="n">
        <v>46049.56914351852</v>
      </c>
      <c r="C359" s="1" t="n">
        <v>46085</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62601-2025</t>
        </is>
      </c>
      <c r="B360" s="1" t="n">
        <v>46007.92395833333</v>
      </c>
      <c r="C360" s="1" t="n">
        <v>46085</v>
      </c>
      <c r="D360" t="inlineStr">
        <is>
          <t>UPPSALA LÄN</t>
        </is>
      </c>
      <c r="E360" t="inlineStr">
        <is>
          <t>ENKÖPING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62602-2025</t>
        </is>
      </c>
      <c r="B361" s="1" t="n">
        <v>46007.92581018519</v>
      </c>
      <c r="C361" s="1" t="n">
        <v>46085</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55876-2024</t>
        </is>
      </c>
      <c r="B362" s="1" t="n">
        <v>45623.5546412037</v>
      </c>
      <c r="C362" s="1" t="n">
        <v>46085</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46085</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15757-2023</t>
        </is>
      </c>
      <c r="B364" s="1" t="n">
        <v>45021</v>
      </c>
      <c r="C364" s="1" t="n">
        <v>46085</v>
      </c>
      <c r="D364" t="inlineStr">
        <is>
          <t>UPPSALA LÄN</t>
        </is>
      </c>
      <c r="E364" t="inlineStr">
        <is>
          <t>ENKÖPING</t>
        </is>
      </c>
      <c r="G364" t="n">
        <v>3</v>
      </c>
      <c r="H364" t="n">
        <v>0</v>
      </c>
      <c r="I364" t="n">
        <v>0</v>
      </c>
      <c r="J364" t="n">
        <v>0</v>
      </c>
      <c r="K364" t="n">
        <v>0</v>
      </c>
      <c r="L364" t="n">
        <v>0</v>
      </c>
      <c r="M364" t="n">
        <v>0</v>
      </c>
      <c r="N364" t="n">
        <v>0</v>
      </c>
      <c r="O364" t="n">
        <v>0</v>
      </c>
      <c r="P364" t="n">
        <v>0</v>
      </c>
      <c r="Q364" t="n">
        <v>0</v>
      </c>
      <c r="R364" s="2" t="inlineStr"/>
    </row>
    <row r="365" ht="15" customHeight="1">
      <c r="A365" t="inlineStr">
        <is>
          <t>A 43230-2023</t>
        </is>
      </c>
      <c r="B365" s="1" t="n">
        <v>45183</v>
      </c>
      <c r="C365" s="1" t="n">
        <v>46085</v>
      </c>
      <c r="D365" t="inlineStr">
        <is>
          <t>UPPSALA LÄN</t>
        </is>
      </c>
      <c r="E365" t="inlineStr">
        <is>
          <t>ENKÖPING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56886-2023</t>
        </is>
      </c>
      <c r="B366" s="1" t="n">
        <v>45239</v>
      </c>
      <c r="C366" s="1" t="n">
        <v>46085</v>
      </c>
      <c r="D366" t="inlineStr">
        <is>
          <t>UPPSALA LÄN</t>
        </is>
      </c>
      <c r="E366" t="inlineStr">
        <is>
          <t>ENKÖPING</t>
        </is>
      </c>
      <c r="G366" t="n">
        <v>2</v>
      </c>
      <c r="H366" t="n">
        <v>0</v>
      </c>
      <c r="I366" t="n">
        <v>0</v>
      </c>
      <c r="J366" t="n">
        <v>0</v>
      </c>
      <c r="K366" t="n">
        <v>0</v>
      </c>
      <c r="L366" t="n">
        <v>0</v>
      </c>
      <c r="M366" t="n">
        <v>0</v>
      </c>
      <c r="N366" t="n">
        <v>0</v>
      </c>
      <c r="O366" t="n">
        <v>0</v>
      </c>
      <c r="P366" t="n">
        <v>0</v>
      </c>
      <c r="Q366" t="n">
        <v>0</v>
      </c>
      <c r="R366" s="2" t="inlineStr"/>
    </row>
    <row r="367" ht="15" customHeight="1">
      <c r="A367" t="inlineStr">
        <is>
          <t>A 62600-2025</t>
        </is>
      </c>
      <c r="B367" s="1" t="n">
        <v>46007.92175925926</v>
      </c>
      <c r="C367" s="1" t="n">
        <v>46085</v>
      </c>
      <c r="D367" t="inlineStr">
        <is>
          <t>UPPSALA LÄN</t>
        </is>
      </c>
      <c r="E367" t="inlineStr">
        <is>
          <t>ENKÖPING</t>
        </is>
      </c>
      <c r="G367" t="n">
        <v>2</v>
      </c>
      <c r="H367" t="n">
        <v>0</v>
      </c>
      <c r="I367" t="n">
        <v>0</v>
      </c>
      <c r="J367" t="n">
        <v>0</v>
      </c>
      <c r="K367" t="n">
        <v>0</v>
      </c>
      <c r="L367" t="n">
        <v>0</v>
      </c>
      <c r="M367" t="n">
        <v>0</v>
      </c>
      <c r="N367" t="n">
        <v>0</v>
      </c>
      <c r="O367" t="n">
        <v>0</v>
      </c>
      <c r="P367" t="n">
        <v>0</v>
      </c>
      <c r="Q367" t="n">
        <v>0</v>
      </c>
      <c r="R367" s="2" t="inlineStr"/>
    </row>
    <row r="368" ht="15" customHeight="1">
      <c r="A368" t="inlineStr">
        <is>
          <t>A 51011-2024</t>
        </is>
      </c>
      <c r="B368" s="1" t="n">
        <v>45603.39427083333</v>
      </c>
      <c r="C368" s="1" t="n">
        <v>46085</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63128-2025</t>
        </is>
      </c>
      <c r="B369" s="1" t="n">
        <v>46009</v>
      </c>
      <c r="C369" s="1" t="n">
        <v>46085</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25334-2023</t>
        </is>
      </c>
      <c r="B370" s="1" t="n">
        <v>45083</v>
      </c>
      <c r="C370" s="1" t="n">
        <v>46085</v>
      </c>
      <c r="D370" t="inlineStr">
        <is>
          <t>UPPSALA LÄN</t>
        </is>
      </c>
      <c r="E370" t="inlineStr">
        <is>
          <t>ENKÖPING</t>
        </is>
      </c>
      <c r="G370" t="n">
        <v>0.2</v>
      </c>
      <c r="H370" t="n">
        <v>0</v>
      </c>
      <c r="I370" t="n">
        <v>0</v>
      </c>
      <c r="J370" t="n">
        <v>0</v>
      </c>
      <c r="K370" t="n">
        <v>0</v>
      </c>
      <c r="L370" t="n">
        <v>0</v>
      </c>
      <c r="M370" t="n">
        <v>0</v>
      </c>
      <c r="N370" t="n">
        <v>0</v>
      </c>
      <c r="O370" t="n">
        <v>0</v>
      </c>
      <c r="P370" t="n">
        <v>0</v>
      </c>
      <c r="Q370" t="n">
        <v>0</v>
      </c>
      <c r="R370" s="2" t="inlineStr"/>
    </row>
    <row r="371" ht="15" customHeight="1">
      <c r="A371" t="inlineStr">
        <is>
          <t>A 6044-2026</t>
        </is>
      </c>
      <c r="B371" s="1" t="n">
        <v>46052.62506944445</v>
      </c>
      <c r="C371" s="1" t="n">
        <v>46085</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33349-2024</t>
        </is>
      </c>
      <c r="B372" s="1" t="n">
        <v>45519</v>
      </c>
      <c r="C372" s="1" t="n">
        <v>46085</v>
      </c>
      <c r="D372" t="inlineStr">
        <is>
          <t>UPPSALA LÄN</t>
        </is>
      </c>
      <c r="E372" t="inlineStr">
        <is>
          <t>ENKÖPING</t>
        </is>
      </c>
      <c r="G372" t="n">
        <v>3.6</v>
      </c>
      <c r="H372" t="n">
        <v>0</v>
      </c>
      <c r="I372" t="n">
        <v>0</v>
      </c>
      <c r="J372" t="n">
        <v>0</v>
      </c>
      <c r="K372" t="n">
        <v>0</v>
      </c>
      <c r="L372" t="n">
        <v>0</v>
      </c>
      <c r="M372" t="n">
        <v>0</v>
      </c>
      <c r="N372" t="n">
        <v>0</v>
      </c>
      <c r="O372" t="n">
        <v>0</v>
      </c>
      <c r="P372" t="n">
        <v>0</v>
      </c>
      <c r="Q372" t="n">
        <v>0</v>
      </c>
      <c r="R372" s="2" t="inlineStr"/>
    </row>
    <row r="373" ht="15" customHeight="1">
      <c r="A373" t="inlineStr">
        <is>
          <t>A 6031-2026</t>
        </is>
      </c>
      <c r="B373" s="1" t="n">
        <v>46052.61201388889</v>
      </c>
      <c r="C373" s="1" t="n">
        <v>46085</v>
      </c>
      <c r="D373" t="inlineStr">
        <is>
          <t>UPPSALA LÄN</t>
        </is>
      </c>
      <c r="E373" t="inlineStr">
        <is>
          <t>ENKÖPING</t>
        </is>
      </c>
      <c r="G373" t="n">
        <v>4.1</v>
      </c>
      <c r="H373" t="n">
        <v>0</v>
      </c>
      <c r="I373" t="n">
        <v>0</v>
      </c>
      <c r="J373" t="n">
        <v>0</v>
      </c>
      <c r="K373" t="n">
        <v>0</v>
      </c>
      <c r="L373" t="n">
        <v>0</v>
      </c>
      <c r="M373" t="n">
        <v>0</v>
      </c>
      <c r="N373" t="n">
        <v>0</v>
      </c>
      <c r="O373" t="n">
        <v>0</v>
      </c>
      <c r="P373" t="n">
        <v>0</v>
      </c>
      <c r="Q373" t="n">
        <v>0</v>
      </c>
      <c r="R373" s="2" t="inlineStr"/>
    </row>
    <row r="374" ht="15" customHeight="1">
      <c r="A374" t="inlineStr">
        <is>
          <t>A 6049-2026</t>
        </is>
      </c>
      <c r="B374" s="1" t="n">
        <v>46052.63005787037</v>
      </c>
      <c r="C374" s="1" t="n">
        <v>46085</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6047-2026</t>
        </is>
      </c>
      <c r="B375" s="1" t="n">
        <v>46052.62738425926</v>
      </c>
      <c r="C375" s="1" t="n">
        <v>46085</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12102-2024</t>
        </is>
      </c>
      <c r="B376" s="1" t="n">
        <v>45377</v>
      </c>
      <c r="C376" s="1" t="n">
        <v>46085</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5953-2026</t>
        </is>
      </c>
      <c r="B377" s="1" t="n">
        <v>46052.49119212963</v>
      </c>
      <c r="C377" s="1" t="n">
        <v>46085</v>
      </c>
      <c r="D377" t="inlineStr">
        <is>
          <t>UPPSALA LÄN</t>
        </is>
      </c>
      <c r="E377" t="inlineStr">
        <is>
          <t>ENKÖPING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6041-2026</t>
        </is>
      </c>
      <c r="B378" s="1" t="n">
        <v>46052.62184027778</v>
      </c>
      <c r="C378" s="1" t="n">
        <v>46085</v>
      </c>
      <c r="D378" t="inlineStr">
        <is>
          <t>UPPSALA LÄN</t>
        </is>
      </c>
      <c r="E378" t="inlineStr">
        <is>
          <t>ENKÖPING</t>
        </is>
      </c>
      <c r="G378" t="n">
        <v>4</v>
      </c>
      <c r="H378" t="n">
        <v>0</v>
      </c>
      <c r="I378" t="n">
        <v>0</v>
      </c>
      <c r="J378" t="n">
        <v>0</v>
      </c>
      <c r="K378" t="n">
        <v>0</v>
      </c>
      <c r="L378" t="n">
        <v>0</v>
      </c>
      <c r="M378" t="n">
        <v>0</v>
      </c>
      <c r="N378" t="n">
        <v>0</v>
      </c>
      <c r="O378" t="n">
        <v>0</v>
      </c>
      <c r="P378" t="n">
        <v>0</v>
      </c>
      <c r="Q378" t="n">
        <v>0</v>
      </c>
      <c r="R378" s="2" t="inlineStr"/>
    </row>
    <row r="379" ht="15" customHeight="1">
      <c r="A379" t="inlineStr">
        <is>
          <t>A 58961-2024</t>
        </is>
      </c>
      <c r="B379" s="1" t="n">
        <v>45636.585</v>
      </c>
      <c r="C379" s="1" t="n">
        <v>46085</v>
      </c>
      <c r="D379" t="inlineStr">
        <is>
          <t>UPPSALA LÄN</t>
        </is>
      </c>
      <c r="E379" t="inlineStr">
        <is>
          <t>ENKÖPING</t>
        </is>
      </c>
      <c r="G379" t="n">
        <v>4</v>
      </c>
      <c r="H379" t="n">
        <v>0</v>
      </c>
      <c r="I379" t="n">
        <v>0</v>
      </c>
      <c r="J379" t="n">
        <v>0</v>
      </c>
      <c r="K379" t="n">
        <v>0</v>
      </c>
      <c r="L379" t="n">
        <v>0</v>
      </c>
      <c r="M379" t="n">
        <v>0</v>
      </c>
      <c r="N379" t="n">
        <v>0</v>
      </c>
      <c r="O379" t="n">
        <v>0</v>
      </c>
      <c r="P379" t="n">
        <v>0</v>
      </c>
      <c r="Q379" t="n">
        <v>0</v>
      </c>
      <c r="R379" s="2" t="inlineStr"/>
    </row>
    <row r="380" ht="15" customHeight="1">
      <c r="A380" t="inlineStr">
        <is>
          <t>A 45283-2022</t>
        </is>
      </c>
      <c r="B380" s="1" t="n">
        <v>44844</v>
      </c>
      <c r="C380" s="1" t="n">
        <v>46085</v>
      </c>
      <c r="D380" t="inlineStr">
        <is>
          <t>UPPSALA LÄN</t>
        </is>
      </c>
      <c r="E380" t="inlineStr">
        <is>
          <t>ENKÖPING</t>
        </is>
      </c>
      <c r="G380" t="n">
        <v>5.9</v>
      </c>
      <c r="H380" t="n">
        <v>0</v>
      </c>
      <c r="I380" t="n">
        <v>0</v>
      </c>
      <c r="J380" t="n">
        <v>0</v>
      </c>
      <c r="K380" t="n">
        <v>0</v>
      </c>
      <c r="L380" t="n">
        <v>0</v>
      </c>
      <c r="M380" t="n">
        <v>0</v>
      </c>
      <c r="N380" t="n">
        <v>0</v>
      </c>
      <c r="O380" t="n">
        <v>0</v>
      </c>
      <c r="P380" t="n">
        <v>0</v>
      </c>
      <c r="Q380" t="n">
        <v>0</v>
      </c>
      <c r="R380" s="2" t="inlineStr"/>
    </row>
    <row r="381" ht="15" customHeight="1">
      <c r="A381" t="inlineStr">
        <is>
          <t>A 5569-2026</t>
        </is>
      </c>
      <c r="B381" s="1" t="n">
        <v>46050.89431712963</v>
      </c>
      <c r="C381" s="1" t="n">
        <v>46085</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845-2025</t>
        </is>
      </c>
      <c r="B382" s="1" t="n">
        <v>45665</v>
      </c>
      <c r="C382" s="1" t="n">
        <v>46085</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849-2025</t>
        </is>
      </c>
      <c r="B383" s="1" t="n">
        <v>45665</v>
      </c>
      <c r="C383" s="1" t="n">
        <v>46085</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5948-2026</t>
        </is>
      </c>
      <c r="B384" s="1" t="n">
        <v>46052</v>
      </c>
      <c r="C384" s="1" t="n">
        <v>46085</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53587-2024</t>
        </is>
      </c>
      <c r="B385" s="1" t="n">
        <v>45614.66953703704</v>
      </c>
      <c r="C385" s="1" t="n">
        <v>46085</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58147-2024</t>
        </is>
      </c>
      <c r="B386" s="1" t="n">
        <v>45632.4334375</v>
      </c>
      <c r="C386" s="1" t="n">
        <v>46085</v>
      </c>
      <c r="D386" t="inlineStr">
        <is>
          <t>UPPSALA LÄN</t>
        </is>
      </c>
      <c r="E386" t="inlineStr">
        <is>
          <t>ENKÖPING</t>
        </is>
      </c>
      <c r="G386" t="n">
        <v>3</v>
      </c>
      <c r="H386" t="n">
        <v>0</v>
      </c>
      <c r="I386" t="n">
        <v>0</v>
      </c>
      <c r="J386" t="n">
        <v>0</v>
      </c>
      <c r="K386" t="n">
        <v>0</v>
      </c>
      <c r="L386" t="n">
        <v>0</v>
      </c>
      <c r="M386" t="n">
        <v>0</v>
      </c>
      <c r="N386" t="n">
        <v>0</v>
      </c>
      <c r="O386" t="n">
        <v>0</v>
      </c>
      <c r="P386" t="n">
        <v>0</v>
      </c>
      <c r="Q386" t="n">
        <v>0</v>
      </c>
      <c r="R386" s="2" t="inlineStr"/>
    </row>
    <row r="387" ht="15" customHeight="1">
      <c r="A387" t="inlineStr">
        <is>
          <t>A 18583-2021</t>
        </is>
      </c>
      <c r="B387" s="1" t="n">
        <v>44306</v>
      </c>
      <c r="C387" s="1" t="n">
        <v>46085</v>
      </c>
      <c r="D387" t="inlineStr">
        <is>
          <t>UPPSALA LÄN</t>
        </is>
      </c>
      <c r="E387" t="inlineStr">
        <is>
          <t>ENKÖPING</t>
        </is>
      </c>
      <c r="G387" t="n">
        <v>0.4</v>
      </c>
      <c r="H387" t="n">
        <v>0</v>
      </c>
      <c r="I387" t="n">
        <v>0</v>
      </c>
      <c r="J387" t="n">
        <v>0</v>
      </c>
      <c r="K387" t="n">
        <v>0</v>
      </c>
      <c r="L387" t="n">
        <v>0</v>
      </c>
      <c r="M387" t="n">
        <v>0</v>
      </c>
      <c r="N387" t="n">
        <v>0</v>
      </c>
      <c r="O387" t="n">
        <v>0</v>
      </c>
      <c r="P387" t="n">
        <v>0</v>
      </c>
      <c r="Q387" t="n">
        <v>0</v>
      </c>
      <c r="R387" s="2" t="inlineStr"/>
    </row>
    <row r="388" ht="15" customHeight="1">
      <c r="A388" t="inlineStr">
        <is>
          <t>A 18302-2025</t>
        </is>
      </c>
      <c r="B388" s="1" t="n">
        <v>45762</v>
      </c>
      <c r="C388" s="1" t="n">
        <v>46085</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34735-2023</t>
        </is>
      </c>
      <c r="B389" s="1" t="n">
        <v>45139</v>
      </c>
      <c r="C389" s="1" t="n">
        <v>46085</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30514-2021</t>
        </is>
      </c>
      <c r="B390" s="1" t="n">
        <v>44364</v>
      </c>
      <c r="C390" s="1" t="n">
        <v>46085</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60125-2024</t>
        </is>
      </c>
      <c r="B391" s="1" t="n">
        <v>45642</v>
      </c>
      <c r="C391" s="1" t="n">
        <v>46085</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1695-2025</t>
        </is>
      </c>
      <c r="B392" s="1" t="n">
        <v>45670</v>
      </c>
      <c r="C392" s="1" t="n">
        <v>46085</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59027-2024</t>
        </is>
      </c>
      <c r="B393" s="1" t="n">
        <v>45636.68755787037</v>
      </c>
      <c r="C393" s="1" t="n">
        <v>46085</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42564-2024</t>
        </is>
      </c>
      <c r="B394" s="1" t="n">
        <v>45565.63358796296</v>
      </c>
      <c r="C394" s="1" t="n">
        <v>46085</v>
      </c>
      <c r="D394" t="inlineStr">
        <is>
          <t>UPPSALA LÄN</t>
        </is>
      </c>
      <c r="E394" t="inlineStr">
        <is>
          <t>ENKÖPING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3235-2025</t>
        </is>
      </c>
      <c r="B395" s="1" t="n">
        <v>45679</v>
      </c>
      <c r="C395" s="1" t="n">
        <v>46085</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15711-2025</t>
        </is>
      </c>
      <c r="B396" s="1" t="n">
        <v>45748</v>
      </c>
      <c r="C396" s="1" t="n">
        <v>46085</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57209-2024</t>
        </is>
      </c>
      <c r="B397" s="1" t="n">
        <v>45629.49311342592</v>
      </c>
      <c r="C397" s="1" t="n">
        <v>46085</v>
      </c>
      <c r="D397" t="inlineStr">
        <is>
          <t>UPPSALA LÄN</t>
        </is>
      </c>
      <c r="E397" t="inlineStr">
        <is>
          <t>ENKÖPING</t>
        </is>
      </c>
      <c r="G397" t="n">
        <v>3.2</v>
      </c>
      <c r="H397" t="n">
        <v>0</v>
      </c>
      <c r="I397" t="n">
        <v>0</v>
      </c>
      <c r="J397" t="n">
        <v>0</v>
      </c>
      <c r="K397" t="n">
        <v>0</v>
      </c>
      <c r="L397" t="n">
        <v>0</v>
      </c>
      <c r="M397" t="n">
        <v>0</v>
      </c>
      <c r="N397" t="n">
        <v>0</v>
      </c>
      <c r="O397" t="n">
        <v>0</v>
      </c>
      <c r="P397" t="n">
        <v>0</v>
      </c>
      <c r="Q397" t="n">
        <v>0</v>
      </c>
      <c r="R397" s="2" t="inlineStr"/>
    </row>
    <row r="398" ht="15" customHeight="1">
      <c r="A398" t="inlineStr">
        <is>
          <t>A 13110-2023</t>
        </is>
      </c>
      <c r="B398" s="1" t="n">
        <v>45001</v>
      </c>
      <c r="C398" s="1" t="n">
        <v>46085</v>
      </c>
      <c r="D398" t="inlineStr">
        <is>
          <t>UPPSALA LÄN</t>
        </is>
      </c>
      <c r="E398" t="inlineStr">
        <is>
          <t>ENKÖPING</t>
        </is>
      </c>
      <c r="G398" t="n">
        <v>2.5</v>
      </c>
      <c r="H398" t="n">
        <v>0</v>
      </c>
      <c r="I398" t="n">
        <v>0</v>
      </c>
      <c r="J398" t="n">
        <v>0</v>
      </c>
      <c r="K398" t="n">
        <v>0</v>
      </c>
      <c r="L398" t="n">
        <v>0</v>
      </c>
      <c r="M398" t="n">
        <v>0</v>
      </c>
      <c r="N398" t="n">
        <v>0</v>
      </c>
      <c r="O398" t="n">
        <v>0</v>
      </c>
      <c r="P398" t="n">
        <v>0</v>
      </c>
      <c r="Q398" t="n">
        <v>0</v>
      </c>
      <c r="R398" s="2" t="inlineStr"/>
    </row>
    <row r="399" ht="15" customHeight="1">
      <c r="A399" t="inlineStr">
        <is>
          <t>A 6959-2025</t>
        </is>
      </c>
      <c r="B399" s="1" t="n">
        <v>45701.49315972222</v>
      </c>
      <c r="C399" s="1" t="n">
        <v>46085</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49627-2024</t>
        </is>
      </c>
      <c r="B400" s="1" t="n">
        <v>45596.59140046296</v>
      </c>
      <c r="C400" s="1" t="n">
        <v>46085</v>
      </c>
      <c r="D400" t="inlineStr">
        <is>
          <t>UPPSALA LÄN</t>
        </is>
      </c>
      <c r="E400" t="inlineStr">
        <is>
          <t>ENKÖPING</t>
        </is>
      </c>
      <c r="G400" t="n">
        <v>0.4</v>
      </c>
      <c r="H400" t="n">
        <v>0</v>
      </c>
      <c r="I400" t="n">
        <v>0</v>
      </c>
      <c r="J400" t="n">
        <v>0</v>
      </c>
      <c r="K400" t="n">
        <v>0</v>
      </c>
      <c r="L400" t="n">
        <v>0</v>
      </c>
      <c r="M400" t="n">
        <v>0</v>
      </c>
      <c r="N400" t="n">
        <v>0</v>
      </c>
      <c r="O400" t="n">
        <v>0</v>
      </c>
      <c r="P400" t="n">
        <v>0</v>
      </c>
      <c r="Q400" t="n">
        <v>0</v>
      </c>
      <c r="R400" s="2" t="inlineStr"/>
    </row>
    <row r="401" ht="15" customHeight="1">
      <c r="A401" t="inlineStr">
        <is>
          <t>A 9231-2023</t>
        </is>
      </c>
      <c r="B401" s="1" t="n">
        <v>44980</v>
      </c>
      <c r="C401" s="1" t="n">
        <v>46085</v>
      </c>
      <c r="D401" t="inlineStr">
        <is>
          <t>UPPSALA LÄN</t>
        </is>
      </c>
      <c r="E401" t="inlineStr">
        <is>
          <t>ENKÖPING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27538-2023</t>
        </is>
      </c>
      <c r="B402" s="1" t="n">
        <v>45097</v>
      </c>
      <c r="C402" s="1" t="n">
        <v>46085</v>
      </c>
      <c r="D402" t="inlineStr">
        <is>
          <t>UPPSALA LÄN</t>
        </is>
      </c>
      <c r="E402" t="inlineStr">
        <is>
          <t>ENKÖPING</t>
        </is>
      </c>
      <c r="G402" t="n">
        <v>5.8</v>
      </c>
      <c r="H402" t="n">
        <v>0</v>
      </c>
      <c r="I402" t="n">
        <v>0</v>
      </c>
      <c r="J402" t="n">
        <v>0</v>
      </c>
      <c r="K402" t="n">
        <v>0</v>
      </c>
      <c r="L402" t="n">
        <v>0</v>
      </c>
      <c r="M402" t="n">
        <v>0</v>
      </c>
      <c r="N402" t="n">
        <v>0</v>
      </c>
      <c r="O402" t="n">
        <v>0</v>
      </c>
      <c r="P402" t="n">
        <v>0</v>
      </c>
      <c r="Q402" t="n">
        <v>0</v>
      </c>
      <c r="R402" s="2" t="inlineStr"/>
    </row>
    <row r="403" ht="15" customHeight="1">
      <c r="A403" t="inlineStr">
        <is>
          <t>A 17165-2025</t>
        </is>
      </c>
      <c r="B403" s="1" t="n">
        <v>45756</v>
      </c>
      <c r="C403" s="1" t="n">
        <v>46085</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18821-2023</t>
        </is>
      </c>
      <c r="B404" s="1" t="n">
        <v>45044.3782175926</v>
      </c>
      <c r="C404" s="1" t="n">
        <v>46085</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52380-2024</t>
        </is>
      </c>
      <c r="B405" s="1" t="n">
        <v>45609</v>
      </c>
      <c r="C405" s="1" t="n">
        <v>46085</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9041-2023</t>
        </is>
      </c>
      <c r="B406" s="1" t="n">
        <v>44979</v>
      </c>
      <c r="C406" s="1" t="n">
        <v>46085</v>
      </c>
      <c r="D406" t="inlineStr">
        <is>
          <t>UPPSALA LÄN</t>
        </is>
      </c>
      <c r="E406" t="inlineStr">
        <is>
          <t>ENKÖPING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27786-2023</t>
        </is>
      </c>
      <c r="B407" s="1" t="n">
        <v>45098</v>
      </c>
      <c r="C407" s="1" t="n">
        <v>46085</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52299-2023</t>
        </is>
      </c>
      <c r="B408" s="1" t="n">
        <v>45224.61636574074</v>
      </c>
      <c r="C408" s="1" t="n">
        <v>46085</v>
      </c>
      <c r="D408" t="inlineStr">
        <is>
          <t>UPPSALA LÄN</t>
        </is>
      </c>
      <c r="E408" t="inlineStr">
        <is>
          <t>ENKÖPING</t>
        </is>
      </c>
      <c r="G408" t="n">
        <v>2.2</v>
      </c>
      <c r="H408" t="n">
        <v>0</v>
      </c>
      <c r="I408" t="n">
        <v>0</v>
      </c>
      <c r="J408" t="n">
        <v>0</v>
      </c>
      <c r="K408" t="n">
        <v>0</v>
      </c>
      <c r="L408" t="n">
        <v>0</v>
      </c>
      <c r="M408" t="n">
        <v>0</v>
      </c>
      <c r="N408" t="n">
        <v>0</v>
      </c>
      <c r="O408" t="n">
        <v>0</v>
      </c>
      <c r="P408" t="n">
        <v>0</v>
      </c>
      <c r="Q408" t="n">
        <v>0</v>
      </c>
      <c r="R408" s="2" t="inlineStr"/>
    </row>
    <row r="409" ht="15" customHeight="1">
      <c r="A409" t="inlineStr">
        <is>
          <t>A 25598-2021</t>
        </is>
      </c>
      <c r="B409" s="1" t="n">
        <v>44343.4558912037</v>
      </c>
      <c r="C409" s="1" t="n">
        <v>46085</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15942-2022</t>
        </is>
      </c>
      <c r="B410" s="1" t="n">
        <v>44664</v>
      </c>
      <c r="C410" s="1" t="n">
        <v>46085</v>
      </c>
      <c r="D410" t="inlineStr">
        <is>
          <t>UPPSALA LÄN</t>
        </is>
      </c>
      <c r="E410" t="inlineStr">
        <is>
          <t>ENKÖPING</t>
        </is>
      </c>
      <c r="G410" t="n">
        <v>6.6</v>
      </c>
      <c r="H410" t="n">
        <v>0</v>
      </c>
      <c r="I410" t="n">
        <v>0</v>
      </c>
      <c r="J410" t="n">
        <v>0</v>
      </c>
      <c r="K410" t="n">
        <v>0</v>
      </c>
      <c r="L410" t="n">
        <v>0</v>
      </c>
      <c r="M410" t="n">
        <v>0</v>
      </c>
      <c r="N410" t="n">
        <v>0</v>
      </c>
      <c r="O410" t="n">
        <v>0</v>
      </c>
      <c r="P410" t="n">
        <v>0</v>
      </c>
      <c r="Q410" t="n">
        <v>0</v>
      </c>
      <c r="R410" s="2" t="inlineStr"/>
    </row>
    <row r="411" ht="15" customHeight="1">
      <c r="A411" t="inlineStr">
        <is>
          <t>A 32081-2024</t>
        </is>
      </c>
      <c r="B411" s="1" t="n">
        <v>45511.34605324074</v>
      </c>
      <c r="C411" s="1" t="n">
        <v>46085</v>
      </c>
      <c r="D411" t="inlineStr">
        <is>
          <t>UPPSALA LÄN</t>
        </is>
      </c>
      <c r="E411" t="inlineStr">
        <is>
          <t>ENKÖPING</t>
        </is>
      </c>
      <c r="G411" t="n">
        <v>5.4</v>
      </c>
      <c r="H411" t="n">
        <v>0</v>
      </c>
      <c r="I411" t="n">
        <v>0</v>
      </c>
      <c r="J411" t="n">
        <v>0</v>
      </c>
      <c r="K411" t="n">
        <v>0</v>
      </c>
      <c r="L411" t="n">
        <v>0</v>
      </c>
      <c r="M411" t="n">
        <v>0</v>
      </c>
      <c r="N411" t="n">
        <v>0</v>
      </c>
      <c r="O411" t="n">
        <v>0</v>
      </c>
      <c r="P411" t="n">
        <v>0</v>
      </c>
      <c r="Q411" t="n">
        <v>0</v>
      </c>
      <c r="R411" s="2" t="inlineStr"/>
    </row>
    <row r="412" ht="15" customHeight="1">
      <c r="A412" t="inlineStr">
        <is>
          <t>A 20184-2023</t>
        </is>
      </c>
      <c r="B412" s="1" t="n">
        <v>45055.5670949074</v>
      </c>
      <c r="C412" s="1" t="n">
        <v>46085</v>
      </c>
      <c r="D412" t="inlineStr">
        <is>
          <t>UPPSALA LÄN</t>
        </is>
      </c>
      <c r="E412" t="inlineStr">
        <is>
          <t>ENKÖPING</t>
        </is>
      </c>
      <c r="G412" t="n">
        <v>3.2</v>
      </c>
      <c r="H412" t="n">
        <v>0</v>
      </c>
      <c r="I412" t="n">
        <v>0</v>
      </c>
      <c r="J412" t="n">
        <v>0</v>
      </c>
      <c r="K412" t="n">
        <v>0</v>
      </c>
      <c r="L412" t="n">
        <v>0</v>
      </c>
      <c r="M412" t="n">
        <v>0</v>
      </c>
      <c r="N412" t="n">
        <v>0</v>
      </c>
      <c r="O412" t="n">
        <v>0</v>
      </c>
      <c r="P412" t="n">
        <v>0</v>
      </c>
      <c r="Q412" t="n">
        <v>0</v>
      </c>
      <c r="R412" s="2" t="inlineStr"/>
    </row>
    <row r="413" ht="15" customHeight="1">
      <c r="A413" t="inlineStr">
        <is>
          <t>A 50006-2023</t>
        </is>
      </c>
      <c r="B413" s="1" t="n">
        <v>45215</v>
      </c>
      <c r="C413" s="1" t="n">
        <v>46085</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61952-2021</t>
        </is>
      </c>
      <c r="B414" s="1" t="n">
        <v>44502</v>
      </c>
      <c r="C414" s="1" t="n">
        <v>46085</v>
      </c>
      <c r="D414" t="inlineStr">
        <is>
          <t>UPPSALA LÄN</t>
        </is>
      </c>
      <c r="E414" t="inlineStr">
        <is>
          <t>ENKÖPING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53607-2023</t>
        </is>
      </c>
      <c r="B415" s="1" t="n">
        <v>45230</v>
      </c>
      <c r="C415" s="1" t="n">
        <v>46085</v>
      </c>
      <c r="D415" t="inlineStr">
        <is>
          <t>UPPSALA LÄN</t>
        </is>
      </c>
      <c r="E415" t="inlineStr">
        <is>
          <t>ENKÖPING</t>
        </is>
      </c>
      <c r="F415" t="inlineStr">
        <is>
          <t>Allmännings- och besparingsskogar</t>
        </is>
      </c>
      <c r="G415" t="n">
        <v>6.3</v>
      </c>
      <c r="H415" t="n">
        <v>0</v>
      </c>
      <c r="I415" t="n">
        <v>0</v>
      </c>
      <c r="J415" t="n">
        <v>0</v>
      </c>
      <c r="K415" t="n">
        <v>0</v>
      </c>
      <c r="L415" t="n">
        <v>0</v>
      </c>
      <c r="M415" t="n">
        <v>0</v>
      </c>
      <c r="N415" t="n">
        <v>0</v>
      </c>
      <c r="O415" t="n">
        <v>0</v>
      </c>
      <c r="P415" t="n">
        <v>0</v>
      </c>
      <c r="Q415" t="n">
        <v>0</v>
      </c>
      <c r="R415" s="2" t="inlineStr"/>
    </row>
    <row r="416" ht="15" customHeight="1">
      <c r="A416" t="inlineStr">
        <is>
          <t>A 59497-2022</t>
        </is>
      </c>
      <c r="B416" s="1" t="n">
        <v>44907.48258101852</v>
      </c>
      <c r="C416" s="1" t="n">
        <v>46085</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59602-2022</t>
        </is>
      </c>
      <c r="B417" s="1" t="n">
        <v>44907.72241898148</v>
      </c>
      <c r="C417" s="1" t="n">
        <v>46085</v>
      </c>
      <c r="D417" t="inlineStr">
        <is>
          <t>UPPSALA LÄN</t>
        </is>
      </c>
      <c r="E417" t="inlineStr">
        <is>
          <t>ENKÖPING</t>
        </is>
      </c>
      <c r="G417" t="n">
        <v>14.2</v>
      </c>
      <c r="H417" t="n">
        <v>0</v>
      </c>
      <c r="I417" t="n">
        <v>0</v>
      </c>
      <c r="J417" t="n">
        <v>0</v>
      </c>
      <c r="K417" t="n">
        <v>0</v>
      </c>
      <c r="L417" t="n">
        <v>0</v>
      </c>
      <c r="M417" t="n">
        <v>0</v>
      </c>
      <c r="N417" t="n">
        <v>0</v>
      </c>
      <c r="O417" t="n">
        <v>0</v>
      </c>
      <c r="P417" t="n">
        <v>0</v>
      </c>
      <c r="Q417" t="n">
        <v>0</v>
      </c>
      <c r="R417" s="2" t="inlineStr"/>
    </row>
    <row r="418" ht="15" customHeight="1">
      <c r="A418" t="inlineStr">
        <is>
          <t>A 42589-2022</t>
        </is>
      </c>
      <c r="B418" s="1" t="n">
        <v>44831</v>
      </c>
      <c r="C418" s="1" t="n">
        <v>46085</v>
      </c>
      <c r="D418" t="inlineStr">
        <is>
          <t>UPPSALA LÄN</t>
        </is>
      </c>
      <c r="E418" t="inlineStr">
        <is>
          <t>ENKÖPING</t>
        </is>
      </c>
      <c r="G418" t="n">
        <v>20</v>
      </c>
      <c r="H418" t="n">
        <v>0</v>
      </c>
      <c r="I418" t="n">
        <v>0</v>
      </c>
      <c r="J418" t="n">
        <v>0</v>
      </c>
      <c r="K418" t="n">
        <v>0</v>
      </c>
      <c r="L418" t="n">
        <v>0</v>
      </c>
      <c r="M418" t="n">
        <v>0</v>
      </c>
      <c r="N418" t="n">
        <v>0</v>
      </c>
      <c r="O418" t="n">
        <v>0</v>
      </c>
      <c r="P418" t="n">
        <v>0</v>
      </c>
      <c r="Q418" t="n">
        <v>0</v>
      </c>
      <c r="R418" s="2" t="inlineStr"/>
    </row>
    <row r="419" ht="15" customHeight="1">
      <c r="A419" t="inlineStr">
        <is>
          <t>A 49614-2024</t>
        </is>
      </c>
      <c r="B419" s="1" t="n">
        <v>45596.57716435185</v>
      </c>
      <c r="C419" s="1" t="n">
        <v>46085</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49632-2024</t>
        </is>
      </c>
      <c r="B420" s="1" t="n">
        <v>45596</v>
      </c>
      <c r="C420" s="1" t="n">
        <v>46085</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35645-2021</t>
        </is>
      </c>
      <c r="B421" s="1" t="n">
        <v>44386.42</v>
      </c>
      <c r="C421" s="1" t="n">
        <v>46085</v>
      </c>
      <c r="D421" t="inlineStr">
        <is>
          <t>UPPSALA LÄN</t>
        </is>
      </c>
      <c r="E421" t="inlineStr">
        <is>
          <t>ENKÖPING</t>
        </is>
      </c>
      <c r="G421" t="n">
        <v>2.7</v>
      </c>
      <c r="H421" t="n">
        <v>0</v>
      </c>
      <c r="I421" t="n">
        <v>0</v>
      </c>
      <c r="J421" t="n">
        <v>0</v>
      </c>
      <c r="K421" t="n">
        <v>0</v>
      </c>
      <c r="L421" t="n">
        <v>0</v>
      </c>
      <c r="M421" t="n">
        <v>0</v>
      </c>
      <c r="N421" t="n">
        <v>0</v>
      </c>
      <c r="O421" t="n">
        <v>0</v>
      </c>
      <c r="P421" t="n">
        <v>0</v>
      </c>
      <c r="Q421" t="n">
        <v>0</v>
      </c>
      <c r="R421" s="2" t="inlineStr"/>
    </row>
    <row r="422" ht="15" customHeight="1">
      <c r="A422" t="inlineStr">
        <is>
          <t>A 2968-2025</t>
        </is>
      </c>
      <c r="B422" s="1" t="n">
        <v>45678</v>
      </c>
      <c r="C422" s="1" t="n">
        <v>46085</v>
      </c>
      <c r="D422" t="inlineStr">
        <is>
          <t>UPPSALA LÄN</t>
        </is>
      </c>
      <c r="E422" t="inlineStr">
        <is>
          <t>ENKÖPING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51030-2024</t>
        </is>
      </c>
      <c r="B423" s="1" t="n">
        <v>45603</v>
      </c>
      <c r="C423" s="1" t="n">
        <v>46085</v>
      </c>
      <c r="D423" t="inlineStr">
        <is>
          <t>UPPSALA LÄN</t>
        </is>
      </c>
      <c r="E423" t="inlineStr">
        <is>
          <t>ENKÖPING</t>
        </is>
      </c>
      <c r="G423" t="n">
        <v>2</v>
      </c>
      <c r="H423" t="n">
        <v>0</v>
      </c>
      <c r="I423" t="n">
        <v>0</v>
      </c>
      <c r="J423" t="n">
        <v>0</v>
      </c>
      <c r="K423" t="n">
        <v>0</v>
      </c>
      <c r="L423" t="n">
        <v>0</v>
      </c>
      <c r="M423" t="n">
        <v>0</v>
      </c>
      <c r="N423" t="n">
        <v>0</v>
      </c>
      <c r="O423" t="n">
        <v>0</v>
      </c>
      <c r="P423" t="n">
        <v>0</v>
      </c>
      <c r="Q423" t="n">
        <v>0</v>
      </c>
      <c r="R423" s="2" t="inlineStr"/>
    </row>
    <row r="424" ht="15" customHeight="1">
      <c r="A424" t="inlineStr">
        <is>
          <t>A 9487-2025</t>
        </is>
      </c>
      <c r="B424" s="1" t="n">
        <v>45715.49331018519</v>
      </c>
      <c r="C424" s="1" t="n">
        <v>46085</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16176-2025</t>
        </is>
      </c>
      <c r="B425" s="1" t="n">
        <v>45750</v>
      </c>
      <c r="C425" s="1" t="n">
        <v>46085</v>
      </c>
      <c r="D425" t="inlineStr">
        <is>
          <t>UPPSALA LÄN</t>
        </is>
      </c>
      <c r="E425" t="inlineStr">
        <is>
          <t>ENKÖPING</t>
        </is>
      </c>
      <c r="G425" t="n">
        <v>3.9</v>
      </c>
      <c r="H425" t="n">
        <v>0</v>
      </c>
      <c r="I425" t="n">
        <v>0</v>
      </c>
      <c r="J425" t="n">
        <v>0</v>
      </c>
      <c r="K425" t="n">
        <v>0</v>
      </c>
      <c r="L425" t="n">
        <v>0</v>
      </c>
      <c r="M425" t="n">
        <v>0</v>
      </c>
      <c r="N425" t="n">
        <v>0</v>
      </c>
      <c r="O425" t="n">
        <v>0</v>
      </c>
      <c r="P425" t="n">
        <v>0</v>
      </c>
      <c r="Q425" t="n">
        <v>0</v>
      </c>
      <c r="R425" s="2" t="inlineStr"/>
    </row>
    <row r="426" ht="15" customHeight="1">
      <c r="A426" t="inlineStr">
        <is>
          <t>A 15405-2025</t>
        </is>
      </c>
      <c r="B426" s="1" t="n">
        <v>45747.44670138889</v>
      </c>
      <c r="C426" s="1" t="n">
        <v>46085</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37035-2023</t>
        </is>
      </c>
      <c r="B427" s="1" t="n">
        <v>45155</v>
      </c>
      <c r="C427" s="1" t="n">
        <v>46085</v>
      </c>
      <c r="D427" t="inlineStr">
        <is>
          <t>UPPSALA LÄN</t>
        </is>
      </c>
      <c r="E427" t="inlineStr">
        <is>
          <t>ENKÖPING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12878-2025</t>
        </is>
      </c>
      <c r="B428" s="1" t="n">
        <v>45733.68571759259</v>
      </c>
      <c r="C428" s="1" t="n">
        <v>46085</v>
      </c>
      <c r="D428" t="inlineStr">
        <is>
          <t>UPPSALA LÄN</t>
        </is>
      </c>
      <c r="E428" t="inlineStr">
        <is>
          <t>ENKÖPING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46186-2023</t>
        </is>
      </c>
      <c r="B429" s="1" t="n">
        <v>45196</v>
      </c>
      <c r="C429" s="1" t="n">
        <v>46085</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15162-2025</t>
        </is>
      </c>
      <c r="B430" s="1" t="n">
        <v>45744</v>
      </c>
      <c r="C430" s="1" t="n">
        <v>46085</v>
      </c>
      <c r="D430" t="inlineStr">
        <is>
          <t>UPPSALA LÄN</t>
        </is>
      </c>
      <c r="E430" t="inlineStr">
        <is>
          <t>ENKÖPING</t>
        </is>
      </c>
      <c r="G430" t="n">
        <v>4.2</v>
      </c>
      <c r="H430" t="n">
        <v>0</v>
      </c>
      <c r="I430" t="n">
        <v>0</v>
      </c>
      <c r="J430" t="n">
        <v>0</v>
      </c>
      <c r="K430" t="n">
        <v>0</v>
      </c>
      <c r="L430" t="n">
        <v>0</v>
      </c>
      <c r="M430" t="n">
        <v>0</v>
      </c>
      <c r="N430" t="n">
        <v>0</v>
      </c>
      <c r="O430" t="n">
        <v>0</v>
      </c>
      <c r="P430" t="n">
        <v>0</v>
      </c>
      <c r="Q430" t="n">
        <v>0</v>
      </c>
      <c r="R430" s="2" t="inlineStr"/>
    </row>
    <row r="431" ht="15" customHeight="1">
      <c r="A431" t="inlineStr">
        <is>
          <t>A 52889-2022</t>
        </is>
      </c>
      <c r="B431" s="1" t="n">
        <v>44875</v>
      </c>
      <c r="C431" s="1" t="n">
        <v>46085</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47681-2024</t>
        </is>
      </c>
      <c r="B432" s="1" t="n">
        <v>45588</v>
      </c>
      <c r="C432" s="1" t="n">
        <v>46085</v>
      </c>
      <c r="D432" t="inlineStr">
        <is>
          <t>UPPSALA LÄN</t>
        </is>
      </c>
      <c r="E432" t="inlineStr">
        <is>
          <t>ENKÖPING</t>
        </is>
      </c>
      <c r="G432" t="n">
        <v>4.2</v>
      </c>
      <c r="H432" t="n">
        <v>0</v>
      </c>
      <c r="I432" t="n">
        <v>0</v>
      </c>
      <c r="J432" t="n">
        <v>0</v>
      </c>
      <c r="K432" t="n">
        <v>0</v>
      </c>
      <c r="L432" t="n">
        <v>0</v>
      </c>
      <c r="M432" t="n">
        <v>0</v>
      </c>
      <c r="N432" t="n">
        <v>0</v>
      </c>
      <c r="O432" t="n">
        <v>0</v>
      </c>
      <c r="P432" t="n">
        <v>0</v>
      </c>
      <c r="Q432" t="n">
        <v>0</v>
      </c>
      <c r="R432" s="2" t="inlineStr"/>
    </row>
    <row r="433" ht="15" customHeight="1">
      <c r="A433" t="inlineStr">
        <is>
          <t>A 12754-2025</t>
        </is>
      </c>
      <c r="B433" s="1" t="n">
        <v>45733.56331018519</v>
      </c>
      <c r="C433" s="1" t="n">
        <v>46085</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18299-2025</t>
        </is>
      </c>
      <c r="B434" s="1" t="n">
        <v>45762</v>
      </c>
      <c r="C434" s="1" t="n">
        <v>46085</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54588-2024</t>
        </is>
      </c>
      <c r="B435" s="1" t="n">
        <v>45617</v>
      </c>
      <c r="C435" s="1" t="n">
        <v>46085</v>
      </c>
      <c r="D435" t="inlineStr">
        <is>
          <t>UPPSALA LÄN</t>
        </is>
      </c>
      <c r="E435" t="inlineStr">
        <is>
          <t>ENKÖPING</t>
        </is>
      </c>
      <c r="G435" t="n">
        <v>3.7</v>
      </c>
      <c r="H435" t="n">
        <v>0</v>
      </c>
      <c r="I435" t="n">
        <v>0</v>
      </c>
      <c r="J435" t="n">
        <v>0</v>
      </c>
      <c r="K435" t="n">
        <v>0</v>
      </c>
      <c r="L435" t="n">
        <v>0</v>
      </c>
      <c r="M435" t="n">
        <v>0</v>
      </c>
      <c r="N435" t="n">
        <v>0</v>
      </c>
      <c r="O435" t="n">
        <v>0</v>
      </c>
      <c r="P435" t="n">
        <v>0</v>
      </c>
      <c r="Q435" t="n">
        <v>0</v>
      </c>
      <c r="R435" s="2" t="inlineStr"/>
    </row>
    <row r="436" ht="15" customHeight="1">
      <c r="A436" t="inlineStr">
        <is>
          <t>A 56713-2024</t>
        </is>
      </c>
      <c r="B436" s="1" t="n">
        <v>45628</v>
      </c>
      <c r="C436" s="1" t="n">
        <v>46085</v>
      </c>
      <c r="D436" t="inlineStr">
        <is>
          <t>UPPSALA LÄN</t>
        </is>
      </c>
      <c r="E436" t="inlineStr">
        <is>
          <t>ENKÖPING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6242-2025</t>
        </is>
      </c>
      <c r="B437" s="1" t="n">
        <v>45697</v>
      </c>
      <c r="C437" s="1" t="n">
        <v>46085</v>
      </c>
      <c r="D437" t="inlineStr">
        <is>
          <t>UPPSALA LÄN</t>
        </is>
      </c>
      <c r="E437" t="inlineStr">
        <is>
          <t>ENKÖPING</t>
        </is>
      </c>
      <c r="G437" t="n">
        <v>17.9</v>
      </c>
      <c r="H437" t="n">
        <v>0</v>
      </c>
      <c r="I437" t="n">
        <v>0</v>
      </c>
      <c r="J437" t="n">
        <v>0</v>
      </c>
      <c r="K437" t="n">
        <v>0</v>
      </c>
      <c r="L437" t="n">
        <v>0</v>
      </c>
      <c r="M437" t="n">
        <v>0</v>
      </c>
      <c r="N437" t="n">
        <v>0</v>
      </c>
      <c r="O437" t="n">
        <v>0</v>
      </c>
      <c r="P437" t="n">
        <v>0</v>
      </c>
      <c r="Q437" t="n">
        <v>0</v>
      </c>
      <c r="R437" s="2" t="inlineStr"/>
    </row>
    <row r="438" ht="15" customHeight="1">
      <c r="A438" t="inlineStr">
        <is>
          <t>A 51524-2022</t>
        </is>
      </c>
      <c r="B438" s="1" t="n">
        <v>44869</v>
      </c>
      <c r="C438" s="1" t="n">
        <v>46085</v>
      </c>
      <c r="D438" t="inlineStr">
        <is>
          <t>UPPSALA LÄN</t>
        </is>
      </c>
      <c r="E438" t="inlineStr">
        <is>
          <t>ENKÖPING</t>
        </is>
      </c>
      <c r="G438" t="n">
        <v>6.6</v>
      </c>
      <c r="H438" t="n">
        <v>0</v>
      </c>
      <c r="I438" t="n">
        <v>0</v>
      </c>
      <c r="J438" t="n">
        <v>0</v>
      </c>
      <c r="K438" t="n">
        <v>0</v>
      </c>
      <c r="L438" t="n">
        <v>0</v>
      </c>
      <c r="M438" t="n">
        <v>0</v>
      </c>
      <c r="N438" t="n">
        <v>0</v>
      </c>
      <c r="O438" t="n">
        <v>0</v>
      </c>
      <c r="P438" t="n">
        <v>0</v>
      </c>
      <c r="Q438" t="n">
        <v>0</v>
      </c>
      <c r="R438" s="2" t="inlineStr"/>
    </row>
    <row r="439" ht="15" customHeight="1">
      <c r="A439" t="inlineStr">
        <is>
          <t>A 6144-2024</t>
        </is>
      </c>
      <c r="B439" s="1" t="n">
        <v>45337.4684837963</v>
      </c>
      <c r="C439" s="1" t="n">
        <v>46085</v>
      </c>
      <c r="D439" t="inlineStr">
        <is>
          <t>UPPSALA LÄN</t>
        </is>
      </c>
      <c r="E439" t="inlineStr">
        <is>
          <t>ENKÖPING</t>
        </is>
      </c>
      <c r="G439" t="n">
        <v>13.8</v>
      </c>
      <c r="H439" t="n">
        <v>0</v>
      </c>
      <c r="I439" t="n">
        <v>0</v>
      </c>
      <c r="J439" t="n">
        <v>0</v>
      </c>
      <c r="K439" t="n">
        <v>0</v>
      </c>
      <c r="L439" t="n">
        <v>0</v>
      </c>
      <c r="M439" t="n">
        <v>0</v>
      </c>
      <c r="N439" t="n">
        <v>0</v>
      </c>
      <c r="O439" t="n">
        <v>0</v>
      </c>
      <c r="P439" t="n">
        <v>0</v>
      </c>
      <c r="Q439" t="n">
        <v>0</v>
      </c>
      <c r="R439" s="2" t="inlineStr"/>
    </row>
    <row r="440" ht="15" customHeight="1">
      <c r="A440" t="inlineStr">
        <is>
          <t>A 67984-2021</t>
        </is>
      </c>
      <c r="B440" s="1" t="n">
        <v>44525.70237268518</v>
      </c>
      <c r="C440" s="1" t="n">
        <v>46085</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8137-2025</t>
        </is>
      </c>
      <c r="B441" s="1" t="n">
        <v>45707.8561574074</v>
      </c>
      <c r="C441" s="1" t="n">
        <v>46085</v>
      </c>
      <c r="D441" t="inlineStr">
        <is>
          <t>UPPSALA LÄN</t>
        </is>
      </c>
      <c r="E441" t="inlineStr">
        <is>
          <t>ENKÖPING</t>
        </is>
      </c>
      <c r="G441" t="n">
        <v>0.4</v>
      </c>
      <c r="H441" t="n">
        <v>0</v>
      </c>
      <c r="I441" t="n">
        <v>0</v>
      </c>
      <c r="J441" t="n">
        <v>0</v>
      </c>
      <c r="K441" t="n">
        <v>0</v>
      </c>
      <c r="L441" t="n">
        <v>0</v>
      </c>
      <c r="M441" t="n">
        <v>0</v>
      </c>
      <c r="N441" t="n">
        <v>0</v>
      </c>
      <c r="O441" t="n">
        <v>0</v>
      </c>
      <c r="P441" t="n">
        <v>0</v>
      </c>
      <c r="Q441" t="n">
        <v>0</v>
      </c>
      <c r="R441" s="2" t="inlineStr"/>
    </row>
    <row r="442" ht="15" customHeight="1">
      <c r="A442" t="inlineStr">
        <is>
          <t>A 7868-2024</t>
        </is>
      </c>
      <c r="B442" s="1" t="n">
        <v>45350.33020833333</v>
      </c>
      <c r="C442" s="1" t="n">
        <v>46085</v>
      </c>
      <c r="D442" t="inlineStr">
        <is>
          <t>UPPSALA LÄN</t>
        </is>
      </c>
      <c r="E442" t="inlineStr">
        <is>
          <t>ENKÖPING</t>
        </is>
      </c>
      <c r="G442" t="n">
        <v>0.3</v>
      </c>
      <c r="H442" t="n">
        <v>0</v>
      </c>
      <c r="I442" t="n">
        <v>0</v>
      </c>
      <c r="J442" t="n">
        <v>0</v>
      </c>
      <c r="K442" t="n">
        <v>0</v>
      </c>
      <c r="L442" t="n">
        <v>0</v>
      </c>
      <c r="M442" t="n">
        <v>0</v>
      </c>
      <c r="N442" t="n">
        <v>0</v>
      </c>
      <c r="O442" t="n">
        <v>0</v>
      </c>
      <c r="P442" t="n">
        <v>0</v>
      </c>
      <c r="Q442" t="n">
        <v>0</v>
      </c>
      <c r="R442" s="2" t="inlineStr"/>
    </row>
    <row r="443" ht="15" customHeight="1">
      <c r="A443" t="inlineStr">
        <is>
          <t>A 18592-2021</t>
        </is>
      </c>
      <c r="B443" s="1" t="n">
        <v>44306</v>
      </c>
      <c r="C443" s="1" t="n">
        <v>46085</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11918-2025</t>
        </is>
      </c>
      <c r="B444" s="1" t="n">
        <v>45728.49331018519</v>
      </c>
      <c r="C444" s="1" t="n">
        <v>46085</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51008-2024</t>
        </is>
      </c>
      <c r="B445" s="1" t="n">
        <v>45603.39041666667</v>
      </c>
      <c r="C445" s="1" t="n">
        <v>46085</v>
      </c>
      <c r="D445" t="inlineStr">
        <is>
          <t>UPPSALA LÄN</t>
        </is>
      </c>
      <c r="E445" t="inlineStr">
        <is>
          <t>ENKÖPING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35052-2024</t>
        </is>
      </c>
      <c r="B446" s="1" t="n">
        <v>45527.6516087963</v>
      </c>
      <c r="C446" s="1" t="n">
        <v>46085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46085</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20440-2025</t>
        </is>
      </c>
      <c r="B448" s="1" t="n">
        <v>45775</v>
      </c>
      <c r="C448" s="1" t="n">
        <v>46085</v>
      </c>
      <c r="D448" t="inlineStr">
        <is>
          <t>UPPSALA LÄN</t>
        </is>
      </c>
      <c r="E448" t="inlineStr">
        <is>
          <t>ENKÖPING</t>
        </is>
      </c>
      <c r="G448" t="n">
        <v>1.6</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44827.63826388889</v>
      </c>
      <c r="C449" s="1" t="n">
        <v>46085</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14518-2025</t>
        </is>
      </c>
      <c r="B450" s="1" t="n">
        <v>45741</v>
      </c>
      <c r="C450" s="1" t="n">
        <v>46085</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54595-2021</t>
        </is>
      </c>
      <c r="B451" s="1" t="n">
        <v>44473.58824074074</v>
      </c>
      <c r="C451" s="1" t="n">
        <v>46085</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22094-2023</t>
        </is>
      </c>
      <c r="B452" s="1" t="n">
        <v>45069</v>
      </c>
      <c r="C452" s="1" t="n">
        <v>46085</v>
      </c>
      <c r="D452" t="inlineStr">
        <is>
          <t>UPPSALA LÄN</t>
        </is>
      </c>
      <c r="E452" t="inlineStr">
        <is>
          <t>ENKÖPING</t>
        </is>
      </c>
      <c r="G452" t="n">
        <v>2.1</v>
      </c>
      <c r="H452" t="n">
        <v>0</v>
      </c>
      <c r="I452" t="n">
        <v>0</v>
      </c>
      <c r="J452" t="n">
        <v>0</v>
      </c>
      <c r="K452" t="n">
        <v>0</v>
      </c>
      <c r="L452" t="n">
        <v>0</v>
      </c>
      <c r="M452" t="n">
        <v>0</v>
      </c>
      <c r="N452" t="n">
        <v>0</v>
      </c>
      <c r="O452" t="n">
        <v>0</v>
      </c>
      <c r="P452" t="n">
        <v>0</v>
      </c>
      <c r="Q452" t="n">
        <v>0</v>
      </c>
      <c r="R452" s="2" t="inlineStr"/>
    </row>
    <row r="453" ht="15" customHeight="1">
      <c r="A453" t="inlineStr">
        <is>
          <t>A 54776-2024</t>
        </is>
      </c>
      <c r="B453" s="1" t="n">
        <v>45618</v>
      </c>
      <c r="C453" s="1" t="n">
        <v>46085</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22150-2025</t>
        </is>
      </c>
      <c r="B454" s="1" t="n">
        <v>45785.56398148148</v>
      </c>
      <c r="C454" s="1" t="n">
        <v>46085</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22156-2025</t>
        </is>
      </c>
      <c r="B455" s="1" t="n">
        <v>45785.57512731481</v>
      </c>
      <c r="C455" s="1" t="n">
        <v>46085</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30087-2024</t>
        </is>
      </c>
      <c r="B456" s="1" t="n">
        <v>45489.39447916667</v>
      </c>
      <c r="C456" s="1" t="n">
        <v>46085</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22677-2025</t>
        </is>
      </c>
      <c r="B457" s="1" t="n">
        <v>45789.49515046296</v>
      </c>
      <c r="C457" s="1" t="n">
        <v>46085</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22679-2025</t>
        </is>
      </c>
      <c r="B458" s="1" t="n">
        <v>45789.49747685185</v>
      </c>
      <c r="C458" s="1" t="n">
        <v>46085</v>
      </c>
      <c r="D458" t="inlineStr">
        <is>
          <t>UPPSALA LÄN</t>
        </is>
      </c>
      <c r="E458" t="inlineStr">
        <is>
          <t>ENKÖPING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22729-2025</t>
        </is>
      </c>
      <c r="B459" s="1" t="n">
        <v>45789.57790509259</v>
      </c>
      <c r="C459" s="1" t="n">
        <v>46085</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22786-2025</t>
        </is>
      </c>
      <c r="B460" s="1" t="n">
        <v>45789.64643518518</v>
      </c>
      <c r="C460" s="1" t="n">
        <v>46085</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22795-2025</t>
        </is>
      </c>
      <c r="B461" s="1" t="n">
        <v>45789.65944444444</v>
      </c>
      <c r="C461" s="1" t="n">
        <v>46085</v>
      </c>
      <c r="D461" t="inlineStr">
        <is>
          <t>UPPSALA LÄN</t>
        </is>
      </c>
      <c r="E461" t="inlineStr">
        <is>
          <t>ENKÖPING</t>
        </is>
      </c>
      <c r="G461" t="n">
        <v>10.4</v>
      </c>
      <c r="H461" t="n">
        <v>0</v>
      </c>
      <c r="I461" t="n">
        <v>0</v>
      </c>
      <c r="J461" t="n">
        <v>0</v>
      </c>
      <c r="K461" t="n">
        <v>0</v>
      </c>
      <c r="L461" t="n">
        <v>0</v>
      </c>
      <c r="M461" t="n">
        <v>0</v>
      </c>
      <c r="N461" t="n">
        <v>0</v>
      </c>
      <c r="O461" t="n">
        <v>0</v>
      </c>
      <c r="P461" t="n">
        <v>0</v>
      </c>
      <c r="Q461" t="n">
        <v>0</v>
      </c>
      <c r="R461" s="2" t="inlineStr"/>
    </row>
    <row r="462" ht="15" customHeight="1">
      <c r="A462" t="inlineStr">
        <is>
          <t>A 22802-2025</t>
        </is>
      </c>
      <c r="B462" s="1" t="n">
        <v>45789.6686574074</v>
      </c>
      <c r="C462" s="1" t="n">
        <v>46085</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22680-2025</t>
        </is>
      </c>
      <c r="B463" s="1" t="n">
        <v>45789.5005787037</v>
      </c>
      <c r="C463" s="1" t="n">
        <v>46085</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6981-2025</t>
        </is>
      </c>
      <c r="B464" s="1" t="n">
        <v>45701</v>
      </c>
      <c r="C464" s="1" t="n">
        <v>46085</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22770-2025</t>
        </is>
      </c>
      <c r="B465" s="1" t="n">
        <v>45789.63454861111</v>
      </c>
      <c r="C465" s="1" t="n">
        <v>46085</v>
      </c>
      <c r="D465" t="inlineStr">
        <is>
          <t>UPPSALA LÄN</t>
        </is>
      </c>
      <c r="E465" t="inlineStr">
        <is>
          <t>ENKÖPING</t>
        </is>
      </c>
      <c r="G465" t="n">
        <v>4.5</v>
      </c>
      <c r="H465" t="n">
        <v>0</v>
      </c>
      <c r="I465" t="n">
        <v>0</v>
      </c>
      <c r="J465" t="n">
        <v>0</v>
      </c>
      <c r="K465" t="n">
        <v>0</v>
      </c>
      <c r="L465" t="n">
        <v>0</v>
      </c>
      <c r="M465" t="n">
        <v>0</v>
      </c>
      <c r="N465" t="n">
        <v>0</v>
      </c>
      <c r="O465" t="n">
        <v>0</v>
      </c>
      <c r="P465" t="n">
        <v>0</v>
      </c>
      <c r="Q465" t="n">
        <v>0</v>
      </c>
      <c r="R465" s="2" t="inlineStr"/>
    </row>
    <row r="466" ht="15" customHeight="1">
      <c r="A466" t="inlineStr">
        <is>
          <t>A 22725-2025</t>
        </is>
      </c>
      <c r="B466" s="1" t="n">
        <v>45789.57371527778</v>
      </c>
      <c r="C466" s="1" t="n">
        <v>46085</v>
      </c>
      <c r="D466" t="inlineStr">
        <is>
          <t>UPPSALA LÄN</t>
        </is>
      </c>
      <c r="E466" t="inlineStr">
        <is>
          <t>ENKÖPING</t>
        </is>
      </c>
      <c r="G466" t="n">
        <v>4.8</v>
      </c>
      <c r="H466" t="n">
        <v>0</v>
      </c>
      <c r="I466" t="n">
        <v>0</v>
      </c>
      <c r="J466" t="n">
        <v>0</v>
      </c>
      <c r="K466" t="n">
        <v>0</v>
      </c>
      <c r="L466" t="n">
        <v>0</v>
      </c>
      <c r="M466" t="n">
        <v>0</v>
      </c>
      <c r="N466" t="n">
        <v>0</v>
      </c>
      <c r="O466" t="n">
        <v>0</v>
      </c>
      <c r="P466" t="n">
        <v>0</v>
      </c>
      <c r="Q466" t="n">
        <v>0</v>
      </c>
      <c r="R466" s="2" t="inlineStr"/>
    </row>
    <row r="467" ht="15" customHeight="1">
      <c r="A467" t="inlineStr">
        <is>
          <t>A 22981-2025</t>
        </is>
      </c>
      <c r="B467" s="1" t="n">
        <v>45790.56964120371</v>
      </c>
      <c r="C467" s="1" t="n">
        <v>46085</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68123-2021</t>
        </is>
      </c>
      <c r="B468" s="1" t="n">
        <v>44526.39126157408</v>
      </c>
      <c r="C468" s="1" t="n">
        <v>46085</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22793-2025</t>
        </is>
      </c>
      <c r="B469" s="1" t="n">
        <v>45789.65693287037</v>
      </c>
      <c r="C469" s="1" t="n">
        <v>46085</v>
      </c>
      <c r="D469" t="inlineStr">
        <is>
          <t>UPPSALA LÄN</t>
        </is>
      </c>
      <c r="E469" t="inlineStr">
        <is>
          <t>ENKÖPING</t>
        </is>
      </c>
      <c r="G469" t="n">
        <v>3.2</v>
      </c>
      <c r="H469" t="n">
        <v>0</v>
      </c>
      <c r="I469" t="n">
        <v>0</v>
      </c>
      <c r="J469" t="n">
        <v>0</v>
      </c>
      <c r="K469" t="n">
        <v>0</v>
      </c>
      <c r="L469" t="n">
        <v>0</v>
      </c>
      <c r="M469" t="n">
        <v>0</v>
      </c>
      <c r="N469" t="n">
        <v>0</v>
      </c>
      <c r="O469" t="n">
        <v>0</v>
      </c>
      <c r="P469" t="n">
        <v>0</v>
      </c>
      <c r="Q469" t="n">
        <v>0</v>
      </c>
      <c r="R469" s="2" t="inlineStr"/>
    </row>
    <row r="470" ht="15" customHeight="1">
      <c r="A470" t="inlineStr">
        <is>
          <t>A 22800-2025</t>
        </is>
      </c>
      <c r="B470" s="1" t="n">
        <v>45789.6669212963</v>
      </c>
      <c r="C470" s="1" t="n">
        <v>46085</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17729-2023</t>
        </is>
      </c>
      <c r="B471" s="1" t="n">
        <v>45037</v>
      </c>
      <c r="C471" s="1" t="n">
        <v>46085</v>
      </c>
      <c r="D471" t="inlineStr">
        <is>
          <t>UPPSALA LÄN</t>
        </is>
      </c>
      <c r="E471" t="inlineStr">
        <is>
          <t>ENKÖPING</t>
        </is>
      </c>
      <c r="G471" t="n">
        <v>10.2</v>
      </c>
      <c r="H471" t="n">
        <v>0</v>
      </c>
      <c r="I471" t="n">
        <v>0</v>
      </c>
      <c r="J471" t="n">
        <v>0</v>
      </c>
      <c r="K471" t="n">
        <v>0</v>
      </c>
      <c r="L471" t="n">
        <v>0</v>
      </c>
      <c r="M471" t="n">
        <v>0</v>
      </c>
      <c r="N471" t="n">
        <v>0</v>
      </c>
      <c r="O471" t="n">
        <v>0</v>
      </c>
      <c r="P471" t="n">
        <v>0</v>
      </c>
      <c r="Q471" t="n">
        <v>0</v>
      </c>
      <c r="R471" s="2" t="inlineStr"/>
    </row>
    <row r="472" ht="15" customHeight="1">
      <c r="A472" t="inlineStr">
        <is>
          <t>A 5749-2025</t>
        </is>
      </c>
      <c r="B472" s="1" t="n">
        <v>45694</v>
      </c>
      <c r="C472" s="1" t="n">
        <v>46085</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8020-2022</t>
        </is>
      </c>
      <c r="B473" s="1" t="n">
        <v>44609</v>
      </c>
      <c r="C473" s="1" t="n">
        <v>46085</v>
      </c>
      <c r="D473" t="inlineStr">
        <is>
          <t>UPPSALA LÄN</t>
        </is>
      </c>
      <c r="E473" t="inlineStr">
        <is>
          <t>ENKÖPING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34805-2024</t>
        </is>
      </c>
      <c r="B474" s="1" t="n">
        <v>45526</v>
      </c>
      <c r="C474" s="1" t="n">
        <v>46085</v>
      </c>
      <c r="D474" t="inlineStr">
        <is>
          <t>UPPSALA LÄN</t>
        </is>
      </c>
      <c r="E474" t="inlineStr">
        <is>
          <t>ENKÖPING</t>
        </is>
      </c>
      <c r="G474" t="n">
        <v>3.6</v>
      </c>
      <c r="H474" t="n">
        <v>0</v>
      </c>
      <c r="I474" t="n">
        <v>0</v>
      </c>
      <c r="J474" t="n">
        <v>0</v>
      </c>
      <c r="K474" t="n">
        <v>0</v>
      </c>
      <c r="L474" t="n">
        <v>0</v>
      </c>
      <c r="M474" t="n">
        <v>0</v>
      </c>
      <c r="N474" t="n">
        <v>0</v>
      </c>
      <c r="O474" t="n">
        <v>0</v>
      </c>
      <c r="P474" t="n">
        <v>0</v>
      </c>
      <c r="Q474" t="n">
        <v>0</v>
      </c>
      <c r="R474" s="2" t="inlineStr"/>
    </row>
    <row r="475" ht="15" customHeight="1">
      <c r="A475" t="inlineStr">
        <is>
          <t>A 314-2025</t>
        </is>
      </c>
      <c r="B475" s="1" t="n">
        <v>45656</v>
      </c>
      <c r="C475" s="1" t="n">
        <v>46085</v>
      </c>
      <c r="D475" t="inlineStr">
        <is>
          <t>UPPSALA LÄN</t>
        </is>
      </c>
      <c r="E475" t="inlineStr">
        <is>
          <t>ENKÖPING</t>
        </is>
      </c>
      <c r="G475" t="n">
        <v>9</v>
      </c>
      <c r="H475" t="n">
        <v>0</v>
      </c>
      <c r="I475" t="n">
        <v>0</v>
      </c>
      <c r="J475" t="n">
        <v>0</v>
      </c>
      <c r="K475" t="n">
        <v>0</v>
      </c>
      <c r="L475" t="n">
        <v>0</v>
      </c>
      <c r="M475" t="n">
        <v>0</v>
      </c>
      <c r="N475" t="n">
        <v>0</v>
      </c>
      <c r="O475" t="n">
        <v>0</v>
      </c>
      <c r="P475" t="n">
        <v>0</v>
      </c>
      <c r="Q475" t="n">
        <v>0</v>
      </c>
      <c r="R475" s="2" t="inlineStr"/>
    </row>
    <row r="476" ht="15" customHeight="1">
      <c r="A476" t="inlineStr">
        <is>
          <t>A 10831-2024</t>
        </is>
      </c>
      <c r="B476" s="1" t="n">
        <v>45369</v>
      </c>
      <c r="C476" s="1" t="n">
        <v>46085</v>
      </c>
      <c r="D476" t="inlineStr">
        <is>
          <t>UPPSALA LÄN</t>
        </is>
      </c>
      <c r="E476" t="inlineStr">
        <is>
          <t>ENKÖPING</t>
        </is>
      </c>
      <c r="G476" t="n">
        <v>2.9</v>
      </c>
      <c r="H476" t="n">
        <v>0</v>
      </c>
      <c r="I476" t="n">
        <v>0</v>
      </c>
      <c r="J476" t="n">
        <v>0</v>
      </c>
      <c r="K476" t="n">
        <v>0</v>
      </c>
      <c r="L476" t="n">
        <v>0</v>
      </c>
      <c r="M476" t="n">
        <v>0</v>
      </c>
      <c r="N476" t="n">
        <v>0</v>
      </c>
      <c r="O476" t="n">
        <v>0</v>
      </c>
      <c r="P476" t="n">
        <v>0</v>
      </c>
      <c r="Q476" t="n">
        <v>0</v>
      </c>
      <c r="R476" s="2" t="inlineStr"/>
    </row>
    <row r="477" ht="15" customHeight="1">
      <c r="A477" t="inlineStr">
        <is>
          <t>A 5712-2025</t>
        </is>
      </c>
      <c r="B477" s="1" t="n">
        <v>45694</v>
      </c>
      <c r="C477" s="1" t="n">
        <v>46085</v>
      </c>
      <c r="D477" t="inlineStr">
        <is>
          <t>UPPSALA LÄN</t>
        </is>
      </c>
      <c r="E477" t="inlineStr">
        <is>
          <t>ENKÖPING</t>
        </is>
      </c>
      <c r="G477" t="n">
        <v>5.1</v>
      </c>
      <c r="H477" t="n">
        <v>0</v>
      </c>
      <c r="I477" t="n">
        <v>0</v>
      </c>
      <c r="J477" t="n">
        <v>0</v>
      </c>
      <c r="K477" t="n">
        <v>0</v>
      </c>
      <c r="L477" t="n">
        <v>0</v>
      </c>
      <c r="M477" t="n">
        <v>0</v>
      </c>
      <c r="N477" t="n">
        <v>0</v>
      </c>
      <c r="O477" t="n">
        <v>0</v>
      </c>
      <c r="P477" t="n">
        <v>0</v>
      </c>
      <c r="Q477" t="n">
        <v>0</v>
      </c>
      <c r="R477" s="2" t="inlineStr"/>
    </row>
    <row r="478" ht="15" customHeight="1">
      <c r="A478" t="inlineStr">
        <is>
          <t>A 45956-2024</t>
        </is>
      </c>
      <c r="B478" s="1" t="n">
        <v>45580</v>
      </c>
      <c r="C478" s="1" t="n">
        <v>46085</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11627-2025</t>
        </is>
      </c>
      <c r="B479" s="1" t="n">
        <v>45727</v>
      </c>
      <c r="C479" s="1" t="n">
        <v>46085</v>
      </c>
      <c r="D479" t="inlineStr">
        <is>
          <t>UPPSALA LÄN</t>
        </is>
      </c>
      <c r="E479" t="inlineStr">
        <is>
          <t>ENKÖPING</t>
        </is>
      </c>
      <c r="G479" t="n">
        <v>5.5</v>
      </c>
      <c r="H479" t="n">
        <v>0</v>
      </c>
      <c r="I479" t="n">
        <v>0</v>
      </c>
      <c r="J479" t="n">
        <v>0</v>
      </c>
      <c r="K479" t="n">
        <v>0</v>
      </c>
      <c r="L479" t="n">
        <v>0</v>
      </c>
      <c r="M479" t="n">
        <v>0</v>
      </c>
      <c r="N479" t="n">
        <v>0</v>
      </c>
      <c r="O479" t="n">
        <v>0</v>
      </c>
      <c r="P479" t="n">
        <v>0</v>
      </c>
      <c r="Q479" t="n">
        <v>0</v>
      </c>
      <c r="R479" s="2" t="inlineStr"/>
    </row>
    <row r="480" ht="15" customHeight="1">
      <c r="A480" t="inlineStr">
        <is>
          <t>A 74090-2021</t>
        </is>
      </c>
      <c r="B480" s="1" t="n">
        <v>44557</v>
      </c>
      <c r="C480" s="1" t="n">
        <v>46085</v>
      </c>
      <c r="D480" t="inlineStr">
        <is>
          <t>UPPSALA LÄN</t>
        </is>
      </c>
      <c r="E480" t="inlineStr">
        <is>
          <t>ENKÖPING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58092-2024</t>
        </is>
      </c>
      <c r="B481" s="1" t="n">
        <v>45632</v>
      </c>
      <c r="C481" s="1" t="n">
        <v>46085</v>
      </c>
      <c r="D481" t="inlineStr">
        <is>
          <t>UPPSALA LÄN</t>
        </is>
      </c>
      <c r="E481" t="inlineStr">
        <is>
          <t>ENKÖPING</t>
        </is>
      </c>
      <c r="G481" t="n">
        <v>4.8</v>
      </c>
      <c r="H481" t="n">
        <v>0</v>
      </c>
      <c r="I481" t="n">
        <v>0</v>
      </c>
      <c r="J481" t="n">
        <v>0</v>
      </c>
      <c r="K481" t="n">
        <v>0</v>
      </c>
      <c r="L481" t="n">
        <v>0</v>
      </c>
      <c r="M481" t="n">
        <v>0</v>
      </c>
      <c r="N481" t="n">
        <v>0</v>
      </c>
      <c r="O481" t="n">
        <v>0</v>
      </c>
      <c r="P481" t="n">
        <v>0</v>
      </c>
      <c r="Q481" t="n">
        <v>0</v>
      </c>
      <c r="R481" s="2" t="inlineStr"/>
    </row>
    <row r="482" ht="15" customHeight="1">
      <c r="A482" t="inlineStr">
        <is>
          <t>A 24411-2024</t>
        </is>
      </c>
      <c r="B482" s="1" t="n">
        <v>45457</v>
      </c>
      <c r="C482" s="1" t="n">
        <v>46085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25988-2025</t>
        </is>
      </c>
      <c r="B483" s="1" t="n">
        <v>45804.64814814815</v>
      </c>
      <c r="C483" s="1" t="n">
        <v>46085</v>
      </c>
      <c r="D483" t="inlineStr">
        <is>
          <t>UPPSALA LÄN</t>
        </is>
      </c>
      <c r="E483" t="inlineStr">
        <is>
          <t>ENKÖPING</t>
        </is>
      </c>
      <c r="G483" t="n">
        <v>4.7</v>
      </c>
      <c r="H483" t="n">
        <v>0</v>
      </c>
      <c r="I483" t="n">
        <v>0</v>
      </c>
      <c r="J483" t="n">
        <v>0</v>
      </c>
      <c r="K483" t="n">
        <v>0</v>
      </c>
      <c r="L483" t="n">
        <v>0</v>
      </c>
      <c r="M483" t="n">
        <v>0</v>
      </c>
      <c r="N483" t="n">
        <v>0</v>
      </c>
      <c r="O483" t="n">
        <v>0</v>
      </c>
      <c r="P483" t="n">
        <v>0</v>
      </c>
      <c r="Q483" t="n">
        <v>0</v>
      </c>
      <c r="R483" s="2" t="inlineStr"/>
    </row>
    <row r="484" ht="15" customHeight="1">
      <c r="A484" t="inlineStr">
        <is>
          <t>A 26024-2025</t>
        </is>
      </c>
      <c r="B484" s="1" t="n">
        <v>45804.6831712963</v>
      </c>
      <c r="C484" s="1" t="n">
        <v>46085</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26042-2025</t>
        </is>
      </c>
      <c r="B485" s="1" t="n">
        <v>45804.70018518518</v>
      </c>
      <c r="C485" s="1" t="n">
        <v>46085</v>
      </c>
      <c r="D485" t="inlineStr">
        <is>
          <t>UPPSALA LÄN</t>
        </is>
      </c>
      <c r="E485" t="inlineStr">
        <is>
          <t>ENKÖPING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26030-2025</t>
        </is>
      </c>
      <c r="B486" s="1" t="n">
        <v>45804.68815972222</v>
      </c>
      <c r="C486" s="1" t="n">
        <v>46085</v>
      </c>
      <c r="D486" t="inlineStr">
        <is>
          <t>UPPSALA LÄN</t>
        </is>
      </c>
      <c r="E486" t="inlineStr">
        <is>
          <t>ENKÖPING</t>
        </is>
      </c>
      <c r="G486" t="n">
        <v>0.3</v>
      </c>
      <c r="H486" t="n">
        <v>0</v>
      </c>
      <c r="I486" t="n">
        <v>0</v>
      </c>
      <c r="J486" t="n">
        <v>0</v>
      </c>
      <c r="K486" t="n">
        <v>0</v>
      </c>
      <c r="L486" t="n">
        <v>0</v>
      </c>
      <c r="M486" t="n">
        <v>0</v>
      </c>
      <c r="N486" t="n">
        <v>0</v>
      </c>
      <c r="O486" t="n">
        <v>0</v>
      </c>
      <c r="P486" t="n">
        <v>0</v>
      </c>
      <c r="Q486" t="n">
        <v>0</v>
      </c>
      <c r="R486" s="2" t="inlineStr"/>
    </row>
    <row r="487" ht="15" customHeight="1">
      <c r="A487" t="inlineStr">
        <is>
          <t>A 26026-2025</t>
        </is>
      </c>
      <c r="B487" s="1" t="n">
        <v>45804.68510416667</v>
      </c>
      <c r="C487" s="1" t="n">
        <v>46085</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26047-2025</t>
        </is>
      </c>
      <c r="B488" s="1" t="n">
        <v>45804.70835648148</v>
      </c>
      <c r="C488" s="1" t="n">
        <v>46085</v>
      </c>
      <c r="D488" t="inlineStr">
        <is>
          <t>UPPSALA LÄN</t>
        </is>
      </c>
      <c r="E488" t="inlineStr">
        <is>
          <t>ENKÖPING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25847-2025</t>
        </is>
      </c>
      <c r="B489" s="1" t="n">
        <v>45804</v>
      </c>
      <c r="C489" s="1" t="n">
        <v>46085</v>
      </c>
      <c r="D489" t="inlineStr">
        <is>
          <t>UPPSALA LÄN</t>
        </is>
      </c>
      <c r="E489" t="inlineStr">
        <is>
          <t>ENKÖPING</t>
        </is>
      </c>
      <c r="G489" t="n">
        <v>3.6</v>
      </c>
      <c r="H489" t="n">
        <v>0</v>
      </c>
      <c r="I489" t="n">
        <v>0</v>
      </c>
      <c r="J489" t="n">
        <v>0</v>
      </c>
      <c r="K489" t="n">
        <v>0</v>
      </c>
      <c r="L489" t="n">
        <v>0</v>
      </c>
      <c r="M489" t="n">
        <v>0</v>
      </c>
      <c r="N489" t="n">
        <v>0</v>
      </c>
      <c r="O489" t="n">
        <v>0</v>
      </c>
      <c r="P489" t="n">
        <v>0</v>
      </c>
      <c r="Q489" t="n">
        <v>0</v>
      </c>
      <c r="R489" s="2" t="inlineStr"/>
    </row>
    <row r="490" ht="15" customHeight="1">
      <c r="A490" t="inlineStr">
        <is>
          <t>A 26005-2025</t>
        </is>
      </c>
      <c r="B490" s="1" t="n">
        <v>45804.67055555555</v>
      </c>
      <c r="C490" s="1" t="n">
        <v>46085</v>
      </c>
      <c r="D490" t="inlineStr">
        <is>
          <t>UPPSALA LÄN</t>
        </is>
      </c>
      <c r="E490" t="inlineStr">
        <is>
          <t>ENKÖPING</t>
        </is>
      </c>
      <c r="G490" t="n">
        <v>0.3</v>
      </c>
      <c r="H490" t="n">
        <v>0</v>
      </c>
      <c r="I490" t="n">
        <v>0</v>
      </c>
      <c r="J490" t="n">
        <v>0</v>
      </c>
      <c r="K490" t="n">
        <v>0</v>
      </c>
      <c r="L490" t="n">
        <v>0</v>
      </c>
      <c r="M490" t="n">
        <v>0</v>
      </c>
      <c r="N490" t="n">
        <v>0</v>
      </c>
      <c r="O490" t="n">
        <v>0</v>
      </c>
      <c r="P490" t="n">
        <v>0</v>
      </c>
      <c r="Q490" t="n">
        <v>0</v>
      </c>
      <c r="R490" s="2" t="inlineStr"/>
    </row>
    <row r="491" ht="15" customHeight="1">
      <c r="A491" t="inlineStr">
        <is>
          <t>A 26031-2025</t>
        </is>
      </c>
      <c r="B491" s="1" t="n">
        <v>45804.69050925926</v>
      </c>
      <c r="C491" s="1" t="n">
        <v>46085</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26041-2025</t>
        </is>
      </c>
      <c r="B492" s="1" t="n">
        <v>45804.69883101852</v>
      </c>
      <c r="C492" s="1" t="n">
        <v>46085</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26022-2025</t>
        </is>
      </c>
      <c r="B493" s="1" t="n">
        <v>45804.68006944445</v>
      </c>
      <c r="C493" s="1" t="n">
        <v>46085</v>
      </c>
      <c r="D493" t="inlineStr">
        <is>
          <t>UPPSALA LÄN</t>
        </is>
      </c>
      <c r="E493" t="inlineStr">
        <is>
          <t>ENKÖPING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35067-2024</t>
        </is>
      </c>
      <c r="B494" s="1" t="n">
        <v>45527.66153935185</v>
      </c>
      <c r="C494" s="1" t="n">
        <v>46085</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27829-2025</t>
        </is>
      </c>
      <c r="B495" s="1" t="n">
        <v>45817</v>
      </c>
      <c r="C495" s="1" t="n">
        <v>46085</v>
      </c>
      <c r="D495" t="inlineStr">
        <is>
          <t>UPPSALA LÄN</t>
        </is>
      </c>
      <c r="E495" t="inlineStr">
        <is>
          <t>ENKÖPING</t>
        </is>
      </c>
      <c r="G495" t="n">
        <v>2.1</v>
      </c>
      <c r="H495" t="n">
        <v>0</v>
      </c>
      <c r="I495" t="n">
        <v>0</v>
      </c>
      <c r="J495" t="n">
        <v>0</v>
      </c>
      <c r="K495" t="n">
        <v>0</v>
      </c>
      <c r="L495" t="n">
        <v>0</v>
      </c>
      <c r="M495" t="n">
        <v>0</v>
      </c>
      <c r="N495" t="n">
        <v>0</v>
      </c>
      <c r="O495" t="n">
        <v>0</v>
      </c>
      <c r="P495" t="n">
        <v>0</v>
      </c>
      <c r="Q495" t="n">
        <v>0</v>
      </c>
      <c r="R495" s="2" t="inlineStr"/>
    </row>
    <row r="496" ht="15" customHeight="1">
      <c r="A496" t="inlineStr">
        <is>
          <t>A 28855-2025</t>
        </is>
      </c>
      <c r="B496" s="1" t="n">
        <v>45820.58274305556</v>
      </c>
      <c r="C496" s="1" t="n">
        <v>46085</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28758-2025</t>
        </is>
      </c>
      <c r="B497" s="1" t="n">
        <v>45820.41212962963</v>
      </c>
      <c r="C497" s="1" t="n">
        <v>46085</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39009-2024</t>
        </is>
      </c>
      <c r="B498" s="1" t="n">
        <v>45548</v>
      </c>
      <c r="C498" s="1" t="n">
        <v>46085</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8537-2025</t>
        </is>
      </c>
      <c r="B499" s="1" t="n">
        <v>45709</v>
      </c>
      <c r="C499" s="1" t="n">
        <v>46085</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28862-2025</t>
        </is>
      </c>
      <c r="B500" s="1" t="n">
        <v>45820.59189814814</v>
      </c>
      <c r="C500" s="1" t="n">
        <v>46085</v>
      </c>
      <c r="D500" t="inlineStr">
        <is>
          <t>UPPSALA LÄN</t>
        </is>
      </c>
      <c r="E500" t="inlineStr">
        <is>
          <t>ENKÖPING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29093-2025</t>
        </is>
      </c>
      <c r="B501" s="1" t="n">
        <v>45821.55743055556</v>
      </c>
      <c r="C501" s="1" t="n">
        <v>46085</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30837-2025</t>
        </is>
      </c>
      <c r="B502" s="1" t="n">
        <v>45831.7063425926</v>
      </c>
      <c r="C502" s="1" t="n">
        <v>46085</v>
      </c>
      <c r="D502" t="inlineStr">
        <is>
          <t>UPPSALA LÄN</t>
        </is>
      </c>
      <c r="E502" t="inlineStr">
        <is>
          <t>ENKÖPING</t>
        </is>
      </c>
      <c r="G502" t="n">
        <v>3.8</v>
      </c>
      <c r="H502" t="n">
        <v>0</v>
      </c>
      <c r="I502" t="n">
        <v>0</v>
      </c>
      <c r="J502" t="n">
        <v>0</v>
      </c>
      <c r="K502" t="n">
        <v>0</v>
      </c>
      <c r="L502" t="n">
        <v>0</v>
      </c>
      <c r="M502" t="n">
        <v>0</v>
      </c>
      <c r="N502" t="n">
        <v>0</v>
      </c>
      <c r="O502" t="n">
        <v>0</v>
      </c>
      <c r="P502" t="n">
        <v>0</v>
      </c>
      <c r="Q502" t="n">
        <v>0</v>
      </c>
      <c r="R502" s="2" t="inlineStr"/>
    </row>
    <row r="503" ht="15" customHeight="1">
      <c r="A503" t="inlineStr">
        <is>
          <t>A 32031-2025</t>
        </is>
      </c>
      <c r="B503" s="1" t="n">
        <v>45835.41712962963</v>
      </c>
      <c r="C503" s="1" t="n">
        <v>46085</v>
      </c>
      <c r="D503" t="inlineStr">
        <is>
          <t>UPPSALA LÄN</t>
        </is>
      </c>
      <c r="E503" t="inlineStr">
        <is>
          <t>ENKÖPING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32111-2025</t>
        </is>
      </c>
      <c r="B504" s="1" t="n">
        <v>45835</v>
      </c>
      <c r="C504" s="1" t="n">
        <v>46085</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15740-2025</t>
        </is>
      </c>
      <c r="B505" s="1" t="n">
        <v>45748</v>
      </c>
      <c r="C505" s="1" t="n">
        <v>46085</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57848-2024</t>
        </is>
      </c>
      <c r="B506" s="1" t="n">
        <v>45631.40947916666</v>
      </c>
      <c r="C506" s="1" t="n">
        <v>46085</v>
      </c>
      <c r="D506" t="inlineStr">
        <is>
          <t>UPPSALA LÄN</t>
        </is>
      </c>
      <c r="E506" t="inlineStr">
        <is>
          <t>ENKÖPING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18994-2025</t>
        </is>
      </c>
      <c r="B507" s="1" t="n">
        <v>45764.57350694444</v>
      </c>
      <c r="C507" s="1" t="n">
        <v>46085</v>
      </c>
      <c r="D507" t="inlineStr">
        <is>
          <t>UPPSALA LÄN</t>
        </is>
      </c>
      <c r="E507" t="inlineStr">
        <is>
          <t>ENKÖPING</t>
        </is>
      </c>
      <c r="G507" t="n">
        <v>3.8</v>
      </c>
      <c r="H507" t="n">
        <v>0</v>
      </c>
      <c r="I507" t="n">
        <v>0</v>
      </c>
      <c r="J507" t="n">
        <v>0</v>
      </c>
      <c r="K507" t="n">
        <v>0</v>
      </c>
      <c r="L507" t="n">
        <v>0</v>
      </c>
      <c r="M507" t="n">
        <v>0</v>
      </c>
      <c r="N507" t="n">
        <v>0</v>
      </c>
      <c r="O507" t="n">
        <v>0</v>
      </c>
      <c r="P507" t="n">
        <v>0</v>
      </c>
      <c r="Q507" t="n">
        <v>0</v>
      </c>
      <c r="R507" s="2" t="inlineStr"/>
    </row>
    <row r="508" ht="15" customHeight="1">
      <c r="A508" t="inlineStr">
        <is>
          <t>A 49601-2024</t>
        </is>
      </c>
      <c r="B508" s="1" t="n">
        <v>45596.56288194445</v>
      </c>
      <c r="C508" s="1" t="n">
        <v>46085</v>
      </c>
      <c r="D508" t="inlineStr">
        <is>
          <t>UPPSALA LÄN</t>
        </is>
      </c>
      <c r="E508" t="inlineStr">
        <is>
          <t>ENKÖPING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17844-2025</t>
        </is>
      </c>
      <c r="B509" s="1" t="n">
        <v>45758.59920138889</v>
      </c>
      <c r="C509" s="1" t="n">
        <v>46085</v>
      </c>
      <c r="D509" t="inlineStr">
        <is>
          <t>UPPSALA LÄN</t>
        </is>
      </c>
      <c r="E509" t="inlineStr">
        <is>
          <t>ENKÖPING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27837-2025</t>
        </is>
      </c>
      <c r="B510" s="1" t="n">
        <v>45817.37207175926</v>
      </c>
      <c r="C510" s="1" t="n">
        <v>46085</v>
      </c>
      <c r="D510" t="inlineStr">
        <is>
          <t>UPPSALA LÄN</t>
        </is>
      </c>
      <c r="E510" t="inlineStr">
        <is>
          <t>ENKÖPING</t>
        </is>
      </c>
      <c r="G510" t="n">
        <v>7.3</v>
      </c>
      <c r="H510" t="n">
        <v>0</v>
      </c>
      <c r="I510" t="n">
        <v>0</v>
      </c>
      <c r="J510" t="n">
        <v>0</v>
      </c>
      <c r="K510" t="n">
        <v>0</v>
      </c>
      <c r="L510" t="n">
        <v>0</v>
      </c>
      <c r="M510" t="n">
        <v>0</v>
      </c>
      <c r="N510" t="n">
        <v>0</v>
      </c>
      <c r="O510" t="n">
        <v>0</v>
      </c>
      <c r="P510" t="n">
        <v>0</v>
      </c>
      <c r="Q510" t="n">
        <v>0</v>
      </c>
      <c r="R510" s="2" t="inlineStr"/>
    </row>
    <row r="511" ht="15" customHeight="1">
      <c r="A511" t="inlineStr">
        <is>
          <t>A 29513-2025</t>
        </is>
      </c>
      <c r="B511" s="1" t="n">
        <v>45825</v>
      </c>
      <c r="C511" s="1" t="n">
        <v>46085</v>
      </c>
      <c r="D511" t="inlineStr">
        <is>
          <t>UPPSALA LÄN</t>
        </is>
      </c>
      <c r="E511" t="inlineStr">
        <is>
          <t>ENKÖPING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21501-2025</t>
        </is>
      </c>
      <c r="B512" s="1" t="n">
        <v>45782</v>
      </c>
      <c r="C512" s="1" t="n">
        <v>46085</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34987-2025</t>
        </is>
      </c>
      <c r="B513" s="1" t="n">
        <v>45849</v>
      </c>
      <c r="C513" s="1" t="n">
        <v>46085</v>
      </c>
      <c r="D513" t="inlineStr">
        <is>
          <t>UPPSALA LÄN</t>
        </is>
      </c>
      <c r="E513" t="inlineStr">
        <is>
          <t>ENKÖPING</t>
        </is>
      </c>
      <c r="G513" t="n">
        <v>2.2</v>
      </c>
      <c r="H513" t="n">
        <v>0</v>
      </c>
      <c r="I513" t="n">
        <v>0</v>
      </c>
      <c r="J513" t="n">
        <v>0</v>
      </c>
      <c r="K513" t="n">
        <v>0</v>
      </c>
      <c r="L513" t="n">
        <v>0</v>
      </c>
      <c r="M513" t="n">
        <v>0</v>
      </c>
      <c r="N513" t="n">
        <v>0</v>
      </c>
      <c r="O513" t="n">
        <v>0</v>
      </c>
      <c r="P513" t="n">
        <v>0</v>
      </c>
      <c r="Q513" t="n">
        <v>0</v>
      </c>
      <c r="R513" s="2" t="inlineStr"/>
    </row>
    <row r="514" ht="15" customHeight="1">
      <c r="A514" t="inlineStr">
        <is>
          <t>A 34988-2025</t>
        </is>
      </c>
      <c r="B514" s="1" t="n">
        <v>45849</v>
      </c>
      <c r="C514" s="1" t="n">
        <v>46085</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36350-2025</t>
        </is>
      </c>
      <c r="B515" s="1" t="n">
        <v>45868</v>
      </c>
      <c r="C515" s="1" t="n">
        <v>46085</v>
      </c>
      <c r="D515" t="inlineStr">
        <is>
          <t>UPPSALA LÄN</t>
        </is>
      </c>
      <c r="E515" t="inlineStr">
        <is>
          <t>ENKÖPING</t>
        </is>
      </c>
      <c r="G515" t="n">
        <v>1.9</v>
      </c>
      <c r="H515" t="n">
        <v>0</v>
      </c>
      <c r="I515" t="n">
        <v>0</v>
      </c>
      <c r="J515" t="n">
        <v>0</v>
      </c>
      <c r="K515" t="n">
        <v>0</v>
      </c>
      <c r="L515" t="n">
        <v>0</v>
      </c>
      <c r="M515" t="n">
        <v>0</v>
      </c>
      <c r="N515" t="n">
        <v>0</v>
      </c>
      <c r="O515" t="n">
        <v>0</v>
      </c>
      <c r="P515" t="n">
        <v>0</v>
      </c>
      <c r="Q515" t="n">
        <v>0</v>
      </c>
      <c r="R515" s="2" t="inlineStr"/>
    </row>
    <row r="516" ht="15" customHeight="1">
      <c r="A516" t="inlineStr">
        <is>
          <t>A 36599-2025</t>
        </is>
      </c>
      <c r="B516" s="1" t="n">
        <v>45870.51723379629</v>
      </c>
      <c r="C516" s="1" t="n">
        <v>46085</v>
      </c>
      <c r="D516" t="inlineStr">
        <is>
          <t>UPPSALA LÄN</t>
        </is>
      </c>
      <c r="E516" t="inlineStr">
        <is>
          <t>ENKÖPING</t>
        </is>
      </c>
      <c r="G516" t="n">
        <v>5.9</v>
      </c>
      <c r="H516" t="n">
        <v>0</v>
      </c>
      <c r="I516" t="n">
        <v>0</v>
      </c>
      <c r="J516" t="n">
        <v>0</v>
      </c>
      <c r="K516" t="n">
        <v>0</v>
      </c>
      <c r="L516" t="n">
        <v>0</v>
      </c>
      <c r="M516" t="n">
        <v>0</v>
      </c>
      <c r="N516" t="n">
        <v>0</v>
      </c>
      <c r="O516" t="n">
        <v>0</v>
      </c>
      <c r="P516" t="n">
        <v>0</v>
      </c>
      <c r="Q516" t="n">
        <v>0</v>
      </c>
      <c r="R516" s="2" t="inlineStr"/>
    </row>
    <row r="517" ht="15" customHeight="1">
      <c r="A517" t="inlineStr">
        <is>
          <t>A 36492-2025</t>
        </is>
      </c>
      <c r="B517" s="1" t="n">
        <v>45869</v>
      </c>
      <c r="C517" s="1" t="n">
        <v>46085</v>
      </c>
      <c r="D517" t="inlineStr">
        <is>
          <t>UPPSALA LÄN</t>
        </is>
      </c>
      <c r="E517" t="inlineStr">
        <is>
          <t>ENKÖPING</t>
        </is>
      </c>
      <c r="G517" t="n">
        <v>6.3</v>
      </c>
      <c r="H517" t="n">
        <v>0</v>
      </c>
      <c r="I517" t="n">
        <v>0</v>
      </c>
      <c r="J517" t="n">
        <v>0</v>
      </c>
      <c r="K517" t="n">
        <v>0</v>
      </c>
      <c r="L517" t="n">
        <v>0</v>
      </c>
      <c r="M517" t="n">
        <v>0</v>
      </c>
      <c r="N517" t="n">
        <v>0</v>
      </c>
      <c r="O517" t="n">
        <v>0</v>
      </c>
      <c r="P517" t="n">
        <v>0</v>
      </c>
      <c r="Q517" t="n">
        <v>0</v>
      </c>
      <c r="R517" s="2" t="inlineStr"/>
    </row>
    <row r="518" ht="15" customHeight="1">
      <c r="A518" t="inlineStr">
        <is>
          <t>A 37319-2025</t>
        </is>
      </c>
      <c r="B518" s="1" t="n">
        <v>45876</v>
      </c>
      <c r="C518" s="1" t="n">
        <v>46085</v>
      </c>
      <c r="D518" t="inlineStr">
        <is>
          <t>UPPSALA LÄN</t>
        </is>
      </c>
      <c r="E518" t="inlineStr">
        <is>
          <t>ENKÖPING</t>
        </is>
      </c>
      <c r="G518" t="n">
        <v>9.5</v>
      </c>
      <c r="H518" t="n">
        <v>0</v>
      </c>
      <c r="I518" t="n">
        <v>0</v>
      </c>
      <c r="J518" t="n">
        <v>0</v>
      </c>
      <c r="K518" t="n">
        <v>0</v>
      </c>
      <c r="L518" t="n">
        <v>0</v>
      </c>
      <c r="M518" t="n">
        <v>0</v>
      </c>
      <c r="N518" t="n">
        <v>0</v>
      </c>
      <c r="O518" t="n">
        <v>0</v>
      </c>
      <c r="P518" t="n">
        <v>0</v>
      </c>
      <c r="Q518" t="n">
        <v>0</v>
      </c>
      <c r="R518" s="2" t="inlineStr"/>
    </row>
    <row r="519" ht="15" customHeight="1">
      <c r="A519" t="inlineStr">
        <is>
          <t>A 37296-2025</t>
        </is>
      </c>
      <c r="B519" s="1" t="n">
        <v>45876</v>
      </c>
      <c r="C519" s="1" t="n">
        <v>46085</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37498-2025</t>
        </is>
      </c>
      <c r="B520" s="1" t="n">
        <v>45877</v>
      </c>
      <c r="C520" s="1" t="n">
        <v>46085</v>
      </c>
      <c r="D520" t="inlineStr">
        <is>
          <t>UPPSALA LÄN</t>
        </is>
      </c>
      <c r="E520" t="inlineStr">
        <is>
          <t>ENKÖPING</t>
        </is>
      </c>
      <c r="G520" t="n">
        <v>1.2</v>
      </c>
      <c r="H520" t="n">
        <v>0</v>
      </c>
      <c r="I520" t="n">
        <v>0</v>
      </c>
      <c r="J520" t="n">
        <v>0</v>
      </c>
      <c r="K520" t="n">
        <v>0</v>
      </c>
      <c r="L520" t="n">
        <v>0</v>
      </c>
      <c r="M520" t="n">
        <v>0</v>
      </c>
      <c r="N520" t="n">
        <v>0</v>
      </c>
      <c r="O520" t="n">
        <v>0</v>
      </c>
      <c r="P520" t="n">
        <v>0</v>
      </c>
      <c r="Q520" t="n">
        <v>0</v>
      </c>
      <c r="R520" s="2" t="inlineStr"/>
    </row>
    <row r="521">
      <c r="A521" t="inlineStr">
        <is>
          <t>A 49622-2024</t>
        </is>
      </c>
      <c r="B521" s="1" t="n">
        <v>45596.58372685185</v>
      </c>
      <c r="C521" s="1" t="n">
        <v>46085</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2026-03-04T11:13:28Z</dcterms:created>
  <dcterms:modified xmlns:dcterms="http://purl.org/dc/terms/" xmlns:xsi="http://www.w3.org/2001/XMLSchema-instance" xsi:type="dcterms:W3CDTF">2026-03-04T11:13:28Z</dcterms:modified>
</cp:coreProperties>
</file>