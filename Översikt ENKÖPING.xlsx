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1988-2022</t>
        </is>
      </c>
      <c r="B5" s="1" t="n">
        <v>44575</v>
      </c>
      <c r="C5" s="1" t="n">
        <v>45881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45881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68998-2021</t>
        </is>
      </c>
      <c r="B7" s="1" t="n">
        <v>44530</v>
      </c>
      <c r="C7" s="1" t="n">
        <v>45881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45881</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45881</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45881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45881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45881</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45881</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27073-2025</t>
        </is>
      </c>
      <c r="B17" s="1" t="n">
        <v>45811.64190972222</v>
      </c>
      <c r="C17" s="1" t="n">
        <v>45881</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45881</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23385-2021</t>
        </is>
      </c>
      <c r="B19" s="1" t="n">
        <v>44333.6091087963</v>
      </c>
      <c r="C19" s="1" t="n">
        <v>45881</v>
      </c>
      <c r="D19" t="inlineStr">
        <is>
          <t>UPPSALA LÄN</t>
        </is>
      </c>
      <c r="E19" t="inlineStr">
        <is>
          <t>ENKÖPING</t>
        </is>
      </c>
      <c r="G19" t="n">
        <v>0.7</v>
      </c>
      <c r="H19" t="n">
        <v>1</v>
      </c>
      <c r="I19" t="n">
        <v>0</v>
      </c>
      <c r="J19" t="n">
        <v>1</v>
      </c>
      <c r="K19" t="n">
        <v>0</v>
      </c>
      <c r="L19" t="n">
        <v>0</v>
      </c>
      <c r="M19" t="n">
        <v>0</v>
      </c>
      <c r="N19" t="n">
        <v>0</v>
      </c>
      <c r="O19" t="n">
        <v>1</v>
      </c>
      <c r="P19" t="n">
        <v>0</v>
      </c>
      <c r="Q19" t="n">
        <v>1</v>
      </c>
      <c r="R19" s="2" t="inlineStr">
        <is>
          <t>Talltita</t>
        </is>
      </c>
      <c r="S19">
        <f>HYPERLINK("https://klasma.github.io/Logging_0381/artfynd/A 23385-2021 artfynd.xlsx", "A 23385-2021")</f>
        <v/>
      </c>
      <c r="T19">
        <f>HYPERLINK("https://klasma.github.io/Logging_0381/kartor/A 23385-2021 karta.png", "A 23385-2021")</f>
        <v/>
      </c>
      <c r="V19">
        <f>HYPERLINK("https://klasma.github.io/Logging_0381/klagomål/A 23385-2021 FSC-klagomål.docx", "A 23385-2021")</f>
        <v/>
      </c>
      <c r="W19">
        <f>HYPERLINK("https://klasma.github.io/Logging_0381/klagomålsmail/A 23385-2021 FSC-klagomål mail.docx", "A 23385-2021")</f>
        <v/>
      </c>
      <c r="X19">
        <f>HYPERLINK("https://klasma.github.io/Logging_0381/tillsyn/A 23385-2021 tillsynsbegäran.docx", "A 23385-2021")</f>
        <v/>
      </c>
      <c r="Y19">
        <f>HYPERLINK("https://klasma.github.io/Logging_0381/tillsynsmail/A 23385-2021 tillsynsbegäran mail.docx", "A 23385-2021")</f>
        <v/>
      </c>
      <c r="Z19">
        <f>HYPERLINK("https://klasma.github.io/Logging_0381/fåglar/A 23385-2021 prioriterade fågelarter.docx", "A 23385-2021")</f>
        <v/>
      </c>
    </row>
    <row r="20" ht="15" customHeight="1">
      <c r="A20" t="inlineStr">
        <is>
          <t>A 74028-2021</t>
        </is>
      </c>
      <c r="B20" s="1" t="n">
        <v>44557.4596875</v>
      </c>
      <c r="C20" s="1" t="n">
        <v>45881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1524-2023</t>
        </is>
      </c>
      <c r="B21" s="1" t="n">
        <v>44935</v>
      </c>
      <c r="C21" s="1" t="n">
        <v>45881</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Skogsduva</t>
        </is>
      </c>
      <c r="S21">
        <f>HYPERLINK("https://klasma.github.io/Logging_0381/artfynd/A 1524-2023 artfynd.xlsx", "A 1524-2023")</f>
        <v/>
      </c>
      <c r="T21">
        <f>HYPERLINK("https://klasma.github.io/Logging_0381/kartor/A 1524-2023 karta.png", "A 1524-2023")</f>
        <v/>
      </c>
      <c r="V21">
        <f>HYPERLINK("https://klasma.github.io/Logging_0381/klagomål/A 1524-2023 FSC-klagomål.docx", "A 1524-2023")</f>
        <v/>
      </c>
      <c r="W21">
        <f>HYPERLINK("https://klasma.github.io/Logging_0381/klagomålsmail/A 1524-2023 FSC-klagomål mail.docx", "A 1524-2023")</f>
        <v/>
      </c>
      <c r="X21">
        <f>HYPERLINK("https://klasma.github.io/Logging_0381/tillsyn/A 1524-2023 tillsynsbegäran.docx", "A 1524-2023")</f>
        <v/>
      </c>
      <c r="Y21">
        <f>HYPERLINK("https://klasma.github.io/Logging_0381/tillsynsmail/A 1524-2023 tillsynsbegäran mail.docx", "A 1524-2023")</f>
        <v/>
      </c>
      <c r="Z21">
        <f>HYPERLINK("https://klasma.github.io/Logging_0381/fåglar/A 1524-2023 prioriterade fågelarter.docx", "A 1524-2023")</f>
        <v/>
      </c>
    </row>
    <row r="22" ht="15" customHeight="1">
      <c r="A22" t="inlineStr">
        <is>
          <t>A 46749-2024</t>
        </is>
      </c>
      <c r="B22" s="1" t="n">
        <v>45583.48347222222</v>
      </c>
      <c r="C22" s="1" t="n">
        <v>45881</v>
      </c>
      <c r="D22" t="inlineStr">
        <is>
          <t>UPPSALA LÄN</t>
        </is>
      </c>
      <c r="E22" t="inlineStr">
        <is>
          <t>ENKÖPING</t>
        </is>
      </c>
      <c r="G22" t="n">
        <v>8.5</v>
      </c>
      <c r="H22" t="n">
        <v>0</v>
      </c>
      <c r="I22" t="n">
        <v>0</v>
      </c>
      <c r="J22" t="n">
        <v>1</v>
      </c>
      <c r="K22" t="n">
        <v>0</v>
      </c>
      <c r="L22" t="n">
        <v>0</v>
      </c>
      <c r="M22" t="n">
        <v>0</v>
      </c>
      <c r="N22" t="n">
        <v>0</v>
      </c>
      <c r="O22" t="n">
        <v>1</v>
      </c>
      <c r="P22" t="n">
        <v>0</v>
      </c>
      <c r="Q22" t="n">
        <v>1</v>
      </c>
      <c r="R22" s="2" t="inlineStr">
        <is>
          <t>Leptoporus erubescens</t>
        </is>
      </c>
      <c r="S22">
        <f>HYPERLINK("https://klasma.github.io/Logging_0381/artfynd/A 46749-2024 artfynd.xlsx", "A 46749-2024")</f>
        <v/>
      </c>
      <c r="T22">
        <f>HYPERLINK("https://klasma.github.io/Logging_0381/kartor/A 46749-2024 karta.png", "A 46749-2024")</f>
        <v/>
      </c>
      <c r="V22">
        <f>HYPERLINK("https://klasma.github.io/Logging_0381/klagomål/A 46749-2024 FSC-klagomål.docx", "A 46749-2024")</f>
        <v/>
      </c>
      <c r="W22">
        <f>HYPERLINK("https://klasma.github.io/Logging_0381/klagomålsmail/A 46749-2024 FSC-klagomål mail.docx", "A 46749-2024")</f>
        <v/>
      </c>
      <c r="X22">
        <f>HYPERLINK("https://klasma.github.io/Logging_0381/tillsyn/A 46749-2024 tillsynsbegäran.docx", "A 46749-2024")</f>
        <v/>
      </c>
      <c r="Y22">
        <f>HYPERLINK("https://klasma.github.io/Logging_0381/tillsynsmail/A 46749-2024 tillsynsbegäran mail.docx", "A 46749-2024")</f>
        <v/>
      </c>
    </row>
    <row r="23" ht="15" customHeight="1">
      <c r="A23" t="inlineStr">
        <is>
          <t>A 33339-2024</t>
        </is>
      </c>
      <c r="B23" s="1" t="n">
        <v>45519</v>
      </c>
      <c r="C23" s="1" t="n">
        <v>45881</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23961-2022</t>
        </is>
      </c>
      <c r="B24" s="1" t="n">
        <v>44722</v>
      </c>
      <c r="C24" s="1" t="n">
        <v>45881</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45881</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45881</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21970-2025</t>
        </is>
      </c>
      <c r="B27" s="1" t="n">
        <v>45784.63335648148</v>
      </c>
      <c r="C27" s="1" t="n">
        <v>45881</v>
      </c>
      <c r="D27" t="inlineStr">
        <is>
          <t>UPPSALA LÄN</t>
        </is>
      </c>
      <c r="E27" t="inlineStr">
        <is>
          <t>ENKÖPING</t>
        </is>
      </c>
      <c r="G27" t="n">
        <v>5.3</v>
      </c>
      <c r="H27" t="n">
        <v>1</v>
      </c>
      <c r="I27" t="n">
        <v>0</v>
      </c>
      <c r="J27" t="n">
        <v>0</v>
      </c>
      <c r="K27" t="n">
        <v>0</v>
      </c>
      <c r="L27" t="n">
        <v>0</v>
      </c>
      <c r="M27" t="n">
        <v>0</v>
      </c>
      <c r="N27" t="n">
        <v>0</v>
      </c>
      <c r="O27" t="n">
        <v>0</v>
      </c>
      <c r="P27" t="n">
        <v>0</v>
      </c>
      <c r="Q27" t="n">
        <v>1</v>
      </c>
      <c r="R27" s="2" t="inlineStr">
        <is>
          <t>Blåsippa</t>
        </is>
      </c>
      <c r="S27">
        <f>HYPERLINK("https://klasma.github.io/Logging_0381/artfynd/A 21970-2025 artfynd.xlsx", "A 21970-2025")</f>
        <v/>
      </c>
      <c r="T27">
        <f>HYPERLINK("https://klasma.github.io/Logging_0381/kartor/A 21970-2025 karta.png", "A 21970-2025")</f>
        <v/>
      </c>
      <c r="V27">
        <f>HYPERLINK("https://klasma.github.io/Logging_0381/klagomål/A 21970-2025 FSC-klagomål.docx", "A 21970-2025")</f>
        <v/>
      </c>
      <c r="W27">
        <f>HYPERLINK("https://klasma.github.io/Logging_0381/klagomålsmail/A 21970-2025 FSC-klagomål mail.docx", "A 21970-2025")</f>
        <v/>
      </c>
      <c r="X27">
        <f>HYPERLINK("https://klasma.github.io/Logging_0381/tillsyn/A 21970-2025 tillsynsbegäran.docx", "A 21970-2025")</f>
        <v/>
      </c>
      <c r="Y27">
        <f>HYPERLINK("https://klasma.github.io/Logging_0381/tillsynsmail/A 21970-2025 tillsynsbegäran mail.docx", "A 21970-2025")</f>
        <v/>
      </c>
    </row>
    <row r="28" ht="15" customHeight="1">
      <c r="A28" t="inlineStr">
        <is>
          <t>A 11015-2025</t>
        </is>
      </c>
      <c r="B28" s="1" t="n">
        <v>45723.46288194445</v>
      </c>
      <c r="C28" s="1" t="n">
        <v>45881</v>
      </c>
      <c r="D28" t="inlineStr">
        <is>
          <t>UPPSALA LÄN</t>
        </is>
      </c>
      <c r="E28" t="inlineStr">
        <is>
          <t>ENKÖPING</t>
        </is>
      </c>
      <c r="G28" t="n">
        <v>1.3</v>
      </c>
      <c r="H28" t="n">
        <v>0</v>
      </c>
      <c r="I28" t="n">
        <v>1</v>
      </c>
      <c r="J28" t="n">
        <v>0</v>
      </c>
      <c r="K28" t="n">
        <v>0</v>
      </c>
      <c r="L28" t="n">
        <v>0</v>
      </c>
      <c r="M28" t="n">
        <v>0</v>
      </c>
      <c r="N28" t="n">
        <v>0</v>
      </c>
      <c r="O28" t="n">
        <v>0</v>
      </c>
      <c r="P28" t="n">
        <v>0</v>
      </c>
      <c r="Q28" t="n">
        <v>1</v>
      </c>
      <c r="R28" s="2" t="inlineStr">
        <is>
          <t>Svart trolldruva</t>
        </is>
      </c>
      <c r="S28">
        <f>HYPERLINK("https://klasma.github.io/Logging_0381/artfynd/A 11015-2025 artfynd.xlsx", "A 11015-2025")</f>
        <v/>
      </c>
      <c r="T28">
        <f>HYPERLINK("https://klasma.github.io/Logging_0381/kartor/A 11015-2025 karta.png", "A 11015-2025")</f>
        <v/>
      </c>
      <c r="V28">
        <f>HYPERLINK("https://klasma.github.io/Logging_0381/klagomål/A 11015-2025 FSC-klagomål.docx", "A 11015-2025")</f>
        <v/>
      </c>
      <c r="W28">
        <f>HYPERLINK("https://klasma.github.io/Logging_0381/klagomålsmail/A 11015-2025 FSC-klagomål mail.docx", "A 11015-2025")</f>
        <v/>
      </c>
      <c r="X28">
        <f>HYPERLINK("https://klasma.github.io/Logging_0381/tillsyn/A 11015-2025 tillsynsbegäran.docx", "A 11015-2025")</f>
        <v/>
      </c>
      <c r="Y28">
        <f>HYPERLINK("https://klasma.github.io/Logging_0381/tillsynsmail/A 11015-2025 tillsynsbegäran mail.docx", "A 11015-2025")</f>
        <v/>
      </c>
    </row>
    <row r="29" ht="15" customHeight="1">
      <c r="A29" t="inlineStr">
        <is>
          <t>A 11018-2025</t>
        </is>
      </c>
      <c r="B29" s="1" t="n">
        <v>45723.46591435185</v>
      </c>
      <c r="C29" s="1" t="n">
        <v>45881</v>
      </c>
      <c r="D29" t="inlineStr">
        <is>
          <t>UPPSALA LÄN</t>
        </is>
      </c>
      <c r="E29" t="inlineStr">
        <is>
          <t>ENKÖPING</t>
        </is>
      </c>
      <c r="G29" t="n">
        <v>1.6</v>
      </c>
      <c r="H29" t="n">
        <v>0</v>
      </c>
      <c r="I29" t="n">
        <v>0</v>
      </c>
      <c r="J29" t="n">
        <v>0</v>
      </c>
      <c r="K29" t="n">
        <v>0</v>
      </c>
      <c r="L29" t="n">
        <v>1</v>
      </c>
      <c r="M29" t="n">
        <v>0</v>
      </c>
      <c r="N29" t="n">
        <v>0</v>
      </c>
      <c r="O29" t="n">
        <v>1</v>
      </c>
      <c r="P29" t="n">
        <v>1</v>
      </c>
      <c r="Q29" t="n">
        <v>1</v>
      </c>
      <c r="R29" s="2" t="inlineStr">
        <is>
          <t>Ask</t>
        </is>
      </c>
      <c r="S29">
        <f>HYPERLINK("https://klasma.github.io/Logging_0381/artfynd/A 11018-2025 artfynd.xlsx", "A 11018-2025")</f>
        <v/>
      </c>
      <c r="T29">
        <f>HYPERLINK("https://klasma.github.io/Logging_0381/kartor/A 11018-2025 karta.png", "A 11018-2025")</f>
        <v/>
      </c>
      <c r="V29">
        <f>HYPERLINK("https://klasma.github.io/Logging_0381/klagomål/A 11018-2025 FSC-klagomål.docx", "A 11018-2025")</f>
        <v/>
      </c>
      <c r="W29">
        <f>HYPERLINK("https://klasma.github.io/Logging_0381/klagomålsmail/A 11018-2025 FSC-klagomål mail.docx", "A 11018-2025")</f>
        <v/>
      </c>
      <c r="X29">
        <f>HYPERLINK("https://klasma.github.io/Logging_0381/tillsyn/A 11018-2025 tillsynsbegäran.docx", "A 11018-2025")</f>
        <v/>
      </c>
      <c r="Y29">
        <f>HYPERLINK("https://klasma.github.io/Logging_0381/tillsynsmail/A 11018-2025 tillsynsbegäran mail.docx", "A 11018-2025")</f>
        <v/>
      </c>
    </row>
    <row r="30" ht="15" customHeight="1">
      <c r="A30" t="inlineStr">
        <is>
          <t>A 45116-2023</t>
        </is>
      </c>
      <c r="B30" s="1" t="n">
        <v>45191</v>
      </c>
      <c r="C30" s="1" t="n">
        <v>45881</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26347-2025</t>
        </is>
      </c>
      <c r="B31" s="1" t="n">
        <v>45805.7403125</v>
      </c>
      <c r="C31" s="1" t="n">
        <v>45881</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45881</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29510-2025</t>
        </is>
      </c>
      <c r="B33" s="1" t="n">
        <v>45825</v>
      </c>
      <c r="C33" s="1" t="n">
        <v>45881</v>
      </c>
      <c r="D33" t="inlineStr">
        <is>
          <t>UPPSALA LÄN</t>
        </is>
      </c>
      <c r="E33" t="inlineStr">
        <is>
          <t>ENKÖPING</t>
        </is>
      </c>
      <c r="G33" t="n">
        <v>2.4</v>
      </c>
      <c r="H33" t="n">
        <v>0</v>
      </c>
      <c r="I33" t="n">
        <v>0</v>
      </c>
      <c r="J33" t="n">
        <v>0</v>
      </c>
      <c r="K33" t="n">
        <v>1</v>
      </c>
      <c r="L33" t="n">
        <v>0</v>
      </c>
      <c r="M33" t="n">
        <v>0</v>
      </c>
      <c r="N33" t="n">
        <v>0</v>
      </c>
      <c r="O33" t="n">
        <v>1</v>
      </c>
      <c r="P33" t="n">
        <v>1</v>
      </c>
      <c r="Q33" t="n">
        <v>1</v>
      </c>
      <c r="R33" s="2" t="inlineStr">
        <is>
          <t>Toppjungfrulin</t>
        </is>
      </c>
      <c r="S33">
        <f>HYPERLINK("https://klasma.github.io/Logging_0381/artfynd/A 29510-2025 artfynd.xlsx", "A 29510-2025")</f>
        <v/>
      </c>
      <c r="T33">
        <f>HYPERLINK("https://klasma.github.io/Logging_0381/kartor/A 29510-2025 karta.png", "A 29510-2025")</f>
        <v/>
      </c>
      <c r="V33">
        <f>HYPERLINK("https://klasma.github.io/Logging_0381/klagomål/A 29510-2025 FSC-klagomål.docx", "A 29510-2025")</f>
        <v/>
      </c>
      <c r="W33">
        <f>HYPERLINK("https://klasma.github.io/Logging_0381/klagomålsmail/A 29510-2025 FSC-klagomål mail.docx", "A 29510-2025")</f>
        <v/>
      </c>
      <c r="X33">
        <f>HYPERLINK("https://klasma.github.io/Logging_0381/tillsyn/A 29510-2025 tillsynsbegäran.docx", "A 29510-2025")</f>
        <v/>
      </c>
      <c r="Y33">
        <f>HYPERLINK("https://klasma.github.io/Logging_0381/tillsynsmail/A 29510-2025 tillsynsbegäran mail.docx", "A 29510-2025")</f>
        <v/>
      </c>
    </row>
    <row r="34" ht="15" customHeight="1">
      <c r="A34" t="inlineStr">
        <is>
          <t>A 16683-2021</t>
        </is>
      </c>
      <c r="B34" s="1" t="n">
        <v>44294.58495370371</v>
      </c>
      <c r="C34" s="1" t="n">
        <v>45881</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45881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45881</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45881</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45881</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45881</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45881</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45881</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45881</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45881</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45881</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45881</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45881</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45881</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48362-2020</t>
        </is>
      </c>
      <c r="B48" s="1" t="n">
        <v>44102</v>
      </c>
      <c r="C48" s="1" t="n">
        <v>45881</v>
      </c>
      <c r="D48" t="inlineStr">
        <is>
          <t>UPPSALA LÄN</t>
        </is>
      </c>
      <c r="E48" t="inlineStr">
        <is>
          <t>ENKÖPING</t>
        </is>
      </c>
      <c r="G48" t="n">
        <v>2.4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45881</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45881</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45881</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45881</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10202-2022</t>
        </is>
      </c>
      <c r="B53" s="1" t="n">
        <v>44622</v>
      </c>
      <c r="C53" s="1" t="n">
        <v>45881</v>
      </c>
      <c r="D53" t="inlineStr">
        <is>
          <t>UPPSALA LÄN</t>
        </is>
      </c>
      <c r="E53" t="inlineStr">
        <is>
          <t>ENKÖPING</t>
        </is>
      </c>
      <c r="G53" t="n">
        <v>5.6</v>
      </c>
      <c r="H53" t="n">
        <v>0</v>
      </c>
      <c r="I53" t="n">
        <v>0</v>
      </c>
      <c r="J53" t="n">
        <v>0</v>
      </c>
      <c r="K53" t="n">
        <v>0</v>
      </c>
      <c r="L53" t="n">
        <v>0</v>
      </c>
      <c r="M53" t="n">
        <v>0</v>
      </c>
      <c r="N53" t="n">
        <v>0</v>
      </c>
      <c r="O53" t="n">
        <v>0</v>
      </c>
      <c r="P53" t="n">
        <v>0</v>
      </c>
      <c r="Q53" t="n">
        <v>0</v>
      </c>
      <c r="R53" s="2" t="inlineStr"/>
    </row>
    <row r="54" ht="15" customHeight="1">
      <c r="A54" t="inlineStr">
        <is>
          <t>A 10207-2022</t>
        </is>
      </c>
      <c r="B54" s="1" t="n">
        <v>44622</v>
      </c>
      <c r="C54" s="1" t="n">
        <v>45881</v>
      </c>
      <c r="D54" t="inlineStr">
        <is>
          <t>UPPSALA LÄN</t>
        </is>
      </c>
      <c r="E54" t="inlineStr">
        <is>
          <t>ENKÖPING</t>
        </is>
      </c>
      <c r="G54" t="n">
        <v>4.9</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45881</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45881</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45881</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45881</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45881</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45881</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45881</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16967-2022</t>
        </is>
      </c>
      <c r="B62" s="1" t="n">
        <v>44676</v>
      </c>
      <c r="C62" s="1" t="n">
        <v>45881</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498-2022</t>
        </is>
      </c>
      <c r="B63" s="1" t="n">
        <v>44566</v>
      </c>
      <c r="C63" s="1" t="n">
        <v>45881</v>
      </c>
      <c r="D63" t="inlineStr">
        <is>
          <t>UPPSALA LÄN</t>
        </is>
      </c>
      <c r="E63" t="inlineStr">
        <is>
          <t>ENKÖPING</t>
        </is>
      </c>
      <c r="F63" t="inlineStr">
        <is>
          <t>Övriga statliga verk och myndigheter</t>
        </is>
      </c>
      <c r="G63" t="n">
        <v>11.1</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45881</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45881</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45881</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45881</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45881</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45881</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29435-2022</t>
        </is>
      </c>
      <c r="B70" s="1" t="n">
        <v>44753.49215277778</v>
      </c>
      <c r="C70" s="1" t="n">
        <v>45881</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4775-2021</t>
        </is>
      </c>
      <c r="B71" s="1" t="n">
        <v>44225</v>
      </c>
      <c r="C71" s="1" t="n">
        <v>45881</v>
      </c>
      <c r="D71" t="inlineStr">
        <is>
          <t>UPPSALA LÄN</t>
        </is>
      </c>
      <c r="E71" t="inlineStr">
        <is>
          <t>ENKÖPING</t>
        </is>
      </c>
      <c r="F71" t="inlineStr">
        <is>
          <t>Allmännings- och besparingsskogar</t>
        </is>
      </c>
      <c r="G71" t="n">
        <v>3.5</v>
      </c>
      <c r="H71" t="n">
        <v>0</v>
      </c>
      <c r="I71" t="n">
        <v>0</v>
      </c>
      <c r="J71" t="n">
        <v>0</v>
      </c>
      <c r="K71" t="n">
        <v>0</v>
      </c>
      <c r="L71" t="n">
        <v>0</v>
      </c>
      <c r="M71" t="n">
        <v>0</v>
      </c>
      <c r="N71" t="n">
        <v>0</v>
      </c>
      <c r="O71" t="n">
        <v>0</v>
      </c>
      <c r="P71" t="n">
        <v>0</v>
      </c>
      <c r="Q71" t="n">
        <v>0</v>
      </c>
      <c r="R71" s="2" t="inlineStr"/>
    </row>
    <row r="72" ht="15" customHeight="1">
      <c r="A72" t="inlineStr">
        <is>
          <t>A 39473-2021</t>
        </is>
      </c>
      <c r="B72" s="1" t="n">
        <v>44414</v>
      </c>
      <c r="C72" s="1" t="n">
        <v>45881</v>
      </c>
      <c r="D72" t="inlineStr">
        <is>
          <t>UPPSALA LÄN</t>
        </is>
      </c>
      <c r="E72" t="inlineStr">
        <is>
          <t>ENKÖPING</t>
        </is>
      </c>
      <c r="G72" t="n">
        <v>3.2</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45881</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45881</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45881</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38005-2022</t>
        </is>
      </c>
      <c r="B76" s="1" t="n">
        <v>44810</v>
      </c>
      <c r="C76" s="1" t="n">
        <v>45881</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45881</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45881</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45881</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45881</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45881</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45881</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17264-2021</t>
        </is>
      </c>
      <c r="B83" s="1" t="n">
        <v>44298.56068287037</v>
      </c>
      <c r="C83" s="1" t="n">
        <v>45881</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17268-2021</t>
        </is>
      </c>
      <c r="B84" s="1" t="n">
        <v>44298.56302083333</v>
      </c>
      <c r="C84" s="1" t="n">
        <v>45881</v>
      </c>
      <c r="D84" t="inlineStr">
        <is>
          <t>UPPSALA LÄN</t>
        </is>
      </c>
      <c r="E84" t="inlineStr">
        <is>
          <t>ENKÖPING</t>
        </is>
      </c>
      <c r="G84" t="n">
        <v>0.4</v>
      </c>
      <c r="H84" t="n">
        <v>0</v>
      </c>
      <c r="I84" t="n">
        <v>0</v>
      </c>
      <c r="J84" t="n">
        <v>0</v>
      </c>
      <c r="K84" t="n">
        <v>0</v>
      </c>
      <c r="L84" t="n">
        <v>0</v>
      </c>
      <c r="M84" t="n">
        <v>0</v>
      </c>
      <c r="N84" t="n">
        <v>0</v>
      </c>
      <c r="O84" t="n">
        <v>0</v>
      </c>
      <c r="P84" t="n">
        <v>0</v>
      </c>
      <c r="Q84" t="n">
        <v>0</v>
      </c>
      <c r="R84" s="2" t="inlineStr"/>
    </row>
    <row r="85" ht="15" customHeight="1">
      <c r="A85" t="inlineStr">
        <is>
          <t>A 1979-2022</t>
        </is>
      </c>
      <c r="B85" s="1" t="n">
        <v>44575</v>
      </c>
      <c r="C85" s="1" t="n">
        <v>45881</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45881</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53352-2020</t>
        </is>
      </c>
      <c r="B87" s="1" t="n">
        <v>44123</v>
      </c>
      <c r="C87" s="1" t="n">
        <v>45881</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67713-2020</t>
        </is>
      </c>
      <c r="B88" s="1" t="n">
        <v>44182</v>
      </c>
      <c r="C88" s="1" t="n">
        <v>45881</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45881</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11688-2021</t>
        </is>
      </c>
      <c r="B90" s="1" t="n">
        <v>44264</v>
      </c>
      <c r="C90" s="1" t="n">
        <v>45881</v>
      </c>
      <c r="D90" t="inlineStr">
        <is>
          <t>UPPSALA LÄN</t>
        </is>
      </c>
      <c r="E90" t="inlineStr">
        <is>
          <t>ENKÖPING</t>
        </is>
      </c>
      <c r="G90" t="n">
        <v>4.7</v>
      </c>
      <c r="H90" t="n">
        <v>0</v>
      </c>
      <c r="I90" t="n">
        <v>0</v>
      </c>
      <c r="J90" t="n">
        <v>0</v>
      </c>
      <c r="K90" t="n">
        <v>0</v>
      </c>
      <c r="L90" t="n">
        <v>0</v>
      </c>
      <c r="M90" t="n">
        <v>0</v>
      </c>
      <c r="N90" t="n">
        <v>0</v>
      </c>
      <c r="O90" t="n">
        <v>0</v>
      </c>
      <c r="P90" t="n">
        <v>0</v>
      </c>
      <c r="Q90" t="n">
        <v>0</v>
      </c>
      <c r="R90" s="2" t="inlineStr"/>
    </row>
    <row r="91" ht="15" customHeight="1">
      <c r="A91" t="inlineStr">
        <is>
          <t>A 12538-2021</t>
        </is>
      </c>
      <c r="B91" s="1" t="n">
        <v>44269</v>
      </c>
      <c r="C91" s="1" t="n">
        <v>45881</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14839-2021</t>
        </is>
      </c>
      <c r="B92" s="1" t="n">
        <v>44280</v>
      </c>
      <c r="C92" s="1" t="n">
        <v>45881</v>
      </c>
      <c r="D92" t="inlineStr">
        <is>
          <t>UPPSALA LÄN</t>
        </is>
      </c>
      <c r="E92" t="inlineStr">
        <is>
          <t>ENKÖPING</t>
        </is>
      </c>
      <c r="G92" t="n">
        <v>11.4</v>
      </c>
      <c r="H92" t="n">
        <v>0</v>
      </c>
      <c r="I92" t="n">
        <v>0</v>
      </c>
      <c r="J92" t="n">
        <v>0</v>
      </c>
      <c r="K92" t="n">
        <v>0</v>
      </c>
      <c r="L92" t="n">
        <v>0</v>
      </c>
      <c r="M92" t="n">
        <v>0</v>
      </c>
      <c r="N92" t="n">
        <v>0</v>
      </c>
      <c r="O92" t="n">
        <v>0</v>
      </c>
      <c r="P92" t="n">
        <v>0</v>
      </c>
      <c r="Q92" t="n">
        <v>0</v>
      </c>
      <c r="R92" s="2" t="inlineStr"/>
    </row>
    <row r="93" ht="15" customHeight="1">
      <c r="A93" t="inlineStr">
        <is>
          <t>A 28795-2021</t>
        </is>
      </c>
      <c r="B93" s="1" t="n">
        <v>44357</v>
      </c>
      <c r="C93" s="1" t="n">
        <v>45881</v>
      </c>
      <c r="D93" t="inlineStr">
        <is>
          <t>UPPSALA LÄN</t>
        </is>
      </c>
      <c r="E93" t="inlineStr">
        <is>
          <t>ENKÖPING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15997-2021</t>
        </is>
      </c>
      <c r="B94" s="1" t="n">
        <v>44287</v>
      </c>
      <c r="C94" s="1" t="n">
        <v>45881</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68107-2021</t>
        </is>
      </c>
      <c r="B95" s="1" t="n">
        <v>44526</v>
      </c>
      <c r="C95" s="1" t="n">
        <v>45881</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42029-2021</t>
        </is>
      </c>
      <c r="B96" s="1" t="n">
        <v>44426</v>
      </c>
      <c r="C96" s="1" t="n">
        <v>45881</v>
      </c>
      <c r="D96" t="inlineStr">
        <is>
          <t>UPPSALA LÄN</t>
        </is>
      </c>
      <c r="E96" t="inlineStr">
        <is>
          <t>ENKÖPING</t>
        </is>
      </c>
      <c r="G96" t="n">
        <v>5.3</v>
      </c>
      <c r="H96" t="n">
        <v>0</v>
      </c>
      <c r="I96" t="n">
        <v>0</v>
      </c>
      <c r="J96" t="n">
        <v>0</v>
      </c>
      <c r="K96" t="n">
        <v>0</v>
      </c>
      <c r="L96" t="n">
        <v>0</v>
      </c>
      <c r="M96" t="n">
        <v>0</v>
      </c>
      <c r="N96" t="n">
        <v>0</v>
      </c>
      <c r="O96" t="n">
        <v>0</v>
      </c>
      <c r="P96" t="n">
        <v>0</v>
      </c>
      <c r="Q96" t="n">
        <v>0</v>
      </c>
      <c r="R96" s="2" t="inlineStr"/>
    </row>
    <row r="97" ht="15" customHeight="1">
      <c r="A97" t="inlineStr">
        <is>
          <t>A 42021-2021</t>
        </is>
      </c>
      <c r="B97" s="1" t="n">
        <v>44426</v>
      </c>
      <c r="C97" s="1" t="n">
        <v>45881</v>
      </c>
      <c r="D97" t="inlineStr">
        <is>
          <t>UPPSALA LÄN</t>
        </is>
      </c>
      <c r="E97" t="inlineStr">
        <is>
          <t>ENKÖPING</t>
        </is>
      </c>
      <c r="G97" t="n">
        <v>2.2</v>
      </c>
      <c r="H97" t="n">
        <v>0</v>
      </c>
      <c r="I97" t="n">
        <v>0</v>
      </c>
      <c r="J97" t="n">
        <v>0</v>
      </c>
      <c r="K97" t="n">
        <v>0</v>
      </c>
      <c r="L97" t="n">
        <v>0</v>
      </c>
      <c r="M97" t="n">
        <v>0</v>
      </c>
      <c r="N97" t="n">
        <v>0</v>
      </c>
      <c r="O97" t="n">
        <v>0</v>
      </c>
      <c r="P97" t="n">
        <v>0</v>
      </c>
      <c r="Q97" t="n">
        <v>0</v>
      </c>
      <c r="R97" s="2" t="inlineStr"/>
    </row>
    <row r="98" ht="15" customHeight="1">
      <c r="A98" t="inlineStr">
        <is>
          <t>A 17467-2022</t>
        </is>
      </c>
      <c r="B98" s="1" t="n">
        <v>44679</v>
      </c>
      <c r="C98" s="1" t="n">
        <v>45881</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69791-2021</t>
        </is>
      </c>
      <c r="B99" s="1" t="n">
        <v>44532</v>
      </c>
      <c r="C99" s="1" t="n">
        <v>45881</v>
      </c>
      <c r="D99" t="inlineStr">
        <is>
          <t>UPPSALA LÄN</t>
        </is>
      </c>
      <c r="E99" t="inlineStr">
        <is>
          <t>ENKÖPING</t>
        </is>
      </c>
      <c r="G99" t="n">
        <v>0.8</v>
      </c>
      <c r="H99" t="n">
        <v>0</v>
      </c>
      <c r="I99" t="n">
        <v>0</v>
      </c>
      <c r="J99" t="n">
        <v>0</v>
      </c>
      <c r="K99" t="n">
        <v>0</v>
      </c>
      <c r="L99" t="n">
        <v>0</v>
      </c>
      <c r="M99" t="n">
        <v>0</v>
      </c>
      <c r="N99" t="n">
        <v>0</v>
      </c>
      <c r="O99" t="n">
        <v>0</v>
      </c>
      <c r="P99" t="n">
        <v>0</v>
      </c>
      <c r="Q99" t="n">
        <v>0</v>
      </c>
      <c r="R99" s="2" t="inlineStr"/>
    </row>
    <row r="100" ht="15" customHeight="1">
      <c r="A100" t="inlineStr">
        <is>
          <t>A 49375-2021</t>
        </is>
      </c>
      <c r="B100" s="1" t="n">
        <v>44454</v>
      </c>
      <c r="C100" s="1" t="n">
        <v>45881</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1971-2022</t>
        </is>
      </c>
      <c r="B101" s="1" t="n">
        <v>44575</v>
      </c>
      <c r="C101" s="1" t="n">
        <v>45881</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45881</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20067-2021</t>
        </is>
      </c>
      <c r="B103" s="1" t="n">
        <v>44314</v>
      </c>
      <c r="C103" s="1" t="n">
        <v>45881</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45881</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15924-2022</t>
        </is>
      </c>
      <c r="B105" s="1" t="n">
        <v>44664</v>
      </c>
      <c r="C105" s="1" t="n">
        <v>45881</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15943-2022</t>
        </is>
      </c>
      <c r="B106" s="1" t="n">
        <v>44664.66428240741</v>
      </c>
      <c r="C106" s="1" t="n">
        <v>45881</v>
      </c>
      <c r="D106" t="inlineStr">
        <is>
          <t>UPPSALA LÄN</t>
        </is>
      </c>
      <c r="E106" t="inlineStr">
        <is>
          <t>ENKÖPING</t>
        </is>
      </c>
      <c r="G106" t="n">
        <v>0.6</v>
      </c>
      <c r="H106" t="n">
        <v>0</v>
      </c>
      <c r="I106" t="n">
        <v>0</v>
      </c>
      <c r="J106" t="n">
        <v>0</v>
      </c>
      <c r="K106" t="n">
        <v>0</v>
      </c>
      <c r="L106" t="n">
        <v>0</v>
      </c>
      <c r="M106" t="n">
        <v>0</v>
      </c>
      <c r="N106" t="n">
        <v>0</v>
      </c>
      <c r="O106" t="n">
        <v>0</v>
      </c>
      <c r="P106" t="n">
        <v>0</v>
      </c>
      <c r="Q106" t="n">
        <v>0</v>
      </c>
      <c r="R106" s="2" t="inlineStr"/>
    </row>
    <row r="107" ht="15" customHeight="1">
      <c r="A107" t="inlineStr">
        <is>
          <t>A 47106-2021</t>
        </is>
      </c>
      <c r="B107" s="1" t="n">
        <v>44446</v>
      </c>
      <c r="C107" s="1" t="n">
        <v>45881</v>
      </c>
      <c r="D107" t="inlineStr">
        <is>
          <t>UPPSALA LÄN</t>
        </is>
      </c>
      <c r="E107" t="inlineStr">
        <is>
          <t>ENKÖPING</t>
        </is>
      </c>
      <c r="G107" t="n">
        <v>7.6</v>
      </c>
      <c r="H107" t="n">
        <v>0</v>
      </c>
      <c r="I107" t="n">
        <v>0</v>
      </c>
      <c r="J107" t="n">
        <v>0</v>
      </c>
      <c r="K107" t="n">
        <v>0</v>
      </c>
      <c r="L107" t="n">
        <v>0</v>
      </c>
      <c r="M107" t="n">
        <v>0</v>
      </c>
      <c r="N107" t="n">
        <v>0</v>
      </c>
      <c r="O107" t="n">
        <v>0</v>
      </c>
      <c r="P107" t="n">
        <v>0</v>
      </c>
      <c r="Q107" t="n">
        <v>0</v>
      </c>
      <c r="R107" s="2" t="inlineStr"/>
    </row>
    <row r="108" ht="15" customHeight="1">
      <c r="A108" t="inlineStr">
        <is>
          <t>A 19731-2022</t>
        </is>
      </c>
      <c r="B108" s="1" t="n">
        <v>44694</v>
      </c>
      <c r="C108" s="1" t="n">
        <v>45881</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57055-2021</t>
        </is>
      </c>
      <c r="B109" s="1" t="n">
        <v>44482.55201388889</v>
      </c>
      <c r="C109" s="1" t="n">
        <v>45881</v>
      </c>
      <c r="D109" t="inlineStr">
        <is>
          <t>UPPSALA LÄN</t>
        </is>
      </c>
      <c r="E109" t="inlineStr">
        <is>
          <t>ENKÖPING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60874-2021</t>
        </is>
      </c>
      <c r="B110" s="1" t="n">
        <v>44497</v>
      </c>
      <c r="C110" s="1" t="n">
        <v>45881</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68127-2021</t>
        </is>
      </c>
      <c r="B111" s="1" t="n">
        <v>44526.39513888889</v>
      </c>
      <c r="C111" s="1" t="n">
        <v>45881</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59121-2021</t>
        </is>
      </c>
      <c r="B112" s="1" t="n">
        <v>44490</v>
      </c>
      <c r="C112" s="1" t="n">
        <v>45881</v>
      </c>
      <c r="D112" t="inlineStr">
        <is>
          <t>UPPSALA LÄN</t>
        </is>
      </c>
      <c r="E112" t="inlineStr">
        <is>
          <t>ENKÖPING</t>
        </is>
      </c>
      <c r="G112" t="n">
        <v>2.4</v>
      </c>
      <c r="H112" t="n">
        <v>0</v>
      </c>
      <c r="I112" t="n">
        <v>0</v>
      </c>
      <c r="J112" t="n">
        <v>0</v>
      </c>
      <c r="K112" t="n">
        <v>0</v>
      </c>
      <c r="L112" t="n">
        <v>0</v>
      </c>
      <c r="M112" t="n">
        <v>0</v>
      </c>
      <c r="N112" t="n">
        <v>0</v>
      </c>
      <c r="O112" t="n">
        <v>0</v>
      </c>
      <c r="P112" t="n">
        <v>0</v>
      </c>
      <c r="Q112" t="n">
        <v>0</v>
      </c>
      <c r="R112" s="2" t="inlineStr"/>
    </row>
    <row r="113" ht="15" customHeight="1">
      <c r="A113" t="inlineStr">
        <is>
          <t>A 57043-2021</t>
        </is>
      </c>
      <c r="B113" s="1" t="n">
        <v>44482.53399305556</v>
      </c>
      <c r="C113" s="1" t="n">
        <v>45881</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47516-2022</t>
        </is>
      </c>
      <c r="B114" s="1" t="n">
        <v>44853.68895833333</v>
      </c>
      <c r="C114" s="1" t="n">
        <v>45881</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24815-2022</t>
        </is>
      </c>
      <c r="B115" s="1" t="n">
        <v>44728</v>
      </c>
      <c r="C115" s="1" t="n">
        <v>45881</v>
      </c>
      <c r="D115" t="inlineStr">
        <is>
          <t>UPPSALA LÄN</t>
        </is>
      </c>
      <c r="E115" t="inlineStr">
        <is>
          <t>ENKÖPING</t>
        </is>
      </c>
      <c r="G115" t="n">
        <v>1.8</v>
      </c>
      <c r="H115" t="n">
        <v>0</v>
      </c>
      <c r="I115" t="n">
        <v>0</v>
      </c>
      <c r="J115" t="n">
        <v>0</v>
      </c>
      <c r="K115" t="n">
        <v>0</v>
      </c>
      <c r="L115" t="n">
        <v>0</v>
      </c>
      <c r="M115" t="n">
        <v>0</v>
      </c>
      <c r="N115" t="n">
        <v>0</v>
      </c>
      <c r="O115" t="n">
        <v>0</v>
      </c>
      <c r="P115" t="n">
        <v>0</v>
      </c>
      <c r="Q115" t="n">
        <v>0</v>
      </c>
      <c r="R115" s="2" t="inlineStr"/>
    </row>
    <row r="116" ht="15" customHeight="1">
      <c r="A116" t="inlineStr">
        <is>
          <t>A 57078-2021</t>
        </is>
      </c>
      <c r="B116" s="1" t="n">
        <v>44482.57855324074</v>
      </c>
      <c r="C116" s="1" t="n">
        <v>45881</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58798-2020</t>
        </is>
      </c>
      <c r="B117" s="1" t="n">
        <v>44146</v>
      </c>
      <c r="C117" s="1" t="n">
        <v>45881</v>
      </c>
      <c r="D117" t="inlineStr">
        <is>
          <t>UPPSALA LÄN</t>
        </is>
      </c>
      <c r="E117" t="inlineStr">
        <is>
          <t>ENKÖPING</t>
        </is>
      </c>
      <c r="G117" t="n">
        <v>1.8</v>
      </c>
      <c r="H117" t="n">
        <v>0</v>
      </c>
      <c r="I117" t="n">
        <v>0</v>
      </c>
      <c r="J117" t="n">
        <v>0</v>
      </c>
      <c r="K117" t="n">
        <v>0</v>
      </c>
      <c r="L117" t="n">
        <v>0</v>
      </c>
      <c r="M117" t="n">
        <v>0</v>
      </c>
      <c r="N117" t="n">
        <v>0</v>
      </c>
      <c r="O117" t="n">
        <v>0</v>
      </c>
      <c r="P117" t="n">
        <v>0</v>
      </c>
      <c r="Q117" t="n">
        <v>0</v>
      </c>
      <c r="R117" s="2" t="inlineStr"/>
    </row>
    <row r="118" ht="15" customHeight="1">
      <c r="A118" t="inlineStr">
        <is>
          <t>A 15021-2022</t>
        </is>
      </c>
      <c r="B118" s="1" t="n">
        <v>44657</v>
      </c>
      <c r="C118" s="1" t="n">
        <v>45881</v>
      </c>
      <c r="D118" t="inlineStr">
        <is>
          <t>UPPSALA LÄN</t>
        </is>
      </c>
      <c r="E118" t="inlineStr">
        <is>
          <t>ENKÖPING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29983-2021</t>
        </is>
      </c>
      <c r="B119" s="1" t="n">
        <v>44363</v>
      </c>
      <c r="C119" s="1" t="n">
        <v>45881</v>
      </c>
      <c r="D119" t="inlineStr">
        <is>
          <t>UPPSALA LÄN</t>
        </is>
      </c>
      <c r="E119" t="inlineStr">
        <is>
          <t>ENKÖPING</t>
        </is>
      </c>
      <c r="F119" t="inlineStr">
        <is>
          <t>Kommuner</t>
        </is>
      </c>
      <c r="G119" t="n">
        <v>3.1</v>
      </c>
      <c r="H119" t="n">
        <v>0</v>
      </c>
      <c r="I119" t="n">
        <v>0</v>
      </c>
      <c r="J119" t="n">
        <v>0</v>
      </c>
      <c r="K119" t="n">
        <v>0</v>
      </c>
      <c r="L119" t="n">
        <v>0</v>
      </c>
      <c r="M119" t="n">
        <v>0</v>
      </c>
      <c r="N119" t="n">
        <v>0</v>
      </c>
      <c r="O119" t="n">
        <v>0</v>
      </c>
      <c r="P119" t="n">
        <v>0</v>
      </c>
      <c r="Q119" t="n">
        <v>0</v>
      </c>
      <c r="R119" s="2" t="inlineStr"/>
    </row>
    <row r="120" ht="15" customHeight="1">
      <c r="A120" t="inlineStr">
        <is>
          <t>A 57802-2020</t>
        </is>
      </c>
      <c r="B120" s="1" t="n">
        <v>44141</v>
      </c>
      <c r="C120" s="1" t="n">
        <v>45881</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31965-2021</t>
        </is>
      </c>
      <c r="B121" s="1" t="n">
        <v>44370.56901620371</v>
      </c>
      <c r="C121" s="1" t="n">
        <v>45881</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45881</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25598-2021</t>
        </is>
      </c>
      <c r="B123" s="1" t="n">
        <v>44343.4558912037</v>
      </c>
      <c r="C123" s="1" t="n">
        <v>45881</v>
      </c>
      <c r="D123" t="inlineStr">
        <is>
          <t>UPPSALA LÄN</t>
        </is>
      </c>
      <c r="E123" t="inlineStr">
        <is>
          <t>ENKÖPING</t>
        </is>
      </c>
      <c r="G123" t="n">
        <v>0.7</v>
      </c>
      <c r="H123" t="n">
        <v>0</v>
      </c>
      <c r="I123" t="n">
        <v>0</v>
      </c>
      <c r="J123" t="n">
        <v>0</v>
      </c>
      <c r="K123" t="n">
        <v>0</v>
      </c>
      <c r="L123" t="n">
        <v>0</v>
      </c>
      <c r="M123" t="n">
        <v>0</v>
      </c>
      <c r="N123" t="n">
        <v>0</v>
      </c>
      <c r="O123" t="n">
        <v>0</v>
      </c>
      <c r="P123" t="n">
        <v>0</v>
      </c>
      <c r="Q123" t="n">
        <v>0</v>
      </c>
      <c r="R123" s="2" t="inlineStr"/>
    </row>
    <row r="124" ht="15" customHeight="1">
      <c r="A124" t="inlineStr">
        <is>
          <t>A 43488-2023</t>
        </is>
      </c>
      <c r="B124" s="1" t="n">
        <v>45181</v>
      </c>
      <c r="C124" s="1" t="n">
        <v>45881</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12755-2025</t>
        </is>
      </c>
      <c r="B125" s="1" t="n">
        <v>45733.56541666666</v>
      </c>
      <c r="C125" s="1" t="n">
        <v>45881</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32081-2024</t>
        </is>
      </c>
      <c r="B126" s="1" t="n">
        <v>45511.34605324074</v>
      </c>
      <c r="C126" s="1" t="n">
        <v>45881</v>
      </c>
      <c r="D126" t="inlineStr">
        <is>
          <t>UPPSALA LÄN</t>
        </is>
      </c>
      <c r="E126" t="inlineStr">
        <is>
          <t>ENKÖPING</t>
        </is>
      </c>
      <c r="G126" t="n">
        <v>5.4</v>
      </c>
      <c r="H126" t="n">
        <v>0</v>
      </c>
      <c r="I126" t="n">
        <v>0</v>
      </c>
      <c r="J126" t="n">
        <v>0</v>
      </c>
      <c r="K126" t="n">
        <v>0</v>
      </c>
      <c r="L126" t="n">
        <v>0</v>
      </c>
      <c r="M126" t="n">
        <v>0</v>
      </c>
      <c r="N126" t="n">
        <v>0</v>
      </c>
      <c r="O126" t="n">
        <v>0</v>
      </c>
      <c r="P126" t="n">
        <v>0</v>
      </c>
      <c r="Q126" t="n">
        <v>0</v>
      </c>
      <c r="R126" s="2" t="inlineStr"/>
    </row>
    <row r="127" ht="15" customHeight="1">
      <c r="A127" t="inlineStr">
        <is>
          <t>A 4044-2024</t>
        </is>
      </c>
      <c r="B127" s="1" t="n">
        <v>45323.45954861111</v>
      </c>
      <c r="C127" s="1" t="n">
        <v>45881</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5211-2024</t>
        </is>
      </c>
      <c r="B128" s="1" t="n">
        <v>45330</v>
      </c>
      <c r="C128" s="1" t="n">
        <v>45881</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46103-2023</t>
        </is>
      </c>
      <c r="B129" s="1" t="n">
        <v>45190</v>
      </c>
      <c r="C129" s="1" t="n">
        <v>45881</v>
      </c>
      <c r="D129" t="inlineStr">
        <is>
          <t>UPPSALA LÄN</t>
        </is>
      </c>
      <c r="E129" t="inlineStr">
        <is>
          <t>ENKÖPING</t>
        </is>
      </c>
      <c r="G129" t="n">
        <v>4.6</v>
      </c>
      <c r="H129" t="n">
        <v>0</v>
      </c>
      <c r="I129" t="n">
        <v>0</v>
      </c>
      <c r="J129" t="n">
        <v>0</v>
      </c>
      <c r="K129" t="n">
        <v>0</v>
      </c>
      <c r="L129" t="n">
        <v>0</v>
      </c>
      <c r="M129" t="n">
        <v>0</v>
      </c>
      <c r="N129" t="n">
        <v>0</v>
      </c>
      <c r="O129" t="n">
        <v>0</v>
      </c>
      <c r="P129" t="n">
        <v>0</v>
      </c>
      <c r="Q129" t="n">
        <v>0</v>
      </c>
      <c r="R129" s="2" t="inlineStr"/>
    </row>
    <row r="130" ht="15" customHeight="1">
      <c r="A130" t="inlineStr">
        <is>
          <t>A 52464-2020</t>
        </is>
      </c>
      <c r="B130" s="1" t="n">
        <v>44118</v>
      </c>
      <c r="C130" s="1" t="n">
        <v>45881</v>
      </c>
      <c r="D130" t="inlineStr">
        <is>
          <t>UPPSALA LÄN</t>
        </is>
      </c>
      <c r="E130" t="inlineStr">
        <is>
          <t>ENKÖPING</t>
        </is>
      </c>
      <c r="G130" t="n">
        <v>4.6</v>
      </c>
      <c r="H130" t="n">
        <v>0</v>
      </c>
      <c r="I130" t="n">
        <v>0</v>
      </c>
      <c r="J130" t="n">
        <v>0</v>
      </c>
      <c r="K130" t="n">
        <v>0</v>
      </c>
      <c r="L130" t="n">
        <v>0</v>
      </c>
      <c r="M130" t="n">
        <v>0</v>
      </c>
      <c r="N130" t="n">
        <v>0</v>
      </c>
      <c r="O130" t="n">
        <v>0</v>
      </c>
      <c r="P130" t="n">
        <v>0</v>
      </c>
      <c r="Q130" t="n">
        <v>0</v>
      </c>
      <c r="R130" s="2" t="inlineStr"/>
    </row>
    <row r="131" ht="15" customHeight="1">
      <c r="A131" t="inlineStr">
        <is>
          <t>A 20184-2023</t>
        </is>
      </c>
      <c r="B131" s="1" t="n">
        <v>45055.5670949074</v>
      </c>
      <c r="C131" s="1" t="n">
        <v>45881</v>
      </c>
      <c r="D131" t="inlineStr">
        <is>
          <t>UPPSALA LÄN</t>
        </is>
      </c>
      <c r="E131" t="inlineStr">
        <is>
          <t>ENKÖPING</t>
        </is>
      </c>
      <c r="G131" t="n">
        <v>3.2</v>
      </c>
      <c r="H131" t="n">
        <v>0</v>
      </c>
      <c r="I131" t="n">
        <v>0</v>
      </c>
      <c r="J131" t="n">
        <v>0</v>
      </c>
      <c r="K131" t="n">
        <v>0</v>
      </c>
      <c r="L131" t="n">
        <v>0</v>
      </c>
      <c r="M131" t="n">
        <v>0</v>
      </c>
      <c r="N131" t="n">
        <v>0</v>
      </c>
      <c r="O131" t="n">
        <v>0</v>
      </c>
      <c r="P131" t="n">
        <v>0</v>
      </c>
      <c r="Q131" t="n">
        <v>0</v>
      </c>
      <c r="R131" s="2" t="inlineStr"/>
    </row>
    <row r="132" ht="15" customHeight="1">
      <c r="A132" t="inlineStr">
        <is>
          <t>A 31013-2022</t>
        </is>
      </c>
      <c r="B132" s="1" t="n">
        <v>44768</v>
      </c>
      <c r="C132" s="1" t="n">
        <v>45881</v>
      </c>
      <c r="D132" t="inlineStr">
        <is>
          <t>UPPSALA LÄN</t>
        </is>
      </c>
      <c r="E132" t="inlineStr">
        <is>
          <t>ENKÖPING</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25333-2023</t>
        </is>
      </c>
      <c r="B133" s="1" t="n">
        <v>45083</v>
      </c>
      <c r="C133" s="1" t="n">
        <v>45881</v>
      </c>
      <c r="D133" t="inlineStr">
        <is>
          <t>UPPSALA LÄN</t>
        </is>
      </c>
      <c r="E133" t="inlineStr">
        <is>
          <t>ENKÖPING</t>
        </is>
      </c>
      <c r="G133" t="n">
        <v>2.7</v>
      </c>
      <c r="H133" t="n">
        <v>0</v>
      </c>
      <c r="I133" t="n">
        <v>0</v>
      </c>
      <c r="J133" t="n">
        <v>0</v>
      </c>
      <c r="K133" t="n">
        <v>0</v>
      </c>
      <c r="L133" t="n">
        <v>0</v>
      </c>
      <c r="M133" t="n">
        <v>0</v>
      </c>
      <c r="N133" t="n">
        <v>0</v>
      </c>
      <c r="O133" t="n">
        <v>0</v>
      </c>
      <c r="P133" t="n">
        <v>0</v>
      </c>
      <c r="Q133" t="n">
        <v>0</v>
      </c>
      <c r="R133" s="2" t="inlineStr"/>
    </row>
    <row r="134" ht="15" customHeight="1">
      <c r="A134" t="inlineStr">
        <is>
          <t>A 61952-2021</t>
        </is>
      </c>
      <c r="B134" s="1" t="n">
        <v>44502</v>
      </c>
      <c r="C134" s="1" t="n">
        <v>45881</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50747-2022</t>
        </is>
      </c>
      <c r="B135" s="1" t="n">
        <v>44867.40162037037</v>
      </c>
      <c r="C135" s="1" t="n">
        <v>45881</v>
      </c>
      <c r="D135" t="inlineStr">
        <is>
          <t>UPPSALA LÄN</t>
        </is>
      </c>
      <c r="E135" t="inlineStr">
        <is>
          <t>ENKÖPING</t>
        </is>
      </c>
      <c r="G135" t="n">
        <v>1.5</v>
      </c>
      <c r="H135" t="n">
        <v>0</v>
      </c>
      <c r="I135" t="n">
        <v>0</v>
      </c>
      <c r="J135" t="n">
        <v>0</v>
      </c>
      <c r="K135" t="n">
        <v>0</v>
      </c>
      <c r="L135" t="n">
        <v>0</v>
      </c>
      <c r="M135" t="n">
        <v>0</v>
      </c>
      <c r="N135" t="n">
        <v>0</v>
      </c>
      <c r="O135" t="n">
        <v>0</v>
      </c>
      <c r="P135" t="n">
        <v>0</v>
      </c>
      <c r="Q135" t="n">
        <v>0</v>
      </c>
      <c r="R135" s="2" t="inlineStr"/>
    </row>
    <row r="136" ht="15" customHeight="1">
      <c r="A136" t="inlineStr">
        <is>
          <t>A 57152-2021</t>
        </is>
      </c>
      <c r="B136" s="1" t="n">
        <v>44482</v>
      </c>
      <c r="C136" s="1" t="n">
        <v>45881</v>
      </c>
      <c r="D136" t="inlineStr">
        <is>
          <t>UPPSALA LÄN</t>
        </is>
      </c>
      <c r="E136" t="inlineStr">
        <is>
          <t>ENKÖPING</t>
        </is>
      </c>
      <c r="G136" t="n">
        <v>1.4</v>
      </c>
      <c r="H136" t="n">
        <v>0</v>
      </c>
      <c r="I136" t="n">
        <v>0</v>
      </c>
      <c r="J136" t="n">
        <v>0</v>
      </c>
      <c r="K136" t="n">
        <v>0</v>
      </c>
      <c r="L136" t="n">
        <v>0</v>
      </c>
      <c r="M136" t="n">
        <v>0</v>
      </c>
      <c r="N136" t="n">
        <v>0</v>
      </c>
      <c r="O136" t="n">
        <v>0</v>
      </c>
      <c r="P136" t="n">
        <v>0</v>
      </c>
      <c r="Q136" t="n">
        <v>0</v>
      </c>
      <c r="R136" s="2" t="inlineStr"/>
    </row>
    <row r="137" ht="15" customHeight="1">
      <c r="A137" t="inlineStr">
        <is>
          <t>A 30437-2022</t>
        </is>
      </c>
      <c r="B137" s="1" t="n">
        <v>44761</v>
      </c>
      <c r="C137" s="1" t="n">
        <v>45881</v>
      </c>
      <c r="D137" t="inlineStr">
        <is>
          <t>UPPSALA LÄN</t>
        </is>
      </c>
      <c r="E137" t="inlineStr">
        <is>
          <t>ENKÖPING</t>
        </is>
      </c>
      <c r="G137" t="n">
        <v>3.4</v>
      </c>
      <c r="H137" t="n">
        <v>0</v>
      </c>
      <c r="I137" t="n">
        <v>0</v>
      </c>
      <c r="J137" t="n">
        <v>0</v>
      </c>
      <c r="K137" t="n">
        <v>0</v>
      </c>
      <c r="L137" t="n">
        <v>0</v>
      </c>
      <c r="M137" t="n">
        <v>0</v>
      </c>
      <c r="N137" t="n">
        <v>0</v>
      </c>
      <c r="O137" t="n">
        <v>0</v>
      </c>
      <c r="P137" t="n">
        <v>0</v>
      </c>
      <c r="Q137" t="n">
        <v>0</v>
      </c>
      <c r="R137" s="2" t="inlineStr"/>
    </row>
    <row r="138" ht="15" customHeight="1">
      <c r="A138" t="inlineStr">
        <is>
          <t>A 12572-2021</t>
        </is>
      </c>
      <c r="B138" s="1" t="n">
        <v>44270.36438657407</v>
      </c>
      <c r="C138" s="1" t="n">
        <v>45881</v>
      </c>
      <c r="D138" t="inlineStr">
        <is>
          <t>UPPSALA LÄN</t>
        </is>
      </c>
      <c r="E138" t="inlineStr">
        <is>
          <t>ENKÖPING</t>
        </is>
      </c>
      <c r="G138" t="n">
        <v>3.3</v>
      </c>
      <c r="H138" t="n">
        <v>0</v>
      </c>
      <c r="I138" t="n">
        <v>0</v>
      </c>
      <c r="J138" t="n">
        <v>0</v>
      </c>
      <c r="K138" t="n">
        <v>0</v>
      </c>
      <c r="L138" t="n">
        <v>0</v>
      </c>
      <c r="M138" t="n">
        <v>0</v>
      </c>
      <c r="N138" t="n">
        <v>0</v>
      </c>
      <c r="O138" t="n">
        <v>0</v>
      </c>
      <c r="P138" t="n">
        <v>0</v>
      </c>
      <c r="Q138" t="n">
        <v>0</v>
      </c>
      <c r="R138" s="2" t="inlineStr"/>
    </row>
    <row r="139" ht="15" customHeight="1">
      <c r="A139" t="inlineStr">
        <is>
          <t>A 59602-2022</t>
        </is>
      </c>
      <c r="B139" s="1" t="n">
        <v>44907.72241898148</v>
      </c>
      <c r="C139" s="1" t="n">
        <v>45881</v>
      </c>
      <c r="D139" t="inlineStr">
        <is>
          <t>UPPSALA LÄN</t>
        </is>
      </c>
      <c r="E139" t="inlineStr">
        <is>
          <t>ENKÖPING</t>
        </is>
      </c>
      <c r="G139" t="n">
        <v>14.2</v>
      </c>
      <c r="H139" t="n">
        <v>0</v>
      </c>
      <c r="I139" t="n">
        <v>0</v>
      </c>
      <c r="J139" t="n">
        <v>0</v>
      </c>
      <c r="K139" t="n">
        <v>0</v>
      </c>
      <c r="L139" t="n">
        <v>0</v>
      </c>
      <c r="M139" t="n">
        <v>0</v>
      </c>
      <c r="N139" t="n">
        <v>0</v>
      </c>
      <c r="O139" t="n">
        <v>0</v>
      </c>
      <c r="P139" t="n">
        <v>0</v>
      </c>
      <c r="Q139" t="n">
        <v>0</v>
      </c>
      <c r="R139" s="2" t="inlineStr"/>
    </row>
    <row r="140" ht="15" customHeight="1">
      <c r="A140" t="inlineStr">
        <is>
          <t>A 42589-2022</t>
        </is>
      </c>
      <c r="B140" s="1" t="n">
        <v>44831</v>
      </c>
      <c r="C140" s="1" t="n">
        <v>45881</v>
      </c>
      <c r="D140" t="inlineStr">
        <is>
          <t>UPPSALA LÄN</t>
        </is>
      </c>
      <c r="E140" t="inlineStr">
        <is>
          <t>ENKÖPING</t>
        </is>
      </c>
      <c r="G140" t="n">
        <v>20</v>
      </c>
      <c r="H140" t="n">
        <v>0</v>
      </c>
      <c r="I140" t="n">
        <v>0</v>
      </c>
      <c r="J140" t="n">
        <v>0</v>
      </c>
      <c r="K140" t="n">
        <v>0</v>
      </c>
      <c r="L140" t="n">
        <v>0</v>
      </c>
      <c r="M140" t="n">
        <v>0</v>
      </c>
      <c r="N140" t="n">
        <v>0</v>
      </c>
      <c r="O140" t="n">
        <v>0</v>
      </c>
      <c r="P140" t="n">
        <v>0</v>
      </c>
      <c r="Q140" t="n">
        <v>0</v>
      </c>
      <c r="R140" s="2" t="inlineStr"/>
    </row>
    <row r="141" ht="15" customHeight="1">
      <c r="A141" t="inlineStr">
        <is>
          <t>A 20112-2024</t>
        </is>
      </c>
      <c r="B141" s="1" t="n">
        <v>45434</v>
      </c>
      <c r="C141" s="1" t="n">
        <v>45881</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35645-2021</t>
        </is>
      </c>
      <c r="B142" s="1" t="n">
        <v>44386.42</v>
      </c>
      <c r="C142" s="1" t="n">
        <v>45881</v>
      </c>
      <c r="D142" t="inlineStr">
        <is>
          <t>UPPSALA LÄN</t>
        </is>
      </c>
      <c r="E142" t="inlineStr">
        <is>
          <t>ENKÖPING</t>
        </is>
      </c>
      <c r="G142" t="n">
        <v>2.7</v>
      </c>
      <c r="H142" t="n">
        <v>0</v>
      </c>
      <c r="I142" t="n">
        <v>0</v>
      </c>
      <c r="J142" t="n">
        <v>0</v>
      </c>
      <c r="K142" t="n">
        <v>0</v>
      </c>
      <c r="L142" t="n">
        <v>0</v>
      </c>
      <c r="M142" t="n">
        <v>0</v>
      </c>
      <c r="N142" t="n">
        <v>0</v>
      </c>
      <c r="O142" t="n">
        <v>0</v>
      </c>
      <c r="P142" t="n">
        <v>0</v>
      </c>
      <c r="Q142" t="n">
        <v>0</v>
      </c>
      <c r="R142" s="2" t="inlineStr"/>
    </row>
    <row r="143" ht="15" customHeight="1">
      <c r="A143" t="inlineStr">
        <is>
          <t>A 53586-2024</t>
        </is>
      </c>
      <c r="B143" s="1" t="n">
        <v>45614</v>
      </c>
      <c r="C143" s="1" t="n">
        <v>45881</v>
      </c>
      <c r="D143" t="inlineStr">
        <is>
          <t>UPPSALA LÄN</t>
        </is>
      </c>
      <c r="E143" t="inlineStr">
        <is>
          <t>ENKÖPING</t>
        </is>
      </c>
      <c r="G143" t="n">
        <v>6.6</v>
      </c>
      <c r="H143" t="n">
        <v>0</v>
      </c>
      <c r="I143" t="n">
        <v>0</v>
      </c>
      <c r="J143" t="n">
        <v>0</v>
      </c>
      <c r="K143" t="n">
        <v>0</v>
      </c>
      <c r="L143" t="n">
        <v>0</v>
      </c>
      <c r="M143" t="n">
        <v>0</v>
      </c>
      <c r="N143" t="n">
        <v>0</v>
      </c>
      <c r="O143" t="n">
        <v>0</v>
      </c>
      <c r="P143" t="n">
        <v>0</v>
      </c>
      <c r="Q143" t="n">
        <v>0</v>
      </c>
      <c r="R143" s="2" t="inlineStr"/>
    </row>
    <row r="144" ht="15" customHeight="1">
      <c r="A144" t="inlineStr">
        <is>
          <t>A 2968-2025</t>
        </is>
      </c>
      <c r="B144" s="1" t="n">
        <v>45678</v>
      </c>
      <c r="C144" s="1" t="n">
        <v>45881</v>
      </c>
      <c r="D144" t="inlineStr">
        <is>
          <t>UPPSALA LÄN</t>
        </is>
      </c>
      <c r="E144" t="inlineStr">
        <is>
          <t>ENKÖPING</t>
        </is>
      </c>
      <c r="G144" t="n">
        <v>1.1</v>
      </c>
      <c r="H144" t="n">
        <v>0</v>
      </c>
      <c r="I144" t="n">
        <v>0</v>
      </c>
      <c r="J144" t="n">
        <v>0</v>
      </c>
      <c r="K144" t="n">
        <v>0</v>
      </c>
      <c r="L144" t="n">
        <v>0</v>
      </c>
      <c r="M144" t="n">
        <v>0</v>
      </c>
      <c r="N144" t="n">
        <v>0</v>
      </c>
      <c r="O144" t="n">
        <v>0</v>
      </c>
      <c r="P144" t="n">
        <v>0</v>
      </c>
      <c r="Q144" t="n">
        <v>0</v>
      </c>
      <c r="R144" s="2" t="inlineStr"/>
    </row>
    <row r="145" ht="15" customHeight="1">
      <c r="A145" t="inlineStr">
        <is>
          <t>A 51932-2022</t>
        </is>
      </c>
      <c r="B145" s="1" t="n">
        <v>44872</v>
      </c>
      <c r="C145" s="1" t="n">
        <v>45881</v>
      </c>
      <c r="D145" t="inlineStr">
        <is>
          <t>UPPSALA LÄN</t>
        </is>
      </c>
      <c r="E145" t="inlineStr">
        <is>
          <t>ENKÖPING</t>
        </is>
      </c>
      <c r="G145" t="n">
        <v>5.5</v>
      </c>
      <c r="H145" t="n">
        <v>0</v>
      </c>
      <c r="I145" t="n">
        <v>0</v>
      </c>
      <c r="J145" t="n">
        <v>0</v>
      </c>
      <c r="K145" t="n">
        <v>0</v>
      </c>
      <c r="L145" t="n">
        <v>0</v>
      </c>
      <c r="M145" t="n">
        <v>0</v>
      </c>
      <c r="N145" t="n">
        <v>0</v>
      </c>
      <c r="O145" t="n">
        <v>0</v>
      </c>
      <c r="P145" t="n">
        <v>0</v>
      </c>
      <c r="Q145" t="n">
        <v>0</v>
      </c>
      <c r="R145" s="2" t="inlineStr"/>
    </row>
    <row r="146" ht="15" customHeight="1">
      <c r="A146" t="inlineStr">
        <is>
          <t>A 51034-2024</t>
        </is>
      </c>
      <c r="B146" s="1" t="n">
        <v>45603.4262037037</v>
      </c>
      <c r="C146" s="1" t="n">
        <v>45881</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51036-2024</t>
        </is>
      </c>
      <c r="B147" s="1" t="n">
        <v>45603.42839120371</v>
      </c>
      <c r="C147" s="1" t="n">
        <v>45881</v>
      </c>
      <c r="D147" t="inlineStr">
        <is>
          <t>UPPSALA LÄN</t>
        </is>
      </c>
      <c r="E147" t="inlineStr">
        <is>
          <t>ENKÖPING</t>
        </is>
      </c>
      <c r="G147" t="n">
        <v>2.6</v>
      </c>
      <c r="H147" t="n">
        <v>0</v>
      </c>
      <c r="I147" t="n">
        <v>0</v>
      </c>
      <c r="J147" t="n">
        <v>0</v>
      </c>
      <c r="K147" t="n">
        <v>0</v>
      </c>
      <c r="L147" t="n">
        <v>0</v>
      </c>
      <c r="M147" t="n">
        <v>0</v>
      </c>
      <c r="N147" t="n">
        <v>0</v>
      </c>
      <c r="O147" t="n">
        <v>0</v>
      </c>
      <c r="P147" t="n">
        <v>0</v>
      </c>
      <c r="Q147" t="n">
        <v>0</v>
      </c>
      <c r="R147" s="2" t="inlineStr"/>
    </row>
    <row r="148" ht="15" customHeight="1">
      <c r="A148" t="inlineStr">
        <is>
          <t>A 43492-2023</t>
        </is>
      </c>
      <c r="B148" s="1" t="n">
        <v>45181</v>
      </c>
      <c r="C148" s="1" t="n">
        <v>45881</v>
      </c>
      <c r="D148" t="inlineStr">
        <is>
          <t>UPPSALA LÄN</t>
        </is>
      </c>
      <c r="E148" t="inlineStr">
        <is>
          <t>ENKÖPING</t>
        </is>
      </c>
      <c r="G148" t="n">
        <v>1.6</v>
      </c>
      <c r="H148" t="n">
        <v>0</v>
      </c>
      <c r="I148" t="n">
        <v>0</v>
      </c>
      <c r="J148" t="n">
        <v>0</v>
      </c>
      <c r="K148" t="n">
        <v>0</v>
      </c>
      <c r="L148" t="n">
        <v>0</v>
      </c>
      <c r="M148" t="n">
        <v>0</v>
      </c>
      <c r="N148" t="n">
        <v>0</v>
      </c>
      <c r="O148" t="n">
        <v>0</v>
      </c>
      <c r="P148" t="n">
        <v>0</v>
      </c>
      <c r="Q148" t="n">
        <v>0</v>
      </c>
      <c r="R148" s="2" t="inlineStr"/>
    </row>
    <row r="149" ht="15" customHeight="1">
      <c r="A149" t="inlineStr">
        <is>
          <t>A 9487-2025</t>
        </is>
      </c>
      <c r="B149" s="1" t="n">
        <v>45715.49331018519</v>
      </c>
      <c r="C149" s="1" t="n">
        <v>45881</v>
      </c>
      <c r="D149" t="inlineStr">
        <is>
          <t>UPPSALA LÄN</t>
        </is>
      </c>
      <c r="E149" t="inlineStr">
        <is>
          <t>ENKÖPING</t>
        </is>
      </c>
      <c r="G149" t="n">
        <v>0.8</v>
      </c>
      <c r="H149" t="n">
        <v>0</v>
      </c>
      <c r="I149" t="n">
        <v>0</v>
      </c>
      <c r="J149" t="n">
        <v>0</v>
      </c>
      <c r="K149" t="n">
        <v>0</v>
      </c>
      <c r="L149" t="n">
        <v>0</v>
      </c>
      <c r="M149" t="n">
        <v>0</v>
      </c>
      <c r="N149" t="n">
        <v>0</v>
      </c>
      <c r="O149" t="n">
        <v>0</v>
      </c>
      <c r="P149" t="n">
        <v>0</v>
      </c>
      <c r="Q149" t="n">
        <v>0</v>
      </c>
      <c r="R149" s="2" t="inlineStr"/>
    </row>
    <row r="150" ht="15" customHeight="1">
      <c r="A150" t="inlineStr">
        <is>
          <t>A 1536-2024</t>
        </is>
      </c>
      <c r="B150" s="1" t="n">
        <v>45306</v>
      </c>
      <c r="C150" s="1" t="n">
        <v>45881</v>
      </c>
      <c r="D150" t="inlineStr">
        <is>
          <t>UPPSALA LÄN</t>
        </is>
      </c>
      <c r="E150" t="inlineStr">
        <is>
          <t>ENKÖPING</t>
        </is>
      </c>
      <c r="F150" t="inlineStr">
        <is>
          <t>Kyrkan</t>
        </is>
      </c>
      <c r="G150" t="n">
        <v>5.6</v>
      </c>
      <c r="H150" t="n">
        <v>0</v>
      </c>
      <c r="I150" t="n">
        <v>0</v>
      </c>
      <c r="J150" t="n">
        <v>0</v>
      </c>
      <c r="K150" t="n">
        <v>0</v>
      </c>
      <c r="L150" t="n">
        <v>0</v>
      </c>
      <c r="M150" t="n">
        <v>0</v>
      </c>
      <c r="N150" t="n">
        <v>0</v>
      </c>
      <c r="O150" t="n">
        <v>0</v>
      </c>
      <c r="P150" t="n">
        <v>0</v>
      </c>
      <c r="Q150" t="n">
        <v>0</v>
      </c>
      <c r="R150" s="2" t="inlineStr"/>
    </row>
    <row r="151" ht="15" customHeight="1">
      <c r="A151" t="inlineStr">
        <is>
          <t>A 12958-2024</t>
        </is>
      </c>
      <c r="B151" s="1" t="n">
        <v>45385</v>
      </c>
      <c r="C151" s="1" t="n">
        <v>45881</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16176-2025</t>
        </is>
      </c>
      <c r="B152" s="1" t="n">
        <v>45750</v>
      </c>
      <c r="C152" s="1" t="n">
        <v>45881</v>
      </c>
      <c r="D152" t="inlineStr">
        <is>
          <t>UPPSALA LÄN</t>
        </is>
      </c>
      <c r="E152" t="inlineStr">
        <is>
          <t>ENKÖPING</t>
        </is>
      </c>
      <c r="G152" t="n">
        <v>3.9</v>
      </c>
      <c r="H152" t="n">
        <v>0</v>
      </c>
      <c r="I152" t="n">
        <v>0</v>
      </c>
      <c r="J152" t="n">
        <v>0</v>
      </c>
      <c r="K152" t="n">
        <v>0</v>
      </c>
      <c r="L152" t="n">
        <v>0</v>
      </c>
      <c r="M152" t="n">
        <v>0</v>
      </c>
      <c r="N152" t="n">
        <v>0</v>
      </c>
      <c r="O152" t="n">
        <v>0</v>
      </c>
      <c r="P152" t="n">
        <v>0</v>
      </c>
      <c r="Q152" t="n">
        <v>0</v>
      </c>
      <c r="R152" s="2" t="inlineStr"/>
    </row>
    <row r="153" ht="15" customHeight="1">
      <c r="A153" t="inlineStr">
        <is>
          <t>A 37035-2023</t>
        </is>
      </c>
      <c r="B153" s="1" t="n">
        <v>45155</v>
      </c>
      <c r="C153" s="1" t="n">
        <v>45881</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49625-2024</t>
        </is>
      </c>
      <c r="B154" s="1" t="n">
        <v>45596.5891087963</v>
      </c>
      <c r="C154" s="1" t="n">
        <v>45881</v>
      </c>
      <c r="D154" t="inlineStr">
        <is>
          <t>UPPSALA LÄN</t>
        </is>
      </c>
      <c r="E154" t="inlineStr">
        <is>
          <t>ENKÖPING</t>
        </is>
      </c>
      <c r="G154" t="n">
        <v>2.4</v>
      </c>
      <c r="H154" t="n">
        <v>0</v>
      </c>
      <c r="I154" t="n">
        <v>0</v>
      </c>
      <c r="J154" t="n">
        <v>0</v>
      </c>
      <c r="K154" t="n">
        <v>0</v>
      </c>
      <c r="L154" t="n">
        <v>0</v>
      </c>
      <c r="M154" t="n">
        <v>0</v>
      </c>
      <c r="N154" t="n">
        <v>0</v>
      </c>
      <c r="O154" t="n">
        <v>0</v>
      </c>
      <c r="P154" t="n">
        <v>0</v>
      </c>
      <c r="Q154" t="n">
        <v>0</v>
      </c>
      <c r="R154" s="2" t="inlineStr"/>
    </row>
    <row r="155" ht="15" customHeight="1">
      <c r="A155" t="inlineStr">
        <is>
          <t>A 2974-2025</t>
        </is>
      </c>
      <c r="B155" s="1" t="n">
        <v>45678.47168981482</v>
      </c>
      <c r="C155" s="1" t="n">
        <v>45881</v>
      </c>
      <c r="D155" t="inlineStr">
        <is>
          <t>UPPSALA LÄN</t>
        </is>
      </c>
      <c r="E155" t="inlineStr">
        <is>
          <t>ENKÖPING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16916-2023</t>
        </is>
      </c>
      <c r="B156" s="1" t="n">
        <v>45033.58347222222</v>
      </c>
      <c r="C156" s="1" t="n">
        <v>45881</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46186-2023</t>
        </is>
      </c>
      <c r="B157" s="1" t="n">
        <v>45196</v>
      </c>
      <c r="C157" s="1" t="n">
        <v>45881</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15162-2025</t>
        </is>
      </c>
      <c r="B158" s="1" t="n">
        <v>45744</v>
      </c>
      <c r="C158" s="1" t="n">
        <v>45881</v>
      </c>
      <c r="D158" t="inlineStr">
        <is>
          <t>UPPSALA LÄN</t>
        </is>
      </c>
      <c r="E158" t="inlineStr">
        <is>
          <t>ENKÖPING</t>
        </is>
      </c>
      <c r="G158" t="n">
        <v>4.2</v>
      </c>
      <c r="H158" t="n">
        <v>0</v>
      </c>
      <c r="I158" t="n">
        <v>0</v>
      </c>
      <c r="J158" t="n">
        <v>0</v>
      </c>
      <c r="K158" t="n">
        <v>0</v>
      </c>
      <c r="L158" t="n">
        <v>0</v>
      </c>
      <c r="M158" t="n">
        <v>0</v>
      </c>
      <c r="N158" t="n">
        <v>0</v>
      </c>
      <c r="O158" t="n">
        <v>0</v>
      </c>
      <c r="P158" t="n">
        <v>0</v>
      </c>
      <c r="Q158" t="n">
        <v>0</v>
      </c>
      <c r="R158" s="2" t="inlineStr"/>
    </row>
    <row r="159" ht="15" customHeight="1">
      <c r="A159" t="inlineStr">
        <is>
          <t>A 16920-2023</t>
        </is>
      </c>
      <c r="B159" s="1" t="n">
        <v>45033.59030092593</v>
      </c>
      <c r="C159" s="1" t="n">
        <v>45881</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40812-2022</t>
        </is>
      </c>
      <c r="B160" s="1" t="n">
        <v>44824.68791666667</v>
      </c>
      <c r="C160" s="1" t="n">
        <v>45881</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24291-2024</t>
        </is>
      </c>
      <c r="B161" s="1" t="n">
        <v>45457.4584837963</v>
      </c>
      <c r="C161" s="1" t="n">
        <v>45881</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21017-2023</t>
        </is>
      </c>
      <c r="B162" s="1" t="n">
        <v>45061</v>
      </c>
      <c r="C162" s="1" t="n">
        <v>45881</v>
      </c>
      <c r="D162" t="inlineStr">
        <is>
          <t>UPPSALA LÄN</t>
        </is>
      </c>
      <c r="E162" t="inlineStr">
        <is>
          <t>ENKÖPING</t>
        </is>
      </c>
      <c r="G162" t="n">
        <v>4.8</v>
      </c>
      <c r="H162" t="n">
        <v>0</v>
      </c>
      <c r="I162" t="n">
        <v>0</v>
      </c>
      <c r="J162" t="n">
        <v>0</v>
      </c>
      <c r="K162" t="n">
        <v>0</v>
      </c>
      <c r="L162" t="n">
        <v>0</v>
      </c>
      <c r="M162" t="n">
        <v>0</v>
      </c>
      <c r="N162" t="n">
        <v>0</v>
      </c>
      <c r="O162" t="n">
        <v>0</v>
      </c>
      <c r="P162" t="n">
        <v>0</v>
      </c>
      <c r="Q162" t="n">
        <v>0</v>
      </c>
      <c r="R162" s="2" t="inlineStr"/>
    </row>
    <row r="163" ht="15" customHeight="1">
      <c r="A163" t="inlineStr">
        <is>
          <t>A 18299-2025</t>
        </is>
      </c>
      <c r="B163" s="1" t="n">
        <v>45762</v>
      </c>
      <c r="C163" s="1" t="n">
        <v>45881</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6242-2025</t>
        </is>
      </c>
      <c r="B164" s="1" t="n">
        <v>45697</v>
      </c>
      <c r="C164" s="1" t="n">
        <v>45881</v>
      </c>
      <c r="D164" t="inlineStr">
        <is>
          <t>UPPSALA LÄN</t>
        </is>
      </c>
      <c r="E164" t="inlineStr">
        <is>
          <t>ENKÖPING</t>
        </is>
      </c>
      <c r="G164" t="n">
        <v>17.9</v>
      </c>
      <c r="H164" t="n">
        <v>0</v>
      </c>
      <c r="I164" t="n">
        <v>0</v>
      </c>
      <c r="J164" t="n">
        <v>0</v>
      </c>
      <c r="K164" t="n">
        <v>0</v>
      </c>
      <c r="L164" t="n">
        <v>0</v>
      </c>
      <c r="M164" t="n">
        <v>0</v>
      </c>
      <c r="N164" t="n">
        <v>0</v>
      </c>
      <c r="O164" t="n">
        <v>0</v>
      </c>
      <c r="P164" t="n">
        <v>0</v>
      </c>
      <c r="Q164" t="n">
        <v>0</v>
      </c>
      <c r="R164" s="2" t="inlineStr"/>
    </row>
    <row r="165" ht="15" customHeight="1">
      <c r="A165" t="inlineStr">
        <is>
          <t>A 52388-2024</t>
        </is>
      </c>
      <c r="B165" s="1" t="n">
        <v>45609.42939814815</v>
      </c>
      <c r="C165" s="1" t="n">
        <v>45881</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44232-2022</t>
        </is>
      </c>
      <c r="B166" s="1" t="n">
        <v>44839</v>
      </c>
      <c r="C166" s="1" t="n">
        <v>45881</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6144-2024</t>
        </is>
      </c>
      <c r="B167" s="1" t="n">
        <v>45337.4684837963</v>
      </c>
      <c r="C167" s="1" t="n">
        <v>45881</v>
      </c>
      <c r="D167" t="inlineStr">
        <is>
          <t>UPPSALA LÄN</t>
        </is>
      </c>
      <c r="E167" t="inlineStr">
        <is>
          <t>ENKÖPING</t>
        </is>
      </c>
      <c r="G167" t="n">
        <v>13.8</v>
      </c>
      <c r="H167" t="n">
        <v>0</v>
      </c>
      <c r="I167" t="n">
        <v>0</v>
      </c>
      <c r="J167" t="n">
        <v>0</v>
      </c>
      <c r="K167" t="n">
        <v>0</v>
      </c>
      <c r="L167" t="n">
        <v>0</v>
      </c>
      <c r="M167" t="n">
        <v>0</v>
      </c>
      <c r="N167" t="n">
        <v>0</v>
      </c>
      <c r="O167" t="n">
        <v>0</v>
      </c>
      <c r="P167" t="n">
        <v>0</v>
      </c>
      <c r="Q167" t="n">
        <v>0</v>
      </c>
      <c r="R167" s="2" t="inlineStr"/>
    </row>
    <row r="168" ht="15" customHeight="1">
      <c r="A168" t="inlineStr">
        <is>
          <t>A 67984-2021</t>
        </is>
      </c>
      <c r="B168" s="1" t="n">
        <v>44525.70237268518</v>
      </c>
      <c r="C168" s="1" t="n">
        <v>45881</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12434-2021</t>
        </is>
      </c>
      <c r="B169" s="1" t="n">
        <v>44267</v>
      </c>
      <c r="C169" s="1" t="n">
        <v>45881</v>
      </c>
      <c r="D169" t="inlineStr">
        <is>
          <t>UPPSALA LÄN</t>
        </is>
      </c>
      <c r="E169" t="inlineStr">
        <is>
          <t>ENKÖPING</t>
        </is>
      </c>
      <c r="G169" t="n">
        <v>5.3</v>
      </c>
      <c r="H169" t="n">
        <v>0</v>
      </c>
      <c r="I169" t="n">
        <v>0</v>
      </c>
      <c r="J169" t="n">
        <v>0</v>
      </c>
      <c r="K169" t="n">
        <v>0</v>
      </c>
      <c r="L169" t="n">
        <v>0</v>
      </c>
      <c r="M169" t="n">
        <v>0</v>
      </c>
      <c r="N169" t="n">
        <v>0</v>
      </c>
      <c r="O169" t="n">
        <v>0</v>
      </c>
      <c r="P169" t="n">
        <v>0</v>
      </c>
      <c r="Q169" t="n">
        <v>0</v>
      </c>
      <c r="R169" s="2" t="inlineStr"/>
    </row>
    <row r="170" ht="15" customHeight="1">
      <c r="A170" t="inlineStr">
        <is>
          <t>A 47428-2023</t>
        </is>
      </c>
      <c r="B170" s="1" t="n">
        <v>45202.66664351852</v>
      </c>
      <c r="C170" s="1" t="n">
        <v>45881</v>
      </c>
      <c r="D170" t="inlineStr">
        <is>
          <t>UPPSALA LÄN</t>
        </is>
      </c>
      <c r="E170" t="inlineStr">
        <is>
          <t>ENKÖPING</t>
        </is>
      </c>
      <c r="G170" t="n">
        <v>3</v>
      </c>
      <c r="H170" t="n">
        <v>0</v>
      </c>
      <c r="I170" t="n">
        <v>0</v>
      </c>
      <c r="J170" t="n">
        <v>0</v>
      </c>
      <c r="K170" t="n">
        <v>0</v>
      </c>
      <c r="L170" t="n">
        <v>0</v>
      </c>
      <c r="M170" t="n">
        <v>0</v>
      </c>
      <c r="N170" t="n">
        <v>0</v>
      </c>
      <c r="O170" t="n">
        <v>0</v>
      </c>
      <c r="P170" t="n">
        <v>0</v>
      </c>
      <c r="Q170" t="n">
        <v>0</v>
      </c>
      <c r="R170" s="2" t="inlineStr"/>
    </row>
    <row r="171" ht="15" customHeight="1">
      <c r="A171" t="inlineStr">
        <is>
          <t>A 45362-2022</t>
        </is>
      </c>
      <c r="B171" s="1" t="n">
        <v>44844.62366898148</v>
      </c>
      <c r="C171" s="1" t="n">
        <v>45881</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1992-2022</t>
        </is>
      </c>
      <c r="B172" s="1" t="n">
        <v>44575.56153935185</v>
      </c>
      <c r="C172" s="1" t="n">
        <v>45881</v>
      </c>
      <c r="D172" t="inlineStr">
        <is>
          <t>UPPSALA LÄN</t>
        </is>
      </c>
      <c r="E172" t="inlineStr">
        <is>
          <t>ENKÖPING</t>
        </is>
      </c>
      <c r="G172" t="n">
        <v>2.8</v>
      </c>
      <c r="H172" t="n">
        <v>0</v>
      </c>
      <c r="I172" t="n">
        <v>0</v>
      </c>
      <c r="J172" t="n">
        <v>0</v>
      </c>
      <c r="K172" t="n">
        <v>0</v>
      </c>
      <c r="L172" t="n">
        <v>0</v>
      </c>
      <c r="M172" t="n">
        <v>0</v>
      </c>
      <c r="N172" t="n">
        <v>0</v>
      </c>
      <c r="O172" t="n">
        <v>0</v>
      </c>
      <c r="P172" t="n">
        <v>0</v>
      </c>
      <c r="Q172" t="n">
        <v>0</v>
      </c>
      <c r="R172" s="2" t="inlineStr"/>
    </row>
    <row r="173" ht="15" customHeight="1">
      <c r="A173" t="inlineStr">
        <is>
          <t>A 6626-2023</t>
        </is>
      </c>
      <c r="B173" s="1" t="n">
        <v>44966.55946759259</v>
      </c>
      <c r="C173" s="1" t="n">
        <v>45881</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46593-2020</t>
        </is>
      </c>
      <c r="B174" s="1" t="n">
        <v>44095</v>
      </c>
      <c r="C174" s="1" t="n">
        <v>45881</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56526-2022</t>
        </is>
      </c>
      <c r="B175" s="1" t="n">
        <v>44893</v>
      </c>
      <c r="C175" s="1" t="n">
        <v>45881</v>
      </c>
      <c r="D175" t="inlineStr">
        <is>
          <t>UPPSALA LÄN</t>
        </is>
      </c>
      <c r="E175" t="inlineStr">
        <is>
          <t>ENKÖPING</t>
        </is>
      </c>
      <c r="G175" t="n">
        <v>3.8</v>
      </c>
      <c r="H175" t="n">
        <v>0</v>
      </c>
      <c r="I175" t="n">
        <v>0</v>
      </c>
      <c r="J175" t="n">
        <v>0</v>
      </c>
      <c r="K175" t="n">
        <v>0</v>
      </c>
      <c r="L175" t="n">
        <v>0</v>
      </c>
      <c r="M175" t="n">
        <v>0</v>
      </c>
      <c r="N175" t="n">
        <v>0</v>
      </c>
      <c r="O175" t="n">
        <v>0</v>
      </c>
      <c r="P175" t="n">
        <v>0</v>
      </c>
      <c r="Q175" t="n">
        <v>0</v>
      </c>
      <c r="R175" s="2" t="inlineStr"/>
    </row>
    <row r="176" ht="15" customHeight="1">
      <c r="A176" t="inlineStr">
        <is>
          <t>A 48843-2023</t>
        </is>
      </c>
      <c r="B176" s="1" t="n">
        <v>45209</v>
      </c>
      <c r="C176" s="1" t="n">
        <v>45881</v>
      </c>
      <c r="D176" t="inlineStr">
        <is>
          <t>UPPSALA LÄN</t>
        </is>
      </c>
      <c r="E176" t="inlineStr">
        <is>
          <t>ENKÖPING</t>
        </is>
      </c>
      <c r="G176" t="n">
        <v>1.3</v>
      </c>
      <c r="H176" t="n">
        <v>0</v>
      </c>
      <c r="I176" t="n">
        <v>0</v>
      </c>
      <c r="J176" t="n">
        <v>0</v>
      </c>
      <c r="K176" t="n">
        <v>0</v>
      </c>
      <c r="L176" t="n">
        <v>0</v>
      </c>
      <c r="M176" t="n">
        <v>0</v>
      </c>
      <c r="N176" t="n">
        <v>0</v>
      </c>
      <c r="O176" t="n">
        <v>0</v>
      </c>
      <c r="P176" t="n">
        <v>0</v>
      </c>
      <c r="Q176" t="n">
        <v>0</v>
      </c>
      <c r="R176" s="2" t="inlineStr"/>
    </row>
    <row r="177" ht="15" customHeight="1">
      <c r="A177" t="inlineStr">
        <is>
          <t>A 60350-2022</t>
        </is>
      </c>
      <c r="B177" s="1" t="n">
        <v>44910</v>
      </c>
      <c r="C177" s="1" t="n">
        <v>45881</v>
      </c>
      <c r="D177" t="inlineStr">
        <is>
          <t>UPPSALA LÄN</t>
        </is>
      </c>
      <c r="E177" t="inlineStr">
        <is>
          <t>ENKÖPING</t>
        </is>
      </c>
      <c r="F177" t="inlineStr">
        <is>
          <t>Allmännings- och besparingsskogar</t>
        </is>
      </c>
      <c r="G177" t="n">
        <v>3.5</v>
      </c>
      <c r="H177" t="n">
        <v>0</v>
      </c>
      <c r="I177" t="n">
        <v>0</v>
      </c>
      <c r="J177" t="n">
        <v>0</v>
      </c>
      <c r="K177" t="n">
        <v>0</v>
      </c>
      <c r="L177" t="n">
        <v>0</v>
      </c>
      <c r="M177" t="n">
        <v>0</v>
      </c>
      <c r="N177" t="n">
        <v>0</v>
      </c>
      <c r="O177" t="n">
        <v>0</v>
      </c>
      <c r="P177" t="n">
        <v>0</v>
      </c>
      <c r="Q177" t="n">
        <v>0</v>
      </c>
      <c r="R177" s="2" t="inlineStr"/>
    </row>
    <row r="178" ht="15" customHeight="1">
      <c r="A178" t="inlineStr">
        <is>
          <t>A 28518-2024</t>
        </is>
      </c>
      <c r="B178" s="1" t="n">
        <v>45477</v>
      </c>
      <c r="C178" s="1" t="n">
        <v>45881</v>
      </c>
      <c r="D178" t="inlineStr">
        <is>
          <t>UPPSALA LÄN</t>
        </is>
      </c>
      <c r="E178" t="inlineStr">
        <is>
          <t>ENKÖPING</t>
        </is>
      </c>
      <c r="G178" t="n">
        <v>3.4</v>
      </c>
      <c r="H178" t="n">
        <v>0</v>
      </c>
      <c r="I178" t="n">
        <v>0</v>
      </c>
      <c r="J178" t="n">
        <v>0</v>
      </c>
      <c r="K178" t="n">
        <v>0</v>
      </c>
      <c r="L178" t="n">
        <v>0</v>
      </c>
      <c r="M178" t="n">
        <v>0</v>
      </c>
      <c r="N178" t="n">
        <v>0</v>
      </c>
      <c r="O178" t="n">
        <v>0</v>
      </c>
      <c r="P178" t="n">
        <v>0</v>
      </c>
      <c r="Q178" t="n">
        <v>0</v>
      </c>
      <c r="R178" s="2" t="inlineStr"/>
    </row>
    <row r="179" ht="15" customHeight="1">
      <c r="A179" t="inlineStr">
        <is>
          <t>A 57940-2022</t>
        </is>
      </c>
      <c r="B179" s="1" t="n">
        <v>44900</v>
      </c>
      <c r="C179" s="1" t="n">
        <v>45881</v>
      </c>
      <c r="D179" t="inlineStr">
        <is>
          <t>UPPSALA LÄN</t>
        </is>
      </c>
      <c r="E179" t="inlineStr">
        <is>
          <t>ENKÖPING</t>
        </is>
      </c>
      <c r="G179" t="n">
        <v>1.9</v>
      </c>
      <c r="H179" t="n">
        <v>0</v>
      </c>
      <c r="I179" t="n">
        <v>0</v>
      </c>
      <c r="J179" t="n">
        <v>0</v>
      </c>
      <c r="K179" t="n">
        <v>0</v>
      </c>
      <c r="L179" t="n">
        <v>0</v>
      </c>
      <c r="M179" t="n">
        <v>0</v>
      </c>
      <c r="N179" t="n">
        <v>0</v>
      </c>
      <c r="O179" t="n">
        <v>0</v>
      </c>
      <c r="P179" t="n">
        <v>0</v>
      </c>
      <c r="Q179" t="n">
        <v>0</v>
      </c>
      <c r="R179" s="2" t="inlineStr"/>
    </row>
    <row r="180" ht="15" customHeight="1">
      <c r="A180" t="inlineStr">
        <is>
          <t>A 35079-2024</t>
        </is>
      </c>
      <c r="B180" s="1" t="n">
        <v>45527.66770833333</v>
      </c>
      <c r="C180" s="1" t="n">
        <v>45881</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53595-2023</t>
        </is>
      </c>
      <c r="B181" s="1" t="n">
        <v>45223</v>
      </c>
      <c r="C181" s="1" t="n">
        <v>45881</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18592-2021</t>
        </is>
      </c>
      <c r="B182" s="1" t="n">
        <v>44306</v>
      </c>
      <c r="C182" s="1" t="n">
        <v>45881</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11918-2025</t>
        </is>
      </c>
      <c r="B183" s="1" t="n">
        <v>45728.49331018519</v>
      </c>
      <c r="C183" s="1" t="n">
        <v>45881</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30098-2024</t>
        </is>
      </c>
      <c r="B184" s="1" t="n">
        <v>45489.41609953704</v>
      </c>
      <c r="C184" s="1" t="n">
        <v>45881</v>
      </c>
      <c r="D184" t="inlineStr">
        <is>
          <t>UPPSALA LÄN</t>
        </is>
      </c>
      <c r="E184" t="inlineStr">
        <is>
          <t>ENKÖPING</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27837-2025</t>
        </is>
      </c>
      <c r="B185" s="1" t="n">
        <v>45817.37207175926</v>
      </c>
      <c r="C185" s="1" t="n">
        <v>45881</v>
      </c>
      <c r="D185" t="inlineStr">
        <is>
          <t>UPPSALA LÄN</t>
        </is>
      </c>
      <c r="E185" t="inlineStr">
        <is>
          <t>ENKÖPING</t>
        </is>
      </c>
      <c r="G185" t="n">
        <v>7.3</v>
      </c>
      <c r="H185" t="n">
        <v>0</v>
      </c>
      <c r="I185" t="n">
        <v>0</v>
      </c>
      <c r="J185" t="n">
        <v>0</v>
      </c>
      <c r="K185" t="n">
        <v>0</v>
      </c>
      <c r="L185" t="n">
        <v>0</v>
      </c>
      <c r="M185" t="n">
        <v>0</v>
      </c>
      <c r="N185" t="n">
        <v>0</v>
      </c>
      <c r="O185" t="n">
        <v>0</v>
      </c>
      <c r="P185" t="n">
        <v>0</v>
      </c>
      <c r="Q185" t="n">
        <v>0</v>
      </c>
      <c r="R185" s="2" t="inlineStr"/>
    </row>
    <row r="186" ht="15" customHeight="1">
      <c r="A186" t="inlineStr">
        <is>
          <t>A 1651-2024</t>
        </is>
      </c>
      <c r="B186" s="1" t="n">
        <v>45306.73770833333</v>
      </c>
      <c r="C186" s="1" t="n">
        <v>45881</v>
      </c>
      <c r="D186" t="inlineStr">
        <is>
          <t>UPPSALA LÄN</t>
        </is>
      </c>
      <c r="E186" t="inlineStr">
        <is>
          <t>ENKÖPING</t>
        </is>
      </c>
      <c r="G186" t="n">
        <v>10.2</v>
      </c>
      <c r="H186" t="n">
        <v>0</v>
      </c>
      <c r="I186" t="n">
        <v>0</v>
      </c>
      <c r="J186" t="n">
        <v>0</v>
      </c>
      <c r="K186" t="n">
        <v>0</v>
      </c>
      <c r="L186" t="n">
        <v>0</v>
      </c>
      <c r="M186" t="n">
        <v>0</v>
      </c>
      <c r="N186" t="n">
        <v>0</v>
      </c>
      <c r="O186" t="n">
        <v>0</v>
      </c>
      <c r="P186" t="n">
        <v>0</v>
      </c>
      <c r="Q186" t="n">
        <v>0</v>
      </c>
      <c r="R186" s="2" t="inlineStr"/>
    </row>
    <row r="187" ht="15" customHeight="1">
      <c r="A187" t="inlineStr">
        <is>
          <t>A 60289-2022</t>
        </is>
      </c>
      <c r="B187" s="1" t="n">
        <v>44910.53026620371</v>
      </c>
      <c r="C187" s="1" t="n">
        <v>45881</v>
      </c>
      <c r="D187" t="inlineStr">
        <is>
          <t>UPPSALA LÄN</t>
        </is>
      </c>
      <c r="E187" t="inlineStr">
        <is>
          <t>ENKÖPING</t>
        </is>
      </c>
      <c r="G187" t="n">
        <v>3.2</v>
      </c>
      <c r="H187" t="n">
        <v>0</v>
      </c>
      <c r="I187" t="n">
        <v>0</v>
      </c>
      <c r="J187" t="n">
        <v>0</v>
      </c>
      <c r="K187" t="n">
        <v>0</v>
      </c>
      <c r="L187" t="n">
        <v>0</v>
      </c>
      <c r="M187" t="n">
        <v>0</v>
      </c>
      <c r="N187" t="n">
        <v>0</v>
      </c>
      <c r="O187" t="n">
        <v>0</v>
      </c>
      <c r="P187" t="n">
        <v>0</v>
      </c>
      <c r="Q187" t="n">
        <v>0</v>
      </c>
      <c r="R187" s="2" t="inlineStr"/>
    </row>
    <row r="188" ht="15" customHeight="1">
      <c r="A188" t="inlineStr">
        <is>
          <t>A 52169-2020</t>
        </is>
      </c>
      <c r="B188" s="1" t="n">
        <v>44117</v>
      </c>
      <c r="C188" s="1" t="n">
        <v>45881</v>
      </c>
      <c r="D188" t="inlineStr">
        <is>
          <t>UPPSALA LÄN</t>
        </is>
      </c>
      <c r="E188" t="inlineStr">
        <is>
          <t>ENKÖPING</t>
        </is>
      </c>
      <c r="F188" t="inlineStr">
        <is>
          <t>Allmännings- och besparingsskogar</t>
        </is>
      </c>
      <c r="G188" t="n">
        <v>1.5</v>
      </c>
      <c r="H188" t="n">
        <v>0</v>
      </c>
      <c r="I188" t="n">
        <v>0</v>
      </c>
      <c r="J188" t="n">
        <v>0</v>
      </c>
      <c r="K188" t="n">
        <v>0</v>
      </c>
      <c r="L188" t="n">
        <v>0</v>
      </c>
      <c r="M188" t="n">
        <v>0</v>
      </c>
      <c r="N188" t="n">
        <v>0</v>
      </c>
      <c r="O188" t="n">
        <v>0</v>
      </c>
      <c r="P188" t="n">
        <v>0</v>
      </c>
      <c r="Q188" t="n">
        <v>0</v>
      </c>
      <c r="R188" s="2" t="inlineStr"/>
    </row>
    <row r="189" ht="15" customHeight="1">
      <c r="A189" t="inlineStr">
        <is>
          <t>A 60533-2021</t>
        </is>
      </c>
      <c r="B189" s="1" t="n">
        <v>44496</v>
      </c>
      <c r="C189" s="1" t="n">
        <v>45881</v>
      </c>
      <c r="D189" t="inlineStr">
        <is>
          <t>UPPSALA LÄN</t>
        </is>
      </c>
      <c r="E189" t="inlineStr">
        <is>
          <t>ENKÖPING</t>
        </is>
      </c>
      <c r="G189" t="n">
        <v>2.2</v>
      </c>
      <c r="H189" t="n">
        <v>0</v>
      </c>
      <c r="I189" t="n">
        <v>0</v>
      </c>
      <c r="J189" t="n">
        <v>0</v>
      </c>
      <c r="K189" t="n">
        <v>0</v>
      </c>
      <c r="L189" t="n">
        <v>0</v>
      </c>
      <c r="M189" t="n">
        <v>0</v>
      </c>
      <c r="N189" t="n">
        <v>0</v>
      </c>
      <c r="O189" t="n">
        <v>0</v>
      </c>
      <c r="P189" t="n">
        <v>0</v>
      </c>
      <c r="Q189" t="n">
        <v>0</v>
      </c>
      <c r="R189" s="2" t="inlineStr"/>
    </row>
    <row r="190" ht="15" customHeight="1">
      <c r="A190" t="inlineStr">
        <is>
          <t>A 15757-2023</t>
        </is>
      </c>
      <c r="B190" s="1" t="n">
        <v>45021</v>
      </c>
      <c r="C190" s="1" t="n">
        <v>45881</v>
      </c>
      <c r="D190" t="inlineStr">
        <is>
          <t>UPPSALA LÄN</t>
        </is>
      </c>
      <c r="E190" t="inlineStr">
        <is>
          <t>ENKÖPING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43230-2023</t>
        </is>
      </c>
      <c r="B191" s="1" t="n">
        <v>45183</v>
      </c>
      <c r="C191" s="1" t="n">
        <v>45881</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56886-2023</t>
        </is>
      </c>
      <c r="B192" s="1" t="n">
        <v>45239</v>
      </c>
      <c r="C192" s="1" t="n">
        <v>45881</v>
      </c>
      <c r="D192" t="inlineStr">
        <is>
          <t>UPPSALA LÄN</t>
        </is>
      </c>
      <c r="E192" t="inlineStr">
        <is>
          <t>ENKÖPING</t>
        </is>
      </c>
      <c r="G192" t="n">
        <v>2</v>
      </c>
      <c r="H192" t="n">
        <v>0</v>
      </c>
      <c r="I192" t="n">
        <v>0</v>
      </c>
      <c r="J192" t="n">
        <v>0</v>
      </c>
      <c r="K192" t="n">
        <v>0</v>
      </c>
      <c r="L192" t="n">
        <v>0</v>
      </c>
      <c r="M192" t="n">
        <v>0</v>
      </c>
      <c r="N192" t="n">
        <v>0</v>
      </c>
      <c r="O192" t="n">
        <v>0</v>
      </c>
      <c r="P192" t="n">
        <v>0</v>
      </c>
      <c r="Q192" t="n">
        <v>0</v>
      </c>
      <c r="R192" s="2" t="inlineStr"/>
    </row>
    <row r="193" ht="15" customHeight="1">
      <c r="A193" t="inlineStr">
        <is>
          <t>A 43896-2022</t>
        </is>
      </c>
      <c r="B193" s="1" t="n">
        <v>44838</v>
      </c>
      <c r="C193" s="1" t="n">
        <v>45881</v>
      </c>
      <c r="D193" t="inlineStr">
        <is>
          <t>UPPSALA LÄN</t>
        </is>
      </c>
      <c r="E193" t="inlineStr">
        <is>
          <t>ENKÖPING</t>
        </is>
      </c>
      <c r="G193" t="n">
        <v>5.3</v>
      </c>
      <c r="H193" t="n">
        <v>0</v>
      </c>
      <c r="I193" t="n">
        <v>0</v>
      </c>
      <c r="J193" t="n">
        <v>0</v>
      </c>
      <c r="K193" t="n">
        <v>0</v>
      </c>
      <c r="L193" t="n">
        <v>0</v>
      </c>
      <c r="M193" t="n">
        <v>0</v>
      </c>
      <c r="N193" t="n">
        <v>0</v>
      </c>
      <c r="O193" t="n">
        <v>0</v>
      </c>
      <c r="P193" t="n">
        <v>0</v>
      </c>
      <c r="Q193" t="n">
        <v>0</v>
      </c>
      <c r="R193" s="2" t="inlineStr"/>
    </row>
    <row r="194" ht="15" customHeight="1">
      <c r="A194" t="inlineStr">
        <is>
          <t>A 51011-2024</t>
        </is>
      </c>
      <c r="B194" s="1" t="n">
        <v>45603.39427083333</v>
      </c>
      <c r="C194" s="1" t="n">
        <v>45881</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17038-2025</t>
        </is>
      </c>
      <c r="B195" s="1" t="n">
        <v>45755.57776620371</v>
      </c>
      <c r="C195" s="1" t="n">
        <v>45881</v>
      </c>
      <c r="D195" t="inlineStr">
        <is>
          <t>UPPSALA LÄN</t>
        </is>
      </c>
      <c r="E195" t="inlineStr">
        <is>
          <t>ENKÖPING</t>
        </is>
      </c>
      <c r="G195" t="n">
        <v>4.8</v>
      </c>
      <c r="H195" t="n">
        <v>0</v>
      </c>
      <c r="I195" t="n">
        <v>0</v>
      </c>
      <c r="J195" t="n">
        <v>0</v>
      </c>
      <c r="K195" t="n">
        <v>0</v>
      </c>
      <c r="L195" t="n">
        <v>0</v>
      </c>
      <c r="M195" t="n">
        <v>0</v>
      </c>
      <c r="N195" t="n">
        <v>0</v>
      </c>
      <c r="O195" t="n">
        <v>0</v>
      </c>
      <c r="P195" t="n">
        <v>0</v>
      </c>
      <c r="Q195" t="n">
        <v>0</v>
      </c>
      <c r="R195" s="2" t="inlineStr"/>
    </row>
    <row r="196" ht="15" customHeight="1">
      <c r="A196" t="inlineStr">
        <is>
          <t>A 20440-2025</t>
        </is>
      </c>
      <c r="B196" s="1" t="n">
        <v>45775</v>
      </c>
      <c r="C196" s="1" t="n">
        <v>45881</v>
      </c>
      <c r="D196" t="inlineStr">
        <is>
          <t>UPPSALA LÄN</t>
        </is>
      </c>
      <c r="E196" t="inlineStr">
        <is>
          <t>ENKÖPING</t>
        </is>
      </c>
      <c r="G196" t="n">
        <v>1.6</v>
      </c>
      <c r="H196" t="n">
        <v>0</v>
      </c>
      <c r="I196" t="n">
        <v>0</v>
      </c>
      <c r="J196" t="n">
        <v>0</v>
      </c>
      <c r="K196" t="n">
        <v>0</v>
      </c>
      <c r="L196" t="n">
        <v>0</v>
      </c>
      <c r="M196" t="n">
        <v>0</v>
      </c>
      <c r="N196" t="n">
        <v>0</v>
      </c>
      <c r="O196" t="n">
        <v>0</v>
      </c>
      <c r="P196" t="n">
        <v>0</v>
      </c>
      <c r="Q196" t="n">
        <v>0</v>
      </c>
      <c r="R196" s="2" t="inlineStr"/>
    </row>
    <row r="197" ht="15" customHeight="1">
      <c r="A197" t="inlineStr">
        <is>
          <t>A 18038-2025</t>
        </is>
      </c>
      <c r="B197" s="1" t="n">
        <v>45761</v>
      </c>
      <c r="C197" s="1" t="n">
        <v>45881</v>
      </c>
      <c r="D197" t="inlineStr">
        <is>
          <t>UPPSALA LÄN</t>
        </is>
      </c>
      <c r="E197" t="inlineStr">
        <is>
          <t>ENKÖPING</t>
        </is>
      </c>
      <c r="G197" t="n">
        <v>0.8</v>
      </c>
      <c r="H197" t="n">
        <v>0</v>
      </c>
      <c r="I197" t="n">
        <v>0</v>
      </c>
      <c r="J197" t="n">
        <v>0</v>
      </c>
      <c r="K197" t="n">
        <v>0</v>
      </c>
      <c r="L197" t="n">
        <v>0</v>
      </c>
      <c r="M197" t="n">
        <v>0</v>
      </c>
      <c r="N197" t="n">
        <v>0</v>
      </c>
      <c r="O197" t="n">
        <v>0</v>
      </c>
      <c r="P197" t="n">
        <v>0</v>
      </c>
      <c r="Q197" t="n">
        <v>0</v>
      </c>
      <c r="R197" s="2" t="inlineStr"/>
    </row>
    <row r="198" ht="15" customHeight="1">
      <c r="A198" t="inlineStr">
        <is>
          <t>A 31242-2024</t>
        </is>
      </c>
      <c r="B198" s="1" t="n">
        <v>45503</v>
      </c>
      <c r="C198" s="1" t="n">
        <v>45881</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2162-2023</t>
        </is>
      </c>
      <c r="B199" s="1" t="n">
        <v>44941</v>
      </c>
      <c r="C199" s="1" t="n">
        <v>45881</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56163-2021</t>
        </is>
      </c>
      <c r="B200" s="1" t="n">
        <v>44477</v>
      </c>
      <c r="C200" s="1" t="n">
        <v>45881</v>
      </c>
      <c r="D200" t="inlineStr">
        <is>
          <t>UPPSALA LÄN</t>
        </is>
      </c>
      <c r="E200" t="inlineStr">
        <is>
          <t>ENKÖPING</t>
        </is>
      </c>
      <c r="F200" t="inlineStr">
        <is>
          <t>Allmännings- och besparingsskogar</t>
        </is>
      </c>
      <c r="G200" t="n">
        <v>0.6</v>
      </c>
      <c r="H200" t="n">
        <v>0</v>
      </c>
      <c r="I200" t="n">
        <v>0</v>
      </c>
      <c r="J200" t="n">
        <v>0</v>
      </c>
      <c r="K200" t="n">
        <v>0</v>
      </c>
      <c r="L200" t="n">
        <v>0</v>
      </c>
      <c r="M200" t="n">
        <v>0</v>
      </c>
      <c r="N200" t="n">
        <v>0</v>
      </c>
      <c r="O200" t="n">
        <v>0</v>
      </c>
      <c r="P200" t="n">
        <v>0</v>
      </c>
      <c r="Q200" t="n">
        <v>0</v>
      </c>
      <c r="R200" s="2" t="inlineStr"/>
    </row>
    <row r="201" ht="15" customHeight="1">
      <c r="A201" t="inlineStr">
        <is>
          <t>A 41737-2022</t>
        </is>
      </c>
      <c r="B201" s="1" t="n">
        <v>44827.63826388889</v>
      </c>
      <c r="C201" s="1" t="n">
        <v>45881</v>
      </c>
      <c r="D201" t="inlineStr">
        <is>
          <t>UPPSALA LÄN</t>
        </is>
      </c>
      <c r="E201" t="inlineStr">
        <is>
          <t>ENKÖPING</t>
        </is>
      </c>
      <c r="G201" t="n">
        <v>1.5</v>
      </c>
      <c r="H201" t="n">
        <v>0</v>
      </c>
      <c r="I201" t="n">
        <v>0</v>
      </c>
      <c r="J201" t="n">
        <v>0</v>
      </c>
      <c r="K201" t="n">
        <v>0</v>
      </c>
      <c r="L201" t="n">
        <v>0</v>
      </c>
      <c r="M201" t="n">
        <v>0</v>
      </c>
      <c r="N201" t="n">
        <v>0</v>
      </c>
      <c r="O201" t="n">
        <v>0</v>
      </c>
      <c r="P201" t="n">
        <v>0</v>
      </c>
      <c r="Q201" t="n">
        <v>0</v>
      </c>
      <c r="R201" s="2" t="inlineStr"/>
    </row>
    <row r="202" ht="15" customHeight="1">
      <c r="A202" t="inlineStr">
        <is>
          <t>A 28318-2024</t>
        </is>
      </c>
      <c r="B202" s="1" t="n">
        <v>45477</v>
      </c>
      <c r="C202" s="1" t="n">
        <v>45881</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54595-2021</t>
        </is>
      </c>
      <c r="B203" s="1" t="n">
        <v>44473.58824074074</v>
      </c>
      <c r="C203" s="1" t="n">
        <v>45881</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22094-2023</t>
        </is>
      </c>
      <c r="B204" s="1" t="n">
        <v>45069</v>
      </c>
      <c r="C204" s="1" t="n">
        <v>45881</v>
      </c>
      <c r="D204" t="inlineStr">
        <is>
          <t>UPPSALA LÄN</t>
        </is>
      </c>
      <c r="E204" t="inlineStr">
        <is>
          <t>ENKÖPING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12102-2024</t>
        </is>
      </c>
      <c r="B205" s="1" t="n">
        <v>45377</v>
      </c>
      <c r="C205" s="1" t="n">
        <v>45881</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58961-2024</t>
        </is>
      </c>
      <c r="B206" s="1" t="n">
        <v>45636.585</v>
      </c>
      <c r="C206" s="1" t="n">
        <v>45881</v>
      </c>
      <c r="D206" t="inlineStr">
        <is>
          <t>UPPSALA LÄN</t>
        </is>
      </c>
      <c r="E206" t="inlineStr">
        <is>
          <t>ENKÖPING</t>
        </is>
      </c>
      <c r="G206" t="n">
        <v>4</v>
      </c>
      <c r="H206" t="n">
        <v>0</v>
      </c>
      <c r="I206" t="n">
        <v>0</v>
      </c>
      <c r="J206" t="n">
        <v>0</v>
      </c>
      <c r="K206" t="n">
        <v>0</v>
      </c>
      <c r="L206" t="n">
        <v>0</v>
      </c>
      <c r="M206" t="n">
        <v>0</v>
      </c>
      <c r="N206" t="n">
        <v>0</v>
      </c>
      <c r="O206" t="n">
        <v>0</v>
      </c>
      <c r="P206" t="n">
        <v>0</v>
      </c>
      <c r="Q206" t="n">
        <v>0</v>
      </c>
      <c r="R206" s="2" t="inlineStr"/>
    </row>
    <row r="207" ht="15" customHeight="1">
      <c r="A207" t="inlineStr">
        <is>
          <t>A 35647-2021</t>
        </is>
      </c>
      <c r="B207" s="1" t="n">
        <v>44386</v>
      </c>
      <c r="C207" s="1" t="n">
        <v>45881</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45283-2022</t>
        </is>
      </c>
      <c r="B208" s="1" t="n">
        <v>44844</v>
      </c>
      <c r="C208" s="1" t="n">
        <v>45881</v>
      </c>
      <c r="D208" t="inlineStr">
        <is>
          <t>UPPSALA LÄN</t>
        </is>
      </c>
      <c r="E208" t="inlineStr">
        <is>
          <t>ENKÖPING</t>
        </is>
      </c>
      <c r="G208" t="n">
        <v>5.9</v>
      </c>
      <c r="H208" t="n">
        <v>0</v>
      </c>
      <c r="I208" t="n">
        <v>0</v>
      </c>
      <c r="J208" t="n">
        <v>0</v>
      </c>
      <c r="K208" t="n">
        <v>0</v>
      </c>
      <c r="L208" t="n">
        <v>0</v>
      </c>
      <c r="M208" t="n">
        <v>0</v>
      </c>
      <c r="N208" t="n">
        <v>0</v>
      </c>
      <c r="O208" t="n">
        <v>0</v>
      </c>
      <c r="P208" t="n">
        <v>0</v>
      </c>
      <c r="Q208" t="n">
        <v>0</v>
      </c>
      <c r="R208" s="2" t="inlineStr"/>
    </row>
    <row r="209" ht="15" customHeight="1">
      <c r="A209" t="inlineStr">
        <is>
          <t>A 845-2025</t>
        </is>
      </c>
      <c r="B209" s="1" t="n">
        <v>45665</v>
      </c>
      <c r="C209" s="1" t="n">
        <v>45881</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849-2025</t>
        </is>
      </c>
      <c r="B210" s="1" t="n">
        <v>45665</v>
      </c>
      <c r="C210" s="1" t="n">
        <v>45881</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45378-2020</t>
        </is>
      </c>
      <c r="B211" s="1" t="n">
        <v>44089</v>
      </c>
      <c r="C211" s="1" t="n">
        <v>45881</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24962-2023</t>
        </is>
      </c>
      <c r="B212" s="1" t="n">
        <v>45085.60123842592</v>
      </c>
      <c r="C212" s="1" t="n">
        <v>45881</v>
      </c>
      <c r="D212" t="inlineStr">
        <is>
          <t>UPPSALA LÄN</t>
        </is>
      </c>
      <c r="E212" t="inlineStr">
        <is>
          <t>ENKÖPING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14402-2023</t>
        </is>
      </c>
      <c r="B213" s="1" t="n">
        <v>45012</v>
      </c>
      <c r="C213" s="1" t="n">
        <v>45881</v>
      </c>
      <c r="D213" t="inlineStr">
        <is>
          <t>UPPSALA LÄN</t>
        </is>
      </c>
      <c r="E213" t="inlineStr">
        <is>
          <t>ENKÖPING</t>
        </is>
      </c>
      <c r="G213" t="n">
        <v>9.5</v>
      </c>
      <c r="H213" t="n">
        <v>0</v>
      </c>
      <c r="I213" t="n">
        <v>0</v>
      </c>
      <c r="J213" t="n">
        <v>0</v>
      </c>
      <c r="K213" t="n">
        <v>0</v>
      </c>
      <c r="L213" t="n">
        <v>0</v>
      </c>
      <c r="M213" t="n">
        <v>0</v>
      </c>
      <c r="N213" t="n">
        <v>0</v>
      </c>
      <c r="O213" t="n">
        <v>0</v>
      </c>
      <c r="P213" t="n">
        <v>0</v>
      </c>
      <c r="Q213" t="n">
        <v>0</v>
      </c>
      <c r="R213" s="2" t="inlineStr"/>
    </row>
    <row r="214" ht="15" customHeight="1">
      <c r="A214" t="inlineStr">
        <is>
          <t>A 44131-2023</t>
        </is>
      </c>
      <c r="B214" s="1" t="n">
        <v>45188</v>
      </c>
      <c r="C214" s="1" t="n">
        <v>45881</v>
      </c>
      <c r="D214" t="inlineStr">
        <is>
          <t>UPPSALA LÄN</t>
        </is>
      </c>
      <c r="E214" t="inlineStr">
        <is>
          <t>ENKÖPING</t>
        </is>
      </c>
      <c r="G214" t="n">
        <v>0.3</v>
      </c>
      <c r="H214" t="n">
        <v>0</v>
      </c>
      <c r="I214" t="n">
        <v>0</v>
      </c>
      <c r="J214" t="n">
        <v>0</v>
      </c>
      <c r="K214" t="n">
        <v>0</v>
      </c>
      <c r="L214" t="n">
        <v>0</v>
      </c>
      <c r="M214" t="n">
        <v>0</v>
      </c>
      <c r="N214" t="n">
        <v>0</v>
      </c>
      <c r="O214" t="n">
        <v>0</v>
      </c>
      <c r="P214" t="n">
        <v>0</v>
      </c>
      <c r="Q214" t="n">
        <v>0</v>
      </c>
      <c r="R214" s="2" t="inlineStr"/>
    </row>
    <row r="215" ht="15" customHeight="1">
      <c r="A215" t="inlineStr">
        <is>
          <t>A 29482-2022</t>
        </is>
      </c>
      <c r="B215" s="1" t="n">
        <v>44753.57703703704</v>
      </c>
      <c r="C215" s="1" t="n">
        <v>45881</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29483-2022</t>
        </is>
      </c>
      <c r="B216" s="1" t="n">
        <v>44753.57829861111</v>
      </c>
      <c r="C216" s="1" t="n">
        <v>45881</v>
      </c>
      <c r="D216" t="inlineStr">
        <is>
          <t>UPPSALA LÄN</t>
        </is>
      </c>
      <c r="E216" t="inlineStr">
        <is>
          <t>ENKÖPING</t>
        </is>
      </c>
      <c r="G216" t="n">
        <v>3.6</v>
      </c>
      <c r="H216" t="n">
        <v>0</v>
      </c>
      <c r="I216" t="n">
        <v>0</v>
      </c>
      <c r="J216" t="n">
        <v>0</v>
      </c>
      <c r="K216" t="n">
        <v>0</v>
      </c>
      <c r="L216" t="n">
        <v>0</v>
      </c>
      <c r="M216" t="n">
        <v>0</v>
      </c>
      <c r="N216" t="n">
        <v>0</v>
      </c>
      <c r="O216" t="n">
        <v>0</v>
      </c>
      <c r="P216" t="n">
        <v>0</v>
      </c>
      <c r="Q216" t="n">
        <v>0</v>
      </c>
      <c r="R216" s="2" t="inlineStr"/>
    </row>
    <row r="217" ht="15" customHeight="1">
      <c r="A217" t="inlineStr">
        <is>
          <t>A 37170-2021</t>
        </is>
      </c>
      <c r="B217" s="1" t="n">
        <v>44395</v>
      </c>
      <c r="C217" s="1" t="n">
        <v>45881</v>
      </c>
      <c r="D217" t="inlineStr">
        <is>
          <t>UPPSALA LÄN</t>
        </is>
      </c>
      <c r="E217" t="inlineStr">
        <is>
          <t>ENKÖPING</t>
        </is>
      </c>
      <c r="G217" t="n">
        <v>1.5</v>
      </c>
      <c r="H217" t="n">
        <v>0</v>
      </c>
      <c r="I217" t="n">
        <v>0</v>
      </c>
      <c r="J217" t="n">
        <v>0</v>
      </c>
      <c r="K217" t="n">
        <v>0</v>
      </c>
      <c r="L217" t="n">
        <v>0</v>
      </c>
      <c r="M217" t="n">
        <v>0</v>
      </c>
      <c r="N217" t="n">
        <v>0</v>
      </c>
      <c r="O217" t="n">
        <v>0</v>
      </c>
      <c r="P217" t="n">
        <v>0</v>
      </c>
      <c r="Q217" t="n">
        <v>0</v>
      </c>
      <c r="R217" s="2" t="inlineStr"/>
    </row>
    <row r="218" ht="15" customHeight="1">
      <c r="A218" t="inlineStr">
        <is>
          <t>A 39115-2024</t>
        </is>
      </c>
      <c r="B218" s="1" t="n">
        <v>45548</v>
      </c>
      <c r="C218" s="1" t="n">
        <v>45881</v>
      </c>
      <c r="D218" t="inlineStr">
        <is>
          <t>UPPSALA LÄN</t>
        </is>
      </c>
      <c r="E218" t="inlineStr">
        <is>
          <t>ENKÖPING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12020-2024</t>
        </is>
      </c>
      <c r="B219" s="1" t="n">
        <v>45377</v>
      </c>
      <c r="C219" s="1" t="n">
        <v>45881</v>
      </c>
      <c r="D219" t="inlineStr">
        <is>
          <t>UPPSALA LÄN</t>
        </is>
      </c>
      <c r="E219" t="inlineStr">
        <is>
          <t>ENKÖPING</t>
        </is>
      </c>
      <c r="G219" t="n">
        <v>2</v>
      </c>
      <c r="H219" t="n">
        <v>0</v>
      </c>
      <c r="I219" t="n">
        <v>0</v>
      </c>
      <c r="J219" t="n">
        <v>0</v>
      </c>
      <c r="K219" t="n">
        <v>0</v>
      </c>
      <c r="L219" t="n">
        <v>0</v>
      </c>
      <c r="M219" t="n">
        <v>0</v>
      </c>
      <c r="N219" t="n">
        <v>0</v>
      </c>
      <c r="O219" t="n">
        <v>0</v>
      </c>
      <c r="P219" t="n">
        <v>0</v>
      </c>
      <c r="Q219" t="n">
        <v>0</v>
      </c>
      <c r="R219" s="2" t="inlineStr"/>
    </row>
    <row r="220" ht="15" customHeight="1">
      <c r="A220" t="inlineStr">
        <is>
          <t>A 53343-2020</t>
        </is>
      </c>
      <c r="B220" s="1" t="n">
        <v>44123.53505787037</v>
      </c>
      <c r="C220" s="1" t="n">
        <v>45881</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51092-2020</t>
        </is>
      </c>
      <c r="B221" s="1" t="n">
        <v>44112</v>
      </c>
      <c r="C221" s="1" t="n">
        <v>45881</v>
      </c>
      <c r="D221" t="inlineStr">
        <is>
          <t>UPPSALA LÄN</t>
        </is>
      </c>
      <c r="E221" t="inlineStr">
        <is>
          <t>ENKÖPING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69344-2021</t>
        </is>
      </c>
      <c r="B222" s="1" t="n">
        <v>44531</v>
      </c>
      <c r="C222" s="1" t="n">
        <v>45881</v>
      </c>
      <c r="D222" t="inlineStr">
        <is>
          <t>UPPSALA LÄN</t>
        </is>
      </c>
      <c r="E222" t="inlineStr">
        <is>
          <t>ENKÖPING</t>
        </is>
      </c>
      <c r="G222" t="n">
        <v>2.9</v>
      </c>
      <c r="H222" t="n">
        <v>0</v>
      </c>
      <c r="I222" t="n">
        <v>0</v>
      </c>
      <c r="J222" t="n">
        <v>0</v>
      </c>
      <c r="K222" t="n">
        <v>0</v>
      </c>
      <c r="L222" t="n">
        <v>0</v>
      </c>
      <c r="M222" t="n">
        <v>0</v>
      </c>
      <c r="N222" t="n">
        <v>0</v>
      </c>
      <c r="O222" t="n">
        <v>0</v>
      </c>
      <c r="P222" t="n">
        <v>0</v>
      </c>
      <c r="Q222" t="n">
        <v>0</v>
      </c>
      <c r="R222" s="2" t="inlineStr"/>
    </row>
    <row r="223" ht="15" customHeight="1">
      <c r="A223" t="inlineStr">
        <is>
          <t>A 34124-2021</t>
        </is>
      </c>
      <c r="B223" s="1" t="n">
        <v>44379</v>
      </c>
      <c r="C223" s="1" t="n">
        <v>45881</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43697-2024</t>
        </is>
      </c>
      <c r="B224" s="1" t="n">
        <v>45569</v>
      </c>
      <c r="C224" s="1" t="n">
        <v>45881</v>
      </c>
      <c r="D224" t="inlineStr">
        <is>
          <t>UPPSALA LÄN</t>
        </is>
      </c>
      <c r="E224" t="inlineStr">
        <is>
          <t>ENKÖPING</t>
        </is>
      </c>
      <c r="G224" t="n">
        <v>2.1</v>
      </c>
      <c r="H224" t="n">
        <v>0</v>
      </c>
      <c r="I224" t="n">
        <v>0</v>
      </c>
      <c r="J224" t="n">
        <v>0</v>
      </c>
      <c r="K224" t="n">
        <v>0</v>
      </c>
      <c r="L224" t="n">
        <v>0</v>
      </c>
      <c r="M224" t="n">
        <v>0</v>
      </c>
      <c r="N224" t="n">
        <v>0</v>
      </c>
      <c r="O224" t="n">
        <v>0</v>
      </c>
      <c r="P224" t="n">
        <v>0</v>
      </c>
      <c r="Q224" t="n">
        <v>0</v>
      </c>
      <c r="R224" s="2" t="inlineStr"/>
    </row>
    <row r="225" ht="15" customHeight="1">
      <c r="A225" t="inlineStr">
        <is>
          <t>A 53496-2022</t>
        </is>
      </c>
      <c r="B225" s="1" t="n">
        <v>44879.57217592592</v>
      </c>
      <c r="C225" s="1" t="n">
        <v>45881</v>
      </c>
      <c r="D225" t="inlineStr">
        <is>
          <t>UPPSALA LÄN</t>
        </is>
      </c>
      <c r="E225" t="inlineStr">
        <is>
          <t>ENKÖPING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58147-2024</t>
        </is>
      </c>
      <c r="B226" s="1" t="n">
        <v>45632.4334375</v>
      </c>
      <c r="C226" s="1" t="n">
        <v>45881</v>
      </c>
      <c r="D226" t="inlineStr">
        <is>
          <t>UPPSALA LÄN</t>
        </is>
      </c>
      <c r="E226" t="inlineStr">
        <is>
          <t>ENKÖPING</t>
        </is>
      </c>
      <c r="G226" t="n">
        <v>3</v>
      </c>
      <c r="H226" t="n">
        <v>0</v>
      </c>
      <c r="I226" t="n">
        <v>0</v>
      </c>
      <c r="J226" t="n">
        <v>0</v>
      </c>
      <c r="K226" t="n">
        <v>0</v>
      </c>
      <c r="L226" t="n">
        <v>0</v>
      </c>
      <c r="M226" t="n">
        <v>0</v>
      </c>
      <c r="N226" t="n">
        <v>0</v>
      </c>
      <c r="O226" t="n">
        <v>0</v>
      </c>
      <c r="P226" t="n">
        <v>0</v>
      </c>
      <c r="Q226" t="n">
        <v>0</v>
      </c>
      <c r="R226" s="2" t="inlineStr"/>
    </row>
    <row r="227" ht="15" customHeight="1">
      <c r="A227" t="inlineStr">
        <is>
          <t>A 27983-2024</t>
        </is>
      </c>
      <c r="B227" s="1" t="n">
        <v>45476</v>
      </c>
      <c r="C227" s="1" t="n">
        <v>45881</v>
      </c>
      <c r="D227" t="inlineStr">
        <is>
          <t>UPPSALA LÄN</t>
        </is>
      </c>
      <c r="E227" t="inlineStr">
        <is>
          <t>ENKÖPING</t>
        </is>
      </c>
      <c r="G227" t="n">
        <v>3.2</v>
      </c>
      <c r="H227" t="n">
        <v>0</v>
      </c>
      <c r="I227" t="n">
        <v>0</v>
      </c>
      <c r="J227" t="n">
        <v>0</v>
      </c>
      <c r="K227" t="n">
        <v>0</v>
      </c>
      <c r="L227" t="n">
        <v>0</v>
      </c>
      <c r="M227" t="n">
        <v>0</v>
      </c>
      <c r="N227" t="n">
        <v>0</v>
      </c>
      <c r="O227" t="n">
        <v>0</v>
      </c>
      <c r="P227" t="n">
        <v>0</v>
      </c>
      <c r="Q227" t="n">
        <v>0</v>
      </c>
      <c r="R227" s="2" t="inlineStr"/>
    </row>
    <row r="228" ht="15" customHeight="1">
      <c r="A228" t="inlineStr">
        <is>
          <t>A 51010-2024</t>
        </is>
      </c>
      <c r="B228" s="1" t="n">
        <v>45603.39285879629</v>
      </c>
      <c r="C228" s="1" t="n">
        <v>45881</v>
      </c>
      <c r="D228" t="inlineStr">
        <is>
          <t>UPPSALA LÄN</t>
        </is>
      </c>
      <c r="E228" t="inlineStr">
        <is>
          <t>ENKÖPING</t>
        </is>
      </c>
      <c r="G228" t="n">
        <v>1.7</v>
      </c>
      <c r="H228" t="n">
        <v>0</v>
      </c>
      <c r="I228" t="n">
        <v>0</v>
      </c>
      <c r="J228" t="n">
        <v>0</v>
      </c>
      <c r="K228" t="n">
        <v>0</v>
      </c>
      <c r="L228" t="n">
        <v>0</v>
      </c>
      <c r="M228" t="n">
        <v>0</v>
      </c>
      <c r="N228" t="n">
        <v>0</v>
      </c>
      <c r="O228" t="n">
        <v>0</v>
      </c>
      <c r="P228" t="n">
        <v>0</v>
      </c>
      <c r="Q228" t="n">
        <v>0</v>
      </c>
      <c r="R228" s="2" t="inlineStr"/>
    </row>
    <row r="229" ht="15" customHeight="1">
      <c r="A229" t="inlineStr">
        <is>
          <t>A 51042-2024</t>
        </is>
      </c>
      <c r="B229" s="1" t="n">
        <v>45603.4342824074</v>
      </c>
      <c r="C229" s="1" t="n">
        <v>45881</v>
      </c>
      <c r="D229" t="inlineStr">
        <is>
          <t>UPPSALA LÄN</t>
        </is>
      </c>
      <c r="E229" t="inlineStr">
        <is>
          <t>ENKÖPING</t>
        </is>
      </c>
      <c r="G229" t="n">
        <v>4.6</v>
      </c>
      <c r="H229" t="n">
        <v>0</v>
      </c>
      <c r="I229" t="n">
        <v>0</v>
      </c>
      <c r="J229" t="n">
        <v>0</v>
      </c>
      <c r="K229" t="n">
        <v>0</v>
      </c>
      <c r="L229" t="n">
        <v>0</v>
      </c>
      <c r="M229" t="n">
        <v>0</v>
      </c>
      <c r="N229" t="n">
        <v>0</v>
      </c>
      <c r="O229" t="n">
        <v>0</v>
      </c>
      <c r="P229" t="n">
        <v>0</v>
      </c>
      <c r="Q229" t="n">
        <v>0</v>
      </c>
      <c r="R229" s="2" t="inlineStr"/>
    </row>
    <row r="230" ht="15" customHeight="1">
      <c r="A230" t="inlineStr">
        <is>
          <t>A 7870-2024</t>
        </is>
      </c>
      <c r="B230" s="1" t="n">
        <v>45350.33349537037</v>
      </c>
      <c r="C230" s="1" t="n">
        <v>45881</v>
      </c>
      <c r="D230" t="inlineStr">
        <is>
          <t>UPPSALA LÄN</t>
        </is>
      </c>
      <c r="E230" t="inlineStr">
        <is>
          <t>ENKÖPING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28243-2023</t>
        </is>
      </c>
      <c r="B231" s="1" t="n">
        <v>45099.58885416666</v>
      </c>
      <c r="C231" s="1" t="n">
        <v>45881</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18302-2025</t>
        </is>
      </c>
      <c r="B232" s="1" t="n">
        <v>45762</v>
      </c>
      <c r="C232" s="1" t="n">
        <v>45881</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34735-2023</t>
        </is>
      </c>
      <c r="B233" s="1" t="n">
        <v>45139</v>
      </c>
      <c r="C233" s="1" t="n">
        <v>45881</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10829-2024</t>
        </is>
      </c>
      <c r="B234" s="1" t="n">
        <v>45369</v>
      </c>
      <c r="C234" s="1" t="n">
        <v>45881</v>
      </c>
      <c r="D234" t="inlineStr">
        <is>
          <t>UPPSALA LÄN</t>
        </is>
      </c>
      <c r="E234" t="inlineStr">
        <is>
          <t>ENKÖPING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2161-2023</t>
        </is>
      </c>
      <c r="B235" s="1" t="n">
        <v>44941</v>
      </c>
      <c r="C235" s="1" t="n">
        <v>45881</v>
      </c>
      <c r="D235" t="inlineStr">
        <is>
          <t>UPPSALA LÄN</t>
        </is>
      </c>
      <c r="E235" t="inlineStr">
        <is>
          <t>ENKÖPING</t>
        </is>
      </c>
      <c r="G235" t="n">
        <v>0.9</v>
      </c>
      <c r="H235" t="n">
        <v>0</v>
      </c>
      <c r="I235" t="n">
        <v>0</v>
      </c>
      <c r="J235" t="n">
        <v>0</v>
      </c>
      <c r="K235" t="n">
        <v>0</v>
      </c>
      <c r="L235" t="n">
        <v>0</v>
      </c>
      <c r="M235" t="n">
        <v>0</v>
      </c>
      <c r="N235" t="n">
        <v>0</v>
      </c>
      <c r="O235" t="n">
        <v>0</v>
      </c>
      <c r="P235" t="n">
        <v>0</v>
      </c>
      <c r="Q235" t="n">
        <v>0</v>
      </c>
      <c r="R235" s="2" t="inlineStr"/>
    </row>
    <row r="236" ht="15" customHeight="1">
      <c r="A236" t="inlineStr">
        <is>
          <t>A 2165-2023</t>
        </is>
      </c>
      <c r="B236" s="1" t="n">
        <v>44941</v>
      </c>
      <c r="C236" s="1" t="n">
        <v>45881</v>
      </c>
      <c r="D236" t="inlineStr">
        <is>
          <t>UPPSALA LÄN</t>
        </is>
      </c>
      <c r="E236" t="inlineStr">
        <is>
          <t>ENKÖPING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30514-2021</t>
        </is>
      </c>
      <c r="B237" s="1" t="n">
        <v>44364</v>
      </c>
      <c r="C237" s="1" t="n">
        <v>45881</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22912-2024</t>
        </is>
      </c>
      <c r="B238" s="1" t="n">
        <v>45448.73118055556</v>
      </c>
      <c r="C238" s="1" t="n">
        <v>45881</v>
      </c>
      <c r="D238" t="inlineStr">
        <is>
          <t>UPPSALA LÄN</t>
        </is>
      </c>
      <c r="E238" t="inlineStr">
        <is>
          <t>ENKÖPING</t>
        </is>
      </c>
      <c r="G238" t="n">
        <v>2.8</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45881</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8306-2021</t>
        </is>
      </c>
      <c r="B240" s="1" t="n">
        <v>44244</v>
      </c>
      <c r="C240" s="1" t="n">
        <v>45881</v>
      </c>
      <c r="D240" t="inlineStr">
        <is>
          <t>UPPSALA LÄN</t>
        </is>
      </c>
      <c r="E240" t="inlineStr">
        <is>
          <t>ENKÖPING</t>
        </is>
      </c>
      <c r="G240" t="n">
        <v>14.9</v>
      </c>
      <c r="H240" t="n">
        <v>0</v>
      </c>
      <c r="I240" t="n">
        <v>0</v>
      </c>
      <c r="J240" t="n">
        <v>0</v>
      </c>
      <c r="K240" t="n">
        <v>0</v>
      </c>
      <c r="L240" t="n">
        <v>0</v>
      </c>
      <c r="M240" t="n">
        <v>0</v>
      </c>
      <c r="N240" t="n">
        <v>0</v>
      </c>
      <c r="O240" t="n">
        <v>0</v>
      </c>
      <c r="P240" t="n">
        <v>0</v>
      </c>
      <c r="Q240" t="n">
        <v>0</v>
      </c>
      <c r="R240" s="2" t="inlineStr"/>
    </row>
    <row r="241" ht="15" customHeight="1">
      <c r="A241" t="inlineStr">
        <is>
          <t>A 9667-2024</t>
        </is>
      </c>
      <c r="B241" s="1" t="n">
        <v>45362.45130787037</v>
      </c>
      <c r="C241" s="1" t="n">
        <v>45881</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49622-2024</t>
        </is>
      </c>
      <c r="B242" s="1" t="n">
        <v>45596.58372685185</v>
      </c>
      <c r="C242" s="1" t="n">
        <v>45881</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17979-2025</t>
        </is>
      </c>
      <c r="B243" s="1" t="n">
        <v>45761</v>
      </c>
      <c r="C243" s="1" t="n">
        <v>45881</v>
      </c>
      <c r="D243" t="inlineStr">
        <is>
          <t>UPPSALA LÄN</t>
        </is>
      </c>
      <c r="E243" t="inlineStr">
        <is>
          <t>ENKÖPING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43506-2023</t>
        </is>
      </c>
      <c r="B244" s="1" t="n">
        <v>45181</v>
      </c>
      <c r="C244" s="1" t="n">
        <v>45881</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2850-2025</t>
        </is>
      </c>
      <c r="B245" s="1" t="n">
        <v>45677</v>
      </c>
      <c r="C245" s="1" t="n">
        <v>45881</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57209-2024</t>
        </is>
      </c>
      <c r="B246" s="1" t="n">
        <v>45629.49311342592</v>
      </c>
      <c r="C246" s="1" t="n">
        <v>45881</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14004-2023</t>
        </is>
      </c>
      <c r="B247" s="1" t="n">
        <v>45008</v>
      </c>
      <c r="C247" s="1" t="n">
        <v>45881</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51012-2024</t>
        </is>
      </c>
      <c r="B248" s="1" t="n">
        <v>45603.39686342593</v>
      </c>
      <c r="C248" s="1" t="n">
        <v>45881</v>
      </c>
      <c r="D248" t="inlineStr">
        <is>
          <t>UPPSALA LÄN</t>
        </is>
      </c>
      <c r="E248" t="inlineStr">
        <is>
          <t>ENKÖPING</t>
        </is>
      </c>
      <c r="G248" t="n">
        <v>2.7</v>
      </c>
      <c r="H248" t="n">
        <v>0</v>
      </c>
      <c r="I248" t="n">
        <v>0</v>
      </c>
      <c r="J248" t="n">
        <v>0</v>
      </c>
      <c r="K248" t="n">
        <v>0</v>
      </c>
      <c r="L248" t="n">
        <v>0</v>
      </c>
      <c r="M248" t="n">
        <v>0</v>
      </c>
      <c r="N248" t="n">
        <v>0</v>
      </c>
      <c r="O248" t="n">
        <v>0</v>
      </c>
      <c r="P248" t="n">
        <v>0</v>
      </c>
      <c r="Q248" t="n">
        <v>0</v>
      </c>
      <c r="R248" s="2" t="inlineStr"/>
    </row>
    <row r="249" ht="15" customHeight="1">
      <c r="A249" t="inlineStr">
        <is>
          <t>A 51037-2024</t>
        </is>
      </c>
      <c r="B249" s="1" t="n">
        <v>45603.43005787037</v>
      </c>
      <c r="C249" s="1" t="n">
        <v>45881</v>
      </c>
      <c r="D249" t="inlineStr">
        <is>
          <t>UPPSALA LÄN</t>
        </is>
      </c>
      <c r="E249" t="inlineStr">
        <is>
          <t>ENKÖPING</t>
        </is>
      </c>
      <c r="G249" t="n">
        <v>5.7</v>
      </c>
      <c r="H249" t="n">
        <v>0</v>
      </c>
      <c r="I249" t="n">
        <v>0</v>
      </c>
      <c r="J249" t="n">
        <v>0</v>
      </c>
      <c r="K249" t="n">
        <v>0</v>
      </c>
      <c r="L249" t="n">
        <v>0</v>
      </c>
      <c r="M249" t="n">
        <v>0</v>
      </c>
      <c r="N249" t="n">
        <v>0</v>
      </c>
      <c r="O249" t="n">
        <v>0</v>
      </c>
      <c r="P249" t="n">
        <v>0</v>
      </c>
      <c r="Q249" t="n">
        <v>0</v>
      </c>
      <c r="R249" s="2" t="inlineStr"/>
    </row>
    <row r="250" ht="15" customHeight="1">
      <c r="A250" t="inlineStr">
        <is>
          <t>A 13853-2023</t>
        </is>
      </c>
      <c r="B250" s="1" t="n">
        <v>45007</v>
      </c>
      <c r="C250" s="1" t="n">
        <v>45881</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63310-2021</t>
        </is>
      </c>
      <c r="B251" s="1" t="n">
        <v>44508</v>
      </c>
      <c r="C251" s="1" t="n">
        <v>45881</v>
      </c>
      <c r="D251" t="inlineStr">
        <is>
          <t>UPPSALA LÄN</t>
        </is>
      </c>
      <c r="E251" t="inlineStr">
        <is>
          <t>ENKÖPING</t>
        </is>
      </c>
      <c r="G251" t="n">
        <v>3.5</v>
      </c>
      <c r="H251" t="n">
        <v>0</v>
      </c>
      <c r="I251" t="n">
        <v>0</v>
      </c>
      <c r="J251" t="n">
        <v>0</v>
      </c>
      <c r="K251" t="n">
        <v>0</v>
      </c>
      <c r="L251" t="n">
        <v>0</v>
      </c>
      <c r="M251" t="n">
        <v>0</v>
      </c>
      <c r="N251" t="n">
        <v>0</v>
      </c>
      <c r="O251" t="n">
        <v>0</v>
      </c>
      <c r="P251" t="n">
        <v>0</v>
      </c>
      <c r="Q251" t="n">
        <v>0</v>
      </c>
      <c r="R251" s="2" t="inlineStr"/>
    </row>
    <row r="252" ht="15" customHeight="1">
      <c r="A252" t="inlineStr">
        <is>
          <t>A 41828-2024</t>
        </is>
      </c>
      <c r="B252" s="1" t="n">
        <v>45561</v>
      </c>
      <c r="C252" s="1" t="n">
        <v>45881</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13110-2023</t>
        </is>
      </c>
      <c r="B253" s="1" t="n">
        <v>45001</v>
      </c>
      <c r="C253" s="1" t="n">
        <v>45881</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49623-2024</t>
        </is>
      </c>
      <c r="B254" s="1" t="n">
        <v>45596</v>
      </c>
      <c r="C254" s="1" t="n">
        <v>45881</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49627-2024</t>
        </is>
      </c>
      <c r="B255" s="1" t="n">
        <v>45596.59140046296</v>
      </c>
      <c r="C255" s="1" t="n">
        <v>45881</v>
      </c>
      <c r="D255" t="inlineStr">
        <is>
          <t>UPPSALA LÄN</t>
        </is>
      </c>
      <c r="E255" t="inlineStr">
        <is>
          <t>ENKÖPING</t>
        </is>
      </c>
      <c r="G255" t="n">
        <v>0.4</v>
      </c>
      <c r="H255" t="n">
        <v>0</v>
      </c>
      <c r="I255" t="n">
        <v>0</v>
      </c>
      <c r="J255" t="n">
        <v>0</v>
      </c>
      <c r="K255" t="n">
        <v>0</v>
      </c>
      <c r="L255" t="n">
        <v>0</v>
      </c>
      <c r="M255" t="n">
        <v>0</v>
      </c>
      <c r="N255" t="n">
        <v>0</v>
      </c>
      <c r="O255" t="n">
        <v>0</v>
      </c>
      <c r="P255" t="n">
        <v>0</v>
      </c>
      <c r="Q255" t="n">
        <v>0</v>
      </c>
      <c r="R255" s="2" t="inlineStr"/>
    </row>
    <row r="256" ht="15" customHeight="1">
      <c r="A256" t="inlineStr">
        <is>
          <t>A 9231-2023</t>
        </is>
      </c>
      <c r="B256" s="1" t="n">
        <v>44980</v>
      </c>
      <c r="C256" s="1" t="n">
        <v>45881</v>
      </c>
      <c r="D256" t="inlineStr">
        <is>
          <t>UPPSALA LÄN</t>
        </is>
      </c>
      <c r="E256" t="inlineStr">
        <is>
          <t>ENKÖPING</t>
        </is>
      </c>
      <c r="G256" t="n">
        <v>1.5</v>
      </c>
      <c r="H256" t="n">
        <v>0</v>
      </c>
      <c r="I256" t="n">
        <v>0</v>
      </c>
      <c r="J256" t="n">
        <v>0</v>
      </c>
      <c r="K256" t="n">
        <v>0</v>
      </c>
      <c r="L256" t="n">
        <v>0</v>
      </c>
      <c r="M256" t="n">
        <v>0</v>
      </c>
      <c r="N256" t="n">
        <v>0</v>
      </c>
      <c r="O256" t="n">
        <v>0</v>
      </c>
      <c r="P256" t="n">
        <v>0</v>
      </c>
      <c r="Q256" t="n">
        <v>0</v>
      </c>
      <c r="R256" s="2" t="inlineStr"/>
    </row>
    <row r="257" ht="15" customHeight="1">
      <c r="A257" t="inlineStr">
        <is>
          <t>A 27538-2023</t>
        </is>
      </c>
      <c r="B257" s="1" t="n">
        <v>45097</v>
      </c>
      <c r="C257" s="1" t="n">
        <v>45881</v>
      </c>
      <c r="D257" t="inlineStr">
        <is>
          <t>UPPSALA LÄN</t>
        </is>
      </c>
      <c r="E257" t="inlineStr">
        <is>
          <t>ENKÖPING</t>
        </is>
      </c>
      <c r="G257" t="n">
        <v>5.8</v>
      </c>
      <c r="H257" t="n">
        <v>0</v>
      </c>
      <c r="I257" t="n">
        <v>0</v>
      </c>
      <c r="J257" t="n">
        <v>0</v>
      </c>
      <c r="K257" t="n">
        <v>0</v>
      </c>
      <c r="L257" t="n">
        <v>0</v>
      </c>
      <c r="M257" t="n">
        <v>0</v>
      </c>
      <c r="N257" t="n">
        <v>0</v>
      </c>
      <c r="O257" t="n">
        <v>0</v>
      </c>
      <c r="P257" t="n">
        <v>0</v>
      </c>
      <c r="Q257" t="n">
        <v>0</v>
      </c>
      <c r="R257" s="2" t="inlineStr"/>
    </row>
    <row r="258" ht="15" customHeight="1">
      <c r="A258" t="inlineStr">
        <is>
          <t>A 61106-2022</t>
        </is>
      </c>
      <c r="B258" s="1" t="n">
        <v>44915.4128587963</v>
      </c>
      <c r="C258" s="1" t="n">
        <v>45881</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18821-2023</t>
        </is>
      </c>
      <c r="B259" s="1" t="n">
        <v>45044.3782175926</v>
      </c>
      <c r="C259" s="1" t="n">
        <v>45881</v>
      </c>
      <c r="D259" t="inlineStr">
        <is>
          <t>UPPSALA LÄN</t>
        </is>
      </c>
      <c r="E259" t="inlineStr">
        <is>
          <t>ENKÖPING</t>
        </is>
      </c>
      <c r="G259" t="n">
        <v>6</v>
      </c>
      <c r="H259" t="n">
        <v>0</v>
      </c>
      <c r="I259" t="n">
        <v>0</v>
      </c>
      <c r="J259" t="n">
        <v>0</v>
      </c>
      <c r="K259" t="n">
        <v>0</v>
      </c>
      <c r="L259" t="n">
        <v>0</v>
      </c>
      <c r="M259" t="n">
        <v>0</v>
      </c>
      <c r="N259" t="n">
        <v>0</v>
      </c>
      <c r="O259" t="n">
        <v>0</v>
      </c>
      <c r="P259" t="n">
        <v>0</v>
      </c>
      <c r="Q259" t="n">
        <v>0</v>
      </c>
      <c r="R259" s="2" t="inlineStr"/>
    </row>
    <row r="260" ht="15" customHeight="1">
      <c r="A260" t="inlineStr">
        <is>
          <t>A 9171-2024</t>
        </is>
      </c>
      <c r="B260" s="1" t="n">
        <v>45358</v>
      </c>
      <c r="C260" s="1" t="n">
        <v>45881</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52380-2024</t>
        </is>
      </c>
      <c r="B261" s="1" t="n">
        <v>45609</v>
      </c>
      <c r="C261" s="1" t="n">
        <v>45881</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9041-2023</t>
        </is>
      </c>
      <c r="B262" s="1" t="n">
        <v>44979</v>
      </c>
      <c r="C262" s="1" t="n">
        <v>45881</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27786-2023</t>
        </is>
      </c>
      <c r="B263" s="1" t="n">
        <v>45098</v>
      </c>
      <c r="C263" s="1" t="n">
        <v>45881</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10465-2022</t>
        </is>
      </c>
      <c r="B264" s="1" t="n">
        <v>44623</v>
      </c>
      <c r="C264" s="1" t="n">
        <v>45881</v>
      </c>
      <c r="D264" t="inlineStr">
        <is>
          <t>UPPSALA LÄN</t>
        </is>
      </c>
      <c r="E264" t="inlineStr">
        <is>
          <t>ENKÖPING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671-2022</t>
        </is>
      </c>
      <c r="B265" s="1" t="n">
        <v>44568</v>
      </c>
      <c r="C265" s="1" t="n">
        <v>45881</v>
      </c>
      <c r="D265" t="inlineStr">
        <is>
          <t>UPPSALA LÄN</t>
        </is>
      </c>
      <c r="E265" t="inlineStr">
        <is>
          <t>ENKÖPING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11005-2023</t>
        </is>
      </c>
      <c r="B266" s="1" t="n">
        <v>44991</v>
      </c>
      <c r="C266" s="1" t="n">
        <v>45881</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15942-2022</t>
        </is>
      </c>
      <c r="B267" s="1" t="n">
        <v>44664</v>
      </c>
      <c r="C267" s="1" t="n">
        <v>45881</v>
      </c>
      <c r="D267" t="inlineStr">
        <is>
          <t>UPPSALA LÄN</t>
        </is>
      </c>
      <c r="E267" t="inlineStr">
        <is>
          <t>ENKÖPING</t>
        </is>
      </c>
      <c r="G267" t="n">
        <v>6.6</v>
      </c>
      <c r="H267" t="n">
        <v>0</v>
      </c>
      <c r="I267" t="n">
        <v>0</v>
      </c>
      <c r="J267" t="n">
        <v>0</v>
      </c>
      <c r="K267" t="n">
        <v>0</v>
      </c>
      <c r="L267" t="n">
        <v>0</v>
      </c>
      <c r="M267" t="n">
        <v>0</v>
      </c>
      <c r="N267" t="n">
        <v>0</v>
      </c>
      <c r="O267" t="n">
        <v>0</v>
      </c>
      <c r="P267" t="n">
        <v>0</v>
      </c>
      <c r="Q267" t="n">
        <v>0</v>
      </c>
      <c r="R267" s="2" t="inlineStr"/>
    </row>
    <row r="268" ht="15" customHeight="1">
      <c r="A268" t="inlineStr">
        <is>
          <t>A 29918-2023</t>
        </is>
      </c>
      <c r="B268" s="1" t="n">
        <v>45099</v>
      </c>
      <c r="C268" s="1" t="n">
        <v>45881</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50006-2023</t>
        </is>
      </c>
      <c r="B269" s="1" t="n">
        <v>45215</v>
      </c>
      <c r="C269" s="1" t="n">
        <v>45881</v>
      </c>
      <c r="D269" t="inlineStr">
        <is>
          <t>UPPSALA LÄN</t>
        </is>
      </c>
      <c r="E269" t="inlineStr">
        <is>
          <t>ENKÖPING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5013-2025</t>
        </is>
      </c>
      <c r="B270" s="1" t="n">
        <v>45691</v>
      </c>
      <c r="C270" s="1" t="n">
        <v>45881</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58384-2022</t>
        </is>
      </c>
      <c r="B271" s="1" t="n">
        <v>44901</v>
      </c>
      <c r="C271" s="1" t="n">
        <v>45881</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43016-2021</t>
        </is>
      </c>
      <c r="B272" s="1" t="n">
        <v>44431</v>
      </c>
      <c r="C272" s="1" t="n">
        <v>45881</v>
      </c>
      <c r="D272" t="inlineStr">
        <is>
          <t>UPPSALA LÄN</t>
        </is>
      </c>
      <c r="E272" t="inlineStr">
        <is>
          <t>ENKÖPING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11503-2024</t>
        </is>
      </c>
      <c r="B273" s="1" t="n">
        <v>45372.68020833333</v>
      </c>
      <c r="C273" s="1" t="n">
        <v>45881</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15893-2024</t>
        </is>
      </c>
      <c r="B274" s="1" t="n">
        <v>45405</v>
      </c>
      <c r="C274" s="1" t="n">
        <v>45881</v>
      </c>
      <c r="D274" t="inlineStr">
        <is>
          <t>UPPSALA LÄN</t>
        </is>
      </c>
      <c r="E274" t="inlineStr">
        <is>
          <t>ENKÖPING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33343-2024</t>
        </is>
      </c>
      <c r="B275" s="1" t="n">
        <v>45519</v>
      </c>
      <c r="C275" s="1" t="n">
        <v>45881</v>
      </c>
      <c r="D275" t="inlineStr">
        <is>
          <t>UPPSALA LÄN</t>
        </is>
      </c>
      <c r="E275" t="inlineStr">
        <is>
          <t>ENKÖPING</t>
        </is>
      </c>
      <c r="G275" t="n">
        <v>2</v>
      </c>
      <c r="H275" t="n">
        <v>0</v>
      </c>
      <c r="I275" t="n">
        <v>0</v>
      </c>
      <c r="J275" t="n">
        <v>0</v>
      </c>
      <c r="K275" t="n">
        <v>0</v>
      </c>
      <c r="L275" t="n">
        <v>0</v>
      </c>
      <c r="M275" t="n">
        <v>0</v>
      </c>
      <c r="N275" t="n">
        <v>0</v>
      </c>
      <c r="O275" t="n">
        <v>0</v>
      </c>
      <c r="P275" t="n">
        <v>0</v>
      </c>
      <c r="Q275" t="n">
        <v>0</v>
      </c>
      <c r="R275" s="2" t="inlineStr"/>
    </row>
    <row r="276" ht="15" customHeight="1">
      <c r="A276" t="inlineStr">
        <is>
          <t>A 49601-2024</t>
        </is>
      </c>
      <c r="B276" s="1" t="n">
        <v>45596.56288194445</v>
      </c>
      <c r="C276" s="1" t="n">
        <v>45881</v>
      </c>
      <c r="D276" t="inlineStr">
        <is>
          <t>UPPSALA LÄN</t>
        </is>
      </c>
      <c r="E276" t="inlineStr">
        <is>
          <t>ENKÖPING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57142-2021</t>
        </is>
      </c>
      <c r="B277" s="1" t="n">
        <v>44482</v>
      </c>
      <c r="C277" s="1" t="n">
        <v>45881</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57153-2021</t>
        </is>
      </c>
      <c r="B278" s="1" t="n">
        <v>44482</v>
      </c>
      <c r="C278" s="1" t="n">
        <v>45881</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5188-2022</t>
        </is>
      </c>
      <c r="B279" s="1" t="n">
        <v>44594.4471412037</v>
      </c>
      <c r="C279" s="1" t="n">
        <v>45881</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2164-2023</t>
        </is>
      </c>
      <c r="B280" s="1" t="n">
        <v>44941</v>
      </c>
      <c r="C280" s="1" t="n">
        <v>45881</v>
      </c>
      <c r="D280" t="inlineStr">
        <is>
          <t>UPPSALA LÄN</t>
        </is>
      </c>
      <c r="E280" t="inlineStr">
        <is>
          <t>ENKÖPING</t>
        </is>
      </c>
      <c r="G280" t="n">
        <v>2.5</v>
      </c>
      <c r="H280" t="n">
        <v>0</v>
      </c>
      <c r="I280" t="n">
        <v>0</v>
      </c>
      <c r="J280" t="n">
        <v>0</v>
      </c>
      <c r="K280" t="n">
        <v>0</v>
      </c>
      <c r="L280" t="n">
        <v>0</v>
      </c>
      <c r="M280" t="n">
        <v>0</v>
      </c>
      <c r="N280" t="n">
        <v>0</v>
      </c>
      <c r="O280" t="n">
        <v>0</v>
      </c>
      <c r="P280" t="n">
        <v>0</v>
      </c>
      <c r="Q280" t="n">
        <v>0</v>
      </c>
      <c r="R280" s="2" t="inlineStr"/>
    </row>
    <row r="281" ht="15" customHeight="1">
      <c r="A281" t="inlineStr">
        <is>
          <t>A 53607-2023</t>
        </is>
      </c>
      <c r="B281" s="1" t="n">
        <v>45230</v>
      </c>
      <c r="C281" s="1" t="n">
        <v>45881</v>
      </c>
      <c r="D281" t="inlineStr">
        <is>
          <t>UPPSALA LÄN</t>
        </is>
      </c>
      <c r="E281" t="inlineStr">
        <is>
          <t>ENKÖPING</t>
        </is>
      </c>
      <c r="F281" t="inlineStr">
        <is>
          <t>Allmännings- och besparingsskogar</t>
        </is>
      </c>
      <c r="G281" t="n">
        <v>6.3</v>
      </c>
      <c r="H281" t="n">
        <v>0</v>
      </c>
      <c r="I281" t="n">
        <v>0</v>
      </c>
      <c r="J281" t="n">
        <v>0</v>
      </c>
      <c r="K281" t="n">
        <v>0</v>
      </c>
      <c r="L281" t="n">
        <v>0</v>
      </c>
      <c r="M281" t="n">
        <v>0</v>
      </c>
      <c r="N281" t="n">
        <v>0</v>
      </c>
      <c r="O281" t="n">
        <v>0</v>
      </c>
      <c r="P281" t="n">
        <v>0</v>
      </c>
      <c r="Q281" t="n">
        <v>0</v>
      </c>
      <c r="R281" s="2" t="inlineStr"/>
    </row>
    <row r="282" ht="15" customHeight="1">
      <c r="A282" t="inlineStr">
        <is>
          <t>A 59497-2022</t>
        </is>
      </c>
      <c r="B282" s="1" t="n">
        <v>44907.48258101852</v>
      </c>
      <c r="C282" s="1" t="n">
        <v>45881</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9660-2025</t>
        </is>
      </c>
      <c r="B283" s="1" t="n">
        <v>45716</v>
      </c>
      <c r="C283" s="1" t="n">
        <v>45881</v>
      </c>
      <c r="D283" t="inlineStr">
        <is>
          <t>UPPSALA LÄN</t>
        </is>
      </c>
      <c r="E283" t="inlineStr">
        <is>
          <t>ENKÖPING</t>
        </is>
      </c>
      <c r="G283" t="n">
        <v>2.5</v>
      </c>
      <c r="H283" t="n">
        <v>0</v>
      </c>
      <c r="I283" t="n">
        <v>0</v>
      </c>
      <c r="J283" t="n">
        <v>0</v>
      </c>
      <c r="K283" t="n">
        <v>0</v>
      </c>
      <c r="L283" t="n">
        <v>0</v>
      </c>
      <c r="M283" t="n">
        <v>0</v>
      </c>
      <c r="N283" t="n">
        <v>0</v>
      </c>
      <c r="O283" t="n">
        <v>0</v>
      </c>
      <c r="P283" t="n">
        <v>0</v>
      </c>
      <c r="Q283" t="n">
        <v>0</v>
      </c>
      <c r="R283" s="2" t="inlineStr"/>
    </row>
    <row r="284" ht="15" customHeight="1">
      <c r="A284" t="inlineStr">
        <is>
          <t>A 33955-2024</t>
        </is>
      </c>
      <c r="B284" s="1" t="n">
        <v>45523.46952546296</v>
      </c>
      <c r="C284" s="1" t="n">
        <v>45881</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19014-2025</t>
        </is>
      </c>
      <c r="B285" s="1" t="n">
        <v>45764.59631944444</v>
      </c>
      <c r="C285" s="1" t="n">
        <v>45881</v>
      </c>
      <c r="D285" t="inlineStr">
        <is>
          <t>UPPSALA LÄN</t>
        </is>
      </c>
      <c r="E285" t="inlineStr">
        <is>
          <t>ENKÖPING</t>
        </is>
      </c>
      <c r="G285" t="n">
        <v>0.2</v>
      </c>
      <c r="H285" t="n">
        <v>0</v>
      </c>
      <c r="I285" t="n">
        <v>0</v>
      </c>
      <c r="J285" t="n">
        <v>0</v>
      </c>
      <c r="K285" t="n">
        <v>0</v>
      </c>
      <c r="L285" t="n">
        <v>0</v>
      </c>
      <c r="M285" t="n">
        <v>0</v>
      </c>
      <c r="N285" t="n">
        <v>0</v>
      </c>
      <c r="O285" t="n">
        <v>0</v>
      </c>
      <c r="P285" t="n">
        <v>0</v>
      </c>
      <c r="Q285" t="n">
        <v>0</v>
      </c>
      <c r="R285" s="2" t="inlineStr"/>
    </row>
    <row r="286" ht="15" customHeight="1">
      <c r="A286" t="inlineStr">
        <is>
          <t>A 6172-2023</t>
        </is>
      </c>
      <c r="B286" s="1" t="n">
        <v>44964.68663194445</v>
      </c>
      <c r="C286" s="1" t="n">
        <v>45881</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10409-2025</t>
        </is>
      </c>
      <c r="B287" s="1" t="n">
        <v>45720.631875</v>
      </c>
      <c r="C287" s="1" t="n">
        <v>45881</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43691-2024</t>
        </is>
      </c>
      <c r="B288" s="1" t="n">
        <v>45569</v>
      </c>
      <c r="C288" s="1" t="n">
        <v>45881</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49613-2024</t>
        </is>
      </c>
      <c r="B289" s="1" t="n">
        <v>45596.57475694444</v>
      </c>
      <c r="C289" s="1" t="n">
        <v>45881</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49614-2024</t>
        </is>
      </c>
      <c r="B290" s="1" t="n">
        <v>45596.57716435185</v>
      </c>
      <c r="C290" s="1" t="n">
        <v>45881</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49632-2024</t>
        </is>
      </c>
      <c r="B291" s="1" t="n">
        <v>45596</v>
      </c>
      <c r="C291" s="1" t="n">
        <v>45881</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51027-2024</t>
        </is>
      </c>
      <c r="B292" s="1" t="n">
        <v>45603</v>
      </c>
      <c r="C292" s="1" t="n">
        <v>45881</v>
      </c>
      <c r="D292" t="inlineStr">
        <is>
          <t>UPPSALA LÄN</t>
        </is>
      </c>
      <c r="E292" t="inlineStr">
        <is>
          <t>ENKÖPING</t>
        </is>
      </c>
      <c r="G292" t="n">
        <v>3.5</v>
      </c>
      <c r="H292" t="n">
        <v>0</v>
      </c>
      <c r="I292" t="n">
        <v>0</v>
      </c>
      <c r="J292" t="n">
        <v>0</v>
      </c>
      <c r="K292" t="n">
        <v>0</v>
      </c>
      <c r="L292" t="n">
        <v>0</v>
      </c>
      <c r="M292" t="n">
        <v>0</v>
      </c>
      <c r="N292" t="n">
        <v>0</v>
      </c>
      <c r="O292" t="n">
        <v>0</v>
      </c>
      <c r="P292" t="n">
        <v>0</v>
      </c>
      <c r="Q292" t="n">
        <v>0</v>
      </c>
      <c r="R292" s="2" t="inlineStr"/>
    </row>
    <row r="293" ht="15" customHeight="1">
      <c r="A293" t="inlineStr">
        <is>
          <t>A 51030-2024</t>
        </is>
      </c>
      <c r="B293" s="1" t="n">
        <v>45603</v>
      </c>
      <c r="C293" s="1" t="n">
        <v>45881</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69567-2020</t>
        </is>
      </c>
      <c r="B294" s="1" t="n">
        <v>44194</v>
      </c>
      <c r="C294" s="1" t="n">
        <v>45881</v>
      </c>
      <c r="D294" t="inlineStr">
        <is>
          <t>UPPSALA LÄN</t>
        </is>
      </c>
      <c r="E294" t="inlineStr">
        <is>
          <t>ENKÖPING</t>
        </is>
      </c>
      <c r="G294" t="n">
        <v>1.6</v>
      </c>
      <c r="H294" t="n">
        <v>0</v>
      </c>
      <c r="I294" t="n">
        <v>0</v>
      </c>
      <c r="J294" t="n">
        <v>0</v>
      </c>
      <c r="K294" t="n">
        <v>0</v>
      </c>
      <c r="L294" t="n">
        <v>0</v>
      </c>
      <c r="M294" t="n">
        <v>0</v>
      </c>
      <c r="N294" t="n">
        <v>0</v>
      </c>
      <c r="O294" t="n">
        <v>0</v>
      </c>
      <c r="P294" t="n">
        <v>0</v>
      </c>
      <c r="Q294" t="n">
        <v>0</v>
      </c>
      <c r="R294" s="2" t="inlineStr"/>
    </row>
    <row r="295" ht="15" customHeight="1">
      <c r="A295" t="inlineStr">
        <is>
          <t>A 21686-2022</t>
        </is>
      </c>
      <c r="B295" s="1" t="n">
        <v>44707</v>
      </c>
      <c r="C295" s="1" t="n">
        <v>45881</v>
      </c>
      <c r="D295" t="inlineStr">
        <is>
          <t>UPPSALA LÄN</t>
        </is>
      </c>
      <c r="E295" t="inlineStr">
        <is>
          <t>ENKÖPING</t>
        </is>
      </c>
      <c r="G295" t="n">
        <v>2.2</v>
      </c>
      <c r="H295" t="n">
        <v>0</v>
      </c>
      <c r="I295" t="n">
        <v>0</v>
      </c>
      <c r="J295" t="n">
        <v>0</v>
      </c>
      <c r="K295" t="n">
        <v>0</v>
      </c>
      <c r="L295" t="n">
        <v>0</v>
      </c>
      <c r="M295" t="n">
        <v>0</v>
      </c>
      <c r="N295" t="n">
        <v>0</v>
      </c>
      <c r="O295" t="n">
        <v>0</v>
      </c>
      <c r="P295" t="n">
        <v>0</v>
      </c>
      <c r="Q295" t="n">
        <v>0</v>
      </c>
      <c r="R295" s="2" t="inlineStr"/>
    </row>
    <row r="296" ht="15" customHeight="1">
      <c r="A296" t="inlineStr">
        <is>
          <t>A 19376-2024</t>
        </is>
      </c>
      <c r="B296" s="1" t="n">
        <v>45429</v>
      </c>
      <c r="C296" s="1" t="n">
        <v>45881</v>
      </c>
      <c r="D296" t="inlineStr">
        <is>
          <t>UPPSALA LÄN</t>
        </is>
      </c>
      <c r="E296" t="inlineStr">
        <is>
          <t>ENKÖPING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29479-2022</t>
        </is>
      </c>
      <c r="B297" s="1" t="n">
        <v>44753.57265046296</v>
      </c>
      <c r="C297" s="1" t="n">
        <v>45881</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33670-2024</t>
        </is>
      </c>
      <c r="B298" s="1" t="n">
        <v>45520</v>
      </c>
      <c r="C298" s="1" t="n">
        <v>45881</v>
      </c>
      <c r="D298" t="inlineStr">
        <is>
          <t>UPPSALA LÄN</t>
        </is>
      </c>
      <c r="E298" t="inlineStr">
        <is>
          <t>ENKÖPING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49525-2021</t>
        </is>
      </c>
      <c r="B299" s="1" t="n">
        <v>44455</v>
      </c>
      <c r="C299" s="1" t="n">
        <v>45881</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6298-2021</t>
        </is>
      </c>
      <c r="B300" s="1" t="n">
        <v>44235</v>
      </c>
      <c r="C300" s="1" t="n">
        <v>45881</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15405-2025</t>
        </is>
      </c>
      <c r="B301" s="1" t="n">
        <v>45747.44670138889</v>
      </c>
      <c r="C301" s="1" t="n">
        <v>45881</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12878-2025</t>
        </is>
      </c>
      <c r="B302" s="1" t="n">
        <v>45733.68571759259</v>
      </c>
      <c r="C302" s="1" t="n">
        <v>45881</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19147-2024</t>
        </is>
      </c>
      <c r="B303" s="1" t="n">
        <v>45428</v>
      </c>
      <c r="C303" s="1" t="n">
        <v>45881</v>
      </c>
      <c r="D303" t="inlineStr">
        <is>
          <t>UPPSALA LÄN</t>
        </is>
      </c>
      <c r="E303" t="inlineStr">
        <is>
          <t>ENKÖPING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67982-2021</t>
        </is>
      </c>
      <c r="B304" s="1" t="n">
        <v>44525</v>
      </c>
      <c r="C304" s="1" t="n">
        <v>45881</v>
      </c>
      <c r="D304" t="inlineStr">
        <is>
          <t>UPPSALA LÄN</t>
        </is>
      </c>
      <c r="E304" t="inlineStr">
        <is>
          <t>ENKÖPING</t>
        </is>
      </c>
      <c r="G304" t="n">
        <v>1.7</v>
      </c>
      <c r="H304" t="n">
        <v>0</v>
      </c>
      <c r="I304" t="n">
        <v>0</v>
      </c>
      <c r="J304" t="n">
        <v>0</v>
      </c>
      <c r="K304" t="n">
        <v>0</v>
      </c>
      <c r="L304" t="n">
        <v>0</v>
      </c>
      <c r="M304" t="n">
        <v>0</v>
      </c>
      <c r="N304" t="n">
        <v>0</v>
      </c>
      <c r="O304" t="n">
        <v>0</v>
      </c>
      <c r="P304" t="n">
        <v>0</v>
      </c>
      <c r="Q304" t="n">
        <v>0</v>
      </c>
      <c r="R304" s="2" t="inlineStr"/>
    </row>
    <row r="305" ht="15" customHeight="1">
      <c r="A305" t="inlineStr">
        <is>
          <t>A 59441-2020</t>
        </is>
      </c>
      <c r="B305" s="1" t="n">
        <v>44148</v>
      </c>
      <c r="C305" s="1" t="n">
        <v>45881</v>
      </c>
      <c r="D305" t="inlineStr">
        <is>
          <t>UPPSALA LÄN</t>
        </is>
      </c>
      <c r="E305" t="inlineStr">
        <is>
          <t>ENKÖPING</t>
        </is>
      </c>
      <c r="G305" t="n">
        <v>4.8</v>
      </c>
      <c r="H305" t="n">
        <v>0</v>
      </c>
      <c r="I305" t="n">
        <v>0</v>
      </c>
      <c r="J305" t="n">
        <v>0</v>
      </c>
      <c r="K305" t="n">
        <v>0</v>
      </c>
      <c r="L305" t="n">
        <v>0</v>
      </c>
      <c r="M305" t="n">
        <v>0</v>
      </c>
      <c r="N305" t="n">
        <v>0</v>
      </c>
      <c r="O305" t="n">
        <v>0</v>
      </c>
      <c r="P305" t="n">
        <v>0</v>
      </c>
      <c r="Q305" t="n">
        <v>0</v>
      </c>
      <c r="R305" s="2" t="inlineStr"/>
    </row>
    <row r="306" ht="15" customHeight="1">
      <c r="A306" t="inlineStr">
        <is>
          <t>A 57328-2024</t>
        </is>
      </c>
      <c r="B306" s="1" t="n">
        <v>45629.62798611111</v>
      </c>
      <c r="C306" s="1" t="n">
        <v>45881</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57831-2024</t>
        </is>
      </c>
      <c r="B307" s="1" t="n">
        <v>45631.39107638889</v>
      </c>
      <c r="C307" s="1" t="n">
        <v>45881</v>
      </c>
      <c r="D307" t="inlineStr">
        <is>
          <t>UPPSALA LÄN</t>
        </is>
      </c>
      <c r="E307" t="inlineStr">
        <is>
          <t>ENKÖPING</t>
        </is>
      </c>
      <c r="G307" t="n">
        <v>7.2</v>
      </c>
      <c r="H307" t="n">
        <v>0</v>
      </c>
      <c r="I307" t="n">
        <v>0</v>
      </c>
      <c r="J307" t="n">
        <v>0</v>
      </c>
      <c r="K307" t="n">
        <v>0</v>
      </c>
      <c r="L307" t="n">
        <v>0</v>
      </c>
      <c r="M307" t="n">
        <v>0</v>
      </c>
      <c r="N307" t="n">
        <v>0</v>
      </c>
      <c r="O307" t="n">
        <v>0</v>
      </c>
      <c r="P307" t="n">
        <v>0</v>
      </c>
      <c r="Q307" t="n">
        <v>0</v>
      </c>
      <c r="R307" s="2" t="inlineStr"/>
    </row>
    <row r="308" ht="15" customHeight="1">
      <c r="A308" t="inlineStr">
        <is>
          <t>A 57835-2024</t>
        </is>
      </c>
      <c r="B308" s="1" t="n">
        <v>45631.39947916667</v>
      </c>
      <c r="C308" s="1" t="n">
        <v>45881</v>
      </c>
      <c r="D308" t="inlineStr">
        <is>
          <t>UPPSALA LÄN</t>
        </is>
      </c>
      <c r="E308" t="inlineStr">
        <is>
          <t>ENKÖPING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57848-2024</t>
        </is>
      </c>
      <c r="B309" s="1" t="n">
        <v>45631.40947916666</v>
      </c>
      <c r="C309" s="1" t="n">
        <v>45881</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52889-2022</t>
        </is>
      </c>
      <c r="B310" s="1" t="n">
        <v>44875</v>
      </c>
      <c r="C310" s="1" t="n">
        <v>45881</v>
      </c>
      <c r="D310" t="inlineStr">
        <is>
          <t>UPPSALA LÄN</t>
        </is>
      </c>
      <c r="E310" t="inlineStr">
        <is>
          <t>ENKÖPING</t>
        </is>
      </c>
      <c r="G310" t="n">
        <v>1.7</v>
      </c>
      <c r="H310" t="n">
        <v>0</v>
      </c>
      <c r="I310" t="n">
        <v>0</v>
      </c>
      <c r="J310" t="n">
        <v>0</v>
      </c>
      <c r="K310" t="n">
        <v>0</v>
      </c>
      <c r="L310" t="n">
        <v>0</v>
      </c>
      <c r="M310" t="n">
        <v>0</v>
      </c>
      <c r="N310" t="n">
        <v>0</v>
      </c>
      <c r="O310" t="n">
        <v>0</v>
      </c>
      <c r="P310" t="n">
        <v>0</v>
      </c>
      <c r="Q310" t="n">
        <v>0</v>
      </c>
      <c r="R310" s="2" t="inlineStr"/>
    </row>
    <row r="311" ht="15" customHeight="1">
      <c r="A311" t="inlineStr">
        <is>
          <t>A 21612-2023</t>
        </is>
      </c>
      <c r="B311" s="1" t="n">
        <v>45063</v>
      </c>
      <c r="C311" s="1" t="n">
        <v>45881</v>
      </c>
      <c r="D311" t="inlineStr">
        <is>
          <t>UPPSALA LÄN</t>
        </is>
      </c>
      <c r="E311" t="inlineStr">
        <is>
          <t>ENKÖPING</t>
        </is>
      </c>
      <c r="F311" t="inlineStr">
        <is>
          <t>Allmännings- och besparingsskogar</t>
        </is>
      </c>
      <c r="G311" t="n">
        <v>1</v>
      </c>
      <c r="H311" t="n">
        <v>0</v>
      </c>
      <c r="I311" t="n">
        <v>0</v>
      </c>
      <c r="J311" t="n">
        <v>0</v>
      </c>
      <c r="K311" t="n">
        <v>0</v>
      </c>
      <c r="L311" t="n">
        <v>0</v>
      </c>
      <c r="M311" t="n">
        <v>0</v>
      </c>
      <c r="N311" t="n">
        <v>0</v>
      </c>
      <c r="O311" t="n">
        <v>0</v>
      </c>
      <c r="P311" t="n">
        <v>0</v>
      </c>
      <c r="Q311" t="n">
        <v>0</v>
      </c>
      <c r="R311" s="2" t="inlineStr"/>
    </row>
    <row r="312" ht="15" customHeight="1">
      <c r="A312" t="inlineStr">
        <is>
          <t>A 47681-2024</t>
        </is>
      </c>
      <c r="B312" s="1" t="n">
        <v>45588</v>
      </c>
      <c r="C312" s="1" t="n">
        <v>45881</v>
      </c>
      <c r="D312" t="inlineStr">
        <is>
          <t>UPPSALA LÄN</t>
        </is>
      </c>
      <c r="E312" t="inlineStr">
        <is>
          <t>ENKÖPING</t>
        </is>
      </c>
      <c r="G312" t="n">
        <v>4.2</v>
      </c>
      <c r="H312" t="n">
        <v>0</v>
      </c>
      <c r="I312" t="n">
        <v>0</v>
      </c>
      <c r="J312" t="n">
        <v>0</v>
      </c>
      <c r="K312" t="n">
        <v>0</v>
      </c>
      <c r="L312" t="n">
        <v>0</v>
      </c>
      <c r="M312" t="n">
        <v>0</v>
      </c>
      <c r="N312" t="n">
        <v>0</v>
      </c>
      <c r="O312" t="n">
        <v>0</v>
      </c>
      <c r="P312" t="n">
        <v>0</v>
      </c>
      <c r="Q312" t="n">
        <v>0</v>
      </c>
      <c r="R312" s="2" t="inlineStr"/>
    </row>
    <row r="313" ht="15" customHeight="1">
      <c r="A313" t="inlineStr">
        <is>
          <t>A 39624-2023</t>
        </is>
      </c>
      <c r="B313" s="1" t="n">
        <v>45164</v>
      </c>
      <c r="C313" s="1" t="n">
        <v>45881</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12754-2025</t>
        </is>
      </c>
      <c r="B314" s="1" t="n">
        <v>45733.56331018519</v>
      </c>
      <c r="C314" s="1" t="n">
        <v>45881</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54588-2024</t>
        </is>
      </c>
      <c r="B315" s="1" t="n">
        <v>45617</v>
      </c>
      <c r="C315" s="1" t="n">
        <v>45881</v>
      </c>
      <c r="D315" t="inlineStr">
        <is>
          <t>UPPSALA LÄN</t>
        </is>
      </c>
      <c r="E315" t="inlineStr">
        <is>
          <t>ENKÖPING</t>
        </is>
      </c>
      <c r="G315" t="n">
        <v>3.7</v>
      </c>
      <c r="H315" t="n">
        <v>0</v>
      </c>
      <c r="I315" t="n">
        <v>0</v>
      </c>
      <c r="J315" t="n">
        <v>0</v>
      </c>
      <c r="K315" t="n">
        <v>0</v>
      </c>
      <c r="L315" t="n">
        <v>0</v>
      </c>
      <c r="M315" t="n">
        <v>0</v>
      </c>
      <c r="N315" t="n">
        <v>0</v>
      </c>
      <c r="O315" t="n">
        <v>0</v>
      </c>
      <c r="P315" t="n">
        <v>0</v>
      </c>
      <c r="Q315" t="n">
        <v>0</v>
      </c>
      <c r="R315" s="2" t="inlineStr"/>
    </row>
    <row r="316" ht="15" customHeight="1">
      <c r="A316" t="inlineStr">
        <is>
          <t>A 56713-2024</t>
        </is>
      </c>
      <c r="B316" s="1" t="n">
        <v>45628</v>
      </c>
      <c r="C316" s="1" t="n">
        <v>45881</v>
      </c>
      <c r="D316" t="inlineStr">
        <is>
          <t>UPPSALA LÄN</t>
        </is>
      </c>
      <c r="E316" t="inlineStr">
        <is>
          <t>ENKÖPING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5892-2023</t>
        </is>
      </c>
      <c r="B317" s="1" t="n">
        <v>44963.64883101852</v>
      </c>
      <c r="C317" s="1" t="n">
        <v>45881</v>
      </c>
      <c r="D317" t="inlineStr">
        <is>
          <t>UPPSALA LÄN</t>
        </is>
      </c>
      <c r="E317" t="inlineStr">
        <is>
          <t>ENKÖPING</t>
        </is>
      </c>
      <c r="G317" t="n">
        <v>5.5</v>
      </c>
      <c r="H317" t="n">
        <v>0</v>
      </c>
      <c r="I317" t="n">
        <v>0</v>
      </c>
      <c r="J317" t="n">
        <v>0</v>
      </c>
      <c r="K317" t="n">
        <v>0</v>
      </c>
      <c r="L317" t="n">
        <v>0</v>
      </c>
      <c r="M317" t="n">
        <v>0</v>
      </c>
      <c r="N317" t="n">
        <v>0</v>
      </c>
      <c r="O317" t="n">
        <v>0</v>
      </c>
      <c r="P317" t="n">
        <v>0</v>
      </c>
      <c r="Q317" t="n">
        <v>0</v>
      </c>
      <c r="R317" s="2" t="inlineStr"/>
    </row>
    <row r="318" ht="15" customHeight="1">
      <c r="A318" t="inlineStr">
        <is>
          <t>A 39858-2024</t>
        </is>
      </c>
      <c r="B318" s="1" t="n">
        <v>45553</v>
      </c>
      <c r="C318" s="1" t="n">
        <v>45881</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56837-2024</t>
        </is>
      </c>
      <c r="B319" s="1" t="n">
        <v>45628</v>
      </c>
      <c r="C319" s="1" t="n">
        <v>45881</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51524-2022</t>
        </is>
      </c>
      <c r="B320" s="1" t="n">
        <v>44869</v>
      </c>
      <c r="C320" s="1" t="n">
        <v>45881</v>
      </c>
      <c r="D320" t="inlineStr">
        <is>
          <t>UPPSALA LÄN</t>
        </is>
      </c>
      <c r="E320" t="inlineStr">
        <is>
          <t>ENKÖPING</t>
        </is>
      </c>
      <c r="G320" t="n">
        <v>6.6</v>
      </c>
      <c r="H320" t="n">
        <v>0</v>
      </c>
      <c r="I320" t="n">
        <v>0</v>
      </c>
      <c r="J320" t="n">
        <v>0</v>
      </c>
      <c r="K320" t="n">
        <v>0</v>
      </c>
      <c r="L320" t="n">
        <v>0</v>
      </c>
      <c r="M320" t="n">
        <v>0</v>
      </c>
      <c r="N320" t="n">
        <v>0</v>
      </c>
      <c r="O320" t="n">
        <v>0</v>
      </c>
      <c r="P320" t="n">
        <v>0</v>
      </c>
      <c r="Q320" t="n">
        <v>0</v>
      </c>
      <c r="R320" s="2" t="inlineStr"/>
    </row>
    <row r="321" ht="15" customHeight="1">
      <c r="A321" t="inlineStr">
        <is>
          <t>A 49597-2024</t>
        </is>
      </c>
      <c r="B321" s="1" t="n">
        <v>45596.5589699074</v>
      </c>
      <c r="C321" s="1" t="n">
        <v>45881</v>
      </c>
      <c r="D321" t="inlineStr">
        <is>
          <t>UPPSALA LÄN</t>
        </is>
      </c>
      <c r="E321" t="inlineStr">
        <is>
          <t>ENKÖPING</t>
        </is>
      </c>
      <c r="G321" t="n">
        <v>1.2</v>
      </c>
      <c r="H321" t="n">
        <v>0</v>
      </c>
      <c r="I321" t="n">
        <v>0</v>
      </c>
      <c r="J321" t="n">
        <v>0</v>
      </c>
      <c r="K321" t="n">
        <v>0</v>
      </c>
      <c r="L321" t="n">
        <v>0</v>
      </c>
      <c r="M321" t="n">
        <v>0</v>
      </c>
      <c r="N321" t="n">
        <v>0</v>
      </c>
      <c r="O321" t="n">
        <v>0</v>
      </c>
      <c r="P321" t="n">
        <v>0</v>
      </c>
      <c r="Q321" t="n">
        <v>0</v>
      </c>
      <c r="R321" s="2" t="inlineStr"/>
    </row>
    <row r="322" ht="15" customHeight="1">
      <c r="A322" t="inlineStr">
        <is>
          <t>A 8137-2025</t>
        </is>
      </c>
      <c r="B322" s="1" t="n">
        <v>45707.8561574074</v>
      </c>
      <c r="C322" s="1" t="n">
        <v>45881</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7868-2024</t>
        </is>
      </c>
      <c r="B323" s="1" t="n">
        <v>45350.33020833333</v>
      </c>
      <c r="C323" s="1" t="n">
        <v>45881</v>
      </c>
      <c r="D323" t="inlineStr">
        <is>
          <t>UPPSALA LÄN</t>
        </is>
      </c>
      <c r="E323" t="inlineStr">
        <is>
          <t>ENKÖPING</t>
        </is>
      </c>
      <c r="G323" t="n">
        <v>0.3</v>
      </c>
      <c r="H323" t="n">
        <v>0</v>
      </c>
      <c r="I323" t="n">
        <v>0</v>
      </c>
      <c r="J323" t="n">
        <v>0</v>
      </c>
      <c r="K323" t="n">
        <v>0</v>
      </c>
      <c r="L323" t="n">
        <v>0</v>
      </c>
      <c r="M323" t="n">
        <v>0</v>
      </c>
      <c r="N323" t="n">
        <v>0</v>
      </c>
      <c r="O323" t="n">
        <v>0</v>
      </c>
      <c r="P323" t="n">
        <v>0</v>
      </c>
      <c r="Q323" t="n">
        <v>0</v>
      </c>
      <c r="R323" s="2" t="inlineStr"/>
    </row>
    <row r="324" ht="15" customHeight="1">
      <c r="A324" t="inlineStr">
        <is>
          <t>A 55876-2024</t>
        </is>
      </c>
      <c r="B324" s="1" t="n">
        <v>45623.5546412037</v>
      </c>
      <c r="C324" s="1" t="n">
        <v>45881</v>
      </c>
      <c r="D324" t="inlineStr">
        <is>
          <t>UPPSALA LÄN</t>
        </is>
      </c>
      <c r="E324" t="inlineStr">
        <is>
          <t>ENKÖPING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9957-2023</t>
        </is>
      </c>
      <c r="B325" s="1" t="n">
        <v>44978</v>
      </c>
      <c r="C325" s="1" t="n">
        <v>45881</v>
      </c>
      <c r="D325" t="inlineStr">
        <is>
          <t>UPPSALA LÄN</t>
        </is>
      </c>
      <c r="E325" t="inlineStr">
        <is>
          <t>ENKÖPING</t>
        </is>
      </c>
      <c r="G325" t="n">
        <v>5.9</v>
      </c>
      <c r="H325" t="n">
        <v>0</v>
      </c>
      <c r="I325" t="n">
        <v>0</v>
      </c>
      <c r="J325" t="n">
        <v>0</v>
      </c>
      <c r="K325" t="n">
        <v>0</v>
      </c>
      <c r="L325" t="n">
        <v>0</v>
      </c>
      <c r="M325" t="n">
        <v>0</v>
      </c>
      <c r="N325" t="n">
        <v>0</v>
      </c>
      <c r="O325" t="n">
        <v>0</v>
      </c>
      <c r="P325" t="n">
        <v>0</v>
      </c>
      <c r="Q325" t="n">
        <v>0</v>
      </c>
      <c r="R325" s="2" t="inlineStr"/>
    </row>
    <row r="326" ht="15" customHeight="1">
      <c r="A326" t="inlineStr">
        <is>
          <t>A 25334-2023</t>
        </is>
      </c>
      <c r="B326" s="1" t="n">
        <v>45083</v>
      </c>
      <c r="C326" s="1" t="n">
        <v>45881</v>
      </c>
      <c r="D326" t="inlineStr">
        <is>
          <t>UPPSALA LÄN</t>
        </is>
      </c>
      <c r="E326" t="inlineStr">
        <is>
          <t>ENKÖPING</t>
        </is>
      </c>
      <c r="G326" t="n">
        <v>0.2</v>
      </c>
      <c r="H326" t="n">
        <v>0</v>
      </c>
      <c r="I326" t="n">
        <v>0</v>
      </c>
      <c r="J326" t="n">
        <v>0</v>
      </c>
      <c r="K326" t="n">
        <v>0</v>
      </c>
      <c r="L326" t="n">
        <v>0</v>
      </c>
      <c r="M326" t="n">
        <v>0</v>
      </c>
      <c r="N326" t="n">
        <v>0</v>
      </c>
      <c r="O326" t="n">
        <v>0</v>
      </c>
      <c r="P326" t="n">
        <v>0</v>
      </c>
      <c r="Q326" t="n">
        <v>0</v>
      </c>
      <c r="R326" s="2" t="inlineStr"/>
    </row>
    <row r="327" ht="15" customHeight="1">
      <c r="A327" t="inlineStr">
        <is>
          <t>A 51008-2024</t>
        </is>
      </c>
      <c r="B327" s="1" t="n">
        <v>45603.39041666667</v>
      </c>
      <c r="C327" s="1" t="n">
        <v>45881</v>
      </c>
      <c r="D327" t="inlineStr">
        <is>
          <t>UPPSALA LÄN</t>
        </is>
      </c>
      <c r="E327" t="inlineStr">
        <is>
          <t>ENKÖPING</t>
        </is>
      </c>
      <c r="G327" t="n">
        <v>2.4</v>
      </c>
      <c r="H327" t="n">
        <v>0</v>
      </c>
      <c r="I327" t="n">
        <v>0</v>
      </c>
      <c r="J327" t="n">
        <v>0</v>
      </c>
      <c r="K327" t="n">
        <v>0</v>
      </c>
      <c r="L327" t="n">
        <v>0</v>
      </c>
      <c r="M327" t="n">
        <v>0</v>
      </c>
      <c r="N327" t="n">
        <v>0</v>
      </c>
      <c r="O327" t="n">
        <v>0</v>
      </c>
      <c r="P327" t="n">
        <v>0</v>
      </c>
      <c r="Q327" t="n">
        <v>0</v>
      </c>
      <c r="R327" s="2" t="inlineStr"/>
    </row>
    <row r="328" ht="15" customHeight="1">
      <c r="A328" t="inlineStr">
        <is>
          <t>A 33349-2024</t>
        </is>
      </c>
      <c r="B328" s="1" t="n">
        <v>45519</v>
      </c>
      <c r="C328" s="1" t="n">
        <v>45881</v>
      </c>
      <c r="D328" t="inlineStr">
        <is>
          <t>UPPSALA LÄN</t>
        </is>
      </c>
      <c r="E328" t="inlineStr">
        <is>
          <t>ENKÖPING</t>
        </is>
      </c>
      <c r="G328" t="n">
        <v>3.6</v>
      </c>
      <c r="H328" t="n">
        <v>0</v>
      </c>
      <c r="I328" t="n">
        <v>0</v>
      </c>
      <c r="J328" t="n">
        <v>0</v>
      </c>
      <c r="K328" t="n">
        <v>0</v>
      </c>
      <c r="L328" t="n">
        <v>0</v>
      </c>
      <c r="M328" t="n">
        <v>0</v>
      </c>
      <c r="N328" t="n">
        <v>0</v>
      </c>
      <c r="O328" t="n">
        <v>0</v>
      </c>
      <c r="P328" t="n">
        <v>0</v>
      </c>
      <c r="Q328" t="n">
        <v>0</v>
      </c>
      <c r="R328" s="2" t="inlineStr"/>
    </row>
    <row r="329" ht="15" customHeight="1">
      <c r="A329" t="inlineStr">
        <is>
          <t>A 35052-2024</t>
        </is>
      </c>
      <c r="B329" s="1" t="n">
        <v>45527.6516087963</v>
      </c>
      <c r="C329" s="1" t="n">
        <v>45881</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53587-2024</t>
        </is>
      </c>
      <c r="B330" s="1" t="n">
        <v>45614.66953703704</v>
      </c>
      <c r="C330" s="1" t="n">
        <v>45881</v>
      </c>
      <c r="D330" t="inlineStr">
        <is>
          <t>UPPSALA LÄN</t>
        </is>
      </c>
      <c r="E330" t="inlineStr">
        <is>
          <t>ENKÖPING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8152-2022</t>
        </is>
      </c>
      <c r="B331" s="1" t="n">
        <v>44609</v>
      </c>
      <c r="C331" s="1" t="n">
        <v>45881</v>
      </c>
      <c r="D331" t="inlineStr">
        <is>
          <t>UPPSALA LÄN</t>
        </is>
      </c>
      <c r="E331" t="inlineStr">
        <is>
          <t>ENKÖPING</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17657-2025</t>
        </is>
      </c>
      <c r="B332" s="1" t="n">
        <v>45758.35006944444</v>
      </c>
      <c r="C332" s="1" t="n">
        <v>45881</v>
      </c>
      <c r="D332" t="inlineStr">
        <is>
          <t>UPPSALA LÄN</t>
        </is>
      </c>
      <c r="E332" t="inlineStr">
        <is>
          <t>ENKÖPING</t>
        </is>
      </c>
      <c r="G332" t="n">
        <v>3</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45881</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60125-2024</t>
        </is>
      </c>
      <c r="B334" s="1" t="n">
        <v>45642</v>
      </c>
      <c r="C334" s="1" t="n">
        <v>45881</v>
      </c>
      <c r="D334" t="inlineStr">
        <is>
          <t>UPPSALA LÄN</t>
        </is>
      </c>
      <c r="E334" t="inlineStr">
        <is>
          <t>ENKÖPING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15939-2022</t>
        </is>
      </c>
      <c r="B335" s="1" t="n">
        <v>44664</v>
      </c>
      <c r="C335" s="1" t="n">
        <v>45881</v>
      </c>
      <c r="D335" t="inlineStr">
        <is>
          <t>UPPSALA LÄN</t>
        </is>
      </c>
      <c r="E335" t="inlineStr">
        <is>
          <t>ENKÖPING</t>
        </is>
      </c>
      <c r="G335" t="n">
        <v>2</v>
      </c>
      <c r="H335" t="n">
        <v>0</v>
      </c>
      <c r="I335" t="n">
        <v>0</v>
      </c>
      <c r="J335" t="n">
        <v>0</v>
      </c>
      <c r="K335" t="n">
        <v>0</v>
      </c>
      <c r="L335" t="n">
        <v>0</v>
      </c>
      <c r="M335" t="n">
        <v>0</v>
      </c>
      <c r="N335" t="n">
        <v>0</v>
      </c>
      <c r="O335" t="n">
        <v>0</v>
      </c>
      <c r="P335" t="n">
        <v>0</v>
      </c>
      <c r="Q335" t="n">
        <v>0</v>
      </c>
      <c r="R335" s="2" t="inlineStr"/>
    </row>
    <row r="336" ht="15" customHeight="1">
      <c r="A336" t="inlineStr">
        <is>
          <t>A 50394-2024</t>
        </is>
      </c>
      <c r="B336" s="1" t="n">
        <v>45600</v>
      </c>
      <c r="C336" s="1" t="n">
        <v>45881</v>
      </c>
      <c r="D336" t="inlineStr">
        <is>
          <t>UPPSALA LÄN</t>
        </is>
      </c>
      <c r="E336" t="inlineStr">
        <is>
          <t>ENKÖPING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1695-2025</t>
        </is>
      </c>
      <c r="B337" s="1" t="n">
        <v>45670</v>
      </c>
      <c r="C337" s="1" t="n">
        <v>45881</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59027-2024</t>
        </is>
      </c>
      <c r="B338" s="1" t="n">
        <v>45636.68755787037</v>
      </c>
      <c r="C338" s="1" t="n">
        <v>45881</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18994-2025</t>
        </is>
      </c>
      <c r="B339" s="1" t="n">
        <v>45764.57350694444</v>
      </c>
      <c r="C339" s="1" t="n">
        <v>45881</v>
      </c>
      <c r="D339" t="inlineStr">
        <is>
          <t>UPPSALA LÄN</t>
        </is>
      </c>
      <c r="E339" t="inlineStr">
        <is>
          <t>ENKÖPING</t>
        </is>
      </c>
      <c r="G339" t="n">
        <v>3.8</v>
      </c>
      <c r="H339" t="n">
        <v>0</v>
      </c>
      <c r="I339" t="n">
        <v>0</v>
      </c>
      <c r="J339" t="n">
        <v>0</v>
      </c>
      <c r="K339" t="n">
        <v>0</v>
      </c>
      <c r="L339" t="n">
        <v>0</v>
      </c>
      <c r="M339" t="n">
        <v>0</v>
      </c>
      <c r="N339" t="n">
        <v>0</v>
      </c>
      <c r="O339" t="n">
        <v>0</v>
      </c>
      <c r="P339" t="n">
        <v>0</v>
      </c>
      <c r="Q339" t="n">
        <v>0</v>
      </c>
      <c r="R339" s="2" t="inlineStr"/>
    </row>
    <row r="340" ht="15" customHeight="1">
      <c r="A340" t="inlineStr">
        <is>
          <t>A 42564-2024</t>
        </is>
      </c>
      <c r="B340" s="1" t="n">
        <v>45565.63358796296</v>
      </c>
      <c r="C340" s="1" t="n">
        <v>45881</v>
      </c>
      <c r="D340" t="inlineStr">
        <is>
          <t>UPPSALA LÄN</t>
        </is>
      </c>
      <c r="E340" t="inlineStr">
        <is>
          <t>ENKÖPING</t>
        </is>
      </c>
      <c r="G340" t="n">
        <v>1.7</v>
      </c>
      <c r="H340" t="n">
        <v>0</v>
      </c>
      <c r="I340" t="n">
        <v>0</v>
      </c>
      <c r="J340" t="n">
        <v>0</v>
      </c>
      <c r="K340" t="n">
        <v>0</v>
      </c>
      <c r="L340" t="n">
        <v>0</v>
      </c>
      <c r="M340" t="n">
        <v>0</v>
      </c>
      <c r="N340" t="n">
        <v>0</v>
      </c>
      <c r="O340" t="n">
        <v>0</v>
      </c>
      <c r="P340" t="n">
        <v>0</v>
      </c>
      <c r="Q340" t="n">
        <v>0</v>
      </c>
      <c r="R340" s="2" t="inlineStr"/>
    </row>
    <row r="341" ht="15" customHeight="1">
      <c r="A341" t="inlineStr">
        <is>
          <t>A 3235-2025</t>
        </is>
      </c>
      <c r="B341" s="1" t="n">
        <v>45679</v>
      </c>
      <c r="C341" s="1" t="n">
        <v>45881</v>
      </c>
      <c r="D341" t="inlineStr">
        <is>
          <t>UPPSALA LÄN</t>
        </is>
      </c>
      <c r="E341" t="inlineStr">
        <is>
          <t>ENKÖPING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72840-2021</t>
        </is>
      </c>
      <c r="B342" s="1" t="n">
        <v>44547</v>
      </c>
      <c r="C342" s="1" t="n">
        <v>45881</v>
      </c>
      <c r="D342" t="inlineStr">
        <is>
          <t>UPPSALA LÄN</t>
        </is>
      </c>
      <c r="E342" t="inlineStr">
        <is>
          <t>ENKÖPING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57841-2024</t>
        </is>
      </c>
      <c r="B343" s="1" t="n">
        <v>45631.40591435185</v>
      </c>
      <c r="C343" s="1" t="n">
        <v>45881</v>
      </c>
      <c r="D343" t="inlineStr">
        <is>
          <t>UPPSALA LÄN</t>
        </is>
      </c>
      <c r="E343" t="inlineStr">
        <is>
          <t>ENKÖPING</t>
        </is>
      </c>
      <c r="G343" t="n">
        <v>3.4</v>
      </c>
      <c r="H343" t="n">
        <v>0</v>
      </c>
      <c r="I343" t="n">
        <v>0</v>
      </c>
      <c r="J343" t="n">
        <v>0</v>
      </c>
      <c r="K343" t="n">
        <v>0</v>
      </c>
      <c r="L343" t="n">
        <v>0</v>
      </c>
      <c r="M343" t="n">
        <v>0</v>
      </c>
      <c r="N343" t="n">
        <v>0</v>
      </c>
      <c r="O343" t="n">
        <v>0</v>
      </c>
      <c r="P343" t="n">
        <v>0</v>
      </c>
      <c r="Q343" t="n">
        <v>0</v>
      </c>
      <c r="R343" s="2" t="inlineStr"/>
    </row>
    <row r="344" ht="15" customHeight="1">
      <c r="A344" t="inlineStr">
        <is>
          <t>A 15711-2025</t>
        </is>
      </c>
      <c r="B344" s="1" t="n">
        <v>45748</v>
      </c>
      <c r="C344" s="1" t="n">
        <v>45881</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15740-2025</t>
        </is>
      </c>
      <c r="B345" s="1" t="n">
        <v>45748</v>
      </c>
      <c r="C345" s="1" t="n">
        <v>45881</v>
      </c>
      <c r="D345" t="inlineStr">
        <is>
          <t>UPPSALA LÄN</t>
        </is>
      </c>
      <c r="E345" t="inlineStr">
        <is>
          <t>ENKÖPING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14518-2025</t>
        </is>
      </c>
      <c r="B346" s="1" t="n">
        <v>45741</v>
      </c>
      <c r="C346" s="1" t="n">
        <v>45881</v>
      </c>
      <c r="D346" t="inlineStr">
        <is>
          <t>UPPSALA LÄN</t>
        </is>
      </c>
      <c r="E346" t="inlineStr">
        <is>
          <t>ENKÖPING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4562-2025</t>
        </is>
      </c>
      <c r="B347" s="1" t="n">
        <v>45687</v>
      </c>
      <c r="C347" s="1" t="n">
        <v>45881</v>
      </c>
      <c r="D347" t="inlineStr">
        <is>
          <t>UPPSALA LÄN</t>
        </is>
      </c>
      <c r="E347" t="inlineStr">
        <is>
          <t>ENKÖPING</t>
        </is>
      </c>
      <c r="G347" t="n">
        <v>2.5</v>
      </c>
      <c r="H347" t="n">
        <v>0</v>
      </c>
      <c r="I347" t="n">
        <v>0</v>
      </c>
      <c r="J347" t="n">
        <v>0</v>
      </c>
      <c r="K347" t="n">
        <v>0</v>
      </c>
      <c r="L347" t="n">
        <v>0</v>
      </c>
      <c r="M347" t="n">
        <v>0</v>
      </c>
      <c r="N347" t="n">
        <v>0</v>
      </c>
      <c r="O347" t="n">
        <v>0</v>
      </c>
      <c r="P347" t="n">
        <v>0</v>
      </c>
      <c r="Q347" t="n">
        <v>0</v>
      </c>
      <c r="R347" s="2" t="inlineStr"/>
    </row>
    <row r="348" ht="15" customHeight="1">
      <c r="A348" t="inlineStr">
        <is>
          <t>A 6959-2025</t>
        </is>
      </c>
      <c r="B348" s="1" t="n">
        <v>45701.49315972222</v>
      </c>
      <c r="C348" s="1" t="n">
        <v>45881</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67765-2020</t>
        </is>
      </c>
      <c r="B349" s="1" t="n">
        <v>44182</v>
      </c>
      <c r="C349" s="1" t="n">
        <v>45881</v>
      </c>
      <c r="D349" t="inlineStr">
        <is>
          <t>UPPSALA LÄN</t>
        </is>
      </c>
      <c r="E349" t="inlineStr">
        <is>
          <t>ENKÖPING</t>
        </is>
      </c>
      <c r="G349" t="n">
        <v>3.6</v>
      </c>
      <c r="H349" t="n">
        <v>0</v>
      </c>
      <c r="I349" t="n">
        <v>0</v>
      </c>
      <c r="J349" t="n">
        <v>0</v>
      </c>
      <c r="K349" t="n">
        <v>0</v>
      </c>
      <c r="L349" t="n">
        <v>0</v>
      </c>
      <c r="M349" t="n">
        <v>0</v>
      </c>
      <c r="N349" t="n">
        <v>0</v>
      </c>
      <c r="O349" t="n">
        <v>0</v>
      </c>
      <c r="P349" t="n">
        <v>0</v>
      </c>
      <c r="Q349" t="n">
        <v>0</v>
      </c>
      <c r="R349" s="2" t="inlineStr"/>
    </row>
    <row r="350" ht="15" customHeight="1">
      <c r="A350" t="inlineStr">
        <is>
          <t>A 37870-2023</t>
        </is>
      </c>
      <c r="B350" s="1" t="n">
        <v>45160.41996527778</v>
      </c>
      <c r="C350" s="1" t="n">
        <v>45881</v>
      </c>
      <c r="D350" t="inlineStr">
        <is>
          <t>UPPSALA LÄN</t>
        </is>
      </c>
      <c r="E350" t="inlineStr">
        <is>
          <t>ENKÖPING</t>
        </is>
      </c>
      <c r="G350" t="n">
        <v>3.5</v>
      </c>
      <c r="H350" t="n">
        <v>0</v>
      </c>
      <c r="I350" t="n">
        <v>0</v>
      </c>
      <c r="J350" t="n">
        <v>0</v>
      </c>
      <c r="K350" t="n">
        <v>0</v>
      </c>
      <c r="L350" t="n">
        <v>0</v>
      </c>
      <c r="M350" t="n">
        <v>0</v>
      </c>
      <c r="N350" t="n">
        <v>0</v>
      </c>
      <c r="O350" t="n">
        <v>0</v>
      </c>
      <c r="P350" t="n">
        <v>0</v>
      </c>
      <c r="Q350" t="n">
        <v>0</v>
      </c>
      <c r="R350" s="2" t="inlineStr"/>
    </row>
    <row r="351" ht="15" customHeight="1">
      <c r="A351" t="inlineStr">
        <is>
          <t>A 7090-2022</t>
        </is>
      </c>
      <c r="B351" s="1" t="n">
        <v>44603.59520833333</v>
      </c>
      <c r="C351" s="1" t="n">
        <v>45881</v>
      </c>
      <c r="D351" t="inlineStr">
        <is>
          <t>UPPSALA LÄN</t>
        </is>
      </c>
      <c r="E351" t="inlineStr">
        <is>
          <t>ENKÖPING</t>
        </is>
      </c>
      <c r="G351" t="n">
        <v>2.8</v>
      </c>
      <c r="H351" t="n">
        <v>0</v>
      </c>
      <c r="I351" t="n">
        <v>0</v>
      </c>
      <c r="J351" t="n">
        <v>0</v>
      </c>
      <c r="K351" t="n">
        <v>0</v>
      </c>
      <c r="L351" t="n">
        <v>0</v>
      </c>
      <c r="M351" t="n">
        <v>0</v>
      </c>
      <c r="N351" t="n">
        <v>0</v>
      </c>
      <c r="O351" t="n">
        <v>0</v>
      </c>
      <c r="P351" t="n">
        <v>0</v>
      </c>
      <c r="Q351" t="n">
        <v>0</v>
      </c>
      <c r="R351" s="2" t="inlineStr"/>
    </row>
    <row r="352" ht="15" customHeight="1">
      <c r="A352" t="inlineStr">
        <is>
          <t>A 49063-2024</t>
        </is>
      </c>
      <c r="B352" s="1" t="n">
        <v>45594.59869212963</v>
      </c>
      <c r="C352" s="1" t="n">
        <v>45881</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17165-2025</t>
        </is>
      </c>
      <c r="B353" s="1" t="n">
        <v>45756</v>
      </c>
      <c r="C353" s="1" t="n">
        <v>45881</v>
      </c>
      <c r="D353" t="inlineStr">
        <is>
          <t>UPPSALA LÄN</t>
        </is>
      </c>
      <c r="E353" t="inlineStr">
        <is>
          <t>ENKÖPING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14083-2025</t>
        </is>
      </c>
      <c r="B354" s="1" t="n">
        <v>45740</v>
      </c>
      <c r="C354" s="1" t="n">
        <v>45881</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54776-2024</t>
        </is>
      </c>
      <c r="B355" s="1" t="n">
        <v>45618</v>
      </c>
      <c r="C355" s="1" t="n">
        <v>45881</v>
      </c>
      <c r="D355" t="inlineStr">
        <is>
          <t>UPPSALA LÄN</t>
        </is>
      </c>
      <c r="E355" t="inlineStr">
        <is>
          <t>ENKÖPING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22150-2025</t>
        </is>
      </c>
      <c r="B356" s="1" t="n">
        <v>45785.56398148148</v>
      </c>
      <c r="C356" s="1" t="n">
        <v>45881</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19298-2023</t>
        </is>
      </c>
      <c r="B357" s="1" t="n">
        <v>45048</v>
      </c>
      <c r="C357" s="1" t="n">
        <v>45881</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22156-2025</t>
        </is>
      </c>
      <c r="B358" s="1" t="n">
        <v>45785.57512731481</v>
      </c>
      <c r="C358" s="1" t="n">
        <v>45881</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57833-2024</t>
        </is>
      </c>
      <c r="B359" s="1" t="n">
        <v>45631.3953587963</v>
      </c>
      <c r="C359" s="1" t="n">
        <v>45881</v>
      </c>
      <c r="D359" t="inlineStr">
        <is>
          <t>UPPSALA LÄN</t>
        </is>
      </c>
      <c r="E359" t="inlineStr">
        <is>
          <t>ENKÖPING</t>
        </is>
      </c>
      <c r="G359" t="n">
        <v>2.8</v>
      </c>
      <c r="H359" t="n">
        <v>0</v>
      </c>
      <c r="I359" t="n">
        <v>0</v>
      </c>
      <c r="J359" t="n">
        <v>0</v>
      </c>
      <c r="K359" t="n">
        <v>0</v>
      </c>
      <c r="L359" t="n">
        <v>0</v>
      </c>
      <c r="M359" t="n">
        <v>0</v>
      </c>
      <c r="N359" t="n">
        <v>0</v>
      </c>
      <c r="O359" t="n">
        <v>0</v>
      </c>
      <c r="P359" t="n">
        <v>0</v>
      </c>
      <c r="Q359" t="n">
        <v>0</v>
      </c>
      <c r="R359" s="2" t="inlineStr"/>
    </row>
    <row r="360" ht="15" customHeight="1">
      <c r="A360" t="inlineStr">
        <is>
          <t>A 30087-2024</t>
        </is>
      </c>
      <c r="B360" s="1" t="n">
        <v>45489.39447916667</v>
      </c>
      <c r="C360" s="1" t="n">
        <v>45881</v>
      </c>
      <c r="D360" t="inlineStr">
        <is>
          <t>UPPSALA LÄN</t>
        </is>
      </c>
      <c r="E360" t="inlineStr">
        <is>
          <t>ENKÖPING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52299-2023</t>
        </is>
      </c>
      <c r="B361" s="1" t="n">
        <v>45224.61636574074</v>
      </c>
      <c r="C361" s="1" t="n">
        <v>45881</v>
      </c>
      <c r="D361" t="inlineStr">
        <is>
          <t>UPPSALA LÄN</t>
        </is>
      </c>
      <c r="E361" t="inlineStr">
        <is>
          <t>ENKÖPING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22632-2025</t>
        </is>
      </c>
      <c r="B362" s="1" t="n">
        <v>45789.44361111111</v>
      </c>
      <c r="C362" s="1" t="n">
        <v>45881</v>
      </c>
      <c r="D362" t="inlineStr">
        <is>
          <t>UPPSALA LÄN</t>
        </is>
      </c>
      <c r="E362" t="inlineStr">
        <is>
          <t>ENKÖPING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22677-2025</t>
        </is>
      </c>
      <c r="B363" s="1" t="n">
        <v>45789.49515046296</v>
      </c>
      <c r="C363" s="1" t="n">
        <v>45881</v>
      </c>
      <c r="D363" t="inlineStr">
        <is>
          <t>UPPSALA LÄN</t>
        </is>
      </c>
      <c r="E363" t="inlineStr">
        <is>
          <t>ENKÖPING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22679-2025</t>
        </is>
      </c>
      <c r="B364" s="1" t="n">
        <v>45789.49747685185</v>
      </c>
      <c r="C364" s="1" t="n">
        <v>45881</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22729-2025</t>
        </is>
      </c>
      <c r="B365" s="1" t="n">
        <v>45789.57790509259</v>
      </c>
      <c r="C365" s="1" t="n">
        <v>45881</v>
      </c>
      <c r="D365" t="inlineStr">
        <is>
          <t>UPPSALA LÄN</t>
        </is>
      </c>
      <c r="E365" t="inlineStr">
        <is>
          <t>ENKÖPING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22786-2025</t>
        </is>
      </c>
      <c r="B366" s="1" t="n">
        <v>45789.64643518518</v>
      </c>
      <c r="C366" s="1" t="n">
        <v>45881</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22795-2025</t>
        </is>
      </c>
      <c r="B367" s="1" t="n">
        <v>45789.65944444444</v>
      </c>
      <c r="C367" s="1" t="n">
        <v>45881</v>
      </c>
      <c r="D367" t="inlineStr">
        <is>
          <t>UPPSALA LÄN</t>
        </is>
      </c>
      <c r="E367" t="inlineStr">
        <is>
          <t>ENKÖPING</t>
        </is>
      </c>
      <c r="G367" t="n">
        <v>10.4</v>
      </c>
      <c r="H367" t="n">
        <v>0</v>
      </c>
      <c r="I367" t="n">
        <v>0</v>
      </c>
      <c r="J367" t="n">
        <v>0</v>
      </c>
      <c r="K367" t="n">
        <v>0</v>
      </c>
      <c r="L367" t="n">
        <v>0</v>
      </c>
      <c r="M367" t="n">
        <v>0</v>
      </c>
      <c r="N367" t="n">
        <v>0</v>
      </c>
      <c r="O367" t="n">
        <v>0</v>
      </c>
      <c r="P367" t="n">
        <v>0</v>
      </c>
      <c r="Q367" t="n">
        <v>0</v>
      </c>
      <c r="R367" s="2" t="inlineStr"/>
    </row>
    <row r="368" ht="15" customHeight="1">
      <c r="A368" t="inlineStr">
        <is>
          <t>A 18986-2025</t>
        </is>
      </c>
      <c r="B368" s="1" t="n">
        <v>45764.56089120371</v>
      </c>
      <c r="C368" s="1" t="n">
        <v>45881</v>
      </c>
      <c r="D368" t="inlineStr">
        <is>
          <t>UPPSALA LÄN</t>
        </is>
      </c>
      <c r="E368" t="inlineStr">
        <is>
          <t>ENKÖPING</t>
        </is>
      </c>
      <c r="G368" t="n">
        <v>6.9</v>
      </c>
      <c r="H368" t="n">
        <v>0</v>
      </c>
      <c r="I368" t="n">
        <v>0</v>
      </c>
      <c r="J368" t="n">
        <v>0</v>
      </c>
      <c r="K368" t="n">
        <v>0</v>
      </c>
      <c r="L368" t="n">
        <v>0</v>
      </c>
      <c r="M368" t="n">
        <v>0</v>
      </c>
      <c r="N368" t="n">
        <v>0</v>
      </c>
      <c r="O368" t="n">
        <v>0</v>
      </c>
      <c r="P368" t="n">
        <v>0</v>
      </c>
      <c r="Q368" t="n">
        <v>0</v>
      </c>
      <c r="R368" s="2" t="inlineStr"/>
    </row>
    <row r="369" ht="15" customHeight="1">
      <c r="A369" t="inlineStr">
        <is>
          <t>A 22802-2025</t>
        </is>
      </c>
      <c r="B369" s="1" t="n">
        <v>45789.6686574074</v>
      </c>
      <c r="C369" s="1" t="n">
        <v>45881</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15409-2025</t>
        </is>
      </c>
      <c r="B370" s="1" t="n">
        <v>45747</v>
      </c>
      <c r="C370" s="1" t="n">
        <v>45881</v>
      </c>
      <c r="D370" t="inlineStr">
        <is>
          <t>UPPSALA LÄN</t>
        </is>
      </c>
      <c r="E370" t="inlineStr">
        <is>
          <t>ENKÖPING</t>
        </is>
      </c>
      <c r="G370" t="n">
        <v>2.5</v>
      </c>
      <c r="H370" t="n">
        <v>0</v>
      </c>
      <c r="I370" t="n">
        <v>0</v>
      </c>
      <c r="J370" t="n">
        <v>0</v>
      </c>
      <c r="K370" t="n">
        <v>0</v>
      </c>
      <c r="L370" t="n">
        <v>0</v>
      </c>
      <c r="M370" t="n">
        <v>0</v>
      </c>
      <c r="N370" t="n">
        <v>0</v>
      </c>
      <c r="O370" t="n">
        <v>0</v>
      </c>
      <c r="P370" t="n">
        <v>0</v>
      </c>
      <c r="Q370" t="n">
        <v>0</v>
      </c>
      <c r="R370" s="2" t="inlineStr"/>
    </row>
    <row r="371" ht="15" customHeight="1">
      <c r="A371" t="inlineStr">
        <is>
          <t>A 22680-2025</t>
        </is>
      </c>
      <c r="B371" s="1" t="n">
        <v>45789.5005787037</v>
      </c>
      <c r="C371" s="1" t="n">
        <v>45881</v>
      </c>
      <c r="D371" t="inlineStr">
        <is>
          <t>UPPSALA LÄN</t>
        </is>
      </c>
      <c r="E371" t="inlineStr">
        <is>
          <t>ENKÖPING</t>
        </is>
      </c>
      <c r="G371" t="n">
        <v>1</v>
      </c>
      <c r="H371" t="n">
        <v>0</v>
      </c>
      <c r="I371" t="n">
        <v>0</v>
      </c>
      <c r="J371" t="n">
        <v>0</v>
      </c>
      <c r="K371" t="n">
        <v>0</v>
      </c>
      <c r="L371" t="n">
        <v>0</v>
      </c>
      <c r="M371" t="n">
        <v>0</v>
      </c>
      <c r="N371" t="n">
        <v>0</v>
      </c>
      <c r="O371" t="n">
        <v>0</v>
      </c>
      <c r="P371" t="n">
        <v>0</v>
      </c>
      <c r="Q371" t="n">
        <v>0</v>
      </c>
      <c r="R371" s="2" t="inlineStr"/>
    </row>
    <row r="372" ht="15" customHeight="1">
      <c r="A372" t="inlineStr">
        <is>
          <t>A 6981-2025</t>
        </is>
      </c>
      <c r="B372" s="1" t="n">
        <v>45701</v>
      </c>
      <c r="C372" s="1" t="n">
        <v>45881</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22770-2025</t>
        </is>
      </c>
      <c r="B373" s="1" t="n">
        <v>45789.63454861111</v>
      </c>
      <c r="C373" s="1" t="n">
        <v>45881</v>
      </c>
      <c r="D373" t="inlineStr">
        <is>
          <t>UPPSALA LÄN</t>
        </is>
      </c>
      <c r="E373" t="inlineStr">
        <is>
          <t>ENKÖPING</t>
        </is>
      </c>
      <c r="G373" t="n">
        <v>4.5</v>
      </c>
      <c r="H373" t="n">
        <v>0</v>
      </c>
      <c r="I373" t="n">
        <v>0</v>
      </c>
      <c r="J373" t="n">
        <v>0</v>
      </c>
      <c r="K373" t="n">
        <v>0</v>
      </c>
      <c r="L373" t="n">
        <v>0</v>
      </c>
      <c r="M373" t="n">
        <v>0</v>
      </c>
      <c r="N373" t="n">
        <v>0</v>
      </c>
      <c r="O373" t="n">
        <v>0</v>
      </c>
      <c r="P373" t="n">
        <v>0</v>
      </c>
      <c r="Q373" t="n">
        <v>0</v>
      </c>
      <c r="R373" s="2" t="inlineStr"/>
    </row>
    <row r="374" ht="15" customHeight="1">
      <c r="A374" t="inlineStr">
        <is>
          <t>A 22725-2025</t>
        </is>
      </c>
      <c r="B374" s="1" t="n">
        <v>45789.57371527778</v>
      </c>
      <c r="C374" s="1" t="n">
        <v>45881</v>
      </c>
      <c r="D374" t="inlineStr">
        <is>
          <t>UPPSALA LÄN</t>
        </is>
      </c>
      <c r="E374" t="inlineStr">
        <is>
          <t>ENKÖPING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22981-2025</t>
        </is>
      </c>
      <c r="B375" s="1" t="n">
        <v>45790.56964120371</v>
      </c>
      <c r="C375" s="1" t="n">
        <v>45881</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23020-2025</t>
        </is>
      </c>
      <c r="B376" s="1" t="n">
        <v>45790.64706018518</v>
      </c>
      <c r="C376" s="1" t="n">
        <v>45881</v>
      </c>
      <c r="D376" t="inlineStr">
        <is>
          <t>UPPSALA LÄN</t>
        </is>
      </c>
      <c r="E376" t="inlineStr">
        <is>
          <t>ENKÖPING</t>
        </is>
      </c>
      <c r="G376" t="n">
        <v>5.2</v>
      </c>
      <c r="H376" t="n">
        <v>0</v>
      </c>
      <c r="I376" t="n">
        <v>0</v>
      </c>
      <c r="J376" t="n">
        <v>0</v>
      </c>
      <c r="K376" t="n">
        <v>0</v>
      </c>
      <c r="L376" t="n">
        <v>0</v>
      </c>
      <c r="M376" t="n">
        <v>0</v>
      </c>
      <c r="N376" t="n">
        <v>0</v>
      </c>
      <c r="O376" t="n">
        <v>0</v>
      </c>
      <c r="P376" t="n">
        <v>0</v>
      </c>
      <c r="Q376" t="n">
        <v>0</v>
      </c>
      <c r="R376" s="2" t="inlineStr"/>
    </row>
    <row r="377" ht="15" customHeight="1">
      <c r="A377" t="inlineStr">
        <is>
          <t>A 20186-2023</t>
        </is>
      </c>
      <c r="B377" s="1" t="n">
        <v>45055.56934027778</v>
      </c>
      <c r="C377" s="1" t="n">
        <v>45881</v>
      </c>
      <c r="D377" t="inlineStr">
        <is>
          <t>UPPSALA LÄN</t>
        </is>
      </c>
      <c r="E377" t="inlineStr">
        <is>
          <t>ENKÖPING</t>
        </is>
      </c>
      <c r="G377" t="n">
        <v>4.3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44526.39126157408</v>
      </c>
      <c r="C378" s="1" t="n">
        <v>45881</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22793-2025</t>
        </is>
      </c>
      <c r="B379" s="1" t="n">
        <v>45789.65693287037</v>
      </c>
      <c r="C379" s="1" t="n">
        <v>45881</v>
      </c>
      <c r="D379" t="inlineStr">
        <is>
          <t>UPPSALA LÄN</t>
        </is>
      </c>
      <c r="E379" t="inlineStr">
        <is>
          <t>ENKÖPING</t>
        </is>
      </c>
      <c r="G379" t="n">
        <v>3.2</v>
      </c>
      <c r="H379" t="n">
        <v>0</v>
      </c>
      <c r="I379" t="n">
        <v>0</v>
      </c>
      <c r="J379" t="n">
        <v>0</v>
      </c>
      <c r="K379" t="n">
        <v>0</v>
      </c>
      <c r="L379" t="n">
        <v>0</v>
      </c>
      <c r="M379" t="n">
        <v>0</v>
      </c>
      <c r="N379" t="n">
        <v>0</v>
      </c>
      <c r="O379" t="n">
        <v>0</v>
      </c>
      <c r="P379" t="n">
        <v>0</v>
      </c>
      <c r="Q379" t="n">
        <v>0</v>
      </c>
      <c r="R379" s="2" t="inlineStr"/>
    </row>
    <row r="380" ht="15" customHeight="1">
      <c r="A380" t="inlineStr">
        <is>
          <t>A 22800-2025</t>
        </is>
      </c>
      <c r="B380" s="1" t="n">
        <v>45789.6669212963</v>
      </c>
      <c r="C380" s="1" t="n">
        <v>45881</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34617-2022</t>
        </is>
      </c>
      <c r="B381" s="1" t="n">
        <v>44795</v>
      </c>
      <c r="C381" s="1" t="n">
        <v>45881</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40202-2024</t>
        </is>
      </c>
      <c r="B382" s="1" t="n">
        <v>45554</v>
      </c>
      <c r="C382" s="1" t="n">
        <v>45881</v>
      </c>
      <c r="D382" t="inlineStr">
        <is>
          <t>UPPSALA LÄN</t>
        </is>
      </c>
      <c r="E382" t="inlineStr">
        <is>
          <t>ENKÖPING</t>
        </is>
      </c>
      <c r="G382" t="n">
        <v>6.2</v>
      </c>
      <c r="H382" t="n">
        <v>0</v>
      </c>
      <c r="I382" t="n">
        <v>0</v>
      </c>
      <c r="J382" t="n">
        <v>0</v>
      </c>
      <c r="K382" t="n">
        <v>0</v>
      </c>
      <c r="L382" t="n">
        <v>0</v>
      </c>
      <c r="M382" t="n">
        <v>0</v>
      </c>
      <c r="N382" t="n">
        <v>0</v>
      </c>
      <c r="O382" t="n">
        <v>0</v>
      </c>
      <c r="P382" t="n">
        <v>0</v>
      </c>
      <c r="Q382" t="n">
        <v>0</v>
      </c>
      <c r="R382" s="2" t="inlineStr"/>
    </row>
    <row r="383" ht="15" customHeight="1">
      <c r="A383" t="inlineStr">
        <is>
          <t>A 40223-2024</t>
        </is>
      </c>
      <c r="B383" s="1" t="n">
        <v>45554</v>
      </c>
      <c r="C383" s="1" t="n">
        <v>45881</v>
      </c>
      <c r="D383" t="inlineStr">
        <is>
          <t>UPPSALA LÄN</t>
        </is>
      </c>
      <c r="E383" t="inlineStr">
        <is>
          <t>ENKÖPING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69879-2021</t>
        </is>
      </c>
      <c r="B384" s="1" t="n">
        <v>44532</v>
      </c>
      <c r="C384" s="1" t="n">
        <v>45881</v>
      </c>
      <c r="D384" t="inlineStr">
        <is>
          <t>UPPSALA LÄN</t>
        </is>
      </c>
      <c r="E384" t="inlineStr">
        <is>
          <t>ENKÖPING</t>
        </is>
      </c>
      <c r="G384" t="n">
        <v>4.2</v>
      </c>
      <c r="H384" t="n">
        <v>0</v>
      </c>
      <c r="I384" t="n">
        <v>0</v>
      </c>
      <c r="J384" t="n">
        <v>0</v>
      </c>
      <c r="K384" t="n">
        <v>0</v>
      </c>
      <c r="L384" t="n">
        <v>0</v>
      </c>
      <c r="M384" t="n">
        <v>0</v>
      </c>
      <c r="N384" t="n">
        <v>0</v>
      </c>
      <c r="O384" t="n">
        <v>0</v>
      </c>
      <c r="P384" t="n">
        <v>0</v>
      </c>
      <c r="Q384" t="n">
        <v>0</v>
      </c>
      <c r="R384" s="2" t="inlineStr"/>
    </row>
    <row r="385" ht="15" customHeight="1">
      <c r="A385" t="inlineStr">
        <is>
          <t>A 19013-2025</t>
        </is>
      </c>
      <c r="B385" s="1" t="n">
        <v>45764.59533564815</v>
      </c>
      <c r="C385" s="1" t="n">
        <v>45881</v>
      </c>
      <c r="D385" t="inlineStr">
        <is>
          <t>UPPSALA LÄN</t>
        </is>
      </c>
      <c r="E385" t="inlineStr">
        <is>
          <t>ENKÖPING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57335-2024</t>
        </is>
      </c>
      <c r="B386" s="1" t="n">
        <v>45629.63302083333</v>
      </c>
      <c r="C386" s="1" t="n">
        <v>45881</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9662-2025</t>
        </is>
      </c>
      <c r="B387" s="1" t="n">
        <v>45716</v>
      </c>
      <c r="C387" s="1" t="n">
        <v>45881</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23301-2024</t>
        </is>
      </c>
      <c r="B388" s="1" t="n">
        <v>45453.4396412037</v>
      </c>
      <c r="C388" s="1" t="n">
        <v>45881</v>
      </c>
      <c r="D388" t="inlineStr">
        <is>
          <t>UPPSALA LÄN</t>
        </is>
      </c>
      <c r="E388" t="inlineStr">
        <is>
          <t>ENKÖPING</t>
        </is>
      </c>
      <c r="G388" t="n">
        <v>4.3</v>
      </c>
      <c r="H388" t="n">
        <v>0</v>
      </c>
      <c r="I388" t="n">
        <v>0</v>
      </c>
      <c r="J388" t="n">
        <v>0</v>
      </c>
      <c r="K388" t="n">
        <v>0</v>
      </c>
      <c r="L388" t="n">
        <v>0</v>
      </c>
      <c r="M388" t="n">
        <v>0</v>
      </c>
      <c r="N388" t="n">
        <v>0</v>
      </c>
      <c r="O388" t="n">
        <v>0</v>
      </c>
      <c r="P388" t="n">
        <v>0</v>
      </c>
      <c r="Q388" t="n">
        <v>0</v>
      </c>
      <c r="R388" s="2" t="inlineStr"/>
    </row>
    <row r="389" ht="15" customHeight="1">
      <c r="A389" t="inlineStr">
        <is>
          <t>A 2833-2025</t>
        </is>
      </c>
      <c r="B389" s="1" t="n">
        <v>45677.63206018518</v>
      </c>
      <c r="C389" s="1" t="n">
        <v>45881</v>
      </c>
      <c r="D389" t="inlineStr">
        <is>
          <t>UPPSALA LÄN</t>
        </is>
      </c>
      <c r="E389" t="inlineStr">
        <is>
          <t>ENKÖPING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17729-2023</t>
        </is>
      </c>
      <c r="B390" s="1" t="n">
        <v>45037</v>
      </c>
      <c r="C390" s="1" t="n">
        <v>45881</v>
      </c>
      <c r="D390" t="inlineStr">
        <is>
          <t>UPPSALA LÄN</t>
        </is>
      </c>
      <c r="E390" t="inlineStr">
        <is>
          <t>ENKÖPING</t>
        </is>
      </c>
      <c r="G390" t="n">
        <v>10.2</v>
      </c>
      <c r="H390" t="n">
        <v>0</v>
      </c>
      <c r="I390" t="n">
        <v>0</v>
      </c>
      <c r="J390" t="n">
        <v>0</v>
      </c>
      <c r="K390" t="n">
        <v>0</v>
      </c>
      <c r="L390" t="n">
        <v>0</v>
      </c>
      <c r="M390" t="n">
        <v>0</v>
      </c>
      <c r="N390" t="n">
        <v>0</v>
      </c>
      <c r="O390" t="n">
        <v>0</v>
      </c>
      <c r="P390" t="n">
        <v>0</v>
      </c>
      <c r="Q390" t="n">
        <v>0</v>
      </c>
      <c r="R390" s="2" t="inlineStr"/>
    </row>
    <row r="391" ht="15" customHeight="1">
      <c r="A391" t="inlineStr">
        <is>
          <t>A 5749-2025</t>
        </is>
      </c>
      <c r="B391" s="1" t="n">
        <v>45694</v>
      </c>
      <c r="C391" s="1" t="n">
        <v>45881</v>
      </c>
      <c r="D391" t="inlineStr">
        <is>
          <t>UPPSALA LÄN</t>
        </is>
      </c>
      <c r="E391" t="inlineStr">
        <is>
          <t>ENKÖPING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33619-2022</t>
        </is>
      </c>
      <c r="B392" s="1" t="n">
        <v>44789</v>
      </c>
      <c r="C392" s="1" t="n">
        <v>45881</v>
      </c>
      <c r="D392" t="inlineStr">
        <is>
          <t>UPPSALA LÄN</t>
        </is>
      </c>
      <c r="E392" t="inlineStr">
        <is>
          <t>ENKÖPING</t>
        </is>
      </c>
      <c r="F392" t="inlineStr">
        <is>
          <t>Allmännings- och besparingsskogar</t>
        </is>
      </c>
      <c r="G392" t="n">
        <v>4.5</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45881</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34805-2024</t>
        </is>
      </c>
      <c r="B394" s="1" t="n">
        <v>45526</v>
      </c>
      <c r="C394" s="1" t="n">
        <v>45881</v>
      </c>
      <c r="D394" t="inlineStr">
        <is>
          <t>UPPSALA LÄN</t>
        </is>
      </c>
      <c r="E394" t="inlineStr">
        <is>
          <t>ENKÖPING</t>
        </is>
      </c>
      <c r="G394" t="n">
        <v>3.6</v>
      </c>
      <c r="H394" t="n">
        <v>0</v>
      </c>
      <c r="I394" t="n">
        <v>0</v>
      </c>
      <c r="J394" t="n">
        <v>0</v>
      </c>
      <c r="K394" t="n">
        <v>0</v>
      </c>
      <c r="L394" t="n">
        <v>0</v>
      </c>
      <c r="M394" t="n">
        <v>0</v>
      </c>
      <c r="N394" t="n">
        <v>0</v>
      </c>
      <c r="O394" t="n">
        <v>0</v>
      </c>
      <c r="P394" t="n">
        <v>0</v>
      </c>
      <c r="Q394" t="n">
        <v>0</v>
      </c>
      <c r="R394" s="2" t="inlineStr"/>
    </row>
    <row r="395" ht="15" customHeight="1">
      <c r="A395" t="inlineStr">
        <is>
          <t>A 314-2025</t>
        </is>
      </c>
      <c r="B395" s="1" t="n">
        <v>45656</v>
      </c>
      <c r="C395" s="1" t="n">
        <v>45881</v>
      </c>
      <c r="D395" t="inlineStr">
        <is>
          <t>UPPSALA LÄN</t>
        </is>
      </c>
      <c r="E395" t="inlineStr">
        <is>
          <t>ENKÖPING</t>
        </is>
      </c>
      <c r="G395" t="n">
        <v>9</v>
      </c>
      <c r="H395" t="n">
        <v>0</v>
      </c>
      <c r="I395" t="n">
        <v>0</v>
      </c>
      <c r="J395" t="n">
        <v>0</v>
      </c>
      <c r="K395" t="n">
        <v>0</v>
      </c>
      <c r="L395" t="n">
        <v>0</v>
      </c>
      <c r="M395" t="n">
        <v>0</v>
      </c>
      <c r="N395" t="n">
        <v>0</v>
      </c>
      <c r="O395" t="n">
        <v>0</v>
      </c>
      <c r="P395" t="n">
        <v>0</v>
      </c>
      <c r="Q395" t="n">
        <v>0</v>
      </c>
      <c r="R395" s="2" t="inlineStr"/>
    </row>
    <row r="396" ht="15" customHeight="1">
      <c r="A396" t="inlineStr">
        <is>
          <t>A 31604-2023</t>
        </is>
      </c>
      <c r="B396" s="1" t="n">
        <v>45117.50368055556</v>
      </c>
      <c r="C396" s="1" t="n">
        <v>45881</v>
      </c>
      <c r="D396" t="inlineStr">
        <is>
          <t>UPPSALA LÄN</t>
        </is>
      </c>
      <c r="E396" t="inlineStr">
        <is>
          <t>ENKÖPING</t>
        </is>
      </c>
      <c r="G396" t="n">
        <v>3.5</v>
      </c>
      <c r="H396" t="n">
        <v>0</v>
      </c>
      <c r="I396" t="n">
        <v>0</v>
      </c>
      <c r="J396" t="n">
        <v>0</v>
      </c>
      <c r="K396" t="n">
        <v>0</v>
      </c>
      <c r="L396" t="n">
        <v>0</v>
      </c>
      <c r="M396" t="n">
        <v>0</v>
      </c>
      <c r="N396" t="n">
        <v>0</v>
      </c>
      <c r="O396" t="n">
        <v>0</v>
      </c>
      <c r="P396" t="n">
        <v>0</v>
      </c>
      <c r="Q396" t="n">
        <v>0</v>
      </c>
      <c r="R396" s="2" t="inlineStr"/>
    </row>
    <row r="397" ht="15" customHeight="1">
      <c r="A397" t="inlineStr">
        <is>
          <t>A 10831-2024</t>
        </is>
      </c>
      <c r="B397" s="1" t="n">
        <v>45369</v>
      </c>
      <c r="C397" s="1" t="n">
        <v>45881</v>
      </c>
      <c r="D397" t="inlineStr">
        <is>
          <t>UPPSALA LÄN</t>
        </is>
      </c>
      <c r="E397" t="inlineStr">
        <is>
          <t>ENKÖPING</t>
        </is>
      </c>
      <c r="G397" t="n">
        <v>2.9</v>
      </c>
      <c r="H397" t="n">
        <v>0</v>
      </c>
      <c r="I397" t="n">
        <v>0</v>
      </c>
      <c r="J397" t="n">
        <v>0</v>
      </c>
      <c r="K397" t="n">
        <v>0</v>
      </c>
      <c r="L397" t="n">
        <v>0</v>
      </c>
      <c r="M397" t="n">
        <v>0</v>
      </c>
      <c r="N397" t="n">
        <v>0</v>
      </c>
      <c r="O397" t="n">
        <v>0</v>
      </c>
      <c r="P397" t="n">
        <v>0</v>
      </c>
      <c r="Q397" t="n">
        <v>0</v>
      </c>
      <c r="R397" s="2" t="inlineStr"/>
    </row>
    <row r="398" ht="15" customHeight="1">
      <c r="A398" t="inlineStr">
        <is>
          <t>A 5712-2025</t>
        </is>
      </c>
      <c r="B398" s="1" t="n">
        <v>45694</v>
      </c>
      <c r="C398" s="1" t="n">
        <v>45881</v>
      </c>
      <c r="D398" t="inlineStr">
        <is>
          <t>UPPSALA LÄN</t>
        </is>
      </c>
      <c r="E398" t="inlineStr">
        <is>
          <t>ENKÖPING</t>
        </is>
      </c>
      <c r="G398" t="n">
        <v>5.1</v>
      </c>
      <c r="H398" t="n">
        <v>0</v>
      </c>
      <c r="I398" t="n">
        <v>0</v>
      </c>
      <c r="J398" t="n">
        <v>0</v>
      </c>
      <c r="K398" t="n">
        <v>0</v>
      </c>
      <c r="L398" t="n">
        <v>0</v>
      </c>
      <c r="M398" t="n">
        <v>0</v>
      </c>
      <c r="N398" t="n">
        <v>0</v>
      </c>
      <c r="O398" t="n">
        <v>0</v>
      </c>
      <c r="P398" t="n">
        <v>0</v>
      </c>
      <c r="Q398" t="n">
        <v>0</v>
      </c>
      <c r="R398" s="2" t="inlineStr"/>
    </row>
    <row r="399" ht="15" customHeight="1">
      <c r="A399" t="inlineStr">
        <is>
          <t>A 45956-2024</t>
        </is>
      </c>
      <c r="B399" s="1" t="n">
        <v>45580</v>
      </c>
      <c r="C399" s="1" t="n">
        <v>45881</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11627-2025</t>
        </is>
      </c>
      <c r="B400" s="1" t="n">
        <v>45727</v>
      </c>
      <c r="C400" s="1" t="n">
        <v>45881</v>
      </c>
      <c r="D400" t="inlineStr">
        <is>
          <t>UPPSALA LÄN</t>
        </is>
      </c>
      <c r="E400" t="inlineStr">
        <is>
          <t>ENKÖPING</t>
        </is>
      </c>
      <c r="G400" t="n">
        <v>5.5</v>
      </c>
      <c r="H400" t="n">
        <v>0</v>
      </c>
      <c r="I400" t="n">
        <v>0</v>
      </c>
      <c r="J400" t="n">
        <v>0</v>
      </c>
      <c r="K400" t="n">
        <v>0</v>
      </c>
      <c r="L400" t="n">
        <v>0</v>
      </c>
      <c r="M400" t="n">
        <v>0</v>
      </c>
      <c r="N400" t="n">
        <v>0</v>
      </c>
      <c r="O400" t="n">
        <v>0</v>
      </c>
      <c r="P400" t="n">
        <v>0</v>
      </c>
      <c r="Q400" t="n">
        <v>0</v>
      </c>
      <c r="R400" s="2" t="inlineStr"/>
    </row>
    <row r="401" ht="15" customHeight="1">
      <c r="A401" t="inlineStr">
        <is>
          <t>A 74090-2021</t>
        </is>
      </c>
      <c r="B401" s="1" t="n">
        <v>44557</v>
      </c>
      <c r="C401" s="1" t="n">
        <v>45881</v>
      </c>
      <c r="D401" t="inlineStr">
        <is>
          <t>UPPSALA LÄN</t>
        </is>
      </c>
      <c r="E401" t="inlineStr">
        <is>
          <t>ENKÖPING</t>
        </is>
      </c>
      <c r="G401" t="n">
        <v>2.1</v>
      </c>
      <c r="H401" t="n">
        <v>0</v>
      </c>
      <c r="I401" t="n">
        <v>0</v>
      </c>
      <c r="J401" t="n">
        <v>0</v>
      </c>
      <c r="K401" t="n">
        <v>0</v>
      </c>
      <c r="L401" t="n">
        <v>0</v>
      </c>
      <c r="M401" t="n">
        <v>0</v>
      </c>
      <c r="N401" t="n">
        <v>0</v>
      </c>
      <c r="O401" t="n">
        <v>0</v>
      </c>
      <c r="P401" t="n">
        <v>0</v>
      </c>
      <c r="Q401" t="n">
        <v>0</v>
      </c>
      <c r="R401" s="2" t="inlineStr"/>
    </row>
    <row r="402" ht="15" customHeight="1">
      <c r="A402" t="inlineStr">
        <is>
          <t>A 59602-2024</t>
        </is>
      </c>
      <c r="B402" s="1" t="n">
        <v>45638</v>
      </c>
      <c r="C402" s="1" t="n">
        <v>45881</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14243-2025</t>
        </is>
      </c>
      <c r="B403" s="1" t="n">
        <v>45740.61288194444</v>
      </c>
      <c r="C403" s="1" t="n">
        <v>45881</v>
      </c>
      <c r="D403" t="inlineStr">
        <is>
          <t>UPPSALA LÄN</t>
        </is>
      </c>
      <c r="E403" t="inlineStr">
        <is>
          <t>ENKÖPING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19488-2022</t>
        </is>
      </c>
      <c r="B404" s="1" t="n">
        <v>44693</v>
      </c>
      <c r="C404" s="1" t="n">
        <v>45881</v>
      </c>
      <c r="D404" t="inlineStr">
        <is>
          <t>UPPSALA LÄN</t>
        </is>
      </c>
      <c r="E404" t="inlineStr">
        <is>
          <t>ENKÖPING</t>
        </is>
      </c>
      <c r="G404" t="n">
        <v>7.8</v>
      </c>
      <c r="H404" t="n">
        <v>0</v>
      </c>
      <c r="I404" t="n">
        <v>0</v>
      </c>
      <c r="J404" t="n">
        <v>0</v>
      </c>
      <c r="K404" t="n">
        <v>0</v>
      </c>
      <c r="L404" t="n">
        <v>0</v>
      </c>
      <c r="M404" t="n">
        <v>0</v>
      </c>
      <c r="N404" t="n">
        <v>0</v>
      </c>
      <c r="O404" t="n">
        <v>0</v>
      </c>
      <c r="P404" t="n">
        <v>0</v>
      </c>
      <c r="Q404" t="n">
        <v>0</v>
      </c>
      <c r="R404" s="2" t="inlineStr"/>
    </row>
    <row r="405" ht="15" customHeight="1">
      <c r="A405" t="inlineStr">
        <is>
          <t>A 41826-2024</t>
        </is>
      </c>
      <c r="B405" s="1" t="n">
        <v>45561</v>
      </c>
      <c r="C405" s="1" t="n">
        <v>45881</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16916-2022</t>
        </is>
      </c>
      <c r="B406" s="1" t="n">
        <v>44676</v>
      </c>
      <c r="C406" s="1" t="n">
        <v>45881</v>
      </c>
      <c r="D406" t="inlineStr">
        <is>
          <t>UPPSALA LÄN</t>
        </is>
      </c>
      <c r="E406" t="inlineStr">
        <is>
          <t>ENKÖPING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44115-2024</t>
        </is>
      </c>
      <c r="B407" s="1" t="n">
        <v>45572</v>
      </c>
      <c r="C407" s="1" t="n">
        <v>45881</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58092-2024</t>
        </is>
      </c>
      <c r="B408" s="1" t="n">
        <v>45632</v>
      </c>
      <c r="C408" s="1" t="n">
        <v>45881</v>
      </c>
      <c r="D408" t="inlineStr">
        <is>
          <t>UPPSALA LÄN</t>
        </is>
      </c>
      <c r="E408" t="inlineStr">
        <is>
          <t>ENKÖPING</t>
        </is>
      </c>
      <c r="G408" t="n">
        <v>4.8</v>
      </c>
      <c r="H408" t="n">
        <v>0</v>
      </c>
      <c r="I408" t="n">
        <v>0</v>
      </c>
      <c r="J408" t="n">
        <v>0</v>
      </c>
      <c r="K408" t="n">
        <v>0</v>
      </c>
      <c r="L408" t="n">
        <v>0</v>
      </c>
      <c r="M408" t="n">
        <v>0</v>
      </c>
      <c r="N408" t="n">
        <v>0</v>
      </c>
      <c r="O408" t="n">
        <v>0</v>
      </c>
      <c r="P408" t="n">
        <v>0</v>
      </c>
      <c r="Q408" t="n">
        <v>0</v>
      </c>
      <c r="R408" s="2" t="inlineStr"/>
    </row>
    <row r="409" ht="15" customHeight="1">
      <c r="A409" t="inlineStr">
        <is>
          <t>A 30634-2022</t>
        </is>
      </c>
      <c r="B409" s="1" t="n">
        <v>44763.45711805556</v>
      </c>
      <c r="C409" s="1" t="n">
        <v>45881</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3300-2025</t>
        </is>
      </c>
      <c r="B410" s="1" t="n">
        <v>45679</v>
      </c>
      <c r="C410" s="1" t="n">
        <v>45881</v>
      </c>
      <c r="D410" t="inlineStr">
        <is>
          <t>UPPSALA LÄN</t>
        </is>
      </c>
      <c r="E410" t="inlineStr">
        <is>
          <t>ENKÖPING</t>
        </is>
      </c>
      <c r="G410" t="n">
        <v>8.9</v>
      </c>
      <c r="H410" t="n">
        <v>0</v>
      </c>
      <c r="I410" t="n">
        <v>0</v>
      </c>
      <c r="J410" t="n">
        <v>0</v>
      </c>
      <c r="K410" t="n">
        <v>0</v>
      </c>
      <c r="L410" t="n">
        <v>0</v>
      </c>
      <c r="M410" t="n">
        <v>0</v>
      </c>
      <c r="N410" t="n">
        <v>0</v>
      </c>
      <c r="O410" t="n">
        <v>0</v>
      </c>
      <c r="P410" t="n">
        <v>0</v>
      </c>
      <c r="Q410" t="n">
        <v>0</v>
      </c>
      <c r="R410" s="2" t="inlineStr"/>
    </row>
    <row r="411" ht="15" customHeight="1">
      <c r="A411" t="inlineStr">
        <is>
          <t>A 24411-2024</t>
        </is>
      </c>
      <c r="B411" s="1" t="n">
        <v>45457</v>
      </c>
      <c r="C411" s="1" t="n">
        <v>45881</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25988-2025</t>
        </is>
      </c>
      <c r="B412" s="1" t="n">
        <v>45804.64814814815</v>
      </c>
      <c r="C412" s="1" t="n">
        <v>45881</v>
      </c>
      <c r="D412" t="inlineStr">
        <is>
          <t>UPPSALA LÄN</t>
        </is>
      </c>
      <c r="E412" t="inlineStr">
        <is>
          <t>ENKÖPING</t>
        </is>
      </c>
      <c r="G412" t="n">
        <v>4.7</v>
      </c>
      <c r="H412" t="n">
        <v>0</v>
      </c>
      <c r="I412" t="n">
        <v>0</v>
      </c>
      <c r="J412" t="n">
        <v>0</v>
      </c>
      <c r="K412" t="n">
        <v>0</v>
      </c>
      <c r="L412" t="n">
        <v>0</v>
      </c>
      <c r="M412" t="n">
        <v>0</v>
      </c>
      <c r="N412" t="n">
        <v>0</v>
      </c>
      <c r="O412" t="n">
        <v>0</v>
      </c>
      <c r="P412" t="n">
        <v>0</v>
      </c>
      <c r="Q412" t="n">
        <v>0</v>
      </c>
      <c r="R412" s="2" t="inlineStr"/>
    </row>
    <row r="413" ht="15" customHeight="1">
      <c r="A413" t="inlineStr">
        <is>
          <t>A 26017-2025</t>
        </is>
      </c>
      <c r="B413" s="1" t="n">
        <v>45804</v>
      </c>
      <c r="C413" s="1" t="n">
        <v>45881</v>
      </c>
      <c r="D413" t="inlineStr">
        <is>
          <t>UPPSALA LÄN</t>
        </is>
      </c>
      <c r="E413" t="inlineStr">
        <is>
          <t>ENKÖPING</t>
        </is>
      </c>
      <c r="G413" t="n">
        <v>0.4</v>
      </c>
      <c r="H413" t="n">
        <v>0</v>
      </c>
      <c r="I413" t="n">
        <v>0</v>
      </c>
      <c r="J413" t="n">
        <v>0</v>
      </c>
      <c r="K413" t="n">
        <v>0</v>
      </c>
      <c r="L413" t="n">
        <v>0</v>
      </c>
      <c r="M413" t="n">
        <v>0</v>
      </c>
      <c r="N413" t="n">
        <v>0</v>
      </c>
      <c r="O413" t="n">
        <v>0</v>
      </c>
      <c r="P413" t="n">
        <v>0</v>
      </c>
      <c r="Q413" t="n">
        <v>0</v>
      </c>
      <c r="R413" s="2" t="inlineStr"/>
    </row>
    <row r="414" ht="15" customHeight="1">
      <c r="A414" t="inlineStr">
        <is>
          <t>A 26024-2025</t>
        </is>
      </c>
      <c r="B414" s="1" t="n">
        <v>45804.6831712963</v>
      </c>
      <c r="C414" s="1" t="n">
        <v>45881</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26042-2025</t>
        </is>
      </c>
      <c r="B415" s="1" t="n">
        <v>45804.70018518518</v>
      </c>
      <c r="C415" s="1" t="n">
        <v>45881</v>
      </c>
      <c r="D415" t="inlineStr">
        <is>
          <t>UPPSALA LÄN</t>
        </is>
      </c>
      <c r="E415" t="inlineStr">
        <is>
          <t>ENKÖPING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25990-2025</t>
        </is>
      </c>
      <c r="B416" s="1" t="n">
        <v>45804.65229166667</v>
      </c>
      <c r="C416" s="1" t="n">
        <v>45881</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26030-2025</t>
        </is>
      </c>
      <c r="B417" s="1" t="n">
        <v>45804.68815972222</v>
      </c>
      <c r="C417" s="1" t="n">
        <v>45881</v>
      </c>
      <c r="D417" t="inlineStr">
        <is>
          <t>UPPSALA LÄN</t>
        </is>
      </c>
      <c r="E417" t="inlineStr">
        <is>
          <t>ENKÖPING</t>
        </is>
      </c>
      <c r="G417" t="n">
        <v>0.3</v>
      </c>
      <c r="H417" t="n">
        <v>0</v>
      </c>
      <c r="I417" t="n">
        <v>0</v>
      </c>
      <c r="J417" t="n">
        <v>0</v>
      </c>
      <c r="K417" t="n">
        <v>0</v>
      </c>
      <c r="L417" t="n">
        <v>0</v>
      </c>
      <c r="M417" t="n">
        <v>0</v>
      </c>
      <c r="N417" t="n">
        <v>0</v>
      </c>
      <c r="O417" t="n">
        <v>0</v>
      </c>
      <c r="P417" t="n">
        <v>0</v>
      </c>
      <c r="Q417" t="n">
        <v>0</v>
      </c>
      <c r="R417" s="2" t="inlineStr"/>
    </row>
    <row r="418" ht="15" customHeight="1">
      <c r="A418" t="inlineStr">
        <is>
          <t>A 21501-2025</t>
        </is>
      </c>
      <c r="B418" s="1" t="n">
        <v>45782</v>
      </c>
      <c r="C418" s="1" t="n">
        <v>45881</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26026-2025</t>
        </is>
      </c>
      <c r="B419" s="1" t="n">
        <v>45804.68510416667</v>
      </c>
      <c r="C419" s="1" t="n">
        <v>45881</v>
      </c>
      <c r="D419" t="inlineStr">
        <is>
          <t>UPPSALA LÄN</t>
        </is>
      </c>
      <c r="E419" t="inlineStr">
        <is>
          <t>ENKÖPING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26047-2025</t>
        </is>
      </c>
      <c r="B420" s="1" t="n">
        <v>45804.70835648148</v>
      </c>
      <c r="C420" s="1" t="n">
        <v>45881</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25989-2025</t>
        </is>
      </c>
      <c r="B421" s="1" t="n">
        <v>45804.65050925926</v>
      </c>
      <c r="C421" s="1" t="n">
        <v>45881</v>
      </c>
      <c r="D421" t="inlineStr">
        <is>
          <t>UPPSALA LÄN</t>
        </is>
      </c>
      <c r="E421" t="inlineStr">
        <is>
          <t>ENKÖPING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25847-2025</t>
        </is>
      </c>
      <c r="B422" s="1" t="n">
        <v>45804</v>
      </c>
      <c r="C422" s="1" t="n">
        <v>45881</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26005-2025</t>
        </is>
      </c>
      <c r="B423" s="1" t="n">
        <v>45804.67055555555</v>
      </c>
      <c r="C423" s="1" t="n">
        <v>45881</v>
      </c>
      <c r="D423" t="inlineStr">
        <is>
          <t>UPPSALA LÄN</t>
        </is>
      </c>
      <c r="E423" t="inlineStr">
        <is>
          <t>ENKÖPING</t>
        </is>
      </c>
      <c r="G423" t="n">
        <v>0.3</v>
      </c>
      <c r="H423" t="n">
        <v>0</v>
      </c>
      <c r="I423" t="n">
        <v>0</v>
      </c>
      <c r="J423" t="n">
        <v>0</v>
      </c>
      <c r="K423" t="n">
        <v>0</v>
      </c>
      <c r="L423" t="n">
        <v>0</v>
      </c>
      <c r="M423" t="n">
        <v>0</v>
      </c>
      <c r="N423" t="n">
        <v>0</v>
      </c>
      <c r="O423" t="n">
        <v>0</v>
      </c>
      <c r="P423" t="n">
        <v>0</v>
      </c>
      <c r="Q423" t="n">
        <v>0</v>
      </c>
      <c r="R423" s="2" t="inlineStr"/>
    </row>
    <row r="424" ht="15" customHeight="1">
      <c r="A424" t="inlineStr">
        <is>
          <t>A 26031-2025</t>
        </is>
      </c>
      <c r="B424" s="1" t="n">
        <v>45804.69050925926</v>
      </c>
      <c r="C424" s="1" t="n">
        <v>45881</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26041-2025</t>
        </is>
      </c>
      <c r="B425" s="1" t="n">
        <v>45804.69883101852</v>
      </c>
      <c r="C425" s="1" t="n">
        <v>45881</v>
      </c>
      <c r="D425" t="inlineStr">
        <is>
          <t>UPPSALA LÄN</t>
        </is>
      </c>
      <c r="E425" t="inlineStr">
        <is>
          <t>ENKÖPING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26022-2025</t>
        </is>
      </c>
      <c r="B426" s="1" t="n">
        <v>45804.68006944445</v>
      </c>
      <c r="C426" s="1" t="n">
        <v>45881</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26011-2025</t>
        </is>
      </c>
      <c r="B427" s="1" t="n">
        <v>45804.67412037037</v>
      </c>
      <c r="C427" s="1" t="n">
        <v>45881</v>
      </c>
      <c r="D427" t="inlineStr">
        <is>
          <t>UPPSALA LÄN</t>
        </is>
      </c>
      <c r="E427" t="inlineStr">
        <is>
          <t>ENKÖPING</t>
        </is>
      </c>
      <c r="G427" t="n">
        <v>1.3</v>
      </c>
      <c r="H427" t="n">
        <v>0</v>
      </c>
      <c r="I427" t="n">
        <v>0</v>
      </c>
      <c r="J427" t="n">
        <v>0</v>
      </c>
      <c r="K427" t="n">
        <v>0</v>
      </c>
      <c r="L427" t="n">
        <v>0</v>
      </c>
      <c r="M427" t="n">
        <v>0</v>
      </c>
      <c r="N427" t="n">
        <v>0</v>
      </c>
      <c r="O427" t="n">
        <v>0</v>
      </c>
      <c r="P427" t="n">
        <v>0</v>
      </c>
      <c r="Q427" t="n">
        <v>0</v>
      </c>
      <c r="R427" s="2" t="inlineStr"/>
    </row>
    <row r="428" ht="15" customHeight="1">
      <c r="A428" t="inlineStr">
        <is>
          <t>A 29513-2025</t>
        </is>
      </c>
      <c r="B428" s="1" t="n">
        <v>45825</v>
      </c>
      <c r="C428" s="1" t="n">
        <v>45881</v>
      </c>
      <c r="D428" t="inlineStr">
        <is>
          <t>UPPSALA LÄN</t>
        </is>
      </c>
      <c r="E428" t="inlineStr">
        <is>
          <t>ENKÖPING</t>
        </is>
      </c>
      <c r="G428" t="n">
        <v>2.6</v>
      </c>
      <c r="H428" t="n">
        <v>0</v>
      </c>
      <c r="I428" t="n">
        <v>0</v>
      </c>
      <c r="J428" t="n">
        <v>0</v>
      </c>
      <c r="K428" t="n">
        <v>0</v>
      </c>
      <c r="L428" t="n">
        <v>0</v>
      </c>
      <c r="M428" t="n">
        <v>0</v>
      </c>
      <c r="N428" t="n">
        <v>0</v>
      </c>
      <c r="O428" t="n">
        <v>0</v>
      </c>
      <c r="P428" t="n">
        <v>0</v>
      </c>
      <c r="Q428" t="n">
        <v>0</v>
      </c>
      <c r="R428" s="2" t="inlineStr"/>
    </row>
    <row r="429" ht="15" customHeight="1">
      <c r="A429" t="inlineStr">
        <is>
          <t>A 51120-2023</t>
        </is>
      </c>
      <c r="B429" s="1" t="n">
        <v>45219.3088425926</v>
      </c>
      <c r="C429" s="1" t="n">
        <v>45881</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26319-2022</t>
        </is>
      </c>
      <c r="B430" s="1" t="n">
        <v>44735</v>
      </c>
      <c r="C430" s="1" t="n">
        <v>45881</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54357-2023</t>
        </is>
      </c>
      <c r="B431" s="1" t="n">
        <v>45225</v>
      </c>
      <c r="C431" s="1" t="n">
        <v>45881</v>
      </c>
      <c r="D431" t="inlineStr">
        <is>
          <t>UPPSALA LÄN</t>
        </is>
      </c>
      <c r="E431" t="inlineStr">
        <is>
          <t>ENKÖPING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4203-2021</t>
        </is>
      </c>
      <c r="B432" s="1" t="n">
        <v>44223</v>
      </c>
      <c r="C432" s="1" t="n">
        <v>45881</v>
      </c>
      <c r="D432" t="inlineStr">
        <is>
          <t>UPPSALA LÄN</t>
        </is>
      </c>
      <c r="E432" t="inlineStr">
        <is>
          <t>ENKÖPING</t>
        </is>
      </c>
      <c r="G432" t="n">
        <v>11.6</v>
      </c>
      <c r="H432" t="n">
        <v>0</v>
      </c>
      <c r="I432" t="n">
        <v>0</v>
      </c>
      <c r="J432" t="n">
        <v>0</v>
      </c>
      <c r="K432" t="n">
        <v>0</v>
      </c>
      <c r="L432" t="n">
        <v>0</v>
      </c>
      <c r="M432" t="n">
        <v>0</v>
      </c>
      <c r="N432" t="n">
        <v>0</v>
      </c>
      <c r="O432" t="n">
        <v>0</v>
      </c>
      <c r="P432" t="n">
        <v>0</v>
      </c>
      <c r="Q432" t="n">
        <v>0</v>
      </c>
      <c r="R432" s="2" t="inlineStr"/>
    </row>
    <row r="433" ht="15" customHeight="1">
      <c r="A433" t="inlineStr">
        <is>
          <t>A 13816-2021</t>
        </is>
      </c>
      <c r="B433" s="1" t="n">
        <v>44276</v>
      </c>
      <c r="C433" s="1" t="n">
        <v>45881</v>
      </c>
      <c r="D433" t="inlineStr">
        <is>
          <t>UPPSALA LÄN</t>
        </is>
      </c>
      <c r="E433" t="inlineStr">
        <is>
          <t>ENKÖPING</t>
        </is>
      </c>
      <c r="G433" t="n">
        <v>0.4</v>
      </c>
      <c r="H433" t="n">
        <v>0</v>
      </c>
      <c r="I433" t="n">
        <v>0</v>
      </c>
      <c r="J433" t="n">
        <v>0</v>
      </c>
      <c r="K433" t="n">
        <v>0</v>
      </c>
      <c r="L433" t="n">
        <v>0</v>
      </c>
      <c r="M433" t="n">
        <v>0</v>
      </c>
      <c r="N433" t="n">
        <v>0</v>
      </c>
      <c r="O433" t="n">
        <v>0</v>
      </c>
      <c r="P433" t="n">
        <v>0</v>
      </c>
      <c r="Q433" t="n">
        <v>0</v>
      </c>
      <c r="R433" s="2" t="inlineStr"/>
    </row>
    <row r="434" ht="15" customHeight="1">
      <c r="A434" t="inlineStr">
        <is>
          <t>A 63402-2023</t>
        </is>
      </c>
      <c r="B434" s="1" t="n">
        <v>45274.50646990741</v>
      </c>
      <c r="C434" s="1" t="n">
        <v>45881</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53208-2023</t>
        </is>
      </c>
      <c r="B435" s="1" t="n">
        <v>45226</v>
      </c>
      <c r="C435" s="1" t="n">
        <v>45881</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35067-2024</t>
        </is>
      </c>
      <c r="B436" s="1" t="n">
        <v>45527.66153935185</v>
      </c>
      <c r="C436" s="1" t="n">
        <v>45881</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17844-2025</t>
        </is>
      </c>
      <c r="B437" s="1" t="n">
        <v>45758.59920138889</v>
      </c>
      <c r="C437" s="1" t="n">
        <v>45881</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18259-2025</t>
        </is>
      </c>
      <c r="B438" s="1" t="n">
        <v>45762</v>
      </c>
      <c r="C438" s="1" t="n">
        <v>45881</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62158-2023</t>
        </is>
      </c>
      <c r="B439" s="1" t="n">
        <v>45267</v>
      </c>
      <c r="C439" s="1" t="n">
        <v>45881</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60874-2023</t>
        </is>
      </c>
      <c r="B440" s="1" t="n">
        <v>45261.06280092592</v>
      </c>
      <c r="C440" s="1" t="n">
        <v>45881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3550-2023</t>
        </is>
      </c>
      <c r="B441" s="1" t="n">
        <v>44950</v>
      </c>
      <c r="C441" s="1" t="n">
        <v>45881</v>
      </c>
      <c r="D441" t="inlineStr">
        <is>
          <t>UPPSALA LÄN</t>
        </is>
      </c>
      <c r="E441" t="inlineStr">
        <is>
          <t>ENKÖPING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26292-2022</t>
        </is>
      </c>
      <c r="B442" s="1" t="n">
        <v>44735</v>
      </c>
      <c r="C442" s="1" t="n">
        <v>45881</v>
      </c>
      <c r="D442" t="inlineStr">
        <is>
          <t>UPPSALA LÄN</t>
        </is>
      </c>
      <c r="E442" t="inlineStr">
        <is>
          <t>ENKÖPING</t>
        </is>
      </c>
      <c r="F442" t="inlineStr">
        <is>
          <t>Kyrkan</t>
        </is>
      </c>
      <c r="G442" t="n">
        <v>4.6</v>
      </c>
      <c r="H442" t="n">
        <v>0</v>
      </c>
      <c r="I442" t="n">
        <v>0</v>
      </c>
      <c r="J442" t="n">
        <v>0</v>
      </c>
      <c r="K442" t="n">
        <v>0</v>
      </c>
      <c r="L442" t="n">
        <v>0</v>
      </c>
      <c r="M442" t="n">
        <v>0</v>
      </c>
      <c r="N442" t="n">
        <v>0</v>
      </c>
      <c r="O442" t="n">
        <v>0</v>
      </c>
      <c r="P442" t="n">
        <v>0</v>
      </c>
      <c r="Q442" t="n">
        <v>0</v>
      </c>
      <c r="R442" s="2" t="inlineStr"/>
    </row>
    <row r="443" ht="15" customHeight="1">
      <c r="A443" t="inlineStr">
        <is>
          <t>A 17029-2025</t>
        </is>
      </c>
      <c r="B443" s="1" t="n">
        <v>45755.57291666666</v>
      </c>
      <c r="C443" s="1" t="n">
        <v>45881</v>
      </c>
      <c r="D443" t="inlineStr">
        <is>
          <t>UPPSALA LÄN</t>
        </is>
      </c>
      <c r="E443" t="inlineStr">
        <is>
          <t>ENKÖPING</t>
        </is>
      </c>
      <c r="G443" t="n">
        <v>1.9</v>
      </c>
      <c r="H443" t="n">
        <v>0</v>
      </c>
      <c r="I443" t="n">
        <v>0</v>
      </c>
      <c r="J443" t="n">
        <v>0</v>
      </c>
      <c r="K443" t="n">
        <v>0</v>
      </c>
      <c r="L443" t="n">
        <v>0</v>
      </c>
      <c r="M443" t="n">
        <v>0</v>
      </c>
      <c r="N443" t="n">
        <v>0</v>
      </c>
      <c r="O443" t="n">
        <v>0</v>
      </c>
      <c r="P443" t="n">
        <v>0</v>
      </c>
      <c r="Q443" t="n">
        <v>0</v>
      </c>
      <c r="R443" s="2" t="inlineStr"/>
    </row>
    <row r="444" ht="15" customHeight="1">
      <c r="A444" t="inlineStr">
        <is>
          <t>A 61207-2023</t>
        </is>
      </c>
      <c r="B444" s="1" t="n">
        <v>45264.39444444444</v>
      </c>
      <c r="C444" s="1" t="n">
        <v>45881</v>
      </c>
      <c r="D444" t="inlineStr">
        <is>
          <t>UPPSALA LÄN</t>
        </is>
      </c>
      <c r="E444" t="inlineStr">
        <is>
          <t>ENKÖPING</t>
        </is>
      </c>
      <c r="G444" t="n">
        <v>10.8</v>
      </c>
      <c r="H444" t="n">
        <v>0</v>
      </c>
      <c r="I444" t="n">
        <v>0</v>
      </c>
      <c r="J444" t="n">
        <v>0</v>
      </c>
      <c r="K444" t="n">
        <v>0</v>
      </c>
      <c r="L444" t="n">
        <v>0</v>
      </c>
      <c r="M444" t="n">
        <v>0</v>
      </c>
      <c r="N444" t="n">
        <v>0</v>
      </c>
      <c r="O444" t="n">
        <v>0</v>
      </c>
      <c r="P444" t="n">
        <v>0</v>
      </c>
      <c r="Q444" t="n">
        <v>0</v>
      </c>
      <c r="R444" s="2" t="inlineStr"/>
    </row>
    <row r="445" ht="15" customHeight="1">
      <c r="A445" t="inlineStr">
        <is>
          <t>A 34990-2025</t>
        </is>
      </c>
      <c r="B445" s="1" t="n">
        <v>45849.78916666667</v>
      </c>
      <c r="C445" s="1" t="n">
        <v>45881</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27829-2025</t>
        </is>
      </c>
      <c r="B446" s="1" t="n">
        <v>45817</v>
      </c>
      <c r="C446" s="1" t="n">
        <v>45881</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840-2025</t>
        </is>
      </c>
      <c r="B447" s="1" t="n">
        <v>45665</v>
      </c>
      <c r="C447" s="1" t="n">
        <v>45881</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10458-2022</t>
        </is>
      </c>
      <c r="B448" s="1" t="n">
        <v>44623.56711805556</v>
      </c>
      <c r="C448" s="1" t="n">
        <v>45881</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45142-2023</t>
        </is>
      </c>
      <c r="B449" s="1" t="n">
        <v>45191.4702662037</v>
      </c>
      <c r="C449" s="1" t="n">
        <v>45881</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28855-2025</t>
        </is>
      </c>
      <c r="B450" s="1" t="n">
        <v>45820.58274305556</v>
      </c>
      <c r="C450" s="1" t="n">
        <v>45881</v>
      </c>
      <c r="D450" t="inlineStr">
        <is>
          <t>UPPSALA LÄN</t>
        </is>
      </c>
      <c r="E450" t="inlineStr">
        <is>
          <t>ENKÖPING</t>
        </is>
      </c>
      <c r="G450" t="n">
        <v>2.4</v>
      </c>
      <c r="H450" t="n">
        <v>0</v>
      </c>
      <c r="I450" t="n">
        <v>0</v>
      </c>
      <c r="J450" t="n">
        <v>0</v>
      </c>
      <c r="K450" t="n">
        <v>0</v>
      </c>
      <c r="L450" t="n">
        <v>0</v>
      </c>
      <c r="M450" t="n">
        <v>0</v>
      </c>
      <c r="N450" t="n">
        <v>0</v>
      </c>
      <c r="O450" t="n">
        <v>0</v>
      </c>
      <c r="P450" t="n">
        <v>0</v>
      </c>
      <c r="Q450" t="n">
        <v>0</v>
      </c>
      <c r="R450" s="2" t="inlineStr"/>
    </row>
    <row r="451" ht="15" customHeight="1">
      <c r="A451" t="inlineStr">
        <is>
          <t>A 28758-2025</t>
        </is>
      </c>
      <c r="B451" s="1" t="n">
        <v>45820.41212962963</v>
      </c>
      <c r="C451" s="1" t="n">
        <v>45881</v>
      </c>
      <c r="D451" t="inlineStr">
        <is>
          <t>UPPSALA LÄN</t>
        </is>
      </c>
      <c r="E451" t="inlineStr">
        <is>
          <t>ENKÖPING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57998-2024</t>
        </is>
      </c>
      <c r="B452" s="1" t="n">
        <v>45631</v>
      </c>
      <c r="C452" s="1" t="n">
        <v>45881</v>
      </c>
      <c r="D452" t="inlineStr">
        <is>
          <t>UPPSALA LÄN</t>
        </is>
      </c>
      <c r="E452" t="inlineStr">
        <is>
          <t>ENKÖPING</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39009-2024</t>
        </is>
      </c>
      <c r="B453" s="1" t="n">
        <v>45548</v>
      </c>
      <c r="C453" s="1" t="n">
        <v>45881</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8537-2025</t>
        </is>
      </c>
      <c r="B454" s="1" t="n">
        <v>45709</v>
      </c>
      <c r="C454" s="1" t="n">
        <v>45881</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28862-2025</t>
        </is>
      </c>
      <c r="B455" s="1" t="n">
        <v>45820.59189814814</v>
      </c>
      <c r="C455" s="1" t="n">
        <v>45881</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14332-2024</t>
        </is>
      </c>
      <c r="B456" s="1" t="n">
        <v>45393</v>
      </c>
      <c r="C456" s="1" t="n">
        <v>45881</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34988-2025</t>
        </is>
      </c>
      <c r="B457" s="1" t="n">
        <v>45849</v>
      </c>
      <c r="C457" s="1" t="n">
        <v>45881</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18831-2023</t>
        </is>
      </c>
      <c r="B458" s="1" t="n">
        <v>45044.40798611111</v>
      </c>
      <c r="C458" s="1" t="n">
        <v>45881</v>
      </c>
      <c r="D458" t="inlineStr">
        <is>
          <t>UPPSALA LÄN</t>
        </is>
      </c>
      <c r="E458" t="inlineStr">
        <is>
          <t>ENKÖPING</t>
        </is>
      </c>
      <c r="G458" t="n">
        <v>4.3</v>
      </c>
      <c r="H458" t="n">
        <v>0</v>
      </c>
      <c r="I458" t="n">
        <v>0</v>
      </c>
      <c r="J458" t="n">
        <v>0</v>
      </c>
      <c r="K458" t="n">
        <v>0</v>
      </c>
      <c r="L458" t="n">
        <v>0</v>
      </c>
      <c r="M458" t="n">
        <v>0</v>
      </c>
      <c r="N458" t="n">
        <v>0</v>
      </c>
      <c r="O458" t="n">
        <v>0</v>
      </c>
      <c r="P458" t="n">
        <v>0</v>
      </c>
      <c r="Q458" t="n">
        <v>0</v>
      </c>
      <c r="R458" s="2" t="inlineStr"/>
    </row>
    <row r="459" ht="15" customHeight="1">
      <c r="A459" t="inlineStr">
        <is>
          <t>A 34987-2025</t>
        </is>
      </c>
      <c r="B459" s="1" t="n">
        <v>45849</v>
      </c>
      <c r="C459" s="1" t="n">
        <v>45881</v>
      </c>
      <c r="D459" t="inlineStr">
        <is>
          <t>UPPSALA LÄN</t>
        </is>
      </c>
      <c r="E459" t="inlineStr">
        <is>
          <t>ENKÖPING</t>
        </is>
      </c>
      <c r="G459" t="n">
        <v>2.2</v>
      </c>
      <c r="H459" t="n">
        <v>0</v>
      </c>
      <c r="I459" t="n">
        <v>0</v>
      </c>
      <c r="J459" t="n">
        <v>0</v>
      </c>
      <c r="K459" t="n">
        <v>0</v>
      </c>
      <c r="L459" t="n">
        <v>0</v>
      </c>
      <c r="M459" t="n">
        <v>0</v>
      </c>
      <c r="N459" t="n">
        <v>0</v>
      </c>
      <c r="O459" t="n">
        <v>0</v>
      </c>
      <c r="P459" t="n">
        <v>0</v>
      </c>
      <c r="Q459" t="n">
        <v>0</v>
      </c>
      <c r="R459" s="2" t="inlineStr"/>
    </row>
    <row r="460" ht="15" customHeight="1">
      <c r="A460" t="inlineStr">
        <is>
          <t>A 34989-2025</t>
        </is>
      </c>
      <c r="B460" s="1" t="n">
        <v>45849</v>
      </c>
      <c r="C460" s="1" t="n">
        <v>45881</v>
      </c>
      <c r="D460" t="inlineStr">
        <is>
          <t>UPPSALA LÄN</t>
        </is>
      </c>
      <c r="E460" t="inlineStr">
        <is>
          <t>ENKÖPING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29093-2025</t>
        </is>
      </c>
      <c r="B461" s="1" t="n">
        <v>45821.55743055556</v>
      </c>
      <c r="C461" s="1" t="n">
        <v>45881</v>
      </c>
      <c r="D461" t="inlineStr">
        <is>
          <t>UPPSALA LÄN</t>
        </is>
      </c>
      <c r="E461" t="inlineStr">
        <is>
          <t>ENKÖPING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29477-2025</t>
        </is>
      </c>
      <c r="B462" s="1" t="n">
        <v>45824.71537037037</v>
      </c>
      <c r="C462" s="1" t="n">
        <v>45881</v>
      </c>
      <c r="D462" t="inlineStr">
        <is>
          <t>UPPSALA LÄN</t>
        </is>
      </c>
      <c r="E462" t="inlineStr">
        <is>
          <t>ENKÖPING</t>
        </is>
      </c>
      <c r="G462" t="n">
        <v>13.4</v>
      </c>
      <c r="H462" t="n">
        <v>0</v>
      </c>
      <c r="I462" t="n">
        <v>0</v>
      </c>
      <c r="J462" t="n">
        <v>0</v>
      </c>
      <c r="K462" t="n">
        <v>0</v>
      </c>
      <c r="L462" t="n">
        <v>0</v>
      </c>
      <c r="M462" t="n">
        <v>0</v>
      </c>
      <c r="N462" t="n">
        <v>0</v>
      </c>
      <c r="O462" t="n">
        <v>0</v>
      </c>
      <c r="P462" t="n">
        <v>0</v>
      </c>
      <c r="Q462" t="n">
        <v>0</v>
      </c>
      <c r="R462" s="2" t="inlineStr"/>
    </row>
    <row r="463" ht="15" customHeight="1">
      <c r="A463" t="inlineStr">
        <is>
          <t>A 36350-2025</t>
        </is>
      </c>
      <c r="B463" s="1" t="n">
        <v>45868</v>
      </c>
      <c r="C463" s="1" t="n">
        <v>45881</v>
      </c>
      <c r="D463" t="inlineStr">
        <is>
          <t>UPPSALA LÄN</t>
        </is>
      </c>
      <c r="E463" t="inlineStr">
        <is>
          <t>ENKÖPING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36368-2025</t>
        </is>
      </c>
      <c r="B464" s="1" t="n">
        <v>45868</v>
      </c>
      <c r="C464" s="1" t="n">
        <v>45881</v>
      </c>
      <c r="D464" t="inlineStr">
        <is>
          <t>UPPSALA LÄN</t>
        </is>
      </c>
      <c r="E464" t="inlineStr">
        <is>
          <t>ENKÖPING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36492-2025</t>
        </is>
      </c>
      <c r="B465" s="1" t="n">
        <v>45869</v>
      </c>
      <c r="C465" s="1" t="n">
        <v>45881</v>
      </c>
      <c r="D465" t="inlineStr">
        <is>
          <t>UPPSALA LÄN</t>
        </is>
      </c>
      <c r="E465" t="inlineStr">
        <is>
          <t>ENKÖPING</t>
        </is>
      </c>
      <c r="G465" t="n">
        <v>6.3</v>
      </c>
      <c r="H465" t="n">
        <v>0</v>
      </c>
      <c r="I465" t="n">
        <v>0</v>
      </c>
      <c r="J465" t="n">
        <v>0</v>
      </c>
      <c r="K465" t="n">
        <v>0</v>
      </c>
      <c r="L465" t="n">
        <v>0</v>
      </c>
      <c r="M465" t="n">
        <v>0</v>
      </c>
      <c r="N465" t="n">
        <v>0</v>
      </c>
      <c r="O465" t="n">
        <v>0</v>
      </c>
      <c r="P465" t="n">
        <v>0</v>
      </c>
      <c r="Q465" t="n">
        <v>0</v>
      </c>
      <c r="R465" s="2" t="inlineStr"/>
    </row>
    <row r="466" ht="15" customHeight="1">
      <c r="A466" t="inlineStr">
        <is>
          <t>A 33581-2023</t>
        </is>
      </c>
      <c r="B466" s="1" t="n">
        <v>45131</v>
      </c>
      <c r="C466" s="1" t="n">
        <v>45881</v>
      </c>
      <c r="D466" t="inlineStr">
        <is>
          <t>UPPSALA LÄN</t>
        </is>
      </c>
      <c r="E466" t="inlineStr">
        <is>
          <t>ENKÖPING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36599-2025</t>
        </is>
      </c>
      <c r="B467" s="1" t="n">
        <v>45870.51723379629</v>
      </c>
      <c r="C467" s="1" t="n">
        <v>45881</v>
      </c>
      <c r="D467" t="inlineStr">
        <is>
          <t>UPPSALA LÄN</t>
        </is>
      </c>
      <c r="E467" t="inlineStr">
        <is>
          <t>ENKÖPING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30837-2025</t>
        </is>
      </c>
      <c r="B468" s="1" t="n">
        <v>45831.7063425926</v>
      </c>
      <c r="C468" s="1" t="n">
        <v>45881</v>
      </c>
      <c r="D468" t="inlineStr">
        <is>
          <t>UPPSALA LÄN</t>
        </is>
      </c>
      <c r="E468" t="inlineStr">
        <is>
          <t>ENKÖPING</t>
        </is>
      </c>
      <c r="G468" t="n">
        <v>3.8</v>
      </c>
      <c r="H468" t="n">
        <v>0</v>
      </c>
      <c r="I468" t="n">
        <v>0</v>
      </c>
      <c r="J468" t="n">
        <v>0</v>
      </c>
      <c r="K468" t="n">
        <v>0</v>
      </c>
      <c r="L468" t="n">
        <v>0</v>
      </c>
      <c r="M468" t="n">
        <v>0</v>
      </c>
      <c r="N468" t="n">
        <v>0</v>
      </c>
      <c r="O468" t="n">
        <v>0</v>
      </c>
      <c r="P468" t="n">
        <v>0</v>
      </c>
      <c r="Q468" t="n">
        <v>0</v>
      </c>
      <c r="R468" s="2" t="inlineStr"/>
    </row>
    <row r="469" ht="15" customHeight="1">
      <c r="A469" t="inlineStr">
        <is>
          <t>A 58896-2020</t>
        </is>
      </c>
      <c r="B469" s="1" t="n">
        <v>44146</v>
      </c>
      <c r="C469" s="1" t="n">
        <v>45881</v>
      </c>
      <c r="D469" t="inlineStr">
        <is>
          <t>UPPSALA LÄN</t>
        </is>
      </c>
      <c r="E469" t="inlineStr">
        <is>
          <t>ENKÖPING</t>
        </is>
      </c>
      <c r="G469" t="n">
        <v>2.5</v>
      </c>
      <c r="H469" t="n">
        <v>0</v>
      </c>
      <c r="I469" t="n">
        <v>0</v>
      </c>
      <c r="J469" t="n">
        <v>0</v>
      </c>
      <c r="K469" t="n">
        <v>0</v>
      </c>
      <c r="L469" t="n">
        <v>0</v>
      </c>
      <c r="M469" t="n">
        <v>0</v>
      </c>
      <c r="N469" t="n">
        <v>0</v>
      </c>
      <c r="O469" t="n">
        <v>0</v>
      </c>
      <c r="P469" t="n">
        <v>0</v>
      </c>
      <c r="Q469" t="n">
        <v>0</v>
      </c>
      <c r="R469" s="2" t="inlineStr"/>
    </row>
    <row r="470" ht="15" customHeight="1">
      <c r="A470" t="inlineStr">
        <is>
          <t>A 37115-2024</t>
        </is>
      </c>
      <c r="B470" s="1" t="n">
        <v>45539</v>
      </c>
      <c r="C470" s="1" t="n">
        <v>45881</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9658-2025</t>
        </is>
      </c>
      <c r="B471" s="1" t="n">
        <v>45716</v>
      </c>
      <c r="C471" s="1" t="n">
        <v>45881</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58062-2020</t>
        </is>
      </c>
      <c r="B472" s="1" t="n">
        <v>44144</v>
      </c>
      <c r="C472" s="1" t="n">
        <v>45881</v>
      </c>
      <c r="D472" t="inlineStr">
        <is>
          <t>UPPSALA LÄN</t>
        </is>
      </c>
      <c r="E472" t="inlineStr">
        <is>
          <t>ENKÖPING</t>
        </is>
      </c>
      <c r="G472" t="n">
        <v>2.3</v>
      </c>
      <c r="H472" t="n">
        <v>0</v>
      </c>
      <c r="I472" t="n">
        <v>0</v>
      </c>
      <c r="J472" t="n">
        <v>0</v>
      </c>
      <c r="K472" t="n">
        <v>0</v>
      </c>
      <c r="L472" t="n">
        <v>0</v>
      </c>
      <c r="M472" t="n">
        <v>0</v>
      </c>
      <c r="N472" t="n">
        <v>0</v>
      </c>
      <c r="O472" t="n">
        <v>0</v>
      </c>
      <c r="P472" t="n">
        <v>0</v>
      </c>
      <c r="Q472" t="n">
        <v>0</v>
      </c>
      <c r="R472" s="2" t="inlineStr"/>
    </row>
    <row r="473" ht="15" customHeight="1">
      <c r="A473" t="inlineStr">
        <is>
          <t>A 6147-2021</t>
        </is>
      </c>
      <c r="B473" s="1" t="n">
        <v>44232</v>
      </c>
      <c r="C473" s="1" t="n">
        <v>45881</v>
      </c>
      <c r="D473" t="inlineStr">
        <is>
          <t>UPPSALA LÄN</t>
        </is>
      </c>
      <c r="E473" t="inlineStr">
        <is>
          <t>ENKÖPING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1960-2022</t>
        </is>
      </c>
      <c r="B474" s="1" t="n">
        <v>44575</v>
      </c>
      <c r="C474" s="1" t="n">
        <v>45881</v>
      </c>
      <c r="D474" t="inlineStr">
        <is>
          <t>UPPSALA LÄN</t>
        </is>
      </c>
      <c r="E474" t="inlineStr">
        <is>
          <t>ENKÖPING</t>
        </is>
      </c>
      <c r="G474" t="n">
        <v>1.3</v>
      </c>
      <c r="H474" t="n">
        <v>0</v>
      </c>
      <c r="I474" t="n">
        <v>0</v>
      </c>
      <c r="J474" t="n">
        <v>0</v>
      </c>
      <c r="K474" t="n">
        <v>0</v>
      </c>
      <c r="L474" t="n">
        <v>0</v>
      </c>
      <c r="M474" t="n">
        <v>0</v>
      </c>
      <c r="N474" t="n">
        <v>0</v>
      </c>
      <c r="O474" t="n">
        <v>0</v>
      </c>
      <c r="P474" t="n">
        <v>0</v>
      </c>
      <c r="Q474" t="n">
        <v>0</v>
      </c>
      <c r="R474" s="2" t="inlineStr"/>
    </row>
    <row r="475" ht="15" customHeight="1">
      <c r="A475" t="inlineStr">
        <is>
          <t>A 18028-2023</t>
        </is>
      </c>
      <c r="B475" s="1" t="n">
        <v>45040</v>
      </c>
      <c r="C475" s="1" t="n">
        <v>45881</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39935-2020</t>
        </is>
      </c>
      <c r="B476" s="1" t="n">
        <v>44067</v>
      </c>
      <c r="C476" s="1" t="n">
        <v>45881</v>
      </c>
      <c r="D476" t="inlineStr">
        <is>
          <t>UPPSALA LÄN</t>
        </is>
      </c>
      <c r="E476" t="inlineStr">
        <is>
          <t>ENKÖPING</t>
        </is>
      </c>
      <c r="G476" t="n">
        <v>4.2</v>
      </c>
      <c r="H476" t="n">
        <v>0</v>
      </c>
      <c r="I476" t="n">
        <v>0</v>
      </c>
      <c r="J476" t="n">
        <v>0</v>
      </c>
      <c r="K476" t="n">
        <v>0</v>
      </c>
      <c r="L476" t="n">
        <v>0</v>
      </c>
      <c r="M476" t="n">
        <v>0</v>
      </c>
      <c r="N476" t="n">
        <v>0</v>
      </c>
      <c r="O476" t="n">
        <v>0</v>
      </c>
      <c r="P476" t="n">
        <v>0</v>
      </c>
      <c r="Q476" t="n">
        <v>0</v>
      </c>
      <c r="R476" s="2" t="inlineStr"/>
    </row>
    <row r="477" ht="15" customHeight="1">
      <c r="A477" t="inlineStr">
        <is>
          <t>A 37319-2025</t>
        </is>
      </c>
      <c r="B477" s="1" t="n">
        <v>45876.62100694444</v>
      </c>
      <c r="C477" s="1" t="n">
        <v>45881</v>
      </c>
      <c r="D477" t="inlineStr">
        <is>
          <t>UPPSALA LÄN</t>
        </is>
      </c>
      <c r="E477" t="inlineStr">
        <is>
          <t>ENKÖPING</t>
        </is>
      </c>
      <c r="G477" t="n">
        <v>9.5</v>
      </c>
      <c r="H477" t="n">
        <v>0</v>
      </c>
      <c r="I477" t="n">
        <v>0</v>
      </c>
      <c r="J477" t="n">
        <v>0</v>
      </c>
      <c r="K477" t="n">
        <v>0</v>
      </c>
      <c r="L477" t="n">
        <v>0</v>
      </c>
      <c r="M477" t="n">
        <v>0</v>
      </c>
      <c r="N477" t="n">
        <v>0</v>
      </c>
      <c r="O477" t="n">
        <v>0</v>
      </c>
      <c r="P477" t="n">
        <v>0</v>
      </c>
      <c r="Q477" t="n">
        <v>0</v>
      </c>
      <c r="R477" s="2" t="inlineStr"/>
    </row>
    <row r="478" ht="15" customHeight="1">
      <c r="A478" t="inlineStr">
        <is>
          <t>A 37296-2025</t>
        </is>
      </c>
      <c r="B478" s="1" t="n">
        <v>45876.56584490741</v>
      </c>
      <c r="C478" s="1" t="n">
        <v>45881</v>
      </c>
      <c r="D478" t="inlineStr">
        <is>
          <t>UPPSALA LÄN</t>
        </is>
      </c>
      <c r="E478" t="inlineStr">
        <is>
          <t>ENKÖPING</t>
        </is>
      </c>
      <c r="G478" t="n">
        <v>9.5</v>
      </c>
      <c r="H478" t="n">
        <v>0</v>
      </c>
      <c r="I478" t="n">
        <v>0</v>
      </c>
      <c r="J478" t="n">
        <v>0</v>
      </c>
      <c r="K478" t="n">
        <v>0</v>
      </c>
      <c r="L478" t="n">
        <v>0</v>
      </c>
      <c r="M478" t="n">
        <v>0</v>
      </c>
      <c r="N478" t="n">
        <v>0</v>
      </c>
      <c r="O478" t="n">
        <v>0</v>
      </c>
      <c r="P478" t="n">
        <v>0</v>
      </c>
      <c r="Q478" t="n">
        <v>0</v>
      </c>
      <c r="R478" s="2" t="inlineStr"/>
    </row>
    <row r="479" ht="15" customHeight="1">
      <c r="A479" t="inlineStr">
        <is>
          <t>A 49568-2022</t>
        </is>
      </c>
      <c r="B479" s="1" t="n">
        <v>44862.32791666667</v>
      </c>
      <c r="C479" s="1" t="n">
        <v>45881</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42459-2024</t>
        </is>
      </c>
      <c r="B480" s="1" t="n">
        <v>45565</v>
      </c>
      <c r="C480" s="1" t="n">
        <v>45881</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48864-2022</t>
        </is>
      </c>
      <c r="B481" s="1" t="n">
        <v>44859</v>
      </c>
      <c r="C481" s="1" t="n">
        <v>45881</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31622-2022</t>
        </is>
      </c>
      <c r="B482" s="1" t="n">
        <v>44775</v>
      </c>
      <c r="C482" s="1" t="n">
        <v>45881</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32477-2025</t>
        </is>
      </c>
      <c r="B483" s="1" t="n">
        <v>45838.43098379629</v>
      </c>
      <c r="C483" s="1" t="n">
        <v>45881</v>
      </c>
      <c r="D483" t="inlineStr">
        <is>
          <t>UPPSALA LÄN</t>
        </is>
      </c>
      <c r="E483" t="inlineStr">
        <is>
          <t>ENKÖPING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32031-2025</t>
        </is>
      </c>
      <c r="B484" s="1" t="n">
        <v>45835.41712962963</v>
      </c>
      <c r="C484" s="1" t="n">
        <v>45881</v>
      </c>
      <c r="D484" t="inlineStr">
        <is>
          <t>UPPSALA LÄN</t>
        </is>
      </c>
      <c r="E484" t="inlineStr">
        <is>
          <t>ENKÖPING</t>
        </is>
      </c>
      <c r="G484" t="n">
        <v>2.7</v>
      </c>
      <c r="H484" t="n">
        <v>0</v>
      </c>
      <c r="I484" t="n">
        <v>0</v>
      </c>
      <c r="J484" t="n">
        <v>0</v>
      </c>
      <c r="K484" t="n">
        <v>0</v>
      </c>
      <c r="L484" t="n">
        <v>0</v>
      </c>
      <c r="M484" t="n">
        <v>0</v>
      </c>
      <c r="N484" t="n">
        <v>0</v>
      </c>
      <c r="O484" t="n">
        <v>0</v>
      </c>
      <c r="P484" t="n">
        <v>0</v>
      </c>
      <c r="Q484" t="n">
        <v>0</v>
      </c>
      <c r="R484" s="2" t="inlineStr"/>
    </row>
    <row r="485" ht="15" customHeight="1">
      <c r="A485" t="inlineStr">
        <is>
          <t>A 32111-2025</t>
        </is>
      </c>
      <c r="B485" s="1" t="n">
        <v>45835</v>
      </c>
      <c r="C485" s="1" t="n">
        <v>45881</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66517-2020</t>
        </is>
      </c>
      <c r="B486" s="1" t="n">
        <v>44178</v>
      </c>
      <c r="C486" s="1" t="n">
        <v>45881</v>
      </c>
      <c r="D486" t="inlineStr">
        <is>
          <t>UPPSALA LÄN</t>
        </is>
      </c>
      <c r="E486" t="inlineStr">
        <is>
          <t>ENKÖPING</t>
        </is>
      </c>
      <c r="G486" t="n">
        <v>4</v>
      </c>
      <c r="H486" t="n">
        <v>0</v>
      </c>
      <c r="I486" t="n">
        <v>0</v>
      </c>
      <c r="J486" t="n">
        <v>0</v>
      </c>
      <c r="K486" t="n">
        <v>0</v>
      </c>
      <c r="L486" t="n">
        <v>0</v>
      </c>
      <c r="M486" t="n">
        <v>0</v>
      </c>
      <c r="N486" t="n">
        <v>0</v>
      </c>
      <c r="O486" t="n">
        <v>0</v>
      </c>
      <c r="P486" t="n">
        <v>0</v>
      </c>
      <c r="Q486" t="n">
        <v>0</v>
      </c>
      <c r="R486" s="2" t="inlineStr"/>
    </row>
    <row r="487" ht="15" customHeight="1">
      <c r="A487" t="inlineStr">
        <is>
          <t>A 6356-2022</t>
        </is>
      </c>
      <c r="B487" s="1" t="n">
        <v>44600</v>
      </c>
      <c r="C487" s="1" t="n">
        <v>45881</v>
      </c>
      <c r="D487" t="inlineStr">
        <is>
          <t>UPPSALA LÄN</t>
        </is>
      </c>
      <c r="E487" t="inlineStr">
        <is>
          <t>ENKÖPING</t>
        </is>
      </c>
      <c r="G487" t="n">
        <v>1.2</v>
      </c>
      <c r="H487" t="n">
        <v>0</v>
      </c>
      <c r="I487" t="n">
        <v>0</v>
      </c>
      <c r="J487" t="n">
        <v>0</v>
      </c>
      <c r="K487" t="n">
        <v>0</v>
      </c>
      <c r="L487" t="n">
        <v>0</v>
      </c>
      <c r="M487" t="n">
        <v>0</v>
      </c>
      <c r="N487" t="n">
        <v>0</v>
      </c>
      <c r="O487" t="n">
        <v>0</v>
      </c>
      <c r="P487" t="n">
        <v>0</v>
      </c>
      <c r="Q487" t="n">
        <v>0</v>
      </c>
      <c r="R487" s="2" t="inlineStr"/>
    </row>
    <row r="488" ht="15" customHeight="1">
      <c r="A488" t="inlineStr">
        <is>
          <t>A 49617-2024</t>
        </is>
      </c>
      <c r="B488" s="1" t="n">
        <v>45596</v>
      </c>
      <c r="C488" s="1" t="n">
        <v>45881</v>
      </c>
      <c r="D488" t="inlineStr">
        <is>
          <t>UPPSALA LÄN</t>
        </is>
      </c>
      <c r="E488" t="inlineStr">
        <is>
          <t>ENKÖPING</t>
        </is>
      </c>
      <c r="G488" t="n">
        <v>3.5</v>
      </c>
      <c r="H488" t="n">
        <v>0</v>
      </c>
      <c r="I488" t="n">
        <v>0</v>
      </c>
      <c r="J488" t="n">
        <v>0</v>
      </c>
      <c r="K488" t="n">
        <v>0</v>
      </c>
      <c r="L488" t="n">
        <v>0</v>
      </c>
      <c r="M488" t="n">
        <v>0</v>
      </c>
      <c r="N488" t="n">
        <v>0</v>
      </c>
      <c r="O488" t="n">
        <v>0</v>
      </c>
      <c r="P488" t="n">
        <v>0</v>
      </c>
      <c r="Q488" t="n">
        <v>0</v>
      </c>
      <c r="R488" s="2" t="inlineStr"/>
    </row>
    <row r="489" ht="15" customHeight="1">
      <c r="A489" t="inlineStr">
        <is>
          <t>A 49637-2024</t>
        </is>
      </c>
      <c r="B489" s="1" t="n">
        <v>45596.59831018518</v>
      </c>
      <c r="C489" s="1" t="n">
        <v>45881</v>
      </c>
      <c r="D489" t="inlineStr">
        <is>
          <t>UPPSALA LÄN</t>
        </is>
      </c>
      <c r="E489" t="inlineStr">
        <is>
          <t>ENKÖPING</t>
        </is>
      </c>
      <c r="G489" t="n">
        <v>4.9</v>
      </c>
      <c r="H489" t="n">
        <v>0</v>
      </c>
      <c r="I489" t="n">
        <v>0</v>
      </c>
      <c r="J489" t="n">
        <v>0</v>
      </c>
      <c r="K489" t="n">
        <v>0</v>
      </c>
      <c r="L489" t="n">
        <v>0</v>
      </c>
      <c r="M489" t="n">
        <v>0</v>
      </c>
      <c r="N489" t="n">
        <v>0</v>
      </c>
      <c r="O489" t="n">
        <v>0</v>
      </c>
      <c r="P489" t="n">
        <v>0</v>
      </c>
      <c r="Q489" t="n">
        <v>0</v>
      </c>
      <c r="R489" s="2" t="inlineStr"/>
    </row>
    <row r="490" ht="15" customHeight="1">
      <c r="A490" t="inlineStr">
        <is>
          <t>A 57147-2021</t>
        </is>
      </c>
      <c r="B490" s="1" t="n">
        <v>44482</v>
      </c>
      <c r="C490" s="1" t="n">
        <v>45881</v>
      </c>
      <c r="D490" t="inlineStr">
        <is>
          <t>UPPSALA LÄN</t>
        </is>
      </c>
      <c r="E490" t="inlineStr">
        <is>
          <t>ENKÖPING</t>
        </is>
      </c>
      <c r="G490" t="n">
        <v>5.7</v>
      </c>
      <c r="H490" t="n">
        <v>0</v>
      </c>
      <c r="I490" t="n">
        <v>0</v>
      </c>
      <c r="J490" t="n">
        <v>0</v>
      </c>
      <c r="K490" t="n">
        <v>0</v>
      </c>
      <c r="L490" t="n">
        <v>0</v>
      </c>
      <c r="M490" t="n">
        <v>0</v>
      </c>
      <c r="N490" t="n">
        <v>0</v>
      </c>
      <c r="O490" t="n">
        <v>0</v>
      </c>
      <c r="P490" t="n">
        <v>0</v>
      </c>
      <c r="Q490" t="n">
        <v>0</v>
      </c>
      <c r="R490" s="2" t="inlineStr"/>
    </row>
    <row r="491" ht="15" customHeight="1">
      <c r="A491" t="inlineStr">
        <is>
          <t>A 61711-2020</t>
        </is>
      </c>
      <c r="B491" s="1" t="n">
        <v>44158</v>
      </c>
      <c r="C491" s="1" t="n">
        <v>45881</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47909-2024</t>
        </is>
      </c>
      <c r="B492" s="1" t="n">
        <v>45589.31866898148</v>
      </c>
      <c r="C492" s="1" t="n">
        <v>45881</v>
      </c>
      <c r="D492" t="inlineStr">
        <is>
          <t>UPPSALA LÄN</t>
        </is>
      </c>
      <c r="E492" t="inlineStr">
        <is>
          <t>ENKÖPING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6157-2021</t>
        </is>
      </c>
      <c r="B493" s="1" t="n">
        <v>44232</v>
      </c>
      <c r="C493" s="1" t="n">
        <v>45881</v>
      </c>
      <c r="D493" t="inlineStr">
        <is>
          <t>UPPSALA LÄN</t>
        </is>
      </c>
      <c r="E493" t="inlineStr">
        <is>
          <t>ENKÖPING</t>
        </is>
      </c>
      <c r="G493" t="n">
        <v>3.9</v>
      </c>
      <c r="H493" t="n">
        <v>0</v>
      </c>
      <c r="I493" t="n">
        <v>0</v>
      </c>
      <c r="J493" t="n">
        <v>0</v>
      </c>
      <c r="K493" t="n">
        <v>0</v>
      </c>
      <c r="L493" t="n">
        <v>0</v>
      </c>
      <c r="M493" t="n">
        <v>0</v>
      </c>
      <c r="N493" t="n">
        <v>0</v>
      </c>
      <c r="O493" t="n">
        <v>0</v>
      </c>
      <c r="P493" t="n">
        <v>0</v>
      </c>
      <c r="Q493" t="n">
        <v>0</v>
      </c>
      <c r="R493" s="2" t="inlineStr"/>
    </row>
    <row r="494">
      <c r="A494" t="inlineStr">
        <is>
          <t>A 52005-2024</t>
        </is>
      </c>
      <c r="B494" s="1" t="n">
        <v>45607.7627662037</v>
      </c>
      <c r="C494" s="1" t="n">
        <v>45881</v>
      </c>
      <c r="D494" t="inlineStr">
        <is>
          <t>UPPSALA LÄN</t>
        </is>
      </c>
      <c r="E494" t="inlineStr">
        <is>
          <t>ENKÖPING</t>
        </is>
      </c>
      <c r="G494" t="n">
        <v>0.5</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2025-08-12T08:25:40Z</dcterms:created>
  <dcterms:modified xmlns:dcterms="http://purl.org/dc/terms/" xmlns:xsi="http://www.w3.org/2001/XMLSchema-instance" xsi:type="dcterms:W3CDTF">2025-08-12T08:25:41Z</dcterms:modified>
</cp:coreProperties>
</file>