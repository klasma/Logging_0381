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45744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45744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45744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45744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45744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45744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45744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45744</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45744</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45744</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45744</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45744</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45744</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45744</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45744</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45744</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45744</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45744</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45744</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45744</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45744</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45744</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45744</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45744</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45744</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45744</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45744</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45744</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45744</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45744</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45744</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45744</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45744</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45744</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45744</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45744</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45744</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45744</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45744</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45744</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45744</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45744</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45744</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45744</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45744</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45744</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45744</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45744</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45744</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45744</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45744</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45744</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45744</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45744</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45744</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45744</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45744</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45744</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HYPERLINK("https://klasma.github.io/Logging_0381/artfynd/A 10671-2025 artfynd.xlsx", "A 10671-2025")</f>
        <v/>
      </c>
      <c r="T59">
        <f>HYPERLINK("https://klasma.github.io/Logging_0381/kartor/A 10671-2025 karta.png", "A 10671-2025")</f>
        <v/>
      </c>
      <c r="V59">
        <f>HYPERLINK("https://klasma.github.io/Logging_0381/klagomål/A 10671-2025 FSC-klagomål.docx", "A 10671-2025")</f>
        <v/>
      </c>
      <c r="W59">
        <f>HYPERLINK("https://klasma.github.io/Logging_0381/klagomålsmail/A 10671-2025 FSC-klagomål mail.docx", "A 10671-2025")</f>
        <v/>
      </c>
      <c r="X59">
        <f>HYPERLINK("https://klasma.github.io/Logging_0381/tillsyn/A 10671-2025 tillsynsbegäran.docx", "A 10671-2025")</f>
        <v/>
      </c>
      <c r="Y59">
        <f>HYPERLINK("https://klasma.github.io/Logging_0381/tillsynsmail/A 10671-2025 tillsynsbegäran mail.docx", "A 10671-2025")</f>
        <v/>
      </c>
    </row>
    <row r="60" ht="15" customHeight="1">
      <c r="A60" t="inlineStr">
        <is>
          <t>A 11018-2025</t>
        </is>
      </c>
      <c r="B60" s="1" t="n">
        <v>45723</v>
      </c>
      <c r="C60" s="1" t="n">
        <v>45744</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11015-2025</t>
        </is>
      </c>
      <c r="B61" s="1" t="n">
        <v>45723</v>
      </c>
      <c r="C61" s="1" t="n">
        <v>45744</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HYPERLINK("https://klasma.github.io/Logging_0381/artfynd/A 11015-2025 artfynd.xlsx", "A 11015-2025")</f>
        <v/>
      </c>
      <c r="T61">
        <f>HYPERLINK("https://klasma.github.io/Logging_0381/kartor/A 11015-2025 karta.png", "A 11015-2025")</f>
        <v/>
      </c>
      <c r="V61">
        <f>HYPERLINK("https://klasma.github.io/Logging_0381/klagomål/A 11015-2025 FSC-klagomål.docx", "A 11015-2025")</f>
        <v/>
      </c>
      <c r="W61">
        <f>HYPERLINK("https://klasma.github.io/Logging_0381/klagomålsmail/A 11015-2025 FSC-klagomål mail.docx", "A 11015-2025")</f>
        <v/>
      </c>
      <c r="X61">
        <f>HYPERLINK("https://klasma.github.io/Logging_0381/tillsyn/A 11015-2025 tillsynsbegäran.docx", "A 11015-2025")</f>
        <v/>
      </c>
      <c r="Y61">
        <f>HYPERLINK("https://klasma.github.io/Logging_0381/tillsynsmail/A 11015-2025 tillsynsbegäran mail.docx", "A 11015-2025")</f>
        <v/>
      </c>
    </row>
    <row r="62" ht="15" customHeight="1">
      <c r="A62" t="inlineStr">
        <is>
          <t>A 18148-2019</t>
        </is>
      </c>
      <c r="B62" s="1" t="n">
        <v>43558</v>
      </c>
      <c r="C62" s="1" t="n">
        <v>45744</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45744</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45744</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45744</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45744</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45744</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45744</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45744</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45744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45744</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45744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45744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45744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45744</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45744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45744</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45744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45744</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45744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45744</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45744</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45744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45744</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45744</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45744</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45744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45744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45744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45744</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45744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45744</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45744</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45744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45744</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45744</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45744</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45744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45744</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45744</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45744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45744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45744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45744</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45744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45744</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45744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45744</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45744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45744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45744</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45744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45744</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45744</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45744</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45744</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45744</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45744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45744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45744</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45744</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45744</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45744</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45744</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45744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45744</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45744</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45744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45744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45744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45744</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45744</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45744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45744</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45744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45744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45744</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45744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45744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45744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45744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45744</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45744</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45744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45744</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45744</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45744</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45744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45744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45744</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45744</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45744</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45744</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45744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45744</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45744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45744</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45744</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45744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45744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45744</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45744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45744</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45744</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45744</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45744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45744</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45744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45744</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45744</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45744</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45744</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45744</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45744</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45744</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45744</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45744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45744</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45744</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45744</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45744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45744</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45744</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45744</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45744</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45744</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45744</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45744</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45744</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45744</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45744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45744</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45744</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45744</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45744</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45744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45744</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45744</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45744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45744</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45744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45744</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45744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45744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45744</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45744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45744</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45744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45744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45744</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45744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45744</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45744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45744</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45744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45744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45744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45744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45744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45744</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45744</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45744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45744</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45744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45744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45744</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45744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45744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45744</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45744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45744</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45744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45744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45744</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45744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45744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45744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45744</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45744</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45744</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45744</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45744</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45744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45744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45744</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45744</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45744</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45744</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45744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45744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45744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45744</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45744</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45744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45744</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45744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45744</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45744</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45744</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45744</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45744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45744</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45744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45744</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45744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45744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45744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45744</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45744</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45744</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45744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45744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45744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45744</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45744</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45744</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45744</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45744</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45744</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45744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45744</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45744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45744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45744</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45744</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45744</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45744</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45744</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45744</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45744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45744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45744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45744</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45744</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45744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45744</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45744</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45744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45744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45744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45744</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45744</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45744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45744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45744</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45744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45744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45744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45744</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45744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45744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45744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45744</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45744</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45744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45744</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45744</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45744</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45744</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45744</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45744</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45744</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45744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45744</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45744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45744</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45744</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45744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45744</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45744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45744</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45744</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45744</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45744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45744</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45744</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45744</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45744</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45744</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45744</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45744</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45744</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45744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45744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45744</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45744</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45744</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45744</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45744</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45744</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45744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45744</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45744</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45744</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45744</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45744</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45744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45744</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45744</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45744</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45744</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45744</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45744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45744</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45744</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45744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45744</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45744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45744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45744</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45744</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45744</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45744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45744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45744</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45744</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45744</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45744</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45744</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45744</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45744</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45744</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45744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45744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45744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45744</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45744</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45744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45744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45744</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45744</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45744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45744</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45744</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45744</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45744</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45744</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45744</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45744</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45744</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45744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45744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45744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45744</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45744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45744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45744</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45744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45744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45744</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45744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45744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45744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45744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45744</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45744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45744</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45744</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45744</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45744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45744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45744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45744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45744</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45744</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45744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45744</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45744</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45744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45744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45744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45744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45744</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45744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45744</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45744</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45744</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45744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45744</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45744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45744</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45744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45744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45744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45744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45744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45744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45744</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45744</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45744</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45744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45744</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45744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45744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45744</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45744</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45744</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45744</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45744</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45744</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45744</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45744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45744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45744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45744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45744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45744</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45744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45744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45744</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45744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45744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45744</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45744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45744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45744</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45744</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45744</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45744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45744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45744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45744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45744</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45744</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45744</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45744</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45744</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45744</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45744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45744</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45744</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45744</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45744</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45744</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45744</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45744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45744</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45744</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45744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45744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45744</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45744</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45744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45744</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45744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45744</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45744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45744</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45744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45744</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45744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45744</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45744</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45744</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45744</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45744</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45744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45744</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45744</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45744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45744</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45744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45744</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45744</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45744</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45744</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45744</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45744</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45744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45744</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45744</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45744</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45744</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45744</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45744</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45744</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45744</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45744</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45744</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45744</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45744</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45744</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45744</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45744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45744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45744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45744</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45744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45744</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45744</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45744</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45744</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45744</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45744</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45744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45744</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45744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45744</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45744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45744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45744</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45744</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45744</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45744</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45744</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45744</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45744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45744</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45744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45744</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45744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45744</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45744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45744</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45744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45744</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45744</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45744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45744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45744</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45744</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45744</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45744</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45744</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45744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45744</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45744</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45744</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45744</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45744</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45744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45744</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45744</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45744</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45744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45744</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45744</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45744</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45744</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45744</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45744</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45744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45744</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45744</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45744</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45744</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45744</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45744</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45744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45744</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45744</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45744</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45744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45744</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45744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45744</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45744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45744</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45744</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45744</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45744</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45744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45744</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45744</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45744</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45744</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45744</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45744</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45744</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45744</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45744</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45744</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45744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45744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45744</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45744</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45744</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45744</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45744</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45744</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45744</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45744</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45744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45744</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45744</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45744</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45744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45744</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45744</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45744</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45744</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45744</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45744</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45744</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45744</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45744</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45744</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45744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45744</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45744</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45744</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45744</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45744</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45744</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45744</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45744</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45744</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45744</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45744</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45744</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45744</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45744</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45744</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45744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45744</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45744</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45744</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45744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45744</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45744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45744</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45744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45744</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45744</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45744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45744</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45744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45744</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45744</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45744</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45744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45744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45744</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45744</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45744</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45744</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45744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45744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45744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45744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45744</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45744</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45744</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45744</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45744</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45744</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45744</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45744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45744</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45744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45744</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45744</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45744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45744</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45744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45744</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45744</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45744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45744</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45744</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45744</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45744</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45744</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45744</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45744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45744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45744</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45744</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45744</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45744</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45744</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45744</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45744</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45744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45744</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45744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45744</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45744</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45744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45744</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45744</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45744</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45744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45744</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45744</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45744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45744</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45744</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45744</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45744</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45744</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45744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45744</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45744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45744</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45744</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45744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45744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45744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45744</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45744</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45744</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45744</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45744</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45744</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45744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45744</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45744</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45744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45744</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45744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45744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45744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45744</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45744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45744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45744</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45744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45744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45744</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45744</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45744</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45744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45744</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45744</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45744</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45744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45744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45744</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45744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45744</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45744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45744</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45744</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45744</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45744</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45744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45744</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45744</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45744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45744</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45744</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45744</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45744</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45744</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45744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45744</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45744</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45744</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45744</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45744</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45744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45744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45744</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45744</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45744</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45744</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45744</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45744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45744</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45744</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45744</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45744</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45744</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45744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45744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45744</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45744</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45744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45744</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45744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45744</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45744</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45744</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45744</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45744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45744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45744</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45744</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45744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45744</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45744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45744</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45744</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45744</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45744</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45744</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45744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45744</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45744</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45744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45744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45744</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45744</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45744</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45744</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45744</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45744</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45744</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45744</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45744</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45744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45744</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45744</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45744</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45744</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45744</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45744</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45744</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45744</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45744</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45744</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45744</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45744</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45744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45744</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45744</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45744</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45744</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45744</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45744</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45744</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45744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45744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45744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45744</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45744</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45744</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45744</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45744</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45744</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45744</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45744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45744</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45744</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45744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45744</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45744</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45744</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45744</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45744</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45744</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45744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45744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45744</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45744</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45744</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45744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45744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45744</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45744</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45744</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45744</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45744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45744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45744</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45744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45744</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9493-2025</t>
        </is>
      </c>
      <c r="B919" s="1" t="n">
        <v>45715</v>
      </c>
      <c r="C919" s="1" t="n">
        <v>45744</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45744</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45744</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45744</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45744</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45744</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45744</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45744</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45744</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45744</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45744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45744</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45744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45744</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45744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45744</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45744</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12755-2025</t>
        </is>
      </c>
      <c r="B936" s="1" t="n">
        <v>45733</v>
      </c>
      <c r="C936" s="1" t="n">
        <v>45744</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45744</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45744</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45744</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14519-2025</t>
        </is>
      </c>
      <c r="B940" s="1" t="n">
        <v>45741</v>
      </c>
      <c r="C940" s="1" t="n">
        <v>45744</v>
      </c>
      <c r="D940" t="inlineStr">
        <is>
          <t>UPPSALA LÄN</t>
        </is>
      </c>
      <c r="E940" t="inlineStr">
        <is>
          <t>ENKÖPING</t>
        </is>
      </c>
      <c r="G940" t="n">
        <v>0.9</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45744</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c r="A942" t="inlineStr">
        <is>
          <t>A 14517-2025</t>
        </is>
      </c>
      <c r="B942" s="1" t="n">
        <v>45741</v>
      </c>
      <c r="C942" s="1" t="n">
        <v>45744</v>
      </c>
      <c r="D942" t="inlineStr">
        <is>
          <t>UPPSALA LÄN</t>
        </is>
      </c>
      <c r="E942" t="inlineStr">
        <is>
          <t>ENKÖPING</t>
        </is>
      </c>
      <c r="G942" t="n">
        <v>2.7</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2025-03-28T18:21:29Z</dcterms:created>
  <dcterms:modified xmlns:dcterms="http://purl.org/dc/terms/" xmlns:xsi="http://www.w3.org/2001/XMLSchema-instance" xsi:type="dcterms:W3CDTF">2025-03-28T18:21:30Z</dcterms:modified>
</cp:coreProperties>
</file>