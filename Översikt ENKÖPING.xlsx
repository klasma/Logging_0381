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45995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45995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45995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45995</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45995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27073-2025</t>
        </is>
      </c>
      <c r="B18" s="1" t="n">
        <v>45811.64190972222</v>
      </c>
      <c r="C18" s="1" t="n">
        <v>45995</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28900-2024</t>
        </is>
      </c>
      <c r="B20" s="1" t="n">
        <v>45480</v>
      </c>
      <c r="C20" s="1" t="n">
        <v>45995</v>
      </c>
      <c r="D20" t="inlineStr">
        <is>
          <t>UPPSALA LÄN</t>
        </is>
      </c>
      <c r="E20" t="inlineStr">
        <is>
          <t>ENKÖPING</t>
        </is>
      </c>
      <c r="G20" t="n">
        <v>8.6</v>
      </c>
      <c r="H20" t="n">
        <v>1</v>
      </c>
      <c r="I20" t="n">
        <v>0</v>
      </c>
      <c r="J20" t="n">
        <v>0</v>
      </c>
      <c r="K20" t="n">
        <v>0</v>
      </c>
      <c r="L20" t="n">
        <v>0</v>
      </c>
      <c r="M20" t="n">
        <v>0</v>
      </c>
      <c r="N20" t="n">
        <v>0</v>
      </c>
      <c r="O20" t="n">
        <v>0</v>
      </c>
      <c r="P20" t="n">
        <v>0</v>
      </c>
      <c r="Q20" t="n">
        <v>1</v>
      </c>
      <c r="R20" s="2" t="inlineStr">
        <is>
          <t>Blåsippa</t>
        </is>
      </c>
      <c r="S20">
        <f>HYPERLINK("https://klasma.github.io/Logging_0381/artfynd/A 28900-2024 artfynd.xlsx", "A 28900-2024")</f>
        <v/>
      </c>
      <c r="T20">
        <f>HYPERLINK("https://klasma.github.io/Logging_0381/kartor/A 28900-2024 karta.png", "A 28900-2024")</f>
        <v/>
      </c>
      <c r="V20">
        <f>HYPERLINK("https://klasma.github.io/Logging_0381/klagomål/A 28900-2024 FSC-klagomål.docx", "A 28900-2024")</f>
        <v/>
      </c>
      <c r="W20">
        <f>HYPERLINK("https://klasma.github.io/Logging_0381/klagomålsmail/A 28900-2024 FSC-klagomål mail.docx", "A 28900-2024")</f>
        <v/>
      </c>
      <c r="X20">
        <f>HYPERLINK("https://klasma.github.io/Logging_0381/tillsyn/A 28900-2024 tillsynsbegäran.docx", "A 28900-2024")</f>
        <v/>
      </c>
      <c r="Y20">
        <f>HYPERLINK("https://klasma.github.io/Logging_0381/tillsynsmail/A 28900-2024 tillsynsbegäran mail.docx", "A 28900-2024")</f>
        <v/>
      </c>
    </row>
    <row r="21" ht="15" customHeight="1">
      <c r="A21" t="inlineStr">
        <is>
          <t>A 23385-2021</t>
        </is>
      </c>
      <c r="B21" s="1" t="n">
        <v>44333.6091087963</v>
      </c>
      <c r="C21" s="1" t="n">
        <v>45995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45995</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17942-2024</t>
        </is>
      </c>
      <c r="B23" s="1" t="n">
        <v>45419</v>
      </c>
      <c r="C23" s="1" t="n">
        <v>45995</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1524-2023</t>
        </is>
      </c>
      <c r="B24" s="1" t="n">
        <v>44935</v>
      </c>
      <c r="C24" s="1" t="n">
        <v>45995</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Skogsduva</t>
        </is>
      </c>
      <c r="S24">
        <f>HYPERLINK("https://klasma.github.io/Logging_0381/artfynd/A 1524-2023 artfynd.xlsx", "A 1524-2023")</f>
        <v/>
      </c>
      <c r="T24">
        <f>HYPERLINK("https://klasma.github.io/Logging_0381/kartor/A 1524-2023 karta.png", "A 1524-2023")</f>
        <v/>
      </c>
      <c r="V24">
        <f>HYPERLINK("https://klasma.github.io/Logging_0381/klagomål/A 1524-2023 FSC-klagomål.docx", "A 1524-2023")</f>
        <v/>
      </c>
      <c r="W24">
        <f>HYPERLINK("https://klasma.github.io/Logging_0381/klagomålsmail/A 1524-2023 FSC-klagomål mail.docx", "A 1524-2023")</f>
        <v/>
      </c>
      <c r="X24">
        <f>HYPERLINK("https://klasma.github.io/Logging_0381/tillsyn/A 1524-2023 tillsynsbegäran.docx", "A 1524-2023")</f>
        <v/>
      </c>
      <c r="Y24">
        <f>HYPERLINK("https://klasma.github.io/Logging_0381/tillsynsmail/A 1524-2023 tillsynsbegäran mail.docx", "A 1524-2023")</f>
        <v/>
      </c>
      <c r="Z24">
        <f>HYPERLINK("https://klasma.github.io/Logging_0381/fåglar/A 1524-2023 prioriterade fågelarter.docx", "A 1524-2023")</f>
        <v/>
      </c>
    </row>
    <row r="25" ht="15" customHeight="1">
      <c r="A25" t="inlineStr">
        <is>
          <t>A 52439-2025</t>
        </is>
      </c>
      <c r="B25" s="1" t="n">
        <v>45954.40697916667</v>
      </c>
      <c r="C25" s="1" t="n">
        <v>45995</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45995</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33339-2024</t>
        </is>
      </c>
      <c r="B27" s="1" t="n">
        <v>45519</v>
      </c>
      <c r="C27" s="1" t="n">
        <v>45995</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46749-2024</t>
        </is>
      </c>
      <c r="B28" s="1" t="n">
        <v>45583.48347222222</v>
      </c>
      <c r="C28" s="1" t="n">
        <v>45995</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23961-2022</t>
        </is>
      </c>
      <c r="B29" s="1" t="n">
        <v>44722</v>
      </c>
      <c r="C29" s="1" t="n">
        <v>45995</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45116-2023</t>
        </is>
      </c>
      <c r="B30" s="1" t="n">
        <v>45191</v>
      </c>
      <c r="C30" s="1" t="n">
        <v>45995</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26347-2025</t>
        </is>
      </c>
      <c r="B31" s="1" t="n">
        <v>45805.7403125</v>
      </c>
      <c r="C31" s="1" t="n">
        <v>45995</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45995</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45995</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45995</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45995</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45995</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45995</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45995</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45995</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45995</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45995</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45995</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45995</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45995</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45995</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45995</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45995</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45995</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45995</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45995</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45995</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45995</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45995</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45995</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45995</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45995</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45995</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45995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45995</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45995</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45995</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45995</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45995</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45995</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45995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45995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45995</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45995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45995</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45995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45995</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45995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45995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45995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45995</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45995</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45995</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45995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45995</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45995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69791-2021</t>
        </is>
      </c>
      <c r="B89" s="1" t="n">
        <v>44532</v>
      </c>
      <c r="C89" s="1" t="n">
        <v>45995</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45995</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60874-2021</t>
        </is>
      </c>
      <c r="B91" s="1" t="n">
        <v>44497</v>
      </c>
      <c r="C91" s="1" t="n">
        <v>45995</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15021-2022</t>
        </is>
      </c>
      <c r="B92" s="1" t="n">
        <v>44657</v>
      </c>
      <c r="C92" s="1" t="n">
        <v>45995</v>
      </c>
      <c r="D92" t="inlineStr">
        <is>
          <t>UPPSALA LÄN</t>
        </is>
      </c>
      <c r="E92" t="inlineStr">
        <is>
          <t>ENKÖPING</t>
        </is>
      </c>
      <c r="G92" t="n">
        <v>1.1</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45995</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45995</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68127-2021</t>
        </is>
      </c>
      <c r="B95" s="1" t="n">
        <v>44526.39513888889</v>
      </c>
      <c r="C95" s="1" t="n">
        <v>45995</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25334-2023</t>
        </is>
      </c>
      <c r="B96" s="1" t="n">
        <v>45083</v>
      </c>
      <c r="C96" s="1" t="n">
        <v>45995</v>
      </c>
      <c r="D96" t="inlineStr">
        <is>
          <t>UPPSALA LÄN</t>
        </is>
      </c>
      <c r="E96" t="inlineStr">
        <is>
          <t>ENKÖPING</t>
        </is>
      </c>
      <c r="G96" t="n">
        <v>0.2</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45995</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45995</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33349-2024</t>
        </is>
      </c>
      <c r="B99" s="1" t="n">
        <v>45519</v>
      </c>
      <c r="C99" s="1" t="n">
        <v>45995</v>
      </c>
      <c r="D99" t="inlineStr">
        <is>
          <t>UPPSALA LÄN</t>
        </is>
      </c>
      <c r="E99" t="inlineStr">
        <is>
          <t>ENKÖPING</t>
        </is>
      </c>
      <c r="G99" t="n">
        <v>3.6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45995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45995</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45995</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45995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45995</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45995</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45995</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45995</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53587-2024</t>
        </is>
      </c>
      <c r="B108" s="1" t="n">
        <v>45614.66953703704</v>
      </c>
      <c r="C108" s="1" t="n">
        <v>45995</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45995</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45995</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57043-2021</t>
        </is>
      </c>
      <c r="B111" s="1" t="n">
        <v>44482.53399305556</v>
      </c>
      <c r="C111" s="1" t="n">
        <v>45995</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60533-2021</t>
        </is>
      </c>
      <c r="B112" s="1" t="n">
        <v>44496</v>
      </c>
      <c r="C112" s="1" t="n">
        <v>45995</v>
      </c>
      <c r="D112" t="inlineStr">
        <is>
          <t>UPPSALA LÄN</t>
        </is>
      </c>
      <c r="E112" t="inlineStr">
        <is>
          <t>ENKÖPING</t>
        </is>
      </c>
      <c r="G112" t="n">
        <v>2.2</v>
      </c>
      <c r="H112" t="n">
        <v>0</v>
      </c>
      <c r="I112" t="n">
        <v>0</v>
      </c>
      <c r="J112" t="n">
        <v>0</v>
      </c>
      <c r="K112" t="n">
        <v>0</v>
      </c>
      <c r="L112" t="n">
        <v>0</v>
      </c>
      <c r="M112" t="n">
        <v>0</v>
      </c>
      <c r="N112" t="n">
        <v>0</v>
      </c>
      <c r="O112" t="n">
        <v>0</v>
      </c>
      <c r="P112" t="n">
        <v>0</v>
      </c>
      <c r="Q112" t="n">
        <v>0</v>
      </c>
      <c r="R112" s="2" t="inlineStr"/>
    </row>
    <row r="113" ht="15" customHeight="1">
      <c r="A113" t="inlineStr">
        <is>
          <t>A 15757-2023</t>
        </is>
      </c>
      <c r="B113" s="1" t="n">
        <v>45021</v>
      </c>
      <c r="C113" s="1" t="n">
        <v>45995</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43230-2023</t>
        </is>
      </c>
      <c r="B114" s="1" t="n">
        <v>45183</v>
      </c>
      <c r="C114" s="1" t="n">
        <v>45995</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56886-2023</t>
        </is>
      </c>
      <c r="B115" s="1" t="n">
        <v>45239</v>
      </c>
      <c r="C115" s="1" t="n">
        <v>45995</v>
      </c>
      <c r="D115" t="inlineStr">
        <is>
          <t>UPPSALA LÄN</t>
        </is>
      </c>
      <c r="E115" t="inlineStr">
        <is>
          <t>ENKÖPING</t>
        </is>
      </c>
      <c r="G115" t="n">
        <v>2</v>
      </c>
      <c r="H115" t="n">
        <v>0</v>
      </c>
      <c r="I115" t="n">
        <v>0</v>
      </c>
      <c r="J115" t="n">
        <v>0</v>
      </c>
      <c r="K115" t="n">
        <v>0</v>
      </c>
      <c r="L115" t="n">
        <v>0</v>
      </c>
      <c r="M115" t="n">
        <v>0</v>
      </c>
      <c r="N115" t="n">
        <v>0</v>
      </c>
      <c r="O115" t="n">
        <v>0</v>
      </c>
      <c r="P115" t="n">
        <v>0</v>
      </c>
      <c r="Q115" t="n">
        <v>0</v>
      </c>
      <c r="R115" s="2" t="inlineStr"/>
    </row>
    <row r="116" ht="15" customHeight="1">
      <c r="A116" t="inlineStr">
        <is>
          <t>A 51011-2024</t>
        </is>
      </c>
      <c r="B116" s="1" t="n">
        <v>45603.39427083333</v>
      </c>
      <c r="C116" s="1" t="n">
        <v>45995</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31965-2021</t>
        </is>
      </c>
      <c r="B117" s="1" t="n">
        <v>44370.56901620371</v>
      </c>
      <c r="C117" s="1" t="n">
        <v>45995</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10468-2025</t>
        </is>
      </c>
      <c r="B118" s="1" t="n">
        <v>45720</v>
      </c>
      <c r="C118" s="1" t="n">
        <v>45995</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43488-2023</t>
        </is>
      </c>
      <c r="B119" s="1" t="n">
        <v>45181</v>
      </c>
      <c r="C119" s="1" t="n">
        <v>45995</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12755-2025</t>
        </is>
      </c>
      <c r="B120" s="1" t="n">
        <v>45733.56541666666</v>
      </c>
      <c r="C120" s="1" t="n">
        <v>45995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18583-2021</t>
        </is>
      </c>
      <c r="B121" s="1" t="n">
        <v>44306</v>
      </c>
      <c r="C121" s="1" t="n">
        <v>45995</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4044-2024</t>
        </is>
      </c>
      <c r="B122" s="1" t="n">
        <v>45323.45954861111</v>
      </c>
      <c r="C122" s="1" t="n">
        <v>45995</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5211-2024</t>
        </is>
      </c>
      <c r="B123" s="1" t="n">
        <v>45330</v>
      </c>
      <c r="C123" s="1" t="n">
        <v>45995</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60125-2024</t>
        </is>
      </c>
      <c r="B124" s="1" t="n">
        <v>45642</v>
      </c>
      <c r="C124" s="1" t="n">
        <v>45995</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24883-2022</t>
        </is>
      </c>
      <c r="B125" s="1" t="n">
        <v>44728</v>
      </c>
      <c r="C125" s="1" t="n">
        <v>45995</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46103-2023</t>
        </is>
      </c>
      <c r="B126" s="1" t="n">
        <v>45190</v>
      </c>
      <c r="C126" s="1" t="n">
        <v>45995</v>
      </c>
      <c r="D126" t="inlineStr">
        <is>
          <t>UPPSALA LÄN</t>
        </is>
      </c>
      <c r="E126" t="inlineStr">
        <is>
          <t>ENKÖPING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19630-2021</t>
        </is>
      </c>
      <c r="B127" s="1" t="n">
        <v>44312.61876157407</v>
      </c>
      <c r="C127" s="1" t="n">
        <v>45995</v>
      </c>
      <c r="D127" t="inlineStr">
        <is>
          <t>UPPSALA LÄN</t>
        </is>
      </c>
      <c r="E127" t="inlineStr">
        <is>
          <t>ENKÖPING</t>
        </is>
      </c>
      <c r="G127" t="n">
        <v>2.7</v>
      </c>
      <c r="H127" t="n">
        <v>0</v>
      </c>
      <c r="I127" t="n">
        <v>0</v>
      </c>
      <c r="J127" t="n">
        <v>0</v>
      </c>
      <c r="K127" t="n">
        <v>0</v>
      </c>
      <c r="L127" t="n">
        <v>0</v>
      </c>
      <c r="M127" t="n">
        <v>0</v>
      </c>
      <c r="N127" t="n">
        <v>0</v>
      </c>
      <c r="O127" t="n">
        <v>0</v>
      </c>
      <c r="P127" t="n">
        <v>0</v>
      </c>
      <c r="Q127" t="n">
        <v>0</v>
      </c>
      <c r="R127" s="2" t="inlineStr"/>
    </row>
    <row r="128" ht="15" customHeight="1">
      <c r="A128" t="inlineStr">
        <is>
          <t>A 1695-2025</t>
        </is>
      </c>
      <c r="B128" s="1" t="n">
        <v>45670</v>
      </c>
      <c r="C128" s="1" t="n">
        <v>45995</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59027-2024</t>
        </is>
      </c>
      <c r="B129" s="1" t="n">
        <v>45636.68755787037</v>
      </c>
      <c r="C129" s="1" t="n">
        <v>45995</v>
      </c>
      <c r="D129" t="inlineStr">
        <is>
          <t>UPPSALA LÄN</t>
        </is>
      </c>
      <c r="E129" t="inlineStr">
        <is>
          <t>ENKÖPING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42564-2024</t>
        </is>
      </c>
      <c r="B130" s="1" t="n">
        <v>45565.63358796296</v>
      </c>
      <c r="C130" s="1" t="n">
        <v>45995</v>
      </c>
      <c r="D130" t="inlineStr">
        <is>
          <t>UPPSALA LÄN</t>
        </is>
      </c>
      <c r="E130" t="inlineStr">
        <is>
          <t>ENKÖPING</t>
        </is>
      </c>
      <c r="G130" t="n">
        <v>1.7</v>
      </c>
      <c r="H130" t="n">
        <v>0</v>
      </c>
      <c r="I130" t="n">
        <v>0</v>
      </c>
      <c r="J130" t="n">
        <v>0</v>
      </c>
      <c r="K130" t="n">
        <v>0</v>
      </c>
      <c r="L130" t="n">
        <v>0</v>
      </c>
      <c r="M130" t="n">
        <v>0</v>
      </c>
      <c r="N130" t="n">
        <v>0</v>
      </c>
      <c r="O130" t="n">
        <v>0</v>
      </c>
      <c r="P130" t="n">
        <v>0</v>
      </c>
      <c r="Q130" t="n">
        <v>0</v>
      </c>
      <c r="R130" s="2" t="inlineStr"/>
    </row>
    <row r="131" ht="15" customHeight="1">
      <c r="A131" t="inlineStr">
        <is>
          <t>A 56176-2021</t>
        </is>
      </c>
      <c r="B131" s="1" t="n">
        <v>44477</v>
      </c>
      <c r="C131" s="1" t="n">
        <v>45995</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3235-2025</t>
        </is>
      </c>
      <c r="B132" s="1" t="n">
        <v>45679</v>
      </c>
      <c r="C132" s="1" t="n">
        <v>45995</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25333-2023</t>
        </is>
      </c>
      <c r="B133" s="1" t="n">
        <v>45083</v>
      </c>
      <c r="C133" s="1" t="n">
        <v>45995</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15711-2025</t>
        </is>
      </c>
      <c r="B134" s="1" t="n">
        <v>45748</v>
      </c>
      <c r="C134" s="1" t="n">
        <v>45995</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12102-2024</t>
        </is>
      </c>
      <c r="B135" s="1" t="n">
        <v>45377</v>
      </c>
      <c r="C135" s="1" t="n">
        <v>45995</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50747-2022</t>
        </is>
      </c>
      <c r="B136" s="1" t="n">
        <v>44867.40162037037</v>
      </c>
      <c r="C136" s="1" t="n">
        <v>45995</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57152-2021</t>
        </is>
      </c>
      <c r="B137" s="1" t="n">
        <v>44482</v>
      </c>
      <c r="C137" s="1" t="n">
        <v>45995</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6959-2025</t>
        </is>
      </c>
      <c r="B138" s="1" t="n">
        <v>45701.49315972222</v>
      </c>
      <c r="C138" s="1" t="n">
        <v>45995</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30437-2022</t>
        </is>
      </c>
      <c r="B139" s="1" t="n">
        <v>44761</v>
      </c>
      <c r="C139" s="1" t="n">
        <v>45995</v>
      </c>
      <c r="D139" t="inlineStr">
        <is>
          <t>UPPSALA LÄN</t>
        </is>
      </c>
      <c r="E139" t="inlineStr">
        <is>
          <t>ENKÖPING</t>
        </is>
      </c>
      <c r="G139" t="n">
        <v>3.4</v>
      </c>
      <c r="H139" t="n">
        <v>0</v>
      </c>
      <c r="I139" t="n">
        <v>0</v>
      </c>
      <c r="J139" t="n">
        <v>0</v>
      </c>
      <c r="K139" t="n">
        <v>0</v>
      </c>
      <c r="L139" t="n">
        <v>0</v>
      </c>
      <c r="M139" t="n">
        <v>0</v>
      </c>
      <c r="N139" t="n">
        <v>0</v>
      </c>
      <c r="O139" t="n">
        <v>0</v>
      </c>
      <c r="P139" t="n">
        <v>0</v>
      </c>
      <c r="Q139" t="n">
        <v>0</v>
      </c>
      <c r="R139" s="2" t="inlineStr"/>
    </row>
    <row r="140" ht="15" customHeight="1">
      <c r="A140" t="inlineStr">
        <is>
          <t>A 67765-2020</t>
        </is>
      </c>
      <c r="B140" s="1" t="n">
        <v>44182</v>
      </c>
      <c r="C140" s="1" t="n">
        <v>45995</v>
      </c>
      <c r="D140" t="inlineStr">
        <is>
          <t>UPPSALA LÄN</t>
        </is>
      </c>
      <c r="E140" t="inlineStr">
        <is>
          <t>ENKÖPING</t>
        </is>
      </c>
      <c r="G140" t="n">
        <v>3.6</v>
      </c>
      <c r="H140" t="n">
        <v>0</v>
      </c>
      <c r="I140" t="n">
        <v>0</v>
      </c>
      <c r="J140" t="n">
        <v>0</v>
      </c>
      <c r="K140" t="n">
        <v>0</v>
      </c>
      <c r="L140" t="n">
        <v>0</v>
      </c>
      <c r="M140" t="n">
        <v>0</v>
      </c>
      <c r="N140" t="n">
        <v>0</v>
      </c>
      <c r="O140" t="n">
        <v>0</v>
      </c>
      <c r="P140" t="n">
        <v>0</v>
      </c>
      <c r="Q140" t="n">
        <v>0</v>
      </c>
      <c r="R140" s="2" t="inlineStr"/>
    </row>
    <row r="141" ht="15" customHeight="1">
      <c r="A141" t="inlineStr">
        <is>
          <t>A 12572-2021</t>
        </is>
      </c>
      <c r="B141" s="1" t="n">
        <v>44270.36438657407</v>
      </c>
      <c r="C141" s="1" t="n">
        <v>45995</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17165-2025</t>
        </is>
      </c>
      <c r="B142" s="1" t="n">
        <v>45756</v>
      </c>
      <c r="C142" s="1" t="n">
        <v>45995</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20112-2024</t>
        </is>
      </c>
      <c r="B143" s="1" t="n">
        <v>45434</v>
      </c>
      <c r="C143" s="1" t="n">
        <v>45995</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69344-2021</t>
        </is>
      </c>
      <c r="B144" s="1" t="n">
        <v>44531</v>
      </c>
      <c r="C144" s="1" t="n">
        <v>45995</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52299-2023</t>
        </is>
      </c>
      <c r="B145" s="1" t="n">
        <v>45224.61636574074</v>
      </c>
      <c r="C145" s="1" t="n">
        <v>45995</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58961-2024</t>
        </is>
      </c>
      <c r="B146" s="1" t="n">
        <v>45636.585</v>
      </c>
      <c r="C146" s="1" t="n">
        <v>45995</v>
      </c>
      <c r="D146" t="inlineStr">
        <is>
          <t>UPPSALA LÄN</t>
        </is>
      </c>
      <c r="E146" t="inlineStr">
        <is>
          <t>ENKÖPING</t>
        </is>
      </c>
      <c r="G146" t="n">
        <v>4</v>
      </c>
      <c r="H146" t="n">
        <v>0</v>
      </c>
      <c r="I146" t="n">
        <v>0</v>
      </c>
      <c r="J146" t="n">
        <v>0</v>
      </c>
      <c r="K146" t="n">
        <v>0</v>
      </c>
      <c r="L146" t="n">
        <v>0</v>
      </c>
      <c r="M146" t="n">
        <v>0</v>
      </c>
      <c r="N146" t="n">
        <v>0</v>
      </c>
      <c r="O146" t="n">
        <v>0</v>
      </c>
      <c r="P146" t="n">
        <v>0</v>
      </c>
      <c r="Q146" t="n">
        <v>0</v>
      </c>
      <c r="R146" s="2" t="inlineStr"/>
    </row>
    <row r="147" ht="15" customHeight="1">
      <c r="A147" t="inlineStr">
        <is>
          <t>A 25598-2021</t>
        </is>
      </c>
      <c r="B147" s="1" t="n">
        <v>44343.4558912037</v>
      </c>
      <c r="C147" s="1" t="n">
        <v>45995</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51932-2022</t>
        </is>
      </c>
      <c r="B148" s="1" t="n">
        <v>44872</v>
      </c>
      <c r="C148" s="1" t="n">
        <v>45995</v>
      </c>
      <c r="D148" t="inlineStr">
        <is>
          <t>UPPSALA LÄN</t>
        </is>
      </c>
      <c r="E148" t="inlineStr">
        <is>
          <t>ENKÖPING</t>
        </is>
      </c>
      <c r="G148" t="n">
        <v>5.5</v>
      </c>
      <c r="H148" t="n">
        <v>0</v>
      </c>
      <c r="I148" t="n">
        <v>0</v>
      </c>
      <c r="J148" t="n">
        <v>0</v>
      </c>
      <c r="K148" t="n">
        <v>0</v>
      </c>
      <c r="L148" t="n">
        <v>0</v>
      </c>
      <c r="M148" t="n">
        <v>0</v>
      </c>
      <c r="N148" t="n">
        <v>0</v>
      </c>
      <c r="O148" t="n">
        <v>0</v>
      </c>
      <c r="P148" t="n">
        <v>0</v>
      </c>
      <c r="Q148" t="n">
        <v>0</v>
      </c>
      <c r="R148" s="2" t="inlineStr"/>
    </row>
    <row r="149" ht="15" customHeight="1">
      <c r="A149" t="inlineStr">
        <is>
          <t>A 32081-2024</t>
        </is>
      </c>
      <c r="B149" s="1" t="n">
        <v>45511.34605324074</v>
      </c>
      <c r="C149" s="1" t="n">
        <v>45995</v>
      </c>
      <c r="D149" t="inlineStr">
        <is>
          <t>UPPSALA LÄN</t>
        </is>
      </c>
      <c r="E149" t="inlineStr">
        <is>
          <t>ENKÖPING</t>
        </is>
      </c>
      <c r="G149" t="n">
        <v>5.4</v>
      </c>
      <c r="H149" t="n">
        <v>0</v>
      </c>
      <c r="I149" t="n">
        <v>0</v>
      </c>
      <c r="J149" t="n">
        <v>0</v>
      </c>
      <c r="K149" t="n">
        <v>0</v>
      </c>
      <c r="L149" t="n">
        <v>0</v>
      </c>
      <c r="M149" t="n">
        <v>0</v>
      </c>
      <c r="N149" t="n">
        <v>0</v>
      </c>
      <c r="O149" t="n">
        <v>0</v>
      </c>
      <c r="P149" t="n">
        <v>0</v>
      </c>
      <c r="Q149" t="n">
        <v>0</v>
      </c>
      <c r="R149" s="2" t="inlineStr"/>
    </row>
    <row r="150" ht="15" customHeight="1">
      <c r="A150" t="inlineStr">
        <is>
          <t>A 45283-2022</t>
        </is>
      </c>
      <c r="B150" s="1" t="n">
        <v>44844</v>
      </c>
      <c r="C150" s="1" t="n">
        <v>45995</v>
      </c>
      <c r="D150" t="inlineStr">
        <is>
          <t>UPPSALA LÄN</t>
        </is>
      </c>
      <c r="E150" t="inlineStr">
        <is>
          <t>ENKÖPING</t>
        </is>
      </c>
      <c r="G150" t="n">
        <v>5.9</v>
      </c>
      <c r="H150" t="n">
        <v>0</v>
      </c>
      <c r="I150" t="n">
        <v>0</v>
      </c>
      <c r="J150" t="n">
        <v>0</v>
      </c>
      <c r="K150" t="n">
        <v>0</v>
      </c>
      <c r="L150" t="n">
        <v>0</v>
      </c>
      <c r="M150" t="n">
        <v>0</v>
      </c>
      <c r="N150" t="n">
        <v>0</v>
      </c>
      <c r="O150" t="n">
        <v>0</v>
      </c>
      <c r="P150" t="n">
        <v>0</v>
      </c>
      <c r="Q150" t="n">
        <v>0</v>
      </c>
      <c r="R150" s="2" t="inlineStr"/>
    </row>
    <row r="151" ht="15" customHeight="1">
      <c r="A151" t="inlineStr">
        <is>
          <t>A 12958-2024</t>
        </is>
      </c>
      <c r="B151" s="1" t="n">
        <v>45385</v>
      </c>
      <c r="C151" s="1" t="n">
        <v>45995</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20184-2023</t>
        </is>
      </c>
      <c r="B152" s="1" t="n">
        <v>45055.5670949074</v>
      </c>
      <c r="C152" s="1" t="n">
        <v>45995</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845-2025</t>
        </is>
      </c>
      <c r="B153" s="1" t="n">
        <v>45665</v>
      </c>
      <c r="C153" s="1" t="n">
        <v>45995</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849-2025</t>
        </is>
      </c>
      <c r="B154" s="1" t="n">
        <v>45665</v>
      </c>
      <c r="C154" s="1" t="n">
        <v>45995</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61952-2021</t>
        </is>
      </c>
      <c r="B155" s="1" t="n">
        <v>44502</v>
      </c>
      <c r="C155" s="1" t="n">
        <v>45995</v>
      </c>
      <c r="D155" t="inlineStr">
        <is>
          <t>UPPSALA LÄN</t>
        </is>
      </c>
      <c r="E155" t="inlineStr">
        <is>
          <t>ENKÖPING</t>
        </is>
      </c>
      <c r="G155" t="n">
        <v>2.3</v>
      </c>
      <c r="H155" t="n">
        <v>0</v>
      </c>
      <c r="I155" t="n">
        <v>0</v>
      </c>
      <c r="J155" t="n">
        <v>0</v>
      </c>
      <c r="K155" t="n">
        <v>0</v>
      </c>
      <c r="L155" t="n">
        <v>0</v>
      </c>
      <c r="M155" t="n">
        <v>0</v>
      </c>
      <c r="N155" t="n">
        <v>0</v>
      </c>
      <c r="O155" t="n">
        <v>0</v>
      </c>
      <c r="P155" t="n">
        <v>0</v>
      </c>
      <c r="Q155" t="n">
        <v>0</v>
      </c>
      <c r="R155" s="2" t="inlineStr"/>
    </row>
    <row r="156" ht="15" customHeight="1">
      <c r="A156" t="inlineStr">
        <is>
          <t>A 40812-2022</t>
        </is>
      </c>
      <c r="B156" s="1" t="n">
        <v>44824.68791666667</v>
      </c>
      <c r="C156" s="1" t="n">
        <v>45995</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38941-2025</t>
        </is>
      </c>
      <c r="B157" s="1" t="n">
        <v>45887</v>
      </c>
      <c r="C157" s="1" t="n">
        <v>45995</v>
      </c>
      <c r="D157" t="inlineStr">
        <is>
          <t>UPPSALA LÄN</t>
        </is>
      </c>
      <c r="E157" t="inlineStr">
        <is>
          <t>ENKÖPING</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24291-2024</t>
        </is>
      </c>
      <c r="B158" s="1" t="n">
        <v>45457.4584837963</v>
      </c>
      <c r="C158" s="1" t="n">
        <v>45995</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59602-2022</t>
        </is>
      </c>
      <c r="B159" s="1" t="n">
        <v>44907.72241898148</v>
      </c>
      <c r="C159" s="1" t="n">
        <v>45995</v>
      </c>
      <c r="D159" t="inlineStr">
        <is>
          <t>UPPSALA LÄN</t>
        </is>
      </c>
      <c r="E159" t="inlineStr">
        <is>
          <t>ENKÖPING</t>
        </is>
      </c>
      <c r="G159" t="n">
        <v>14.2</v>
      </c>
      <c r="H159" t="n">
        <v>0</v>
      </c>
      <c r="I159" t="n">
        <v>0</v>
      </c>
      <c r="J159" t="n">
        <v>0</v>
      </c>
      <c r="K159" t="n">
        <v>0</v>
      </c>
      <c r="L159" t="n">
        <v>0</v>
      </c>
      <c r="M159" t="n">
        <v>0</v>
      </c>
      <c r="N159" t="n">
        <v>0</v>
      </c>
      <c r="O159" t="n">
        <v>0</v>
      </c>
      <c r="P159" t="n">
        <v>0</v>
      </c>
      <c r="Q159" t="n">
        <v>0</v>
      </c>
      <c r="R159" s="2" t="inlineStr"/>
    </row>
    <row r="160" ht="15" customHeight="1">
      <c r="A160" t="inlineStr">
        <is>
          <t>A 44232-2022</t>
        </is>
      </c>
      <c r="B160" s="1" t="n">
        <v>44839</v>
      </c>
      <c r="C160" s="1" t="n">
        <v>45995</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42589-2022</t>
        </is>
      </c>
      <c r="B161" s="1" t="n">
        <v>44831</v>
      </c>
      <c r="C161" s="1" t="n">
        <v>45995</v>
      </c>
      <c r="D161" t="inlineStr">
        <is>
          <t>UPPSALA LÄN</t>
        </is>
      </c>
      <c r="E161" t="inlineStr">
        <is>
          <t>ENKÖPING</t>
        </is>
      </c>
      <c r="G161" t="n">
        <v>20</v>
      </c>
      <c r="H161" t="n">
        <v>0</v>
      </c>
      <c r="I161" t="n">
        <v>0</v>
      </c>
      <c r="J161" t="n">
        <v>0</v>
      </c>
      <c r="K161" t="n">
        <v>0</v>
      </c>
      <c r="L161" t="n">
        <v>0</v>
      </c>
      <c r="M161" t="n">
        <v>0</v>
      </c>
      <c r="N161" t="n">
        <v>0</v>
      </c>
      <c r="O161" t="n">
        <v>0</v>
      </c>
      <c r="P161" t="n">
        <v>0</v>
      </c>
      <c r="Q161" t="n">
        <v>0</v>
      </c>
      <c r="R161" s="2" t="inlineStr"/>
    </row>
    <row r="162" ht="15" customHeight="1">
      <c r="A162" t="inlineStr">
        <is>
          <t>A 35645-2021</t>
        </is>
      </c>
      <c r="B162" s="1" t="n">
        <v>44386.42</v>
      </c>
      <c r="C162" s="1" t="n">
        <v>45995</v>
      </c>
      <c r="D162" t="inlineStr">
        <is>
          <t>UPPSALA LÄN</t>
        </is>
      </c>
      <c r="E162" t="inlineStr">
        <is>
          <t>ENKÖPING</t>
        </is>
      </c>
      <c r="G162" t="n">
        <v>2.7</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45995</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2968-2025</t>
        </is>
      </c>
      <c r="B164" s="1" t="n">
        <v>45678</v>
      </c>
      <c r="C164" s="1" t="n">
        <v>45995</v>
      </c>
      <c r="D164" t="inlineStr">
        <is>
          <t>UPPSALA LÄN</t>
        </is>
      </c>
      <c r="E164" t="inlineStr">
        <is>
          <t>ENKÖPING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45362-2022</t>
        </is>
      </c>
      <c r="B165" s="1" t="n">
        <v>44844.62366898148</v>
      </c>
      <c r="C165" s="1" t="n">
        <v>45995</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56526-2022</t>
        </is>
      </c>
      <c r="B166" s="1" t="n">
        <v>44893</v>
      </c>
      <c r="C166" s="1" t="n">
        <v>45995</v>
      </c>
      <c r="D166" t="inlineStr">
        <is>
          <t>UPPSALA LÄN</t>
        </is>
      </c>
      <c r="E166" t="inlineStr">
        <is>
          <t>ENKÖPING</t>
        </is>
      </c>
      <c r="G166" t="n">
        <v>3.8</v>
      </c>
      <c r="H166" t="n">
        <v>0</v>
      </c>
      <c r="I166" t="n">
        <v>0</v>
      </c>
      <c r="J166" t="n">
        <v>0</v>
      </c>
      <c r="K166" t="n">
        <v>0</v>
      </c>
      <c r="L166" t="n">
        <v>0</v>
      </c>
      <c r="M166" t="n">
        <v>0</v>
      </c>
      <c r="N166" t="n">
        <v>0</v>
      </c>
      <c r="O166" t="n">
        <v>0</v>
      </c>
      <c r="P166" t="n">
        <v>0</v>
      </c>
      <c r="Q166" t="n">
        <v>0</v>
      </c>
      <c r="R166" s="2" t="inlineStr"/>
    </row>
    <row r="167" ht="15" customHeight="1">
      <c r="A167" t="inlineStr">
        <is>
          <t>A 9487-2025</t>
        </is>
      </c>
      <c r="B167" s="1" t="n">
        <v>45715.49331018519</v>
      </c>
      <c r="C167" s="1" t="n">
        <v>45995</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60350-2022</t>
        </is>
      </c>
      <c r="B168" s="1" t="n">
        <v>44910</v>
      </c>
      <c r="C168" s="1" t="n">
        <v>45995</v>
      </c>
      <c r="D168" t="inlineStr">
        <is>
          <t>UPPSALA LÄN</t>
        </is>
      </c>
      <c r="E168" t="inlineStr">
        <is>
          <t>ENKÖPING</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28518-2024</t>
        </is>
      </c>
      <c r="B169" s="1" t="n">
        <v>45477</v>
      </c>
      <c r="C169" s="1" t="n">
        <v>45995</v>
      </c>
      <c r="D169" t="inlineStr">
        <is>
          <t>UPPSALA LÄN</t>
        </is>
      </c>
      <c r="E169" t="inlineStr">
        <is>
          <t>ENKÖPING</t>
        </is>
      </c>
      <c r="G169" t="n">
        <v>3.4</v>
      </c>
      <c r="H169" t="n">
        <v>0</v>
      </c>
      <c r="I169" t="n">
        <v>0</v>
      </c>
      <c r="J169" t="n">
        <v>0</v>
      </c>
      <c r="K169" t="n">
        <v>0</v>
      </c>
      <c r="L169" t="n">
        <v>0</v>
      </c>
      <c r="M169" t="n">
        <v>0</v>
      </c>
      <c r="N169" t="n">
        <v>0</v>
      </c>
      <c r="O169" t="n">
        <v>0</v>
      </c>
      <c r="P169" t="n">
        <v>0</v>
      </c>
      <c r="Q169" t="n">
        <v>0</v>
      </c>
      <c r="R169" s="2" t="inlineStr"/>
    </row>
    <row r="170" ht="15" customHeight="1">
      <c r="A170" t="inlineStr">
        <is>
          <t>A 16176-2025</t>
        </is>
      </c>
      <c r="B170" s="1" t="n">
        <v>45750</v>
      </c>
      <c r="C170" s="1" t="n">
        <v>45995</v>
      </c>
      <c r="D170" t="inlineStr">
        <is>
          <t>UPPSALA LÄN</t>
        </is>
      </c>
      <c r="E170" t="inlineStr">
        <is>
          <t>ENKÖPING</t>
        </is>
      </c>
      <c r="G170" t="n">
        <v>3.9</v>
      </c>
      <c r="H170" t="n">
        <v>0</v>
      </c>
      <c r="I170" t="n">
        <v>0</v>
      </c>
      <c r="J170" t="n">
        <v>0</v>
      </c>
      <c r="K170" t="n">
        <v>0</v>
      </c>
      <c r="L170" t="n">
        <v>0</v>
      </c>
      <c r="M170" t="n">
        <v>0</v>
      </c>
      <c r="N170" t="n">
        <v>0</v>
      </c>
      <c r="O170" t="n">
        <v>0</v>
      </c>
      <c r="P170" t="n">
        <v>0</v>
      </c>
      <c r="Q170" t="n">
        <v>0</v>
      </c>
      <c r="R170" s="2" t="inlineStr"/>
    </row>
    <row r="171" ht="15" customHeight="1">
      <c r="A171" t="inlineStr">
        <is>
          <t>A 37035-2023</t>
        </is>
      </c>
      <c r="B171" s="1" t="n">
        <v>45155</v>
      </c>
      <c r="C171" s="1" t="n">
        <v>45995</v>
      </c>
      <c r="D171" t="inlineStr">
        <is>
          <t>UPPSALA LÄN</t>
        </is>
      </c>
      <c r="E171" t="inlineStr">
        <is>
          <t>ENKÖPING</t>
        </is>
      </c>
      <c r="G171" t="n">
        <v>1.2</v>
      </c>
      <c r="H171" t="n">
        <v>0</v>
      </c>
      <c r="I171" t="n">
        <v>0</v>
      </c>
      <c r="J171" t="n">
        <v>0</v>
      </c>
      <c r="K171" t="n">
        <v>0</v>
      </c>
      <c r="L171" t="n">
        <v>0</v>
      </c>
      <c r="M171" t="n">
        <v>0</v>
      </c>
      <c r="N171" t="n">
        <v>0</v>
      </c>
      <c r="O171" t="n">
        <v>0</v>
      </c>
      <c r="P171" t="n">
        <v>0</v>
      </c>
      <c r="Q171" t="n">
        <v>0</v>
      </c>
      <c r="R171" s="2" t="inlineStr"/>
    </row>
    <row r="172" ht="15" customHeight="1">
      <c r="A172" t="inlineStr">
        <is>
          <t>A 46186-2023</t>
        </is>
      </c>
      <c r="B172" s="1" t="n">
        <v>45196</v>
      </c>
      <c r="C172" s="1" t="n">
        <v>45995</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30098-2024</t>
        </is>
      </c>
      <c r="B173" s="1" t="n">
        <v>45489.41609953704</v>
      </c>
      <c r="C173" s="1" t="n">
        <v>45995</v>
      </c>
      <c r="D173" t="inlineStr">
        <is>
          <t>UPPSALA LÄN</t>
        </is>
      </c>
      <c r="E173" t="inlineStr">
        <is>
          <t>ENKÖPING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15162-2025</t>
        </is>
      </c>
      <c r="B174" s="1" t="n">
        <v>45744</v>
      </c>
      <c r="C174" s="1" t="n">
        <v>45995</v>
      </c>
      <c r="D174" t="inlineStr">
        <is>
          <t>UPPSALA LÄN</t>
        </is>
      </c>
      <c r="E174" t="inlineStr">
        <is>
          <t>ENKÖPING</t>
        </is>
      </c>
      <c r="G174" t="n">
        <v>4.2</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45995</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58147-2024</t>
        </is>
      </c>
      <c r="B176" s="1" t="n">
        <v>45632.4334375</v>
      </c>
      <c r="C176" s="1" t="n">
        <v>45995</v>
      </c>
      <c r="D176" t="inlineStr">
        <is>
          <t>UPPSALA LÄN</t>
        </is>
      </c>
      <c r="E176" t="inlineStr">
        <is>
          <t>ENKÖPING</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18299-2025</t>
        </is>
      </c>
      <c r="B177" s="1" t="n">
        <v>45762</v>
      </c>
      <c r="C177" s="1" t="n">
        <v>45995</v>
      </c>
      <c r="D177" t="inlineStr">
        <is>
          <t>UPPSALA LÄN</t>
        </is>
      </c>
      <c r="E177" t="inlineStr">
        <is>
          <t>ENKÖPING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1651-2024</t>
        </is>
      </c>
      <c r="B178" s="1" t="n">
        <v>45306.73770833333</v>
      </c>
      <c r="C178" s="1" t="n">
        <v>45995</v>
      </c>
      <c r="D178" t="inlineStr">
        <is>
          <t>UPPSALA LÄN</t>
        </is>
      </c>
      <c r="E178" t="inlineStr">
        <is>
          <t>ENKÖPING</t>
        </is>
      </c>
      <c r="G178" t="n">
        <v>10.2</v>
      </c>
      <c r="H178" t="n">
        <v>0</v>
      </c>
      <c r="I178" t="n">
        <v>0</v>
      </c>
      <c r="J178" t="n">
        <v>0</v>
      </c>
      <c r="K178" t="n">
        <v>0</v>
      </c>
      <c r="L178" t="n">
        <v>0</v>
      </c>
      <c r="M178" t="n">
        <v>0</v>
      </c>
      <c r="N178" t="n">
        <v>0</v>
      </c>
      <c r="O178" t="n">
        <v>0</v>
      </c>
      <c r="P178" t="n">
        <v>0</v>
      </c>
      <c r="Q178" t="n">
        <v>0</v>
      </c>
      <c r="R178" s="2" t="inlineStr"/>
    </row>
    <row r="179" ht="15" customHeight="1">
      <c r="A179" t="inlineStr">
        <is>
          <t>A 60289-2022</t>
        </is>
      </c>
      <c r="B179" s="1" t="n">
        <v>44910.53026620371</v>
      </c>
      <c r="C179" s="1" t="n">
        <v>45995</v>
      </c>
      <c r="D179" t="inlineStr">
        <is>
          <t>UPPSALA LÄN</t>
        </is>
      </c>
      <c r="E179" t="inlineStr">
        <is>
          <t>ENKÖPING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18302-2025</t>
        </is>
      </c>
      <c r="B180" s="1" t="n">
        <v>45762</v>
      </c>
      <c r="C180" s="1" t="n">
        <v>45995</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6242-2025</t>
        </is>
      </c>
      <c r="B181" s="1" t="n">
        <v>45697</v>
      </c>
      <c r="C181" s="1" t="n">
        <v>45995</v>
      </c>
      <c r="D181" t="inlineStr">
        <is>
          <t>UPPSALA LÄN</t>
        </is>
      </c>
      <c r="E181" t="inlineStr">
        <is>
          <t>ENKÖPING</t>
        </is>
      </c>
      <c r="G181" t="n">
        <v>17.9</v>
      </c>
      <c r="H181" t="n">
        <v>0</v>
      </c>
      <c r="I181" t="n">
        <v>0</v>
      </c>
      <c r="J181" t="n">
        <v>0</v>
      </c>
      <c r="K181" t="n">
        <v>0</v>
      </c>
      <c r="L181" t="n">
        <v>0</v>
      </c>
      <c r="M181" t="n">
        <v>0</v>
      </c>
      <c r="N181" t="n">
        <v>0</v>
      </c>
      <c r="O181" t="n">
        <v>0</v>
      </c>
      <c r="P181" t="n">
        <v>0</v>
      </c>
      <c r="Q181" t="n">
        <v>0</v>
      </c>
      <c r="R181" s="2" t="inlineStr"/>
    </row>
    <row r="182" ht="15" customHeight="1">
      <c r="A182" t="inlineStr">
        <is>
          <t>A 34735-2023</t>
        </is>
      </c>
      <c r="B182" s="1" t="n">
        <v>45139</v>
      </c>
      <c r="C182" s="1" t="n">
        <v>45995</v>
      </c>
      <c r="D182" t="inlineStr">
        <is>
          <t>UPPSALA LÄN</t>
        </is>
      </c>
      <c r="E182" t="inlineStr">
        <is>
          <t>ENKÖPING</t>
        </is>
      </c>
      <c r="G182" t="n">
        <v>1.4</v>
      </c>
      <c r="H182" t="n">
        <v>0</v>
      </c>
      <c r="I182" t="n">
        <v>0</v>
      </c>
      <c r="J182" t="n">
        <v>0</v>
      </c>
      <c r="K182" t="n">
        <v>0</v>
      </c>
      <c r="L182" t="n">
        <v>0</v>
      </c>
      <c r="M182" t="n">
        <v>0</v>
      </c>
      <c r="N182" t="n">
        <v>0</v>
      </c>
      <c r="O182" t="n">
        <v>0</v>
      </c>
      <c r="P182" t="n">
        <v>0</v>
      </c>
      <c r="Q182" t="n">
        <v>0</v>
      </c>
      <c r="R182" s="2" t="inlineStr"/>
    </row>
    <row r="183" ht="15" customHeight="1">
      <c r="A183" t="inlineStr">
        <is>
          <t>A 30514-2021</t>
        </is>
      </c>
      <c r="B183" s="1" t="n">
        <v>44364</v>
      </c>
      <c r="C183" s="1" t="n">
        <v>45995</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6144-2024</t>
        </is>
      </c>
      <c r="B184" s="1" t="n">
        <v>45337.4684837963</v>
      </c>
      <c r="C184" s="1" t="n">
        <v>45995</v>
      </c>
      <c r="D184" t="inlineStr">
        <is>
          <t>UPPSALA LÄN</t>
        </is>
      </c>
      <c r="E184" t="inlineStr">
        <is>
          <t>ENKÖPING</t>
        </is>
      </c>
      <c r="G184" t="n">
        <v>13.8</v>
      </c>
      <c r="H184" t="n">
        <v>0</v>
      </c>
      <c r="I184" t="n">
        <v>0</v>
      </c>
      <c r="J184" t="n">
        <v>0</v>
      </c>
      <c r="K184" t="n">
        <v>0</v>
      </c>
      <c r="L184" t="n">
        <v>0</v>
      </c>
      <c r="M184" t="n">
        <v>0</v>
      </c>
      <c r="N184" t="n">
        <v>0</v>
      </c>
      <c r="O184" t="n">
        <v>0</v>
      </c>
      <c r="P184" t="n">
        <v>0</v>
      </c>
      <c r="Q184" t="n">
        <v>0</v>
      </c>
      <c r="R184" s="2" t="inlineStr"/>
    </row>
    <row r="185" ht="15" customHeight="1">
      <c r="A185" t="inlineStr">
        <is>
          <t>A 67984-2021</t>
        </is>
      </c>
      <c r="B185" s="1" t="n">
        <v>44525.70237268518</v>
      </c>
      <c r="C185" s="1" t="n">
        <v>45995</v>
      </c>
      <c r="D185" t="inlineStr">
        <is>
          <t>UPPSALA LÄN</t>
        </is>
      </c>
      <c r="E185" t="inlineStr">
        <is>
          <t>ENKÖPING</t>
        </is>
      </c>
      <c r="G185" t="n">
        <v>1.4</v>
      </c>
      <c r="H185" t="n">
        <v>0</v>
      </c>
      <c r="I185" t="n">
        <v>0</v>
      </c>
      <c r="J185" t="n">
        <v>0</v>
      </c>
      <c r="K185" t="n">
        <v>0</v>
      </c>
      <c r="L185" t="n">
        <v>0</v>
      </c>
      <c r="M185" t="n">
        <v>0</v>
      </c>
      <c r="N185" t="n">
        <v>0</v>
      </c>
      <c r="O185" t="n">
        <v>0</v>
      </c>
      <c r="P185" t="n">
        <v>0</v>
      </c>
      <c r="Q185" t="n">
        <v>0</v>
      </c>
      <c r="R185" s="2" t="inlineStr"/>
    </row>
    <row r="186" ht="15" customHeight="1">
      <c r="A186" t="inlineStr">
        <is>
          <t>A 18592-2021</t>
        </is>
      </c>
      <c r="B186" s="1" t="n">
        <v>44306</v>
      </c>
      <c r="C186" s="1" t="n">
        <v>45995</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11918-2025</t>
        </is>
      </c>
      <c r="B187" s="1" t="n">
        <v>45728.49331018519</v>
      </c>
      <c r="C187" s="1" t="n">
        <v>45995</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31242-2024</t>
        </is>
      </c>
      <c r="B188" s="1" t="n">
        <v>45503</v>
      </c>
      <c r="C188" s="1" t="n">
        <v>45995</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2162-2023</t>
        </is>
      </c>
      <c r="B189" s="1" t="n">
        <v>44941</v>
      </c>
      <c r="C189" s="1" t="n">
        <v>45995</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56163-2021</t>
        </is>
      </c>
      <c r="B190" s="1" t="n">
        <v>44477</v>
      </c>
      <c r="C190" s="1" t="n">
        <v>45995</v>
      </c>
      <c r="D190" t="inlineStr">
        <is>
          <t>UPPSALA LÄN</t>
        </is>
      </c>
      <c r="E190" t="inlineStr">
        <is>
          <t>ENKÖPING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41618-2025</t>
        </is>
      </c>
      <c r="B191" s="1" t="n">
        <v>45901.70085648148</v>
      </c>
      <c r="C191" s="1" t="n">
        <v>45995</v>
      </c>
      <c r="D191" t="inlineStr">
        <is>
          <t>UPPSALA LÄN</t>
        </is>
      </c>
      <c r="E191" t="inlineStr">
        <is>
          <t>ENKÖPING</t>
        </is>
      </c>
      <c r="F191" t="inlineStr">
        <is>
          <t>Allmännings- och besparingsskogar</t>
        </is>
      </c>
      <c r="G191" t="n">
        <v>5.3</v>
      </c>
      <c r="H191" t="n">
        <v>0</v>
      </c>
      <c r="I191" t="n">
        <v>0</v>
      </c>
      <c r="J191" t="n">
        <v>0</v>
      </c>
      <c r="K191" t="n">
        <v>0</v>
      </c>
      <c r="L191" t="n">
        <v>0</v>
      </c>
      <c r="M191" t="n">
        <v>0</v>
      </c>
      <c r="N191" t="n">
        <v>0</v>
      </c>
      <c r="O191" t="n">
        <v>0</v>
      </c>
      <c r="P191" t="n">
        <v>0</v>
      </c>
      <c r="Q191" t="n">
        <v>0</v>
      </c>
      <c r="R191" s="2" t="inlineStr"/>
    </row>
    <row r="192" ht="15" customHeight="1">
      <c r="A192" t="inlineStr">
        <is>
          <t>A 28318-2024</t>
        </is>
      </c>
      <c r="B192" s="1" t="n">
        <v>45477</v>
      </c>
      <c r="C192" s="1" t="n">
        <v>45995</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45995</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41616-2025</t>
        </is>
      </c>
      <c r="B194" s="1" t="n">
        <v>45901.69684027778</v>
      </c>
      <c r="C194" s="1" t="n">
        <v>45995</v>
      </c>
      <c r="D194" t="inlineStr">
        <is>
          <t>UPPSALA LÄN</t>
        </is>
      </c>
      <c r="E194" t="inlineStr">
        <is>
          <t>ENKÖPING</t>
        </is>
      </c>
      <c r="F194" t="inlineStr">
        <is>
          <t>Allmännings- och besparingsskogar</t>
        </is>
      </c>
      <c r="G194" t="n">
        <v>17.3</v>
      </c>
      <c r="H194" t="n">
        <v>0</v>
      </c>
      <c r="I194" t="n">
        <v>0</v>
      </c>
      <c r="J194" t="n">
        <v>0</v>
      </c>
      <c r="K194" t="n">
        <v>0</v>
      </c>
      <c r="L194" t="n">
        <v>0</v>
      </c>
      <c r="M194" t="n">
        <v>0</v>
      </c>
      <c r="N194" t="n">
        <v>0</v>
      </c>
      <c r="O194" t="n">
        <v>0</v>
      </c>
      <c r="P194" t="n">
        <v>0</v>
      </c>
      <c r="Q194" t="n">
        <v>0</v>
      </c>
      <c r="R194" s="2" t="inlineStr"/>
    </row>
    <row r="195" ht="15" customHeight="1">
      <c r="A195" t="inlineStr">
        <is>
          <t>A 14402-2023</t>
        </is>
      </c>
      <c r="B195" s="1" t="n">
        <v>45012</v>
      </c>
      <c r="C195" s="1" t="n">
        <v>45995</v>
      </c>
      <c r="D195" t="inlineStr">
        <is>
          <t>UPPSALA LÄN</t>
        </is>
      </c>
      <c r="E195" t="inlineStr">
        <is>
          <t>ENKÖPING</t>
        </is>
      </c>
      <c r="G195" t="n">
        <v>9.5</v>
      </c>
      <c r="H195" t="n">
        <v>0</v>
      </c>
      <c r="I195" t="n">
        <v>0</v>
      </c>
      <c r="J195" t="n">
        <v>0</v>
      </c>
      <c r="K195" t="n">
        <v>0</v>
      </c>
      <c r="L195" t="n">
        <v>0</v>
      </c>
      <c r="M195" t="n">
        <v>0</v>
      </c>
      <c r="N195" t="n">
        <v>0</v>
      </c>
      <c r="O195" t="n">
        <v>0</v>
      </c>
      <c r="P195" t="n">
        <v>0</v>
      </c>
      <c r="Q195" t="n">
        <v>0</v>
      </c>
      <c r="R195" s="2" t="inlineStr"/>
    </row>
    <row r="196" ht="15" customHeight="1">
      <c r="A196" t="inlineStr">
        <is>
          <t>A 41637-2025</t>
        </is>
      </c>
      <c r="B196" s="1" t="n">
        <v>45901</v>
      </c>
      <c r="C196" s="1" t="n">
        <v>45995</v>
      </c>
      <c r="D196" t="inlineStr">
        <is>
          <t>UPPSALA LÄN</t>
        </is>
      </c>
      <c r="E196" t="inlineStr">
        <is>
          <t>ENKÖPING</t>
        </is>
      </c>
      <c r="F196" t="inlineStr">
        <is>
          <t>Allmännings- och besparingsskogar</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43896-2022</t>
        </is>
      </c>
      <c r="B197" s="1" t="n">
        <v>44838</v>
      </c>
      <c r="C197" s="1" t="n">
        <v>45995</v>
      </c>
      <c r="D197" t="inlineStr">
        <is>
          <t>UPPSALA LÄN</t>
        </is>
      </c>
      <c r="E197" t="inlineStr">
        <is>
          <t>ENKÖPING</t>
        </is>
      </c>
      <c r="G197" t="n">
        <v>5.3</v>
      </c>
      <c r="H197" t="n">
        <v>0</v>
      </c>
      <c r="I197" t="n">
        <v>0</v>
      </c>
      <c r="J197" t="n">
        <v>0</v>
      </c>
      <c r="K197" t="n">
        <v>0</v>
      </c>
      <c r="L197" t="n">
        <v>0</v>
      </c>
      <c r="M197" t="n">
        <v>0</v>
      </c>
      <c r="N197" t="n">
        <v>0</v>
      </c>
      <c r="O197" t="n">
        <v>0</v>
      </c>
      <c r="P197" t="n">
        <v>0</v>
      </c>
      <c r="Q197" t="n">
        <v>0</v>
      </c>
      <c r="R197" s="2" t="inlineStr"/>
    </row>
    <row r="198" ht="15" customHeight="1">
      <c r="A198" t="inlineStr">
        <is>
          <t>A 39115-2024</t>
        </is>
      </c>
      <c r="B198" s="1" t="n">
        <v>45548</v>
      </c>
      <c r="C198" s="1" t="n">
        <v>45995</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12020-2024</t>
        </is>
      </c>
      <c r="B199" s="1" t="n">
        <v>45377</v>
      </c>
      <c r="C199" s="1" t="n">
        <v>45995</v>
      </c>
      <c r="D199" t="inlineStr">
        <is>
          <t>UPPSALA LÄN</t>
        </is>
      </c>
      <c r="E199" t="inlineStr">
        <is>
          <t>ENKÖPING</t>
        </is>
      </c>
      <c r="G199" t="n">
        <v>2</v>
      </c>
      <c r="H199" t="n">
        <v>0</v>
      </c>
      <c r="I199" t="n">
        <v>0</v>
      </c>
      <c r="J199" t="n">
        <v>0</v>
      </c>
      <c r="K199" t="n">
        <v>0</v>
      </c>
      <c r="L199" t="n">
        <v>0</v>
      </c>
      <c r="M199" t="n">
        <v>0</v>
      </c>
      <c r="N199" t="n">
        <v>0</v>
      </c>
      <c r="O199" t="n">
        <v>0</v>
      </c>
      <c r="P199" t="n">
        <v>0</v>
      </c>
      <c r="Q199" t="n">
        <v>0</v>
      </c>
      <c r="R199" s="2" t="inlineStr"/>
    </row>
    <row r="200" ht="15" customHeight="1">
      <c r="A200" t="inlineStr">
        <is>
          <t>A 47516-2022</t>
        </is>
      </c>
      <c r="B200" s="1" t="n">
        <v>44853.68895833333</v>
      </c>
      <c r="C200" s="1" t="n">
        <v>45995</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20440-2025</t>
        </is>
      </c>
      <c r="B201" s="1" t="n">
        <v>45775</v>
      </c>
      <c r="C201" s="1" t="n">
        <v>45995</v>
      </c>
      <c r="D201" t="inlineStr">
        <is>
          <t>UPPSALA LÄN</t>
        </is>
      </c>
      <c r="E201" t="inlineStr">
        <is>
          <t>ENKÖPING</t>
        </is>
      </c>
      <c r="G201" t="n">
        <v>1.6</v>
      </c>
      <c r="H201" t="n">
        <v>0</v>
      </c>
      <c r="I201" t="n">
        <v>0</v>
      </c>
      <c r="J201" t="n">
        <v>0</v>
      </c>
      <c r="K201" t="n">
        <v>0</v>
      </c>
      <c r="L201" t="n">
        <v>0</v>
      </c>
      <c r="M201" t="n">
        <v>0</v>
      </c>
      <c r="N201" t="n">
        <v>0</v>
      </c>
      <c r="O201" t="n">
        <v>0</v>
      </c>
      <c r="P201" t="n">
        <v>0</v>
      </c>
      <c r="Q201" t="n">
        <v>0</v>
      </c>
      <c r="R201" s="2" t="inlineStr"/>
    </row>
    <row r="202" ht="15" customHeight="1">
      <c r="A202" t="inlineStr">
        <is>
          <t>A 42029-2025</t>
        </is>
      </c>
      <c r="B202" s="1" t="n">
        <v>45903</v>
      </c>
      <c r="C202" s="1" t="n">
        <v>45995</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41737-2022</t>
        </is>
      </c>
      <c r="B203" s="1" t="n">
        <v>44827.63826388889</v>
      </c>
      <c r="C203" s="1" t="n">
        <v>45995</v>
      </c>
      <c r="D203" t="inlineStr">
        <is>
          <t>UPPSALA LÄN</t>
        </is>
      </c>
      <c r="E203" t="inlineStr">
        <is>
          <t>ENKÖPING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69344-2021</t>
        </is>
      </c>
      <c r="B204" s="1" t="n">
        <v>44531</v>
      </c>
      <c r="C204" s="1" t="n">
        <v>45995</v>
      </c>
      <c r="D204" t="inlineStr">
        <is>
          <t>UPPSALA LÄN</t>
        </is>
      </c>
      <c r="E204" t="inlineStr">
        <is>
          <t>ENKÖPING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42756-2025</t>
        </is>
      </c>
      <c r="B205" s="1" t="n">
        <v>45908</v>
      </c>
      <c r="C205" s="1" t="n">
        <v>45995</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54595-2021</t>
        </is>
      </c>
      <c r="B206" s="1" t="n">
        <v>44473.58824074074</v>
      </c>
      <c r="C206" s="1" t="n">
        <v>45995</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34124-2021</t>
        </is>
      </c>
      <c r="B207" s="1" t="n">
        <v>44379</v>
      </c>
      <c r="C207" s="1" t="n">
        <v>45995</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43697-2024</t>
        </is>
      </c>
      <c r="B208" s="1" t="n">
        <v>45569</v>
      </c>
      <c r="C208" s="1" t="n">
        <v>45995</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57209-2024</t>
        </is>
      </c>
      <c r="B209" s="1" t="n">
        <v>45629.49311342592</v>
      </c>
      <c r="C209" s="1" t="n">
        <v>45995</v>
      </c>
      <c r="D209" t="inlineStr">
        <is>
          <t>UPPSALA LÄN</t>
        </is>
      </c>
      <c r="E209" t="inlineStr">
        <is>
          <t>ENKÖPING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22094-2023</t>
        </is>
      </c>
      <c r="B210" s="1" t="n">
        <v>45069</v>
      </c>
      <c r="C210" s="1" t="n">
        <v>45995</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27983-2024</t>
        </is>
      </c>
      <c r="B211" s="1" t="n">
        <v>45476</v>
      </c>
      <c r="C211" s="1" t="n">
        <v>45995</v>
      </c>
      <c r="D211" t="inlineStr">
        <is>
          <t>UPPSALA LÄN</t>
        </is>
      </c>
      <c r="E211" t="inlineStr">
        <is>
          <t>ENKÖPING</t>
        </is>
      </c>
      <c r="G211" t="n">
        <v>3.2</v>
      </c>
      <c r="H211" t="n">
        <v>0</v>
      </c>
      <c r="I211" t="n">
        <v>0</v>
      </c>
      <c r="J211" t="n">
        <v>0</v>
      </c>
      <c r="K211" t="n">
        <v>0</v>
      </c>
      <c r="L211" t="n">
        <v>0</v>
      </c>
      <c r="M211" t="n">
        <v>0</v>
      </c>
      <c r="N211" t="n">
        <v>0</v>
      </c>
      <c r="O211" t="n">
        <v>0</v>
      </c>
      <c r="P211" t="n">
        <v>0</v>
      </c>
      <c r="Q211" t="n">
        <v>0</v>
      </c>
      <c r="R211" s="2" t="inlineStr"/>
    </row>
    <row r="212" ht="15" customHeight="1">
      <c r="A212" t="inlineStr">
        <is>
          <t>A 51010-2024</t>
        </is>
      </c>
      <c r="B212" s="1" t="n">
        <v>45603.39285879629</v>
      </c>
      <c r="C212" s="1" t="n">
        <v>45995</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13110-2023</t>
        </is>
      </c>
      <c r="B213" s="1" t="n">
        <v>45001</v>
      </c>
      <c r="C213" s="1" t="n">
        <v>45995</v>
      </c>
      <c r="D213" t="inlineStr">
        <is>
          <t>UPPSALA LÄN</t>
        </is>
      </c>
      <c r="E213" t="inlineStr">
        <is>
          <t>ENKÖPING</t>
        </is>
      </c>
      <c r="G213" t="n">
        <v>2.5</v>
      </c>
      <c r="H213" t="n">
        <v>0</v>
      </c>
      <c r="I213" t="n">
        <v>0</v>
      </c>
      <c r="J213" t="n">
        <v>0</v>
      </c>
      <c r="K213" t="n">
        <v>0</v>
      </c>
      <c r="L213" t="n">
        <v>0</v>
      </c>
      <c r="M213" t="n">
        <v>0</v>
      </c>
      <c r="N213" t="n">
        <v>0</v>
      </c>
      <c r="O213" t="n">
        <v>0</v>
      </c>
      <c r="P213" t="n">
        <v>0</v>
      </c>
      <c r="Q213" t="n">
        <v>0</v>
      </c>
      <c r="R213" s="2" t="inlineStr"/>
    </row>
    <row r="214" ht="15" customHeight="1">
      <c r="A214" t="inlineStr">
        <is>
          <t>A 49627-2024</t>
        </is>
      </c>
      <c r="B214" s="1" t="n">
        <v>45596.59140046296</v>
      </c>
      <c r="C214" s="1" t="n">
        <v>45995</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9231-2023</t>
        </is>
      </c>
      <c r="B215" s="1" t="n">
        <v>44980</v>
      </c>
      <c r="C215" s="1" t="n">
        <v>45995</v>
      </c>
      <c r="D215" t="inlineStr">
        <is>
          <t>UPPSALA LÄN</t>
        </is>
      </c>
      <c r="E215" t="inlineStr">
        <is>
          <t>ENKÖPING</t>
        </is>
      </c>
      <c r="G215" t="n">
        <v>1.5</v>
      </c>
      <c r="H215" t="n">
        <v>0</v>
      </c>
      <c r="I215" t="n">
        <v>0</v>
      </c>
      <c r="J215" t="n">
        <v>0</v>
      </c>
      <c r="K215" t="n">
        <v>0</v>
      </c>
      <c r="L215" t="n">
        <v>0</v>
      </c>
      <c r="M215" t="n">
        <v>0</v>
      </c>
      <c r="N215" t="n">
        <v>0</v>
      </c>
      <c r="O215" t="n">
        <v>0</v>
      </c>
      <c r="P215" t="n">
        <v>0</v>
      </c>
      <c r="Q215" t="n">
        <v>0</v>
      </c>
      <c r="R215" s="2" t="inlineStr"/>
    </row>
    <row r="216" ht="15" customHeight="1">
      <c r="A216" t="inlineStr">
        <is>
          <t>A 27538-2023</t>
        </is>
      </c>
      <c r="B216" s="1" t="n">
        <v>45097</v>
      </c>
      <c r="C216" s="1" t="n">
        <v>45995</v>
      </c>
      <c r="D216" t="inlineStr">
        <is>
          <t>UPPSALA LÄN</t>
        </is>
      </c>
      <c r="E216" t="inlineStr">
        <is>
          <t>ENKÖPING</t>
        </is>
      </c>
      <c r="G216" t="n">
        <v>5.8</v>
      </c>
      <c r="H216" t="n">
        <v>0</v>
      </c>
      <c r="I216" t="n">
        <v>0</v>
      </c>
      <c r="J216" t="n">
        <v>0</v>
      </c>
      <c r="K216" t="n">
        <v>0</v>
      </c>
      <c r="L216" t="n">
        <v>0</v>
      </c>
      <c r="M216" t="n">
        <v>0</v>
      </c>
      <c r="N216" t="n">
        <v>0</v>
      </c>
      <c r="O216" t="n">
        <v>0</v>
      </c>
      <c r="P216" t="n">
        <v>0</v>
      </c>
      <c r="Q216" t="n">
        <v>0</v>
      </c>
      <c r="R216" s="2" t="inlineStr"/>
    </row>
    <row r="217" ht="15" customHeight="1">
      <c r="A217" t="inlineStr">
        <is>
          <t>A 18821-2023</t>
        </is>
      </c>
      <c r="B217" s="1" t="n">
        <v>45044.3782175926</v>
      </c>
      <c r="C217" s="1" t="n">
        <v>45995</v>
      </c>
      <c r="D217" t="inlineStr">
        <is>
          <t>UPPSALA LÄN</t>
        </is>
      </c>
      <c r="E217" t="inlineStr">
        <is>
          <t>ENKÖPING</t>
        </is>
      </c>
      <c r="G217" t="n">
        <v>6</v>
      </c>
      <c r="H217" t="n">
        <v>0</v>
      </c>
      <c r="I217" t="n">
        <v>0</v>
      </c>
      <c r="J217" t="n">
        <v>0</v>
      </c>
      <c r="K217" t="n">
        <v>0</v>
      </c>
      <c r="L217" t="n">
        <v>0</v>
      </c>
      <c r="M217" t="n">
        <v>0</v>
      </c>
      <c r="N217" t="n">
        <v>0</v>
      </c>
      <c r="O217" t="n">
        <v>0</v>
      </c>
      <c r="P217" t="n">
        <v>0</v>
      </c>
      <c r="Q217" t="n">
        <v>0</v>
      </c>
      <c r="R217" s="2" t="inlineStr"/>
    </row>
    <row r="218" ht="15" customHeight="1">
      <c r="A218" t="inlineStr">
        <is>
          <t>A 52380-2024</t>
        </is>
      </c>
      <c r="B218" s="1" t="n">
        <v>45609</v>
      </c>
      <c r="C218" s="1" t="n">
        <v>45995</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9041-2023</t>
        </is>
      </c>
      <c r="B219" s="1" t="n">
        <v>44979</v>
      </c>
      <c r="C219" s="1" t="n">
        <v>45995</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22912-2024</t>
        </is>
      </c>
      <c r="B220" s="1" t="n">
        <v>45448.73118055556</v>
      </c>
      <c r="C220" s="1" t="n">
        <v>45995</v>
      </c>
      <c r="D220" t="inlineStr">
        <is>
          <t>UPPSALA LÄN</t>
        </is>
      </c>
      <c r="E220" t="inlineStr">
        <is>
          <t>ENKÖPING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27786-2023</t>
        </is>
      </c>
      <c r="B221" s="1" t="n">
        <v>45098</v>
      </c>
      <c r="C221" s="1" t="n">
        <v>45995</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35647-2021</t>
        </is>
      </c>
      <c r="B222" s="1" t="n">
        <v>44386</v>
      </c>
      <c r="C222" s="1" t="n">
        <v>45995</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9667-2024</t>
        </is>
      </c>
      <c r="B223" s="1" t="n">
        <v>45362.45130787037</v>
      </c>
      <c r="C223" s="1" t="n">
        <v>45995</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24962-2023</t>
        </is>
      </c>
      <c r="B224" s="1" t="n">
        <v>45085.60123842592</v>
      </c>
      <c r="C224" s="1" t="n">
        <v>45995</v>
      </c>
      <c r="D224" t="inlineStr">
        <is>
          <t>UPPSALA LÄN</t>
        </is>
      </c>
      <c r="E224" t="inlineStr">
        <is>
          <t>ENKÖPING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44131-2023</t>
        </is>
      </c>
      <c r="B225" s="1" t="n">
        <v>45188</v>
      </c>
      <c r="C225" s="1" t="n">
        <v>45995</v>
      </c>
      <c r="D225" t="inlineStr">
        <is>
          <t>UPPSALA LÄN</t>
        </is>
      </c>
      <c r="E225" t="inlineStr">
        <is>
          <t>ENKÖPING</t>
        </is>
      </c>
      <c r="G225" t="n">
        <v>0.3</v>
      </c>
      <c r="H225" t="n">
        <v>0</v>
      </c>
      <c r="I225" t="n">
        <v>0</v>
      </c>
      <c r="J225" t="n">
        <v>0</v>
      </c>
      <c r="K225" t="n">
        <v>0</v>
      </c>
      <c r="L225" t="n">
        <v>0</v>
      </c>
      <c r="M225" t="n">
        <v>0</v>
      </c>
      <c r="N225" t="n">
        <v>0</v>
      </c>
      <c r="O225" t="n">
        <v>0</v>
      </c>
      <c r="P225" t="n">
        <v>0</v>
      </c>
      <c r="Q225" t="n">
        <v>0</v>
      </c>
      <c r="R225" s="2" t="inlineStr"/>
    </row>
    <row r="226" ht="15" customHeight="1">
      <c r="A226" t="inlineStr">
        <is>
          <t>A 29482-2022</t>
        </is>
      </c>
      <c r="B226" s="1" t="n">
        <v>44753.57703703704</v>
      </c>
      <c r="C226" s="1" t="n">
        <v>45995</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29483-2022</t>
        </is>
      </c>
      <c r="B227" s="1" t="n">
        <v>44753.57829861111</v>
      </c>
      <c r="C227" s="1" t="n">
        <v>45995</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37170-2021</t>
        </is>
      </c>
      <c r="B228" s="1" t="n">
        <v>44395</v>
      </c>
      <c r="C228" s="1" t="n">
        <v>45995</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41764-2025</t>
        </is>
      </c>
      <c r="B229" s="1" t="n">
        <v>45902</v>
      </c>
      <c r="C229" s="1" t="n">
        <v>45995</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51042-2024</t>
        </is>
      </c>
      <c r="B230" s="1" t="n">
        <v>45603.4342824074</v>
      </c>
      <c r="C230" s="1" t="n">
        <v>45995</v>
      </c>
      <c r="D230" t="inlineStr">
        <is>
          <t>UPPSALA LÄN</t>
        </is>
      </c>
      <c r="E230" t="inlineStr">
        <is>
          <t>ENKÖPING</t>
        </is>
      </c>
      <c r="G230" t="n">
        <v>4.6</v>
      </c>
      <c r="H230" t="n">
        <v>0</v>
      </c>
      <c r="I230" t="n">
        <v>0</v>
      </c>
      <c r="J230" t="n">
        <v>0</v>
      </c>
      <c r="K230" t="n">
        <v>0</v>
      </c>
      <c r="L230" t="n">
        <v>0</v>
      </c>
      <c r="M230" t="n">
        <v>0</v>
      </c>
      <c r="N230" t="n">
        <v>0</v>
      </c>
      <c r="O230" t="n">
        <v>0</v>
      </c>
      <c r="P230" t="n">
        <v>0</v>
      </c>
      <c r="Q230" t="n">
        <v>0</v>
      </c>
      <c r="R230" s="2" t="inlineStr"/>
    </row>
    <row r="231" ht="15" customHeight="1">
      <c r="A231" t="inlineStr">
        <is>
          <t>A 22632-2025</t>
        </is>
      </c>
      <c r="B231" s="1" t="n">
        <v>45789.44361111111</v>
      </c>
      <c r="C231" s="1" t="n">
        <v>45995</v>
      </c>
      <c r="D231" t="inlineStr">
        <is>
          <t>UPPSALA LÄN</t>
        </is>
      </c>
      <c r="E231" t="inlineStr">
        <is>
          <t>ENKÖPING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51037-2024</t>
        </is>
      </c>
      <c r="B232" s="1" t="n">
        <v>45603.43005787037</v>
      </c>
      <c r="C232" s="1" t="n">
        <v>45995</v>
      </c>
      <c r="D232" t="inlineStr">
        <is>
          <t>UPPSALA LÄN</t>
        </is>
      </c>
      <c r="E232" t="inlineStr">
        <is>
          <t>ENKÖPING</t>
        </is>
      </c>
      <c r="G232" t="n">
        <v>5.7</v>
      </c>
      <c r="H232" t="n">
        <v>0</v>
      </c>
      <c r="I232" t="n">
        <v>0</v>
      </c>
      <c r="J232" t="n">
        <v>0</v>
      </c>
      <c r="K232" t="n">
        <v>0</v>
      </c>
      <c r="L232" t="n">
        <v>0</v>
      </c>
      <c r="M232" t="n">
        <v>0</v>
      </c>
      <c r="N232" t="n">
        <v>0</v>
      </c>
      <c r="O232" t="n">
        <v>0</v>
      </c>
      <c r="P232" t="n">
        <v>0</v>
      </c>
      <c r="Q232" t="n">
        <v>0</v>
      </c>
      <c r="R232" s="2" t="inlineStr"/>
    </row>
    <row r="233" ht="15" customHeight="1">
      <c r="A233" t="inlineStr">
        <is>
          <t>A 43506-2023</t>
        </is>
      </c>
      <c r="B233" s="1" t="n">
        <v>45181</v>
      </c>
      <c r="C233" s="1" t="n">
        <v>45995</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53496-2022</t>
        </is>
      </c>
      <c r="B234" s="1" t="n">
        <v>44879.57217592592</v>
      </c>
      <c r="C234" s="1" t="n">
        <v>45995</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14004-2023</t>
        </is>
      </c>
      <c r="B235" s="1" t="n">
        <v>45008</v>
      </c>
      <c r="C235" s="1" t="n">
        <v>45995</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7870-2024</t>
        </is>
      </c>
      <c r="B236" s="1" t="n">
        <v>45350.33349537037</v>
      </c>
      <c r="C236" s="1" t="n">
        <v>45995</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51012-2024</t>
        </is>
      </c>
      <c r="B237" s="1" t="n">
        <v>45603.39686342593</v>
      </c>
      <c r="C237" s="1" t="n">
        <v>45995</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28243-2023</t>
        </is>
      </c>
      <c r="B238" s="1" t="n">
        <v>45099.58885416666</v>
      </c>
      <c r="C238" s="1" t="n">
        <v>45995</v>
      </c>
      <c r="D238" t="inlineStr">
        <is>
          <t>UPPSALA LÄN</t>
        </is>
      </c>
      <c r="E238" t="inlineStr">
        <is>
          <t>ENKÖPING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51027-2024</t>
        </is>
      </c>
      <c r="B239" s="1" t="n">
        <v>45603</v>
      </c>
      <c r="C239" s="1" t="n">
        <v>45995</v>
      </c>
      <c r="D239" t="inlineStr">
        <is>
          <t>UPPSALA LÄN</t>
        </is>
      </c>
      <c r="E239" t="inlineStr">
        <is>
          <t>ENKÖPING</t>
        </is>
      </c>
      <c r="G239" t="n">
        <v>3.5</v>
      </c>
      <c r="H239" t="n">
        <v>0</v>
      </c>
      <c r="I239" t="n">
        <v>0</v>
      </c>
      <c r="J239" t="n">
        <v>0</v>
      </c>
      <c r="K239" t="n">
        <v>0</v>
      </c>
      <c r="L239" t="n">
        <v>0</v>
      </c>
      <c r="M239" t="n">
        <v>0</v>
      </c>
      <c r="N239" t="n">
        <v>0</v>
      </c>
      <c r="O239" t="n">
        <v>0</v>
      </c>
      <c r="P239" t="n">
        <v>0</v>
      </c>
      <c r="Q239" t="n">
        <v>0</v>
      </c>
      <c r="R239" s="2" t="inlineStr"/>
    </row>
    <row r="240" ht="15" customHeight="1">
      <c r="A240" t="inlineStr">
        <is>
          <t>A 10829-2024</t>
        </is>
      </c>
      <c r="B240" s="1" t="n">
        <v>45369</v>
      </c>
      <c r="C240" s="1" t="n">
        <v>45995</v>
      </c>
      <c r="D240" t="inlineStr">
        <is>
          <t>UPPSALA LÄN</t>
        </is>
      </c>
      <c r="E240" t="inlineStr">
        <is>
          <t>ENKÖPING</t>
        </is>
      </c>
      <c r="G240" t="n">
        <v>2.1</v>
      </c>
      <c r="H240" t="n">
        <v>0</v>
      </c>
      <c r="I240" t="n">
        <v>0</v>
      </c>
      <c r="J240" t="n">
        <v>0</v>
      </c>
      <c r="K240" t="n">
        <v>0</v>
      </c>
      <c r="L240" t="n">
        <v>0</v>
      </c>
      <c r="M240" t="n">
        <v>0</v>
      </c>
      <c r="N240" t="n">
        <v>0</v>
      </c>
      <c r="O240" t="n">
        <v>0</v>
      </c>
      <c r="P240" t="n">
        <v>0</v>
      </c>
      <c r="Q240" t="n">
        <v>0</v>
      </c>
      <c r="R240" s="2" t="inlineStr"/>
    </row>
    <row r="241" ht="15" customHeight="1">
      <c r="A241" t="inlineStr">
        <is>
          <t>A 2161-2023</t>
        </is>
      </c>
      <c r="B241" s="1" t="n">
        <v>44941</v>
      </c>
      <c r="C241" s="1" t="n">
        <v>45995</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2165-2023</t>
        </is>
      </c>
      <c r="B242" s="1" t="n">
        <v>44941</v>
      </c>
      <c r="C242" s="1" t="n">
        <v>45995</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8306-2021</t>
        </is>
      </c>
      <c r="B243" s="1" t="n">
        <v>44244</v>
      </c>
      <c r="C243" s="1" t="n">
        <v>45995</v>
      </c>
      <c r="D243" t="inlineStr">
        <is>
          <t>UPPSALA LÄN</t>
        </is>
      </c>
      <c r="E243" t="inlineStr">
        <is>
          <t>ENKÖPING</t>
        </is>
      </c>
      <c r="G243" t="n">
        <v>14.9</v>
      </c>
      <c r="H243" t="n">
        <v>0</v>
      </c>
      <c r="I243" t="n">
        <v>0</v>
      </c>
      <c r="J243" t="n">
        <v>0</v>
      </c>
      <c r="K243" t="n">
        <v>0</v>
      </c>
      <c r="L243" t="n">
        <v>0</v>
      </c>
      <c r="M243" t="n">
        <v>0</v>
      </c>
      <c r="N243" t="n">
        <v>0</v>
      </c>
      <c r="O243" t="n">
        <v>0</v>
      </c>
      <c r="P243" t="n">
        <v>0</v>
      </c>
      <c r="Q243" t="n">
        <v>0</v>
      </c>
      <c r="R243" s="2" t="inlineStr"/>
    </row>
    <row r="244" ht="15" customHeight="1">
      <c r="A244" t="inlineStr">
        <is>
          <t>A 41828-2024</t>
        </is>
      </c>
      <c r="B244" s="1" t="n">
        <v>45561</v>
      </c>
      <c r="C244" s="1" t="n">
        <v>45995</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10465-2022</t>
        </is>
      </c>
      <c r="B245" s="1" t="n">
        <v>44623</v>
      </c>
      <c r="C245" s="1" t="n">
        <v>45995</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44419-2025</t>
        </is>
      </c>
      <c r="B246" s="1" t="n">
        <v>45916.54671296296</v>
      </c>
      <c r="C246" s="1" t="n">
        <v>45995</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43999-2025</t>
        </is>
      </c>
      <c r="B247" s="1" t="n">
        <v>45915.45158564814</v>
      </c>
      <c r="C247" s="1" t="n">
        <v>45995</v>
      </c>
      <c r="D247" t="inlineStr">
        <is>
          <t>UPPSALA LÄN</t>
        </is>
      </c>
      <c r="E247" t="inlineStr">
        <is>
          <t>ENKÖPING</t>
        </is>
      </c>
      <c r="G247" t="n">
        <v>4.1</v>
      </c>
      <c r="H247" t="n">
        <v>0</v>
      </c>
      <c r="I247" t="n">
        <v>0</v>
      </c>
      <c r="J247" t="n">
        <v>0</v>
      </c>
      <c r="K247" t="n">
        <v>0</v>
      </c>
      <c r="L247" t="n">
        <v>0</v>
      </c>
      <c r="M247" t="n">
        <v>0</v>
      </c>
      <c r="N247" t="n">
        <v>0</v>
      </c>
      <c r="O247" t="n">
        <v>0</v>
      </c>
      <c r="P247" t="n">
        <v>0</v>
      </c>
      <c r="Q247" t="n">
        <v>0</v>
      </c>
      <c r="R247" s="2" t="inlineStr"/>
    </row>
    <row r="248" ht="15" customHeight="1">
      <c r="A248" t="inlineStr">
        <is>
          <t>A 2850-2025</t>
        </is>
      </c>
      <c r="B248" s="1" t="n">
        <v>45677</v>
      </c>
      <c r="C248" s="1" t="n">
        <v>45995</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32477-2025</t>
        </is>
      </c>
      <c r="B249" s="1" t="n">
        <v>45838.43098379629</v>
      </c>
      <c r="C249" s="1" t="n">
        <v>45995</v>
      </c>
      <c r="D249" t="inlineStr">
        <is>
          <t>UPPSALA LÄN</t>
        </is>
      </c>
      <c r="E249" t="inlineStr">
        <is>
          <t>ENKÖPING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13853-2023</t>
        </is>
      </c>
      <c r="B250" s="1" t="n">
        <v>45007</v>
      </c>
      <c r="C250" s="1" t="n">
        <v>45995</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15942-2022</t>
        </is>
      </c>
      <c r="B251" s="1" t="n">
        <v>44664</v>
      </c>
      <c r="C251" s="1" t="n">
        <v>45995</v>
      </c>
      <c r="D251" t="inlineStr">
        <is>
          <t>UPPSALA LÄN</t>
        </is>
      </c>
      <c r="E251" t="inlineStr">
        <is>
          <t>ENKÖPING</t>
        </is>
      </c>
      <c r="G251" t="n">
        <v>6.6</v>
      </c>
      <c r="H251" t="n">
        <v>0</v>
      </c>
      <c r="I251" t="n">
        <v>0</v>
      </c>
      <c r="J251" t="n">
        <v>0</v>
      </c>
      <c r="K251" t="n">
        <v>0</v>
      </c>
      <c r="L251" t="n">
        <v>0</v>
      </c>
      <c r="M251" t="n">
        <v>0</v>
      </c>
      <c r="N251" t="n">
        <v>0</v>
      </c>
      <c r="O251" t="n">
        <v>0</v>
      </c>
      <c r="P251" t="n">
        <v>0</v>
      </c>
      <c r="Q251" t="n">
        <v>0</v>
      </c>
      <c r="R251" s="2" t="inlineStr"/>
    </row>
    <row r="252" ht="15" customHeight="1">
      <c r="A252" t="inlineStr">
        <is>
          <t>A 5013-2025</t>
        </is>
      </c>
      <c r="B252" s="1" t="n">
        <v>45691</v>
      </c>
      <c r="C252" s="1" t="n">
        <v>45995</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11503-2024</t>
        </is>
      </c>
      <c r="B253" s="1" t="n">
        <v>45372.68020833333</v>
      </c>
      <c r="C253" s="1" t="n">
        <v>45995</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63310-2021</t>
        </is>
      </c>
      <c r="B254" s="1" t="n">
        <v>44508</v>
      </c>
      <c r="C254" s="1" t="n">
        <v>45995</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2164-2023</t>
        </is>
      </c>
      <c r="B255" s="1" t="n">
        <v>44941</v>
      </c>
      <c r="C255" s="1" t="n">
        <v>45995</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61106-2022</t>
        </is>
      </c>
      <c r="B256" s="1" t="n">
        <v>44915.4128587963</v>
      </c>
      <c r="C256" s="1" t="n">
        <v>45995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9171-2024</t>
        </is>
      </c>
      <c r="B257" s="1" t="n">
        <v>45358</v>
      </c>
      <c r="C257" s="1" t="n">
        <v>45995</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33955-2024</t>
        </is>
      </c>
      <c r="B258" s="1" t="n">
        <v>45523.46952546296</v>
      </c>
      <c r="C258" s="1" t="n">
        <v>45995</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6172-2023</t>
        </is>
      </c>
      <c r="B259" s="1" t="n">
        <v>44964.68663194445</v>
      </c>
      <c r="C259" s="1" t="n">
        <v>45995</v>
      </c>
      <c r="D259" t="inlineStr">
        <is>
          <t>UPPSALA LÄN</t>
        </is>
      </c>
      <c r="E259" t="inlineStr">
        <is>
          <t>ENKÖPING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10409-2025</t>
        </is>
      </c>
      <c r="B260" s="1" t="n">
        <v>45720.631875</v>
      </c>
      <c r="C260" s="1" t="n">
        <v>45995</v>
      </c>
      <c r="D260" t="inlineStr">
        <is>
          <t>UPPSALA LÄN</t>
        </is>
      </c>
      <c r="E260" t="inlineStr">
        <is>
          <t>ENKÖPING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671-2022</t>
        </is>
      </c>
      <c r="B261" s="1" t="n">
        <v>44568</v>
      </c>
      <c r="C261" s="1" t="n">
        <v>45995</v>
      </c>
      <c r="D261" t="inlineStr">
        <is>
          <t>UPPSALA LÄN</t>
        </is>
      </c>
      <c r="E261" t="inlineStr">
        <is>
          <t>ENKÖPING</t>
        </is>
      </c>
      <c r="G261" t="n">
        <v>3.5</v>
      </c>
      <c r="H261" t="n">
        <v>0</v>
      </c>
      <c r="I261" t="n">
        <v>0</v>
      </c>
      <c r="J261" t="n">
        <v>0</v>
      </c>
      <c r="K261" t="n">
        <v>0</v>
      </c>
      <c r="L261" t="n">
        <v>0</v>
      </c>
      <c r="M261" t="n">
        <v>0</v>
      </c>
      <c r="N261" t="n">
        <v>0</v>
      </c>
      <c r="O261" t="n">
        <v>0</v>
      </c>
      <c r="P261" t="n">
        <v>0</v>
      </c>
      <c r="Q261" t="n">
        <v>0</v>
      </c>
      <c r="R261" s="2" t="inlineStr"/>
    </row>
    <row r="262" ht="15" customHeight="1">
      <c r="A262" t="inlineStr">
        <is>
          <t>A 11005-2023</t>
        </is>
      </c>
      <c r="B262" s="1" t="n">
        <v>44991</v>
      </c>
      <c r="C262" s="1" t="n">
        <v>45995</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50006-2023</t>
        </is>
      </c>
      <c r="B263" s="1" t="n">
        <v>45215</v>
      </c>
      <c r="C263" s="1" t="n">
        <v>45995</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29918-2023</t>
        </is>
      </c>
      <c r="B264" s="1" t="n">
        <v>45099</v>
      </c>
      <c r="C264" s="1" t="n">
        <v>45995</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58384-2022</t>
        </is>
      </c>
      <c r="B265" s="1" t="n">
        <v>44901</v>
      </c>
      <c r="C265" s="1" t="n">
        <v>45995</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43016-2021</t>
        </is>
      </c>
      <c r="B266" s="1" t="n">
        <v>44431</v>
      </c>
      <c r="C266" s="1" t="n">
        <v>45995</v>
      </c>
      <c r="D266" t="inlineStr">
        <is>
          <t>UPPSALA LÄN</t>
        </is>
      </c>
      <c r="E266" t="inlineStr">
        <is>
          <t>ENKÖPING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15893-2024</t>
        </is>
      </c>
      <c r="B267" s="1" t="n">
        <v>45405</v>
      </c>
      <c r="C267" s="1" t="n">
        <v>45995</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69567-2020</t>
        </is>
      </c>
      <c r="B268" s="1" t="n">
        <v>44194</v>
      </c>
      <c r="C268" s="1" t="n">
        <v>45995</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33343-2024</t>
        </is>
      </c>
      <c r="B269" s="1" t="n">
        <v>45519</v>
      </c>
      <c r="C269" s="1" t="n">
        <v>45995</v>
      </c>
      <c r="D269" t="inlineStr">
        <is>
          <t>UPPSALA LÄN</t>
        </is>
      </c>
      <c r="E269" t="inlineStr">
        <is>
          <t>ENKÖPING</t>
        </is>
      </c>
      <c r="G269" t="n">
        <v>2</v>
      </c>
      <c r="H269" t="n">
        <v>0</v>
      </c>
      <c r="I269" t="n">
        <v>0</v>
      </c>
      <c r="J269" t="n">
        <v>0</v>
      </c>
      <c r="K269" t="n">
        <v>0</v>
      </c>
      <c r="L269" t="n">
        <v>0</v>
      </c>
      <c r="M269" t="n">
        <v>0</v>
      </c>
      <c r="N269" t="n">
        <v>0</v>
      </c>
      <c r="O269" t="n">
        <v>0</v>
      </c>
      <c r="P269" t="n">
        <v>0</v>
      </c>
      <c r="Q269" t="n">
        <v>0</v>
      </c>
      <c r="R269" s="2" t="inlineStr"/>
    </row>
    <row r="270" ht="15" customHeight="1">
      <c r="A270" t="inlineStr">
        <is>
          <t>A 57142-2021</t>
        </is>
      </c>
      <c r="B270" s="1" t="n">
        <v>44482</v>
      </c>
      <c r="C270" s="1" t="n">
        <v>45995</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57153-2021</t>
        </is>
      </c>
      <c r="B271" s="1" t="n">
        <v>44482</v>
      </c>
      <c r="C271" s="1" t="n">
        <v>45995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21686-2022</t>
        </is>
      </c>
      <c r="B272" s="1" t="n">
        <v>44707</v>
      </c>
      <c r="C272" s="1" t="n">
        <v>45995</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29479-2022</t>
        </is>
      </c>
      <c r="B273" s="1" t="n">
        <v>44753.57265046296</v>
      </c>
      <c r="C273" s="1" t="n">
        <v>45995</v>
      </c>
      <c r="D273" t="inlineStr">
        <is>
          <t>UPPSALA LÄN</t>
        </is>
      </c>
      <c r="E273" t="inlineStr">
        <is>
          <t>ENKÖPING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5188-2022</t>
        </is>
      </c>
      <c r="B274" s="1" t="n">
        <v>44594.4471412037</v>
      </c>
      <c r="C274" s="1" t="n">
        <v>45995</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19014-2025</t>
        </is>
      </c>
      <c r="B275" s="1" t="n">
        <v>45764.59631944444</v>
      </c>
      <c r="C275" s="1" t="n">
        <v>45995</v>
      </c>
      <c r="D275" t="inlineStr">
        <is>
          <t>UPPSALA LÄN</t>
        </is>
      </c>
      <c r="E275" t="inlineStr">
        <is>
          <t>ENKÖPING</t>
        </is>
      </c>
      <c r="G275" t="n">
        <v>0.2</v>
      </c>
      <c r="H275" t="n">
        <v>0</v>
      </c>
      <c r="I275" t="n">
        <v>0</v>
      </c>
      <c r="J275" t="n">
        <v>0</v>
      </c>
      <c r="K275" t="n">
        <v>0</v>
      </c>
      <c r="L275" t="n">
        <v>0</v>
      </c>
      <c r="M275" t="n">
        <v>0</v>
      </c>
      <c r="N275" t="n">
        <v>0</v>
      </c>
      <c r="O275" t="n">
        <v>0</v>
      </c>
      <c r="P275" t="n">
        <v>0</v>
      </c>
      <c r="Q275" t="n">
        <v>0</v>
      </c>
      <c r="R275" s="2" t="inlineStr"/>
    </row>
    <row r="276" ht="15" customHeight="1">
      <c r="A276" t="inlineStr">
        <is>
          <t>A 43691-2024</t>
        </is>
      </c>
      <c r="B276" s="1" t="n">
        <v>45569</v>
      </c>
      <c r="C276" s="1" t="n">
        <v>45995</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49525-2021</t>
        </is>
      </c>
      <c r="B277" s="1" t="n">
        <v>44455</v>
      </c>
      <c r="C277" s="1" t="n">
        <v>45995</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54263-2025</t>
        </is>
      </c>
      <c r="B278" s="1" t="n">
        <v>45964.66271990741</v>
      </c>
      <c r="C278" s="1" t="n">
        <v>45995</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6298-2021</t>
        </is>
      </c>
      <c r="B279" s="1" t="n">
        <v>44235</v>
      </c>
      <c r="C279" s="1" t="n">
        <v>45995</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54758-2025</t>
        </is>
      </c>
      <c r="B280" s="1" t="n">
        <v>45966.59737268519</v>
      </c>
      <c r="C280" s="1" t="n">
        <v>45995</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54541-2025</t>
        </is>
      </c>
      <c r="B281" s="1" t="n">
        <v>45965.64733796296</v>
      </c>
      <c r="C281" s="1" t="n">
        <v>45995</v>
      </c>
      <c r="D281" t="inlineStr">
        <is>
          <t>UPPSALA LÄN</t>
        </is>
      </c>
      <c r="E281" t="inlineStr">
        <is>
          <t>ENKÖPING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19376-2024</t>
        </is>
      </c>
      <c r="B282" s="1" t="n">
        <v>45429</v>
      </c>
      <c r="C282" s="1" t="n">
        <v>45995</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33670-2024</t>
        </is>
      </c>
      <c r="B283" s="1" t="n">
        <v>45520</v>
      </c>
      <c r="C283" s="1" t="n">
        <v>45995</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53607-2023</t>
        </is>
      </c>
      <c r="B284" s="1" t="n">
        <v>45230</v>
      </c>
      <c r="C284" s="1" t="n">
        <v>45995</v>
      </c>
      <c r="D284" t="inlineStr">
        <is>
          <t>UPPSALA LÄN</t>
        </is>
      </c>
      <c r="E284" t="inlineStr">
        <is>
          <t>ENKÖPING</t>
        </is>
      </c>
      <c r="F284" t="inlineStr">
        <is>
          <t>Allmännings- och besparingsskogar</t>
        </is>
      </c>
      <c r="G284" t="n">
        <v>6.3</v>
      </c>
      <c r="H284" t="n">
        <v>0</v>
      </c>
      <c r="I284" t="n">
        <v>0</v>
      </c>
      <c r="J284" t="n">
        <v>0</v>
      </c>
      <c r="K284" t="n">
        <v>0</v>
      </c>
      <c r="L284" t="n">
        <v>0</v>
      </c>
      <c r="M284" t="n">
        <v>0</v>
      </c>
      <c r="N284" t="n">
        <v>0</v>
      </c>
      <c r="O284" t="n">
        <v>0</v>
      </c>
      <c r="P284" t="n">
        <v>0</v>
      </c>
      <c r="Q284" t="n">
        <v>0</v>
      </c>
      <c r="R284" s="2" t="inlineStr"/>
    </row>
    <row r="285" ht="15" customHeight="1">
      <c r="A285" t="inlineStr">
        <is>
          <t>A 59497-2022</t>
        </is>
      </c>
      <c r="B285" s="1" t="n">
        <v>44907.48258101852</v>
      </c>
      <c r="C285" s="1" t="n">
        <v>45995</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19147-2024</t>
        </is>
      </c>
      <c r="B286" s="1" t="n">
        <v>45428</v>
      </c>
      <c r="C286" s="1" t="n">
        <v>45995</v>
      </c>
      <c r="D286" t="inlineStr">
        <is>
          <t>UPPSALA LÄN</t>
        </is>
      </c>
      <c r="E286" t="inlineStr">
        <is>
          <t>ENKÖPING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57328-2024</t>
        </is>
      </c>
      <c r="B287" s="1" t="n">
        <v>45629.62798611111</v>
      </c>
      <c r="C287" s="1" t="n">
        <v>45995</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54844-2025</t>
        </is>
      </c>
      <c r="B288" s="1" t="n">
        <v>45966.69570601852</v>
      </c>
      <c r="C288" s="1" t="n">
        <v>45995</v>
      </c>
      <c r="D288" t="inlineStr">
        <is>
          <t>UPPSALA LÄN</t>
        </is>
      </c>
      <c r="E288" t="inlineStr">
        <is>
          <t>ENKÖPING</t>
        </is>
      </c>
      <c r="G288" t="n">
        <v>5.5</v>
      </c>
      <c r="H288" t="n">
        <v>0</v>
      </c>
      <c r="I288" t="n">
        <v>0</v>
      </c>
      <c r="J288" t="n">
        <v>0</v>
      </c>
      <c r="K288" t="n">
        <v>0</v>
      </c>
      <c r="L288" t="n">
        <v>0</v>
      </c>
      <c r="M288" t="n">
        <v>0</v>
      </c>
      <c r="N288" t="n">
        <v>0</v>
      </c>
      <c r="O288" t="n">
        <v>0</v>
      </c>
      <c r="P288" t="n">
        <v>0</v>
      </c>
      <c r="Q288" t="n">
        <v>0</v>
      </c>
      <c r="R288" s="2" t="inlineStr"/>
    </row>
    <row r="289" ht="15" customHeight="1">
      <c r="A289" t="inlineStr">
        <is>
          <t>A 45755-2025</t>
        </is>
      </c>
      <c r="B289" s="1" t="n">
        <v>45923.50240740741</v>
      </c>
      <c r="C289" s="1" t="n">
        <v>45995</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67982-2021</t>
        </is>
      </c>
      <c r="B290" s="1" t="n">
        <v>44525</v>
      </c>
      <c r="C290" s="1" t="n">
        <v>45995</v>
      </c>
      <c r="D290" t="inlineStr">
        <is>
          <t>UPPSALA LÄN</t>
        </is>
      </c>
      <c r="E290" t="inlineStr">
        <is>
          <t>ENKÖPING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46590-2025</t>
        </is>
      </c>
      <c r="B291" s="1" t="n">
        <v>45926.39542824074</v>
      </c>
      <c r="C291" s="1" t="n">
        <v>45995</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57835-2024</t>
        </is>
      </c>
      <c r="B292" s="1" t="n">
        <v>45631.39947916667</v>
      </c>
      <c r="C292" s="1" t="n">
        <v>45995</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49614-2024</t>
        </is>
      </c>
      <c r="B293" s="1" t="n">
        <v>45596.57716435185</v>
      </c>
      <c r="C293" s="1" t="n">
        <v>45995</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49632-2024</t>
        </is>
      </c>
      <c r="B294" s="1" t="n">
        <v>45596</v>
      </c>
      <c r="C294" s="1" t="n">
        <v>45995</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51030-2024</t>
        </is>
      </c>
      <c r="B295" s="1" t="n">
        <v>45603</v>
      </c>
      <c r="C295" s="1" t="n">
        <v>45995</v>
      </c>
      <c r="D295" t="inlineStr">
        <is>
          <t>UPPSALA LÄN</t>
        </is>
      </c>
      <c r="E295" t="inlineStr">
        <is>
          <t>ENKÖPING</t>
        </is>
      </c>
      <c r="G295" t="n">
        <v>2</v>
      </c>
      <c r="H295" t="n">
        <v>0</v>
      </c>
      <c r="I295" t="n">
        <v>0</v>
      </c>
      <c r="J295" t="n">
        <v>0</v>
      </c>
      <c r="K295" t="n">
        <v>0</v>
      </c>
      <c r="L295" t="n">
        <v>0</v>
      </c>
      <c r="M295" t="n">
        <v>0</v>
      </c>
      <c r="N295" t="n">
        <v>0</v>
      </c>
      <c r="O295" t="n">
        <v>0</v>
      </c>
      <c r="P295" t="n">
        <v>0</v>
      </c>
      <c r="Q295" t="n">
        <v>0</v>
      </c>
      <c r="R295" s="2" t="inlineStr"/>
    </row>
    <row r="296" ht="15" customHeight="1">
      <c r="A296" t="inlineStr">
        <is>
          <t>A 34989-2025</t>
        </is>
      </c>
      <c r="B296" s="1" t="n">
        <v>45849</v>
      </c>
      <c r="C296" s="1" t="n">
        <v>45995</v>
      </c>
      <c r="D296" t="inlineStr">
        <is>
          <t>UPPSALA LÄN</t>
        </is>
      </c>
      <c r="E296" t="inlineStr">
        <is>
          <t>ENKÖPING</t>
        </is>
      </c>
      <c r="G296" t="n">
        <v>2.4</v>
      </c>
      <c r="H296" t="n">
        <v>0</v>
      </c>
      <c r="I296" t="n">
        <v>0</v>
      </c>
      <c r="J296" t="n">
        <v>0</v>
      </c>
      <c r="K296" t="n">
        <v>0</v>
      </c>
      <c r="L296" t="n">
        <v>0</v>
      </c>
      <c r="M296" t="n">
        <v>0</v>
      </c>
      <c r="N296" t="n">
        <v>0</v>
      </c>
      <c r="O296" t="n">
        <v>0</v>
      </c>
      <c r="P296" t="n">
        <v>0</v>
      </c>
      <c r="Q296" t="n">
        <v>0</v>
      </c>
      <c r="R296" s="2" t="inlineStr"/>
    </row>
    <row r="297" ht="15" customHeight="1">
      <c r="A297" t="inlineStr">
        <is>
          <t>A 21612-2023</t>
        </is>
      </c>
      <c r="B297" s="1" t="n">
        <v>45063</v>
      </c>
      <c r="C297" s="1" t="n">
        <v>45995</v>
      </c>
      <c r="D297" t="inlineStr">
        <is>
          <t>UPPSALA LÄN</t>
        </is>
      </c>
      <c r="E297" t="inlineStr">
        <is>
          <t>ENKÖPING</t>
        </is>
      </c>
      <c r="F297" t="inlineStr">
        <is>
          <t>Allmännings- och besparingsskogar</t>
        </is>
      </c>
      <c r="G297" t="n">
        <v>1</v>
      </c>
      <c r="H297" t="n">
        <v>0</v>
      </c>
      <c r="I297" t="n">
        <v>0</v>
      </c>
      <c r="J297" t="n">
        <v>0</v>
      </c>
      <c r="K297" t="n">
        <v>0</v>
      </c>
      <c r="L297" t="n">
        <v>0</v>
      </c>
      <c r="M297" t="n">
        <v>0</v>
      </c>
      <c r="N297" t="n">
        <v>0</v>
      </c>
      <c r="O297" t="n">
        <v>0</v>
      </c>
      <c r="P297" t="n">
        <v>0</v>
      </c>
      <c r="Q297" t="n">
        <v>0</v>
      </c>
      <c r="R297" s="2" t="inlineStr"/>
    </row>
    <row r="298" ht="15" customHeight="1">
      <c r="A298" t="inlineStr">
        <is>
          <t>A 39624-2023</t>
        </is>
      </c>
      <c r="B298" s="1" t="n">
        <v>45164</v>
      </c>
      <c r="C298" s="1" t="n">
        <v>45995</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56837-2024</t>
        </is>
      </c>
      <c r="B299" s="1" t="n">
        <v>45628</v>
      </c>
      <c r="C299" s="1" t="n">
        <v>45995</v>
      </c>
      <c r="D299" t="inlineStr">
        <is>
          <t>UPPSALA LÄN</t>
        </is>
      </c>
      <c r="E299" t="inlineStr">
        <is>
          <t>ENKÖPING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34990-2025</t>
        </is>
      </c>
      <c r="B300" s="1" t="n">
        <v>45849.78916666667</v>
      </c>
      <c r="C300" s="1" t="n">
        <v>45995</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5892-2023</t>
        </is>
      </c>
      <c r="B301" s="1" t="n">
        <v>44963.64883101852</v>
      </c>
      <c r="C301" s="1" t="n">
        <v>45995</v>
      </c>
      <c r="D301" t="inlineStr">
        <is>
          <t>UPPSALA LÄN</t>
        </is>
      </c>
      <c r="E301" t="inlineStr">
        <is>
          <t>ENKÖPING</t>
        </is>
      </c>
      <c r="G301" t="n">
        <v>5.5</v>
      </c>
      <c r="H301" t="n">
        <v>0</v>
      </c>
      <c r="I301" t="n">
        <v>0</v>
      </c>
      <c r="J301" t="n">
        <v>0</v>
      </c>
      <c r="K301" t="n">
        <v>0</v>
      </c>
      <c r="L301" t="n">
        <v>0</v>
      </c>
      <c r="M301" t="n">
        <v>0</v>
      </c>
      <c r="N301" t="n">
        <v>0</v>
      </c>
      <c r="O301" t="n">
        <v>0</v>
      </c>
      <c r="P301" t="n">
        <v>0</v>
      </c>
      <c r="Q301" t="n">
        <v>0</v>
      </c>
      <c r="R301" s="2" t="inlineStr"/>
    </row>
    <row r="302" ht="15" customHeight="1">
      <c r="A302" t="inlineStr">
        <is>
          <t>A 39858-2024</t>
        </is>
      </c>
      <c r="B302" s="1" t="n">
        <v>45553</v>
      </c>
      <c r="C302" s="1" t="n">
        <v>45995</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55567-2025</t>
        </is>
      </c>
      <c r="B303" s="1" t="n">
        <v>45971.65589120371</v>
      </c>
      <c r="C303" s="1" t="n">
        <v>45995</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55876-2024</t>
        </is>
      </c>
      <c r="B304" s="1" t="n">
        <v>45623.5546412037</v>
      </c>
      <c r="C304" s="1" t="n">
        <v>45995</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47441-2025</t>
        </is>
      </c>
      <c r="B305" s="1" t="n">
        <v>45930.63986111111</v>
      </c>
      <c r="C305" s="1" t="n">
        <v>45995</v>
      </c>
      <c r="D305" t="inlineStr">
        <is>
          <t>UPPSALA LÄN</t>
        </is>
      </c>
      <c r="E305" t="inlineStr">
        <is>
          <t>ENKÖPING</t>
        </is>
      </c>
      <c r="F305" t="inlineStr">
        <is>
          <t>Allmännings- och besparingsskogar</t>
        </is>
      </c>
      <c r="G305" t="n">
        <v>11.5</v>
      </c>
      <c r="H305" t="n">
        <v>0</v>
      </c>
      <c r="I305" t="n">
        <v>0</v>
      </c>
      <c r="J305" t="n">
        <v>0</v>
      </c>
      <c r="K305" t="n">
        <v>0</v>
      </c>
      <c r="L305" t="n">
        <v>0</v>
      </c>
      <c r="M305" t="n">
        <v>0</v>
      </c>
      <c r="N305" t="n">
        <v>0</v>
      </c>
      <c r="O305" t="n">
        <v>0</v>
      </c>
      <c r="P305" t="n">
        <v>0</v>
      </c>
      <c r="Q305" t="n">
        <v>0</v>
      </c>
      <c r="R305" s="2" t="inlineStr"/>
    </row>
    <row r="306" ht="15" customHeight="1">
      <c r="A306" t="inlineStr">
        <is>
          <t>A 46940-2025</t>
        </is>
      </c>
      <c r="B306" s="1" t="n">
        <v>45929.45483796296</v>
      </c>
      <c r="C306" s="1" t="n">
        <v>45995</v>
      </c>
      <c r="D306" t="inlineStr">
        <is>
          <t>UPPSALA LÄN</t>
        </is>
      </c>
      <c r="E306" t="inlineStr">
        <is>
          <t>ENKÖPING</t>
        </is>
      </c>
      <c r="G306" t="n">
        <v>5.3</v>
      </c>
      <c r="H306" t="n">
        <v>0</v>
      </c>
      <c r="I306" t="n">
        <v>0</v>
      </c>
      <c r="J306" t="n">
        <v>0</v>
      </c>
      <c r="K306" t="n">
        <v>0</v>
      </c>
      <c r="L306" t="n">
        <v>0</v>
      </c>
      <c r="M306" t="n">
        <v>0</v>
      </c>
      <c r="N306" t="n">
        <v>0</v>
      </c>
      <c r="O306" t="n">
        <v>0</v>
      </c>
      <c r="P306" t="n">
        <v>0</v>
      </c>
      <c r="Q306" t="n">
        <v>0</v>
      </c>
      <c r="R306" s="2" t="inlineStr"/>
    </row>
    <row r="307" ht="15" customHeight="1">
      <c r="A307" t="inlineStr">
        <is>
          <t>A 9957-2023</t>
        </is>
      </c>
      <c r="B307" s="1" t="n">
        <v>44978</v>
      </c>
      <c r="C307" s="1" t="n">
        <v>45995</v>
      </c>
      <c r="D307" t="inlineStr">
        <is>
          <t>UPPSALA LÄN</t>
        </is>
      </c>
      <c r="E307" t="inlineStr">
        <is>
          <t>ENKÖPING</t>
        </is>
      </c>
      <c r="G307" t="n">
        <v>5.9</v>
      </c>
      <c r="H307" t="n">
        <v>0</v>
      </c>
      <c r="I307" t="n">
        <v>0</v>
      </c>
      <c r="J307" t="n">
        <v>0</v>
      </c>
      <c r="K307" t="n">
        <v>0</v>
      </c>
      <c r="L307" t="n">
        <v>0</v>
      </c>
      <c r="M307" t="n">
        <v>0</v>
      </c>
      <c r="N307" t="n">
        <v>0</v>
      </c>
      <c r="O307" t="n">
        <v>0</v>
      </c>
      <c r="P307" t="n">
        <v>0</v>
      </c>
      <c r="Q307" t="n">
        <v>0</v>
      </c>
      <c r="R307" s="2" t="inlineStr"/>
    </row>
    <row r="308" ht="15" customHeight="1">
      <c r="A308" t="inlineStr">
        <is>
          <t>A 15405-2025</t>
        </is>
      </c>
      <c r="B308" s="1" t="n">
        <v>45747.44670138889</v>
      </c>
      <c r="C308" s="1" t="n">
        <v>45995</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12878-2025</t>
        </is>
      </c>
      <c r="B309" s="1" t="n">
        <v>45733.68571759259</v>
      </c>
      <c r="C309" s="1" t="n">
        <v>45995</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8152-2022</t>
        </is>
      </c>
      <c r="B310" s="1" t="n">
        <v>44609</v>
      </c>
      <c r="C310" s="1" t="n">
        <v>45995</v>
      </c>
      <c r="D310" t="inlineStr">
        <is>
          <t>UPPSALA LÄN</t>
        </is>
      </c>
      <c r="E310" t="inlineStr">
        <is>
          <t>ENKÖPING</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52889-2022</t>
        </is>
      </c>
      <c r="B311" s="1" t="n">
        <v>44875</v>
      </c>
      <c r="C311" s="1" t="n">
        <v>45995</v>
      </c>
      <c r="D311" t="inlineStr">
        <is>
          <t>UPPSALA LÄN</t>
        </is>
      </c>
      <c r="E311" t="inlineStr">
        <is>
          <t>ENKÖPING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17657-2025</t>
        </is>
      </c>
      <c r="B312" s="1" t="n">
        <v>45758.35006944444</v>
      </c>
      <c r="C312" s="1" t="n">
        <v>45995</v>
      </c>
      <c r="D312" t="inlineStr">
        <is>
          <t>UPPSALA LÄN</t>
        </is>
      </c>
      <c r="E312" t="inlineStr">
        <is>
          <t>ENKÖPING</t>
        </is>
      </c>
      <c r="G312" t="n">
        <v>3</v>
      </c>
      <c r="H312" t="n">
        <v>0</v>
      </c>
      <c r="I312" t="n">
        <v>0</v>
      </c>
      <c r="J312" t="n">
        <v>0</v>
      </c>
      <c r="K312" t="n">
        <v>0</v>
      </c>
      <c r="L312" t="n">
        <v>0</v>
      </c>
      <c r="M312" t="n">
        <v>0</v>
      </c>
      <c r="N312" t="n">
        <v>0</v>
      </c>
      <c r="O312" t="n">
        <v>0</v>
      </c>
      <c r="P312" t="n">
        <v>0</v>
      </c>
      <c r="Q312" t="n">
        <v>0</v>
      </c>
      <c r="R312" s="2" t="inlineStr"/>
    </row>
    <row r="313" ht="15" customHeight="1">
      <c r="A313" t="inlineStr">
        <is>
          <t>A 47681-2024</t>
        </is>
      </c>
      <c r="B313" s="1" t="n">
        <v>45588</v>
      </c>
      <c r="C313" s="1" t="n">
        <v>45995</v>
      </c>
      <c r="D313" t="inlineStr">
        <is>
          <t>UPPSALA LÄN</t>
        </is>
      </c>
      <c r="E313" t="inlineStr">
        <is>
          <t>ENKÖPING</t>
        </is>
      </c>
      <c r="G313" t="n">
        <v>4.2</v>
      </c>
      <c r="H313" t="n">
        <v>0</v>
      </c>
      <c r="I313" t="n">
        <v>0</v>
      </c>
      <c r="J313" t="n">
        <v>0</v>
      </c>
      <c r="K313" t="n">
        <v>0</v>
      </c>
      <c r="L313" t="n">
        <v>0</v>
      </c>
      <c r="M313" t="n">
        <v>0</v>
      </c>
      <c r="N313" t="n">
        <v>0</v>
      </c>
      <c r="O313" t="n">
        <v>0</v>
      </c>
      <c r="P313" t="n">
        <v>0</v>
      </c>
      <c r="Q313" t="n">
        <v>0</v>
      </c>
      <c r="R313" s="2" t="inlineStr"/>
    </row>
    <row r="314" ht="15" customHeight="1">
      <c r="A314" t="inlineStr">
        <is>
          <t>A 12754-2025</t>
        </is>
      </c>
      <c r="B314" s="1" t="n">
        <v>45733.56331018519</v>
      </c>
      <c r="C314" s="1" t="n">
        <v>45995</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54588-2024</t>
        </is>
      </c>
      <c r="B315" s="1" t="n">
        <v>45617</v>
      </c>
      <c r="C315" s="1" t="n">
        <v>45995</v>
      </c>
      <c r="D315" t="inlineStr">
        <is>
          <t>UPPSALA LÄN</t>
        </is>
      </c>
      <c r="E315" t="inlineStr">
        <is>
          <t>ENKÖPING</t>
        </is>
      </c>
      <c r="G315" t="n">
        <v>3.7</v>
      </c>
      <c r="H315" t="n">
        <v>0</v>
      </c>
      <c r="I315" t="n">
        <v>0</v>
      </c>
      <c r="J315" t="n">
        <v>0</v>
      </c>
      <c r="K315" t="n">
        <v>0</v>
      </c>
      <c r="L315" t="n">
        <v>0</v>
      </c>
      <c r="M315" t="n">
        <v>0</v>
      </c>
      <c r="N315" t="n">
        <v>0</v>
      </c>
      <c r="O315" t="n">
        <v>0</v>
      </c>
      <c r="P315" t="n">
        <v>0</v>
      </c>
      <c r="Q315" t="n">
        <v>0</v>
      </c>
      <c r="R315" s="2" t="inlineStr"/>
    </row>
    <row r="316" ht="15" customHeight="1">
      <c r="A316" t="inlineStr">
        <is>
          <t>A 56713-2024</t>
        </is>
      </c>
      <c r="B316" s="1" t="n">
        <v>45628</v>
      </c>
      <c r="C316" s="1" t="n">
        <v>45995</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51524-2022</t>
        </is>
      </c>
      <c r="B317" s="1" t="n">
        <v>44869</v>
      </c>
      <c r="C317" s="1" t="n">
        <v>45995</v>
      </c>
      <c r="D317" t="inlineStr">
        <is>
          <t>UPPSALA LÄN</t>
        </is>
      </c>
      <c r="E317" t="inlineStr">
        <is>
          <t>ENKÖPING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8137-2025</t>
        </is>
      </c>
      <c r="B318" s="1" t="n">
        <v>45707.8561574074</v>
      </c>
      <c r="C318" s="1" t="n">
        <v>45995</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7868-2024</t>
        </is>
      </c>
      <c r="B319" s="1" t="n">
        <v>45350.33020833333</v>
      </c>
      <c r="C319" s="1" t="n">
        <v>45995</v>
      </c>
      <c r="D319" t="inlineStr">
        <is>
          <t>UPPSALA LÄN</t>
        </is>
      </c>
      <c r="E319" t="inlineStr">
        <is>
          <t>ENKÖPING</t>
        </is>
      </c>
      <c r="G319" t="n">
        <v>0.3</v>
      </c>
      <c r="H319" t="n">
        <v>0</v>
      </c>
      <c r="I319" t="n">
        <v>0</v>
      </c>
      <c r="J319" t="n">
        <v>0</v>
      </c>
      <c r="K319" t="n">
        <v>0</v>
      </c>
      <c r="L319" t="n">
        <v>0</v>
      </c>
      <c r="M319" t="n">
        <v>0</v>
      </c>
      <c r="N319" t="n">
        <v>0</v>
      </c>
      <c r="O319" t="n">
        <v>0</v>
      </c>
      <c r="P319" t="n">
        <v>0</v>
      </c>
      <c r="Q319" t="n">
        <v>0</v>
      </c>
      <c r="R319" s="2" t="inlineStr"/>
    </row>
    <row r="320" ht="15" customHeight="1">
      <c r="A320" t="inlineStr">
        <is>
          <t>A 51008-2024</t>
        </is>
      </c>
      <c r="B320" s="1" t="n">
        <v>45603.39041666667</v>
      </c>
      <c r="C320" s="1" t="n">
        <v>45995</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35052-2024</t>
        </is>
      </c>
      <c r="B321" s="1" t="n">
        <v>45527.6516087963</v>
      </c>
      <c r="C321" s="1" t="n">
        <v>45995</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15939-2022</t>
        </is>
      </c>
      <c r="B322" s="1" t="n">
        <v>44664</v>
      </c>
      <c r="C322" s="1" t="n">
        <v>45995</v>
      </c>
      <c r="D322" t="inlineStr">
        <is>
          <t>UPPSALA LÄN</t>
        </is>
      </c>
      <c r="E322" t="inlineStr">
        <is>
          <t>ENKÖPING</t>
        </is>
      </c>
      <c r="G322" t="n">
        <v>2</v>
      </c>
      <c r="H322" t="n">
        <v>0</v>
      </c>
      <c r="I322" t="n">
        <v>0</v>
      </c>
      <c r="J322" t="n">
        <v>0</v>
      </c>
      <c r="K322" t="n">
        <v>0</v>
      </c>
      <c r="L322" t="n">
        <v>0</v>
      </c>
      <c r="M322" t="n">
        <v>0</v>
      </c>
      <c r="N322" t="n">
        <v>0</v>
      </c>
      <c r="O322" t="n">
        <v>0</v>
      </c>
      <c r="P322" t="n">
        <v>0</v>
      </c>
      <c r="Q322" t="n">
        <v>0</v>
      </c>
      <c r="R322" s="2" t="inlineStr"/>
    </row>
    <row r="323" ht="15" customHeight="1">
      <c r="A323" t="inlineStr">
        <is>
          <t>A 56625-2025</t>
        </is>
      </c>
      <c r="B323" s="1" t="n">
        <v>45975.60608796297</v>
      </c>
      <c r="C323" s="1" t="n">
        <v>45995</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50394-2024</t>
        </is>
      </c>
      <c r="B324" s="1" t="n">
        <v>45600</v>
      </c>
      <c r="C324" s="1" t="n">
        <v>45995</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72840-2021</t>
        </is>
      </c>
      <c r="B325" s="1" t="n">
        <v>44547</v>
      </c>
      <c r="C325" s="1" t="n">
        <v>45995</v>
      </c>
      <c r="D325" t="inlineStr">
        <is>
          <t>UPPSALA LÄN</t>
        </is>
      </c>
      <c r="E325" t="inlineStr">
        <is>
          <t>ENKÖPING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48423-2025</t>
        </is>
      </c>
      <c r="B326" s="1" t="n">
        <v>45934.68024305555</v>
      </c>
      <c r="C326" s="1" t="n">
        <v>45995</v>
      </c>
      <c r="D326" t="inlineStr">
        <is>
          <t>UPPSALA LÄN</t>
        </is>
      </c>
      <c r="E326" t="inlineStr">
        <is>
          <t>ENKÖPING</t>
        </is>
      </c>
      <c r="G326" t="n">
        <v>4.3</v>
      </c>
      <c r="H326" t="n">
        <v>0</v>
      </c>
      <c r="I326" t="n">
        <v>0</v>
      </c>
      <c r="J326" t="n">
        <v>0</v>
      </c>
      <c r="K326" t="n">
        <v>0</v>
      </c>
      <c r="L326" t="n">
        <v>0</v>
      </c>
      <c r="M326" t="n">
        <v>0</v>
      </c>
      <c r="N326" t="n">
        <v>0</v>
      </c>
      <c r="O326" t="n">
        <v>0</v>
      </c>
      <c r="P326" t="n">
        <v>0</v>
      </c>
      <c r="Q326" t="n">
        <v>0</v>
      </c>
      <c r="R326" s="2" t="inlineStr"/>
    </row>
    <row r="327" ht="15" customHeight="1">
      <c r="A327" t="inlineStr">
        <is>
          <t>A 48424-2025</t>
        </is>
      </c>
      <c r="B327" s="1" t="n">
        <v>45934.69131944444</v>
      </c>
      <c r="C327" s="1" t="n">
        <v>45995</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45995</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7090-2022</t>
        </is>
      </c>
      <c r="B329" s="1" t="n">
        <v>44603.59520833333</v>
      </c>
      <c r="C329" s="1" t="n">
        <v>45995</v>
      </c>
      <c r="D329" t="inlineStr">
        <is>
          <t>UPPSALA LÄN</t>
        </is>
      </c>
      <c r="E329" t="inlineStr">
        <is>
          <t>ENKÖPING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49063-2024</t>
        </is>
      </c>
      <c r="B330" s="1" t="n">
        <v>45594.59869212963</v>
      </c>
      <c r="C330" s="1" t="n">
        <v>45995</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14083-2025</t>
        </is>
      </c>
      <c r="B331" s="1" t="n">
        <v>45740</v>
      </c>
      <c r="C331" s="1" t="n">
        <v>45995</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48678-2025</t>
        </is>
      </c>
      <c r="B332" s="1" t="n">
        <v>45936.59168981481</v>
      </c>
      <c r="C332" s="1" t="n">
        <v>45995</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19298-2023</t>
        </is>
      </c>
      <c r="B333" s="1" t="n">
        <v>45048</v>
      </c>
      <c r="C333" s="1" t="n">
        <v>45995</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14518-2025</t>
        </is>
      </c>
      <c r="B334" s="1" t="n">
        <v>45741</v>
      </c>
      <c r="C334" s="1" t="n">
        <v>45995</v>
      </c>
      <c r="D334" t="inlineStr">
        <is>
          <t>UPPSALA LÄN</t>
        </is>
      </c>
      <c r="E334" t="inlineStr">
        <is>
          <t>ENKÖPING</t>
        </is>
      </c>
      <c r="G334" t="n">
        <v>2</v>
      </c>
      <c r="H334" t="n">
        <v>0</v>
      </c>
      <c r="I334" t="n">
        <v>0</v>
      </c>
      <c r="J334" t="n">
        <v>0</v>
      </c>
      <c r="K334" t="n">
        <v>0</v>
      </c>
      <c r="L334" t="n">
        <v>0</v>
      </c>
      <c r="M334" t="n">
        <v>0</v>
      </c>
      <c r="N334" t="n">
        <v>0</v>
      </c>
      <c r="O334" t="n">
        <v>0</v>
      </c>
      <c r="P334" t="n">
        <v>0</v>
      </c>
      <c r="Q334" t="n">
        <v>0</v>
      </c>
      <c r="R334" s="2" t="inlineStr"/>
    </row>
    <row r="335" ht="15" customHeight="1">
      <c r="A335" t="inlineStr">
        <is>
          <t>A 57294-2025</t>
        </is>
      </c>
      <c r="B335" s="1" t="n">
        <v>45979</v>
      </c>
      <c r="C335" s="1" t="n">
        <v>45995</v>
      </c>
      <c r="D335" t="inlineStr">
        <is>
          <t>UPPSALA LÄN</t>
        </is>
      </c>
      <c r="E335" t="inlineStr">
        <is>
          <t>ENKÖPING</t>
        </is>
      </c>
      <c r="G335" t="n">
        <v>6.2</v>
      </c>
      <c r="H335" t="n">
        <v>0</v>
      </c>
      <c r="I335" t="n">
        <v>0</v>
      </c>
      <c r="J335" t="n">
        <v>0</v>
      </c>
      <c r="K335" t="n">
        <v>0</v>
      </c>
      <c r="L335" t="n">
        <v>0</v>
      </c>
      <c r="M335" t="n">
        <v>0</v>
      </c>
      <c r="N335" t="n">
        <v>0</v>
      </c>
      <c r="O335" t="n">
        <v>0</v>
      </c>
      <c r="P335" t="n">
        <v>0</v>
      </c>
      <c r="Q335" t="n">
        <v>0</v>
      </c>
      <c r="R335" s="2" t="inlineStr"/>
    </row>
    <row r="336" ht="15" customHeight="1">
      <c r="A336" t="inlineStr">
        <is>
          <t>A 15409-2025</t>
        </is>
      </c>
      <c r="B336" s="1" t="n">
        <v>45747</v>
      </c>
      <c r="C336" s="1" t="n">
        <v>45995</v>
      </c>
      <c r="D336" t="inlineStr">
        <is>
          <t>UPPSALA LÄN</t>
        </is>
      </c>
      <c r="E336" t="inlineStr">
        <is>
          <t>ENKÖPING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49068-2025</t>
        </is>
      </c>
      <c r="B337" s="1" t="n">
        <v>45937.64766203704</v>
      </c>
      <c r="C337" s="1" t="n">
        <v>45995</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54776-2024</t>
        </is>
      </c>
      <c r="B338" s="1" t="n">
        <v>45618</v>
      </c>
      <c r="C338" s="1" t="n">
        <v>45995</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22150-2025</t>
        </is>
      </c>
      <c r="B339" s="1" t="n">
        <v>45785.56398148148</v>
      </c>
      <c r="C339" s="1" t="n">
        <v>45995</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22156-2025</t>
        </is>
      </c>
      <c r="B340" s="1" t="n">
        <v>45785.57512731481</v>
      </c>
      <c r="C340" s="1" t="n">
        <v>45995</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34617-2022</t>
        </is>
      </c>
      <c r="B341" s="1" t="n">
        <v>44795</v>
      </c>
      <c r="C341" s="1" t="n">
        <v>45995</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39439-2025</t>
        </is>
      </c>
      <c r="B342" s="1" t="n">
        <v>45889</v>
      </c>
      <c r="C342" s="1" t="n">
        <v>45995</v>
      </c>
      <c r="D342" t="inlineStr">
        <is>
          <t>UPPSALA LÄN</t>
        </is>
      </c>
      <c r="E342" t="inlineStr">
        <is>
          <t>ENKÖPING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30087-2024</t>
        </is>
      </c>
      <c r="B343" s="1" t="n">
        <v>45489.39447916667</v>
      </c>
      <c r="C343" s="1" t="n">
        <v>45995</v>
      </c>
      <c r="D343" t="inlineStr">
        <is>
          <t>UPPSALA LÄN</t>
        </is>
      </c>
      <c r="E343" t="inlineStr">
        <is>
          <t>ENKÖPING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22677-2025</t>
        </is>
      </c>
      <c r="B344" s="1" t="n">
        <v>45789.49515046296</v>
      </c>
      <c r="C344" s="1" t="n">
        <v>45995</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22679-2025</t>
        </is>
      </c>
      <c r="B345" s="1" t="n">
        <v>45789.49747685185</v>
      </c>
      <c r="C345" s="1" t="n">
        <v>45995</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22729-2025</t>
        </is>
      </c>
      <c r="B346" s="1" t="n">
        <v>45789.57790509259</v>
      </c>
      <c r="C346" s="1" t="n">
        <v>45995</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22786-2025</t>
        </is>
      </c>
      <c r="B347" s="1" t="n">
        <v>45789.64643518518</v>
      </c>
      <c r="C347" s="1" t="n">
        <v>45995</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22795-2025</t>
        </is>
      </c>
      <c r="B348" s="1" t="n">
        <v>45789.65944444444</v>
      </c>
      <c r="C348" s="1" t="n">
        <v>45995</v>
      </c>
      <c r="D348" t="inlineStr">
        <is>
          <t>UPPSALA LÄN</t>
        </is>
      </c>
      <c r="E348" t="inlineStr">
        <is>
          <t>ENKÖPING</t>
        </is>
      </c>
      <c r="G348" t="n">
        <v>10.4</v>
      </c>
      <c r="H348" t="n">
        <v>0</v>
      </c>
      <c r="I348" t="n">
        <v>0</v>
      </c>
      <c r="J348" t="n">
        <v>0</v>
      </c>
      <c r="K348" t="n">
        <v>0</v>
      </c>
      <c r="L348" t="n">
        <v>0</v>
      </c>
      <c r="M348" t="n">
        <v>0</v>
      </c>
      <c r="N348" t="n">
        <v>0</v>
      </c>
      <c r="O348" t="n">
        <v>0</v>
      </c>
      <c r="P348" t="n">
        <v>0</v>
      </c>
      <c r="Q348" t="n">
        <v>0</v>
      </c>
      <c r="R348" s="2" t="inlineStr"/>
    </row>
    <row r="349" ht="15" customHeight="1">
      <c r="A349" t="inlineStr">
        <is>
          <t>A 22802-2025</t>
        </is>
      </c>
      <c r="B349" s="1" t="n">
        <v>45789.6686574074</v>
      </c>
      <c r="C349" s="1" t="n">
        <v>45995</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40202-2024</t>
        </is>
      </c>
      <c r="B350" s="1" t="n">
        <v>45554</v>
      </c>
      <c r="C350" s="1" t="n">
        <v>45995</v>
      </c>
      <c r="D350" t="inlineStr">
        <is>
          <t>UPPSALA LÄN</t>
        </is>
      </c>
      <c r="E350" t="inlineStr">
        <is>
          <t>ENKÖPING</t>
        </is>
      </c>
      <c r="G350" t="n">
        <v>6.2</v>
      </c>
      <c r="H350" t="n">
        <v>0</v>
      </c>
      <c r="I350" t="n">
        <v>0</v>
      </c>
      <c r="J350" t="n">
        <v>0</v>
      </c>
      <c r="K350" t="n">
        <v>0</v>
      </c>
      <c r="L350" t="n">
        <v>0</v>
      </c>
      <c r="M350" t="n">
        <v>0</v>
      </c>
      <c r="N350" t="n">
        <v>0</v>
      </c>
      <c r="O350" t="n">
        <v>0</v>
      </c>
      <c r="P350" t="n">
        <v>0</v>
      </c>
      <c r="Q350" t="n">
        <v>0</v>
      </c>
      <c r="R350" s="2" t="inlineStr"/>
    </row>
    <row r="351" ht="15" customHeight="1">
      <c r="A351" t="inlineStr">
        <is>
          <t>A 40223-2024</t>
        </is>
      </c>
      <c r="B351" s="1" t="n">
        <v>45554</v>
      </c>
      <c r="C351" s="1" t="n">
        <v>45995</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69879-2021</t>
        </is>
      </c>
      <c r="B352" s="1" t="n">
        <v>44532</v>
      </c>
      <c r="C352" s="1" t="n">
        <v>45995</v>
      </c>
      <c r="D352" t="inlineStr">
        <is>
          <t>UPPSALA LÄN</t>
        </is>
      </c>
      <c r="E352" t="inlineStr">
        <is>
          <t>ENKÖPING</t>
        </is>
      </c>
      <c r="G352" t="n">
        <v>4.2</v>
      </c>
      <c r="H352" t="n">
        <v>0</v>
      </c>
      <c r="I352" t="n">
        <v>0</v>
      </c>
      <c r="J352" t="n">
        <v>0</v>
      </c>
      <c r="K352" t="n">
        <v>0</v>
      </c>
      <c r="L352" t="n">
        <v>0</v>
      </c>
      <c r="M352" t="n">
        <v>0</v>
      </c>
      <c r="N352" t="n">
        <v>0</v>
      </c>
      <c r="O352" t="n">
        <v>0</v>
      </c>
      <c r="P352" t="n">
        <v>0</v>
      </c>
      <c r="Q352" t="n">
        <v>0</v>
      </c>
      <c r="R352" s="2" t="inlineStr"/>
    </row>
    <row r="353" ht="15" customHeight="1">
      <c r="A353" t="inlineStr">
        <is>
          <t>A 22680-2025</t>
        </is>
      </c>
      <c r="B353" s="1" t="n">
        <v>45789.5005787037</v>
      </c>
      <c r="C353" s="1" t="n">
        <v>45995</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6981-2025</t>
        </is>
      </c>
      <c r="B354" s="1" t="n">
        <v>45701</v>
      </c>
      <c r="C354" s="1" t="n">
        <v>45995</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19013-2025</t>
        </is>
      </c>
      <c r="B355" s="1" t="n">
        <v>45764.59533564815</v>
      </c>
      <c r="C355" s="1" t="n">
        <v>45995</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57335-2024</t>
        </is>
      </c>
      <c r="B356" s="1" t="n">
        <v>45629.63302083333</v>
      </c>
      <c r="C356" s="1" t="n">
        <v>45995</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43103-2025</t>
        </is>
      </c>
      <c r="B357" s="1" t="n">
        <v>45909</v>
      </c>
      <c r="C357" s="1" t="n">
        <v>45995</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22770-2025</t>
        </is>
      </c>
      <c r="B358" s="1" t="n">
        <v>45789.63454861111</v>
      </c>
      <c r="C358" s="1" t="n">
        <v>45995</v>
      </c>
      <c r="D358" t="inlineStr">
        <is>
          <t>UPPSALA LÄN</t>
        </is>
      </c>
      <c r="E358" t="inlineStr">
        <is>
          <t>ENKÖPING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22725-2025</t>
        </is>
      </c>
      <c r="B359" s="1" t="n">
        <v>45789.57371527778</v>
      </c>
      <c r="C359" s="1" t="n">
        <v>45995</v>
      </c>
      <c r="D359" t="inlineStr">
        <is>
          <t>UPPSALA LÄN</t>
        </is>
      </c>
      <c r="E359" t="inlineStr">
        <is>
          <t>ENKÖPING</t>
        </is>
      </c>
      <c r="G359" t="n">
        <v>4.8</v>
      </c>
      <c r="H359" t="n">
        <v>0</v>
      </c>
      <c r="I359" t="n">
        <v>0</v>
      </c>
      <c r="J359" t="n">
        <v>0</v>
      </c>
      <c r="K359" t="n">
        <v>0</v>
      </c>
      <c r="L359" t="n">
        <v>0</v>
      </c>
      <c r="M359" t="n">
        <v>0</v>
      </c>
      <c r="N359" t="n">
        <v>0</v>
      </c>
      <c r="O359" t="n">
        <v>0</v>
      </c>
      <c r="P359" t="n">
        <v>0</v>
      </c>
      <c r="Q359" t="n">
        <v>0</v>
      </c>
      <c r="R359" s="2" t="inlineStr"/>
    </row>
    <row r="360" ht="15" customHeight="1">
      <c r="A360" t="inlineStr">
        <is>
          <t>A 23301-2024</t>
        </is>
      </c>
      <c r="B360" s="1" t="n">
        <v>45453.4396412037</v>
      </c>
      <c r="C360" s="1" t="n">
        <v>45995</v>
      </c>
      <c r="D360" t="inlineStr">
        <is>
          <t>UPPSALA LÄN</t>
        </is>
      </c>
      <c r="E360" t="inlineStr">
        <is>
          <t>ENKÖPING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22981-2025</t>
        </is>
      </c>
      <c r="B361" s="1" t="n">
        <v>45790.56964120371</v>
      </c>
      <c r="C361" s="1" t="n">
        <v>45995</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2833-2025</t>
        </is>
      </c>
      <c r="B362" s="1" t="n">
        <v>45677.63206018518</v>
      </c>
      <c r="C362" s="1" t="n">
        <v>45995</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68123-2021</t>
        </is>
      </c>
      <c r="B363" s="1" t="n">
        <v>44526.39126157408</v>
      </c>
      <c r="C363" s="1" t="n">
        <v>45995</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22793-2025</t>
        </is>
      </c>
      <c r="B364" s="1" t="n">
        <v>45789.65693287037</v>
      </c>
      <c r="C364" s="1" t="n">
        <v>45995</v>
      </c>
      <c r="D364" t="inlineStr">
        <is>
          <t>UPPSALA LÄN</t>
        </is>
      </c>
      <c r="E364" t="inlineStr">
        <is>
          <t>ENKÖPING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22800-2025</t>
        </is>
      </c>
      <c r="B365" s="1" t="n">
        <v>45789.6669212963</v>
      </c>
      <c r="C365" s="1" t="n">
        <v>45995</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49073-2025</t>
        </is>
      </c>
      <c r="B366" s="1" t="n">
        <v>45937.65512731481</v>
      </c>
      <c r="C366" s="1" t="n">
        <v>45995</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33619-2022</t>
        </is>
      </c>
      <c r="B367" s="1" t="n">
        <v>44789</v>
      </c>
      <c r="C367" s="1" t="n">
        <v>45995</v>
      </c>
      <c r="D367" t="inlineStr">
        <is>
          <t>UPPSALA LÄN</t>
        </is>
      </c>
      <c r="E367" t="inlineStr">
        <is>
          <t>ENKÖPING</t>
        </is>
      </c>
      <c r="F367" t="inlineStr">
        <is>
          <t>Allmännings- och besparingsskogar</t>
        </is>
      </c>
      <c r="G367" t="n">
        <v>4.5</v>
      </c>
      <c r="H367" t="n">
        <v>0</v>
      </c>
      <c r="I367" t="n">
        <v>0</v>
      </c>
      <c r="J367" t="n">
        <v>0</v>
      </c>
      <c r="K367" t="n">
        <v>0</v>
      </c>
      <c r="L367" t="n">
        <v>0</v>
      </c>
      <c r="M367" t="n">
        <v>0</v>
      </c>
      <c r="N367" t="n">
        <v>0</v>
      </c>
      <c r="O367" t="n">
        <v>0</v>
      </c>
      <c r="P367" t="n">
        <v>0</v>
      </c>
      <c r="Q367" t="n">
        <v>0</v>
      </c>
      <c r="R367" s="2" t="inlineStr"/>
    </row>
    <row r="368" ht="15" customHeight="1">
      <c r="A368" t="inlineStr">
        <is>
          <t>A 31604-2023</t>
        </is>
      </c>
      <c r="B368" s="1" t="n">
        <v>45117.50368055556</v>
      </c>
      <c r="C368" s="1" t="n">
        <v>45995</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59602-2024</t>
        </is>
      </c>
      <c r="B369" s="1" t="n">
        <v>45638</v>
      </c>
      <c r="C369" s="1" t="n">
        <v>45995</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14243-2025</t>
        </is>
      </c>
      <c r="B370" s="1" t="n">
        <v>45740.61288194444</v>
      </c>
      <c r="C370" s="1" t="n">
        <v>45995</v>
      </c>
      <c r="D370" t="inlineStr">
        <is>
          <t>UPPSALA LÄN</t>
        </is>
      </c>
      <c r="E370" t="inlineStr">
        <is>
          <t>ENKÖPING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19488-2022</t>
        </is>
      </c>
      <c r="B371" s="1" t="n">
        <v>44693</v>
      </c>
      <c r="C371" s="1" t="n">
        <v>45995</v>
      </c>
      <c r="D371" t="inlineStr">
        <is>
          <t>UPPSALA LÄN</t>
        </is>
      </c>
      <c r="E371" t="inlineStr">
        <is>
          <t>ENKÖPING</t>
        </is>
      </c>
      <c r="G371" t="n">
        <v>7.8</v>
      </c>
      <c r="H371" t="n">
        <v>0</v>
      </c>
      <c r="I371" t="n">
        <v>0</v>
      </c>
      <c r="J371" t="n">
        <v>0</v>
      </c>
      <c r="K371" t="n">
        <v>0</v>
      </c>
      <c r="L371" t="n">
        <v>0</v>
      </c>
      <c r="M371" t="n">
        <v>0</v>
      </c>
      <c r="N371" t="n">
        <v>0</v>
      </c>
      <c r="O371" t="n">
        <v>0</v>
      </c>
      <c r="P371" t="n">
        <v>0</v>
      </c>
      <c r="Q371" t="n">
        <v>0</v>
      </c>
      <c r="R371" s="2" t="inlineStr"/>
    </row>
    <row r="372" ht="15" customHeight="1">
      <c r="A372" t="inlineStr">
        <is>
          <t>A 41826-2024</t>
        </is>
      </c>
      <c r="B372" s="1" t="n">
        <v>45561</v>
      </c>
      <c r="C372" s="1" t="n">
        <v>45995</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16916-2022</t>
        </is>
      </c>
      <c r="B373" s="1" t="n">
        <v>44676</v>
      </c>
      <c r="C373" s="1" t="n">
        <v>45995</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44115-2024</t>
        </is>
      </c>
      <c r="B374" s="1" t="n">
        <v>45572</v>
      </c>
      <c r="C374" s="1" t="n">
        <v>45995</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17729-2023</t>
        </is>
      </c>
      <c r="B375" s="1" t="n">
        <v>45037</v>
      </c>
      <c r="C375" s="1" t="n">
        <v>45995</v>
      </c>
      <c r="D375" t="inlineStr">
        <is>
          <t>UPPSALA LÄN</t>
        </is>
      </c>
      <c r="E375" t="inlineStr">
        <is>
          <t>ENKÖPING</t>
        </is>
      </c>
      <c r="G375" t="n">
        <v>10.2</v>
      </c>
      <c r="H375" t="n">
        <v>0</v>
      </c>
      <c r="I375" t="n">
        <v>0</v>
      </c>
      <c r="J375" t="n">
        <v>0</v>
      </c>
      <c r="K375" t="n">
        <v>0</v>
      </c>
      <c r="L375" t="n">
        <v>0</v>
      </c>
      <c r="M375" t="n">
        <v>0</v>
      </c>
      <c r="N375" t="n">
        <v>0</v>
      </c>
      <c r="O375" t="n">
        <v>0</v>
      </c>
      <c r="P375" t="n">
        <v>0</v>
      </c>
      <c r="Q375" t="n">
        <v>0</v>
      </c>
      <c r="R375" s="2" t="inlineStr"/>
    </row>
    <row r="376" ht="15" customHeight="1">
      <c r="A376" t="inlineStr">
        <is>
          <t>A 5749-2025</t>
        </is>
      </c>
      <c r="B376" s="1" t="n">
        <v>45694</v>
      </c>
      <c r="C376" s="1" t="n">
        <v>45995</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30634-2022</t>
        </is>
      </c>
      <c r="B377" s="1" t="n">
        <v>44763.45711805556</v>
      </c>
      <c r="C377" s="1" t="n">
        <v>45995</v>
      </c>
      <c r="D377" t="inlineStr">
        <is>
          <t>UPPSALA LÄN</t>
        </is>
      </c>
      <c r="E377" t="inlineStr">
        <is>
          <t>ENKÖPING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58025-2025</t>
        </is>
      </c>
      <c r="B378" s="1" t="n">
        <v>45982</v>
      </c>
      <c r="C378" s="1" t="n">
        <v>45995</v>
      </c>
      <c r="D378" t="inlineStr">
        <is>
          <t>UPPSALA LÄN</t>
        </is>
      </c>
      <c r="E378" t="inlineStr">
        <is>
          <t>ENKÖPING</t>
        </is>
      </c>
      <c r="G378" t="n">
        <v>3.2</v>
      </c>
      <c r="H378" t="n">
        <v>0</v>
      </c>
      <c r="I378" t="n">
        <v>0</v>
      </c>
      <c r="J378" t="n">
        <v>0</v>
      </c>
      <c r="K378" t="n">
        <v>0</v>
      </c>
      <c r="L378" t="n">
        <v>0</v>
      </c>
      <c r="M378" t="n">
        <v>0</v>
      </c>
      <c r="N378" t="n">
        <v>0</v>
      </c>
      <c r="O378" t="n">
        <v>0</v>
      </c>
      <c r="P378" t="n">
        <v>0</v>
      </c>
      <c r="Q378" t="n">
        <v>0</v>
      </c>
      <c r="R378" s="2" t="inlineStr"/>
    </row>
    <row r="379" ht="15" customHeight="1">
      <c r="A379" t="inlineStr">
        <is>
          <t>A 57188-2025</t>
        </is>
      </c>
      <c r="B379" s="1" t="n">
        <v>45979</v>
      </c>
      <c r="C379" s="1" t="n">
        <v>45995</v>
      </c>
      <c r="D379" t="inlineStr">
        <is>
          <t>UPPSALA LÄN</t>
        </is>
      </c>
      <c r="E379" t="inlineStr">
        <is>
          <t>ENKÖPING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8020-2022</t>
        </is>
      </c>
      <c r="B380" s="1" t="n">
        <v>44609</v>
      </c>
      <c r="C380" s="1" t="n">
        <v>45995</v>
      </c>
      <c r="D380" t="inlineStr">
        <is>
          <t>UPPSALA LÄN</t>
        </is>
      </c>
      <c r="E380" t="inlineStr">
        <is>
          <t>ENKÖPING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3300-2025</t>
        </is>
      </c>
      <c r="B381" s="1" t="n">
        <v>45679</v>
      </c>
      <c r="C381" s="1" t="n">
        <v>45995</v>
      </c>
      <c r="D381" t="inlineStr">
        <is>
          <t>UPPSALA LÄN</t>
        </is>
      </c>
      <c r="E381" t="inlineStr">
        <is>
          <t>ENKÖPING</t>
        </is>
      </c>
      <c r="G381" t="n">
        <v>8.9</v>
      </c>
      <c r="H381" t="n">
        <v>0</v>
      </c>
      <c r="I381" t="n">
        <v>0</v>
      </c>
      <c r="J381" t="n">
        <v>0</v>
      </c>
      <c r="K381" t="n">
        <v>0</v>
      </c>
      <c r="L381" t="n">
        <v>0</v>
      </c>
      <c r="M381" t="n">
        <v>0</v>
      </c>
      <c r="N381" t="n">
        <v>0</v>
      </c>
      <c r="O381" t="n">
        <v>0</v>
      </c>
      <c r="P381" t="n">
        <v>0</v>
      </c>
      <c r="Q381" t="n">
        <v>0</v>
      </c>
      <c r="R381" s="2" t="inlineStr"/>
    </row>
    <row r="382" ht="15" customHeight="1">
      <c r="A382" t="inlineStr">
        <is>
          <t>A 34805-2024</t>
        </is>
      </c>
      <c r="B382" s="1" t="n">
        <v>45526</v>
      </c>
      <c r="C382" s="1" t="n">
        <v>45995</v>
      </c>
      <c r="D382" t="inlineStr">
        <is>
          <t>UPPSALA LÄN</t>
        </is>
      </c>
      <c r="E382" t="inlineStr">
        <is>
          <t>ENKÖPING</t>
        </is>
      </c>
      <c r="G382" t="n">
        <v>3.6</v>
      </c>
      <c r="H382" t="n">
        <v>0</v>
      </c>
      <c r="I382" t="n">
        <v>0</v>
      </c>
      <c r="J382" t="n">
        <v>0</v>
      </c>
      <c r="K382" t="n">
        <v>0</v>
      </c>
      <c r="L382" t="n">
        <v>0</v>
      </c>
      <c r="M382" t="n">
        <v>0</v>
      </c>
      <c r="N382" t="n">
        <v>0</v>
      </c>
      <c r="O382" t="n">
        <v>0</v>
      </c>
      <c r="P382" t="n">
        <v>0</v>
      </c>
      <c r="Q382" t="n">
        <v>0</v>
      </c>
      <c r="R382" s="2" t="inlineStr"/>
    </row>
    <row r="383" ht="15" customHeight="1">
      <c r="A383" t="inlineStr">
        <is>
          <t>A 314-2025</t>
        </is>
      </c>
      <c r="B383" s="1" t="n">
        <v>45656</v>
      </c>
      <c r="C383" s="1" t="n">
        <v>45995</v>
      </c>
      <c r="D383" t="inlineStr">
        <is>
          <t>UPPSALA LÄN</t>
        </is>
      </c>
      <c r="E383" t="inlineStr">
        <is>
          <t>ENKÖPING</t>
        </is>
      </c>
      <c r="G383" t="n">
        <v>9</v>
      </c>
      <c r="H383" t="n">
        <v>0</v>
      </c>
      <c r="I383" t="n">
        <v>0</v>
      </c>
      <c r="J383" t="n">
        <v>0</v>
      </c>
      <c r="K383" t="n">
        <v>0</v>
      </c>
      <c r="L383" t="n">
        <v>0</v>
      </c>
      <c r="M383" t="n">
        <v>0</v>
      </c>
      <c r="N383" t="n">
        <v>0</v>
      </c>
      <c r="O383" t="n">
        <v>0</v>
      </c>
      <c r="P383" t="n">
        <v>0</v>
      </c>
      <c r="Q383" t="n">
        <v>0</v>
      </c>
      <c r="R383" s="2" t="inlineStr"/>
    </row>
    <row r="384" ht="15" customHeight="1">
      <c r="A384" t="inlineStr">
        <is>
          <t>A 51162-2025</t>
        </is>
      </c>
      <c r="B384" s="1" t="n">
        <v>45947.58820601852</v>
      </c>
      <c r="C384" s="1" t="n">
        <v>45995</v>
      </c>
      <c r="D384" t="inlineStr">
        <is>
          <t>UPPSALA LÄN</t>
        </is>
      </c>
      <c r="E384" t="inlineStr">
        <is>
          <t>ENKÖPING</t>
        </is>
      </c>
      <c r="G384" t="n">
        <v>3.4</v>
      </c>
      <c r="H384" t="n">
        <v>0</v>
      </c>
      <c r="I384" t="n">
        <v>0</v>
      </c>
      <c r="J384" t="n">
        <v>0</v>
      </c>
      <c r="K384" t="n">
        <v>0</v>
      </c>
      <c r="L384" t="n">
        <v>0</v>
      </c>
      <c r="M384" t="n">
        <v>0</v>
      </c>
      <c r="N384" t="n">
        <v>0</v>
      </c>
      <c r="O384" t="n">
        <v>0</v>
      </c>
      <c r="P384" t="n">
        <v>0</v>
      </c>
      <c r="Q384" t="n">
        <v>0</v>
      </c>
      <c r="R384" s="2" t="inlineStr"/>
    </row>
    <row r="385" ht="15" customHeight="1">
      <c r="A385" t="inlineStr">
        <is>
          <t>A 10831-2024</t>
        </is>
      </c>
      <c r="B385" s="1" t="n">
        <v>45369</v>
      </c>
      <c r="C385" s="1" t="n">
        <v>45995</v>
      </c>
      <c r="D385" t="inlineStr">
        <is>
          <t>UPPSALA LÄN</t>
        </is>
      </c>
      <c r="E385" t="inlineStr">
        <is>
          <t>ENKÖPING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51133-2025</t>
        </is>
      </c>
      <c r="B386" s="1" t="n">
        <v>45947.55598379629</v>
      </c>
      <c r="C386" s="1" t="n">
        <v>45995</v>
      </c>
      <c r="D386" t="inlineStr">
        <is>
          <t>UPPSALA LÄN</t>
        </is>
      </c>
      <c r="E386" t="inlineStr">
        <is>
          <t>ENKÖPING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5712-2025</t>
        </is>
      </c>
      <c r="B387" s="1" t="n">
        <v>45694</v>
      </c>
      <c r="C387" s="1" t="n">
        <v>45995</v>
      </c>
      <c r="D387" t="inlineStr">
        <is>
          <t>UPPSALA LÄN</t>
        </is>
      </c>
      <c r="E387" t="inlineStr">
        <is>
          <t>ENKÖPING</t>
        </is>
      </c>
      <c r="G387" t="n">
        <v>5.1</v>
      </c>
      <c r="H387" t="n">
        <v>0</v>
      </c>
      <c r="I387" t="n">
        <v>0</v>
      </c>
      <c r="J387" t="n">
        <v>0</v>
      </c>
      <c r="K387" t="n">
        <v>0</v>
      </c>
      <c r="L387" t="n">
        <v>0</v>
      </c>
      <c r="M387" t="n">
        <v>0</v>
      </c>
      <c r="N387" t="n">
        <v>0</v>
      </c>
      <c r="O387" t="n">
        <v>0</v>
      </c>
      <c r="P387" t="n">
        <v>0</v>
      </c>
      <c r="Q387" t="n">
        <v>0</v>
      </c>
      <c r="R387" s="2" t="inlineStr"/>
    </row>
    <row r="388" ht="15" customHeight="1">
      <c r="A388" t="inlineStr">
        <is>
          <t>A 45956-2024</t>
        </is>
      </c>
      <c r="B388" s="1" t="n">
        <v>45580</v>
      </c>
      <c r="C388" s="1" t="n">
        <v>45995</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51120-2023</t>
        </is>
      </c>
      <c r="B389" s="1" t="n">
        <v>45219.3088425926</v>
      </c>
      <c r="C389" s="1" t="n">
        <v>45995</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11627-2025</t>
        </is>
      </c>
      <c r="B390" s="1" t="n">
        <v>45727</v>
      </c>
      <c r="C390" s="1" t="n">
        <v>45995</v>
      </c>
      <c r="D390" t="inlineStr">
        <is>
          <t>UPPSALA LÄN</t>
        </is>
      </c>
      <c r="E390" t="inlineStr">
        <is>
          <t>ENKÖPING</t>
        </is>
      </c>
      <c r="G390" t="n">
        <v>5.5</v>
      </c>
      <c r="H390" t="n">
        <v>0</v>
      </c>
      <c r="I390" t="n">
        <v>0</v>
      </c>
      <c r="J390" t="n">
        <v>0</v>
      </c>
      <c r="K390" t="n">
        <v>0</v>
      </c>
      <c r="L390" t="n">
        <v>0</v>
      </c>
      <c r="M390" t="n">
        <v>0</v>
      </c>
      <c r="N390" t="n">
        <v>0</v>
      </c>
      <c r="O390" t="n">
        <v>0</v>
      </c>
      <c r="P390" t="n">
        <v>0</v>
      </c>
      <c r="Q390" t="n">
        <v>0</v>
      </c>
      <c r="R390" s="2" t="inlineStr"/>
    </row>
    <row r="391" ht="15" customHeight="1">
      <c r="A391" t="inlineStr">
        <is>
          <t>A 74090-2021</t>
        </is>
      </c>
      <c r="B391" s="1" t="n">
        <v>44557</v>
      </c>
      <c r="C391" s="1" t="n">
        <v>45995</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26319-2022</t>
        </is>
      </c>
      <c r="B392" s="1" t="n">
        <v>44735</v>
      </c>
      <c r="C392" s="1" t="n">
        <v>45995</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54357-2023</t>
        </is>
      </c>
      <c r="B393" s="1" t="n">
        <v>45225</v>
      </c>
      <c r="C393" s="1" t="n">
        <v>45995</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4203-2021</t>
        </is>
      </c>
      <c r="B394" s="1" t="n">
        <v>44223</v>
      </c>
      <c r="C394" s="1" t="n">
        <v>45995</v>
      </c>
      <c r="D394" t="inlineStr">
        <is>
          <t>UPPSALA LÄN</t>
        </is>
      </c>
      <c r="E394" t="inlineStr">
        <is>
          <t>ENKÖPING</t>
        </is>
      </c>
      <c r="G394" t="n">
        <v>11.6</v>
      </c>
      <c r="H394" t="n">
        <v>0</v>
      </c>
      <c r="I394" t="n">
        <v>0</v>
      </c>
      <c r="J394" t="n">
        <v>0</v>
      </c>
      <c r="K394" t="n">
        <v>0</v>
      </c>
      <c r="L394" t="n">
        <v>0</v>
      </c>
      <c r="M394" t="n">
        <v>0</v>
      </c>
      <c r="N394" t="n">
        <v>0</v>
      </c>
      <c r="O394" t="n">
        <v>0</v>
      </c>
      <c r="P394" t="n">
        <v>0</v>
      </c>
      <c r="Q394" t="n">
        <v>0</v>
      </c>
      <c r="R394" s="2" t="inlineStr"/>
    </row>
    <row r="395" ht="15" customHeight="1">
      <c r="A395" t="inlineStr">
        <is>
          <t>A 59668-2025</t>
        </is>
      </c>
      <c r="B395" s="1" t="n">
        <v>45992.45567129629</v>
      </c>
      <c r="C395" s="1" t="n">
        <v>45995</v>
      </c>
      <c r="D395" t="inlineStr">
        <is>
          <t>UPPSALA LÄN</t>
        </is>
      </c>
      <c r="E395" t="inlineStr">
        <is>
          <t>ENKÖPING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59379-2025</t>
        </is>
      </c>
      <c r="B396" s="1" t="n">
        <v>45989.4540162037</v>
      </c>
      <c r="C396" s="1" t="n">
        <v>45995</v>
      </c>
      <c r="D396" t="inlineStr">
        <is>
          <t>UPPSALA LÄN</t>
        </is>
      </c>
      <c r="E396" t="inlineStr">
        <is>
          <t>ENKÖPING</t>
        </is>
      </c>
      <c r="G396" t="n">
        <v>10.8</v>
      </c>
      <c r="H396" t="n">
        <v>0</v>
      </c>
      <c r="I396" t="n">
        <v>0</v>
      </c>
      <c r="J396" t="n">
        <v>0</v>
      </c>
      <c r="K396" t="n">
        <v>0</v>
      </c>
      <c r="L396" t="n">
        <v>0</v>
      </c>
      <c r="M396" t="n">
        <v>0</v>
      </c>
      <c r="N396" t="n">
        <v>0</v>
      </c>
      <c r="O396" t="n">
        <v>0</v>
      </c>
      <c r="P396" t="n">
        <v>0</v>
      </c>
      <c r="Q396" t="n">
        <v>0</v>
      </c>
      <c r="R396" s="2" t="inlineStr"/>
    </row>
    <row r="397" ht="15" customHeight="1">
      <c r="A397" t="inlineStr">
        <is>
          <t>A 13816-2021</t>
        </is>
      </c>
      <c r="B397" s="1" t="n">
        <v>44276</v>
      </c>
      <c r="C397" s="1" t="n">
        <v>45995</v>
      </c>
      <c r="D397" t="inlineStr">
        <is>
          <t>UPPSALA LÄN</t>
        </is>
      </c>
      <c r="E397" t="inlineStr">
        <is>
          <t>ENKÖPING</t>
        </is>
      </c>
      <c r="G397" t="n">
        <v>0.4</v>
      </c>
      <c r="H397" t="n">
        <v>0</v>
      </c>
      <c r="I397" t="n">
        <v>0</v>
      </c>
      <c r="J397" t="n">
        <v>0</v>
      </c>
      <c r="K397" t="n">
        <v>0</v>
      </c>
      <c r="L397" t="n">
        <v>0</v>
      </c>
      <c r="M397" t="n">
        <v>0</v>
      </c>
      <c r="N397" t="n">
        <v>0</v>
      </c>
      <c r="O397" t="n">
        <v>0</v>
      </c>
      <c r="P397" t="n">
        <v>0</v>
      </c>
      <c r="Q397" t="n">
        <v>0</v>
      </c>
      <c r="R397" s="2" t="inlineStr"/>
    </row>
    <row r="398" ht="15" customHeight="1">
      <c r="A398" t="inlineStr">
        <is>
          <t>A 59964-2025</t>
        </is>
      </c>
      <c r="B398" s="1" t="n">
        <v>45993.48043981481</v>
      </c>
      <c r="C398" s="1" t="n">
        <v>45995</v>
      </c>
      <c r="D398" t="inlineStr">
        <is>
          <t>UPPSALA LÄN</t>
        </is>
      </c>
      <c r="E398" t="inlineStr">
        <is>
          <t>ENKÖPING</t>
        </is>
      </c>
      <c r="G398" t="n">
        <v>2.1</v>
      </c>
      <c r="H398" t="n">
        <v>0</v>
      </c>
      <c r="I398" t="n">
        <v>0</v>
      </c>
      <c r="J398" t="n">
        <v>0</v>
      </c>
      <c r="K398" t="n">
        <v>0</v>
      </c>
      <c r="L398" t="n">
        <v>0</v>
      </c>
      <c r="M398" t="n">
        <v>0</v>
      </c>
      <c r="N398" t="n">
        <v>0</v>
      </c>
      <c r="O398" t="n">
        <v>0</v>
      </c>
      <c r="P398" t="n">
        <v>0</v>
      </c>
      <c r="Q398" t="n">
        <v>0</v>
      </c>
      <c r="R398" s="2" t="inlineStr"/>
    </row>
    <row r="399" ht="15" customHeight="1">
      <c r="A399" t="inlineStr">
        <is>
          <t>A 63402-2023</t>
        </is>
      </c>
      <c r="B399" s="1" t="n">
        <v>45274.50646990741</v>
      </c>
      <c r="C399" s="1" t="n">
        <v>45995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53208-2023</t>
        </is>
      </c>
      <c r="B400" s="1" t="n">
        <v>45226</v>
      </c>
      <c r="C400" s="1" t="n">
        <v>45995</v>
      </c>
      <c r="D400" t="inlineStr">
        <is>
          <t>UPPSALA LÄN</t>
        </is>
      </c>
      <c r="E400" t="inlineStr">
        <is>
          <t>ENKÖPING</t>
        </is>
      </c>
      <c r="G400" t="n">
        <v>4.3</v>
      </c>
      <c r="H400" t="n">
        <v>0</v>
      </c>
      <c r="I400" t="n">
        <v>0</v>
      </c>
      <c r="J400" t="n">
        <v>0</v>
      </c>
      <c r="K400" t="n">
        <v>0</v>
      </c>
      <c r="L400" t="n">
        <v>0</v>
      </c>
      <c r="M400" t="n">
        <v>0</v>
      </c>
      <c r="N400" t="n">
        <v>0</v>
      </c>
      <c r="O400" t="n">
        <v>0</v>
      </c>
      <c r="P400" t="n">
        <v>0</v>
      </c>
      <c r="Q400" t="n">
        <v>0</v>
      </c>
      <c r="R400" s="2" t="inlineStr"/>
    </row>
    <row r="401" ht="15" customHeight="1">
      <c r="A401" t="inlineStr">
        <is>
          <t>A 60175-2025</t>
        </is>
      </c>
      <c r="B401" s="1" t="n">
        <v>45994.45378472222</v>
      </c>
      <c r="C401" s="1" t="n">
        <v>45995</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60340-2025</t>
        </is>
      </c>
      <c r="B402" s="1" t="n">
        <v>45994.83415509259</v>
      </c>
      <c r="C402" s="1" t="n">
        <v>45995</v>
      </c>
      <c r="D402" t="inlineStr">
        <is>
          <t>UPPSALA LÄN</t>
        </is>
      </c>
      <c r="E402" t="inlineStr">
        <is>
          <t>ENKÖPING</t>
        </is>
      </c>
      <c r="G402" t="n">
        <v>5.6</v>
      </c>
      <c r="H402" t="n">
        <v>0</v>
      </c>
      <c r="I402" t="n">
        <v>0</v>
      </c>
      <c r="J402" t="n">
        <v>0</v>
      </c>
      <c r="K402" t="n">
        <v>0</v>
      </c>
      <c r="L402" t="n">
        <v>0</v>
      </c>
      <c r="M402" t="n">
        <v>0</v>
      </c>
      <c r="N402" t="n">
        <v>0</v>
      </c>
      <c r="O402" t="n">
        <v>0</v>
      </c>
      <c r="P402" t="n">
        <v>0</v>
      </c>
      <c r="Q402" t="n">
        <v>0</v>
      </c>
      <c r="R402" s="2" t="inlineStr"/>
    </row>
    <row r="403" ht="15" customHeight="1">
      <c r="A403" t="inlineStr">
        <is>
          <t>A 26017-2025</t>
        </is>
      </c>
      <c r="B403" s="1" t="n">
        <v>45804</v>
      </c>
      <c r="C403" s="1" t="n">
        <v>45995</v>
      </c>
      <c r="D403" t="inlineStr">
        <is>
          <t>UPPSALA LÄN</t>
        </is>
      </c>
      <c r="E403" t="inlineStr">
        <is>
          <t>ENKÖPING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60174-2025</t>
        </is>
      </c>
      <c r="B404" s="1" t="n">
        <v>45994.45039351852</v>
      </c>
      <c r="C404" s="1" t="n">
        <v>45995</v>
      </c>
      <c r="D404" t="inlineStr">
        <is>
          <t>UPPSALA LÄN</t>
        </is>
      </c>
      <c r="E404" t="inlineStr">
        <is>
          <t>ENKÖPING</t>
        </is>
      </c>
      <c r="G404" t="n">
        <v>2.8</v>
      </c>
      <c r="H404" t="n">
        <v>0</v>
      </c>
      <c r="I404" t="n">
        <v>0</v>
      </c>
      <c r="J404" t="n">
        <v>0</v>
      </c>
      <c r="K404" t="n">
        <v>0</v>
      </c>
      <c r="L404" t="n">
        <v>0</v>
      </c>
      <c r="M404" t="n">
        <v>0</v>
      </c>
      <c r="N404" t="n">
        <v>0</v>
      </c>
      <c r="O404" t="n">
        <v>0</v>
      </c>
      <c r="P404" t="n">
        <v>0</v>
      </c>
      <c r="Q404" t="n">
        <v>0</v>
      </c>
      <c r="R404" s="2" t="inlineStr"/>
    </row>
    <row r="405" ht="15" customHeight="1">
      <c r="A405" t="inlineStr">
        <is>
          <t>A 18259-2025</t>
        </is>
      </c>
      <c r="B405" s="1" t="n">
        <v>45762</v>
      </c>
      <c r="C405" s="1" t="n">
        <v>45995</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58092-2024</t>
        </is>
      </c>
      <c r="B406" s="1" t="n">
        <v>45632</v>
      </c>
      <c r="C406" s="1" t="n">
        <v>45995</v>
      </c>
      <c r="D406" t="inlineStr">
        <is>
          <t>UPPSALA LÄN</t>
        </is>
      </c>
      <c r="E406" t="inlineStr">
        <is>
          <t>ENKÖPING</t>
        </is>
      </c>
      <c r="G406" t="n">
        <v>4.8</v>
      </c>
      <c r="H406" t="n">
        <v>0</v>
      </c>
      <c r="I406" t="n">
        <v>0</v>
      </c>
      <c r="J406" t="n">
        <v>0</v>
      </c>
      <c r="K406" t="n">
        <v>0</v>
      </c>
      <c r="L406" t="n">
        <v>0</v>
      </c>
      <c r="M406" t="n">
        <v>0</v>
      </c>
      <c r="N406" t="n">
        <v>0</v>
      </c>
      <c r="O406" t="n">
        <v>0</v>
      </c>
      <c r="P406" t="n">
        <v>0</v>
      </c>
      <c r="Q406" t="n">
        <v>0</v>
      </c>
      <c r="R406" s="2" t="inlineStr"/>
    </row>
    <row r="407" ht="15" customHeight="1">
      <c r="A407" t="inlineStr">
        <is>
          <t>A 62158-2023</t>
        </is>
      </c>
      <c r="B407" s="1" t="n">
        <v>45267</v>
      </c>
      <c r="C407" s="1" t="n">
        <v>45995</v>
      </c>
      <c r="D407" t="inlineStr">
        <is>
          <t>UPPSALA LÄN</t>
        </is>
      </c>
      <c r="E407" t="inlineStr">
        <is>
          <t>ENKÖPING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24411-2024</t>
        </is>
      </c>
      <c r="B408" s="1" t="n">
        <v>45457</v>
      </c>
      <c r="C408" s="1" t="n">
        <v>45995</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60874-2023</t>
        </is>
      </c>
      <c r="B409" s="1" t="n">
        <v>45261.06280092592</v>
      </c>
      <c r="C409" s="1" t="n">
        <v>45995</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25988-2025</t>
        </is>
      </c>
      <c r="B410" s="1" t="n">
        <v>45804.64814814815</v>
      </c>
      <c r="C410" s="1" t="n">
        <v>45995</v>
      </c>
      <c r="D410" t="inlineStr">
        <is>
          <t>UPPSALA LÄN</t>
        </is>
      </c>
      <c r="E410" t="inlineStr">
        <is>
          <t>ENKÖPING</t>
        </is>
      </c>
      <c r="G410" t="n">
        <v>4.7</v>
      </c>
      <c r="H410" t="n">
        <v>0</v>
      </c>
      <c r="I410" t="n">
        <v>0</v>
      </c>
      <c r="J410" t="n">
        <v>0</v>
      </c>
      <c r="K410" t="n">
        <v>0</v>
      </c>
      <c r="L410" t="n">
        <v>0</v>
      </c>
      <c r="M410" t="n">
        <v>0</v>
      </c>
      <c r="N410" t="n">
        <v>0</v>
      </c>
      <c r="O410" t="n">
        <v>0</v>
      </c>
      <c r="P410" t="n">
        <v>0</v>
      </c>
      <c r="Q410" t="n">
        <v>0</v>
      </c>
      <c r="R410" s="2" t="inlineStr"/>
    </row>
    <row r="411" ht="15" customHeight="1">
      <c r="A411" t="inlineStr">
        <is>
          <t>A 26024-2025</t>
        </is>
      </c>
      <c r="B411" s="1" t="n">
        <v>45804.6831712963</v>
      </c>
      <c r="C411" s="1" t="n">
        <v>45995</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26042-2025</t>
        </is>
      </c>
      <c r="B412" s="1" t="n">
        <v>45804.70018518518</v>
      </c>
      <c r="C412" s="1" t="n">
        <v>45995</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25990-2025</t>
        </is>
      </c>
      <c r="B413" s="1" t="n">
        <v>45804.65229166667</v>
      </c>
      <c r="C413" s="1" t="n">
        <v>45995</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26030-2025</t>
        </is>
      </c>
      <c r="B414" s="1" t="n">
        <v>45804.68815972222</v>
      </c>
      <c r="C414" s="1" t="n">
        <v>45995</v>
      </c>
      <c r="D414" t="inlineStr">
        <is>
          <t>UPPSALA LÄN</t>
        </is>
      </c>
      <c r="E414" t="inlineStr">
        <is>
          <t>ENKÖPING</t>
        </is>
      </c>
      <c r="G414" t="n">
        <v>0.3</v>
      </c>
      <c r="H414" t="n">
        <v>0</v>
      </c>
      <c r="I414" t="n">
        <v>0</v>
      </c>
      <c r="J414" t="n">
        <v>0</v>
      </c>
      <c r="K414" t="n">
        <v>0</v>
      </c>
      <c r="L414" t="n">
        <v>0</v>
      </c>
      <c r="M414" t="n">
        <v>0</v>
      </c>
      <c r="N414" t="n">
        <v>0</v>
      </c>
      <c r="O414" t="n">
        <v>0</v>
      </c>
      <c r="P414" t="n">
        <v>0</v>
      </c>
      <c r="Q414" t="n">
        <v>0</v>
      </c>
      <c r="R414" s="2" t="inlineStr"/>
    </row>
    <row r="415" ht="15" customHeight="1">
      <c r="A415" t="inlineStr">
        <is>
          <t>A 26026-2025</t>
        </is>
      </c>
      <c r="B415" s="1" t="n">
        <v>45804.68510416667</v>
      </c>
      <c r="C415" s="1" t="n">
        <v>45995</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26047-2025</t>
        </is>
      </c>
      <c r="B416" s="1" t="n">
        <v>45804.70835648148</v>
      </c>
      <c r="C416" s="1" t="n">
        <v>45995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25847-2025</t>
        </is>
      </c>
      <c r="B417" s="1" t="n">
        <v>45804</v>
      </c>
      <c r="C417" s="1" t="n">
        <v>45995</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26005-2025</t>
        </is>
      </c>
      <c r="B418" s="1" t="n">
        <v>45804.67055555555</v>
      </c>
      <c r="C418" s="1" t="n">
        <v>45995</v>
      </c>
      <c r="D418" t="inlineStr">
        <is>
          <t>UPPSALA LÄN</t>
        </is>
      </c>
      <c r="E418" t="inlineStr">
        <is>
          <t>ENKÖPING</t>
        </is>
      </c>
      <c r="G418" t="n">
        <v>0.3</v>
      </c>
      <c r="H418" t="n">
        <v>0</v>
      </c>
      <c r="I418" t="n">
        <v>0</v>
      </c>
      <c r="J418" t="n">
        <v>0</v>
      </c>
      <c r="K418" t="n">
        <v>0</v>
      </c>
      <c r="L418" t="n">
        <v>0</v>
      </c>
      <c r="M418" t="n">
        <v>0</v>
      </c>
      <c r="N418" t="n">
        <v>0</v>
      </c>
      <c r="O418" t="n">
        <v>0</v>
      </c>
      <c r="P418" t="n">
        <v>0</v>
      </c>
      <c r="Q418" t="n">
        <v>0</v>
      </c>
      <c r="R418" s="2" t="inlineStr"/>
    </row>
    <row r="419" ht="15" customHeight="1">
      <c r="A419" t="inlineStr">
        <is>
          <t>A 26031-2025</t>
        </is>
      </c>
      <c r="B419" s="1" t="n">
        <v>45804.69050925926</v>
      </c>
      <c r="C419" s="1" t="n">
        <v>45995</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26041-2025</t>
        </is>
      </c>
      <c r="B420" s="1" t="n">
        <v>45804.69883101852</v>
      </c>
      <c r="C420" s="1" t="n">
        <v>45995</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26022-2025</t>
        </is>
      </c>
      <c r="B421" s="1" t="n">
        <v>45804.68006944445</v>
      </c>
      <c r="C421" s="1" t="n">
        <v>45995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26011-2025</t>
        </is>
      </c>
      <c r="B422" s="1" t="n">
        <v>45804.67412037037</v>
      </c>
      <c r="C422" s="1" t="n">
        <v>45995</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3550-2023</t>
        </is>
      </c>
      <c r="B423" s="1" t="n">
        <v>44950</v>
      </c>
      <c r="C423" s="1" t="n">
        <v>45995</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45995</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35067-2024</t>
        </is>
      </c>
      <c r="B425" s="1" t="n">
        <v>45527.66153935185</v>
      </c>
      <c r="C425" s="1" t="n">
        <v>45995</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61207-2023</t>
        </is>
      </c>
      <c r="B426" s="1" t="n">
        <v>45264.39444444444</v>
      </c>
      <c r="C426" s="1" t="n">
        <v>45995</v>
      </c>
      <c r="D426" t="inlineStr">
        <is>
          <t>UPPSALA LÄN</t>
        </is>
      </c>
      <c r="E426" t="inlineStr">
        <is>
          <t>ENKÖPING</t>
        </is>
      </c>
      <c r="G426" t="n">
        <v>10.8</v>
      </c>
      <c r="H426" t="n">
        <v>0</v>
      </c>
      <c r="I426" t="n">
        <v>0</v>
      </c>
      <c r="J426" t="n">
        <v>0</v>
      </c>
      <c r="K426" t="n">
        <v>0</v>
      </c>
      <c r="L426" t="n">
        <v>0</v>
      </c>
      <c r="M426" t="n">
        <v>0</v>
      </c>
      <c r="N426" t="n">
        <v>0</v>
      </c>
      <c r="O426" t="n">
        <v>0</v>
      </c>
      <c r="P426" t="n">
        <v>0</v>
      </c>
      <c r="Q426" t="n">
        <v>0</v>
      </c>
      <c r="R426" s="2" t="inlineStr"/>
    </row>
    <row r="427" ht="15" customHeight="1">
      <c r="A427" t="inlineStr">
        <is>
          <t>A 840-2025</t>
        </is>
      </c>
      <c r="B427" s="1" t="n">
        <v>45665</v>
      </c>
      <c r="C427" s="1" t="n">
        <v>45995</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10458-2022</t>
        </is>
      </c>
      <c r="B428" s="1" t="n">
        <v>44623.56711805556</v>
      </c>
      <c r="C428" s="1" t="n">
        <v>45995</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45142-2023</t>
        </is>
      </c>
      <c r="B429" s="1" t="n">
        <v>45191.4702662037</v>
      </c>
      <c r="C429" s="1" t="n">
        <v>45995</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57998-2024</t>
        </is>
      </c>
      <c r="B430" s="1" t="n">
        <v>45631</v>
      </c>
      <c r="C430" s="1" t="n">
        <v>45995</v>
      </c>
      <c r="D430" t="inlineStr">
        <is>
          <t>UPPSALA LÄN</t>
        </is>
      </c>
      <c r="E430" t="inlineStr">
        <is>
          <t>ENKÖPING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14332-2024</t>
        </is>
      </c>
      <c r="B431" s="1" t="n">
        <v>45393</v>
      </c>
      <c r="C431" s="1" t="n">
        <v>45995</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18831-2023</t>
        </is>
      </c>
      <c r="B432" s="1" t="n">
        <v>45044.40798611111</v>
      </c>
      <c r="C432" s="1" t="n">
        <v>45995</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27829-2025</t>
        </is>
      </c>
      <c r="B433" s="1" t="n">
        <v>45817</v>
      </c>
      <c r="C433" s="1" t="n">
        <v>45995</v>
      </c>
      <c r="D433" t="inlineStr">
        <is>
          <t>UPPSALA LÄN</t>
        </is>
      </c>
      <c r="E433" t="inlineStr">
        <is>
          <t>ENKÖPING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28855-2025</t>
        </is>
      </c>
      <c r="B434" s="1" t="n">
        <v>45820.58274305556</v>
      </c>
      <c r="C434" s="1" t="n">
        <v>45995</v>
      </c>
      <c r="D434" t="inlineStr">
        <is>
          <t>UPPSALA LÄN</t>
        </is>
      </c>
      <c r="E434" t="inlineStr">
        <is>
          <t>ENKÖPING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28758-2025</t>
        </is>
      </c>
      <c r="B435" s="1" t="n">
        <v>45820.41212962963</v>
      </c>
      <c r="C435" s="1" t="n">
        <v>45995</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39009-2024</t>
        </is>
      </c>
      <c r="B436" s="1" t="n">
        <v>45548</v>
      </c>
      <c r="C436" s="1" t="n">
        <v>45995</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33581-2023</t>
        </is>
      </c>
      <c r="B437" s="1" t="n">
        <v>45131</v>
      </c>
      <c r="C437" s="1" t="n">
        <v>45995</v>
      </c>
      <c r="D437" t="inlineStr">
        <is>
          <t>UPPSALA LÄN</t>
        </is>
      </c>
      <c r="E437" t="inlineStr">
        <is>
          <t>ENKÖPING</t>
        </is>
      </c>
      <c r="G437" t="n">
        <v>3.5</v>
      </c>
      <c r="H437" t="n">
        <v>0</v>
      </c>
      <c r="I437" t="n">
        <v>0</v>
      </c>
      <c r="J437" t="n">
        <v>0</v>
      </c>
      <c r="K437" t="n">
        <v>0</v>
      </c>
      <c r="L437" t="n">
        <v>0</v>
      </c>
      <c r="M437" t="n">
        <v>0</v>
      </c>
      <c r="N437" t="n">
        <v>0</v>
      </c>
      <c r="O437" t="n">
        <v>0</v>
      </c>
      <c r="P437" t="n">
        <v>0</v>
      </c>
      <c r="Q437" t="n">
        <v>0</v>
      </c>
      <c r="R437" s="2" t="inlineStr"/>
    </row>
    <row r="438" ht="15" customHeight="1">
      <c r="A438" t="inlineStr">
        <is>
          <t>A 8537-2025</t>
        </is>
      </c>
      <c r="B438" s="1" t="n">
        <v>45709</v>
      </c>
      <c r="C438" s="1" t="n">
        <v>45995</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28862-2025</t>
        </is>
      </c>
      <c r="B439" s="1" t="n">
        <v>45820.59189814814</v>
      </c>
      <c r="C439" s="1" t="n">
        <v>45995</v>
      </c>
      <c r="D439" t="inlineStr">
        <is>
          <t>UPPSALA LÄN</t>
        </is>
      </c>
      <c r="E439" t="inlineStr">
        <is>
          <t>ENKÖPING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37115-2024</t>
        </is>
      </c>
      <c r="B440" s="1" t="n">
        <v>45539</v>
      </c>
      <c r="C440" s="1" t="n">
        <v>45995</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29093-2025</t>
        </is>
      </c>
      <c r="B441" s="1" t="n">
        <v>45821.55743055556</v>
      </c>
      <c r="C441" s="1" t="n">
        <v>45995</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29477-2025</t>
        </is>
      </c>
      <c r="B442" s="1" t="n">
        <v>45824.71537037037</v>
      </c>
      <c r="C442" s="1" t="n">
        <v>45995</v>
      </c>
      <c r="D442" t="inlineStr">
        <is>
          <t>UPPSALA LÄN</t>
        </is>
      </c>
      <c r="E442" t="inlineStr">
        <is>
          <t>ENKÖPING</t>
        </is>
      </c>
      <c r="G442" t="n">
        <v>13.4</v>
      </c>
      <c r="H442" t="n">
        <v>0</v>
      </c>
      <c r="I442" t="n">
        <v>0</v>
      </c>
      <c r="J442" t="n">
        <v>0</v>
      </c>
      <c r="K442" t="n">
        <v>0</v>
      </c>
      <c r="L442" t="n">
        <v>0</v>
      </c>
      <c r="M442" t="n">
        <v>0</v>
      </c>
      <c r="N442" t="n">
        <v>0</v>
      </c>
      <c r="O442" t="n">
        <v>0</v>
      </c>
      <c r="P442" t="n">
        <v>0</v>
      </c>
      <c r="Q442" t="n">
        <v>0</v>
      </c>
      <c r="R442" s="2" t="inlineStr"/>
    </row>
    <row r="443" ht="15" customHeight="1">
      <c r="A443" t="inlineStr">
        <is>
          <t>A 6147-2021</t>
        </is>
      </c>
      <c r="B443" s="1" t="n">
        <v>44232</v>
      </c>
      <c r="C443" s="1" t="n">
        <v>45995</v>
      </c>
      <c r="D443" t="inlineStr">
        <is>
          <t>UPPSALA LÄN</t>
        </is>
      </c>
      <c r="E443" t="inlineStr">
        <is>
          <t>ENKÖPING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1960-2022</t>
        </is>
      </c>
      <c r="B444" s="1" t="n">
        <v>44575</v>
      </c>
      <c r="C444" s="1" t="n">
        <v>45995</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18028-2023</t>
        </is>
      </c>
      <c r="B445" s="1" t="n">
        <v>45040</v>
      </c>
      <c r="C445" s="1" t="n">
        <v>45995</v>
      </c>
      <c r="D445" t="inlineStr">
        <is>
          <t>UPPSALA LÄN</t>
        </is>
      </c>
      <c r="E445" t="inlineStr">
        <is>
          <t>ENKÖPING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49568-2022</t>
        </is>
      </c>
      <c r="B446" s="1" t="n">
        <v>44862.32791666667</v>
      </c>
      <c r="C446" s="1" t="n">
        <v>45995</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42459-2024</t>
        </is>
      </c>
      <c r="B447" s="1" t="n">
        <v>45565</v>
      </c>
      <c r="C447" s="1" t="n">
        <v>45995</v>
      </c>
      <c r="D447" t="inlineStr">
        <is>
          <t>UPPSALA LÄN</t>
        </is>
      </c>
      <c r="E447" t="inlineStr">
        <is>
          <t>ENKÖPING</t>
        </is>
      </c>
      <c r="G447" t="n">
        <v>3.6</v>
      </c>
      <c r="H447" t="n">
        <v>0</v>
      </c>
      <c r="I447" t="n">
        <v>0</v>
      </c>
      <c r="J447" t="n">
        <v>0</v>
      </c>
      <c r="K447" t="n">
        <v>0</v>
      </c>
      <c r="L447" t="n">
        <v>0</v>
      </c>
      <c r="M447" t="n">
        <v>0</v>
      </c>
      <c r="N447" t="n">
        <v>0</v>
      </c>
      <c r="O447" t="n">
        <v>0</v>
      </c>
      <c r="P447" t="n">
        <v>0</v>
      </c>
      <c r="Q447" t="n">
        <v>0</v>
      </c>
      <c r="R447" s="2" t="inlineStr"/>
    </row>
    <row r="448" ht="15" customHeight="1">
      <c r="A448" t="inlineStr">
        <is>
          <t>A 48864-2022</t>
        </is>
      </c>
      <c r="B448" s="1" t="n">
        <v>44859</v>
      </c>
      <c r="C448" s="1" t="n">
        <v>45995</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31622-2022</t>
        </is>
      </c>
      <c r="B449" s="1" t="n">
        <v>44775</v>
      </c>
      <c r="C449" s="1" t="n">
        <v>45995</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30837-2025</t>
        </is>
      </c>
      <c r="B450" s="1" t="n">
        <v>45831.7063425926</v>
      </c>
      <c r="C450" s="1" t="n">
        <v>45995</v>
      </c>
      <c r="D450" t="inlineStr">
        <is>
          <t>UPPSALA LÄN</t>
        </is>
      </c>
      <c r="E450" t="inlineStr">
        <is>
          <t>ENKÖPING</t>
        </is>
      </c>
      <c r="G450" t="n">
        <v>3.8</v>
      </c>
      <c r="H450" t="n">
        <v>0</v>
      </c>
      <c r="I450" t="n">
        <v>0</v>
      </c>
      <c r="J450" t="n">
        <v>0</v>
      </c>
      <c r="K450" t="n">
        <v>0</v>
      </c>
      <c r="L450" t="n">
        <v>0</v>
      </c>
      <c r="M450" t="n">
        <v>0</v>
      </c>
      <c r="N450" t="n">
        <v>0</v>
      </c>
      <c r="O450" t="n">
        <v>0</v>
      </c>
      <c r="P450" t="n">
        <v>0</v>
      </c>
      <c r="Q450" t="n">
        <v>0</v>
      </c>
      <c r="R450" s="2" t="inlineStr"/>
    </row>
    <row r="451" ht="15" customHeight="1">
      <c r="A451" t="inlineStr">
        <is>
          <t>A 66517-2020</t>
        </is>
      </c>
      <c r="B451" s="1" t="n">
        <v>44178</v>
      </c>
      <c r="C451" s="1" t="n">
        <v>45995</v>
      </c>
      <c r="D451" t="inlineStr">
        <is>
          <t>UPPSALA LÄN</t>
        </is>
      </c>
      <c r="E451" t="inlineStr">
        <is>
          <t>ENKÖPING</t>
        </is>
      </c>
      <c r="G451" t="n">
        <v>4</v>
      </c>
      <c r="H451" t="n">
        <v>0</v>
      </c>
      <c r="I451" t="n">
        <v>0</v>
      </c>
      <c r="J451" t="n">
        <v>0</v>
      </c>
      <c r="K451" t="n">
        <v>0</v>
      </c>
      <c r="L451" t="n">
        <v>0</v>
      </c>
      <c r="M451" t="n">
        <v>0</v>
      </c>
      <c r="N451" t="n">
        <v>0</v>
      </c>
      <c r="O451" t="n">
        <v>0</v>
      </c>
      <c r="P451" t="n">
        <v>0</v>
      </c>
      <c r="Q451" t="n">
        <v>0</v>
      </c>
      <c r="R451" s="2" t="inlineStr"/>
    </row>
    <row r="452" ht="15" customHeight="1">
      <c r="A452" t="inlineStr">
        <is>
          <t>A 6356-2022</t>
        </is>
      </c>
      <c r="B452" s="1" t="n">
        <v>44600</v>
      </c>
      <c r="C452" s="1" t="n">
        <v>45995</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57147-2021</t>
        </is>
      </c>
      <c r="B453" s="1" t="n">
        <v>44482</v>
      </c>
      <c r="C453" s="1" t="n">
        <v>45995</v>
      </c>
      <c r="D453" t="inlineStr">
        <is>
          <t>UPPSALA LÄN</t>
        </is>
      </c>
      <c r="E453" t="inlineStr">
        <is>
          <t>ENKÖPING</t>
        </is>
      </c>
      <c r="G453" t="n">
        <v>5.7</v>
      </c>
      <c r="H453" t="n">
        <v>0</v>
      </c>
      <c r="I453" t="n">
        <v>0</v>
      </c>
      <c r="J453" t="n">
        <v>0</v>
      </c>
      <c r="K453" t="n">
        <v>0</v>
      </c>
      <c r="L453" t="n">
        <v>0</v>
      </c>
      <c r="M453" t="n">
        <v>0</v>
      </c>
      <c r="N453" t="n">
        <v>0</v>
      </c>
      <c r="O453" t="n">
        <v>0</v>
      </c>
      <c r="P453" t="n">
        <v>0</v>
      </c>
      <c r="Q453" t="n">
        <v>0</v>
      </c>
      <c r="R453" s="2" t="inlineStr"/>
    </row>
    <row r="454" ht="15" customHeight="1">
      <c r="A454" t="inlineStr">
        <is>
          <t>A 47909-2024</t>
        </is>
      </c>
      <c r="B454" s="1" t="n">
        <v>45589.31866898148</v>
      </c>
      <c r="C454" s="1" t="n">
        <v>45995</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6157-2021</t>
        </is>
      </c>
      <c r="B455" s="1" t="n">
        <v>44232</v>
      </c>
      <c r="C455" s="1" t="n">
        <v>45995</v>
      </c>
      <c r="D455" t="inlineStr">
        <is>
          <t>UPPSALA LÄN</t>
        </is>
      </c>
      <c r="E455" t="inlineStr">
        <is>
          <t>ENKÖPING</t>
        </is>
      </c>
      <c r="G455" t="n">
        <v>3.9</v>
      </c>
      <c r="H455" t="n">
        <v>0</v>
      </c>
      <c r="I455" t="n">
        <v>0</v>
      </c>
      <c r="J455" t="n">
        <v>0</v>
      </c>
      <c r="K455" t="n">
        <v>0</v>
      </c>
      <c r="L455" t="n">
        <v>0</v>
      </c>
      <c r="M455" t="n">
        <v>0</v>
      </c>
      <c r="N455" t="n">
        <v>0</v>
      </c>
      <c r="O455" t="n">
        <v>0</v>
      </c>
      <c r="P455" t="n">
        <v>0</v>
      </c>
      <c r="Q455" t="n">
        <v>0</v>
      </c>
      <c r="R455" s="2" t="inlineStr"/>
    </row>
    <row r="456" ht="15" customHeight="1">
      <c r="A456" t="inlineStr">
        <is>
          <t>A 52005-2024</t>
        </is>
      </c>
      <c r="B456" s="1" t="n">
        <v>45607.7627662037</v>
      </c>
      <c r="C456" s="1" t="n">
        <v>45995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32031-2025</t>
        </is>
      </c>
      <c r="B457" s="1" t="n">
        <v>45835.41712962963</v>
      </c>
      <c r="C457" s="1" t="n">
        <v>45995</v>
      </c>
      <c r="D457" t="inlineStr">
        <is>
          <t>UPPSALA LÄN</t>
        </is>
      </c>
      <c r="E457" t="inlineStr">
        <is>
          <t>ENKÖPING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32111-2025</t>
        </is>
      </c>
      <c r="B458" s="1" t="n">
        <v>45835</v>
      </c>
      <c r="C458" s="1" t="n">
        <v>45995</v>
      </c>
      <c r="D458" t="inlineStr">
        <is>
          <t>UPPSALA LÄN</t>
        </is>
      </c>
      <c r="E458" t="inlineStr">
        <is>
          <t>ENKÖPING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53586-2024</t>
        </is>
      </c>
      <c r="B459" s="1" t="n">
        <v>45614</v>
      </c>
      <c r="C459" s="1" t="n">
        <v>45995</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51034-2024</t>
        </is>
      </c>
      <c r="B460" s="1" t="n">
        <v>45603.4262037037</v>
      </c>
      <c r="C460" s="1" t="n">
        <v>45995</v>
      </c>
      <c r="D460" t="inlineStr">
        <is>
          <t>UPPSALA LÄN</t>
        </is>
      </c>
      <c r="E460" t="inlineStr">
        <is>
          <t>ENKÖPING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51036-2024</t>
        </is>
      </c>
      <c r="B461" s="1" t="n">
        <v>45603.42839120371</v>
      </c>
      <c r="C461" s="1" t="n">
        <v>45995</v>
      </c>
      <c r="D461" t="inlineStr">
        <is>
          <t>UPPSALA LÄN</t>
        </is>
      </c>
      <c r="E461" t="inlineStr">
        <is>
          <t>ENKÖPING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43492-2023</t>
        </is>
      </c>
      <c r="B462" s="1" t="n">
        <v>45181</v>
      </c>
      <c r="C462" s="1" t="n">
        <v>45995</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1536-2024</t>
        </is>
      </c>
      <c r="B463" s="1" t="n">
        <v>45306</v>
      </c>
      <c r="C463" s="1" t="n">
        <v>45995</v>
      </c>
      <c r="D463" t="inlineStr">
        <is>
          <t>UPPSALA LÄN</t>
        </is>
      </c>
      <c r="E463" t="inlineStr">
        <is>
          <t>ENKÖPING</t>
        </is>
      </c>
      <c r="F463" t="inlineStr">
        <is>
          <t>Kyrkan</t>
        </is>
      </c>
      <c r="G463" t="n">
        <v>5.6</v>
      </c>
      <c r="H463" t="n">
        <v>0</v>
      </c>
      <c r="I463" t="n">
        <v>0</v>
      </c>
      <c r="J463" t="n">
        <v>0</v>
      </c>
      <c r="K463" t="n">
        <v>0</v>
      </c>
      <c r="L463" t="n">
        <v>0</v>
      </c>
      <c r="M463" t="n">
        <v>0</v>
      </c>
      <c r="N463" t="n">
        <v>0</v>
      </c>
      <c r="O463" t="n">
        <v>0</v>
      </c>
      <c r="P463" t="n">
        <v>0</v>
      </c>
      <c r="Q463" t="n">
        <v>0</v>
      </c>
      <c r="R463" s="2" t="inlineStr"/>
    </row>
    <row r="464" ht="15" customHeight="1">
      <c r="A464" t="inlineStr">
        <is>
          <t>A 2974-2025</t>
        </is>
      </c>
      <c r="B464" s="1" t="n">
        <v>45678.47168981482</v>
      </c>
      <c r="C464" s="1" t="n">
        <v>45995</v>
      </c>
      <c r="D464" t="inlineStr">
        <is>
          <t>UPPSALA LÄN</t>
        </is>
      </c>
      <c r="E464" t="inlineStr">
        <is>
          <t>ENKÖPING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16916-2023</t>
        </is>
      </c>
      <c r="B465" s="1" t="n">
        <v>45033.58347222222</v>
      </c>
      <c r="C465" s="1" t="n">
        <v>45995</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15740-2025</t>
        </is>
      </c>
      <c r="B466" s="1" t="n">
        <v>45748</v>
      </c>
      <c r="C466" s="1" t="n">
        <v>45995</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16920-2023</t>
        </is>
      </c>
      <c r="B467" s="1" t="n">
        <v>45033.59030092593</v>
      </c>
      <c r="C467" s="1" t="n">
        <v>45995</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57848-2024</t>
        </is>
      </c>
      <c r="B468" s="1" t="n">
        <v>45631.40947916666</v>
      </c>
      <c r="C468" s="1" t="n">
        <v>45995</v>
      </c>
      <c r="D468" t="inlineStr">
        <is>
          <t>UPPSALA LÄN</t>
        </is>
      </c>
      <c r="E468" t="inlineStr">
        <is>
          <t>ENKÖPING</t>
        </is>
      </c>
      <c r="G468" t="n">
        <v>1.2</v>
      </c>
      <c r="H468" t="n">
        <v>0</v>
      </c>
      <c r="I468" t="n">
        <v>0</v>
      </c>
      <c r="J468" t="n">
        <v>0</v>
      </c>
      <c r="K468" t="n">
        <v>0</v>
      </c>
      <c r="L468" t="n">
        <v>0</v>
      </c>
      <c r="M468" t="n">
        <v>0</v>
      </c>
      <c r="N468" t="n">
        <v>0</v>
      </c>
      <c r="O468" t="n">
        <v>0</v>
      </c>
      <c r="P468" t="n">
        <v>0</v>
      </c>
      <c r="Q468" t="n">
        <v>0</v>
      </c>
      <c r="R468" s="2" t="inlineStr"/>
    </row>
    <row r="469" ht="15" customHeight="1">
      <c r="A469" t="inlineStr">
        <is>
          <t>A 18994-2025</t>
        </is>
      </c>
      <c r="B469" s="1" t="n">
        <v>45764.57350694444</v>
      </c>
      <c r="C469" s="1" t="n">
        <v>45995</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49601-2024</t>
        </is>
      </c>
      <c r="B470" s="1" t="n">
        <v>45596.56288194445</v>
      </c>
      <c r="C470" s="1" t="n">
        <v>45995</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52388-2024</t>
        </is>
      </c>
      <c r="B471" s="1" t="n">
        <v>45609.42939814815</v>
      </c>
      <c r="C471" s="1" t="n">
        <v>45995</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12434-2021</t>
        </is>
      </c>
      <c r="B472" s="1" t="n">
        <v>44267</v>
      </c>
      <c r="C472" s="1" t="n">
        <v>45995</v>
      </c>
      <c r="D472" t="inlineStr">
        <is>
          <t>UPPSALA LÄN</t>
        </is>
      </c>
      <c r="E472" t="inlineStr">
        <is>
          <t>ENKÖPING</t>
        </is>
      </c>
      <c r="G472" t="n">
        <v>5.3</v>
      </c>
      <c r="H472" t="n">
        <v>0</v>
      </c>
      <c r="I472" t="n">
        <v>0</v>
      </c>
      <c r="J472" t="n">
        <v>0</v>
      </c>
      <c r="K472" t="n">
        <v>0</v>
      </c>
      <c r="L472" t="n">
        <v>0</v>
      </c>
      <c r="M472" t="n">
        <v>0</v>
      </c>
      <c r="N472" t="n">
        <v>0</v>
      </c>
      <c r="O472" t="n">
        <v>0</v>
      </c>
      <c r="P472" t="n">
        <v>0</v>
      </c>
      <c r="Q472" t="n">
        <v>0</v>
      </c>
      <c r="R472" s="2" t="inlineStr"/>
    </row>
    <row r="473" ht="15" customHeight="1">
      <c r="A473" t="inlineStr">
        <is>
          <t>A 1992-2022</t>
        </is>
      </c>
      <c r="B473" s="1" t="n">
        <v>44575.56153935185</v>
      </c>
      <c r="C473" s="1" t="n">
        <v>45995</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6626-2023</t>
        </is>
      </c>
      <c r="B474" s="1" t="n">
        <v>44966.55946759259</v>
      </c>
      <c r="C474" s="1" t="n">
        <v>45995</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48843-2023</t>
        </is>
      </c>
      <c r="B475" s="1" t="n">
        <v>45209</v>
      </c>
      <c r="C475" s="1" t="n">
        <v>45995</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45995</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17844-2025</t>
        </is>
      </c>
      <c r="B477" s="1" t="n">
        <v>45758.59920138889</v>
      </c>
      <c r="C477" s="1" t="n">
        <v>45995</v>
      </c>
      <c r="D477" t="inlineStr">
        <is>
          <t>UPPSALA LÄN</t>
        </is>
      </c>
      <c r="E477" t="inlineStr">
        <is>
          <t>ENKÖPING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35079-2024</t>
        </is>
      </c>
      <c r="B478" s="1" t="n">
        <v>45527.66770833333</v>
      </c>
      <c r="C478" s="1" t="n">
        <v>45995</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53595-2023</t>
        </is>
      </c>
      <c r="B479" s="1" t="n">
        <v>45223</v>
      </c>
      <c r="C479" s="1" t="n">
        <v>45995</v>
      </c>
      <c r="D479" t="inlineStr">
        <is>
          <t>UPPSALA LÄN</t>
        </is>
      </c>
      <c r="E479" t="inlineStr">
        <is>
          <t>ENKÖPING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27837-2025</t>
        </is>
      </c>
      <c r="B480" s="1" t="n">
        <v>45817.37207175926</v>
      </c>
      <c r="C480" s="1" t="n">
        <v>45995</v>
      </c>
      <c r="D480" t="inlineStr">
        <is>
          <t>UPPSALA LÄN</t>
        </is>
      </c>
      <c r="E480" t="inlineStr">
        <is>
          <t>ENKÖPING</t>
        </is>
      </c>
      <c r="G480" t="n">
        <v>7.3</v>
      </c>
      <c r="H480" t="n">
        <v>0</v>
      </c>
      <c r="I480" t="n">
        <v>0</v>
      </c>
      <c r="J480" t="n">
        <v>0</v>
      </c>
      <c r="K480" t="n">
        <v>0</v>
      </c>
      <c r="L480" t="n">
        <v>0</v>
      </c>
      <c r="M480" t="n">
        <v>0</v>
      </c>
      <c r="N480" t="n">
        <v>0</v>
      </c>
      <c r="O480" t="n">
        <v>0</v>
      </c>
      <c r="P480" t="n">
        <v>0</v>
      </c>
      <c r="Q480" t="n">
        <v>0</v>
      </c>
      <c r="R480" s="2" t="inlineStr"/>
    </row>
    <row r="481" ht="15" customHeight="1">
      <c r="A481" t="inlineStr">
        <is>
          <t>A 29513-2025</t>
        </is>
      </c>
      <c r="B481" s="1" t="n">
        <v>45825</v>
      </c>
      <c r="C481" s="1" t="n">
        <v>45995</v>
      </c>
      <c r="D481" t="inlineStr">
        <is>
          <t>UPPSALA LÄN</t>
        </is>
      </c>
      <c r="E481" t="inlineStr">
        <is>
          <t>ENKÖPING</t>
        </is>
      </c>
      <c r="G481" t="n">
        <v>2.6</v>
      </c>
      <c r="H481" t="n">
        <v>0</v>
      </c>
      <c r="I481" t="n">
        <v>0</v>
      </c>
      <c r="J481" t="n">
        <v>0</v>
      </c>
      <c r="K481" t="n">
        <v>0</v>
      </c>
      <c r="L481" t="n">
        <v>0</v>
      </c>
      <c r="M481" t="n">
        <v>0</v>
      </c>
      <c r="N481" t="n">
        <v>0</v>
      </c>
      <c r="O481" t="n">
        <v>0</v>
      </c>
      <c r="P481" t="n">
        <v>0</v>
      </c>
      <c r="Q481" t="n">
        <v>0</v>
      </c>
      <c r="R481" s="2" t="inlineStr"/>
    </row>
    <row r="482" ht="15" customHeight="1">
      <c r="A482" t="inlineStr">
        <is>
          <t>A 21501-2025</t>
        </is>
      </c>
      <c r="B482" s="1" t="n">
        <v>45782</v>
      </c>
      <c r="C482" s="1" t="n">
        <v>45995</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34987-2025</t>
        </is>
      </c>
      <c r="B483" s="1" t="n">
        <v>45849</v>
      </c>
      <c r="C483" s="1" t="n">
        <v>45995</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34988-2025</t>
        </is>
      </c>
      <c r="B484" s="1" t="n">
        <v>45849</v>
      </c>
      <c r="C484" s="1" t="n">
        <v>45995</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36350-2025</t>
        </is>
      </c>
      <c r="B485" s="1" t="n">
        <v>45868</v>
      </c>
      <c r="C485" s="1" t="n">
        <v>45995</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25989-2025</t>
        </is>
      </c>
      <c r="B486" s="1" t="n">
        <v>45804.65050925926</v>
      </c>
      <c r="C486" s="1" t="n">
        <v>45995</v>
      </c>
      <c r="D486" t="inlineStr">
        <is>
          <t>UPPSALA LÄN</t>
        </is>
      </c>
      <c r="E486" t="inlineStr">
        <is>
          <t>ENKÖPING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36599-2025</t>
        </is>
      </c>
      <c r="B487" s="1" t="n">
        <v>45870.51723379629</v>
      </c>
      <c r="C487" s="1" t="n">
        <v>45995</v>
      </c>
      <c r="D487" t="inlineStr">
        <is>
          <t>UPPSALA LÄN</t>
        </is>
      </c>
      <c r="E487" t="inlineStr">
        <is>
          <t>ENKÖPING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36492-2025</t>
        </is>
      </c>
      <c r="B488" s="1" t="n">
        <v>45869</v>
      </c>
      <c r="C488" s="1" t="n">
        <v>45995</v>
      </c>
      <c r="D488" t="inlineStr">
        <is>
          <t>UPPSALA LÄN</t>
        </is>
      </c>
      <c r="E488" t="inlineStr">
        <is>
          <t>ENKÖPING</t>
        </is>
      </c>
      <c r="G488" t="n">
        <v>6.3</v>
      </c>
      <c r="H488" t="n">
        <v>0</v>
      </c>
      <c r="I488" t="n">
        <v>0</v>
      </c>
      <c r="J488" t="n">
        <v>0</v>
      </c>
      <c r="K488" t="n">
        <v>0</v>
      </c>
      <c r="L488" t="n">
        <v>0</v>
      </c>
      <c r="M488" t="n">
        <v>0</v>
      </c>
      <c r="N488" t="n">
        <v>0</v>
      </c>
      <c r="O488" t="n">
        <v>0</v>
      </c>
      <c r="P488" t="n">
        <v>0</v>
      </c>
      <c r="Q488" t="n">
        <v>0</v>
      </c>
      <c r="R488" s="2" t="inlineStr"/>
    </row>
    <row r="489" ht="15" customHeight="1">
      <c r="A489" t="inlineStr">
        <is>
          <t>A 37319-2025</t>
        </is>
      </c>
      <c r="B489" s="1" t="n">
        <v>45876</v>
      </c>
      <c r="C489" s="1" t="n">
        <v>45995</v>
      </c>
      <c r="D489" t="inlineStr">
        <is>
          <t>UPPSALA LÄN</t>
        </is>
      </c>
      <c r="E489" t="inlineStr">
        <is>
          <t>ENKÖPING</t>
        </is>
      </c>
      <c r="G489" t="n">
        <v>9.5</v>
      </c>
      <c r="H489" t="n">
        <v>0</v>
      </c>
      <c r="I489" t="n">
        <v>0</v>
      </c>
      <c r="J489" t="n">
        <v>0</v>
      </c>
      <c r="K489" t="n">
        <v>0</v>
      </c>
      <c r="L489" t="n">
        <v>0</v>
      </c>
      <c r="M489" t="n">
        <v>0</v>
      </c>
      <c r="N489" t="n">
        <v>0</v>
      </c>
      <c r="O489" t="n">
        <v>0</v>
      </c>
      <c r="P489" t="n">
        <v>0</v>
      </c>
      <c r="Q489" t="n">
        <v>0</v>
      </c>
      <c r="R489" s="2" t="inlineStr"/>
    </row>
    <row r="490" ht="15" customHeight="1">
      <c r="A490" t="inlineStr">
        <is>
          <t>A 37296-2025</t>
        </is>
      </c>
      <c r="B490" s="1" t="n">
        <v>45876</v>
      </c>
      <c r="C490" s="1" t="n">
        <v>45995</v>
      </c>
      <c r="D490" t="inlineStr">
        <is>
          <t>UPPSALA LÄN</t>
        </is>
      </c>
      <c r="E490" t="inlineStr">
        <is>
          <t>ENKÖPING</t>
        </is>
      </c>
      <c r="G490" t="n">
        <v>9.5</v>
      </c>
      <c r="H490" t="n">
        <v>0</v>
      </c>
      <c r="I490" t="n">
        <v>0</v>
      </c>
      <c r="J490" t="n">
        <v>0</v>
      </c>
      <c r="K490" t="n">
        <v>0</v>
      </c>
      <c r="L490" t="n">
        <v>0</v>
      </c>
      <c r="M490" t="n">
        <v>0</v>
      </c>
      <c r="N490" t="n">
        <v>0</v>
      </c>
      <c r="O490" t="n">
        <v>0</v>
      </c>
      <c r="P490" t="n">
        <v>0</v>
      </c>
      <c r="Q490" t="n">
        <v>0</v>
      </c>
      <c r="R490" s="2" t="inlineStr"/>
    </row>
    <row r="491" ht="15" customHeight="1">
      <c r="A491" t="inlineStr">
        <is>
          <t>A 37498-2025</t>
        </is>
      </c>
      <c r="B491" s="1" t="n">
        <v>45877</v>
      </c>
      <c r="C491" s="1" t="n">
        <v>45995</v>
      </c>
      <c r="D491" t="inlineStr">
        <is>
          <t>UPPSALA LÄN</t>
        </is>
      </c>
      <c r="E491" t="inlineStr">
        <is>
          <t>ENKÖPING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49622-2024</t>
        </is>
      </c>
      <c r="B492" s="1" t="n">
        <v>45596.58372685185</v>
      </c>
      <c r="C492" s="1" t="n">
        <v>45995</v>
      </c>
      <c r="D492" t="inlineStr">
        <is>
          <t>UPPSALA LÄN</t>
        </is>
      </c>
      <c r="E492" t="inlineStr">
        <is>
          <t>ENKÖPING</t>
        </is>
      </c>
      <c r="G492" t="n">
        <v>1.3</v>
      </c>
      <c r="H492" t="n">
        <v>0</v>
      </c>
      <c r="I492" t="n">
        <v>0</v>
      </c>
      <c r="J492" t="n">
        <v>0</v>
      </c>
      <c r="K492" t="n">
        <v>0</v>
      </c>
      <c r="L492" t="n">
        <v>0</v>
      </c>
      <c r="M492" t="n">
        <v>0</v>
      </c>
      <c r="N492" t="n">
        <v>0</v>
      </c>
      <c r="O492" t="n">
        <v>0</v>
      </c>
      <c r="P492" t="n">
        <v>0</v>
      </c>
      <c r="Q492" t="n">
        <v>0</v>
      </c>
      <c r="R492" s="2" t="inlineStr"/>
    </row>
    <row r="493">
      <c r="A493" t="inlineStr">
        <is>
          <t>A 21017-2023</t>
        </is>
      </c>
      <c r="B493" s="1" t="n">
        <v>45061</v>
      </c>
      <c r="C493" s="1" t="n">
        <v>45995</v>
      </c>
      <c r="D493" t="inlineStr">
        <is>
          <t>UPPSALA LÄN</t>
        </is>
      </c>
      <c r="E493" t="inlineStr">
        <is>
          <t>ENKÖPING</t>
        </is>
      </c>
      <c r="G493" t="n">
        <v>4.8</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2025-12-04T10:28:28Z</dcterms:created>
  <dcterms:modified xmlns:dcterms="http://purl.org/dc/terms/" xmlns:xsi="http://www.w3.org/2001/XMLSchema-instance" xsi:type="dcterms:W3CDTF">2025-12-04T10:28:29Z</dcterms:modified>
</cp:coreProperties>
</file>