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45936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45936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45936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45936</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45936</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45936</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45936</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45936</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45936</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45936</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45936</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45936</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45936</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45936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45936</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45936</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17942-2024</t>
        </is>
      </c>
      <c r="B24" s="1" t="n">
        <v>45419</v>
      </c>
      <c r="C24" s="1" t="n">
        <v>45936</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33339-2024</t>
        </is>
      </c>
      <c r="B25" s="1" t="n">
        <v>45519</v>
      </c>
      <c r="C25" s="1" t="n">
        <v>45936</v>
      </c>
      <c r="D25" t="inlineStr">
        <is>
          <t>UPPSALA LÄN</t>
        </is>
      </c>
      <c r="E25" t="inlineStr">
        <is>
          <t>ENKÖPING</t>
        </is>
      </c>
      <c r="G25" t="n">
        <v>2.3</v>
      </c>
      <c r="H25" t="n">
        <v>0</v>
      </c>
      <c r="I25" t="n">
        <v>0</v>
      </c>
      <c r="J25" t="n">
        <v>1</v>
      </c>
      <c r="K25" t="n">
        <v>0</v>
      </c>
      <c r="L25" t="n">
        <v>0</v>
      </c>
      <c r="M25" t="n">
        <v>0</v>
      </c>
      <c r="N25" t="n">
        <v>0</v>
      </c>
      <c r="O25" t="n">
        <v>1</v>
      </c>
      <c r="P25" t="n">
        <v>0</v>
      </c>
      <c r="Q25" t="n">
        <v>1</v>
      </c>
      <c r="R25" s="2" t="inlineStr">
        <is>
          <t>Ullticka</t>
        </is>
      </c>
      <c r="S25">
        <f>HYPERLINK("https://klasma.github.io/Logging_0381/artfynd/A 33339-2024 artfynd.xlsx", "A 33339-2024")</f>
        <v/>
      </c>
      <c r="T25">
        <f>HYPERLINK("https://klasma.github.io/Logging_0381/kartor/A 33339-2024 karta.png", "A 33339-2024")</f>
        <v/>
      </c>
      <c r="V25">
        <f>HYPERLINK("https://klasma.github.io/Logging_0381/klagomål/A 33339-2024 FSC-klagomål.docx", "A 33339-2024")</f>
        <v/>
      </c>
      <c r="W25">
        <f>HYPERLINK("https://klasma.github.io/Logging_0381/klagomålsmail/A 33339-2024 FSC-klagomål mail.docx", "A 33339-2024")</f>
        <v/>
      </c>
      <c r="X25">
        <f>HYPERLINK("https://klasma.github.io/Logging_0381/tillsyn/A 33339-2024 tillsynsbegäran.docx", "A 33339-2024")</f>
        <v/>
      </c>
      <c r="Y25">
        <f>HYPERLINK("https://klasma.github.io/Logging_0381/tillsynsmail/A 33339-2024 tillsynsbegäran mail.docx", "A 33339-2024")</f>
        <v/>
      </c>
    </row>
    <row r="26" ht="15" customHeight="1">
      <c r="A26" t="inlineStr">
        <is>
          <t>A 1524-2023</t>
        </is>
      </c>
      <c r="B26" s="1" t="n">
        <v>44935</v>
      </c>
      <c r="C26" s="1" t="n">
        <v>45936</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29510-2025</t>
        </is>
      </c>
      <c r="B27" s="1" t="n">
        <v>45825</v>
      </c>
      <c r="C27" s="1" t="n">
        <v>45936</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28900-2024</t>
        </is>
      </c>
      <c r="B28" s="1" t="n">
        <v>45480</v>
      </c>
      <c r="C28" s="1" t="n">
        <v>45936</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45936</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26347-2025</t>
        </is>
      </c>
      <c r="B30" s="1" t="n">
        <v>45805.7403125</v>
      </c>
      <c r="C30" s="1" t="n">
        <v>45936</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27060-2025</t>
        </is>
      </c>
      <c r="B31" s="1" t="n">
        <v>45811.63590277778</v>
      </c>
      <c r="C31" s="1" t="n">
        <v>45936</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45116-2023</t>
        </is>
      </c>
      <c r="B32" s="1" t="n">
        <v>45191</v>
      </c>
      <c r="C32" s="1" t="n">
        <v>45936</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16683-2021</t>
        </is>
      </c>
      <c r="B33" s="1" t="n">
        <v>44294.58495370371</v>
      </c>
      <c r="C33" s="1" t="n">
        <v>45936</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45936</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45936</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45936</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45936</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45936</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45936</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45936</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45936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45936</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45936</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45936</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45936</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45936</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45936</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45936</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45936</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45936</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45936</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45936</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45936</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45936</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45936</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45936</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45936</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45936</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45936</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45936</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45936</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45936</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45936</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45936</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45936</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45936</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45936</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45936</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45936</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45936</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45936</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45936</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45936</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45936</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45936</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28795-2021</t>
        </is>
      </c>
      <c r="B89" s="1" t="n">
        <v>44357</v>
      </c>
      <c r="C89" s="1" t="n">
        <v>45936</v>
      </c>
      <c r="D89" t="inlineStr">
        <is>
          <t>UPPSALA LÄN</t>
        </is>
      </c>
      <c r="E89" t="inlineStr">
        <is>
          <t>ENKÖPING</t>
        </is>
      </c>
      <c r="F89" t="inlineStr">
        <is>
          <t>Allmännings- och besparingsskogar</t>
        </is>
      </c>
      <c r="G89" t="n">
        <v>2.8</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45936</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45936</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69791-2021</t>
        </is>
      </c>
      <c r="B92" s="1" t="n">
        <v>44532</v>
      </c>
      <c r="C92" s="1" t="n">
        <v>45936</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45936</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57055-2021</t>
        </is>
      </c>
      <c r="B94" s="1" t="n">
        <v>44482.55201388889</v>
      </c>
      <c r="C94" s="1" t="n">
        <v>45936</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60874-2021</t>
        </is>
      </c>
      <c r="B95" s="1" t="n">
        <v>44497</v>
      </c>
      <c r="C95" s="1" t="n">
        <v>45936</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45936</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47516-2022</t>
        </is>
      </c>
      <c r="B97" s="1" t="n">
        <v>44853.68895833333</v>
      </c>
      <c r="C97" s="1" t="n">
        <v>45936</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45936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58798-2020</t>
        </is>
      </c>
      <c r="B99" s="1" t="n">
        <v>44146</v>
      </c>
      <c r="C99" s="1" t="n">
        <v>45936</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15021-2022</t>
        </is>
      </c>
      <c r="B100" s="1" t="n">
        <v>44657</v>
      </c>
      <c r="C100" s="1" t="n">
        <v>45936</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42021-2021</t>
        </is>
      </c>
      <c r="B101" s="1" t="n">
        <v>44426</v>
      </c>
      <c r="C101" s="1" t="n">
        <v>45936</v>
      </c>
      <c r="D101" t="inlineStr">
        <is>
          <t>UPPSALA LÄN</t>
        </is>
      </c>
      <c r="E101" t="inlineStr">
        <is>
          <t>ENKÖPING</t>
        </is>
      </c>
      <c r="G101" t="n">
        <v>2.2</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45936</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29983-2021</t>
        </is>
      </c>
      <c r="B103" s="1" t="n">
        <v>44363</v>
      </c>
      <c r="C103" s="1" t="n">
        <v>45936</v>
      </c>
      <c r="D103" t="inlineStr">
        <is>
          <t>UPPSALA LÄN</t>
        </is>
      </c>
      <c r="E103" t="inlineStr">
        <is>
          <t>ENKÖPING</t>
        </is>
      </c>
      <c r="F103" t="inlineStr">
        <is>
          <t>Kommuner</t>
        </is>
      </c>
      <c r="G103" t="n">
        <v>3.1</v>
      </c>
      <c r="H103" t="n">
        <v>0</v>
      </c>
      <c r="I103" t="n">
        <v>0</v>
      </c>
      <c r="J103" t="n">
        <v>0</v>
      </c>
      <c r="K103" t="n">
        <v>0</v>
      </c>
      <c r="L103" t="n">
        <v>0</v>
      </c>
      <c r="M103" t="n">
        <v>0</v>
      </c>
      <c r="N103" t="n">
        <v>0</v>
      </c>
      <c r="O103" t="n">
        <v>0</v>
      </c>
      <c r="P103" t="n">
        <v>0</v>
      </c>
      <c r="Q103" t="n">
        <v>0</v>
      </c>
      <c r="R103" s="2" t="inlineStr"/>
    </row>
    <row r="104" ht="15" customHeight="1">
      <c r="A104" t="inlineStr">
        <is>
          <t>A 51092-2020</t>
        </is>
      </c>
      <c r="B104" s="1" t="n">
        <v>44112</v>
      </c>
      <c r="C104" s="1" t="n">
        <v>45936</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52464-2020</t>
        </is>
      </c>
      <c r="B105" s="1" t="n">
        <v>44118</v>
      </c>
      <c r="C105" s="1" t="n">
        <v>45936</v>
      </c>
      <c r="D105" t="inlineStr">
        <is>
          <t>UPPSALA LÄN</t>
        </is>
      </c>
      <c r="E105" t="inlineStr">
        <is>
          <t>ENKÖPING</t>
        </is>
      </c>
      <c r="G105" t="n">
        <v>4.6</v>
      </c>
      <c r="H105" t="n">
        <v>0</v>
      </c>
      <c r="I105" t="n">
        <v>0</v>
      </c>
      <c r="J105" t="n">
        <v>0</v>
      </c>
      <c r="K105" t="n">
        <v>0</v>
      </c>
      <c r="L105" t="n">
        <v>0</v>
      </c>
      <c r="M105" t="n">
        <v>0</v>
      </c>
      <c r="N105" t="n">
        <v>0</v>
      </c>
      <c r="O105" t="n">
        <v>0</v>
      </c>
      <c r="P105" t="n">
        <v>0</v>
      </c>
      <c r="Q105" t="n">
        <v>0</v>
      </c>
      <c r="R105" s="2" t="inlineStr"/>
    </row>
    <row r="106" ht="15" customHeight="1">
      <c r="A106" t="inlineStr">
        <is>
          <t>A 24883-2022</t>
        </is>
      </c>
      <c r="B106" s="1" t="n">
        <v>44728</v>
      </c>
      <c r="C106" s="1" t="n">
        <v>45936</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59121-2021</t>
        </is>
      </c>
      <c r="B107" s="1" t="n">
        <v>44490</v>
      </c>
      <c r="C107" s="1" t="n">
        <v>45936</v>
      </c>
      <c r="D107" t="inlineStr">
        <is>
          <t>UPPSALA LÄN</t>
        </is>
      </c>
      <c r="E107" t="inlineStr">
        <is>
          <t>ENKÖPING</t>
        </is>
      </c>
      <c r="G107" t="n">
        <v>2.4</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45936</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31013-2022</t>
        </is>
      </c>
      <c r="B109" s="1" t="n">
        <v>44768</v>
      </c>
      <c r="C109" s="1" t="n">
        <v>45936</v>
      </c>
      <c r="D109" t="inlineStr">
        <is>
          <t>UPPSALA LÄN</t>
        </is>
      </c>
      <c r="E109" t="inlineStr">
        <is>
          <t>ENKÖPING</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49063-2024</t>
        </is>
      </c>
      <c r="B110" s="1" t="n">
        <v>45594.59869212963</v>
      </c>
      <c r="C110" s="1" t="n">
        <v>45936</v>
      </c>
      <c r="D110" t="inlineStr">
        <is>
          <t>UPPSALA LÄN</t>
        </is>
      </c>
      <c r="E110" t="inlineStr">
        <is>
          <t>ENKÖPING</t>
        </is>
      </c>
      <c r="G110" t="n">
        <v>1.5</v>
      </c>
      <c r="H110" t="n">
        <v>0</v>
      </c>
      <c r="I110" t="n">
        <v>0</v>
      </c>
      <c r="J110" t="n">
        <v>0</v>
      </c>
      <c r="K110" t="n">
        <v>0</v>
      </c>
      <c r="L110" t="n">
        <v>0</v>
      </c>
      <c r="M110" t="n">
        <v>0</v>
      </c>
      <c r="N110" t="n">
        <v>0</v>
      </c>
      <c r="O110" t="n">
        <v>0</v>
      </c>
      <c r="P110" t="n">
        <v>0</v>
      </c>
      <c r="Q110" t="n">
        <v>0</v>
      </c>
      <c r="R110" s="2" t="inlineStr"/>
    </row>
    <row r="111" ht="15" customHeight="1">
      <c r="A111" t="inlineStr">
        <is>
          <t>A 13853-2023</t>
        </is>
      </c>
      <c r="B111" s="1" t="n">
        <v>45007</v>
      </c>
      <c r="C111" s="1" t="n">
        <v>45936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42029-2021</t>
        </is>
      </c>
      <c r="B112" s="1" t="n">
        <v>44426</v>
      </c>
      <c r="C112" s="1" t="n">
        <v>45936</v>
      </c>
      <c r="D112" t="inlineStr">
        <is>
          <t>UPPSALA LÄN</t>
        </is>
      </c>
      <c r="E112" t="inlineStr">
        <is>
          <t>ENKÖPING</t>
        </is>
      </c>
      <c r="G112" t="n">
        <v>5.3</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45936</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45936</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50747-2022</t>
        </is>
      </c>
      <c r="B115" s="1" t="n">
        <v>44867.40162037037</v>
      </c>
      <c r="C115" s="1" t="n">
        <v>45936</v>
      </c>
      <c r="D115" t="inlineStr">
        <is>
          <t>UPPSALA LÄN</t>
        </is>
      </c>
      <c r="E115" t="inlineStr">
        <is>
          <t>ENKÖPING</t>
        </is>
      </c>
      <c r="G115" t="n">
        <v>1.5</v>
      </c>
      <c r="H115" t="n">
        <v>0</v>
      </c>
      <c r="I115" t="n">
        <v>0</v>
      </c>
      <c r="J115" t="n">
        <v>0</v>
      </c>
      <c r="K115" t="n">
        <v>0</v>
      </c>
      <c r="L115" t="n">
        <v>0</v>
      </c>
      <c r="M115" t="n">
        <v>0</v>
      </c>
      <c r="N115" t="n">
        <v>0</v>
      </c>
      <c r="O115" t="n">
        <v>0</v>
      </c>
      <c r="P115" t="n">
        <v>0</v>
      </c>
      <c r="Q115" t="n">
        <v>0</v>
      </c>
      <c r="R115" s="2" t="inlineStr"/>
    </row>
    <row r="116" ht="15" customHeight="1">
      <c r="A116" t="inlineStr">
        <is>
          <t>A 17657-2025</t>
        </is>
      </c>
      <c r="B116" s="1" t="n">
        <v>45758.35006944444</v>
      </c>
      <c r="C116" s="1" t="n">
        <v>45936</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49568-2022</t>
        </is>
      </c>
      <c r="B117" s="1" t="n">
        <v>44862.32791666667</v>
      </c>
      <c r="C117" s="1" t="n">
        <v>45936</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69567-2020</t>
        </is>
      </c>
      <c r="B118" s="1" t="n">
        <v>44194</v>
      </c>
      <c r="C118" s="1" t="n">
        <v>45936</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68127-2021</t>
        </is>
      </c>
      <c r="B119" s="1" t="n">
        <v>44526.39513888889</v>
      </c>
      <c r="C119" s="1" t="n">
        <v>45936</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1971-2022</t>
        </is>
      </c>
      <c r="B120" s="1" t="n">
        <v>44575</v>
      </c>
      <c r="C120" s="1" t="n">
        <v>45936</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47681-2024</t>
        </is>
      </c>
      <c r="B121" s="1" t="n">
        <v>45588</v>
      </c>
      <c r="C121" s="1" t="n">
        <v>45936</v>
      </c>
      <c r="D121" t="inlineStr">
        <is>
          <t>UPPSALA LÄN</t>
        </is>
      </c>
      <c r="E121" t="inlineStr">
        <is>
          <t>ENKÖPING</t>
        </is>
      </c>
      <c r="G121" t="n">
        <v>4.2</v>
      </c>
      <c r="H121" t="n">
        <v>0</v>
      </c>
      <c r="I121" t="n">
        <v>0</v>
      </c>
      <c r="J121" t="n">
        <v>0</v>
      </c>
      <c r="K121" t="n">
        <v>0</v>
      </c>
      <c r="L121" t="n">
        <v>0</v>
      </c>
      <c r="M121" t="n">
        <v>0</v>
      </c>
      <c r="N121" t="n">
        <v>0</v>
      </c>
      <c r="O121" t="n">
        <v>0</v>
      </c>
      <c r="P121" t="n">
        <v>0</v>
      </c>
      <c r="Q121" t="n">
        <v>0</v>
      </c>
      <c r="R121" s="2" t="inlineStr"/>
    </row>
    <row r="122" ht="15" customHeight="1">
      <c r="A122" t="inlineStr">
        <is>
          <t>A 20067-2021</t>
        </is>
      </c>
      <c r="B122" s="1" t="n">
        <v>44314</v>
      </c>
      <c r="C122" s="1" t="n">
        <v>45936</v>
      </c>
      <c r="D122" t="inlineStr">
        <is>
          <t>UPPSALA LÄN</t>
        </is>
      </c>
      <c r="E122" t="inlineStr">
        <is>
          <t>ENKÖPING</t>
        </is>
      </c>
      <c r="G122" t="n">
        <v>0.9</v>
      </c>
      <c r="H122" t="n">
        <v>0</v>
      </c>
      <c r="I122" t="n">
        <v>0</v>
      </c>
      <c r="J122" t="n">
        <v>0</v>
      </c>
      <c r="K122" t="n">
        <v>0</v>
      </c>
      <c r="L122" t="n">
        <v>0</v>
      </c>
      <c r="M122" t="n">
        <v>0</v>
      </c>
      <c r="N122" t="n">
        <v>0</v>
      </c>
      <c r="O122" t="n">
        <v>0</v>
      </c>
      <c r="P122" t="n">
        <v>0</v>
      </c>
      <c r="Q122" t="n">
        <v>0</v>
      </c>
      <c r="R122" s="2" t="inlineStr"/>
    </row>
    <row r="123" ht="15" customHeight="1">
      <c r="A123" t="inlineStr">
        <is>
          <t>A 53496-2022</t>
        </is>
      </c>
      <c r="B123" s="1" t="n">
        <v>44879.57217592592</v>
      </c>
      <c r="C123" s="1" t="n">
        <v>45936</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15924-2022</t>
        </is>
      </c>
      <c r="B124" s="1" t="n">
        <v>44664</v>
      </c>
      <c r="C124" s="1" t="n">
        <v>45936</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15943-2022</t>
        </is>
      </c>
      <c r="B125" s="1" t="n">
        <v>44664.66428240741</v>
      </c>
      <c r="C125" s="1" t="n">
        <v>45936</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47106-2021</t>
        </is>
      </c>
      <c r="B126" s="1" t="n">
        <v>44446</v>
      </c>
      <c r="C126" s="1" t="n">
        <v>45936</v>
      </c>
      <c r="D126" t="inlineStr">
        <is>
          <t>UPPSALA LÄN</t>
        </is>
      </c>
      <c r="E126" t="inlineStr">
        <is>
          <t>ENKÖPING</t>
        </is>
      </c>
      <c r="G126" t="n">
        <v>7.6</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45936</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66517-2020</t>
        </is>
      </c>
      <c r="B128" s="1" t="n">
        <v>44178</v>
      </c>
      <c r="C128" s="1" t="n">
        <v>45936</v>
      </c>
      <c r="D128" t="inlineStr">
        <is>
          <t>UPPSALA LÄN</t>
        </is>
      </c>
      <c r="E128" t="inlineStr">
        <is>
          <t>ENKÖPING</t>
        </is>
      </c>
      <c r="G128" t="n">
        <v>4</v>
      </c>
      <c r="H128" t="n">
        <v>0</v>
      </c>
      <c r="I128" t="n">
        <v>0</v>
      </c>
      <c r="J128" t="n">
        <v>0</v>
      </c>
      <c r="K128" t="n">
        <v>0</v>
      </c>
      <c r="L128" t="n">
        <v>0</v>
      </c>
      <c r="M128" t="n">
        <v>0</v>
      </c>
      <c r="N128" t="n">
        <v>0</v>
      </c>
      <c r="O128" t="n">
        <v>0</v>
      </c>
      <c r="P128" t="n">
        <v>0</v>
      </c>
      <c r="Q128" t="n">
        <v>0</v>
      </c>
      <c r="R128" s="2" t="inlineStr"/>
    </row>
    <row r="129" ht="15" customHeight="1">
      <c r="A129" t="inlineStr">
        <is>
          <t>A 2974-2025</t>
        </is>
      </c>
      <c r="B129" s="1" t="n">
        <v>45678.47168981482</v>
      </c>
      <c r="C129" s="1" t="n">
        <v>45936</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15711-2025</t>
        </is>
      </c>
      <c r="B130" s="1" t="n">
        <v>45748</v>
      </c>
      <c r="C130" s="1" t="n">
        <v>45936</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19731-2022</t>
        </is>
      </c>
      <c r="B131" s="1" t="n">
        <v>44694</v>
      </c>
      <c r="C131" s="1" t="n">
        <v>45936</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28318-2024</t>
        </is>
      </c>
      <c r="B132" s="1" t="n">
        <v>45477</v>
      </c>
      <c r="C132" s="1" t="n">
        <v>45936</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45936</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27786-2023</t>
        </is>
      </c>
      <c r="B134" s="1" t="n">
        <v>45098</v>
      </c>
      <c r="C134" s="1" t="n">
        <v>45936</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16920-2023</t>
        </is>
      </c>
      <c r="B135" s="1" t="n">
        <v>45033.59030092593</v>
      </c>
      <c r="C135" s="1" t="n">
        <v>45936</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51524-2022</t>
        </is>
      </c>
      <c r="B136" s="1" t="n">
        <v>44869</v>
      </c>
      <c r="C136" s="1" t="n">
        <v>45936</v>
      </c>
      <c r="D136" t="inlineStr">
        <is>
          <t>UPPSALA LÄN</t>
        </is>
      </c>
      <c r="E136" t="inlineStr">
        <is>
          <t>ENKÖPING</t>
        </is>
      </c>
      <c r="G136" t="n">
        <v>6.6</v>
      </c>
      <c r="H136" t="n">
        <v>0</v>
      </c>
      <c r="I136" t="n">
        <v>0</v>
      </c>
      <c r="J136" t="n">
        <v>0</v>
      </c>
      <c r="K136" t="n">
        <v>0</v>
      </c>
      <c r="L136" t="n">
        <v>0</v>
      </c>
      <c r="M136" t="n">
        <v>0</v>
      </c>
      <c r="N136" t="n">
        <v>0</v>
      </c>
      <c r="O136" t="n">
        <v>0</v>
      </c>
      <c r="P136" t="n">
        <v>0</v>
      </c>
      <c r="Q136" t="n">
        <v>0</v>
      </c>
      <c r="R136" s="2" t="inlineStr"/>
    </row>
    <row r="137" ht="15" customHeight="1">
      <c r="A137" t="inlineStr">
        <is>
          <t>A 48864-2022</t>
        </is>
      </c>
      <c r="B137" s="1" t="n">
        <v>44859</v>
      </c>
      <c r="C137" s="1" t="n">
        <v>45936</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43999-2025</t>
        </is>
      </c>
      <c r="B138" s="1" t="n">
        <v>45915.45158564814</v>
      </c>
      <c r="C138" s="1" t="n">
        <v>45936</v>
      </c>
      <c r="D138" t="inlineStr">
        <is>
          <t>UPPSALA LÄN</t>
        </is>
      </c>
      <c r="E138" t="inlineStr">
        <is>
          <t>ENKÖPING</t>
        </is>
      </c>
      <c r="G138" t="n">
        <v>4.1</v>
      </c>
      <c r="H138" t="n">
        <v>0</v>
      </c>
      <c r="I138" t="n">
        <v>0</v>
      </c>
      <c r="J138" t="n">
        <v>0</v>
      </c>
      <c r="K138" t="n">
        <v>0</v>
      </c>
      <c r="L138" t="n">
        <v>0</v>
      </c>
      <c r="M138" t="n">
        <v>0</v>
      </c>
      <c r="N138" t="n">
        <v>0</v>
      </c>
      <c r="O138" t="n">
        <v>0</v>
      </c>
      <c r="P138" t="n">
        <v>0</v>
      </c>
      <c r="Q138" t="n">
        <v>0</v>
      </c>
      <c r="R138" s="2" t="inlineStr"/>
    </row>
    <row r="139" ht="15" customHeight="1">
      <c r="A139" t="inlineStr">
        <is>
          <t>A 53586-2024</t>
        </is>
      </c>
      <c r="B139" s="1" t="n">
        <v>45614</v>
      </c>
      <c r="C139" s="1" t="n">
        <v>45936</v>
      </c>
      <c r="D139" t="inlineStr">
        <is>
          <t>UPPSALA LÄN</t>
        </is>
      </c>
      <c r="E139" t="inlineStr">
        <is>
          <t>ENKÖPING</t>
        </is>
      </c>
      <c r="G139" t="n">
        <v>6.6</v>
      </c>
      <c r="H139" t="n">
        <v>0</v>
      </c>
      <c r="I139" t="n">
        <v>0</v>
      </c>
      <c r="J139" t="n">
        <v>0</v>
      </c>
      <c r="K139" t="n">
        <v>0</v>
      </c>
      <c r="L139" t="n">
        <v>0</v>
      </c>
      <c r="M139" t="n">
        <v>0</v>
      </c>
      <c r="N139" t="n">
        <v>0</v>
      </c>
      <c r="O139" t="n">
        <v>0</v>
      </c>
      <c r="P139" t="n">
        <v>0</v>
      </c>
      <c r="Q139" t="n">
        <v>0</v>
      </c>
      <c r="R139" s="2" t="inlineStr"/>
    </row>
    <row r="140" ht="15" customHeight="1">
      <c r="A140" t="inlineStr">
        <is>
          <t>A 42756-2025</t>
        </is>
      </c>
      <c r="B140" s="1" t="n">
        <v>45908</v>
      </c>
      <c r="C140" s="1" t="n">
        <v>45936</v>
      </c>
      <c r="D140" t="inlineStr">
        <is>
          <t>UPPSALA LÄN</t>
        </is>
      </c>
      <c r="E140" t="inlineStr">
        <is>
          <t>ENKÖPING</t>
        </is>
      </c>
      <c r="G140" t="n">
        <v>1.1</v>
      </c>
      <c r="H140" t="n">
        <v>0</v>
      </c>
      <c r="I140" t="n">
        <v>0</v>
      </c>
      <c r="J140" t="n">
        <v>0</v>
      </c>
      <c r="K140" t="n">
        <v>0</v>
      </c>
      <c r="L140" t="n">
        <v>0</v>
      </c>
      <c r="M140" t="n">
        <v>0</v>
      </c>
      <c r="N140" t="n">
        <v>0</v>
      </c>
      <c r="O140" t="n">
        <v>0</v>
      </c>
      <c r="P140" t="n">
        <v>0</v>
      </c>
      <c r="Q140" t="n">
        <v>0</v>
      </c>
      <c r="R140" s="2" t="inlineStr"/>
    </row>
    <row r="141" ht="15" customHeight="1">
      <c r="A141" t="inlineStr">
        <is>
          <t>A 25989-2025</t>
        </is>
      </c>
      <c r="B141" s="1" t="n">
        <v>45804.65050925926</v>
      </c>
      <c r="C141" s="1" t="n">
        <v>45936</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6242-2025</t>
        </is>
      </c>
      <c r="B142" s="1" t="n">
        <v>45697</v>
      </c>
      <c r="C142" s="1" t="n">
        <v>45936</v>
      </c>
      <c r="D142" t="inlineStr">
        <is>
          <t>UPPSALA LÄN</t>
        </is>
      </c>
      <c r="E142" t="inlineStr">
        <is>
          <t>ENKÖPING</t>
        </is>
      </c>
      <c r="G142" t="n">
        <v>17.9</v>
      </c>
      <c r="H142" t="n">
        <v>0</v>
      </c>
      <c r="I142" t="n">
        <v>0</v>
      </c>
      <c r="J142" t="n">
        <v>0</v>
      </c>
      <c r="K142" t="n">
        <v>0</v>
      </c>
      <c r="L142" t="n">
        <v>0</v>
      </c>
      <c r="M142" t="n">
        <v>0</v>
      </c>
      <c r="N142" t="n">
        <v>0</v>
      </c>
      <c r="O142" t="n">
        <v>0</v>
      </c>
      <c r="P142" t="n">
        <v>0</v>
      </c>
      <c r="Q142" t="n">
        <v>0</v>
      </c>
      <c r="R142" s="2" t="inlineStr"/>
    </row>
    <row r="143" ht="15" customHeight="1">
      <c r="A143" t="inlineStr">
        <is>
          <t>A 42459-2024</t>
        </is>
      </c>
      <c r="B143" s="1" t="n">
        <v>45565</v>
      </c>
      <c r="C143" s="1" t="n">
        <v>45936</v>
      </c>
      <c r="D143" t="inlineStr">
        <is>
          <t>UPPSALA LÄN</t>
        </is>
      </c>
      <c r="E143" t="inlineStr">
        <is>
          <t>ENKÖPING</t>
        </is>
      </c>
      <c r="G143" t="n">
        <v>3.6</v>
      </c>
      <c r="H143" t="n">
        <v>0</v>
      </c>
      <c r="I143" t="n">
        <v>0</v>
      </c>
      <c r="J143" t="n">
        <v>0</v>
      </c>
      <c r="K143" t="n">
        <v>0</v>
      </c>
      <c r="L143" t="n">
        <v>0</v>
      </c>
      <c r="M143" t="n">
        <v>0</v>
      </c>
      <c r="N143" t="n">
        <v>0</v>
      </c>
      <c r="O143" t="n">
        <v>0</v>
      </c>
      <c r="P143" t="n">
        <v>0</v>
      </c>
      <c r="Q143" t="n">
        <v>0</v>
      </c>
      <c r="R143" s="2" t="inlineStr"/>
    </row>
    <row r="144" ht="15" customHeight="1">
      <c r="A144" t="inlineStr">
        <is>
          <t>A 46103-2023</t>
        </is>
      </c>
      <c r="B144" s="1" t="n">
        <v>45190</v>
      </c>
      <c r="C144" s="1" t="n">
        <v>45936</v>
      </c>
      <c r="D144" t="inlineStr">
        <is>
          <t>UPPSALA LÄN</t>
        </is>
      </c>
      <c r="E144" t="inlineStr">
        <is>
          <t>ENKÖPING</t>
        </is>
      </c>
      <c r="G144" t="n">
        <v>4.6</v>
      </c>
      <c r="H144" t="n">
        <v>0</v>
      </c>
      <c r="I144" t="n">
        <v>0</v>
      </c>
      <c r="J144" t="n">
        <v>0</v>
      </c>
      <c r="K144" t="n">
        <v>0</v>
      </c>
      <c r="L144" t="n">
        <v>0</v>
      </c>
      <c r="M144" t="n">
        <v>0</v>
      </c>
      <c r="N144" t="n">
        <v>0</v>
      </c>
      <c r="O144" t="n">
        <v>0</v>
      </c>
      <c r="P144" t="n">
        <v>0</v>
      </c>
      <c r="Q144" t="n">
        <v>0</v>
      </c>
      <c r="R144" s="2" t="inlineStr"/>
    </row>
    <row r="145" ht="15" customHeight="1">
      <c r="A145" t="inlineStr">
        <is>
          <t>A 60125-2024</t>
        </is>
      </c>
      <c r="B145" s="1" t="n">
        <v>45642</v>
      </c>
      <c r="C145" s="1" t="n">
        <v>45936</v>
      </c>
      <c r="D145" t="inlineStr">
        <is>
          <t>UPPSALA LÄN</t>
        </is>
      </c>
      <c r="E145" t="inlineStr">
        <is>
          <t>ENKÖPING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10468-2025</t>
        </is>
      </c>
      <c r="B146" s="1" t="n">
        <v>45720</v>
      </c>
      <c r="C146" s="1" t="n">
        <v>45936</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41737-2022</t>
        </is>
      </c>
      <c r="B147" s="1" t="n">
        <v>44827.63826388889</v>
      </c>
      <c r="C147" s="1" t="n">
        <v>45936</v>
      </c>
      <c r="D147" t="inlineStr">
        <is>
          <t>UPPSALA LÄN</t>
        </is>
      </c>
      <c r="E147" t="inlineStr">
        <is>
          <t>ENKÖPING</t>
        </is>
      </c>
      <c r="G147" t="n">
        <v>1.5</v>
      </c>
      <c r="H147" t="n">
        <v>0</v>
      </c>
      <c r="I147" t="n">
        <v>0</v>
      </c>
      <c r="J147" t="n">
        <v>0</v>
      </c>
      <c r="K147" t="n">
        <v>0</v>
      </c>
      <c r="L147" t="n">
        <v>0</v>
      </c>
      <c r="M147" t="n">
        <v>0</v>
      </c>
      <c r="N147" t="n">
        <v>0</v>
      </c>
      <c r="O147" t="n">
        <v>0</v>
      </c>
      <c r="P147" t="n">
        <v>0</v>
      </c>
      <c r="Q147" t="n">
        <v>0</v>
      </c>
      <c r="R147" s="2" t="inlineStr"/>
    </row>
    <row r="148" ht="15" customHeight="1">
      <c r="A148" t="inlineStr">
        <is>
          <t>A 8137-2025</t>
        </is>
      </c>
      <c r="B148" s="1" t="n">
        <v>45707.8561574074</v>
      </c>
      <c r="C148" s="1" t="n">
        <v>45936</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5211-2024</t>
        </is>
      </c>
      <c r="B149" s="1" t="n">
        <v>45330</v>
      </c>
      <c r="C149" s="1" t="n">
        <v>45936</v>
      </c>
      <c r="D149" t="inlineStr">
        <is>
          <t>UPPSALA LÄN</t>
        </is>
      </c>
      <c r="E149" t="inlineStr">
        <is>
          <t>ENKÖPING</t>
        </is>
      </c>
      <c r="G149" t="n">
        <v>0.8</v>
      </c>
      <c r="H149" t="n">
        <v>0</v>
      </c>
      <c r="I149" t="n">
        <v>0</v>
      </c>
      <c r="J149" t="n">
        <v>0</v>
      </c>
      <c r="K149" t="n">
        <v>0</v>
      </c>
      <c r="L149" t="n">
        <v>0</v>
      </c>
      <c r="M149" t="n">
        <v>0</v>
      </c>
      <c r="N149" t="n">
        <v>0</v>
      </c>
      <c r="O149" t="n">
        <v>0</v>
      </c>
      <c r="P149" t="n">
        <v>0</v>
      </c>
      <c r="Q149" t="n">
        <v>0</v>
      </c>
      <c r="R149" s="2" t="inlineStr"/>
    </row>
    <row r="150" ht="15" customHeight="1">
      <c r="A150" t="inlineStr">
        <is>
          <t>A 36599-2025</t>
        </is>
      </c>
      <c r="B150" s="1" t="n">
        <v>45870.51723379629</v>
      </c>
      <c r="C150" s="1" t="n">
        <v>45936</v>
      </c>
      <c r="D150" t="inlineStr">
        <is>
          <t>UPPSALA LÄN</t>
        </is>
      </c>
      <c r="E150" t="inlineStr">
        <is>
          <t>ENKÖPING</t>
        </is>
      </c>
      <c r="G150" t="n">
        <v>5.9</v>
      </c>
      <c r="H150" t="n">
        <v>0</v>
      </c>
      <c r="I150" t="n">
        <v>0</v>
      </c>
      <c r="J150" t="n">
        <v>0</v>
      </c>
      <c r="K150" t="n">
        <v>0</v>
      </c>
      <c r="L150" t="n">
        <v>0</v>
      </c>
      <c r="M150" t="n">
        <v>0</v>
      </c>
      <c r="N150" t="n">
        <v>0</v>
      </c>
      <c r="O150" t="n">
        <v>0</v>
      </c>
      <c r="P150" t="n">
        <v>0</v>
      </c>
      <c r="Q150" t="n">
        <v>0</v>
      </c>
      <c r="R150" s="2" t="inlineStr"/>
    </row>
    <row r="151" ht="15" customHeight="1">
      <c r="A151" t="inlineStr">
        <is>
          <t>A 10409-2025</t>
        </is>
      </c>
      <c r="B151" s="1" t="n">
        <v>45720.631875</v>
      </c>
      <c r="C151" s="1" t="n">
        <v>45936</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18299-2025</t>
        </is>
      </c>
      <c r="B152" s="1" t="n">
        <v>45762</v>
      </c>
      <c r="C152" s="1" t="n">
        <v>45936</v>
      </c>
      <c r="D152" t="inlineStr">
        <is>
          <t>UPPSALA LÄN</t>
        </is>
      </c>
      <c r="E152" t="inlineStr">
        <is>
          <t>ENKÖPING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23301-2024</t>
        </is>
      </c>
      <c r="B153" s="1" t="n">
        <v>45453.4396412037</v>
      </c>
      <c r="C153" s="1" t="n">
        <v>45936</v>
      </c>
      <c r="D153" t="inlineStr">
        <is>
          <t>UPPSALA LÄN</t>
        </is>
      </c>
      <c r="E153" t="inlineStr">
        <is>
          <t>ENKÖPING</t>
        </is>
      </c>
      <c r="G153" t="n">
        <v>4.3</v>
      </c>
      <c r="H153" t="n">
        <v>0</v>
      </c>
      <c r="I153" t="n">
        <v>0</v>
      </c>
      <c r="J153" t="n">
        <v>0</v>
      </c>
      <c r="K153" t="n">
        <v>0</v>
      </c>
      <c r="L153" t="n">
        <v>0</v>
      </c>
      <c r="M153" t="n">
        <v>0</v>
      </c>
      <c r="N153" t="n">
        <v>0</v>
      </c>
      <c r="O153" t="n">
        <v>0</v>
      </c>
      <c r="P153" t="n">
        <v>0</v>
      </c>
      <c r="Q153" t="n">
        <v>0</v>
      </c>
      <c r="R153" s="2" t="inlineStr"/>
    </row>
    <row r="154" ht="15" customHeight="1">
      <c r="A154" t="inlineStr">
        <is>
          <t>A 43506-2023</t>
        </is>
      </c>
      <c r="B154" s="1" t="n">
        <v>45181</v>
      </c>
      <c r="C154" s="1" t="n">
        <v>45936</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52380-2024</t>
        </is>
      </c>
      <c r="B155" s="1" t="n">
        <v>45609</v>
      </c>
      <c r="C155" s="1" t="n">
        <v>45936</v>
      </c>
      <c r="D155" t="inlineStr">
        <is>
          <t>UPPSALA LÄN</t>
        </is>
      </c>
      <c r="E155" t="inlineStr">
        <is>
          <t>ENKÖPING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46186-2023</t>
        </is>
      </c>
      <c r="B156" s="1" t="n">
        <v>45196</v>
      </c>
      <c r="C156" s="1" t="n">
        <v>45936</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21686-2022</t>
        </is>
      </c>
      <c r="B157" s="1" t="n">
        <v>44707</v>
      </c>
      <c r="C157" s="1" t="n">
        <v>45936</v>
      </c>
      <c r="D157" t="inlineStr">
        <is>
          <t>UPPSALA LÄN</t>
        </is>
      </c>
      <c r="E157" t="inlineStr">
        <is>
          <t>ENKÖPING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18831-2023</t>
        </is>
      </c>
      <c r="B158" s="1" t="n">
        <v>45044.40798611111</v>
      </c>
      <c r="C158" s="1" t="n">
        <v>45936</v>
      </c>
      <c r="D158" t="inlineStr">
        <is>
          <t>UPPSALA LÄN</t>
        </is>
      </c>
      <c r="E158" t="inlineStr">
        <is>
          <t>ENKÖPING</t>
        </is>
      </c>
      <c r="G158" t="n">
        <v>4.3</v>
      </c>
      <c r="H158" t="n">
        <v>0</v>
      </c>
      <c r="I158" t="n">
        <v>0</v>
      </c>
      <c r="J158" t="n">
        <v>0</v>
      </c>
      <c r="K158" t="n">
        <v>0</v>
      </c>
      <c r="L158" t="n">
        <v>0</v>
      </c>
      <c r="M158" t="n">
        <v>0</v>
      </c>
      <c r="N158" t="n">
        <v>0</v>
      </c>
      <c r="O158" t="n">
        <v>0</v>
      </c>
      <c r="P158" t="n">
        <v>0</v>
      </c>
      <c r="Q158" t="n">
        <v>0</v>
      </c>
      <c r="R158" s="2" t="inlineStr"/>
    </row>
    <row r="159" ht="15" customHeight="1">
      <c r="A159" t="inlineStr">
        <is>
          <t>A 51042-2024</t>
        </is>
      </c>
      <c r="B159" s="1" t="n">
        <v>45603.4342824074</v>
      </c>
      <c r="C159" s="1" t="n">
        <v>45936</v>
      </c>
      <c r="D159" t="inlineStr">
        <is>
          <t>UPPSALA LÄN</t>
        </is>
      </c>
      <c r="E159" t="inlineStr">
        <is>
          <t>ENKÖPING</t>
        </is>
      </c>
      <c r="G159" t="n">
        <v>4.6</v>
      </c>
      <c r="H159" t="n">
        <v>0</v>
      </c>
      <c r="I159" t="n">
        <v>0</v>
      </c>
      <c r="J159" t="n">
        <v>0</v>
      </c>
      <c r="K159" t="n">
        <v>0</v>
      </c>
      <c r="L159" t="n">
        <v>0</v>
      </c>
      <c r="M159" t="n">
        <v>0</v>
      </c>
      <c r="N159" t="n">
        <v>0</v>
      </c>
      <c r="O159" t="n">
        <v>0</v>
      </c>
      <c r="P159" t="n">
        <v>0</v>
      </c>
      <c r="Q159" t="n">
        <v>0</v>
      </c>
      <c r="R159" s="2" t="inlineStr"/>
    </row>
    <row r="160" ht="15" customHeight="1">
      <c r="A160" t="inlineStr">
        <is>
          <t>A 30098-2024</t>
        </is>
      </c>
      <c r="B160" s="1" t="n">
        <v>45489.41609953704</v>
      </c>
      <c r="C160" s="1" t="n">
        <v>45936</v>
      </c>
      <c r="D160" t="inlineStr">
        <is>
          <t>UPPSALA LÄN</t>
        </is>
      </c>
      <c r="E160" t="inlineStr">
        <is>
          <t>ENKÖPING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54595-2021</t>
        </is>
      </c>
      <c r="B161" s="1" t="n">
        <v>44473.58824074074</v>
      </c>
      <c r="C161" s="1" t="n">
        <v>45936</v>
      </c>
      <c r="D161" t="inlineStr">
        <is>
          <t>UPPSALA LÄN</t>
        </is>
      </c>
      <c r="E161" t="inlineStr">
        <is>
          <t>ENKÖPING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59441-2020</t>
        </is>
      </c>
      <c r="B162" s="1" t="n">
        <v>44148</v>
      </c>
      <c r="C162" s="1" t="n">
        <v>45936</v>
      </c>
      <c r="D162" t="inlineStr">
        <is>
          <t>UPPSALA LÄN</t>
        </is>
      </c>
      <c r="E162" t="inlineStr">
        <is>
          <t>ENKÖPING</t>
        </is>
      </c>
      <c r="G162" t="n">
        <v>4.8</v>
      </c>
      <c r="H162" t="n">
        <v>0</v>
      </c>
      <c r="I162" t="n">
        <v>0</v>
      </c>
      <c r="J162" t="n">
        <v>0</v>
      </c>
      <c r="K162" t="n">
        <v>0</v>
      </c>
      <c r="L162" t="n">
        <v>0</v>
      </c>
      <c r="M162" t="n">
        <v>0</v>
      </c>
      <c r="N162" t="n">
        <v>0</v>
      </c>
      <c r="O162" t="n">
        <v>0</v>
      </c>
      <c r="P162" t="n">
        <v>0</v>
      </c>
      <c r="Q162" t="n">
        <v>0</v>
      </c>
      <c r="R162" s="2" t="inlineStr"/>
    </row>
    <row r="163" ht="15" customHeight="1">
      <c r="A163" t="inlineStr">
        <is>
          <t>A 54588-2024</t>
        </is>
      </c>
      <c r="B163" s="1" t="n">
        <v>45617</v>
      </c>
      <c r="C163" s="1" t="n">
        <v>45936</v>
      </c>
      <c r="D163" t="inlineStr">
        <is>
          <t>UPPSALA LÄN</t>
        </is>
      </c>
      <c r="E163" t="inlineStr">
        <is>
          <t>ENKÖPING</t>
        </is>
      </c>
      <c r="G163" t="n">
        <v>3.7</v>
      </c>
      <c r="H163" t="n">
        <v>0</v>
      </c>
      <c r="I163" t="n">
        <v>0</v>
      </c>
      <c r="J163" t="n">
        <v>0</v>
      </c>
      <c r="K163" t="n">
        <v>0</v>
      </c>
      <c r="L163" t="n">
        <v>0</v>
      </c>
      <c r="M163" t="n">
        <v>0</v>
      </c>
      <c r="N163" t="n">
        <v>0</v>
      </c>
      <c r="O163" t="n">
        <v>0</v>
      </c>
      <c r="P163" t="n">
        <v>0</v>
      </c>
      <c r="Q163" t="n">
        <v>0</v>
      </c>
      <c r="R163" s="2" t="inlineStr"/>
    </row>
    <row r="164" ht="15" customHeight="1">
      <c r="A164" t="inlineStr">
        <is>
          <t>A 34735-2023</t>
        </is>
      </c>
      <c r="B164" s="1" t="n">
        <v>45139</v>
      </c>
      <c r="C164" s="1" t="n">
        <v>45936</v>
      </c>
      <c r="D164" t="inlineStr">
        <is>
          <t>UPPSALA LÄN</t>
        </is>
      </c>
      <c r="E164" t="inlineStr">
        <is>
          <t>ENKÖPING</t>
        </is>
      </c>
      <c r="G164" t="n">
        <v>1.4</v>
      </c>
      <c r="H164" t="n">
        <v>0</v>
      </c>
      <c r="I164" t="n">
        <v>0</v>
      </c>
      <c r="J164" t="n">
        <v>0</v>
      </c>
      <c r="K164" t="n">
        <v>0</v>
      </c>
      <c r="L164" t="n">
        <v>0</v>
      </c>
      <c r="M164" t="n">
        <v>0</v>
      </c>
      <c r="N164" t="n">
        <v>0</v>
      </c>
      <c r="O164" t="n">
        <v>0</v>
      </c>
      <c r="P164" t="n">
        <v>0</v>
      </c>
      <c r="Q164" t="n">
        <v>0</v>
      </c>
      <c r="R164" s="2" t="inlineStr"/>
    </row>
    <row r="165" ht="15" customHeight="1">
      <c r="A165" t="inlineStr">
        <is>
          <t>A 47428-2023</t>
        </is>
      </c>
      <c r="B165" s="1" t="n">
        <v>45202.66664351852</v>
      </c>
      <c r="C165" s="1" t="n">
        <v>45936</v>
      </c>
      <c r="D165" t="inlineStr">
        <is>
          <t>UPPSALA LÄN</t>
        </is>
      </c>
      <c r="E165" t="inlineStr">
        <is>
          <t>ENKÖPING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57328-2024</t>
        </is>
      </c>
      <c r="B166" s="1" t="n">
        <v>45629.62798611111</v>
      </c>
      <c r="C166" s="1" t="n">
        <v>45936</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6172-2023</t>
        </is>
      </c>
      <c r="B167" s="1" t="n">
        <v>44964.68663194445</v>
      </c>
      <c r="C167" s="1" t="n">
        <v>45936</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14402-2023</t>
        </is>
      </c>
      <c r="B168" s="1" t="n">
        <v>45012</v>
      </c>
      <c r="C168" s="1" t="n">
        <v>45936</v>
      </c>
      <c r="D168" t="inlineStr">
        <is>
          <t>UPPSALA LÄN</t>
        </is>
      </c>
      <c r="E168" t="inlineStr">
        <is>
          <t>ENKÖPING</t>
        </is>
      </c>
      <c r="G168" t="n">
        <v>9.5</v>
      </c>
      <c r="H168" t="n">
        <v>0</v>
      </c>
      <c r="I168" t="n">
        <v>0</v>
      </c>
      <c r="J168" t="n">
        <v>0</v>
      </c>
      <c r="K168" t="n">
        <v>0</v>
      </c>
      <c r="L168" t="n">
        <v>0</v>
      </c>
      <c r="M168" t="n">
        <v>0</v>
      </c>
      <c r="N168" t="n">
        <v>0</v>
      </c>
      <c r="O168" t="n">
        <v>0</v>
      </c>
      <c r="P168" t="n">
        <v>0</v>
      </c>
      <c r="Q168" t="n">
        <v>0</v>
      </c>
      <c r="R168" s="2" t="inlineStr"/>
    </row>
    <row r="169" ht="15" customHeight="1">
      <c r="A169" t="inlineStr">
        <is>
          <t>A 5892-2023</t>
        </is>
      </c>
      <c r="B169" s="1" t="n">
        <v>44963.64883101852</v>
      </c>
      <c r="C169" s="1" t="n">
        <v>45936</v>
      </c>
      <c r="D169" t="inlineStr">
        <is>
          <t>UPPSALA LÄN</t>
        </is>
      </c>
      <c r="E169" t="inlineStr">
        <is>
          <t>ENKÖPING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41765-2025</t>
        </is>
      </c>
      <c r="B170" s="1" t="n">
        <v>45902</v>
      </c>
      <c r="C170" s="1" t="n">
        <v>45936</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12572-2021</t>
        </is>
      </c>
      <c r="B171" s="1" t="n">
        <v>44270.36438657407</v>
      </c>
      <c r="C171" s="1" t="n">
        <v>45936</v>
      </c>
      <c r="D171" t="inlineStr">
        <is>
          <t>UPPSALA LÄN</t>
        </is>
      </c>
      <c r="E171" t="inlineStr">
        <is>
          <t>ENKÖPING</t>
        </is>
      </c>
      <c r="G171" t="n">
        <v>3.3</v>
      </c>
      <c r="H171" t="n">
        <v>0</v>
      </c>
      <c r="I171" t="n">
        <v>0</v>
      </c>
      <c r="J171" t="n">
        <v>0</v>
      </c>
      <c r="K171" t="n">
        <v>0</v>
      </c>
      <c r="L171" t="n">
        <v>0</v>
      </c>
      <c r="M171" t="n">
        <v>0</v>
      </c>
      <c r="N171" t="n">
        <v>0</v>
      </c>
      <c r="O171" t="n">
        <v>0</v>
      </c>
      <c r="P171" t="n">
        <v>0</v>
      </c>
      <c r="Q171" t="n">
        <v>0</v>
      </c>
      <c r="R171" s="2" t="inlineStr"/>
    </row>
    <row r="172" ht="15" customHeight="1">
      <c r="A172" t="inlineStr">
        <is>
          <t>A 44419-2025</t>
        </is>
      </c>
      <c r="B172" s="1" t="n">
        <v>45916.54671296296</v>
      </c>
      <c r="C172" s="1" t="n">
        <v>45936</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671-2022</t>
        </is>
      </c>
      <c r="B173" s="1" t="n">
        <v>44568</v>
      </c>
      <c r="C173" s="1" t="n">
        <v>45936</v>
      </c>
      <c r="D173" t="inlineStr">
        <is>
          <t>UPPSALA LÄN</t>
        </is>
      </c>
      <c r="E173" t="inlineStr">
        <is>
          <t>ENKÖPING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37498-2025</t>
        </is>
      </c>
      <c r="B174" s="1" t="n">
        <v>45877</v>
      </c>
      <c r="C174" s="1" t="n">
        <v>45936</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37296-2025</t>
        </is>
      </c>
      <c r="B175" s="1" t="n">
        <v>45876</v>
      </c>
      <c r="C175" s="1" t="n">
        <v>45936</v>
      </c>
      <c r="D175" t="inlineStr">
        <is>
          <t>UPPSALA LÄN</t>
        </is>
      </c>
      <c r="E175" t="inlineStr">
        <is>
          <t>ENKÖPING</t>
        </is>
      </c>
      <c r="G175" t="n">
        <v>9.5</v>
      </c>
      <c r="H175" t="n">
        <v>0</v>
      </c>
      <c r="I175" t="n">
        <v>0</v>
      </c>
      <c r="J175" t="n">
        <v>0</v>
      </c>
      <c r="K175" t="n">
        <v>0</v>
      </c>
      <c r="L175" t="n">
        <v>0</v>
      </c>
      <c r="M175" t="n">
        <v>0</v>
      </c>
      <c r="N175" t="n">
        <v>0</v>
      </c>
      <c r="O175" t="n">
        <v>0</v>
      </c>
      <c r="P175" t="n">
        <v>0</v>
      </c>
      <c r="Q175" t="n">
        <v>0</v>
      </c>
      <c r="R175" s="2" t="inlineStr"/>
    </row>
    <row r="176" ht="15" customHeight="1">
      <c r="A176" t="inlineStr">
        <is>
          <t>A 27983-2024</t>
        </is>
      </c>
      <c r="B176" s="1" t="n">
        <v>45476</v>
      </c>
      <c r="C176" s="1" t="n">
        <v>45936</v>
      </c>
      <c r="D176" t="inlineStr">
        <is>
          <t>UPPSALA LÄN</t>
        </is>
      </c>
      <c r="E176" t="inlineStr">
        <is>
          <t>ENKÖPING</t>
        </is>
      </c>
      <c r="G176" t="n">
        <v>3.2</v>
      </c>
      <c r="H176" t="n">
        <v>0</v>
      </c>
      <c r="I176" t="n">
        <v>0</v>
      </c>
      <c r="J176" t="n">
        <v>0</v>
      </c>
      <c r="K176" t="n">
        <v>0</v>
      </c>
      <c r="L176" t="n">
        <v>0</v>
      </c>
      <c r="M176" t="n">
        <v>0</v>
      </c>
      <c r="N176" t="n">
        <v>0</v>
      </c>
      <c r="O176" t="n">
        <v>0</v>
      </c>
      <c r="P176" t="n">
        <v>0</v>
      </c>
      <c r="Q176" t="n">
        <v>0</v>
      </c>
      <c r="R176" s="2" t="inlineStr"/>
    </row>
    <row r="177" ht="15" customHeight="1">
      <c r="A177" t="inlineStr">
        <is>
          <t>A 29482-2022</t>
        </is>
      </c>
      <c r="B177" s="1" t="n">
        <v>44753.57703703704</v>
      </c>
      <c r="C177" s="1" t="n">
        <v>45936</v>
      </c>
      <c r="D177" t="inlineStr">
        <is>
          <t>UPPSALA LÄN</t>
        </is>
      </c>
      <c r="E177" t="inlineStr">
        <is>
          <t>ENKÖPING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29483-2022</t>
        </is>
      </c>
      <c r="B178" s="1" t="n">
        <v>44753.57829861111</v>
      </c>
      <c r="C178" s="1" t="n">
        <v>45936</v>
      </c>
      <c r="D178" t="inlineStr">
        <is>
          <t>UPPSALA LÄN</t>
        </is>
      </c>
      <c r="E178" t="inlineStr">
        <is>
          <t>ENKÖPING</t>
        </is>
      </c>
      <c r="G178" t="n">
        <v>3.6</v>
      </c>
      <c r="H178" t="n">
        <v>0</v>
      </c>
      <c r="I178" t="n">
        <v>0</v>
      </c>
      <c r="J178" t="n">
        <v>0</v>
      </c>
      <c r="K178" t="n">
        <v>0</v>
      </c>
      <c r="L178" t="n">
        <v>0</v>
      </c>
      <c r="M178" t="n">
        <v>0</v>
      </c>
      <c r="N178" t="n">
        <v>0</v>
      </c>
      <c r="O178" t="n">
        <v>0</v>
      </c>
      <c r="P178" t="n">
        <v>0</v>
      </c>
      <c r="Q178" t="n">
        <v>0</v>
      </c>
      <c r="R178" s="2" t="inlineStr"/>
    </row>
    <row r="179" ht="15" customHeight="1">
      <c r="A179" t="inlineStr">
        <is>
          <t>A 43488-2023</t>
        </is>
      </c>
      <c r="B179" s="1" t="n">
        <v>45181</v>
      </c>
      <c r="C179" s="1" t="n">
        <v>45936</v>
      </c>
      <c r="D179" t="inlineStr">
        <is>
          <t>UPPSALA LÄN</t>
        </is>
      </c>
      <c r="E179" t="inlineStr">
        <is>
          <t>ENKÖPING</t>
        </is>
      </c>
      <c r="G179" t="n">
        <v>0.6</v>
      </c>
      <c r="H179" t="n">
        <v>0</v>
      </c>
      <c r="I179" t="n">
        <v>0</v>
      </c>
      <c r="J179" t="n">
        <v>0</v>
      </c>
      <c r="K179" t="n">
        <v>0</v>
      </c>
      <c r="L179" t="n">
        <v>0</v>
      </c>
      <c r="M179" t="n">
        <v>0</v>
      </c>
      <c r="N179" t="n">
        <v>0</v>
      </c>
      <c r="O179" t="n">
        <v>0</v>
      </c>
      <c r="P179" t="n">
        <v>0</v>
      </c>
      <c r="Q179" t="n">
        <v>0</v>
      </c>
      <c r="R179" s="2" t="inlineStr"/>
    </row>
    <row r="180" ht="15" customHeight="1">
      <c r="A180" t="inlineStr">
        <is>
          <t>A 44232-2022</t>
        </is>
      </c>
      <c r="B180" s="1" t="n">
        <v>44839</v>
      </c>
      <c r="C180" s="1" t="n">
        <v>45936</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61106-2022</t>
        </is>
      </c>
      <c r="B181" s="1" t="n">
        <v>44915.4128587963</v>
      </c>
      <c r="C181" s="1" t="n">
        <v>45936</v>
      </c>
      <c r="D181" t="inlineStr">
        <is>
          <t>UPPSALA LÄN</t>
        </is>
      </c>
      <c r="E181" t="inlineStr">
        <is>
          <t>ENKÖPING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37319-2025</t>
        </is>
      </c>
      <c r="B182" s="1" t="n">
        <v>45876</v>
      </c>
      <c r="C182" s="1" t="n">
        <v>45936</v>
      </c>
      <c r="D182" t="inlineStr">
        <is>
          <t>UPPSALA LÄN</t>
        </is>
      </c>
      <c r="E182" t="inlineStr">
        <is>
          <t>ENKÖPING</t>
        </is>
      </c>
      <c r="G182" t="n">
        <v>9.5</v>
      </c>
      <c r="H182" t="n">
        <v>0</v>
      </c>
      <c r="I182" t="n">
        <v>0</v>
      </c>
      <c r="J182" t="n">
        <v>0</v>
      </c>
      <c r="K182" t="n">
        <v>0</v>
      </c>
      <c r="L182" t="n">
        <v>0</v>
      </c>
      <c r="M182" t="n">
        <v>0</v>
      </c>
      <c r="N182" t="n">
        <v>0</v>
      </c>
      <c r="O182" t="n">
        <v>0</v>
      </c>
      <c r="P182" t="n">
        <v>0</v>
      </c>
      <c r="Q182" t="n">
        <v>0</v>
      </c>
      <c r="R182" s="2" t="inlineStr"/>
    </row>
    <row r="183" ht="15" customHeight="1">
      <c r="A183" t="inlineStr">
        <is>
          <t>A 19298-2023</t>
        </is>
      </c>
      <c r="B183" s="1" t="n">
        <v>45048</v>
      </c>
      <c r="C183" s="1" t="n">
        <v>45936</v>
      </c>
      <c r="D183" t="inlineStr">
        <is>
          <t>UPPSALA LÄN</t>
        </is>
      </c>
      <c r="E183" t="inlineStr">
        <is>
          <t>ENKÖPING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9171-2024</t>
        </is>
      </c>
      <c r="B184" s="1" t="n">
        <v>45358</v>
      </c>
      <c r="C184" s="1" t="n">
        <v>45936</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6147-2021</t>
        </is>
      </c>
      <c r="B185" s="1" t="n">
        <v>44232</v>
      </c>
      <c r="C185" s="1" t="n">
        <v>45936</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39624-2023</t>
        </is>
      </c>
      <c r="B186" s="1" t="n">
        <v>45164</v>
      </c>
      <c r="C186" s="1" t="n">
        <v>45936</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15939-2022</t>
        </is>
      </c>
      <c r="B187" s="1" t="n">
        <v>44664</v>
      </c>
      <c r="C187" s="1" t="n">
        <v>45936</v>
      </c>
      <c r="D187" t="inlineStr">
        <is>
          <t>UPPSALA LÄN</t>
        </is>
      </c>
      <c r="E187" t="inlineStr">
        <is>
          <t>ENKÖPING</t>
        </is>
      </c>
      <c r="G187" t="n">
        <v>2</v>
      </c>
      <c r="H187" t="n">
        <v>0</v>
      </c>
      <c r="I187" t="n">
        <v>0</v>
      </c>
      <c r="J187" t="n">
        <v>0</v>
      </c>
      <c r="K187" t="n">
        <v>0</v>
      </c>
      <c r="L187" t="n">
        <v>0</v>
      </c>
      <c r="M187" t="n">
        <v>0</v>
      </c>
      <c r="N187" t="n">
        <v>0</v>
      </c>
      <c r="O187" t="n">
        <v>0</v>
      </c>
      <c r="P187" t="n">
        <v>0</v>
      </c>
      <c r="Q187" t="n">
        <v>0</v>
      </c>
      <c r="R187" s="2" t="inlineStr"/>
    </row>
    <row r="188" ht="15" customHeight="1">
      <c r="A188" t="inlineStr">
        <is>
          <t>A 45755-2025</t>
        </is>
      </c>
      <c r="B188" s="1" t="n">
        <v>45923.50240740741</v>
      </c>
      <c r="C188" s="1" t="n">
        <v>45936</v>
      </c>
      <c r="D188" t="inlineStr">
        <is>
          <t>UPPSALA LÄN</t>
        </is>
      </c>
      <c r="E188" t="inlineStr">
        <is>
          <t>ENKÖPING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20184-2023</t>
        </is>
      </c>
      <c r="B189" s="1" t="n">
        <v>45055.5670949074</v>
      </c>
      <c r="C189" s="1" t="n">
        <v>45936</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8152-2022</t>
        </is>
      </c>
      <c r="B190" s="1" t="n">
        <v>44609</v>
      </c>
      <c r="C190" s="1" t="n">
        <v>45936</v>
      </c>
      <c r="D190" t="inlineStr">
        <is>
          <t>UPPSALA LÄN</t>
        </is>
      </c>
      <c r="E190" t="inlineStr">
        <is>
          <t>ENKÖPING</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57153-2021</t>
        </is>
      </c>
      <c r="B191" s="1" t="n">
        <v>44482</v>
      </c>
      <c r="C191" s="1" t="n">
        <v>45936</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58062-2020</t>
        </is>
      </c>
      <c r="B192" s="1" t="n">
        <v>44144</v>
      </c>
      <c r="C192" s="1" t="n">
        <v>45936</v>
      </c>
      <c r="D192" t="inlineStr">
        <is>
          <t>UPPSALA LÄN</t>
        </is>
      </c>
      <c r="E192" t="inlineStr">
        <is>
          <t>ENKÖPING</t>
        </is>
      </c>
      <c r="G192" t="n">
        <v>2.3</v>
      </c>
      <c r="H192" t="n">
        <v>0</v>
      </c>
      <c r="I192" t="n">
        <v>0</v>
      </c>
      <c r="J192" t="n">
        <v>0</v>
      </c>
      <c r="K192" t="n">
        <v>0</v>
      </c>
      <c r="L192" t="n">
        <v>0</v>
      </c>
      <c r="M192" t="n">
        <v>0</v>
      </c>
      <c r="N192" t="n">
        <v>0</v>
      </c>
      <c r="O192" t="n">
        <v>0</v>
      </c>
      <c r="P192" t="n">
        <v>0</v>
      </c>
      <c r="Q192" t="n">
        <v>0</v>
      </c>
      <c r="R192" s="2" t="inlineStr"/>
    </row>
    <row r="193" ht="15" customHeight="1">
      <c r="A193" t="inlineStr">
        <is>
          <t>A 43230-2023</t>
        </is>
      </c>
      <c r="B193" s="1" t="n">
        <v>45183</v>
      </c>
      <c r="C193" s="1" t="n">
        <v>45936</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43697-2024</t>
        </is>
      </c>
      <c r="B194" s="1" t="n">
        <v>45569</v>
      </c>
      <c r="C194" s="1" t="n">
        <v>45936</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40223-2024</t>
        </is>
      </c>
      <c r="B195" s="1" t="n">
        <v>45554</v>
      </c>
      <c r="C195" s="1" t="n">
        <v>45936</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45362-2022</t>
        </is>
      </c>
      <c r="B196" s="1" t="n">
        <v>44844.62366898148</v>
      </c>
      <c r="C196" s="1" t="n">
        <v>45936</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72840-2021</t>
        </is>
      </c>
      <c r="B197" s="1" t="n">
        <v>44547</v>
      </c>
      <c r="C197" s="1" t="n">
        <v>45936</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45936</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45936</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37035-2023</t>
        </is>
      </c>
      <c r="B200" s="1" t="n">
        <v>45155</v>
      </c>
      <c r="C200" s="1" t="n">
        <v>45936</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52889-2022</t>
        </is>
      </c>
      <c r="B201" s="1" t="n">
        <v>44875</v>
      </c>
      <c r="C201" s="1" t="n">
        <v>45936</v>
      </c>
      <c r="D201" t="inlineStr">
        <is>
          <t>UPPSALA LÄN</t>
        </is>
      </c>
      <c r="E201" t="inlineStr">
        <is>
          <t>ENKÖPING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51027-2024</t>
        </is>
      </c>
      <c r="B202" s="1" t="n">
        <v>45603</v>
      </c>
      <c r="C202" s="1" t="n">
        <v>45936</v>
      </c>
      <c r="D202" t="inlineStr">
        <is>
          <t>UPPSALA LÄN</t>
        </is>
      </c>
      <c r="E202" t="inlineStr">
        <is>
          <t>ENKÖPING</t>
        </is>
      </c>
      <c r="G202" t="n">
        <v>3.5</v>
      </c>
      <c r="H202" t="n">
        <v>0</v>
      </c>
      <c r="I202" t="n">
        <v>0</v>
      </c>
      <c r="J202" t="n">
        <v>0</v>
      </c>
      <c r="K202" t="n">
        <v>0</v>
      </c>
      <c r="L202" t="n">
        <v>0</v>
      </c>
      <c r="M202" t="n">
        <v>0</v>
      </c>
      <c r="N202" t="n">
        <v>0</v>
      </c>
      <c r="O202" t="n">
        <v>0</v>
      </c>
      <c r="P202" t="n">
        <v>0</v>
      </c>
      <c r="Q202" t="n">
        <v>0</v>
      </c>
      <c r="R202" s="2" t="inlineStr"/>
    </row>
    <row r="203" ht="15" customHeight="1">
      <c r="A203" t="inlineStr">
        <is>
          <t>A 51030-2024</t>
        </is>
      </c>
      <c r="B203" s="1" t="n">
        <v>45603</v>
      </c>
      <c r="C203" s="1" t="n">
        <v>45936</v>
      </c>
      <c r="D203" t="inlineStr">
        <is>
          <t>UPPSALA LÄN</t>
        </is>
      </c>
      <c r="E203" t="inlineStr">
        <is>
          <t>ENKÖPING</t>
        </is>
      </c>
      <c r="G203" t="n">
        <v>2</v>
      </c>
      <c r="H203" t="n">
        <v>0</v>
      </c>
      <c r="I203" t="n">
        <v>0</v>
      </c>
      <c r="J203" t="n">
        <v>0</v>
      </c>
      <c r="K203" t="n">
        <v>0</v>
      </c>
      <c r="L203" t="n">
        <v>0</v>
      </c>
      <c r="M203" t="n">
        <v>0</v>
      </c>
      <c r="N203" t="n">
        <v>0</v>
      </c>
      <c r="O203" t="n">
        <v>0</v>
      </c>
      <c r="P203" t="n">
        <v>0</v>
      </c>
      <c r="Q203" t="n">
        <v>0</v>
      </c>
      <c r="R203" s="2" t="inlineStr"/>
    </row>
    <row r="204" ht="15" customHeight="1">
      <c r="A204" t="inlineStr">
        <is>
          <t>A 41826-2024</t>
        </is>
      </c>
      <c r="B204" s="1" t="n">
        <v>45561</v>
      </c>
      <c r="C204" s="1" t="n">
        <v>45936</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26292-2022</t>
        </is>
      </c>
      <c r="B205" s="1" t="n">
        <v>44735</v>
      </c>
      <c r="C205" s="1" t="n">
        <v>45936</v>
      </c>
      <c r="D205" t="inlineStr">
        <is>
          <t>UPPSALA LÄN</t>
        </is>
      </c>
      <c r="E205" t="inlineStr">
        <is>
          <t>ENKÖPING</t>
        </is>
      </c>
      <c r="F205" t="inlineStr">
        <is>
          <t>Kyrkan</t>
        </is>
      </c>
      <c r="G205" t="n">
        <v>4.6</v>
      </c>
      <c r="H205" t="n">
        <v>0</v>
      </c>
      <c r="I205" t="n">
        <v>0</v>
      </c>
      <c r="J205" t="n">
        <v>0</v>
      </c>
      <c r="K205" t="n">
        <v>0</v>
      </c>
      <c r="L205" t="n">
        <v>0</v>
      </c>
      <c r="M205" t="n">
        <v>0</v>
      </c>
      <c r="N205" t="n">
        <v>0</v>
      </c>
      <c r="O205" t="n">
        <v>0</v>
      </c>
      <c r="P205" t="n">
        <v>0</v>
      </c>
      <c r="Q205" t="n">
        <v>0</v>
      </c>
      <c r="R205" s="2" t="inlineStr"/>
    </row>
    <row r="206" ht="15" customHeight="1">
      <c r="A206" t="inlineStr">
        <is>
          <t>A 42589-2022</t>
        </is>
      </c>
      <c r="B206" s="1" t="n">
        <v>44831</v>
      </c>
      <c r="C206" s="1" t="n">
        <v>45936</v>
      </c>
      <c r="D206" t="inlineStr">
        <is>
          <t>UPPSALA LÄN</t>
        </is>
      </c>
      <c r="E206" t="inlineStr">
        <is>
          <t>ENKÖPING</t>
        </is>
      </c>
      <c r="G206" t="n">
        <v>20</v>
      </c>
      <c r="H206" t="n">
        <v>0</v>
      </c>
      <c r="I206" t="n">
        <v>0</v>
      </c>
      <c r="J206" t="n">
        <v>0</v>
      </c>
      <c r="K206" t="n">
        <v>0</v>
      </c>
      <c r="L206" t="n">
        <v>0</v>
      </c>
      <c r="M206" t="n">
        <v>0</v>
      </c>
      <c r="N206" t="n">
        <v>0</v>
      </c>
      <c r="O206" t="n">
        <v>0</v>
      </c>
      <c r="P206" t="n">
        <v>0</v>
      </c>
      <c r="Q206" t="n">
        <v>0</v>
      </c>
      <c r="R206" s="2" t="inlineStr"/>
    </row>
    <row r="207" ht="15" customHeight="1">
      <c r="A207" t="inlineStr">
        <is>
          <t>A 34617-2022</t>
        </is>
      </c>
      <c r="B207" s="1" t="n">
        <v>44795</v>
      </c>
      <c r="C207" s="1" t="n">
        <v>45936</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4044-2024</t>
        </is>
      </c>
      <c r="B208" s="1" t="n">
        <v>45323.45954861111</v>
      </c>
      <c r="C208" s="1" t="n">
        <v>45936</v>
      </c>
      <c r="D208" t="inlineStr">
        <is>
          <t>UPPSALA LÄN</t>
        </is>
      </c>
      <c r="E208" t="inlineStr">
        <is>
          <t>ENKÖPING</t>
        </is>
      </c>
      <c r="G208" t="n">
        <v>2.1</v>
      </c>
      <c r="H208" t="n">
        <v>0</v>
      </c>
      <c r="I208" t="n">
        <v>0</v>
      </c>
      <c r="J208" t="n">
        <v>0</v>
      </c>
      <c r="K208" t="n">
        <v>0</v>
      </c>
      <c r="L208" t="n">
        <v>0</v>
      </c>
      <c r="M208" t="n">
        <v>0</v>
      </c>
      <c r="N208" t="n">
        <v>0</v>
      </c>
      <c r="O208" t="n">
        <v>0</v>
      </c>
      <c r="P208" t="n">
        <v>0</v>
      </c>
      <c r="Q208" t="n">
        <v>0</v>
      </c>
      <c r="R208" s="2" t="inlineStr"/>
    </row>
    <row r="209" ht="15" customHeight="1">
      <c r="A209" t="inlineStr">
        <is>
          <t>A 1992-2022</t>
        </is>
      </c>
      <c r="B209" s="1" t="n">
        <v>44575.56153935185</v>
      </c>
      <c r="C209" s="1" t="n">
        <v>45936</v>
      </c>
      <c r="D209" t="inlineStr">
        <is>
          <t>UPPSALA LÄN</t>
        </is>
      </c>
      <c r="E209" t="inlineStr">
        <is>
          <t>ENKÖPING</t>
        </is>
      </c>
      <c r="G209" t="n">
        <v>2.8</v>
      </c>
      <c r="H209" t="n">
        <v>0</v>
      </c>
      <c r="I209" t="n">
        <v>0</v>
      </c>
      <c r="J209" t="n">
        <v>0</v>
      </c>
      <c r="K209" t="n">
        <v>0</v>
      </c>
      <c r="L209" t="n">
        <v>0</v>
      </c>
      <c r="M209" t="n">
        <v>0</v>
      </c>
      <c r="N209" t="n">
        <v>0</v>
      </c>
      <c r="O209" t="n">
        <v>0</v>
      </c>
      <c r="P209" t="n">
        <v>0</v>
      </c>
      <c r="Q209" t="n">
        <v>0</v>
      </c>
      <c r="R209" s="2" t="inlineStr"/>
    </row>
    <row r="210" ht="15" customHeight="1">
      <c r="A210" t="inlineStr">
        <is>
          <t>A 18583-2021</t>
        </is>
      </c>
      <c r="B210" s="1" t="n">
        <v>44306</v>
      </c>
      <c r="C210" s="1" t="n">
        <v>45936</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1695-2025</t>
        </is>
      </c>
      <c r="B211" s="1" t="n">
        <v>45670</v>
      </c>
      <c r="C211" s="1" t="n">
        <v>45936</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49622-2024</t>
        </is>
      </c>
      <c r="B212" s="1" t="n">
        <v>45596.58372685185</v>
      </c>
      <c r="C212" s="1" t="n">
        <v>45936</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840-2025</t>
        </is>
      </c>
      <c r="B213" s="1" t="n">
        <v>45665</v>
      </c>
      <c r="C213" s="1" t="n">
        <v>45936</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33349-2024</t>
        </is>
      </c>
      <c r="B214" s="1" t="n">
        <v>45519</v>
      </c>
      <c r="C214" s="1" t="n">
        <v>45936</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22912-2024</t>
        </is>
      </c>
      <c r="B215" s="1" t="n">
        <v>45448.73118055556</v>
      </c>
      <c r="C215" s="1" t="n">
        <v>45936</v>
      </c>
      <c r="D215" t="inlineStr">
        <is>
          <t>UPPSALA LÄN</t>
        </is>
      </c>
      <c r="E215" t="inlineStr">
        <is>
          <t>ENKÖPING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37115-2024</t>
        </is>
      </c>
      <c r="B216" s="1" t="n">
        <v>45539</v>
      </c>
      <c r="C216" s="1" t="n">
        <v>45936</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54357-2023</t>
        </is>
      </c>
      <c r="B217" s="1" t="n">
        <v>45225</v>
      </c>
      <c r="C217" s="1" t="n">
        <v>45936</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21612-2023</t>
        </is>
      </c>
      <c r="B218" s="1" t="n">
        <v>45063</v>
      </c>
      <c r="C218" s="1" t="n">
        <v>45936</v>
      </c>
      <c r="D218" t="inlineStr">
        <is>
          <t>UPPSALA LÄN</t>
        </is>
      </c>
      <c r="E218" t="inlineStr">
        <is>
          <t>ENKÖPING</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24962-2023</t>
        </is>
      </c>
      <c r="B219" s="1" t="n">
        <v>45085.60123842592</v>
      </c>
      <c r="C219" s="1" t="n">
        <v>45936</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67765-2020</t>
        </is>
      </c>
      <c r="B220" s="1" t="n">
        <v>44182</v>
      </c>
      <c r="C220" s="1" t="n">
        <v>45936</v>
      </c>
      <c r="D220" t="inlineStr">
        <is>
          <t>UPPSALA LÄN</t>
        </is>
      </c>
      <c r="E220" t="inlineStr">
        <is>
          <t>ENKÖPING</t>
        </is>
      </c>
      <c r="G220" t="n">
        <v>3.6</v>
      </c>
      <c r="H220" t="n">
        <v>0</v>
      </c>
      <c r="I220" t="n">
        <v>0</v>
      </c>
      <c r="J220" t="n">
        <v>0</v>
      </c>
      <c r="K220" t="n">
        <v>0</v>
      </c>
      <c r="L220" t="n">
        <v>0</v>
      </c>
      <c r="M220" t="n">
        <v>0</v>
      </c>
      <c r="N220" t="n">
        <v>0</v>
      </c>
      <c r="O220" t="n">
        <v>0</v>
      </c>
      <c r="P220" t="n">
        <v>0</v>
      </c>
      <c r="Q220" t="n">
        <v>0</v>
      </c>
      <c r="R220" s="2" t="inlineStr"/>
    </row>
    <row r="221" ht="15" customHeight="1">
      <c r="A221" t="inlineStr">
        <is>
          <t>A 53149-2020</t>
        </is>
      </c>
      <c r="B221" s="1" t="n">
        <v>44120</v>
      </c>
      <c r="C221" s="1" t="n">
        <v>45936</v>
      </c>
      <c r="D221" t="inlineStr">
        <is>
          <t>UPPSALA LÄN</t>
        </is>
      </c>
      <c r="E221" t="inlineStr">
        <is>
          <t>ENKÖPING</t>
        </is>
      </c>
      <c r="G221" t="n">
        <v>1.3</v>
      </c>
      <c r="H221" t="n">
        <v>0</v>
      </c>
      <c r="I221" t="n">
        <v>0</v>
      </c>
      <c r="J221" t="n">
        <v>0</v>
      </c>
      <c r="K221" t="n">
        <v>0</v>
      </c>
      <c r="L221" t="n">
        <v>0</v>
      </c>
      <c r="M221" t="n">
        <v>0</v>
      </c>
      <c r="N221" t="n">
        <v>0</v>
      </c>
      <c r="O221" t="n">
        <v>0</v>
      </c>
      <c r="P221" t="n">
        <v>0</v>
      </c>
      <c r="Q221" t="n">
        <v>0</v>
      </c>
      <c r="R221" s="2" t="inlineStr"/>
    </row>
    <row r="222" ht="15" customHeight="1">
      <c r="A222" t="inlineStr">
        <is>
          <t>A 14243-2025</t>
        </is>
      </c>
      <c r="B222" s="1" t="n">
        <v>45740.61288194444</v>
      </c>
      <c r="C222" s="1" t="n">
        <v>45936</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33343-2024</t>
        </is>
      </c>
      <c r="B223" s="1" t="n">
        <v>45519</v>
      </c>
      <c r="C223" s="1" t="n">
        <v>45936</v>
      </c>
      <c r="D223" t="inlineStr">
        <is>
          <t>UPPSALA LÄN</t>
        </is>
      </c>
      <c r="E223" t="inlineStr">
        <is>
          <t>ENKÖPING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6298-2021</t>
        </is>
      </c>
      <c r="B224" s="1" t="n">
        <v>44235</v>
      </c>
      <c r="C224" s="1" t="n">
        <v>45936</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45142-2023</t>
        </is>
      </c>
      <c r="B225" s="1" t="n">
        <v>45191.4702662037</v>
      </c>
      <c r="C225" s="1" t="n">
        <v>45936</v>
      </c>
      <c r="D225" t="inlineStr">
        <is>
          <t>UPPSALA LÄN</t>
        </is>
      </c>
      <c r="E225" t="inlineStr">
        <is>
          <t>ENKÖPING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11918-2025</t>
        </is>
      </c>
      <c r="B226" s="1" t="n">
        <v>45728.49331018519</v>
      </c>
      <c r="C226" s="1" t="n">
        <v>45936</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58961-2024</t>
        </is>
      </c>
      <c r="B227" s="1" t="n">
        <v>45636.585</v>
      </c>
      <c r="C227" s="1" t="n">
        <v>45936</v>
      </c>
      <c r="D227" t="inlineStr">
        <is>
          <t>UPPSALA LÄN</t>
        </is>
      </c>
      <c r="E227" t="inlineStr">
        <is>
          <t>ENKÖPING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31242-2024</t>
        </is>
      </c>
      <c r="B228" s="1" t="n">
        <v>45503</v>
      </c>
      <c r="C228" s="1" t="n">
        <v>45936</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53595-2023</t>
        </is>
      </c>
      <c r="B229" s="1" t="n">
        <v>45223</v>
      </c>
      <c r="C229" s="1" t="n">
        <v>45936</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845-2025</t>
        </is>
      </c>
      <c r="B230" s="1" t="n">
        <v>45665</v>
      </c>
      <c r="C230" s="1" t="n">
        <v>45936</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849-2025</t>
        </is>
      </c>
      <c r="B231" s="1" t="n">
        <v>45665</v>
      </c>
      <c r="C231" s="1" t="n">
        <v>45936</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18302-2025</t>
        </is>
      </c>
      <c r="B232" s="1" t="n">
        <v>45762</v>
      </c>
      <c r="C232" s="1" t="n">
        <v>45936</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28243-2023</t>
        </is>
      </c>
      <c r="B233" s="1" t="n">
        <v>45099.58885416666</v>
      </c>
      <c r="C233" s="1" t="n">
        <v>45936</v>
      </c>
      <c r="D233" t="inlineStr">
        <is>
          <t>UPPSALA LÄN</t>
        </is>
      </c>
      <c r="E233" t="inlineStr">
        <is>
          <t>ENKÖPING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15893-2024</t>
        </is>
      </c>
      <c r="B234" s="1" t="n">
        <v>45405</v>
      </c>
      <c r="C234" s="1" t="n">
        <v>45936</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18028-2023</t>
        </is>
      </c>
      <c r="B235" s="1" t="n">
        <v>45040</v>
      </c>
      <c r="C235" s="1" t="n">
        <v>45936</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3235-2025</t>
        </is>
      </c>
      <c r="B236" s="1" t="n">
        <v>45679</v>
      </c>
      <c r="C236" s="1" t="n">
        <v>45936</v>
      </c>
      <c r="D236" t="inlineStr">
        <is>
          <t>UPPSALA LÄN</t>
        </is>
      </c>
      <c r="E236" t="inlineStr">
        <is>
          <t>ENKÖPING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41828-2024</t>
        </is>
      </c>
      <c r="B237" s="1" t="n">
        <v>45561</v>
      </c>
      <c r="C237" s="1" t="n">
        <v>45936</v>
      </c>
      <c r="D237" t="inlineStr">
        <is>
          <t>UPPSALA LÄN</t>
        </is>
      </c>
      <c r="E237" t="inlineStr">
        <is>
          <t>ENKÖPING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1536-2024</t>
        </is>
      </c>
      <c r="B238" s="1" t="n">
        <v>45306</v>
      </c>
      <c r="C238" s="1" t="n">
        <v>45936</v>
      </c>
      <c r="D238" t="inlineStr">
        <is>
          <t>UPPSALA LÄN</t>
        </is>
      </c>
      <c r="E238" t="inlineStr">
        <is>
          <t>ENKÖPING</t>
        </is>
      </c>
      <c r="F238" t="inlineStr">
        <is>
          <t>Kyrkan</t>
        </is>
      </c>
      <c r="G238" t="n">
        <v>5.6</v>
      </c>
      <c r="H238" t="n">
        <v>0</v>
      </c>
      <c r="I238" t="n">
        <v>0</v>
      </c>
      <c r="J238" t="n">
        <v>0</v>
      </c>
      <c r="K238" t="n">
        <v>0</v>
      </c>
      <c r="L238" t="n">
        <v>0</v>
      </c>
      <c r="M238" t="n">
        <v>0</v>
      </c>
      <c r="N238" t="n">
        <v>0</v>
      </c>
      <c r="O238" t="n">
        <v>0</v>
      </c>
      <c r="P238" t="n">
        <v>0</v>
      </c>
      <c r="Q238" t="n">
        <v>0</v>
      </c>
      <c r="R238" s="2" t="inlineStr"/>
    </row>
    <row r="239" ht="15" customHeight="1">
      <c r="A239" t="inlineStr">
        <is>
          <t>A 46590-2025</t>
        </is>
      </c>
      <c r="B239" s="1" t="n">
        <v>45926.39542824074</v>
      </c>
      <c r="C239" s="1" t="n">
        <v>45936</v>
      </c>
      <c r="D239" t="inlineStr">
        <is>
          <t>UPPSALA LÄN</t>
        </is>
      </c>
      <c r="E239" t="inlineStr">
        <is>
          <t>ENKÖPING</t>
        </is>
      </c>
      <c r="G239" t="n">
        <v>2.7</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45936</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43492-2023</t>
        </is>
      </c>
      <c r="B241" s="1" t="n">
        <v>45181</v>
      </c>
      <c r="C241" s="1" t="n">
        <v>45936</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62158-2023</t>
        </is>
      </c>
      <c r="B242" s="1" t="n">
        <v>45267</v>
      </c>
      <c r="C242" s="1" t="n">
        <v>45936</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60350-2022</t>
        </is>
      </c>
      <c r="B243" s="1" t="n">
        <v>44910</v>
      </c>
      <c r="C243" s="1" t="n">
        <v>45936</v>
      </c>
      <c r="D243" t="inlineStr">
        <is>
          <t>UPPSALA LÄN</t>
        </is>
      </c>
      <c r="E243" t="inlineStr">
        <is>
          <t>ENKÖPING</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2850-2025</t>
        </is>
      </c>
      <c r="B244" s="1" t="n">
        <v>45677</v>
      </c>
      <c r="C244" s="1" t="n">
        <v>45936</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35647-2021</t>
        </is>
      </c>
      <c r="B245" s="1" t="n">
        <v>44386</v>
      </c>
      <c r="C245" s="1" t="n">
        <v>45936</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6626-2023</t>
        </is>
      </c>
      <c r="B246" s="1" t="n">
        <v>44966.55946759259</v>
      </c>
      <c r="C246" s="1" t="n">
        <v>45936</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38941-2025</t>
        </is>
      </c>
      <c r="B247" s="1" t="n">
        <v>45887</v>
      </c>
      <c r="C247" s="1" t="n">
        <v>45936</v>
      </c>
      <c r="D247" t="inlineStr">
        <is>
          <t>UPPSALA LÄN</t>
        </is>
      </c>
      <c r="E247" t="inlineStr">
        <is>
          <t>ENKÖPING</t>
        </is>
      </c>
      <c r="F247" t="inlineStr">
        <is>
          <t>Övriga statliga verk och myndigheter</t>
        </is>
      </c>
      <c r="G247" t="n">
        <v>0.6</v>
      </c>
      <c r="H247" t="n">
        <v>0</v>
      </c>
      <c r="I247" t="n">
        <v>0</v>
      </c>
      <c r="J247" t="n">
        <v>0</v>
      </c>
      <c r="K247" t="n">
        <v>0</v>
      </c>
      <c r="L247" t="n">
        <v>0</v>
      </c>
      <c r="M247" t="n">
        <v>0</v>
      </c>
      <c r="N247" t="n">
        <v>0</v>
      </c>
      <c r="O247" t="n">
        <v>0</v>
      </c>
      <c r="P247" t="n">
        <v>0</v>
      </c>
      <c r="Q247" t="n">
        <v>0</v>
      </c>
      <c r="R247" s="2" t="inlineStr"/>
    </row>
    <row r="248" ht="15" customHeight="1">
      <c r="A248" t="inlineStr">
        <is>
          <t>A 17165-2025</t>
        </is>
      </c>
      <c r="B248" s="1" t="n">
        <v>45756</v>
      </c>
      <c r="C248" s="1" t="n">
        <v>45936</v>
      </c>
      <c r="D248" t="inlineStr">
        <is>
          <t>UPPSALA LÄN</t>
        </is>
      </c>
      <c r="E248" t="inlineStr">
        <is>
          <t>ENKÖPING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48843-2023</t>
        </is>
      </c>
      <c r="B249" s="1" t="n">
        <v>45209</v>
      </c>
      <c r="C249" s="1" t="n">
        <v>45936</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33670-2024</t>
        </is>
      </c>
      <c r="B250" s="1" t="n">
        <v>45520</v>
      </c>
      <c r="C250" s="1" t="n">
        <v>45936</v>
      </c>
      <c r="D250" t="inlineStr">
        <is>
          <t>UPPSALA LÄN</t>
        </is>
      </c>
      <c r="E250" t="inlineStr">
        <is>
          <t>ENKÖPING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5013-2025</t>
        </is>
      </c>
      <c r="B251" s="1" t="n">
        <v>45691</v>
      </c>
      <c r="C251" s="1" t="n">
        <v>45936</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10458-2022</t>
        </is>
      </c>
      <c r="B252" s="1" t="n">
        <v>44623.56711805556</v>
      </c>
      <c r="C252" s="1" t="n">
        <v>45936</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44115-2024</t>
        </is>
      </c>
      <c r="B253" s="1" t="n">
        <v>45572</v>
      </c>
      <c r="C253" s="1" t="n">
        <v>45936</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21017-2023</t>
        </is>
      </c>
      <c r="B254" s="1" t="n">
        <v>45061</v>
      </c>
      <c r="C254" s="1" t="n">
        <v>45936</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37170-2021</t>
        </is>
      </c>
      <c r="B255" s="1" t="n">
        <v>44395</v>
      </c>
      <c r="C255" s="1" t="n">
        <v>45936</v>
      </c>
      <c r="D255" t="inlineStr">
        <is>
          <t>UPPSALA LÄN</t>
        </is>
      </c>
      <c r="E255" t="inlineStr">
        <is>
          <t>ENKÖPING</t>
        </is>
      </c>
      <c r="G255" t="n">
        <v>1.5</v>
      </c>
      <c r="H255" t="n">
        <v>0</v>
      </c>
      <c r="I255" t="n">
        <v>0</v>
      </c>
      <c r="J255" t="n">
        <v>0</v>
      </c>
      <c r="K255" t="n">
        <v>0</v>
      </c>
      <c r="L255" t="n">
        <v>0</v>
      </c>
      <c r="M255" t="n">
        <v>0</v>
      </c>
      <c r="N255" t="n">
        <v>0</v>
      </c>
      <c r="O255" t="n">
        <v>0</v>
      </c>
      <c r="P255" t="n">
        <v>0</v>
      </c>
      <c r="Q255" t="n">
        <v>0</v>
      </c>
      <c r="R255" s="2" t="inlineStr"/>
    </row>
    <row r="256" ht="15" customHeight="1">
      <c r="A256" t="inlineStr">
        <is>
          <t>A 19376-2024</t>
        </is>
      </c>
      <c r="B256" s="1" t="n">
        <v>45429</v>
      </c>
      <c r="C256" s="1" t="n">
        <v>45936</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9957-2023</t>
        </is>
      </c>
      <c r="B257" s="1" t="n">
        <v>44978</v>
      </c>
      <c r="C257" s="1" t="n">
        <v>45936</v>
      </c>
      <c r="D257" t="inlineStr">
        <is>
          <t>UPPSALA LÄN</t>
        </is>
      </c>
      <c r="E257" t="inlineStr">
        <is>
          <t>ENKÖPING</t>
        </is>
      </c>
      <c r="G257" t="n">
        <v>5.9</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45936</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58147-2024</t>
        </is>
      </c>
      <c r="B259" s="1" t="n">
        <v>45632.4334375</v>
      </c>
      <c r="C259" s="1" t="n">
        <v>45936</v>
      </c>
      <c r="D259" t="inlineStr">
        <is>
          <t>UPPSALA LÄN</t>
        </is>
      </c>
      <c r="E259" t="inlineStr">
        <is>
          <t>ENKÖPING</t>
        </is>
      </c>
      <c r="G259" t="n">
        <v>3</v>
      </c>
      <c r="H259" t="n">
        <v>0</v>
      </c>
      <c r="I259" t="n">
        <v>0</v>
      </c>
      <c r="J259" t="n">
        <v>0</v>
      </c>
      <c r="K259" t="n">
        <v>0</v>
      </c>
      <c r="L259" t="n">
        <v>0</v>
      </c>
      <c r="M259" t="n">
        <v>0</v>
      </c>
      <c r="N259" t="n">
        <v>0</v>
      </c>
      <c r="O259" t="n">
        <v>0</v>
      </c>
      <c r="P259" t="n">
        <v>0</v>
      </c>
      <c r="Q259" t="n">
        <v>0</v>
      </c>
      <c r="R259" s="2" t="inlineStr"/>
    </row>
    <row r="260" ht="15" customHeight="1">
      <c r="A260" t="inlineStr">
        <is>
          <t>A 46940-2025</t>
        </is>
      </c>
      <c r="B260" s="1" t="n">
        <v>45929.45483796296</v>
      </c>
      <c r="C260" s="1" t="n">
        <v>45936</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3550-2023</t>
        </is>
      </c>
      <c r="B261" s="1" t="n">
        <v>44950</v>
      </c>
      <c r="C261" s="1" t="n">
        <v>45936</v>
      </c>
      <c r="D261" t="inlineStr">
        <is>
          <t>UPPSALA LÄN</t>
        </is>
      </c>
      <c r="E261" t="inlineStr">
        <is>
          <t>ENKÖPING</t>
        </is>
      </c>
      <c r="G261" t="n">
        <v>0.9</v>
      </c>
      <c r="H261" t="n">
        <v>0</v>
      </c>
      <c r="I261" t="n">
        <v>0</v>
      </c>
      <c r="J261" t="n">
        <v>0</v>
      </c>
      <c r="K261" t="n">
        <v>0</v>
      </c>
      <c r="L261" t="n">
        <v>0</v>
      </c>
      <c r="M261" t="n">
        <v>0</v>
      </c>
      <c r="N261" t="n">
        <v>0</v>
      </c>
      <c r="O261" t="n">
        <v>0</v>
      </c>
      <c r="P261" t="n">
        <v>0</v>
      </c>
      <c r="Q261" t="n">
        <v>0</v>
      </c>
      <c r="R261" s="2" t="inlineStr"/>
    </row>
    <row r="262" ht="15" customHeight="1">
      <c r="A262" t="inlineStr">
        <is>
          <t>A 16916-2023</t>
        </is>
      </c>
      <c r="B262" s="1" t="n">
        <v>45033.58347222222</v>
      </c>
      <c r="C262" s="1" t="n">
        <v>45936</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56886-2023</t>
        </is>
      </c>
      <c r="B263" s="1" t="n">
        <v>45239</v>
      </c>
      <c r="C263" s="1" t="n">
        <v>45936</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19014-2025</t>
        </is>
      </c>
      <c r="B264" s="1" t="n">
        <v>45764.59631944444</v>
      </c>
      <c r="C264" s="1" t="n">
        <v>45936</v>
      </c>
      <c r="D264" t="inlineStr">
        <is>
          <t>UPPSALA LÄN</t>
        </is>
      </c>
      <c r="E264" t="inlineStr">
        <is>
          <t>ENKÖPING</t>
        </is>
      </c>
      <c r="G264" t="n">
        <v>0.2</v>
      </c>
      <c r="H264" t="n">
        <v>0</v>
      </c>
      <c r="I264" t="n">
        <v>0</v>
      </c>
      <c r="J264" t="n">
        <v>0</v>
      </c>
      <c r="K264" t="n">
        <v>0</v>
      </c>
      <c r="L264" t="n">
        <v>0</v>
      </c>
      <c r="M264" t="n">
        <v>0</v>
      </c>
      <c r="N264" t="n">
        <v>0</v>
      </c>
      <c r="O264" t="n">
        <v>0</v>
      </c>
      <c r="P264" t="n">
        <v>0</v>
      </c>
      <c r="Q264" t="n">
        <v>0</v>
      </c>
      <c r="R264" s="2" t="inlineStr"/>
    </row>
    <row r="265" ht="15" customHeight="1">
      <c r="A265" t="inlineStr">
        <is>
          <t>A 61711-2020</t>
        </is>
      </c>
      <c r="B265" s="1" t="n">
        <v>44158</v>
      </c>
      <c r="C265" s="1" t="n">
        <v>45936</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12020-2024</t>
        </is>
      </c>
      <c r="B266" s="1" t="n">
        <v>45377</v>
      </c>
      <c r="C266" s="1" t="n">
        <v>45936</v>
      </c>
      <c r="D266" t="inlineStr">
        <is>
          <t>UPPSALA LÄN</t>
        </is>
      </c>
      <c r="E266" t="inlineStr">
        <is>
          <t>ENKÖPING</t>
        </is>
      </c>
      <c r="G266" t="n">
        <v>2</v>
      </c>
      <c r="H266" t="n">
        <v>0</v>
      </c>
      <c r="I266" t="n">
        <v>0</v>
      </c>
      <c r="J266" t="n">
        <v>0</v>
      </c>
      <c r="K266" t="n">
        <v>0</v>
      </c>
      <c r="L266" t="n">
        <v>0</v>
      </c>
      <c r="M266" t="n">
        <v>0</v>
      </c>
      <c r="N266" t="n">
        <v>0</v>
      </c>
      <c r="O266" t="n">
        <v>0</v>
      </c>
      <c r="P266" t="n">
        <v>0</v>
      </c>
      <c r="Q266" t="n">
        <v>0</v>
      </c>
      <c r="R266" s="2" t="inlineStr"/>
    </row>
    <row r="267" ht="15" customHeight="1">
      <c r="A267" t="inlineStr">
        <is>
          <t>A 12958-2024</t>
        </is>
      </c>
      <c r="B267" s="1" t="n">
        <v>45385</v>
      </c>
      <c r="C267" s="1" t="n">
        <v>45936</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10465-2022</t>
        </is>
      </c>
      <c r="B268" s="1" t="n">
        <v>44623</v>
      </c>
      <c r="C268" s="1" t="n">
        <v>45936</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14332-2024</t>
        </is>
      </c>
      <c r="B269" s="1" t="n">
        <v>45393</v>
      </c>
      <c r="C269" s="1" t="n">
        <v>45936</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61207-2023</t>
        </is>
      </c>
      <c r="B270" s="1" t="n">
        <v>45264.39444444444</v>
      </c>
      <c r="C270" s="1" t="n">
        <v>45936</v>
      </c>
      <c r="D270" t="inlineStr">
        <is>
          <t>UPPSALA LÄN</t>
        </is>
      </c>
      <c r="E270" t="inlineStr">
        <is>
          <t>ENKÖPING</t>
        </is>
      </c>
      <c r="G270" t="n">
        <v>10.8</v>
      </c>
      <c r="H270" t="n">
        <v>0</v>
      </c>
      <c r="I270" t="n">
        <v>0</v>
      </c>
      <c r="J270" t="n">
        <v>0</v>
      </c>
      <c r="K270" t="n">
        <v>0</v>
      </c>
      <c r="L270" t="n">
        <v>0</v>
      </c>
      <c r="M270" t="n">
        <v>0</v>
      </c>
      <c r="N270" t="n">
        <v>0</v>
      </c>
      <c r="O270" t="n">
        <v>0</v>
      </c>
      <c r="P270" t="n">
        <v>0</v>
      </c>
      <c r="Q270" t="n">
        <v>0</v>
      </c>
      <c r="R270" s="2" t="inlineStr"/>
    </row>
    <row r="271" ht="15" customHeight="1">
      <c r="A271" t="inlineStr">
        <is>
          <t>A 1651-2024</t>
        </is>
      </c>
      <c r="B271" s="1" t="n">
        <v>45306.73770833333</v>
      </c>
      <c r="C271" s="1" t="n">
        <v>45936</v>
      </c>
      <c r="D271" t="inlineStr">
        <is>
          <t>UPPSALA LÄN</t>
        </is>
      </c>
      <c r="E271" t="inlineStr">
        <is>
          <t>ENKÖPING</t>
        </is>
      </c>
      <c r="G271" t="n">
        <v>10.2</v>
      </c>
      <c r="H271" t="n">
        <v>0</v>
      </c>
      <c r="I271" t="n">
        <v>0</v>
      </c>
      <c r="J271" t="n">
        <v>0</v>
      </c>
      <c r="K271" t="n">
        <v>0</v>
      </c>
      <c r="L271" t="n">
        <v>0</v>
      </c>
      <c r="M271" t="n">
        <v>0</v>
      </c>
      <c r="N271" t="n">
        <v>0</v>
      </c>
      <c r="O271" t="n">
        <v>0</v>
      </c>
      <c r="P271" t="n">
        <v>0</v>
      </c>
      <c r="Q271" t="n">
        <v>0</v>
      </c>
      <c r="R271" s="2" t="inlineStr"/>
    </row>
    <row r="272" ht="15" customHeight="1">
      <c r="A272" t="inlineStr">
        <is>
          <t>A 18592-2021</t>
        </is>
      </c>
      <c r="B272" s="1" t="n">
        <v>44306</v>
      </c>
      <c r="C272" s="1" t="n">
        <v>45936</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6356-2022</t>
        </is>
      </c>
      <c r="B273" s="1" t="n">
        <v>44600</v>
      </c>
      <c r="C273" s="1" t="n">
        <v>45936</v>
      </c>
      <c r="D273" t="inlineStr">
        <is>
          <t>UPPSALA LÄN</t>
        </is>
      </c>
      <c r="E273" t="inlineStr">
        <is>
          <t>ENKÖPING</t>
        </is>
      </c>
      <c r="G273" t="n">
        <v>1.2</v>
      </c>
      <c r="H273" t="n">
        <v>0</v>
      </c>
      <c r="I273" t="n">
        <v>0</v>
      </c>
      <c r="J273" t="n">
        <v>0</v>
      </c>
      <c r="K273" t="n">
        <v>0</v>
      </c>
      <c r="L273" t="n">
        <v>0</v>
      </c>
      <c r="M273" t="n">
        <v>0</v>
      </c>
      <c r="N273" t="n">
        <v>0</v>
      </c>
      <c r="O273" t="n">
        <v>0</v>
      </c>
      <c r="P273" t="n">
        <v>0</v>
      </c>
      <c r="Q273" t="n">
        <v>0</v>
      </c>
      <c r="R273" s="2" t="inlineStr"/>
    </row>
    <row r="274" ht="15" customHeight="1">
      <c r="A274" t="inlineStr">
        <is>
          <t>A 51012-2024</t>
        </is>
      </c>
      <c r="B274" s="1" t="n">
        <v>45603.39686342593</v>
      </c>
      <c r="C274" s="1" t="n">
        <v>45936</v>
      </c>
      <c r="D274" t="inlineStr">
        <is>
          <t>UPPSALA LÄN</t>
        </is>
      </c>
      <c r="E274" t="inlineStr">
        <is>
          <t>ENKÖPING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51037-2024</t>
        </is>
      </c>
      <c r="B275" s="1" t="n">
        <v>45603.43005787037</v>
      </c>
      <c r="C275" s="1" t="n">
        <v>45936</v>
      </c>
      <c r="D275" t="inlineStr">
        <is>
          <t>UPPSALA LÄN</t>
        </is>
      </c>
      <c r="E275" t="inlineStr">
        <is>
          <t>ENKÖPING</t>
        </is>
      </c>
      <c r="G275" t="n">
        <v>5.7</v>
      </c>
      <c r="H275" t="n">
        <v>0</v>
      </c>
      <c r="I275" t="n">
        <v>0</v>
      </c>
      <c r="J275" t="n">
        <v>0</v>
      </c>
      <c r="K275" t="n">
        <v>0</v>
      </c>
      <c r="L275" t="n">
        <v>0</v>
      </c>
      <c r="M275" t="n">
        <v>0</v>
      </c>
      <c r="N275" t="n">
        <v>0</v>
      </c>
      <c r="O275" t="n">
        <v>0</v>
      </c>
      <c r="P275" t="n">
        <v>0</v>
      </c>
      <c r="Q275" t="n">
        <v>0</v>
      </c>
      <c r="R275" s="2" t="inlineStr"/>
    </row>
    <row r="276" ht="15" customHeight="1">
      <c r="A276" t="inlineStr">
        <is>
          <t>A 40812-2022</t>
        </is>
      </c>
      <c r="B276" s="1" t="n">
        <v>44824.68791666667</v>
      </c>
      <c r="C276" s="1" t="n">
        <v>45936</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56176-2021</t>
        </is>
      </c>
      <c r="B277" s="1" t="n">
        <v>44477</v>
      </c>
      <c r="C277" s="1" t="n">
        <v>45936</v>
      </c>
      <c r="D277" t="inlineStr">
        <is>
          <t>UPPSALA LÄN</t>
        </is>
      </c>
      <c r="E277" t="inlineStr">
        <is>
          <t>ENKÖPING</t>
        </is>
      </c>
      <c r="G277" t="n">
        <v>2.9</v>
      </c>
      <c r="H277" t="n">
        <v>0</v>
      </c>
      <c r="I277" t="n">
        <v>0</v>
      </c>
      <c r="J277" t="n">
        <v>0</v>
      </c>
      <c r="K277" t="n">
        <v>0</v>
      </c>
      <c r="L277" t="n">
        <v>0</v>
      </c>
      <c r="M277" t="n">
        <v>0</v>
      </c>
      <c r="N277" t="n">
        <v>0</v>
      </c>
      <c r="O277" t="n">
        <v>0</v>
      </c>
      <c r="P277" t="n">
        <v>0</v>
      </c>
      <c r="Q277" t="n">
        <v>0</v>
      </c>
      <c r="R277" s="2" t="inlineStr"/>
    </row>
    <row r="278" ht="15" customHeight="1">
      <c r="A278" t="inlineStr">
        <is>
          <t>A 57940-2022</t>
        </is>
      </c>
      <c r="B278" s="1" t="n">
        <v>44900</v>
      </c>
      <c r="C278" s="1" t="n">
        <v>45936</v>
      </c>
      <c r="D278" t="inlineStr">
        <is>
          <t>UPPSALA LÄN</t>
        </is>
      </c>
      <c r="E278" t="inlineStr">
        <is>
          <t>ENKÖPING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58896-2020</t>
        </is>
      </c>
      <c r="B279" s="1" t="n">
        <v>44146</v>
      </c>
      <c r="C279" s="1" t="n">
        <v>45936</v>
      </c>
      <c r="D279" t="inlineStr">
        <is>
          <t>UPPSALA LÄN</t>
        </is>
      </c>
      <c r="E279" t="inlineStr">
        <is>
          <t>ENKÖPING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43691-2024</t>
        </is>
      </c>
      <c r="B280" s="1" t="n">
        <v>45569</v>
      </c>
      <c r="C280" s="1" t="n">
        <v>45936</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13816-2021</t>
        </is>
      </c>
      <c r="B281" s="1" t="n">
        <v>44276</v>
      </c>
      <c r="C281" s="1" t="n">
        <v>45936</v>
      </c>
      <c r="D281" t="inlineStr">
        <is>
          <t>UPPSALA LÄN</t>
        </is>
      </c>
      <c r="E281" t="inlineStr">
        <is>
          <t>ENKÖPING</t>
        </is>
      </c>
      <c r="G281" t="n">
        <v>0.4</v>
      </c>
      <c r="H281" t="n">
        <v>0</v>
      </c>
      <c r="I281" t="n">
        <v>0</v>
      </c>
      <c r="J281" t="n">
        <v>0</v>
      </c>
      <c r="K281" t="n">
        <v>0</v>
      </c>
      <c r="L281" t="n">
        <v>0</v>
      </c>
      <c r="M281" t="n">
        <v>0</v>
      </c>
      <c r="N281" t="n">
        <v>0</v>
      </c>
      <c r="O281" t="n">
        <v>0</v>
      </c>
      <c r="P281" t="n">
        <v>0</v>
      </c>
      <c r="Q281" t="n">
        <v>0</v>
      </c>
      <c r="R281" s="2" t="inlineStr"/>
    </row>
    <row r="282" ht="15" customHeight="1">
      <c r="A282" t="inlineStr">
        <is>
          <t>A 25333-2023</t>
        </is>
      </c>
      <c r="B282" s="1" t="n">
        <v>45083</v>
      </c>
      <c r="C282" s="1" t="n">
        <v>45936</v>
      </c>
      <c r="D282" t="inlineStr">
        <is>
          <t>UPPSALA LÄN</t>
        </is>
      </c>
      <c r="E282" t="inlineStr">
        <is>
          <t>ENKÖPING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63310-2021</t>
        </is>
      </c>
      <c r="B283" s="1" t="n">
        <v>44508</v>
      </c>
      <c r="C283" s="1" t="n">
        <v>45936</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3300-2025</t>
        </is>
      </c>
      <c r="B284" s="1" t="n">
        <v>45679</v>
      </c>
      <c r="C284" s="1" t="n">
        <v>45936</v>
      </c>
      <c r="D284" t="inlineStr">
        <is>
          <t>UPPSALA LÄN</t>
        </is>
      </c>
      <c r="E284" t="inlineStr">
        <is>
          <t>ENKÖPING</t>
        </is>
      </c>
      <c r="G284" t="n">
        <v>8.9</v>
      </c>
      <c r="H284" t="n">
        <v>0</v>
      </c>
      <c r="I284" t="n">
        <v>0</v>
      </c>
      <c r="J284" t="n">
        <v>0</v>
      </c>
      <c r="K284" t="n">
        <v>0</v>
      </c>
      <c r="L284" t="n">
        <v>0</v>
      </c>
      <c r="M284" t="n">
        <v>0</v>
      </c>
      <c r="N284" t="n">
        <v>0</v>
      </c>
      <c r="O284" t="n">
        <v>0</v>
      </c>
      <c r="P284" t="n">
        <v>0</v>
      </c>
      <c r="Q284" t="n">
        <v>0</v>
      </c>
      <c r="R284" s="2" t="inlineStr"/>
    </row>
    <row r="285" ht="15" customHeight="1">
      <c r="A285" t="inlineStr">
        <is>
          <t>A 69344-2021</t>
        </is>
      </c>
      <c r="B285" s="1" t="n">
        <v>44531</v>
      </c>
      <c r="C285" s="1" t="n">
        <v>45936</v>
      </c>
      <c r="D285" t="inlineStr">
        <is>
          <t>UPPSALA LÄN</t>
        </is>
      </c>
      <c r="E285" t="inlineStr">
        <is>
          <t>ENKÖPING</t>
        </is>
      </c>
      <c r="G285" t="n">
        <v>2.9</v>
      </c>
      <c r="H285" t="n">
        <v>0</v>
      </c>
      <c r="I285" t="n">
        <v>0</v>
      </c>
      <c r="J285" t="n">
        <v>0</v>
      </c>
      <c r="K285" t="n">
        <v>0</v>
      </c>
      <c r="L285" t="n">
        <v>0</v>
      </c>
      <c r="M285" t="n">
        <v>0</v>
      </c>
      <c r="N285" t="n">
        <v>0</v>
      </c>
      <c r="O285" t="n">
        <v>0</v>
      </c>
      <c r="P285" t="n">
        <v>0</v>
      </c>
      <c r="Q285" t="n">
        <v>0</v>
      </c>
      <c r="R285" s="2" t="inlineStr"/>
    </row>
    <row r="286" ht="15" customHeight="1">
      <c r="A286" t="inlineStr">
        <is>
          <t>A 20440-2025</t>
        </is>
      </c>
      <c r="B286" s="1" t="n">
        <v>45775</v>
      </c>
      <c r="C286" s="1" t="n">
        <v>45936</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12754-2025</t>
        </is>
      </c>
      <c r="B287" s="1" t="n">
        <v>45733.56331018519</v>
      </c>
      <c r="C287" s="1" t="n">
        <v>45936</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19488-2022</t>
        </is>
      </c>
      <c r="B288" s="1" t="n">
        <v>44693</v>
      </c>
      <c r="C288" s="1" t="n">
        <v>45936</v>
      </c>
      <c r="D288" t="inlineStr">
        <is>
          <t>UPPSALA LÄN</t>
        </is>
      </c>
      <c r="E288" t="inlineStr">
        <is>
          <t>ENKÖPING</t>
        </is>
      </c>
      <c r="G288" t="n">
        <v>7.8</v>
      </c>
      <c r="H288" t="n">
        <v>0</v>
      </c>
      <c r="I288" t="n">
        <v>0</v>
      </c>
      <c r="J288" t="n">
        <v>0</v>
      </c>
      <c r="K288" t="n">
        <v>0</v>
      </c>
      <c r="L288" t="n">
        <v>0</v>
      </c>
      <c r="M288" t="n">
        <v>0</v>
      </c>
      <c r="N288" t="n">
        <v>0</v>
      </c>
      <c r="O288" t="n">
        <v>0</v>
      </c>
      <c r="P288" t="n">
        <v>0</v>
      </c>
      <c r="Q288" t="n">
        <v>0</v>
      </c>
      <c r="R288" s="2" t="inlineStr"/>
    </row>
    <row r="289" ht="15" customHeight="1">
      <c r="A289" t="inlineStr">
        <is>
          <t>A 39439-2025</t>
        </is>
      </c>
      <c r="B289" s="1" t="n">
        <v>45889</v>
      </c>
      <c r="C289" s="1" t="n">
        <v>45936</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16176-2025</t>
        </is>
      </c>
      <c r="B290" s="1" t="n">
        <v>45750</v>
      </c>
      <c r="C290" s="1" t="n">
        <v>45936</v>
      </c>
      <c r="D290" t="inlineStr">
        <is>
          <t>UPPSALA LÄN</t>
        </is>
      </c>
      <c r="E290" t="inlineStr">
        <is>
          <t>ENKÖPING</t>
        </is>
      </c>
      <c r="G290" t="n">
        <v>3.9</v>
      </c>
      <c r="H290" t="n">
        <v>0</v>
      </c>
      <c r="I290" t="n">
        <v>0</v>
      </c>
      <c r="J290" t="n">
        <v>0</v>
      </c>
      <c r="K290" t="n">
        <v>0</v>
      </c>
      <c r="L290" t="n">
        <v>0</v>
      </c>
      <c r="M290" t="n">
        <v>0</v>
      </c>
      <c r="N290" t="n">
        <v>0</v>
      </c>
      <c r="O290" t="n">
        <v>0</v>
      </c>
      <c r="P290" t="n">
        <v>0</v>
      </c>
      <c r="Q290" t="n">
        <v>0</v>
      </c>
      <c r="R290" s="2" t="inlineStr"/>
    </row>
    <row r="291" ht="15" customHeight="1">
      <c r="A291" t="inlineStr">
        <is>
          <t>A 5188-2022</t>
        </is>
      </c>
      <c r="B291" s="1" t="n">
        <v>44594.4471412037</v>
      </c>
      <c r="C291" s="1" t="n">
        <v>45936</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56713-2024</t>
        </is>
      </c>
      <c r="B292" s="1" t="n">
        <v>45628</v>
      </c>
      <c r="C292" s="1" t="n">
        <v>45936</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12434-2021</t>
        </is>
      </c>
      <c r="B293" s="1" t="n">
        <v>44267</v>
      </c>
      <c r="C293" s="1" t="n">
        <v>45936</v>
      </c>
      <c r="D293" t="inlineStr">
        <is>
          <t>UPPSALA LÄN</t>
        </is>
      </c>
      <c r="E293" t="inlineStr">
        <is>
          <t>ENKÖPING</t>
        </is>
      </c>
      <c r="G293" t="n">
        <v>5.3</v>
      </c>
      <c r="H293" t="n">
        <v>0</v>
      </c>
      <c r="I293" t="n">
        <v>0</v>
      </c>
      <c r="J293" t="n">
        <v>0</v>
      </c>
      <c r="K293" t="n">
        <v>0</v>
      </c>
      <c r="L293" t="n">
        <v>0</v>
      </c>
      <c r="M293" t="n">
        <v>0</v>
      </c>
      <c r="N293" t="n">
        <v>0</v>
      </c>
      <c r="O293" t="n">
        <v>0</v>
      </c>
      <c r="P293" t="n">
        <v>0</v>
      </c>
      <c r="Q293" t="n">
        <v>0</v>
      </c>
      <c r="R293" s="2" t="inlineStr"/>
    </row>
    <row r="294" ht="15" customHeight="1">
      <c r="A294" t="inlineStr">
        <is>
          <t>A 49614-2024</t>
        </is>
      </c>
      <c r="B294" s="1" t="n">
        <v>45596.57716435185</v>
      </c>
      <c r="C294" s="1" t="n">
        <v>45936</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49632-2024</t>
        </is>
      </c>
      <c r="B295" s="1" t="n">
        <v>45596</v>
      </c>
      <c r="C295" s="1" t="n">
        <v>45936</v>
      </c>
      <c r="D295" t="inlineStr">
        <is>
          <t>UPPSALA LÄN</t>
        </is>
      </c>
      <c r="E295" t="inlineStr">
        <is>
          <t>ENKÖPING</t>
        </is>
      </c>
      <c r="G295" t="n">
        <v>1.8</v>
      </c>
      <c r="H295" t="n">
        <v>0</v>
      </c>
      <c r="I295" t="n">
        <v>0</v>
      </c>
      <c r="J295" t="n">
        <v>0</v>
      </c>
      <c r="K295" t="n">
        <v>0</v>
      </c>
      <c r="L295" t="n">
        <v>0</v>
      </c>
      <c r="M295" t="n">
        <v>0</v>
      </c>
      <c r="N295" t="n">
        <v>0</v>
      </c>
      <c r="O295" t="n">
        <v>0</v>
      </c>
      <c r="P295" t="n">
        <v>0</v>
      </c>
      <c r="Q295" t="n">
        <v>0</v>
      </c>
      <c r="R295" s="2" t="inlineStr"/>
    </row>
    <row r="296" ht="15" customHeight="1">
      <c r="A296" t="inlineStr">
        <is>
          <t>A 29479-2022</t>
        </is>
      </c>
      <c r="B296" s="1" t="n">
        <v>44753.57265046296</v>
      </c>
      <c r="C296" s="1" t="n">
        <v>45936</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31622-2022</t>
        </is>
      </c>
      <c r="B297" s="1" t="n">
        <v>44775</v>
      </c>
      <c r="C297" s="1" t="n">
        <v>45936</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37870-2023</t>
        </is>
      </c>
      <c r="B298" s="1" t="n">
        <v>45160.41996527778</v>
      </c>
      <c r="C298" s="1" t="n">
        <v>45936</v>
      </c>
      <c r="D298" t="inlineStr">
        <is>
          <t>UPPSALA LÄN</t>
        </is>
      </c>
      <c r="E298" t="inlineStr">
        <is>
          <t>ENKÖPING</t>
        </is>
      </c>
      <c r="G298" t="n">
        <v>3.5</v>
      </c>
      <c r="H298" t="n">
        <v>0</v>
      </c>
      <c r="I298" t="n">
        <v>0</v>
      </c>
      <c r="J298" t="n">
        <v>0</v>
      </c>
      <c r="K298" t="n">
        <v>0</v>
      </c>
      <c r="L298" t="n">
        <v>0</v>
      </c>
      <c r="M298" t="n">
        <v>0</v>
      </c>
      <c r="N298" t="n">
        <v>0</v>
      </c>
      <c r="O298" t="n">
        <v>0</v>
      </c>
      <c r="P298" t="n">
        <v>0</v>
      </c>
      <c r="Q298" t="n">
        <v>0</v>
      </c>
      <c r="R298" s="2" t="inlineStr"/>
    </row>
    <row r="299" ht="15" customHeight="1">
      <c r="A299" t="inlineStr">
        <is>
          <t>A 22094-2023</t>
        </is>
      </c>
      <c r="B299" s="1" t="n">
        <v>45069</v>
      </c>
      <c r="C299" s="1" t="n">
        <v>45936</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15405-2025</t>
        </is>
      </c>
      <c r="B300" s="1" t="n">
        <v>45747.44670138889</v>
      </c>
      <c r="C300" s="1" t="n">
        <v>45936</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35079-2024</t>
        </is>
      </c>
      <c r="B301" s="1" t="n">
        <v>45527.66770833333</v>
      </c>
      <c r="C301" s="1" t="n">
        <v>45936</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12102-2024</t>
        </is>
      </c>
      <c r="B302" s="1" t="n">
        <v>45377</v>
      </c>
      <c r="C302" s="1" t="n">
        <v>45936</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27538-2023</t>
        </is>
      </c>
      <c r="B303" s="1" t="n">
        <v>45097</v>
      </c>
      <c r="C303" s="1" t="n">
        <v>45936</v>
      </c>
      <c r="D303" t="inlineStr">
        <is>
          <t>UPPSALA LÄN</t>
        </is>
      </c>
      <c r="E303" t="inlineStr">
        <is>
          <t>ENKÖPING</t>
        </is>
      </c>
      <c r="G303" t="n">
        <v>5.8</v>
      </c>
      <c r="H303" t="n">
        <v>0</v>
      </c>
      <c r="I303" t="n">
        <v>0</v>
      </c>
      <c r="J303" t="n">
        <v>0</v>
      </c>
      <c r="K303" t="n">
        <v>0</v>
      </c>
      <c r="L303" t="n">
        <v>0</v>
      </c>
      <c r="M303" t="n">
        <v>0</v>
      </c>
      <c r="N303" t="n">
        <v>0</v>
      </c>
      <c r="O303" t="n">
        <v>0</v>
      </c>
      <c r="P303" t="n">
        <v>0</v>
      </c>
      <c r="Q303" t="n">
        <v>0</v>
      </c>
      <c r="R303" s="2" t="inlineStr"/>
    </row>
    <row r="304" ht="15" customHeight="1">
      <c r="A304" t="inlineStr">
        <is>
          <t>A 15409-2025</t>
        </is>
      </c>
      <c r="B304" s="1" t="n">
        <v>45747</v>
      </c>
      <c r="C304" s="1" t="n">
        <v>45936</v>
      </c>
      <c r="D304" t="inlineStr">
        <is>
          <t>UPPSALA LÄN</t>
        </is>
      </c>
      <c r="E304" t="inlineStr">
        <is>
          <t>ENKÖPING</t>
        </is>
      </c>
      <c r="G304" t="n">
        <v>2.5</v>
      </c>
      <c r="H304" t="n">
        <v>0</v>
      </c>
      <c r="I304" t="n">
        <v>0</v>
      </c>
      <c r="J304" t="n">
        <v>0</v>
      </c>
      <c r="K304" t="n">
        <v>0</v>
      </c>
      <c r="L304" t="n">
        <v>0</v>
      </c>
      <c r="M304" t="n">
        <v>0</v>
      </c>
      <c r="N304" t="n">
        <v>0</v>
      </c>
      <c r="O304" t="n">
        <v>0</v>
      </c>
      <c r="P304" t="n">
        <v>0</v>
      </c>
      <c r="Q304" t="n">
        <v>0</v>
      </c>
      <c r="R304" s="2" t="inlineStr"/>
    </row>
    <row r="305" ht="15" customHeight="1">
      <c r="A305" t="inlineStr">
        <is>
          <t>A 33581-2023</t>
        </is>
      </c>
      <c r="B305" s="1" t="n">
        <v>45131</v>
      </c>
      <c r="C305" s="1" t="n">
        <v>45936</v>
      </c>
      <c r="D305" t="inlineStr">
        <is>
          <t>UPPSALA LÄN</t>
        </is>
      </c>
      <c r="E305" t="inlineStr">
        <is>
          <t>ENKÖPING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59602-2024</t>
        </is>
      </c>
      <c r="B306" s="1" t="n">
        <v>45638</v>
      </c>
      <c r="C306" s="1" t="n">
        <v>45936</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60874-2023</t>
        </is>
      </c>
      <c r="B307" s="1" t="n">
        <v>45261.06280092592</v>
      </c>
      <c r="C307" s="1" t="n">
        <v>45936</v>
      </c>
      <c r="D307" t="inlineStr">
        <is>
          <t>UPPSALA LÄN</t>
        </is>
      </c>
      <c r="E307" t="inlineStr">
        <is>
          <t>ENKÖPING</t>
        </is>
      </c>
      <c r="G307" t="n">
        <v>1.5</v>
      </c>
      <c r="H307" t="n">
        <v>0</v>
      </c>
      <c r="I307" t="n">
        <v>0</v>
      </c>
      <c r="J307" t="n">
        <v>0</v>
      </c>
      <c r="K307" t="n">
        <v>0</v>
      </c>
      <c r="L307" t="n">
        <v>0</v>
      </c>
      <c r="M307" t="n">
        <v>0</v>
      </c>
      <c r="N307" t="n">
        <v>0</v>
      </c>
      <c r="O307" t="n">
        <v>0</v>
      </c>
      <c r="P307" t="n">
        <v>0</v>
      </c>
      <c r="Q307" t="n">
        <v>0</v>
      </c>
      <c r="R307" s="2" t="inlineStr"/>
    </row>
    <row r="308" ht="15" customHeight="1">
      <c r="A308" t="inlineStr">
        <is>
          <t>A 50394-2024</t>
        </is>
      </c>
      <c r="B308" s="1" t="n">
        <v>45600</v>
      </c>
      <c r="C308" s="1" t="n">
        <v>45936</v>
      </c>
      <c r="D308" t="inlineStr">
        <is>
          <t>UPPSALA LÄN</t>
        </is>
      </c>
      <c r="E308" t="inlineStr">
        <is>
          <t>ENKÖPING</t>
        </is>
      </c>
      <c r="G308" t="n">
        <v>1.2</v>
      </c>
      <c r="H308" t="n">
        <v>0</v>
      </c>
      <c r="I308" t="n">
        <v>0</v>
      </c>
      <c r="J308" t="n">
        <v>0</v>
      </c>
      <c r="K308" t="n">
        <v>0</v>
      </c>
      <c r="L308" t="n">
        <v>0</v>
      </c>
      <c r="M308" t="n">
        <v>0</v>
      </c>
      <c r="N308" t="n">
        <v>0</v>
      </c>
      <c r="O308" t="n">
        <v>0</v>
      </c>
      <c r="P308" t="n">
        <v>0</v>
      </c>
      <c r="Q308" t="n">
        <v>0</v>
      </c>
      <c r="R308" s="2" t="inlineStr"/>
    </row>
    <row r="309" ht="15" customHeight="1">
      <c r="A309" t="inlineStr">
        <is>
          <t>A 47441-2025</t>
        </is>
      </c>
      <c r="B309" s="1" t="n">
        <v>45930.63986111111</v>
      </c>
      <c r="C309" s="1" t="n">
        <v>45936</v>
      </c>
      <c r="D309" t="inlineStr">
        <is>
          <t>UPPSALA LÄN</t>
        </is>
      </c>
      <c r="E309" t="inlineStr">
        <is>
          <t>ENKÖPING</t>
        </is>
      </c>
      <c r="F309" t="inlineStr">
        <is>
          <t>Allmännings- och besparingsskogar</t>
        </is>
      </c>
      <c r="G309" t="n">
        <v>11.5</v>
      </c>
      <c r="H309" t="n">
        <v>0</v>
      </c>
      <c r="I309" t="n">
        <v>0</v>
      </c>
      <c r="J309" t="n">
        <v>0</v>
      </c>
      <c r="K309" t="n">
        <v>0</v>
      </c>
      <c r="L309" t="n">
        <v>0</v>
      </c>
      <c r="M309" t="n">
        <v>0</v>
      </c>
      <c r="N309" t="n">
        <v>0</v>
      </c>
      <c r="O309" t="n">
        <v>0</v>
      </c>
      <c r="P309" t="n">
        <v>0</v>
      </c>
      <c r="Q309" t="n">
        <v>0</v>
      </c>
      <c r="R309" s="2" t="inlineStr"/>
    </row>
    <row r="310" ht="15" customHeight="1">
      <c r="A310" t="inlineStr">
        <is>
          <t>A 56163-2021</t>
        </is>
      </c>
      <c r="B310" s="1" t="n">
        <v>44477</v>
      </c>
      <c r="C310" s="1" t="n">
        <v>45936</v>
      </c>
      <c r="D310" t="inlineStr">
        <is>
          <t>UPPSALA LÄN</t>
        </is>
      </c>
      <c r="E310" t="inlineStr">
        <is>
          <t>ENKÖPING</t>
        </is>
      </c>
      <c r="F310" t="inlineStr">
        <is>
          <t>Allmännings- och besparingsskogar</t>
        </is>
      </c>
      <c r="G310" t="n">
        <v>0.6</v>
      </c>
      <c r="H310" t="n">
        <v>0</v>
      </c>
      <c r="I310" t="n">
        <v>0</v>
      </c>
      <c r="J310" t="n">
        <v>0</v>
      </c>
      <c r="K310" t="n">
        <v>0</v>
      </c>
      <c r="L310" t="n">
        <v>0</v>
      </c>
      <c r="M310" t="n">
        <v>0</v>
      </c>
      <c r="N310" t="n">
        <v>0</v>
      </c>
      <c r="O310" t="n">
        <v>0</v>
      </c>
      <c r="P310" t="n">
        <v>0</v>
      </c>
      <c r="Q310" t="n">
        <v>0</v>
      </c>
      <c r="R310" s="2" t="inlineStr"/>
    </row>
    <row r="311" ht="15" customHeight="1">
      <c r="A311" t="inlineStr">
        <is>
          <t>A 47909-2024</t>
        </is>
      </c>
      <c r="B311" s="1" t="n">
        <v>45589.31866898148</v>
      </c>
      <c r="C311" s="1" t="n">
        <v>45936</v>
      </c>
      <c r="D311" t="inlineStr">
        <is>
          <t>UPPSALA LÄN</t>
        </is>
      </c>
      <c r="E311" t="inlineStr">
        <is>
          <t>ENKÖPING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44131-2023</t>
        </is>
      </c>
      <c r="B312" s="1" t="n">
        <v>45188</v>
      </c>
      <c r="C312" s="1" t="n">
        <v>45936</v>
      </c>
      <c r="D312" t="inlineStr">
        <is>
          <t>UPPSALA LÄN</t>
        </is>
      </c>
      <c r="E312" t="inlineStr">
        <is>
          <t>ENKÖPING</t>
        </is>
      </c>
      <c r="G312" t="n">
        <v>0.3</v>
      </c>
      <c r="H312" t="n">
        <v>0</v>
      </c>
      <c r="I312" t="n">
        <v>0</v>
      </c>
      <c r="J312" t="n">
        <v>0</v>
      </c>
      <c r="K312" t="n">
        <v>0</v>
      </c>
      <c r="L312" t="n">
        <v>0</v>
      </c>
      <c r="M312" t="n">
        <v>0</v>
      </c>
      <c r="N312" t="n">
        <v>0</v>
      </c>
      <c r="O312" t="n">
        <v>0</v>
      </c>
      <c r="P312" t="n">
        <v>0</v>
      </c>
      <c r="Q312" t="n">
        <v>0</v>
      </c>
      <c r="R312" s="2" t="inlineStr"/>
    </row>
    <row r="313" ht="15" customHeight="1">
      <c r="A313" t="inlineStr">
        <is>
          <t>A 51010-2024</t>
        </is>
      </c>
      <c r="B313" s="1" t="n">
        <v>45603.39285879629</v>
      </c>
      <c r="C313" s="1" t="n">
        <v>45936</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60533-2021</t>
        </is>
      </c>
      <c r="B314" s="1" t="n">
        <v>44496</v>
      </c>
      <c r="C314" s="1" t="n">
        <v>45936</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51932-2022</t>
        </is>
      </c>
      <c r="B315" s="1" t="n">
        <v>44872</v>
      </c>
      <c r="C315" s="1" t="n">
        <v>45936</v>
      </c>
      <c r="D315" t="inlineStr">
        <is>
          <t>UPPSALA LÄN</t>
        </is>
      </c>
      <c r="E315" t="inlineStr">
        <is>
          <t>ENKÖPING</t>
        </is>
      </c>
      <c r="G315" t="n">
        <v>5.5</v>
      </c>
      <c r="H315" t="n">
        <v>0</v>
      </c>
      <c r="I315" t="n">
        <v>0</v>
      </c>
      <c r="J315" t="n">
        <v>0</v>
      </c>
      <c r="K315" t="n">
        <v>0</v>
      </c>
      <c r="L315" t="n">
        <v>0</v>
      </c>
      <c r="M315" t="n">
        <v>0</v>
      </c>
      <c r="N315" t="n">
        <v>0</v>
      </c>
      <c r="O315" t="n">
        <v>0</v>
      </c>
      <c r="P315" t="n">
        <v>0</v>
      </c>
      <c r="Q315" t="n">
        <v>0</v>
      </c>
      <c r="R315" s="2" t="inlineStr"/>
    </row>
    <row r="316" ht="15" customHeight="1">
      <c r="A316" t="inlineStr">
        <is>
          <t>A 43016-2021</t>
        </is>
      </c>
      <c r="B316" s="1" t="n">
        <v>44431</v>
      </c>
      <c r="C316" s="1" t="n">
        <v>45936</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35052-2024</t>
        </is>
      </c>
      <c r="B317" s="1" t="n">
        <v>45527.6516087963</v>
      </c>
      <c r="C317" s="1" t="n">
        <v>45936</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51008-2024</t>
        </is>
      </c>
      <c r="B318" s="1" t="n">
        <v>45603.39041666667</v>
      </c>
      <c r="C318" s="1" t="n">
        <v>45936</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19147-2024</t>
        </is>
      </c>
      <c r="B319" s="1" t="n">
        <v>45428</v>
      </c>
      <c r="C319" s="1" t="n">
        <v>45936</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57209-2024</t>
        </is>
      </c>
      <c r="B320" s="1" t="n">
        <v>45629.49311342592</v>
      </c>
      <c r="C320" s="1" t="n">
        <v>45936</v>
      </c>
      <c r="D320" t="inlineStr">
        <is>
          <t>UPPSALA LÄN</t>
        </is>
      </c>
      <c r="E320" t="inlineStr">
        <is>
          <t>ENKÖPING</t>
        </is>
      </c>
      <c r="G320" t="n">
        <v>3.2</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45936</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12878-2025</t>
        </is>
      </c>
      <c r="B322" s="1" t="n">
        <v>45733.68571759259</v>
      </c>
      <c r="C322" s="1" t="n">
        <v>45936</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43896-2022</t>
        </is>
      </c>
      <c r="B323" s="1" t="n">
        <v>44838</v>
      </c>
      <c r="C323" s="1" t="n">
        <v>45936</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59497-2022</t>
        </is>
      </c>
      <c r="B324" s="1" t="n">
        <v>44907.48258101852</v>
      </c>
      <c r="C324" s="1" t="n">
        <v>45936</v>
      </c>
      <c r="D324" t="inlineStr">
        <is>
          <t>UPPSALA LÄN</t>
        </is>
      </c>
      <c r="E324" t="inlineStr">
        <is>
          <t>ENKÖPING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4203-2021</t>
        </is>
      </c>
      <c r="B325" s="1" t="n">
        <v>44223</v>
      </c>
      <c r="C325" s="1" t="n">
        <v>45936</v>
      </c>
      <c r="D325" t="inlineStr">
        <is>
          <t>UPPSALA LÄN</t>
        </is>
      </c>
      <c r="E325" t="inlineStr">
        <is>
          <t>ENKÖPING</t>
        </is>
      </c>
      <c r="G325" t="n">
        <v>11.6</v>
      </c>
      <c r="H325" t="n">
        <v>0</v>
      </c>
      <c r="I325" t="n">
        <v>0</v>
      </c>
      <c r="J325" t="n">
        <v>0</v>
      </c>
      <c r="K325" t="n">
        <v>0</v>
      </c>
      <c r="L325" t="n">
        <v>0</v>
      </c>
      <c r="M325" t="n">
        <v>0</v>
      </c>
      <c r="N325" t="n">
        <v>0</v>
      </c>
      <c r="O325" t="n">
        <v>0</v>
      </c>
      <c r="P325" t="n">
        <v>0</v>
      </c>
      <c r="Q325" t="n">
        <v>0</v>
      </c>
      <c r="R325" s="2" t="inlineStr"/>
    </row>
    <row r="326" ht="15" customHeight="1">
      <c r="A326" t="inlineStr">
        <is>
          <t>A 9041-2023</t>
        </is>
      </c>
      <c r="B326" s="1" t="n">
        <v>44979</v>
      </c>
      <c r="C326" s="1" t="n">
        <v>45936</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12755-2025</t>
        </is>
      </c>
      <c r="B327" s="1" t="n">
        <v>45733.56541666666</v>
      </c>
      <c r="C327" s="1" t="n">
        <v>45936</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7090-2022</t>
        </is>
      </c>
      <c r="B328" s="1" t="n">
        <v>44603.59520833333</v>
      </c>
      <c r="C328" s="1" t="n">
        <v>45936</v>
      </c>
      <c r="D328" t="inlineStr">
        <is>
          <t>UPPSALA LÄN</t>
        </is>
      </c>
      <c r="E328" t="inlineStr">
        <is>
          <t>ENKÖPING</t>
        </is>
      </c>
      <c r="G328" t="n">
        <v>2.8</v>
      </c>
      <c r="H328" t="n">
        <v>0</v>
      </c>
      <c r="I328" t="n">
        <v>0</v>
      </c>
      <c r="J328" t="n">
        <v>0</v>
      </c>
      <c r="K328" t="n">
        <v>0</v>
      </c>
      <c r="L328" t="n">
        <v>0</v>
      </c>
      <c r="M328" t="n">
        <v>0</v>
      </c>
      <c r="N328" t="n">
        <v>0</v>
      </c>
      <c r="O328" t="n">
        <v>0</v>
      </c>
      <c r="P328" t="n">
        <v>0</v>
      </c>
      <c r="Q328" t="n">
        <v>0</v>
      </c>
      <c r="R328" s="2" t="inlineStr"/>
    </row>
    <row r="329" ht="15" customHeight="1">
      <c r="A329" t="inlineStr">
        <is>
          <t>A 22156-2025</t>
        </is>
      </c>
      <c r="B329" s="1" t="n">
        <v>45785.57512731481</v>
      </c>
      <c r="C329" s="1" t="n">
        <v>45936</v>
      </c>
      <c r="D329" t="inlineStr">
        <is>
          <t>UPPSALA LÄN</t>
        </is>
      </c>
      <c r="E329" t="inlineStr">
        <is>
          <t>ENKÖPING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9487-2025</t>
        </is>
      </c>
      <c r="B330" s="1" t="n">
        <v>45715.49331018519</v>
      </c>
      <c r="C330" s="1" t="n">
        <v>45936</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22150-2025</t>
        </is>
      </c>
      <c r="B331" s="1" t="n">
        <v>45785.56398148148</v>
      </c>
      <c r="C331" s="1" t="n">
        <v>45936</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6144-2024</t>
        </is>
      </c>
      <c r="B332" s="1" t="n">
        <v>45337.4684837963</v>
      </c>
      <c r="C332" s="1" t="n">
        <v>45936</v>
      </c>
      <c r="D332" t="inlineStr">
        <is>
          <t>UPPSALA LÄN</t>
        </is>
      </c>
      <c r="E332" t="inlineStr">
        <is>
          <t>ENKÖPING</t>
        </is>
      </c>
      <c r="G332" t="n">
        <v>13.8</v>
      </c>
      <c r="H332" t="n">
        <v>0</v>
      </c>
      <c r="I332" t="n">
        <v>0</v>
      </c>
      <c r="J332" t="n">
        <v>0</v>
      </c>
      <c r="K332" t="n">
        <v>0</v>
      </c>
      <c r="L332" t="n">
        <v>0</v>
      </c>
      <c r="M332" t="n">
        <v>0</v>
      </c>
      <c r="N332" t="n">
        <v>0</v>
      </c>
      <c r="O332" t="n">
        <v>0</v>
      </c>
      <c r="P332" t="n">
        <v>0</v>
      </c>
      <c r="Q332" t="n">
        <v>0</v>
      </c>
      <c r="R332" s="2" t="inlineStr"/>
    </row>
    <row r="333" ht="15" customHeight="1">
      <c r="A333" t="inlineStr">
        <is>
          <t>A 59027-2024</t>
        </is>
      </c>
      <c r="B333" s="1" t="n">
        <v>45636.68755787037</v>
      </c>
      <c r="C333" s="1" t="n">
        <v>45936</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33955-2024</t>
        </is>
      </c>
      <c r="B334" s="1" t="n">
        <v>45523.46952546296</v>
      </c>
      <c r="C334" s="1" t="n">
        <v>45936</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30087-2024</t>
        </is>
      </c>
      <c r="B335" s="1" t="n">
        <v>45489.39447916667</v>
      </c>
      <c r="C335" s="1" t="n">
        <v>45936</v>
      </c>
      <c r="D335" t="inlineStr">
        <is>
          <t>UPPSALA LÄN</t>
        </is>
      </c>
      <c r="E335" t="inlineStr">
        <is>
          <t>ENKÖPING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54776-2024</t>
        </is>
      </c>
      <c r="B336" s="1" t="n">
        <v>45618</v>
      </c>
      <c r="C336" s="1" t="n">
        <v>45936</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22729-2025</t>
        </is>
      </c>
      <c r="B337" s="1" t="n">
        <v>45789.57790509259</v>
      </c>
      <c r="C337" s="1" t="n">
        <v>45936</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53587-2024</t>
        </is>
      </c>
      <c r="B338" s="1" t="n">
        <v>45614.66953703704</v>
      </c>
      <c r="C338" s="1" t="n">
        <v>45936</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14518-2025</t>
        </is>
      </c>
      <c r="B339" s="1" t="n">
        <v>45741</v>
      </c>
      <c r="C339" s="1" t="n">
        <v>45936</v>
      </c>
      <c r="D339" t="inlineStr">
        <is>
          <t>UPPSALA LÄN</t>
        </is>
      </c>
      <c r="E339" t="inlineStr">
        <is>
          <t>ENKÖPING</t>
        </is>
      </c>
      <c r="G339" t="n">
        <v>2</v>
      </c>
      <c r="H339" t="n">
        <v>0</v>
      </c>
      <c r="I339" t="n">
        <v>0</v>
      </c>
      <c r="J339" t="n">
        <v>0</v>
      </c>
      <c r="K339" t="n">
        <v>0</v>
      </c>
      <c r="L339" t="n">
        <v>0</v>
      </c>
      <c r="M339" t="n">
        <v>0</v>
      </c>
      <c r="N339" t="n">
        <v>0</v>
      </c>
      <c r="O339" t="n">
        <v>0</v>
      </c>
      <c r="P339" t="n">
        <v>0</v>
      </c>
      <c r="Q339" t="n">
        <v>0</v>
      </c>
      <c r="R339" s="2" t="inlineStr"/>
    </row>
    <row r="340" ht="15" customHeight="1">
      <c r="A340" t="inlineStr">
        <is>
          <t>A 22677-2025</t>
        </is>
      </c>
      <c r="B340" s="1" t="n">
        <v>45789.49515046296</v>
      </c>
      <c r="C340" s="1" t="n">
        <v>45936</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22679-2025</t>
        </is>
      </c>
      <c r="B341" s="1" t="n">
        <v>45789.49747685185</v>
      </c>
      <c r="C341" s="1" t="n">
        <v>45936</v>
      </c>
      <c r="D341" t="inlineStr">
        <is>
          <t>UPPSALA LÄN</t>
        </is>
      </c>
      <c r="E341" t="inlineStr">
        <is>
          <t>ENKÖPING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22770-2025</t>
        </is>
      </c>
      <c r="B342" s="1" t="n">
        <v>45789.63454861111</v>
      </c>
      <c r="C342" s="1" t="n">
        <v>45936</v>
      </c>
      <c r="D342" t="inlineStr">
        <is>
          <t>UPPSALA LÄN</t>
        </is>
      </c>
      <c r="E342" t="inlineStr">
        <is>
          <t>ENKÖPING</t>
        </is>
      </c>
      <c r="G342" t="n">
        <v>4.5</v>
      </c>
      <c r="H342" t="n">
        <v>0</v>
      </c>
      <c r="I342" t="n">
        <v>0</v>
      </c>
      <c r="J342" t="n">
        <v>0</v>
      </c>
      <c r="K342" t="n">
        <v>0</v>
      </c>
      <c r="L342" t="n">
        <v>0</v>
      </c>
      <c r="M342" t="n">
        <v>0</v>
      </c>
      <c r="N342" t="n">
        <v>0</v>
      </c>
      <c r="O342" t="n">
        <v>0</v>
      </c>
      <c r="P342" t="n">
        <v>0</v>
      </c>
      <c r="Q342" t="n">
        <v>0</v>
      </c>
      <c r="R342" s="2" t="inlineStr"/>
    </row>
    <row r="343" ht="15" customHeight="1">
      <c r="A343" t="inlineStr">
        <is>
          <t>A 22800-2025</t>
        </is>
      </c>
      <c r="B343" s="1" t="n">
        <v>45789.6669212963</v>
      </c>
      <c r="C343" s="1" t="n">
        <v>45936</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6981-2025</t>
        </is>
      </c>
      <c r="B344" s="1" t="n">
        <v>45701</v>
      </c>
      <c r="C344" s="1" t="n">
        <v>45936</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22786-2025</t>
        </is>
      </c>
      <c r="B345" s="1" t="n">
        <v>45789.64643518518</v>
      </c>
      <c r="C345" s="1" t="n">
        <v>45936</v>
      </c>
      <c r="D345" t="inlineStr">
        <is>
          <t>UPPSALA LÄN</t>
        </is>
      </c>
      <c r="E345" t="inlineStr">
        <is>
          <t>ENKÖPING</t>
        </is>
      </c>
      <c r="G345" t="n">
        <v>0.9</v>
      </c>
      <c r="H345" t="n">
        <v>0</v>
      </c>
      <c r="I345" t="n">
        <v>0</v>
      </c>
      <c r="J345" t="n">
        <v>0</v>
      </c>
      <c r="K345" t="n">
        <v>0</v>
      </c>
      <c r="L345" t="n">
        <v>0</v>
      </c>
      <c r="M345" t="n">
        <v>0</v>
      </c>
      <c r="N345" t="n">
        <v>0</v>
      </c>
      <c r="O345" t="n">
        <v>0</v>
      </c>
      <c r="P345" t="n">
        <v>0</v>
      </c>
      <c r="Q345" t="n">
        <v>0</v>
      </c>
      <c r="R345" s="2" t="inlineStr"/>
    </row>
    <row r="346" ht="15" customHeight="1">
      <c r="A346" t="inlineStr">
        <is>
          <t>A 11503-2024</t>
        </is>
      </c>
      <c r="B346" s="1" t="n">
        <v>45372.68020833333</v>
      </c>
      <c r="C346" s="1" t="n">
        <v>45936</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45936</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22632-2025</t>
        </is>
      </c>
      <c r="B348" s="1" t="n">
        <v>45789.44361111111</v>
      </c>
      <c r="C348" s="1" t="n">
        <v>45936</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22680-2025</t>
        </is>
      </c>
      <c r="B349" s="1" t="n">
        <v>45789.5005787037</v>
      </c>
      <c r="C349" s="1" t="n">
        <v>45936</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22802-2025</t>
        </is>
      </c>
      <c r="B350" s="1" t="n">
        <v>45789.6686574074</v>
      </c>
      <c r="C350" s="1" t="n">
        <v>45936</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39115-2024</t>
        </is>
      </c>
      <c r="B351" s="1" t="n">
        <v>45548</v>
      </c>
      <c r="C351" s="1" t="n">
        <v>45936</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25334-2023</t>
        </is>
      </c>
      <c r="B352" s="1" t="n">
        <v>45083</v>
      </c>
      <c r="C352" s="1" t="n">
        <v>45936</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56837-2024</t>
        </is>
      </c>
      <c r="B353" s="1" t="n">
        <v>45628</v>
      </c>
      <c r="C353" s="1" t="n">
        <v>45936</v>
      </c>
      <c r="D353" t="inlineStr">
        <is>
          <t>UPPSALA LÄN</t>
        </is>
      </c>
      <c r="E353" t="inlineStr">
        <is>
          <t>ENKÖPING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45936</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22795-2025</t>
        </is>
      </c>
      <c r="B355" s="1" t="n">
        <v>45789.65944444444</v>
      </c>
      <c r="C355" s="1" t="n">
        <v>45936</v>
      </c>
      <c r="D355" t="inlineStr">
        <is>
          <t>UPPSALA LÄN</t>
        </is>
      </c>
      <c r="E355" t="inlineStr">
        <is>
          <t>ENKÖPING</t>
        </is>
      </c>
      <c r="G355" t="n">
        <v>10.4</v>
      </c>
      <c r="H355" t="n">
        <v>0</v>
      </c>
      <c r="I355" t="n">
        <v>0</v>
      </c>
      <c r="J355" t="n">
        <v>0</v>
      </c>
      <c r="K355" t="n">
        <v>0</v>
      </c>
      <c r="L355" t="n">
        <v>0</v>
      </c>
      <c r="M355" t="n">
        <v>0</v>
      </c>
      <c r="N355" t="n">
        <v>0</v>
      </c>
      <c r="O355" t="n">
        <v>0</v>
      </c>
      <c r="P355" t="n">
        <v>0</v>
      </c>
      <c r="Q355" t="n">
        <v>0</v>
      </c>
      <c r="R355" s="2" t="inlineStr"/>
    </row>
    <row r="356" ht="15" customHeight="1">
      <c r="A356" t="inlineStr">
        <is>
          <t>A 22725-2025</t>
        </is>
      </c>
      <c r="B356" s="1" t="n">
        <v>45789.57371527778</v>
      </c>
      <c r="C356" s="1" t="n">
        <v>45936</v>
      </c>
      <c r="D356" t="inlineStr">
        <is>
          <t>UPPSALA LÄN</t>
        </is>
      </c>
      <c r="E356" t="inlineStr">
        <is>
          <t>ENKÖPING</t>
        </is>
      </c>
      <c r="G356" t="n">
        <v>4.8</v>
      </c>
      <c r="H356" t="n">
        <v>0</v>
      </c>
      <c r="I356" t="n">
        <v>0</v>
      </c>
      <c r="J356" t="n">
        <v>0</v>
      </c>
      <c r="K356" t="n">
        <v>0</v>
      </c>
      <c r="L356" t="n">
        <v>0</v>
      </c>
      <c r="M356" t="n">
        <v>0</v>
      </c>
      <c r="N356" t="n">
        <v>0</v>
      </c>
      <c r="O356" t="n">
        <v>0</v>
      </c>
      <c r="P356" t="n">
        <v>0</v>
      </c>
      <c r="Q356" t="n">
        <v>0</v>
      </c>
      <c r="R356" s="2" t="inlineStr"/>
    </row>
    <row r="357" ht="15" customHeight="1">
      <c r="A357" t="inlineStr">
        <is>
          <t>A 18821-2023</t>
        </is>
      </c>
      <c r="B357" s="1" t="n">
        <v>45044.3782175926</v>
      </c>
      <c r="C357" s="1" t="n">
        <v>45936</v>
      </c>
      <c r="D357" t="inlineStr">
        <is>
          <t>UPPSALA LÄN</t>
        </is>
      </c>
      <c r="E357" t="inlineStr">
        <is>
          <t>ENKÖPING</t>
        </is>
      </c>
      <c r="G357" t="n">
        <v>6</v>
      </c>
      <c r="H357" t="n">
        <v>0</v>
      </c>
      <c r="I357" t="n">
        <v>0</v>
      </c>
      <c r="J357" t="n">
        <v>0</v>
      </c>
      <c r="K357" t="n">
        <v>0</v>
      </c>
      <c r="L357" t="n">
        <v>0</v>
      </c>
      <c r="M357" t="n">
        <v>0</v>
      </c>
      <c r="N357" t="n">
        <v>0</v>
      </c>
      <c r="O357" t="n">
        <v>0</v>
      </c>
      <c r="P357" t="n">
        <v>0</v>
      </c>
      <c r="Q357" t="n">
        <v>0</v>
      </c>
      <c r="R357" s="2" t="inlineStr"/>
    </row>
    <row r="358" ht="15" customHeight="1">
      <c r="A358" t="inlineStr">
        <is>
          <t>A 22981-2025</t>
        </is>
      </c>
      <c r="B358" s="1" t="n">
        <v>45790.56964120371</v>
      </c>
      <c r="C358" s="1" t="n">
        <v>45936</v>
      </c>
      <c r="D358" t="inlineStr">
        <is>
          <t>UPPSALA LÄN</t>
        </is>
      </c>
      <c r="E358" t="inlineStr">
        <is>
          <t>ENKÖPING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45956-2024</t>
        </is>
      </c>
      <c r="B359" s="1" t="n">
        <v>45580</v>
      </c>
      <c r="C359" s="1" t="n">
        <v>45936</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10831-2024</t>
        </is>
      </c>
      <c r="B360" s="1" t="n">
        <v>45369</v>
      </c>
      <c r="C360" s="1" t="n">
        <v>45936</v>
      </c>
      <c r="D360" t="inlineStr">
        <is>
          <t>UPPSALA LÄN</t>
        </is>
      </c>
      <c r="E360" t="inlineStr">
        <is>
          <t>ENKÖPING</t>
        </is>
      </c>
      <c r="G360" t="n">
        <v>2.9</v>
      </c>
      <c r="H360" t="n">
        <v>0</v>
      </c>
      <c r="I360" t="n">
        <v>0</v>
      </c>
      <c r="J360" t="n">
        <v>0</v>
      </c>
      <c r="K360" t="n">
        <v>0</v>
      </c>
      <c r="L360" t="n">
        <v>0</v>
      </c>
      <c r="M360" t="n">
        <v>0</v>
      </c>
      <c r="N360" t="n">
        <v>0</v>
      </c>
      <c r="O360" t="n">
        <v>0</v>
      </c>
      <c r="P360" t="n">
        <v>0</v>
      </c>
      <c r="Q360" t="n">
        <v>0</v>
      </c>
      <c r="R360" s="2" t="inlineStr"/>
    </row>
    <row r="361" ht="15" customHeight="1">
      <c r="A361" t="inlineStr">
        <is>
          <t>A 57335-2024</t>
        </is>
      </c>
      <c r="B361" s="1" t="n">
        <v>45629.63302083333</v>
      </c>
      <c r="C361" s="1" t="n">
        <v>45936</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8020-2022</t>
        </is>
      </c>
      <c r="B362" s="1" t="n">
        <v>44609</v>
      </c>
      <c r="C362" s="1" t="n">
        <v>45936</v>
      </c>
      <c r="D362" t="inlineStr">
        <is>
          <t>UPPSALA LÄN</t>
        </is>
      </c>
      <c r="E362" t="inlineStr">
        <is>
          <t>ENKÖPING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74090-2021</t>
        </is>
      </c>
      <c r="B363" s="1" t="n">
        <v>44557</v>
      </c>
      <c r="C363" s="1" t="n">
        <v>45936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34805-2024</t>
        </is>
      </c>
      <c r="B364" s="1" t="n">
        <v>45526</v>
      </c>
      <c r="C364" s="1" t="n">
        <v>45936</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17729-2023</t>
        </is>
      </c>
      <c r="B365" s="1" t="n">
        <v>45037</v>
      </c>
      <c r="C365" s="1" t="n">
        <v>45936</v>
      </c>
      <c r="D365" t="inlineStr">
        <is>
          <t>UPPSALA LÄN</t>
        </is>
      </c>
      <c r="E365" t="inlineStr">
        <is>
          <t>ENKÖPING</t>
        </is>
      </c>
      <c r="G365" t="n">
        <v>10.2</v>
      </c>
      <c r="H365" t="n">
        <v>0</v>
      </c>
      <c r="I365" t="n">
        <v>0</v>
      </c>
      <c r="J365" t="n">
        <v>0</v>
      </c>
      <c r="K365" t="n">
        <v>0</v>
      </c>
      <c r="L365" t="n">
        <v>0</v>
      </c>
      <c r="M365" t="n">
        <v>0</v>
      </c>
      <c r="N365" t="n">
        <v>0</v>
      </c>
      <c r="O365" t="n">
        <v>0</v>
      </c>
      <c r="P365" t="n">
        <v>0</v>
      </c>
      <c r="Q365" t="n">
        <v>0</v>
      </c>
      <c r="R365" s="2" t="inlineStr"/>
    </row>
    <row r="366" ht="15" customHeight="1">
      <c r="A366" t="inlineStr">
        <is>
          <t>A 57835-2024</t>
        </is>
      </c>
      <c r="B366" s="1" t="n">
        <v>45631.39947916667</v>
      </c>
      <c r="C366" s="1" t="n">
        <v>45936</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5712-2025</t>
        </is>
      </c>
      <c r="B367" s="1" t="n">
        <v>45694</v>
      </c>
      <c r="C367" s="1" t="n">
        <v>45936</v>
      </c>
      <c r="D367" t="inlineStr">
        <is>
          <t>UPPSALA LÄN</t>
        </is>
      </c>
      <c r="E367" t="inlineStr">
        <is>
          <t>ENKÖPING</t>
        </is>
      </c>
      <c r="G367" t="n">
        <v>5.1</v>
      </c>
      <c r="H367" t="n">
        <v>0</v>
      </c>
      <c r="I367" t="n">
        <v>0</v>
      </c>
      <c r="J367" t="n">
        <v>0</v>
      </c>
      <c r="K367" t="n">
        <v>0</v>
      </c>
      <c r="L367" t="n">
        <v>0</v>
      </c>
      <c r="M367" t="n">
        <v>0</v>
      </c>
      <c r="N367" t="n">
        <v>0</v>
      </c>
      <c r="O367" t="n">
        <v>0</v>
      </c>
      <c r="P367" t="n">
        <v>0</v>
      </c>
      <c r="Q367" t="n">
        <v>0</v>
      </c>
      <c r="R367" s="2" t="inlineStr"/>
    </row>
    <row r="368" ht="15" customHeight="1">
      <c r="A368" t="inlineStr">
        <is>
          <t>A 5749-2025</t>
        </is>
      </c>
      <c r="B368" s="1" t="n">
        <v>45694</v>
      </c>
      <c r="C368" s="1" t="n">
        <v>45936</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53208-2023</t>
        </is>
      </c>
      <c r="B369" s="1" t="n">
        <v>45226</v>
      </c>
      <c r="C369" s="1" t="n">
        <v>45936</v>
      </c>
      <c r="D369" t="inlineStr">
        <is>
          <t>UPPSALA LÄN</t>
        </is>
      </c>
      <c r="E369" t="inlineStr">
        <is>
          <t>ENKÖPING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314-2025</t>
        </is>
      </c>
      <c r="B370" s="1" t="n">
        <v>45656</v>
      </c>
      <c r="C370" s="1" t="n">
        <v>45936</v>
      </c>
      <c r="D370" t="inlineStr">
        <is>
          <t>UPPSALA LÄN</t>
        </is>
      </c>
      <c r="E370" t="inlineStr">
        <is>
          <t>ENKÖPING</t>
        </is>
      </c>
      <c r="G370" t="n">
        <v>9</v>
      </c>
      <c r="H370" t="n">
        <v>0</v>
      </c>
      <c r="I370" t="n">
        <v>0</v>
      </c>
      <c r="J370" t="n">
        <v>0</v>
      </c>
      <c r="K370" t="n">
        <v>0</v>
      </c>
      <c r="L370" t="n">
        <v>0</v>
      </c>
      <c r="M370" t="n">
        <v>0</v>
      </c>
      <c r="N370" t="n">
        <v>0</v>
      </c>
      <c r="O370" t="n">
        <v>0</v>
      </c>
      <c r="P370" t="n">
        <v>0</v>
      </c>
      <c r="Q370" t="n">
        <v>0</v>
      </c>
      <c r="R370" s="2" t="inlineStr"/>
    </row>
    <row r="371" ht="15" customHeight="1">
      <c r="A371" t="inlineStr">
        <is>
          <t>A 11627-2025</t>
        </is>
      </c>
      <c r="B371" s="1" t="n">
        <v>45727</v>
      </c>
      <c r="C371" s="1" t="n">
        <v>45936</v>
      </c>
      <c r="D371" t="inlineStr">
        <is>
          <t>UPPSALA LÄN</t>
        </is>
      </c>
      <c r="E371" t="inlineStr">
        <is>
          <t>ENKÖPING</t>
        </is>
      </c>
      <c r="G371" t="n">
        <v>5.5</v>
      </c>
      <c r="H371" t="n">
        <v>0</v>
      </c>
      <c r="I371" t="n">
        <v>0</v>
      </c>
      <c r="J371" t="n">
        <v>0</v>
      </c>
      <c r="K371" t="n">
        <v>0</v>
      </c>
      <c r="L371" t="n">
        <v>0</v>
      </c>
      <c r="M371" t="n">
        <v>0</v>
      </c>
      <c r="N371" t="n">
        <v>0</v>
      </c>
      <c r="O371" t="n">
        <v>0</v>
      </c>
      <c r="P371" t="n">
        <v>0</v>
      </c>
      <c r="Q371" t="n">
        <v>0</v>
      </c>
      <c r="R371" s="2" t="inlineStr"/>
    </row>
    <row r="372" ht="15" customHeight="1">
      <c r="A372" t="inlineStr">
        <is>
          <t>A 19013-2025</t>
        </is>
      </c>
      <c r="B372" s="1" t="n">
        <v>45764.59533564815</v>
      </c>
      <c r="C372" s="1" t="n">
        <v>45936</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24411-2024</t>
        </is>
      </c>
      <c r="B373" s="1" t="n">
        <v>45457</v>
      </c>
      <c r="C373" s="1" t="n">
        <v>45936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2164-2023</t>
        </is>
      </c>
      <c r="B374" s="1" t="n">
        <v>44941</v>
      </c>
      <c r="C374" s="1" t="n">
        <v>45936</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61952-2021</t>
        </is>
      </c>
      <c r="B375" s="1" t="n">
        <v>44502</v>
      </c>
      <c r="C375" s="1" t="n">
        <v>45936</v>
      </c>
      <c r="D375" t="inlineStr">
        <is>
          <t>UPPSALA LÄN</t>
        </is>
      </c>
      <c r="E375" t="inlineStr">
        <is>
          <t>ENKÖPING</t>
        </is>
      </c>
      <c r="G375" t="n">
        <v>2.3</v>
      </c>
      <c r="H375" t="n">
        <v>0</v>
      </c>
      <c r="I375" t="n">
        <v>0</v>
      </c>
      <c r="J375" t="n">
        <v>0</v>
      </c>
      <c r="K375" t="n">
        <v>0</v>
      </c>
      <c r="L375" t="n">
        <v>0</v>
      </c>
      <c r="M375" t="n">
        <v>0</v>
      </c>
      <c r="N375" t="n">
        <v>0</v>
      </c>
      <c r="O375" t="n">
        <v>0</v>
      </c>
      <c r="P375" t="n">
        <v>0</v>
      </c>
      <c r="Q375" t="n">
        <v>0</v>
      </c>
      <c r="R375" s="2" t="inlineStr"/>
    </row>
    <row r="376" ht="15" customHeight="1">
      <c r="A376" t="inlineStr">
        <is>
          <t>A 14083-2025</t>
        </is>
      </c>
      <c r="B376" s="1" t="n">
        <v>45740</v>
      </c>
      <c r="C376" s="1" t="n">
        <v>45936</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45936</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52169-2020</t>
        </is>
      </c>
      <c r="B378" s="1" t="n">
        <v>44117</v>
      </c>
      <c r="C378" s="1" t="n">
        <v>45936</v>
      </c>
      <c r="D378" t="inlineStr">
        <is>
          <t>UPPSALA LÄN</t>
        </is>
      </c>
      <c r="E378" t="inlineStr">
        <is>
          <t>ENKÖPING</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58092-2024</t>
        </is>
      </c>
      <c r="B379" s="1" t="n">
        <v>45632</v>
      </c>
      <c r="C379" s="1" t="n">
        <v>45936</v>
      </c>
      <c r="D379" t="inlineStr">
        <is>
          <t>UPPSALA LÄN</t>
        </is>
      </c>
      <c r="E379" t="inlineStr">
        <is>
          <t>ENKÖPING</t>
        </is>
      </c>
      <c r="G379" t="n">
        <v>4.8</v>
      </c>
      <c r="H379" t="n">
        <v>0</v>
      </c>
      <c r="I379" t="n">
        <v>0</v>
      </c>
      <c r="J379" t="n">
        <v>0</v>
      </c>
      <c r="K379" t="n">
        <v>0</v>
      </c>
      <c r="L379" t="n">
        <v>0</v>
      </c>
      <c r="M379" t="n">
        <v>0</v>
      </c>
      <c r="N379" t="n">
        <v>0</v>
      </c>
      <c r="O379" t="n">
        <v>0</v>
      </c>
      <c r="P379" t="n">
        <v>0</v>
      </c>
      <c r="Q379" t="n">
        <v>0</v>
      </c>
      <c r="R379" s="2" t="inlineStr"/>
    </row>
    <row r="380" ht="15" customHeight="1">
      <c r="A380" t="inlineStr">
        <is>
          <t>A 15757-2023</t>
        </is>
      </c>
      <c r="B380" s="1" t="n">
        <v>45021</v>
      </c>
      <c r="C380" s="1" t="n">
        <v>45936</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2161-2023</t>
        </is>
      </c>
      <c r="B381" s="1" t="n">
        <v>44941</v>
      </c>
      <c r="C381" s="1" t="n">
        <v>45936</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2165-2023</t>
        </is>
      </c>
      <c r="B382" s="1" t="n">
        <v>44941</v>
      </c>
      <c r="C382" s="1" t="n">
        <v>45936</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26017-2025</t>
        </is>
      </c>
      <c r="B383" s="1" t="n">
        <v>45804</v>
      </c>
      <c r="C383" s="1" t="n">
        <v>45936</v>
      </c>
      <c r="D383" t="inlineStr">
        <is>
          <t>UPPSALA LÄN</t>
        </is>
      </c>
      <c r="E383" t="inlineStr">
        <is>
          <t>ENKÖPING</t>
        </is>
      </c>
      <c r="G383" t="n">
        <v>0.4</v>
      </c>
      <c r="H383" t="n">
        <v>0</v>
      </c>
      <c r="I383" t="n">
        <v>0</v>
      </c>
      <c r="J383" t="n">
        <v>0</v>
      </c>
      <c r="K383" t="n">
        <v>0</v>
      </c>
      <c r="L383" t="n">
        <v>0</v>
      </c>
      <c r="M383" t="n">
        <v>0</v>
      </c>
      <c r="N383" t="n">
        <v>0</v>
      </c>
      <c r="O383" t="n">
        <v>0</v>
      </c>
      <c r="P383" t="n">
        <v>0</v>
      </c>
      <c r="Q383" t="n">
        <v>0</v>
      </c>
      <c r="R383" s="2" t="inlineStr"/>
    </row>
    <row r="384" ht="15" customHeight="1">
      <c r="A384" t="inlineStr">
        <is>
          <t>A 26024-2025</t>
        </is>
      </c>
      <c r="B384" s="1" t="n">
        <v>45804.6831712963</v>
      </c>
      <c r="C384" s="1" t="n">
        <v>45936</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26042-2025</t>
        </is>
      </c>
      <c r="B385" s="1" t="n">
        <v>45804.70018518518</v>
      </c>
      <c r="C385" s="1" t="n">
        <v>45936</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45936</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26026-2025</t>
        </is>
      </c>
      <c r="B387" s="1" t="n">
        <v>45804.68510416667</v>
      </c>
      <c r="C387" s="1" t="n">
        <v>45936</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26030-2025</t>
        </is>
      </c>
      <c r="B388" s="1" t="n">
        <v>45804.68815972222</v>
      </c>
      <c r="C388" s="1" t="n">
        <v>45936</v>
      </c>
      <c r="D388" t="inlineStr">
        <is>
          <t>UPPSALA LÄN</t>
        </is>
      </c>
      <c r="E388" t="inlineStr">
        <is>
          <t>ENKÖPING</t>
        </is>
      </c>
      <c r="G388" t="n">
        <v>0.3</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45936</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25988-2025</t>
        </is>
      </c>
      <c r="B390" s="1" t="n">
        <v>45804.64814814815</v>
      </c>
      <c r="C390" s="1" t="n">
        <v>45936</v>
      </c>
      <c r="D390" t="inlineStr">
        <is>
          <t>UPPSALA LÄN</t>
        </is>
      </c>
      <c r="E390" t="inlineStr">
        <is>
          <t>ENKÖPING</t>
        </is>
      </c>
      <c r="G390" t="n">
        <v>4.7</v>
      </c>
      <c r="H390" t="n">
        <v>0</v>
      </c>
      <c r="I390" t="n">
        <v>0</v>
      </c>
      <c r="J390" t="n">
        <v>0</v>
      </c>
      <c r="K390" t="n">
        <v>0</v>
      </c>
      <c r="L390" t="n">
        <v>0</v>
      </c>
      <c r="M390" t="n">
        <v>0</v>
      </c>
      <c r="N390" t="n">
        <v>0</v>
      </c>
      <c r="O390" t="n">
        <v>0</v>
      </c>
      <c r="P390" t="n">
        <v>0</v>
      </c>
      <c r="Q390" t="n">
        <v>0</v>
      </c>
      <c r="R390" s="2" t="inlineStr"/>
    </row>
    <row r="391" ht="15" customHeight="1">
      <c r="A391" t="inlineStr">
        <is>
          <t>A 26031-2025</t>
        </is>
      </c>
      <c r="B391" s="1" t="n">
        <v>45804.69050925926</v>
      </c>
      <c r="C391" s="1" t="n">
        <v>45936</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20112-2024</t>
        </is>
      </c>
      <c r="B392" s="1" t="n">
        <v>45434</v>
      </c>
      <c r="C392" s="1" t="n">
        <v>45936</v>
      </c>
      <c r="D392" t="inlineStr">
        <is>
          <t>UPPSALA LÄN</t>
        </is>
      </c>
      <c r="E392" t="inlineStr">
        <is>
          <t>ENKÖPING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26011-2025</t>
        </is>
      </c>
      <c r="B393" s="1" t="n">
        <v>45804.67412037037</v>
      </c>
      <c r="C393" s="1" t="n">
        <v>45936</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26041-2025</t>
        </is>
      </c>
      <c r="B394" s="1" t="n">
        <v>45804.69883101852</v>
      </c>
      <c r="C394" s="1" t="n">
        <v>45936</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25990-2025</t>
        </is>
      </c>
      <c r="B395" s="1" t="n">
        <v>45804.65229166667</v>
      </c>
      <c r="C395" s="1" t="n">
        <v>45936</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25847-2025</t>
        </is>
      </c>
      <c r="B396" s="1" t="n">
        <v>45804</v>
      </c>
      <c r="C396" s="1" t="n">
        <v>45936</v>
      </c>
      <c r="D396" t="inlineStr">
        <is>
          <t>UPPSALA LÄN</t>
        </is>
      </c>
      <c r="E396" t="inlineStr">
        <is>
          <t>ENKÖPING</t>
        </is>
      </c>
      <c r="G396" t="n">
        <v>3.6</v>
      </c>
      <c r="H396" t="n">
        <v>0</v>
      </c>
      <c r="I396" t="n">
        <v>0</v>
      </c>
      <c r="J396" t="n">
        <v>0</v>
      </c>
      <c r="K396" t="n">
        <v>0</v>
      </c>
      <c r="L396" t="n">
        <v>0</v>
      </c>
      <c r="M396" t="n">
        <v>0</v>
      </c>
      <c r="N396" t="n">
        <v>0</v>
      </c>
      <c r="O396" t="n">
        <v>0</v>
      </c>
      <c r="P396" t="n">
        <v>0</v>
      </c>
      <c r="Q396" t="n">
        <v>0</v>
      </c>
      <c r="R396" s="2" t="inlineStr"/>
    </row>
    <row r="397" ht="15" customHeight="1">
      <c r="A397" t="inlineStr">
        <is>
          <t>A 2162-2023</t>
        </is>
      </c>
      <c r="B397" s="1" t="n">
        <v>44941</v>
      </c>
      <c r="C397" s="1" t="n">
        <v>45936</v>
      </c>
      <c r="D397" t="inlineStr">
        <is>
          <t>UPPSALA LÄN</t>
        </is>
      </c>
      <c r="E397" t="inlineStr">
        <is>
          <t>ENKÖPING</t>
        </is>
      </c>
      <c r="G397" t="n">
        <v>2.4</v>
      </c>
      <c r="H397" t="n">
        <v>0</v>
      </c>
      <c r="I397" t="n">
        <v>0</v>
      </c>
      <c r="J397" t="n">
        <v>0</v>
      </c>
      <c r="K397" t="n">
        <v>0</v>
      </c>
      <c r="L397" t="n">
        <v>0</v>
      </c>
      <c r="M397" t="n">
        <v>0</v>
      </c>
      <c r="N397" t="n">
        <v>0</v>
      </c>
      <c r="O397" t="n">
        <v>0</v>
      </c>
      <c r="P397" t="n">
        <v>0</v>
      </c>
      <c r="Q397" t="n">
        <v>0</v>
      </c>
      <c r="R397" s="2" t="inlineStr"/>
    </row>
    <row r="398" ht="15" customHeight="1">
      <c r="A398" t="inlineStr">
        <is>
          <t>A 26047-2025</t>
        </is>
      </c>
      <c r="B398" s="1" t="n">
        <v>45804.70835648148</v>
      </c>
      <c r="C398" s="1" t="n">
        <v>45936</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32081-2024</t>
        </is>
      </c>
      <c r="B399" s="1" t="n">
        <v>45511.34605324074</v>
      </c>
      <c r="C399" s="1" t="n">
        <v>45936</v>
      </c>
      <c r="D399" t="inlineStr">
        <is>
          <t>UPPSALA LÄN</t>
        </is>
      </c>
      <c r="E399" t="inlineStr">
        <is>
          <t>ENKÖPING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35067-2024</t>
        </is>
      </c>
      <c r="B400" s="1" t="n">
        <v>45527.66153935185</v>
      </c>
      <c r="C400" s="1" t="n">
        <v>45936</v>
      </c>
      <c r="D400" t="inlineStr">
        <is>
          <t>UPPSALA LÄN</t>
        </is>
      </c>
      <c r="E400" t="inlineStr">
        <is>
          <t>ENKÖPING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2968-2025</t>
        </is>
      </c>
      <c r="B401" s="1" t="n">
        <v>45678</v>
      </c>
      <c r="C401" s="1" t="n">
        <v>45936</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49525-2021</t>
        </is>
      </c>
      <c r="B402" s="1" t="n">
        <v>44455</v>
      </c>
      <c r="C402" s="1" t="n">
        <v>45936</v>
      </c>
      <c r="D402" t="inlineStr">
        <is>
          <t>UPPSALA LÄN</t>
        </is>
      </c>
      <c r="E402" t="inlineStr">
        <is>
          <t>ENKÖPING</t>
        </is>
      </c>
      <c r="G402" t="n">
        <v>1.8</v>
      </c>
      <c r="H402" t="n">
        <v>0</v>
      </c>
      <c r="I402" t="n">
        <v>0</v>
      </c>
      <c r="J402" t="n">
        <v>0</v>
      </c>
      <c r="K402" t="n">
        <v>0</v>
      </c>
      <c r="L402" t="n">
        <v>0</v>
      </c>
      <c r="M402" t="n">
        <v>0</v>
      </c>
      <c r="N402" t="n">
        <v>0</v>
      </c>
      <c r="O402" t="n">
        <v>0</v>
      </c>
      <c r="P402" t="n">
        <v>0</v>
      </c>
      <c r="Q402" t="n">
        <v>0</v>
      </c>
      <c r="R402" s="2" t="inlineStr"/>
    </row>
    <row r="403" ht="15" customHeight="1">
      <c r="A403" t="inlineStr">
        <is>
          <t>A 6959-2025</t>
        </is>
      </c>
      <c r="B403" s="1" t="n">
        <v>45701.49315972222</v>
      </c>
      <c r="C403" s="1" t="n">
        <v>45936</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30437-2022</t>
        </is>
      </c>
      <c r="B404" s="1" t="n">
        <v>44761</v>
      </c>
      <c r="C404" s="1" t="n">
        <v>45936</v>
      </c>
      <c r="D404" t="inlineStr">
        <is>
          <t>UPPSALA LÄN</t>
        </is>
      </c>
      <c r="E404" t="inlineStr">
        <is>
          <t>ENKÖPING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51011-2024</t>
        </is>
      </c>
      <c r="B405" s="1" t="n">
        <v>45603.39427083333</v>
      </c>
      <c r="C405" s="1" t="n">
        <v>45936</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27829-2025</t>
        </is>
      </c>
      <c r="B406" s="1" t="n">
        <v>45817</v>
      </c>
      <c r="C406" s="1" t="n">
        <v>45936</v>
      </c>
      <c r="D406" t="inlineStr">
        <is>
          <t>UPPSALA LÄN</t>
        </is>
      </c>
      <c r="E406" t="inlineStr">
        <is>
          <t>ENKÖPING</t>
        </is>
      </c>
      <c r="G406" t="n">
        <v>2.1</v>
      </c>
      <c r="H406" t="n">
        <v>0</v>
      </c>
      <c r="I406" t="n">
        <v>0</v>
      </c>
      <c r="J406" t="n">
        <v>0</v>
      </c>
      <c r="K406" t="n">
        <v>0</v>
      </c>
      <c r="L406" t="n">
        <v>0</v>
      </c>
      <c r="M406" t="n">
        <v>0</v>
      </c>
      <c r="N406" t="n">
        <v>0</v>
      </c>
      <c r="O406" t="n">
        <v>0</v>
      </c>
      <c r="P406" t="n">
        <v>0</v>
      </c>
      <c r="Q406" t="n">
        <v>0</v>
      </c>
      <c r="R406" s="2" t="inlineStr"/>
    </row>
    <row r="407" ht="15" customHeight="1">
      <c r="A407" t="inlineStr">
        <is>
          <t>A 26319-2022</t>
        </is>
      </c>
      <c r="B407" s="1" t="n">
        <v>44735</v>
      </c>
      <c r="C407" s="1" t="n">
        <v>45936</v>
      </c>
      <c r="D407" t="inlineStr">
        <is>
          <t>UPPSALA LÄN</t>
        </is>
      </c>
      <c r="E407" t="inlineStr">
        <is>
          <t>ENKÖPING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29918-2023</t>
        </is>
      </c>
      <c r="B408" s="1" t="n">
        <v>45099</v>
      </c>
      <c r="C408" s="1" t="n">
        <v>45936</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39009-2024</t>
        </is>
      </c>
      <c r="B409" s="1" t="n">
        <v>45548</v>
      </c>
      <c r="C409" s="1" t="n">
        <v>45936</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8537-2025</t>
        </is>
      </c>
      <c r="B410" s="1" t="n">
        <v>45709</v>
      </c>
      <c r="C410" s="1" t="n">
        <v>45936</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24291-2024</t>
        </is>
      </c>
      <c r="B411" s="1" t="n">
        <v>45457.4584837963</v>
      </c>
      <c r="C411" s="1" t="n">
        <v>45936</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28758-2025</t>
        </is>
      </c>
      <c r="B412" s="1" t="n">
        <v>45820.41212962963</v>
      </c>
      <c r="C412" s="1" t="n">
        <v>45936</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28862-2025</t>
        </is>
      </c>
      <c r="B413" s="1" t="n">
        <v>45820.59189814814</v>
      </c>
      <c r="C413" s="1" t="n">
        <v>45936</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28855-2025</t>
        </is>
      </c>
      <c r="B414" s="1" t="n">
        <v>45820.58274305556</v>
      </c>
      <c r="C414" s="1" t="n">
        <v>45936</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29093-2025</t>
        </is>
      </c>
      <c r="B415" s="1" t="n">
        <v>45821.55743055556</v>
      </c>
      <c r="C415" s="1" t="n">
        <v>45936</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29477-2025</t>
        </is>
      </c>
      <c r="B416" s="1" t="n">
        <v>45824.71537037037</v>
      </c>
      <c r="C416" s="1" t="n">
        <v>45936</v>
      </c>
      <c r="D416" t="inlineStr">
        <is>
          <t>UPPSALA LÄN</t>
        </is>
      </c>
      <c r="E416" t="inlineStr">
        <is>
          <t>ENKÖPING</t>
        </is>
      </c>
      <c r="G416" t="n">
        <v>13.4</v>
      </c>
      <c r="H416" t="n">
        <v>0</v>
      </c>
      <c r="I416" t="n">
        <v>0</v>
      </c>
      <c r="J416" t="n">
        <v>0</v>
      </c>
      <c r="K416" t="n">
        <v>0</v>
      </c>
      <c r="L416" t="n">
        <v>0</v>
      </c>
      <c r="M416" t="n">
        <v>0</v>
      </c>
      <c r="N416" t="n">
        <v>0</v>
      </c>
      <c r="O416" t="n">
        <v>0</v>
      </c>
      <c r="P416" t="n">
        <v>0</v>
      </c>
      <c r="Q416" t="n">
        <v>0</v>
      </c>
      <c r="R416" s="2" t="inlineStr"/>
    </row>
    <row r="417" ht="15" customHeight="1">
      <c r="A417" t="inlineStr">
        <is>
          <t>A 2833-2025</t>
        </is>
      </c>
      <c r="B417" s="1" t="n">
        <v>45677.63206018518</v>
      </c>
      <c r="C417" s="1" t="n">
        <v>45936</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30837-2025</t>
        </is>
      </c>
      <c r="B418" s="1" t="n">
        <v>45831.7063425926</v>
      </c>
      <c r="C418" s="1" t="n">
        <v>45936</v>
      </c>
      <c r="D418" t="inlineStr">
        <is>
          <t>UPPSALA LÄN</t>
        </is>
      </c>
      <c r="E418" t="inlineStr">
        <is>
          <t>ENKÖPING</t>
        </is>
      </c>
      <c r="G418" t="n">
        <v>3.8</v>
      </c>
      <c r="H418" t="n">
        <v>0</v>
      </c>
      <c r="I418" t="n">
        <v>0</v>
      </c>
      <c r="J418" t="n">
        <v>0</v>
      </c>
      <c r="K418" t="n">
        <v>0</v>
      </c>
      <c r="L418" t="n">
        <v>0</v>
      </c>
      <c r="M418" t="n">
        <v>0</v>
      </c>
      <c r="N418" t="n">
        <v>0</v>
      </c>
      <c r="O418" t="n">
        <v>0</v>
      </c>
      <c r="P418" t="n">
        <v>0</v>
      </c>
      <c r="Q418" t="n">
        <v>0</v>
      </c>
      <c r="R418" s="2" t="inlineStr"/>
    </row>
    <row r="419" ht="15" customHeight="1">
      <c r="A419" t="inlineStr">
        <is>
          <t>A 50006-2023</t>
        </is>
      </c>
      <c r="B419" s="1" t="n">
        <v>45215</v>
      </c>
      <c r="C419" s="1" t="n">
        <v>45936</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56526-2022</t>
        </is>
      </c>
      <c r="B420" s="1" t="n">
        <v>44893</v>
      </c>
      <c r="C420" s="1" t="n">
        <v>45936</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39858-2024</t>
        </is>
      </c>
      <c r="B421" s="1" t="n">
        <v>45553</v>
      </c>
      <c r="C421" s="1" t="n">
        <v>45936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32111-2025</t>
        </is>
      </c>
      <c r="B422" s="1" t="n">
        <v>45835</v>
      </c>
      <c r="C422" s="1" t="n">
        <v>45936</v>
      </c>
      <c r="D422" t="inlineStr">
        <is>
          <t>UPPSALA LÄN</t>
        </is>
      </c>
      <c r="E422" t="inlineStr">
        <is>
          <t>ENKÖPING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32031-2025</t>
        </is>
      </c>
      <c r="B423" s="1" t="n">
        <v>45835.41712962963</v>
      </c>
      <c r="C423" s="1" t="n">
        <v>45936</v>
      </c>
      <c r="D423" t="inlineStr">
        <is>
          <t>UPPSALA LÄN</t>
        </is>
      </c>
      <c r="E423" t="inlineStr">
        <is>
          <t>ENKÖPING</t>
        </is>
      </c>
      <c r="G423" t="n">
        <v>2.7</v>
      </c>
      <c r="H423" t="n">
        <v>0</v>
      </c>
      <c r="I423" t="n">
        <v>0</v>
      </c>
      <c r="J423" t="n">
        <v>0</v>
      </c>
      <c r="K423" t="n">
        <v>0</v>
      </c>
      <c r="L423" t="n">
        <v>0</v>
      </c>
      <c r="M423" t="n">
        <v>0</v>
      </c>
      <c r="N423" t="n">
        <v>0</v>
      </c>
      <c r="O423" t="n">
        <v>0</v>
      </c>
      <c r="P423" t="n">
        <v>0</v>
      </c>
      <c r="Q423" t="n">
        <v>0</v>
      </c>
      <c r="R423" s="2" t="inlineStr"/>
    </row>
    <row r="424" ht="15" customHeight="1">
      <c r="A424" t="inlineStr">
        <is>
          <t>A 60289-2022</t>
        </is>
      </c>
      <c r="B424" s="1" t="n">
        <v>44910.53026620371</v>
      </c>
      <c r="C424" s="1" t="n">
        <v>45936</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45936</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58384-2022</t>
        </is>
      </c>
      <c r="B426" s="1" t="n">
        <v>44901</v>
      </c>
      <c r="C426" s="1" t="n">
        <v>45936</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59602-2022</t>
        </is>
      </c>
      <c r="B427" s="1" t="n">
        <v>44907.72241898148</v>
      </c>
      <c r="C427" s="1" t="n">
        <v>45936</v>
      </c>
      <c r="D427" t="inlineStr">
        <is>
          <t>UPPSALA LÄN</t>
        </is>
      </c>
      <c r="E427" t="inlineStr">
        <is>
          <t>ENKÖPING</t>
        </is>
      </c>
      <c r="G427" t="n">
        <v>14.2</v>
      </c>
      <c r="H427" t="n">
        <v>0</v>
      </c>
      <c r="I427" t="n">
        <v>0</v>
      </c>
      <c r="J427" t="n">
        <v>0</v>
      </c>
      <c r="K427" t="n">
        <v>0</v>
      </c>
      <c r="L427" t="n">
        <v>0</v>
      </c>
      <c r="M427" t="n">
        <v>0</v>
      </c>
      <c r="N427" t="n">
        <v>0</v>
      </c>
      <c r="O427" t="n">
        <v>0</v>
      </c>
      <c r="P427" t="n">
        <v>0</v>
      </c>
      <c r="Q427" t="n">
        <v>0</v>
      </c>
      <c r="R427" s="2" t="inlineStr"/>
    </row>
    <row r="428" ht="15" customHeight="1">
      <c r="A428" t="inlineStr">
        <is>
          <t>A 31965-2021</t>
        </is>
      </c>
      <c r="B428" s="1" t="n">
        <v>44370.56901620371</v>
      </c>
      <c r="C428" s="1" t="n">
        <v>45936</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67984-2021</t>
        </is>
      </c>
      <c r="B429" s="1" t="n">
        <v>44525.70237268518</v>
      </c>
      <c r="C429" s="1" t="n">
        <v>45936</v>
      </c>
      <c r="D429" t="inlineStr">
        <is>
          <t>UPPSALA LÄN</t>
        </is>
      </c>
      <c r="E429" t="inlineStr">
        <is>
          <t>ENKÖPING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45936</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45936</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15740-2025</t>
        </is>
      </c>
      <c r="B432" s="1" t="n">
        <v>45748</v>
      </c>
      <c r="C432" s="1" t="n">
        <v>45936</v>
      </c>
      <c r="D432" t="inlineStr">
        <is>
          <t>UPPSALA LÄN</t>
        </is>
      </c>
      <c r="E432" t="inlineStr">
        <is>
          <t>ENKÖPING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10829-2024</t>
        </is>
      </c>
      <c r="B433" s="1" t="n">
        <v>45369</v>
      </c>
      <c r="C433" s="1" t="n">
        <v>45936</v>
      </c>
      <c r="D433" t="inlineStr">
        <is>
          <t>UPPSALA LÄN</t>
        </is>
      </c>
      <c r="E433" t="inlineStr">
        <is>
          <t>ENKÖPING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18994-2025</t>
        </is>
      </c>
      <c r="B434" s="1" t="n">
        <v>45764.57350694444</v>
      </c>
      <c r="C434" s="1" t="n">
        <v>45936</v>
      </c>
      <c r="D434" t="inlineStr">
        <is>
          <t>UPPSALA LÄN</t>
        </is>
      </c>
      <c r="E434" t="inlineStr">
        <is>
          <t>ENKÖPING</t>
        </is>
      </c>
      <c r="G434" t="n">
        <v>3.8</v>
      </c>
      <c r="H434" t="n">
        <v>0</v>
      </c>
      <c r="I434" t="n">
        <v>0</v>
      </c>
      <c r="J434" t="n">
        <v>0</v>
      </c>
      <c r="K434" t="n">
        <v>0</v>
      </c>
      <c r="L434" t="n">
        <v>0</v>
      </c>
      <c r="M434" t="n">
        <v>0</v>
      </c>
      <c r="N434" t="n">
        <v>0</v>
      </c>
      <c r="O434" t="n">
        <v>0</v>
      </c>
      <c r="P434" t="n">
        <v>0</v>
      </c>
      <c r="Q434" t="n">
        <v>0</v>
      </c>
      <c r="R434" s="2" t="inlineStr"/>
    </row>
    <row r="435" ht="15" customHeight="1">
      <c r="A435" t="inlineStr">
        <is>
          <t>A 67982-2021</t>
        </is>
      </c>
      <c r="B435" s="1" t="n">
        <v>44525</v>
      </c>
      <c r="C435" s="1" t="n">
        <v>45936</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51034-2024</t>
        </is>
      </c>
      <c r="B436" s="1" t="n">
        <v>45603.4262037037</v>
      </c>
      <c r="C436" s="1" t="n">
        <v>45936</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51036-2024</t>
        </is>
      </c>
      <c r="B437" s="1" t="n">
        <v>45603.42839120371</v>
      </c>
      <c r="C437" s="1" t="n">
        <v>45936</v>
      </c>
      <c r="D437" t="inlineStr">
        <is>
          <t>UPPSALA LÄN</t>
        </is>
      </c>
      <c r="E437" t="inlineStr">
        <is>
          <t>ENKÖPING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55876-2024</t>
        </is>
      </c>
      <c r="B438" s="1" t="n">
        <v>45623.5546412037</v>
      </c>
      <c r="C438" s="1" t="n">
        <v>45936</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11005-2023</t>
        </is>
      </c>
      <c r="B439" s="1" t="n">
        <v>44991</v>
      </c>
      <c r="C439" s="1" t="n">
        <v>45936</v>
      </c>
      <c r="D439" t="inlineStr">
        <is>
          <t>UPPSALA LÄN</t>
        </is>
      </c>
      <c r="E439" t="inlineStr">
        <is>
          <t>ENKÖPING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57848-2024</t>
        </is>
      </c>
      <c r="B440" s="1" t="n">
        <v>45631.40947916666</v>
      </c>
      <c r="C440" s="1" t="n">
        <v>45936</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49601-2024</t>
        </is>
      </c>
      <c r="B441" s="1" t="n">
        <v>45596.56288194445</v>
      </c>
      <c r="C441" s="1" t="n">
        <v>45936</v>
      </c>
      <c r="D441" t="inlineStr">
        <is>
          <t>UPPSALA LÄN</t>
        </is>
      </c>
      <c r="E441" t="inlineStr">
        <is>
          <t>ENKÖPING</t>
        </is>
      </c>
      <c r="G441" t="n">
        <v>1.1</v>
      </c>
      <c r="H441" t="n">
        <v>0</v>
      </c>
      <c r="I441" t="n">
        <v>0</v>
      </c>
      <c r="J441" t="n">
        <v>0</v>
      </c>
      <c r="K441" t="n">
        <v>0</v>
      </c>
      <c r="L441" t="n">
        <v>0</v>
      </c>
      <c r="M441" t="n">
        <v>0</v>
      </c>
      <c r="N441" t="n">
        <v>0</v>
      </c>
      <c r="O441" t="n">
        <v>0</v>
      </c>
      <c r="P441" t="n">
        <v>0</v>
      </c>
      <c r="Q441" t="n">
        <v>0</v>
      </c>
      <c r="R441" s="2" t="inlineStr"/>
    </row>
    <row r="442" ht="15" customHeight="1">
      <c r="A442" t="inlineStr">
        <is>
          <t>A 57142-2021</t>
        </is>
      </c>
      <c r="B442" s="1" t="n">
        <v>44482</v>
      </c>
      <c r="C442" s="1" t="n">
        <v>45936</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57147-2021</t>
        </is>
      </c>
      <c r="B443" s="1" t="n">
        <v>44482</v>
      </c>
      <c r="C443" s="1" t="n">
        <v>45936</v>
      </c>
      <c r="D443" t="inlineStr">
        <is>
          <t>UPPSALA LÄN</t>
        </is>
      </c>
      <c r="E443" t="inlineStr">
        <is>
          <t>ENKÖPING</t>
        </is>
      </c>
      <c r="G443" t="n">
        <v>5.7</v>
      </c>
      <c r="H443" t="n">
        <v>0</v>
      </c>
      <c r="I443" t="n">
        <v>0</v>
      </c>
      <c r="J443" t="n">
        <v>0</v>
      </c>
      <c r="K443" t="n">
        <v>0</v>
      </c>
      <c r="L443" t="n">
        <v>0</v>
      </c>
      <c r="M443" t="n">
        <v>0</v>
      </c>
      <c r="N443" t="n">
        <v>0</v>
      </c>
      <c r="O443" t="n">
        <v>0</v>
      </c>
      <c r="P443" t="n">
        <v>0</v>
      </c>
      <c r="Q443" t="n">
        <v>0</v>
      </c>
      <c r="R443" s="2" t="inlineStr"/>
    </row>
    <row r="444" ht="15" customHeight="1">
      <c r="A444" t="inlineStr">
        <is>
          <t>A 7868-2024</t>
        </is>
      </c>
      <c r="B444" s="1" t="n">
        <v>45350.33020833333</v>
      </c>
      <c r="C444" s="1" t="n">
        <v>45936</v>
      </c>
      <c r="D444" t="inlineStr">
        <is>
          <t>UPPSALA LÄN</t>
        </is>
      </c>
      <c r="E444" t="inlineStr">
        <is>
          <t>ENKÖPING</t>
        </is>
      </c>
      <c r="G444" t="n">
        <v>0.3</v>
      </c>
      <c r="H444" t="n">
        <v>0</v>
      </c>
      <c r="I444" t="n">
        <v>0</v>
      </c>
      <c r="J444" t="n">
        <v>0</v>
      </c>
      <c r="K444" t="n">
        <v>0</v>
      </c>
      <c r="L444" t="n">
        <v>0</v>
      </c>
      <c r="M444" t="n">
        <v>0</v>
      </c>
      <c r="N444" t="n">
        <v>0</v>
      </c>
      <c r="O444" t="n">
        <v>0</v>
      </c>
      <c r="P444" t="n">
        <v>0</v>
      </c>
      <c r="Q444" t="n">
        <v>0</v>
      </c>
      <c r="R444" s="2" t="inlineStr"/>
    </row>
    <row r="445" ht="15" customHeight="1">
      <c r="A445" t="inlineStr">
        <is>
          <t>A 7870-2024</t>
        </is>
      </c>
      <c r="B445" s="1" t="n">
        <v>45350.33349537037</v>
      </c>
      <c r="C445" s="1" t="n">
        <v>45936</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9231-2023</t>
        </is>
      </c>
      <c r="B446" s="1" t="n">
        <v>44980</v>
      </c>
      <c r="C446" s="1" t="n">
        <v>45936</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16916-2022</t>
        </is>
      </c>
      <c r="B447" s="1" t="n">
        <v>44676</v>
      </c>
      <c r="C447" s="1" t="n">
        <v>45936</v>
      </c>
      <c r="D447" t="inlineStr">
        <is>
          <t>UPPSALA LÄN</t>
        </is>
      </c>
      <c r="E447" t="inlineStr">
        <is>
          <t>ENKÖPING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29513-2025</t>
        </is>
      </c>
      <c r="B448" s="1" t="n">
        <v>45825</v>
      </c>
      <c r="C448" s="1" t="n">
        <v>45936</v>
      </c>
      <c r="D448" t="inlineStr">
        <is>
          <t>UPPSALA LÄN</t>
        </is>
      </c>
      <c r="E448" t="inlineStr">
        <is>
          <t>ENKÖPING</t>
        </is>
      </c>
      <c r="G448" t="n">
        <v>2.6</v>
      </c>
      <c r="H448" t="n">
        <v>0</v>
      </c>
      <c r="I448" t="n">
        <v>0</v>
      </c>
      <c r="J448" t="n">
        <v>0</v>
      </c>
      <c r="K448" t="n">
        <v>0</v>
      </c>
      <c r="L448" t="n">
        <v>0</v>
      </c>
      <c r="M448" t="n">
        <v>0</v>
      </c>
      <c r="N448" t="n">
        <v>0</v>
      </c>
      <c r="O448" t="n">
        <v>0</v>
      </c>
      <c r="P448" t="n">
        <v>0</v>
      </c>
      <c r="Q448" t="n">
        <v>0</v>
      </c>
      <c r="R448" s="2" t="inlineStr"/>
    </row>
    <row r="449" ht="15" customHeight="1">
      <c r="A449" t="inlineStr">
        <is>
          <t>A 39746-2025</t>
        </is>
      </c>
      <c r="B449" s="1" t="n">
        <v>45891</v>
      </c>
      <c r="C449" s="1" t="n">
        <v>45936</v>
      </c>
      <c r="D449" t="inlineStr">
        <is>
          <t>UPPSALA LÄN</t>
        </is>
      </c>
      <c r="E449" t="inlineStr">
        <is>
          <t>ENKÖPING</t>
        </is>
      </c>
      <c r="G449" t="n">
        <v>7.4</v>
      </c>
      <c r="H449" t="n">
        <v>0</v>
      </c>
      <c r="I449" t="n">
        <v>0</v>
      </c>
      <c r="J449" t="n">
        <v>0</v>
      </c>
      <c r="K449" t="n">
        <v>0</v>
      </c>
      <c r="L449" t="n">
        <v>0</v>
      </c>
      <c r="M449" t="n">
        <v>0</v>
      </c>
      <c r="N449" t="n">
        <v>0</v>
      </c>
      <c r="O449" t="n">
        <v>0</v>
      </c>
      <c r="P449" t="n">
        <v>0</v>
      </c>
      <c r="Q449" t="n">
        <v>0</v>
      </c>
      <c r="R449" s="2" t="inlineStr"/>
    </row>
    <row r="450" ht="15" customHeight="1">
      <c r="A450" t="inlineStr">
        <is>
          <t>A 17844-2025</t>
        </is>
      </c>
      <c r="B450" s="1" t="n">
        <v>45758.59920138889</v>
      </c>
      <c r="C450" s="1" t="n">
        <v>45936</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30514-2021</t>
        </is>
      </c>
      <c r="B451" s="1" t="n">
        <v>44364</v>
      </c>
      <c r="C451" s="1" t="n">
        <v>45936</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27837-2025</t>
        </is>
      </c>
      <c r="B452" s="1" t="n">
        <v>45817.37207175926</v>
      </c>
      <c r="C452" s="1" t="n">
        <v>45936</v>
      </c>
      <c r="D452" t="inlineStr">
        <is>
          <t>UPPSALA LÄN</t>
        </is>
      </c>
      <c r="E452" t="inlineStr">
        <is>
          <t>ENKÖPING</t>
        </is>
      </c>
      <c r="G452" t="n">
        <v>7.3</v>
      </c>
      <c r="H452" t="n">
        <v>0</v>
      </c>
      <c r="I452" t="n">
        <v>0</v>
      </c>
      <c r="J452" t="n">
        <v>0</v>
      </c>
      <c r="K452" t="n">
        <v>0</v>
      </c>
      <c r="L452" t="n">
        <v>0</v>
      </c>
      <c r="M452" t="n">
        <v>0</v>
      </c>
      <c r="N452" t="n">
        <v>0</v>
      </c>
      <c r="O452" t="n">
        <v>0</v>
      </c>
      <c r="P452" t="n">
        <v>0</v>
      </c>
      <c r="Q452" t="n">
        <v>0</v>
      </c>
      <c r="R452" s="2" t="inlineStr"/>
    </row>
    <row r="453" ht="15" customHeight="1">
      <c r="A453" t="inlineStr">
        <is>
          <t>A 31604-2023</t>
        </is>
      </c>
      <c r="B453" s="1" t="n">
        <v>45117.50368055556</v>
      </c>
      <c r="C453" s="1" t="n">
        <v>45936</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25598-2021</t>
        </is>
      </c>
      <c r="B454" s="1" t="n">
        <v>44343.4558912037</v>
      </c>
      <c r="C454" s="1" t="n">
        <v>45936</v>
      </c>
      <c r="D454" t="inlineStr">
        <is>
          <t>UPPSALA LÄN</t>
        </is>
      </c>
      <c r="E454" t="inlineStr">
        <is>
          <t>ENKÖPING</t>
        </is>
      </c>
      <c r="G454" t="n">
        <v>0.7</v>
      </c>
      <c r="H454" t="n">
        <v>0</v>
      </c>
      <c r="I454" t="n">
        <v>0</v>
      </c>
      <c r="J454" t="n">
        <v>0</v>
      </c>
      <c r="K454" t="n">
        <v>0</v>
      </c>
      <c r="L454" t="n">
        <v>0</v>
      </c>
      <c r="M454" t="n">
        <v>0</v>
      </c>
      <c r="N454" t="n">
        <v>0</v>
      </c>
      <c r="O454" t="n">
        <v>0</v>
      </c>
      <c r="P454" t="n">
        <v>0</v>
      </c>
      <c r="Q454" t="n">
        <v>0</v>
      </c>
      <c r="R454" s="2" t="inlineStr"/>
    </row>
    <row r="455" ht="15" customHeight="1">
      <c r="A455" t="inlineStr">
        <is>
          <t>A 15162-2025</t>
        </is>
      </c>
      <c r="B455" s="1" t="n">
        <v>45744</v>
      </c>
      <c r="C455" s="1" t="n">
        <v>45936</v>
      </c>
      <c r="D455" t="inlineStr">
        <is>
          <t>UPPSALA LÄN</t>
        </is>
      </c>
      <c r="E455" t="inlineStr">
        <is>
          <t>ENKÖPING</t>
        </is>
      </c>
      <c r="G455" t="n">
        <v>4.2</v>
      </c>
      <c r="H455" t="n">
        <v>0</v>
      </c>
      <c r="I455" t="n">
        <v>0</v>
      </c>
      <c r="J455" t="n">
        <v>0</v>
      </c>
      <c r="K455" t="n">
        <v>0</v>
      </c>
      <c r="L455" t="n">
        <v>0</v>
      </c>
      <c r="M455" t="n">
        <v>0</v>
      </c>
      <c r="N455" t="n">
        <v>0</v>
      </c>
      <c r="O455" t="n">
        <v>0</v>
      </c>
      <c r="P455" t="n">
        <v>0</v>
      </c>
      <c r="Q455" t="n">
        <v>0</v>
      </c>
      <c r="R455" s="2" t="inlineStr"/>
    </row>
    <row r="456" ht="15" customHeight="1">
      <c r="A456" t="inlineStr">
        <is>
          <t>A 34990-2025</t>
        </is>
      </c>
      <c r="B456" s="1" t="n">
        <v>45849.78916666667</v>
      </c>
      <c r="C456" s="1" t="n">
        <v>45936</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52388-2024</t>
        </is>
      </c>
      <c r="B457" s="1" t="n">
        <v>45609.42939814815</v>
      </c>
      <c r="C457" s="1" t="n">
        <v>45936</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53607-2023</t>
        </is>
      </c>
      <c r="B458" s="1" t="n">
        <v>45230</v>
      </c>
      <c r="C458" s="1" t="n">
        <v>45936</v>
      </c>
      <c r="D458" t="inlineStr">
        <is>
          <t>UPPSALA LÄN</t>
        </is>
      </c>
      <c r="E458" t="inlineStr">
        <is>
          <t>ENKÖPING</t>
        </is>
      </c>
      <c r="F458" t="inlineStr">
        <is>
          <t>Allmännings- och besparingsskogar</t>
        </is>
      </c>
      <c r="G458" t="n">
        <v>6.3</v>
      </c>
      <c r="H458" t="n">
        <v>0</v>
      </c>
      <c r="I458" t="n">
        <v>0</v>
      </c>
      <c r="J458" t="n">
        <v>0</v>
      </c>
      <c r="K458" t="n">
        <v>0</v>
      </c>
      <c r="L458" t="n">
        <v>0</v>
      </c>
      <c r="M458" t="n">
        <v>0</v>
      </c>
      <c r="N458" t="n">
        <v>0</v>
      </c>
      <c r="O458" t="n">
        <v>0</v>
      </c>
      <c r="P458" t="n">
        <v>0</v>
      </c>
      <c r="Q458" t="n">
        <v>0</v>
      </c>
      <c r="R458" s="2" t="inlineStr"/>
    </row>
    <row r="459" ht="15" customHeight="1">
      <c r="A459" t="inlineStr">
        <is>
          <t>A 40202-2024</t>
        </is>
      </c>
      <c r="B459" s="1" t="n">
        <v>45554</v>
      </c>
      <c r="C459" s="1" t="n">
        <v>45936</v>
      </c>
      <c r="D459" t="inlineStr">
        <is>
          <t>UPPSALA LÄN</t>
        </is>
      </c>
      <c r="E459" t="inlineStr">
        <is>
          <t>ENKÖPING</t>
        </is>
      </c>
      <c r="G459" t="n">
        <v>6.2</v>
      </c>
      <c r="H459" t="n">
        <v>0</v>
      </c>
      <c r="I459" t="n">
        <v>0</v>
      </c>
      <c r="J459" t="n">
        <v>0</v>
      </c>
      <c r="K459" t="n">
        <v>0</v>
      </c>
      <c r="L459" t="n">
        <v>0</v>
      </c>
      <c r="M459" t="n">
        <v>0</v>
      </c>
      <c r="N459" t="n">
        <v>0</v>
      </c>
      <c r="O459" t="n">
        <v>0</v>
      </c>
      <c r="P459" t="n">
        <v>0</v>
      </c>
      <c r="Q459" t="n">
        <v>0</v>
      </c>
      <c r="R459" s="2" t="inlineStr"/>
    </row>
    <row r="460" ht="15" customHeight="1">
      <c r="A460" t="inlineStr">
        <is>
          <t>A 8306-2021</t>
        </is>
      </c>
      <c r="B460" s="1" t="n">
        <v>44244</v>
      </c>
      <c r="C460" s="1" t="n">
        <v>45936</v>
      </c>
      <c r="D460" t="inlineStr">
        <is>
          <t>UPPSALA LÄN</t>
        </is>
      </c>
      <c r="E460" t="inlineStr">
        <is>
          <t>ENKÖPING</t>
        </is>
      </c>
      <c r="G460" t="n">
        <v>14.9</v>
      </c>
      <c r="H460" t="n">
        <v>0</v>
      </c>
      <c r="I460" t="n">
        <v>0</v>
      </c>
      <c r="J460" t="n">
        <v>0</v>
      </c>
      <c r="K460" t="n">
        <v>0</v>
      </c>
      <c r="L460" t="n">
        <v>0</v>
      </c>
      <c r="M460" t="n">
        <v>0</v>
      </c>
      <c r="N460" t="n">
        <v>0</v>
      </c>
      <c r="O460" t="n">
        <v>0</v>
      </c>
      <c r="P460" t="n">
        <v>0</v>
      </c>
      <c r="Q460" t="n">
        <v>0</v>
      </c>
      <c r="R460" s="2" t="inlineStr"/>
    </row>
    <row r="461" ht="15" customHeight="1">
      <c r="A461" t="inlineStr">
        <is>
          <t>A 57152-2021</t>
        </is>
      </c>
      <c r="B461" s="1" t="n">
        <v>44482</v>
      </c>
      <c r="C461" s="1" t="n">
        <v>45936</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41616-2025</t>
        </is>
      </c>
      <c r="B462" s="1" t="n">
        <v>45901.69684027778</v>
      </c>
      <c r="C462" s="1" t="n">
        <v>45936</v>
      </c>
      <c r="D462" t="inlineStr">
        <is>
          <t>UPPSALA LÄN</t>
        </is>
      </c>
      <c r="E462" t="inlineStr">
        <is>
          <t>ENKÖPING</t>
        </is>
      </c>
      <c r="F462" t="inlineStr">
        <is>
          <t>Allmännings- och besparingsskogar</t>
        </is>
      </c>
      <c r="G462" t="n">
        <v>17.3</v>
      </c>
      <c r="H462" t="n">
        <v>0</v>
      </c>
      <c r="I462" t="n">
        <v>0</v>
      </c>
      <c r="J462" t="n">
        <v>0</v>
      </c>
      <c r="K462" t="n">
        <v>0</v>
      </c>
      <c r="L462" t="n">
        <v>0</v>
      </c>
      <c r="M462" t="n">
        <v>0</v>
      </c>
      <c r="N462" t="n">
        <v>0</v>
      </c>
      <c r="O462" t="n">
        <v>0</v>
      </c>
      <c r="P462" t="n">
        <v>0</v>
      </c>
      <c r="Q462" t="n">
        <v>0</v>
      </c>
      <c r="R462" s="2" t="inlineStr"/>
    </row>
    <row r="463" ht="15" customHeight="1">
      <c r="A463" t="inlineStr">
        <is>
          <t>A 41618-2025</t>
        </is>
      </c>
      <c r="B463" s="1" t="n">
        <v>45901.70085648148</v>
      </c>
      <c r="C463" s="1" t="n">
        <v>45936</v>
      </c>
      <c r="D463" t="inlineStr">
        <is>
          <t>UPPSALA LÄN</t>
        </is>
      </c>
      <c r="E463" t="inlineStr">
        <is>
          <t>ENKÖPING</t>
        </is>
      </c>
      <c r="F463" t="inlineStr">
        <is>
          <t>Allmännings- och besparingsskogar</t>
        </is>
      </c>
      <c r="G463" t="n">
        <v>5.3</v>
      </c>
      <c r="H463" t="n">
        <v>0</v>
      </c>
      <c r="I463" t="n">
        <v>0</v>
      </c>
      <c r="J463" t="n">
        <v>0</v>
      </c>
      <c r="K463" t="n">
        <v>0</v>
      </c>
      <c r="L463" t="n">
        <v>0</v>
      </c>
      <c r="M463" t="n">
        <v>0</v>
      </c>
      <c r="N463" t="n">
        <v>0</v>
      </c>
      <c r="O463" t="n">
        <v>0</v>
      </c>
      <c r="P463" t="n">
        <v>0</v>
      </c>
      <c r="Q463" t="n">
        <v>0</v>
      </c>
      <c r="R463" s="2" t="inlineStr"/>
    </row>
    <row r="464" ht="15" customHeight="1">
      <c r="A464" t="inlineStr">
        <is>
          <t>A 34124-2021</t>
        </is>
      </c>
      <c r="B464" s="1" t="n">
        <v>44379</v>
      </c>
      <c r="C464" s="1" t="n">
        <v>45936</v>
      </c>
      <c r="D464" t="inlineStr">
        <is>
          <t>UPPSALA LÄN</t>
        </is>
      </c>
      <c r="E464" t="inlineStr">
        <is>
          <t>ENKÖPING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28518-2024</t>
        </is>
      </c>
      <c r="B465" s="1" t="n">
        <v>45477</v>
      </c>
      <c r="C465" s="1" t="n">
        <v>45936</v>
      </c>
      <c r="D465" t="inlineStr">
        <is>
          <t>UPPSALA LÄN</t>
        </is>
      </c>
      <c r="E465" t="inlineStr">
        <is>
          <t>ENKÖPING</t>
        </is>
      </c>
      <c r="G465" t="n">
        <v>3.4</v>
      </c>
      <c r="H465" t="n">
        <v>0</v>
      </c>
      <c r="I465" t="n">
        <v>0</v>
      </c>
      <c r="J465" t="n">
        <v>0</v>
      </c>
      <c r="K465" t="n">
        <v>0</v>
      </c>
      <c r="L465" t="n">
        <v>0</v>
      </c>
      <c r="M465" t="n">
        <v>0</v>
      </c>
      <c r="N465" t="n">
        <v>0</v>
      </c>
      <c r="O465" t="n">
        <v>0</v>
      </c>
      <c r="P465" t="n">
        <v>0</v>
      </c>
      <c r="Q465" t="n">
        <v>0</v>
      </c>
      <c r="R465" s="2" t="inlineStr"/>
    </row>
    <row r="466" ht="15" customHeight="1">
      <c r="A466" t="inlineStr">
        <is>
          <t>A 41637-2025</t>
        </is>
      </c>
      <c r="B466" s="1" t="n">
        <v>45901</v>
      </c>
      <c r="C466" s="1" t="n">
        <v>45936</v>
      </c>
      <c r="D466" t="inlineStr">
        <is>
          <t>UPPSALA LÄN</t>
        </is>
      </c>
      <c r="E466" t="inlineStr">
        <is>
          <t>ENKÖPING</t>
        </is>
      </c>
      <c r="F466" t="inlineStr">
        <is>
          <t>Allmännings- och besparingsskogar</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52299-2023</t>
        </is>
      </c>
      <c r="B467" s="1" t="n">
        <v>45224.61636574074</v>
      </c>
      <c r="C467" s="1" t="n">
        <v>45936</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21501-2025</t>
        </is>
      </c>
      <c r="B468" s="1" t="n">
        <v>45782</v>
      </c>
      <c r="C468" s="1" t="n">
        <v>45936</v>
      </c>
      <c r="D468" t="inlineStr">
        <is>
          <t>UPPSALA LÄN</t>
        </is>
      </c>
      <c r="E468" t="inlineStr">
        <is>
          <t>ENKÖPING</t>
        </is>
      </c>
      <c r="G468" t="n">
        <v>1</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44763.45711805556</v>
      </c>
      <c r="C469" s="1" t="n">
        <v>45936</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34988-2025</t>
        </is>
      </c>
      <c r="B470" s="1" t="n">
        <v>45849</v>
      </c>
      <c r="C470" s="1" t="n">
        <v>45936</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18259-2025</t>
        </is>
      </c>
      <c r="B471" s="1" t="n">
        <v>45762</v>
      </c>
      <c r="C471" s="1" t="n">
        <v>45936</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42029-2025</t>
        </is>
      </c>
      <c r="B472" s="1" t="n">
        <v>45903</v>
      </c>
      <c r="C472" s="1" t="n">
        <v>45936</v>
      </c>
      <c r="D472" t="inlineStr">
        <is>
          <t>UPPSALA LÄN</t>
        </is>
      </c>
      <c r="E472" t="inlineStr">
        <is>
          <t>ENKÖPING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34987-2025</t>
        </is>
      </c>
      <c r="B473" s="1" t="n">
        <v>45849</v>
      </c>
      <c r="C473" s="1" t="n">
        <v>45936</v>
      </c>
      <c r="D473" t="inlineStr">
        <is>
          <t>UPPSALA LÄN</t>
        </is>
      </c>
      <c r="E473" t="inlineStr">
        <is>
          <t>ENKÖPING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34989-2025</t>
        </is>
      </c>
      <c r="B474" s="1" t="n">
        <v>45849</v>
      </c>
      <c r="C474" s="1" t="n">
        <v>45936</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14004-2023</t>
        </is>
      </c>
      <c r="B475" s="1" t="n">
        <v>45008</v>
      </c>
      <c r="C475" s="1" t="n">
        <v>45936</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41764-2025</t>
        </is>
      </c>
      <c r="B476" s="1" t="n">
        <v>45902</v>
      </c>
      <c r="C476" s="1" t="n">
        <v>45936</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52005-2024</t>
        </is>
      </c>
      <c r="B477" s="1" t="n">
        <v>45607.7627662037</v>
      </c>
      <c r="C477" s="1" t="n">
        <v>45936</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1960-2022</t>
        </is>
      </c>
      <c r="B478" s="1" t="n">
        <v>44575</v>
      </c>
      <c r="C478" s="1" t="n">
        <v>45936</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6157-2021</t>
        </is>
      </c>
      <c r="B479" s="1" t="n">
        <v>44232</v>
      </c>
      <c r="C479" s="1" t="n">
        <v>45936</v>
      </c>
      <c r="D479" t="inlineStr">
        <is>
          <t>UPPSALA LÄN</t>
        </is>
      </c>
      <c r="E479" t="inlineStr">
        <is>
          <t>ENKÖPING</t>
        </is>
      </c>
      <c r="G479" t="n">
        <v>3.9</v>
      </c>
      <c r="H479" t="n">
        <v>0</v>
      </c>
      <c r="I479" t="n">
        <v>0</v>
      </c>
      <c r="J479" t="n">
        <v>0</v>
      </c>
      <c r="K479" t="n">
        <v>0</v>
      </c>
      <c r="L479" t="n">
        <v>0</v>
      </c>
      <c r="M479" t="n">
        <v>0</v>
      </c>
      <c r="N479" t="n">
        <v>0</v>
      </c>
      <c r="O479" t="n">
        <v>0</v>
      </c>
      <c r="P479" t="n">
        <v>0</v>
      </c>
      <c r="Q479" t="n">
        <v>0</v>
      </c>
      <c r="R479" s="2" t="inlineStr"/>
    </row>
    <row r="480" ht="15" customHeight="1">
      <c r="A480" t="inlineStr">
        <is>
          <t>A 36492-2025</t>
        </is>
      </c>
      <c r="B480" s="1" t="n">
        <v>45869</v>
      </c>
      <c r="C480" s="1" t="n">
        <v>45936</v>
      </c>
      <c r="D480" t="inlineStr">
        <is>
          <t>UPPSALA LÄN</t>
        </is>
      </c>
      <c r="E480" t="inlineStr">
        <is>
          <t>ENKÖPING</t>
        </is>
      </c>
      <c r="G480" t="n">
        <v>6.3</v>
      </c>
      <c r="H480" t="n">
        <v>0</v>
      </c>
      <c r="I480" t="n">
        <v>0</v>
      </c>
      <c r="J480" t="n">
        <v>0</v>
      </c>
      <c r="K480" t="n">
        <v>0</v>
      </c>
      <c r="L480" t="n">
        <v>0</v>
      </c>
      <c r="M480" t="n">
        <v>0</v>
      </c>
      <c r="N480" t="n">
        <v>0</v>
      </c>
      <c r="O480" t="n">
        <v>0</v>
      </c>
      <c r="P480" t="n">
        <v>0</v>
      </c>
      <c r="Q480" t="n">
        <v>0</v>
      </c>
      <c r="R480" s="2" t="inlineStr"/>
    </row>
    <row r="481" ht="15" customHeight="1">
      <c r="A481" t="inlineStr">
        <is>
          <t>A 49627-2024</t>
        </is>
      </c>
      <c r="B481" s="1" t="n">
        <v>45596.59140046296</v>
      </c>
      <c r="C481" s="1" t="n">
        <v>45936</v>
      </c>
      <c r="D481" t="inlineStr">
        <is>
          <t>UPPSALA LÄN</t>
        </is>
      </c>
      <c r="E481" t="inlineStr">
        <is>
          <t>ENKÖPING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57998-2024</t>
        </is>
      </c>
      <c r="B482" s="1" t="n">
        <v>45631</v>
      </c>
      <c r="C482" s="1" t="n">
        <v>45936</v>
      </c>
      <c r="D482" t="inlineStr">
        <is>
          <t>UPPSALA LÄN</t>
        </is>
      </c>
      <c r="E482" t="inlineStr">
        <is>
          <t>ENKÖPING</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9667-2024</t>
        </is>
      </c>
      <c r="B483" s="1" t="n">
        <v>45362.45130787037</v>
      </c>
      <c r="C483" s="1" t="n">
        <v>45936</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36350-2025</t>
        </is>
      </c>
      <c r="B484" s="1" t="n">
        <v>45868</v>
      </c>
      <c r="C484" s="1" t="n">
        <v>45936</v>
      </c>
      <c r="D484" t="inlineStr">
        <is>
          <t>UPPSALA LÄN</t>
        </is>
      </c>
      <c r="E484" t="inlineStr">
        <is>
          <t>ENKÖPING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43103-2025</t>
        </is>
      </c>
      <c r="B485" s="1" t="n">
        <v>45909</v>
      </c>
      <c r="C485" s="1" t="n">
        <v>45936</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c r="A486" t="inlineStr">
        <is>
          <t>A 35645-2021</t>
        </is>
      </c>
      <c r="B486" s="1" t="n">
        <v>44386.42</v>
      </c>
      <c r="C486" s="1" t="n">
        <v>45936</v>
      </c>
      <c r="D486" t="inlineStr">
        <is>
          <t>UPPSALA LÄN</t>
        </is>
      </c>
      <c r="E486" t="inlineStr">
        <is>
          <t>ENKÖPING</t>
        </is>
      </c>
      <c r="G486" t="n">
        <v>2.7</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2025-10-06T12:37:54Z</dcterms:created>
  <dcterms:modified xmlns:dcterms="http://purl.org/dc/terms/" xmlns:xsi="http://www.w3.org/2001/XMLSchema-instance" xsi:type="dcterms:W3CDTF">2025-10-06T12:37:54Z</dcterms:modified>
</cp:coreProperties>
</file>