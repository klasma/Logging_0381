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45983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45983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45983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45983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45983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45983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45983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45983</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45983</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45983</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26043-2025</t>
        </is>
      </c>
      <c r="B12" s="1" t="n">
        <v>45804.70207175926</v>
      </c>
      <c r="C12" s="1" t="n">
        <v>45983</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31552-2023</t>
        </is>
      </c>
      <c r="B13" s="1" t="n">
        <v>45104</v>
      </c>
      <c r="C13" s="1" t="n">
        <v>45983</v>
      </c>
      <c r="D13" t="inlineStr">
        <is>
          <t>UPPSALA LÄN</t>
        </is>
      </c>
      <c r="E13" t="inlineStr">
        <is>
          <t>ENKÖPING</t>
        </is>
      </c>
      <c r="G13" t="n">
        <v>2.6</v>
      </c>
      <c r="H13" t="n">
        <v>1</v>
      </c>
      <c r="I13" t="n">
        <v>1</v>
      </c>
      <c r="J13" t="n">
        <v>1</v>
      </c>
      <c r="K13" t="n">
        <v>1</v>
      </c>
      <c r="L13" t="n">
        <v>0</v>
      </c>
      <c r="M13" t="n">
        <v>0</v>
      </c>
      <c r="N13" t="n">
        <v>0</v>
      </c>
      <c r="O13" t="n">
        <v>2</v>
      </c>
      <c r="P13" t="n">
        <v>1</v>
      </c>
      <c r="Q13" t="n">
        <v>3</v>
      </c>
      <c r="R13" s="2" t="inlineStr">
        <is>
          <t>Bombmurkla
Fyrflikig jordstjärna
Grönpyrola</t>
        </is>
      </c>
      <c r="S13">
        <f>HYPERLINK("https://klasma.github.io/Logging_0381/artfynd/A 31552-2023 artfynd.xlsx", "A 31552-2023")</f>
        <v/>
      </c>
      <c r="T13">
        <f>HYPERLINK("https://klasma.github.io/Logging_0381/kartor/A 31552-2023 karta.png", "A 31552-2023")</f>
        <v/>
      </c>
      <c r="V13">
        <f>HYPERLINK("https://klasma.github.io/Logging_0381/klagomål/A 31552-2023 FSC-klagomål.docx", "A 31552-2023")</f>
        <v/>
      </c>
      <c r="W13">
        <f>HYPERLINK("https://klasma.github.io/Logging_0381/klagomålsmail/A 31552-2023 FSC-klagomål mail.docx", "A 31552-2023")</f>
        <v/>
      </c>
      <c r="X13">
        <f>HYPERLINK("https://klasma.github.io/Logging_0381/tillsyn/A 31552-2023 tillsynsbegäran.docx", "A 31552-2023")</f>
        <v/>
      </c>
      <c r="Y13">
        <f>HYPERLINK("https://klasma.github.io/Logging_0381/tillsynsmail/A 31552-2023 tillsynsbegäran mail.docx", "A 31552-2023")</f>
        <v/>
      </c>
    </row>
    <row r="14" ht="15" customHeight="1">
      <c r="A14" t="inlineStr">
        <is>
          <t>A 34150-2021</t>
        </is>
      </c>
      <c r="B14" s="1" t="n">
        <v>44379</v>
      </c>
      <c r="C14" s="1" t="n">
        <v>45983</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45983</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27073-2025</t>
        </is>
      </c>
      <c r="B16" s="1" t="n">
        <v>45811.64190972222</v>
      </c>
      <c r="C16" s="1" t="n">
        <v>45983</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45983</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45983</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21970-2025</t>
        </is>
      </c>
      <c r="B19" s="1" t="n">
        <v>45784.63335648148</v>
      </c>
      <c r="C19" s="1" t="n">
        <v>45983</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45983</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45983</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45983</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26347-2025</t>
        </is>
      </c>
      <c r="B23" s="1" t="n">
        <v>45805.7403125</v>
      </c>
      <c r="C23" s="1" t="n">
        <v>45983</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45983</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52439-2025</t>
        </is>
      </c>
      <c r="B25" s="1" t="n">
        <v>45954.40697916667</v>
      </c>
      <c r="C25" s="1" t="n">
        <v>45983</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29510-2025</t>
        </is>
      </c>
      <c r="B26" s="1" t="n">
        <v>45825</v>
      </c>
      <c r="C26" s="1" t="n">
        <v>45983</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23961-2022</t>
        </is>
      </c>
      <c r="B27" s="1" t="n">
        <v>44722</v>
      </c>
      <c r="C27" s="1" t="n">
        <v>45983</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28900-2024</t>
        </is>
      </c>
      <c r="B28" s="1" t="n">
        <v>45480</v>
      </c>
      <c r="C28" s="1" t="n">
        <v>45983</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17942-2024</t>
        </is>
      </c>
      <c r="B29" s="1" t="n">
        <v>45419</v>
      </c>
      <c r="C29" s="1" t="n">
        <v>45983</v>
      </c>
      <c r="D29" t="inlineStr">
        <is>
          <t>UPPSALA LÄN</t>
        </is>
      </c>
      <c r="E29" t="inlineStr">
        <is>
          <t>ENKÖPING</t>
        </is>
      </c>
      <c r="G29" t="n">
        <v>0.8</v>
      </c>
      <c r="H29" t="n">
        <v>0</v>
      </c>
      <c r="I29" t="n">
        <v>0</v>
      </c>
      <c r="J29" t="n">
        <v>1</v>
      </c>
      <c r="K29" t="n">
        <v>0</v>
      </c>
      <c r="L29" t="n">
        <v>0</v>
      </c>
      <c r="M29" t="n">
        <v>0</v>
      </c>
      <c r="N29" t="n">
        <v>0</v>
      </c>
      <c r="O29" t="n">
        <v>1</v>
      </c>
      <c r="P29" t="n">
        <v>0</v>
      </c>
      <c r="Q29" t="n">
        <v>1</v>
      </c>
      <c r="R29" s="2" t="inlineStr">
        <is>
          <t>Ängsskära</t>
        </is>
      </c>
      <c r="S29">
        <f>HYPERLINK("https://klasma.github.io/Logging_0381/artfynd/A 17942-2024 artfynd.xlsx", "A 17942-2024")</f>
        <v/>
      </c>
      <c r="T29">
        <f>HYPERLINK("https://klasma.github.io/Logging_0381/kartor/A 17942-2024 karta.png", "A 17942-2024")</f>
        <v/>
      </c>
      <c r="V29">
        <f>HYPERLINK("https://klasma.github.io/Logging_0381/klagomål/A 17942-2024 FSC-klagomål.docx", "A 17942-2024")</f>
        <v/>
      </c>
      <c r="W29">
        <f>HYPERLINK("https://klasma.github.io/Logging_0381/klagomålsmail/A 17942-2024 FSC-klagomål mail.docx", "A 17942-2024")</f>
        <v/>
      </c>
      <c r="X29">
        <f>HYPERLINK("https://klasma.github.io/Logging_0381/tillsyn/A 17942-2024 tillsynsbegäran.docx", "A 17942-2024")</f>
        <v/>
      </c>
      <c r="Y29">
        <f>HYPERLINK("https://klasma.github.io/Logging_0381/tillsynsmail/A 17942-2024 tillsynsbegäran mail.docx", "A 17942-2024")</f>
        <v/>
      </c>
    </row>
    <row r="30" ht="15" customHeight="1">
      <c r="A30" t="inlineStr">
        <is>
          <t>A 1524-2023</t>
        </is>
      </c>
      <c r="B30" s="1" t="n">
        <v>44935</v>
      </c>
      <c r="C30" s="1" t="n">
        <v>45983</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33339-2024</t>
        </is>
      </c>
      <c r="B31" s="1" t="n">
        <v>45519</v>
      </c>
      <c r="C31" s="1" t="n">
        <v>45983</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45116-2023</t>
        </is>
      </c>
      <c r="B32" s="1" t="n">
        <v>45191</v>
      </c>
      <c r="C32" s="1" t="n">
        <v>45983</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46749-2024</t>
        </is>
      </c>
      <c r="B33" s="1" t="n">
        <v>45583.48347222222</v>
      </c>
      <c r="C33" s="1" t="n">
        <v>45983</v>
      </c>
      <c r="D33" t="inlineStr">
        <is>
          <t>UPPSALA LÄN</t>
        </is>
      </c>
      <c r="E33" t="inlineStr">
        <is>
          <t>ENKÖPING</t>
        </is>
      </c>
      <c r="G33" t="n">
        <v>8.5</v>
      </c>
      <c r="H33" t="n">
        <v>0</v>
      </c>
      <c r="I33" t="n">
        <v>0</v>
      </c>
      <c r="J33" t="n">
        <v>1</v>
      </c>
      <c r="K33" t="n">
        <v>0</v>
      </c>
      <c r="L33" t="n">
        <v>0</v>
      </c>
      <c r="M33" t="n">
        <v>0</v>
      </c>
      <c r="N33" t="n">
        <v>0</v>
      </c>
      <c r="O33" t="n">
        <v>1</v>
      </c>
      <c r="P33" t="n">
        <v>0</v>
      </c>
      <c r="Q33" t="n">
        <v>1</v>
      </c>
      <c r="R33" s="2" t="inlineStr">
        <is>
          <t>Leptoporus erubescens</t>
        </is>
      </c>
      <c r="S33">
        <f>HYPERLINK("https://klasma.github.io/Logging_0381/artfynd/A 46749-2024 artfynd.xlsx", "A 46749-2024")</f>
        <v/>
      </c>
      <c r="T33">
        <f>HYPERLINK("https://klasma.github.io/Logging_0381/kartor/A 46749-2024 karta.png", "A 46749-2024")</f>
        <v/>
      </c>
      <c r="V33">
        <f>HYPERLINK("https://klasma.github.io/Logging_0381/klagomål/A 46749-2024 FSC-klagomål.docx", "A 46749-2024")</f>
        <v/>
      </c>
      <c r="W33">
        <f>HYPERLINK("https://klasma.github.io/Logging_0381/klagomålsmail/A 46749-2024 FSC-klagomål mail.docx", "A 46749-2024")</f>
        <v/>
      </c>
      <c r="X33">
        <f>HYPERLINK("https://klasma.github.io/Logging_0381/tillsyn/A 46749-2024 tillsynsbegäran.docx", "A 46749-2024")</f>
        <v/>
      </c>
      <c r="Y33">
        <f>HYPERLINK("https://klasma.github.io/Logging_0381/tillsynsmail/A 46749-2024 tillsynsbegäran mail.docx", "A 46749-2024")</f>
        <v/>
      </c>
    </row>
    <row r="34" ht="15" customHeight="1">
      <c r="A34" t="inlineStr">
        <is>
          <t>A 16683-2021</t>
        </is>
      </c>
      <c r="B34" s="1" t="n">
        <v>44294.58495370371</v>
      </c>
      <c r="C34" s="1" t="n">
        <v>45983</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45983</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45983</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45983</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45983</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45983</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45983</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45983</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45983</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45983</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45983</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45983</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45983</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45983</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45983</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45983</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45983</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45983</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45983</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45983</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45983</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45983</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45983</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45983</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45983</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45983</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45983</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45983</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45983</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45983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45983</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45983</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45983</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45983</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45983</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45983</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45983</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45983</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45983</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45983</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45983</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45983</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45983</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45983</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45983</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45983</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45983</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45983</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45983</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45983</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45983</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45983</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45983</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45983</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45983</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45983</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69791-2021</t>
        </is>
      </c>
      <c r="B90" s="1" t="n">
        <v>44532</v>
      </c>
      <c r="C90" s="1" t="n">
        <v>45983</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49375-2021</t>
        </is>
      </c>
      <c r="B91" s="1" t="n">
        <v>44454</v>
      </c>
      <c r="C91" s="1" t="n">
        <v>45983</v>
      </c>
      <c r="D91" t="inlineStr">
        <is>
          <t>UPPSALA LÄN</t>
        </is>
      </c>
      <c r="E91" t="inlineStr">
        <is>
          <t>ENKÖPING</t>
        </is>
      </c>
      <c r="G91" t="n">
        <v>0.7</v>
      </c>
      <c r="H91" t="n">
        <v>0</v>
      </c>
      <c r="I91" t="n">
        <v>0</v>
      </c>
      <c r="J91" t="n">
        <v>0</v>
      </c>
      <c r="K91" t="n">
        <v>0</v>
      </c>
      <c r="L91" t="n">
        <v>0</v>
      </c>
      <c r="M91" t="n">
        <v>0</v>
      </c>
      <c r="N91" t="n">
        <v>0</v>
      </c>
      <c r="O91" t="n">
        <v>0</v>
      </c>
      <c r="P91" t="n">
        <v>0</v>
      </c>
      <c r="Q91" t="n">
        <v>0</v>
      </c>
      <c r="R91" s="2" t="inlineStr"/>
    </row>
    <row r="92" ht="15" customHeight="1">
      <c r="A92" t="inlineStr">
        <is>
          <t>A 57055-2021</t>
        </is>
      </c>
      <c r="B92" s="1" t="n">
        <v>44482.55201388889</v>
      </c>
      <c r="C92" s="1" t="n">
        <v>45983</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60874-2021</t>
        </is>
      </c>
      <c r="B93" s="1" t="n">
        <v>44497</v>
      </c>
      <c r="C93" s="1" t="n">
        <v>45983</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15021-2022</t>
        </is>
      </c>
      <c r="B94" s="1" t="n">
        <v>44657</v>
      </c>
      <c r="C94" s="1" t="n">
        <v>45983</v>
      </c>
      <c r="D94" t="inlineStr">
        <is>
          <t>UPPSALA LÄN</t>
        </is>
      </c>
      <c r="E94" t="inlineStr">
        <is>
          <t>ENKÖPING</t>
        </is>
      </c>
      <c r="G94" t="n">
        <v>1.1</v>
      </c>
      <c r="H94" t="n">
        <v>0</v>
      </c>
      <c r="I94" t="n">
        <v>0</v>
      </c>
      <c r="J94" t="n">
        <v>0</v>
      </c>
      <c r="K94" t="n">
        <v>0</v>
      </c>
      <c r="L94" t="n">
        <v>0</v>
      </c>
      <c r="M94" t="n">
        <v>0</v>
      </c>
      <c r="N94" t="n">
        <v>0</v>
      </c>
      <c r="O94" t="n">
        <v>0</v>
      </c>
      <c r="P94" t="n">
        <v>0</v>
      </c>
      <c r="Q94" t="n">
        <v>0</v>
      </c>
      <c r="R94" s="2" t="inlineStr"/>
    </row>
    <row r="95" ht="15" customHeight="1">
      <c r="A95" t="inlineStr">
        <is>
          <t>A 31013-2022</t>
        </is>
      </c>
      <c r="B95" s="1" t="n">
        <v>44768</v>
      </c>
      <c r="C95" s="1" t="n">
        <v>45983</v>
      </c>
      <c r="D95" t="inlineStr">
        <is>
          <t>UPPSALA LÄN</t>
        </is>
      </c>
      <c r="E95" t="inlineStr">
        <is>
          <t>ENKÖPING</t>
        </is>
      </c>
      <c r="F95" t="inlineStr">
        <is>
          <t>Allmännings- och besparingsskogar</t>
        </is>
      </c>
      <c r="G95" t="n">
        <v>0.5</v>
      </c>
      <c r="H95" t="n">
        <v>0</v>
      </c>
      <c r="I95" t="n">
        <v>0</v>
      </c>
      <c r="J95" t="n">
        <v>0</v>
      </c>
      <c r="K95" t="n">
        <v>0</v>
      </c>
      <c r="L95" t="n">
        <v>0</v>
      </c>
      <c r="M95" t="n">
        <v>0</v>
      </c>
      <c r="N95" t="n">
        <v>0</v>
      </c>
      <c r="O95" t="n">
        <v>0</v>
      </c>
      <c r="P95" t="n">
        <v>0</v>
      </c>
      <c r="Q95" t="n">
        <v>0</v>
      </c>
      <c r="R95" s="2" t="inlineStr"/>
    </row>
    <row r="96" ht="15" customHeight="1">
      <c r="A96" t="inlineStr">
        <is>
          <t>A 42029-2021</t>
        </is>
      </c>
      <c r="B96" s="1" t="n">
        <v>44426</v>
      </c>
      <c r="C96" s="1" t="n">
        <v>45983</v>
      </c>
      <c r="D96" t="inlineStr">
        <is>
          <t>UPPSALA LÄN</t>
        </is>
      </c>
      <c r="E96" t="inlineStr">
        <is>
          <t>ENKÖPING</t>
        </is>
      </c>
      <c r="G96" t="n">
        <v>5.3</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45983</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20067-2021</t>
        </is>
      </c>
      <c r="B98" s="1" t="n">
        <v>44314</v>
      </c>
      <c r="C98" s="1" t="n">
        <v>45983</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15924-2022</t>
        </is>
      </c>
      <c r="B99" s="1" t="n">
        <v>44664</v>
      </c>
      <c r="C99" s="1" t="n">
        <v>45983</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15943-2022</t>
        </is>
      </c>
      <c r="B100" s="1" t="n">
        <v>44664.66428240741</v>
      </c>
      <c r="C100" s="1" t="n">
        <v>45983</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47106-2021</t>
        </is>
      </c>
      <c r="B101" s="1" t="n">
        <v>44446</v>
      </c>
      <c r="C101" s="1" t="n">
        <v>45983</v>
      </c>
      <c r="D101" t="inlineStr">
        <is>
          <t>UPPSALA LÄN</t>
        </is>
      </c>
      <c r="E101" t="inlineStr">
        <is>
          <t>ENKÖPING</t>
        </is>
      </c>
      <c r="G101" t="n">
        <v>7.6</v>
      </c>
      <c r="H101" t="n">
        <v>0</v>
      </c>
      <c r="I101" t="n">
        <v>0</v>
      </c>
      <c r="J101" t="n">
        <v>0</v>
      </c>
      <c r="K101" t="n">
        <v>0</v>
      </c>
      <c r="L101" t="n">
        <v>0</v>
      </c>
      <c r="M101" t="n">
        <v>0</v>
      </c>
      <c r="N101" t="n">
        <v>0</v>
      </c>
      <c r="O101" t="n">
        <v>0</v>
      </c>
      <c r="P101" t="n">
        <v>0</v>
      </c>
      <c r="Q101" t="n">
        <v>0</v>
      </c>
      <c r="R101" s="2" t="inlineStr"/>
    </row>
    <row r="102" ht="15" customHeight="1">
      <c r="A102" t="inlineStr">
        <is>
          <t>A 19731-2022</t>
        </is>
      </c>
      <c r="B102" s="1" t="n">
        <v>44694</v>
      </c>
      <c r="C102" s="1" t="n">
        <v>45983</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57043-2021</t>
        </is>
      </c>
      <c r="B103" s="1" t="n">
        <v>44482.53399305556</v>
      </c>
      <c r="C103" s="1" t="n">
        <v>45983</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24883-2022</t>
        </is>
      </c>
      <c r="B104" s="1" t="n">
        <v>44728</v>
      </c>
      <c r="C104" s="1" t="n">
        <v>45983</v>
      </c>
      <c r="D104" t="inlineStr">
        <is>
          <t>UPPSALA LÄN</t>
        </is>
      </c>
      <c r="E104" t="inlineStr">
        <is>
          <t>ENKÖPING</t>
        </is>
      </c>
      <c r="G104" t="n">
        <v>2.5</v>
      </c>
      <c r="H104" t="n">
        <v>0</v>
      </c>
      <c r="I104" t="n">
        <v>0</v>
      </c>
      <c r="J104" t="n">
        <v>0</v>
      </c>
      <c r="K104" t="n">
        <v>0</v>
      </c>
      <c r="L104" t="n">
        <v>0</v>
      </c>
      <c r="M104" t="n">
        <v>0</v>
      </c>
      <c r="N104" t="n">
        <v>0</v>
      </c>
      <c r="O104" t="n">
        <v>0</v>
      </c>
      <c r="P104" t="n">
        <v>0</v>
      </c>
      <c r="Q104" t="n">
        <v>0</v>
      </c>
      <c r="R104" s="2" t="inlineStr"/>
    </row>
    <row r="105" ht="15" customHeight="1">
      <c r="A105" t="inlineStr">
        <is>
          <t>A 19630-2021</t>
        </is>
      </c>
      <c r="B105" s="1" t="n">
        <v>44312.61876157407</v>
      </c>
      <c r="C105" s="1" t="n">
        <v>45983</v>
      </c>
      <c r="D105" t="inlineStr">
        <is>
          <t>UPPSALA LÄN</t>
        </is>
      </c>
      <c r="E105" t="inlineStr">
        <is>
          <t>ENKÖPING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68127-2021</t>
        </is>
      </c>
      <c r="B106" s="1" t="n">
        <v>44526.39513888889</v>
      </c>
      <c r="C106" s="1" t="n">
        <v>45983</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42021-2021</t>
        </is>
      </c>
      <c r="B107" s="1" t="n">
        <v>44426</v>
      </c>
      <c r="C107" s="1" t="n">
        <v>45983</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17467-2022</t>
        </is>
      </c>
      <c r="B108" s="1" t="n">
        <v>44679</v>
      </c>
      <c r="C108" s="1" t="n">
        <v>45983</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59121-2021</t>
        </is>
      </c>
      <c r="B109" s="1" t="n">
        <v>44490</v>
      </c>
      <c r="C109" s="1" t="n">
        <v>45983</v>
      </c>
      <c r="D109" t="inlineStr">
        <is>
          <t>UPPSALA LÄN</t>
        </is>
      </c>
      <c r="E109" t="inlineStr">
        <is>
          <t>ENKÖPING</t>
        </is>
      </c>
      <c r="G109" t="n">
        <v>2.4</v>
      </c>
      <c r="H109" t="n">
        <v>0</v>
      </c>
      <c r="I109" t="n">
        <v>0</v>
      </c>
      <c r="J109" t="n">
        <v>0</v>
      </c>
      <c r="K109" t="n">
        <v>0</v>
      </c>
      <c r="L109" t="n">
        <v>0</v>
      </c>
      <c r="M109" t="n">
        <v>0</v>
      </c>
      <c r="N109" t="n">
        <v>0</v>
      </c>
      <c r="O109" t="n">
        <v>0</v>
      </c>
      <c r="P109" t="n">
        <v>0</v>
      </c>
      <c r="Q109" t="n">
        <v>0</v>
      </c>
      <c r="R109" s="2" t="inlineStr"/>
    </row>
    <row r="110" ht="15" customHeight="1">
      <c r="A110" t="inlineStr">
        <is>
          <t>A 24815-2022</t>
        </is>
      </c>
      <c r="B110" s="1" t="n">
        <v>44728</v>
      </c>
      <c r="C110" s="1" t="n">
        <v>45983</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57078-2021</t>
        </is>
      </c>
      <c r="B111" s="1" t="n">
        <v>44482.57855324074</v>
      </c>
      <c r="C111" s="1" t="n">
        <v>45983</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45983</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31965-2021</t>
        </is>
      </c>
      <c r="B113" s="1" t="n">
        <v>44370.56901620371</v>
      </c>
      <c r="C113" s="1" t="n">
        <v>45983</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46103-2023</t>
        </is>
      </c>
      <c r="B114" s="1" t="n">
        <v>45190</v>
      </c>
      <c r="C114" s="1" t="n">
        <v>45983</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10468-2025</t>
        </is>
      </c>
      <c r="B115" s="1" t="n">
        <v>45720</v>
      </c>
      <c r="C115" s="1" t="n">
        <v>45983</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5211-2024</t>
        </is>
      </c>
      <c r="B116" s="1" t="n">
        <v>45330</v>
      </c>
      <c r="C116" s="1" t="n">
        <v>45983</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43488-2023</t>
        </is>
      </c>
      <c r="B117" s="1" t="n">
        <v>45181</v>
      </c>
      <c r="C117" s="1" t="n">
        <v>45983</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12755-2025</t>
        </is>
      </c>
      <c r="B118" s="1" t="n">
        <v>45733.56541666666</v>
      </c>
      <c r="C118" s="1" t="n">
        <v>45983</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30437-2022</t>
        </is>
      </c>
      <c r="B119" s="1" t="n">
        <v>44761</v>
      </c>
      <c r="C119" s="1" t="n">
        <v>45983</v>
      </c>
      <c r="D119" t="inlineStr">
        <is>
          <t>UPPSALA LÄN</t>
        </is>
      </c>
      <c r="E119" t="inlineStr">
        <is>
          <t>ENKÖPING</t>
        </is>
      </c>
      <c r="G119" t="n">
        <v>3.4</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45983</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50747-2022</t>
        </is>
      </c>
      <c r="B121" s="1" t="n">
        <v>44867.40162037037</v>
      </c>
      <c r="C121" s="1" t="n">
        <v>45983</v>
      </c>
      <c r="D121" t="inlineStr">
        <is>
          <t>UPPSALA LÄN</t>
        </is>
      </c>
      <c r="E121" t="inlineStr">
        <is>
          <t>ENKÖPING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57152-2021</t>
        </is>
      </c>
      <c r="B122" s="1" t="n">
        <v>44482</v>
      </c>
      <c r="C122" s="1" t="n">
        <v>45983</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12572-2021</t>
        </is>
      </c>
      <c r="B123" s="1" t="n">
        <v>44270.36438657407</v>
      </c>
      <c r="C123" s="1" t="n">
        <v>45983</v>
      </c>
      <c r="D123" t="inlineStr">
        <is>
          <t>UPPSALA LÄN</t>
        </is>
      </c>
      <c r="E123" t="inlineStr">
        <is>
          <t>ENKÖPING</t>
        </is>
      </c>
      <c r="G123" t="n">
        <v>3.3</v>
      </c>
      <c r="H123" t="n">
        <v>0</v>
      </c>
      <c r="I123" t="n">
        <v>0</v>
      </c>
      <c r="J123" t="n">
        <v>0</v>
      </c>
      <c r="K123" t="n">
        <v>0</v>
      </c>
      <c r="L123" t="n">
        <v>0</v>
      </c>
      <c r="M123" t="n">
        <v>0</v>
      </c>
      <c r="N123" t="n">
        <v>0</v>
      </c>
      <c r="O123" t="n">
        <v>0</v>
      </c>
      <c r="P123" t="n">
        <v>0</v>
      </c>
      <c r="Q123" t="n">
        <v>0</v>
      </c>
      <c r="R123" s="2" t="inlineStr"/>
    </row>
    <row r="124" ht="15" customHeight="1">
      <c r="A124" t="inlineStr">
        <is>
          <t>A 20112-2024</t>
        </is>
      </c>
      <c r="B124" s="1" t="n">
        <v>45434</v>
      </c>
      <c r="C124" s="1" t="n">
        <v>45983</v>
      </c>
      <c r="D124" t="inlineStr">
        <is>
          <t>UPPSALA LÄN</t>
        </is>
      </c>
      <c r="E124" t="inlineStr">
        <is>
          <t>ENKÖPING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4044-2024</t>
        </is>
      </c>
      <c r="B125" s="1" t="n">
        <v>45323.45954861111</v>
      </c>
      <c r="C125" s="1" t="n">
        <v>45983</v>
      </c>
      <c r="D125" t="inlineStr">
        <is>
          <t>UPPSALA LÄN</t>
        </is>
      </c>
      <c r="E125" t="inlineStr">
        <is>
          <t>ENKÖPING</t>
        </is>
      </c>
      <c r="G125" t="n">
        <v>2.1</v>
      </c>
      <c r="H125" t="n">
        <v>0</v>
      </c>
      <c r="I125" t="n">
        <v>0</v>
      </c>
      <c r="J125" t="n">
        <v>0</v>
      </c>
      <c r="K125" t="n">
        <v>0</v>
      </c>
      <c r="L125" t="n">
        <v>0</v>
      </c>
      <c r="M125" t="n">
        <v>0</v>
      </c>
      <c r="N125" t="n">
        <v>0</v>
      </c>
      <c r="O125" t="n">
        <v>0</v>
      </c>
      <c r="P125" t="n">
        <v>0</v>
      </c>
      <c r="Q125" t="n">
        <v>0</v>
      </c>
      <c r="R125" s="2" t="inlineStr"/>
    </row>
    <row r="126" ht="15" customHeight="1">
      <c r="A126" t="inlineStr">
        <is>
          <t>A 51932-2022</t>
        </is>
      </c>
      <c r="B126" s="1" t="n">
        <v>44872</v>
      </c>
      <c r="C126" s="1" t="n">
        <v>45983</v>
      </c>
      <c r="D126" t="inlineStr">
        <is>
          <t>UPPSALA LÄN</t>
        </is>
      </c>
      <c r="E126" t="inlineStr">
        <is>
          <t>ENKÖPING</t>
        </is>
      </c>
      <c r="G126" t="n">
        <v>5.5</v>
      </c>
      <c r="H126" t="n">
        <v>0</v>
      </c>
      <c r="I126" t="n">
        <v>0</v>
      </c>
      <c r="J126" t="n">
        <v>0</v>
      </c>
      <c r="K126" t="n">
        <v>0</v>
      </c>
      <c r="L126" t="n">
        <v>0</v>
      </c>
      <c r="M126" t="n">
        <v>0</v>
      </c>
      <c r="N126" t="n">
        <v>0</v>
      </c>
      <c r="O126" t="n">
        <v>0</v>
      </c>
      <c r="P126" t="n">
        <v>0</v>
      </c>
      <c r="Q126" t="n">
        <v>0</v>
      </c>
      <c r="R126" s="2" t="inlineStr"/>
    </row>
    <row r="127" ht="15" customHeight="1">
      <c r="A127" t="inlineStr">
        <is>
          <t>A 12958-2024</t>
        </is>
      </c>
      <c r="B127" s="1" t="n">
        <v>45385</v>
      </c>
      <c r="C127" s="1" t="n">
        <v>45983</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14518-2025</t>
        </is>
      </c>
      <c r="B128" s="1" t="n">
        <v>45741</v>
      </c>
      <c r="C128" s="1" t="n">
        <v>45983</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54776-2024</t>
        </is>
      </c>
      <c r="B129" s="1" t="n">
        <v>45618</v>
      </c>
      <c r="C129" s="1" t="n">
        <v>45983</v>
      </c>
      <c r="D129" t="inlineStr">
        <is>
          <t>UPPSALA LÄN</t>
        </is>
      </c>
      <c r="E129" t="inlineStr">
        <is>
          <t>ENKÖPING</t>
        </is>
      </c>
      <c r="G129" t="n">
        <v>1.8</v>
      </c>
      <c r="H129" t="n">
        <v>0</v>
      </c>
      <c r="I129" t="n">
        <v>0</v>
      </c>
      <c r="J129" t="n">
        <v>0</v>
      </c>
      <c r="K129" t="n">
        <v>0</v>
      </c>
      <c r="L129" t="n">
        <v>0</v>
      </c>
      <c r="M129" t="n">
        <v>0</v>
      </c>
      <c r="N129" t="n">
        <v>0</v>
      </c>
      <c r="O129" t="n">
        <v>0</v>
      </c>
      <c r="P129" t="n">
        <v>0</v>
      </c>
      <c r="Q129" t="n">
        <v>0</v>
      </c>
      <c r="R129" s="2" t="inlineStr"/>
    </row>
    <row r="130" ht="15" customHeight="1">
      <c r="A130" t="inlineStr">
        <is>
          <t>A 22150-2025</t>
        </is>
      </c>
      <c r="B130" s="1" t="n">
        <v>45785.56398148148</v>
      </c>
      <c r="C130" s="1" t="n">
        <v>45983</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22156-2025</t>
        </is>
      </c>
      <c r="B131" s="1" t="n">
        <v>45785.57512731481</v>
      </c>
      <c r="C131" s="1" t="n">
        <v>45983</v>
      </c>
      <c r="D131" t="inlineStr">
        <is>
          <t>UPPSALA LÄN</t>
        </is>
      </c>
      <c r="E131" t="inlineStr">
        <is>
          <t>ENKÖPING</t>
        </is>
      </c>
      <c r="G131" t="n">
        <v>0.9</v>
      </c>
      <c r="H131" t="n">
        <v>0</v>
      </c>
      <c r="I131" t="n">
        <v>0</v>
      </c>
      <c r="J131" t="n">
        <v>0</v>
      </c>
      <c r="K131" t="n">
        <v>0</v>
      </c>
      <c r="L131" t="n">
        <v>0</v>
      </c>
      <c r="M131" t="n">
        <v>0</v>
      </c>
      <c r="N131" t="n">
        <v>0</v>
      </c>
      <c r="O131" t="n">
        <v>0</v>
      </c>
      <c r="P131" t="n">
        <v>0</v>
      </c>
      <c r="Q131" t="n">
        <v>0</v>
      </c>
      <c r="R131" s="2" t="inlineStr"/>
    </row>
    <row r="132" ht="15" customHeight="1">
      <c r="A132" t="inlineStr">
        <is>
          <t>A 30087-2024</t>
        </is>
      </c>
      <c r="B132" s="1" t="n">
        <v>45489.39447916667</v>
      </c>
      <c r="C132" s="1" t="n">
        <v>45983</v>
      </c>
      <c r="D132" t="inlineStr">
        <is>
          <t>UPPSALA LÄN</t>
        </is>
      </c>
      <c r="E132" t="inlineStr">
        <is>
          <t>ENKÖPING</t>
        </is>
      </c>
      <c r="G132" t="n">
        <v>1.4</v>
      </c>
      <c r="H132" t="n">
        <v>0</v>
      </c>
      <c r="I132" t="n">
        <v>0</v>
      </c>
      <c r="J132" t="n">
        <v>0</v>
      </c>
      <c r="K132" t="n">
        <v>0</v>
      </c>
      <c r="L132" t="n">
        <v>0</v>
      </c>
      <c r="M132" t="n">
        <v>0</v>
      </c>
      <c r="N132" t="n">
        <v>0</v>
      </c>
      <c r="O132" t="n">
        <v>0</v>
      </c>
      <c r="P132" t="n">
        <v>0</v>
      </c>
      <c r="Q132" t="n">
        <v>0</v>
      </c>
      <c r="R132" s="2" t="inlineStr"/>
    </row>
    <row r="133" ht="15" customHeight="1">
      <c r="A133" t="inlineStr">
        <is>
          <t>A 22677-2025</t>
        </is>
      </c>
      <c r="B133" s="1" t="n">
        <v>45789.49515046296</v>
      </c>
      <c r="C133" s="1" t="n">
        <v>45983</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22679-2025</t>
        </is>
      </c>
      <c r="B134" s="1" t="n">
        <v>45789.49747685185</v>
      </c>
      <c r="C134" s="1" t="n">
        <v>45983</v>
      </c>
      <c r="D134" t="inlineStr">
        <is>
          <t>UPPSALA LÄN</t>
        </is>
      </c>
      <c r="E134" t="inlineStr">
        <is>
          <t>ENKÖPING</t>
        </is>
      </c>
      <c r="G134" t="n">
        <v>1.1</v>
      </c>
      <c r="H134" t="n">
        <v>0</v>
      </c>
      <c r="I134" t="n">
        <v>0</v>
      </c>
      <c r="J134" t="n">
        <v>0</v>
      </c>
      <c r="K134" t="n">
        <v>0</v>
      </c>
      <c r="L134" t="n">
        <v>0</v>
      </c>
      <c r="M134" t="n">
        <v>0</v>
      </c>
      <c r="N134" t="n">
        <v>0</v>
      </c>
      <c r="O134" t="n">
        <v>0</v>
      </c>
      <c r="P134" t="n">
        <v>0</v>
      </c>
      <c r="Q134" t="n">
        <v>0</v>
      </c>
      <c r="R134" s="2" t="inlineStr"/>
    </row>
    <row r="135" ht="15" customHeight="1">
      <c r="A135" t="inlineStr">
        <is>
          <t>A 22729-2025</t>
        </is>
      </c>
      <c r="B135" s="1" t="n">
        <v>45789.57790509259</v>
      </c>
      <c r="C135" s="1" t="n">
        <v>45983</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22786-2025</t>
        </is>
      </c>
      <c r="B136" s="1" t="n">
        <v>45789.64643518518</v>
      </c>
      <c r="C136" s="1" t="n">
        <v>45983</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22795-2025</t>
        </is>
      </c>
      <c r="B137" s="1" t="n">
        <v>45789.65944444444</v>
      </c>
      <c r="C137" s="1" t="n">
        <v>45983</v>
      </c>
      <c r="D137" t="inlineStr">
        <is>
          <t>UPPSALA LÄN</t>
        </is>
      </c>
      <c r="E137" t="inlineStr">
        <is>
          <t>ENKÖPING</t>
        </is>
      </c>
      <c r="G137" t="n">
        <v>10.4</v>
      </c>
      <c r="H137" t="n">
        <v>0</v>
      </c>
      <c r="I137" t="n">
        <v>0</v>
      </c>
      <c r="J137" t="n">
        <v>0</v>
      </c>
      <c r="K137" t="n">
        <v>0</v>
      </c>
      <c r="L137" t="n">
        <v>0</v>
      </c>
      <c r="M137" t="n">
        <v>0</v>
      </c>
      <c r="N137" t="n">
        <v>0</v>
      </c>
      <c r="O137" t="n">
        <v>0</v>
      </c>
      <c r="P137" t="n">
        <v>0</v>
      </c>
      <c r="Q137" t="n">
        <v>0</v>
      </c>
      <c r="R137" s="2" t="inlineStr"/>
    </row>
    <row r="138" ht="15" customHeight="1">
      <c r="A138" t="inlineStr">
        <is>
          <t>A 22802-2025</t>
        </is>
      </c>
      <c r="B138" s="1" t="n">
        <v>45789.6686574074</v>
      </c>
      <c r="C138" s="1" t="n">
        <v>45983</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69344-2021</t>
        </is>
      </c>
      <c r="B139" s="1" t="n">
        <v>44531</v>
      </c>
      <c r="C139" s="1" t="n">
        <v>45983</v>
      </c>
      <c r="D139" t="inlineStr">
        <is>
          <t>UPPSALA LÄN</t>
        </is>
      </c>
      <c r="E139" t="inlineStr">
        <is>
          <t>ENKÖPING</t>
        </is>
      </c>
      <c r="G139" t="n">
        <v>2.9</v>
      </c>
      <c r="H139" t="n">
        <v>0</v>
      </c>
      <c r="I139" t="n">
        <v>0</v>
      </c>
      <c r="J139" t="n">
        <v>0</v>
      </c>
      <c r="K139" t="n">
        <v>0</v>
      </c>
      <c r="L139" t="n">
        <v>0</v>
      </c>
      <c r="M139" t="n">
        <v>0</v>
      </c>
      <c r="N139" t="n">
        <v>0</v>
      </c>
      <c r="O139" t="n">
        <v>0</v>
      </c>
      <c r="P139" t="n">
        <v>0</v>
      </c>
      <c r="Q139" t="n">
        <v>0</v>
      </c>
      <c r="R139" s="2" t="inlineStr"/>
    </row>
    <row r="140" ht="15" customHeight="1">
      <c r="A140" t="inlineStr">
        <is>
          <t>A 40812-2022</t>
        </is>
      </c>
      <c r="B140" s="1" t="n">
        <v>44824.68791666667</v>
      </c>
      <c r="C140" s="1" t="n">
        <v>45983</v>
      </c>
      <c r="D140" t="inlineStr">
        <is>
          <t>UPPSALA LÄN</t>
        </is>
      </c>
      <c r="E140" t="inlineStr">
        <is>
          <t>ENKÖPING</t>
        </is>
      </c>
      <c r="G140" t="n">
        <v>1.4</v>
      </c>
      <c r="H140" t="n">
        <v>0</v>
      </c>
      <c r="I140" t="n">
        <v>0</v>
      </c>
      <c r="J140" t="n">
        <v>0</v>
      </c>
      <c r="K140" t="n">
        <v>0</v>
      </c>
      <c r="L140" t="n">
        <v>0</v>
      </c>
      <c r="M140" t="n">
        <v>0</v>
      </c>
      <c r="N140" t="n">
        <v>0</v>
      </c>
      <c r="O140" t="n">
        <v>0</v>
      </c>
      <c r="P140" t="n">
        <v>0</v>
      </c>
      <c r="Q140" t="n">
        <v>0</v>
      </c>
      <c r="R140" s="2" t="inlineStr"/>
    </row>
    <row r="141" ht="15" customHeight="1">
      <c r="A141" t="inlineStr">
        <is>
          <t>A 24291-2024</t>
        </is>
      </c>
      <c r="B141" s="1" t="n">
        <v>45457.4584837963</v>
      </c>
      <c r="C141" s="1" t="n">
        <v>45983</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22680-2025</t>
        </is>
      </c>
      <c r="B142" s="1" t="n">
        <v>45789.5005787037</v>
      </c>
      <c r="C142" s="1" t="n">
        <v>45983</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6981-2025</t>
        </is>
      </c>
      <c r="B143" s="1" t="n">
        <v>45701</v>
      </c>
      <c r="C143" s="1" t="n">
        <v>45983</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22770-2025</t>
        </is>
      </c>
      <c r="B144" s="1" t="n">
        <v>45789.63454861111</v>
      </c>
      <c r="C144" s="1" t="n">
        <v>45983</v>
      </c>
      <c r="D144" t="inlineStr">
        <is>
          <t>UPPSALA LÄN</t>
        </is>
      </c>
      <c r="E144" t="inlineStr">
        <is>
          <t>ENKÖPING</t>
        </is>
      </c>
      <c r="G144" t="n">
        <v>4.5</v>
      </c>
      <c r="H144" t="n">
        <v>0</v>
      </c>
      <c r="I144" t="n">
        <v>0</v>
      </c>
      <c r="J144" t="n">
        <v>0</v>
      </c>
      <c r="K144" t="n">
        <v>0</v>
      </c>
      <c r="L144" t="n">
        <v>0</v>
      </c>
      <c r="M144" t="n">
        <v>0</v>
      </c>
      <c r="N144" t="n">
        <v>0</v>
      </c>
      <c r="O144" t="n">
        <v>0</v>
      </c>
      <c r="P144" t="n">
        <v>0</v>
      </c>
      <c r="Q144" t="n">
        <v>0</v>
      </c>
      <c r="R144" s="2" t="inlineStr"/>
    </row>
    <row r="145" ht="15" customHeight="1">
      <c r="A145" t="inlineStr">
        <is>
          <t>A 22725-2025</t>
        </is>
      </c>
      <c r="B145" s="1" t="n">
        <v>45789.57371527778</v>
      </c>
      <c r="C145" s="1" t="n">
        <v>45983</v>
      </c>
      <c r="D145" t="inlineStr">
        <is>
          <t>UPPSALA LÄN</t>
        </is>
      </c>
      <c r="E145" t="inlineStr">
        <is>
          <t>ENKÖPING</t>
        </is>
      </c>
      <c r="G145" t="n">
        <v>4.8</v>
      </c>
      <c r="H145" t="n">
        <v>0</v>
      </c>
      <c r="I145" t="n">
        <v>0</v>
      </c>
      <c r="J145" t="n">
        <v>0</v>
      </c>
      <c r="K145" t="n">
        <v>0</v>
      </c>
      <c r="L145" t="n">
        <v>0</v>
      </c>
      <c r="M145" t="n">
        <v>0</v>
      </c>
      <c r="N145" t="n">
        <v>0</v>
      </c>
      <c r="O145" t="n">
        <v>0</v>
      </c>
      <c r="P145" t="n">
        <v>0</v>
      </c>
      <c r="Q145" t="n">
        <v>0</v>
      </c>
      <c r="R145" s="2" t="inlineStr"/>
    </row>
    <row r="146" ht="15" customHeight="1">
      <c r="A146" t="inlineStr">
        <is>
          <t>A 22981-2025</t>
        </is>
      </c>
      <c r="B146" s="1" t="n">
        <v>45790.56964120371</v>
      </c>
      <c r="C146" s="1" t="n">
        <v>45983</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44232-2022</t>
        </is>
      </c>
      <c r="B147" s="1" t="n">
        <v>44839</v>
      </c>
      <c r="C147" s="1" t="n">
        <v>45983</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68123-2021</t>
        </is>
      </c>
      <c r="B148" s="1" t="n">
        <v>44526.39126157408</v>
      </c>
      <c r="C148" s="1" t="n">
        <v>45983</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22793-2025</t>
        </is>
      </c>
      <c r="B149" s="1" t="n">
        <v>45789.65693287037</v>
      </c>
      <c r="C149" s="1" t="n">
        <v>45983</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22800-2025</t>
        </is>
      </c>
      <c r="B150" s="1" t="n">
        <v>45789.6669212963</v>
      </c>
      <c r="C150" s="1" t="n">
        <v>45983</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47428-2023</t>
        </is>
      </c>
      <c r="B151" s="1" t="n">
        <v>45202.66664351852</v>
      </c>
      <c r="C151" s="1" t="n">
        <v>45983</v>
      </c>
      <c r="D151" t="inlineStr">
        <is>
          <t>UPPSALA LÄN</t>
        </is>
      </c>
      <c r="E151" t="inlineStr">
        <is>
          <t>ENKÖPING</t>
        </is>
      </c>
      <c r="G151" t="n">
        <v>3</v>
      </c>
      <c r="H151" t="n">
        <v>0</v>
      </c>
      <c r="I151" t="n">
        <v>0</v>
      </c>
      <c r="J151" t="n">
        <v>0</v>
      </c>
      <c r="K151" t="n">
        <v>0</v>
      </c>
      <c r="L151" t="n">
        <v>0</v>
      </c>
      <c r="M151" t="n">
        <v>0</v>
      </c>
      <c r="N151" t="n">
        <v>0</v>
      </c>
      <c r="O151" t="n">
        <v>0</v>
      </c>
      <c r="P151" t="n">
        <v>0</v>
      </c>
      <c r="Q151" t="n">
        <v>0</v>
      </c>
      <c r="R151" s="2" t="inlineStr"/>
    </row>
    <row r="152" ht="15" customHeight="1">
      <c r="A152" t="inlineStr">
        <is>
          <t>A 45362-2022</t>
        </is>
      </c>
      <c r="B152" s="1" t="n">
        <v>44844.62366898148</v>
      </c>
      <c r="C152" s="1" t="n">
        <v>45983</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56526-2022</t>
        </is>
      </c>
      <c r="B153" s="1" t="n">
        <v>44893</v>
      </c>
      <c r="C153" s="1" t="n">
        <v>45983</v>
      </c>
      <c r="D153" t="inlineStr">
        <is>
          <t>UPPSALA LÄN</t>
        </is>
      </c>
      <c r="E153" t="inlineStr">
        <is>
          <t>ENKÖPING</t>
        </is>
      </c>
      <c r="G153" t="n">
        <v>3.8</v>
      </c>
      <c r="H153" t="n">
        <v>0</v>
      </c>
      <c r="I153" t="n">
        <v>0</v>
      </c>
      <c r="J153" t="n">
        <v>0</v>
      </c>
      <c r="K153" t="n">
        <v>0</v>
      </c>
      <c r="L153" t="n">
        <v>0</v>
      </c>
      <c r="M153" t="n">
        <v>0</v>
      </c>
      <c r="N153" t="n">
        <v>0</v>
      </c>
      <c r="O153" t="n">
        <v>0</v>
      </c>
      <c r="P153" t="n">
        <v>0</v>
      </c>
      <c r="Q153" t="n">
        <v>0</v>
      </c>
      <c r="R153" s="2" t="inlineStr"/>
    </row>
    <row r="154" ht="15" customHeight="1">
      <c r="A154" t="inlineStr">
        <is>
          <t>A 60350-2022</t>
        </is>
      </c>
      <c r="B154" s="1" t="n">
        <v>44910</v>
      </c>
      <c r="C154" s="1" t="n">
        <v>45983</v>
      </c>
      <c r="D154" t="inlineStr">
        <is>
          <t>UPPSALA LÄN</t>
        </is>
      </c>
      <c r="E154" t="inlineStr">
        <is>
          <t>ENKÖPING</t>
        </is>
      </c>
      <c r="F154" t="inlineStr">
        <is>
          <t>Allmännings- och besparingsskogar</t>
        </is>
      </c>
      <c r="G154" t="n">
        <v>3.5</v>
      </c>
      <c r="H154" t="n">
        <v>0</v>
      </c>
      <c r="I154" t="n">
        <v>0</v>
      </c>
      <c r="J154" t="n">
        <v>0</v>
      </c>
      <c r="K154" t="n">
        <v>0</v>
      </c>
      <c r="L154" t="n">
        <v>0</v>
      </c>
      <c r="M154" t="n">
        <v>0</v>
      </c>
      <c r="N154" t="n">
        <v>0</v>
      </c>
      <c r="O154" t="n">
        <v>0</v>
      </c>
      <c r="P154" t="n">
        <v>0</v>
      </c>
      <c r="Q154" t="n">
        <v>0</v>
      </c>
      <c r="R154" s="2" t="inlineStr"/>
    </row>
    <row r="155" ht="15" customHeight="1">
      <c r="A155" t="inlineStr">
        <is>
          <t>A 28518-2024</t>
        </is>
      </c>
      <c r="B155" s="1" t="n">
        <v>45477</v>
      </c>
      <c r="C155" s="1" t="n">
        <v>45983</v>
      </c>
      <c r="D155" t="inlineStr">
        <is>
          <t>UPPSALA LÄN</t>
        </is>
      </c>
      <c r="E155" t="inlineStr">
        <is>
          <t>ENKÖPING</t>
        </is>
      </c>
      <c r="G155" t="n">
        <v>3.4</v>
      </c>
      <c r="H155" t="n">
        <v>0</v>
      </c>
      <c r="I155" t="n">
        <v>0</v>
      </c>
      <c r="J155" t="n">
        <v>0</v>
      </c>
      <c r="K155" t="n">
        <v>0</v>
      </c>
      <c r="L155" t="n">
        <v>0</v>
      </c>
      <c r="M155" t="n">
        <v>0</v>
      </c>
      <c r="N155" t="n">
        <v>0</v>
      </c>
      <c r="O155" t="n">
        <v>0</v>
      </c>
      <c r="P155" t="n">
        <v>0</v>
      </c>
      <c r="Q155" t="n">
        <v>0</v>
      </c>
      <c r="R155" s="2" t="inlineStr"/>
    </row>
    <row r="156" ht="15" customHeight="1">
      <c r="A156" t="inlineStr">
        <is>
          <t>A 38941-2025</t>
        </is>
      </c>
      <c r="B156" s="1" t="n">
        <v>45887</v>
      </c>
      <c r="C156" s="1" t="n">
        <v>45983</v>
      </c>
      <c r="D156" t="inlineStr">
        <is>
          <t>UPPSALA LÄN</t>
        </is>
      </c>
      <c r="E156" t="inlineStr">
        <is>
          <t>ENKÖPING</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17729-2023</t>
        </is>
      </c>
      <c r="B157" s="1" t="n">
        <v>45037</v>
      </c>
      <c r="C157" s="1" t="n">
        <v>45983</v>
      </c>
      <c r="D157" t="inlineStr">
        <is>
          <t>UPPSALA LÄN</t>
        </is>
      </c>
      <c r="E157" t="inlineStr">
        <is>
          <t>ENKÖPING</t>
        </is>
      </c>
      <c r="G157" t="n">
        <v>10.2</v>
      </c>
      <c r="H157" t="n">
        <v>0</v>
      </c>
      <c r="I157" t="n">
        <v>0</v>
      </c>
      <c r="J157" t="n">
        <v>0</v>
      </c>
      <c r="K157" t="n">
        <v>0</v>
      </c>
      <c r="L157" t="n">
        <v>0</v>
      </c>
      <c r="M157" t="n">
        <v>0</v>
      </c>
      <c r="N157" t="n">
        <v>0</v>
      </c>
      <c r="O157" t="n">
        <v>0</v>
      </c>
      <c r="P157" t="n">
        <v>0</v>
      </c>
      <c r="Q157" t="n">
        <v>0</v>
      </c>
      <c r="R157" s="2" t="inlineStr"/>
    </row>
    <row r="158" ht="15" customHeight="1">
      <c r="A158" t="inlineStr">
        <is>
          <t>A 5749-2025</t>
        </is>
      </c>
      <c r="B158" s="1" t="n">
        <v>45694</v>
      </c>
      <c r="C158" s="1" t="n">
        <v>45983</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30098-2024</t>
        </is>
      </c>
      <c r="B159" s="1" t="n">
        <v>45489.41609953704</v>
      </c>
      <c r="C159" s="1" t="n">
        <v>45983</v>
      </c>
      <c r="D159" t="inlineStr">
        <is>
          <t>UPPSALA LÄN</t>
        </is>
      </c>
      <c r="E159" t="inlineStr">
        <is>
          <t>ENKÖPING</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8020-2022</t>
        </is>
      </c>
      <c r="B160" s="1" t="n">
        <v>44609</v>
      </c>
      <c r="C160" s="1" t="n">
        <v>45983</v>
      </c>
      <c r="D160" t="inlineStr">
        <is>
          <t>UPPSALA LÄN</t>
        </is>
      </c>
      <c r="E160" t="inlineStr">
        <is>
          <t>ENKÖPING</t>
        </is>
      </c>
      <c r="G160" t="n">
        <v>6</v>
      </c>
      <c r="H160" t="n">
        <v>0</v>
      </c>
      <c r="I160" t="n">
        <v>0</v>
      </c>
      <c r="J160" t="n">
        <v>0</v>
      </c>
      <c r="K160" t="n">
        <v>0</v>
      </c>
      <c r="L160" t="n">
        <v>0</v>
      </c>
      <c r="M160" t="n">
        <v>0</v>
      </c>
      <c r="N160" t="n">
        <v>0</v>
      </c>
      <c r="O160" t="n">
        <v>0</v>
      </c>
      <c r="P160" t="n">
        <v>0</v>
      </c>
      <c r="Q160" t="n">
        <v>0</v>
      </c>
      <c r="R160" s="2" t="inlineStr"/>
    </row>
    <row r="161" ht="15" customHeight="1">
      <c r="A161" t="inlineStr">
        <is>
          <t>A 34805-2024</t>
        </is>
      </c>
      <c r="B161" s="1" t="n">
        <v>45526</v>
      </c>
      <c r="C161" s="1" t="n">
        <v>45983</v>
      </c>
      <c r="D161" t="inlineStr">
        <is>
          <t>UPPSALA LÄN</t>
        </is>
      </c>
      <c r="E161" t="inlineStr">
        <is>
          <t>ENKÖPING</t>
        </is>
      </c>
      <c r="G161" t="n">
        <v>3.6</v>
      </c>
      <c r="H161" t="n">
        <v>0</v>
      </c>
      <c r="I161" t="n">
        <v>0</v>
      </c>
      <c r="J161" t="n">
        <v>0</v>
      </c>
      <c r="K161" t="n">
        <v>0</v>
      </c>
      <c r="L161" t="n">
        <v>0</v>
      </c>
      <c r="M161" t="n">
        <v>0</v>
      </c>
      <c r="N161" t="n">
        <v>0</v>
      </c>
      <c r="O161" t="n">
        <v>0</v>
      </c>
      <c r="P161" t="n">
        <v>0</v>
      </c>
      <c r="Q161" t="n">
        <v>0</v>
      </c>
      <c r="R161" s="2" t="inlineStr"/>
    </row>
    <row r="162" ht="15" customHeight="1">
      <c r="A162" t="inlineStr">
        <is>
          <t>A 314-2025</t>
        </is>
      </c>
      <c r="B162" s="1" t="n">
        <v>45656</v>
      </c>
      <c r="C162" s="1" t="n">
        <v>45983</v>
      </c>
      <c r="D162" t="inlineStr">
        <is>
          <t>UPPSALA LÄN</t>
        </is>
      </c>
      <c r="E162" t="inlineStr">
        <is>
          <t>ENKÖPING</t>
        </is>
      </c>
      <c r="G162" t="n">
        <v>9</v>
      </c>
      <c r="H162" t="n">
        <v>0</v>
      </c>
      <c r="I162" t="n">
        <v>0</v>
      </c>
      <c r="J162" t="n">
        <v>0</v>
      </c>
      <c r="K162" t="n">
        <v>0</v>
      </c>
      <c r="L162" t="n">
        <v>0</v>
      </c>
      <c r="M162" t="n">
        <v>0</v>
      </c>
      <c r="N162" t="n">
        <v>0</v>
      </c>
      <c r="O162" t="n">
        <v>0</v>
      </c>
      <c r="P162" t="n">
        <v>0</v>
      </c>
      <c r="Q162" t="n">
        <v>0</v>
      </c>
      <c r="R162" s="2" t="inlineStr"/>
    </row>
    <row r="163" ht="15" customHeight="1">
      <c r="A163" t="inlineStr">
        <is>
          <t>A 10831-2024</t>
        </is>
      </c>
      <c r="B163" s="1" t="n">
        <v>45369</v>
      </c>
      <c r="C163" s="1" t="n">
        <v>45983</v>
      </c>
      <c r="D163" t="inlineStr">
        <is>
          <t>UPPSALA LÄN</t>
        </is>
      </c>
      <c r="E163" t="inlineStr">
        <is>
          <t>ENKÖPING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1651-2024</t>
        </is>
      </c>
      <c r="B164" s="1" t="n">
        <v>45306.73770833333</v>
      </c>
      <c r="C164" s="1" t="n">
        <v>45983</v>
      </c>
      <c r="D164" t="inlineStr">
        <is>
          <t>UPPSALA LÄN</t>
        </is>
      </c>
      <c r="E164" t="inlineStr">
        <is>
          <t>ENKÖPING</t>
        </is>
      </c>
      <c r="G164" t="n">
        <v>10.2</v>
      </c>
      <c r="H164" t="n">
        <v>0</v>
      </c>
      <c r="I164" t="n">
        <v>0</v>
      </c>
      <c r="J164" t="n">
        <v>0</v>
      </c>
      <c r="K164" t="n">
        <v>0</v>
      </c>
      <c r="L164" t="n">
        <v>0</v>
      </c>
      <c r="M164" t="n">
        <v>0</v>
      </c>
      <c r="N164" t="n">
        <v>0</v>
      </c>
      <c r="O164" t="n">
        <v>0</v>
      </c>
      <c r="P164" t="n">
        <v>0</v>
      </c>
      <c r="Q164" t="n">
        <v>0</v>
      </c>
      <c r="R164" s="2" t="inlineStr"/>
    </row>
    <row r="165" ht="15" customHeight="1">
      <c r="A165" t="inlineStr">
        <is>
          <t>A 5712-2025</t>
        </is>
      </c>
      <c r="B165" s="1" t="n">
        <v>45694</v>
      </c>
      <c r="C165" s="1" t="n">
        <v>45983</v>
      </c>
      <c r="D165" t="inlineStr">
        <is>
          <t>UPPSALA LÄN</t>
        </is>
      </c>
      <c r="E165" t="inlineStr">
        <is>
          <t>ENKÖPING</t>
        </is>
      </c>
      <c r="G165" t="n">
        <v>5.1</v>
      </c>
      <c r="H165" t="n">
        <v>0</v>
      </c>
      <c r="I165" t="n">
        <v>0</v>
      </c>
      <c r="J165" t="n">
        <v>0</v>
      </c>
      <c r="K165" t="n">
        <v>0</v>
      </c>
      <c r="L165" t="n">
        <v>0</v>
      </c>
      <c r="M165" t="n">
        <v>0</v>
      </c>
      <c r="N165" t="n">
        <v>0</v>
      </c>
      <c r="O165" t="n">
        <v>0</v>
      </c>
      <c r="P165" t="n">
        <v>0</v>
      </c>
      <c r="Q165" t="n">
        <v>0</v>
      </c>
      <c r="R165" s="2" t="inlineStr"/>
    </row>
    <row r="166" ht="15" customHeight="1">
      <c r="A166" t="inlineStr">
        <is>
          <t>A 60289-2022</t>
        </is>
      </c>
      <c r="B166" s="1" t="n">
        <v>44910.53026620371</v>
      </c>
      <c r="C166" s="1" t="n">
        <v>45983</v>
      </c>
      <c r="D166" t="inlineStr">
        <is>
          <t>UPPSALA LÄN</t>
        </is>
      </c>
      <c r="E166" t="inlineStr">
        <is>
          <t>ENKÖPING</t>
        </is>
      </c>
      <c r="G166" t="n">
        <v>3.2</v>
      </c>
      <c r="H166" t="n">
        <v>0</v>
      </c>
      <c r="I166" t="n">
        <v>0</v>
      </c>
      <c r="J166" t="n">
        <v>0</v>
      </c>
      <c r="K166" t="n">
        <v>0</v>
      </c>
      <c r="L166" t="n">
        <v>0</v>
      </c>
      <c r="M166" t="n">
        <v>0</v>
      </c>
      <c r="N166" t="n">
        <v>0</v>
      </c>
      <c r="O166" t="n">
        <v>0</v>
      </c>
      <c r="P166" t="n">
        <v>0</v>
      </c>
      <c r="Q166" t="n">
        <v>0</v>
      </c>
      <c r="R166" s="2" t="inlineStr"/>
    </row>
    <row r="167" ht="15" customHeight="1">
      <c r="A167" t="inlineStr">
        <is>
          <t>A 45956-2024</t>
        </is>
      </c>
      <c r="B167" s="1" t="n">
        <v>45580</v>
      </c>
      <c r="C167" s="1" t="n">
        <v>45983</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11627-2025</t>
        </is>
      </c>
      <c r="B168" s="1" t="n">
        <v>45727</v>
      </c>
      <c r="C168" s="1" t="n">
        <v>45983</v>
      </c>
      <c r="D168" t="inlineStr">
        <is>
          <t>UPPSALA LÄN</t>
        </is>
      </c>
      <c r="E168" t="inlineStr">
        <is>
          <t>ENKÖPING</t>
        </is>
      </c>
      <c r="G168" t="n">
        <v>5.5</v>
      </c>
      <c r="H168" t="n">
        <v>0</v>
      </c>
      <c r="I168" t="n">
        <v>0</v>
      </c>
      <c r="J168" t="n">
        <v>0</v>
      </c>
      <c r="K168" t="n">
        <v>0</v>
      </c>
      <c r="L168" t="n">
        <v>0</v>
      </c>
      <c r="M168" t="n">
        <v>0</v>
      </c>
      <c r="N168" t="n">
        <v>0</v>
      </c>
      <c r="O168" t="n">
        <v>0</v>
      </c>
      <c r="P168" t="n">
        <v>0</v>
      </c>
      <c r="Q168" t="n">
        <v>0</v>
      </c>
      <c r="R168" s="2" t="inlineStr"/>
    </row>
    <row r="169" ht="15" customHeight="1">
      <c r="A169" t="inlineStr">
        <is>
          <t>A 74090-2021</t>
        </is>
      </c>
      <c r="B169" s="1" t="n">
        <v>44557</v>
      </c>
      <c r="C169" s="1" t="n">
        <v>45983</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39746-2025</t>
        </is>
      </c>
      <c r="B170" s="1" t="n">
        <v>45891</v>
      </c>
      <c r="C170" s="1" t="n">
        <v>45983</v>
      </c>
      <c r="D170" t="inlineStr">
        <is>
          <t>UPPSALA LÄN</t>
        </is>
      </c>
      <c r="E170" t="inlineStr">
        <is>
          <t>ENKÖPING</t>
        </is>
      </c>
      <c r="G170" t="n">
        <v>7.4</v>
      </c>
      <c r="H170" t="n">
        <v>0</v>
      </c>
      <c r="I170" t="n">
        <v>0</v>
      </c>
      <c r="J170" t="n">
        <v>0</v>
      </c>
      <c r="K170" t="n">
        <v>0</v>
      </c>
      <c r="L170" t="n">
        <v>0</v>
      </c>
      <c r="M170" t="n">
        <v>0</v>
      </c>
      <c r="N170" t="n">
        <v>0</v>
      </c>
      <c r="O170" t="n">
        <v>0</v>
      </c>
      <c r="P170" t="n">
        <v>0</v>
      </c>
      <c r="Q170" t="n">
        <v>0</v>
      </c>
      <c r="R170" s="2" t="inlineStr"/>
    </row>
    <row r="171" ht="15" customHeight="1">
      <c r="A171" t="inlineStr">
        <is>
          <t>A 31242-2024</t>
        </is>
      </c>
      <c r="B171" s="1" t="n">
        <v>45503</v>
      </c>
      <c r="C171" s="1" t="n">
        <v>45983</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2162-2023</t>
        </is>
      </c>
      <c r="B172" s="1" t="n">
        <v>44941</v>
      </c>
      <c r="C172" s="1" t="n">
        <v>45983</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56163-2021</t>
        </is>
      </c>
      <c r="B173" s="1" t="n">
        <v>44477</v>
      </c>
      <c r="C173" s="1" t="n">
        <v>45983</v>
      </c>
      <c r="D173" t="inlineStr">
        <is>
          <t>UPPSALA LÄN</t>
        </is>
      </c>
      <c r="E173" t="inlineStr">
        <is>
          <t>ENKÖPING</t>
        </is>
      </c>
      <c r="F173" t="inlineStr">
        <is>
          <t>Allmännings- och besparingsskogar</t>
        </is>
      </c>
      <c r="G173" t="n">
        <v>0.6</v>
      </c>
      <c r="H173" t="n">
        <v>0</v>
      </c>
      <c r="I173" t="n">
        <v>0</v>
      </c>
      <c r="J173" t="n">
        <v>0</v>
      </c>
      <c r="K173" t="n">
        <v>0</v>
      </c>
      <c r="L173" t="n">
        <v>0</v>
      </c>
      <c r="M173" t="n">
        <v>0</v>
      </c>
      <c r="N173" t="n">
        <v>0</v>
      </c>
      <c r="O173" t="n">
        <v>0</v>
      </c>
      <c r="P173" t="n">
        <v>0</v>
      </c>
      <c r="Q173" t="n">
        <v>0</v>
      </c>
      <c r="R173" s="2" t="inlineStr"/>
    </row>
    <row r="174" ht="15" customHeight="1">
      <c r="A174" t="inlineStr">
        <is>
          <t>A 58092-2024</t>
        </is>
      </c>
      <c r="B174" s="1" t="n">
        <v>45632</v>
      </c>
      <c r="C174" s="1" t="n">
        <v>45983</v>
      </c>
      <c r="D174" t="inlineStr">
        <is>
          <t>UPPSALA LÄN</t>
        </is>
      </c>
      <c r="E174" t="inlineStr">
        <is>
          <t>ENKÖPING</t>
        </is>
      </c>
      <c r="G174" t="n">
        <v>4.8</v>
      </c>
      <c r="H174" t="n">
        <v>0</v>
      </c>
      <c r="I174" t="n">
        <v>0</v>
      </c>
      <c r="J174" t="n">
        <v>0</v>
      </c>
      <c r="K174" t="n">
        <v>0</v>
      </c>
      <c r="L174" t="n">
        <v>0</v>
      </c>
      <c r="M174" t="n">
        <v>0</v>
      </c>
      <c r="N174" t="n">
        <v>0</v>
      </c>
      <c r="O174" t="n">
        <v>0</v>
      </c>
      <c r="P174" t="n">
        <v>0</v>
      </c>
      <c r="Q174" t="n">
        <v>0</v>
      </c>
      <c r="R174" s="2" t="inlineStr"/>
    </row>
    <row r="175" ht="15" customHeight="1">
      <c r="A175" t="inlineStr">
        <is>
          <t>A 28318-2024</t>
        </is>
      </c>
      <c r="B175" s="1" t="n">
        <v>45477</v>
      </c>
      <c r="C175" s="1" t="n">
        <v>45983</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24411-2024</t>
        </is>
      </c>
      <c r="B176" s="1" t="n">
        <v>45457</v>
      </c>
      <c r="C176" s="1" t="n">
        <v>45983</v>
      </c>
      <c r="D176" t="inlineStr">
        <is>
          <t>UPPSALA LÄN</t>
        </is>
      </c>
      <c r="E176" t="inlineStr">
        <is>
          <t>ENKÖPING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25988-2025</t>
        </is>
      </c>
      <c r="B177" s="1" t="n">
        <v>45804.64814814815</v>
      </c>
      <c r="C177" s="1" t="n">
        <v>45983</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14402-2023</t>
        </is>
      </c>
      <c r="B178" s="1" t="n">
        <v>45012</v>
      </c>
      <c r="C178" s="1" t="n">
        <v>45983</v>
      </c>
      <c r="D178" t="inlineStr">
        <is>
          <t>UPPSALA LÄN</t>
        </is>
      </c>
      <c r="E178" t="inlineStr">
        <is>
          <t>ENKÖPING</t>
        </is>
      </c>
      <c r="G178" t="n">
        <v>9.5</v>
      </c>
      <c r="H178" t="n">
        <v>0</v>
      </c>
      <c r="I178" t="n">
        <v>0</v>
      </c>
      <c r="J178" t="n">
        <v>0</v>
      </c>
      <c r="K178" t="n">
        <v>0</v>
      </c>
      <c r="L178" t="n">
        <v>0</v>
      </c>
      <c r="M178" t="n">
        <v>0</v>
      </c>
      <c r="N178" t="n">
        <v>0</v>
      </c>
      <c r="O178" t="n">
        <v>0</v>
      </c>
      <c r="P178" t="n">
        <v>0</v>
      </c>
      <c r="Q178" t="n">
        <v>0</v>
      </c>
      <c r="R178" s="2" t="inlineStr"/>
    </row>
    <row r="179" ht="15" customHeight="1">
      <c r="A179" t="inlineStr">
        <is>
          <t>A 41618-2025</t>
        </is>
      </c>
      <c r="B179" s="1" t="n">
        <v>45901.70085648148</v>
      </c>
      <c r="C179" s="1" t="n">
        <v>45983</v>
      </c>
      <c r="D179" t="inlineStr">
        <is>
          <t>UPPSALA LÄN</t>
        </is>
      </c>
      <c r="E179" t="inlineStr">
        <is>
          <t>ENKÖPING</t>
        </is>
      </c>
      <c r="F179" t="inlineStr">
        <is>
          <t>Allmännings- och besparingsskogar</t>
        </is>
      </c>
      <c r="G179" t="n">
        <v>5.3</v>
      </c>
      <c r="H179" t="n">
        <v>0</v>
      </c>
      <c r="I179" t="n">
        <v>0</v>
      </c>
      <c r="J179" t="n">
        <v>0</v>
      </c>
      <c r="K179" t="n">
        <v>0</v>
      </c>
      <c r="L179" t="n">
        <v>0</v>
      </c>
      <c r="M179" t="n">
        <v>0</v>
      </c>
      <c r="N179" t="n">
        <v>0</v>
      </c>
      <c r="O179" t="n">
        <v>0</v>
      </c>
      <c r="P179" t="n">
        <v>0</v>
      </c>
      <c r="Q179" t="n">
        <v>0</v>
      </c>
      <c r="R179" s="2" t="inlineStr"/>
    </row>
    <row r="180" ht="15" customHeight="1">
      <c r="A180" t="inlineStr">
        <is>
          <t>A 26017-2025</t>
        </is>
      </c>
      <c r="B180" s="1" t="n">
        <v>45804</v>
      </c>
      <c r="C180" s="1" t="n">
        <v>45983</v>
      </c>
      <c r="D180" t="inlineStr">
        <is>
          <t>UPPSALA LÄN</t>
        </is>
      </c>
      <c r="E180" t="inlineStr">
        <is>
          <t>ENKÖPING</t>
        </is>
      </c>
      <c r="G180" t="n">
        <v>0.4</v>
      </c>
      <c r="H180" t="n">
        <v>0</v>
      </c>
      <c r="I180" t="n">
        <v>0</v>
      </c>
      <c r="J180" t="n">
        <v>0</v>
      </c>
      <c r="K180" t="n">
        <v>0</v>
      </c>
      <c r="L180" t="n">
        <v>0</v>
      </c>
      <c r="M180" t="n">
        <v>0</v>
      </c>
      <c r="N180" t="n">
        <v>0</v>
      </c>
      <c r="O180" t="n">
        <v>0</v>
      </c>
      <c r="P180" t="n">
        <v>0</v>
      </c>
      <c r="Q180" t="n">
        <v>0</v>
      </c>
      <c r="R180" s="2" t="inlineStr"/>
    </row>
    <row r="181" ht="15" customHeight="1">
      <c r="A181" t="inlineStr">
        <is>
          <t>A 26024-2025</t>
        </is>
      </c>
      <c r="B181" s="1" t="n">
        <v>45804.6831712963</v>
      </c>
      <c r="C181" s="1" t="n">
        <v>45983</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26042-2025</t>
        </is>
      </c>
      <c r="B182" s="1" t="n">
        <v>45804.70018518518</v>
      </c>
      <c r="C182" s="1" t="n">
        <v>45983</v>
      </c>
      <c r="D182" t="inlineStr">
        <is>
          <t>UPPSALA LÄN</t>
        </is>
      </c>
      <c r="E182" t="inlineStr">
        <is>
          <t>ENKÖPING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25990-2025</t>
        </is>
      </c>
      <c r="B183" s="1" t="n">
        <v>45804.65229166667</v>
      </c>
      <c r="C183" s="1" t="n">
        <v>45983</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26030-2025</t>
        </is>
      </c>
      <c r="B184" s="1" t="n">
        <v>45804.68815972222</v>
      </c>
      <c r="C184" s="1" t="n">
        <v>45983</v>
      </c>
      <c r="D184" t="inlineStr">
        <is>
          <t>UPPSALA LÄN</t>
        </is>
      </c>
      <c r="E184" t="inlineStr">
        <is>
          <t>ENKÖPING</t>
        </is>
      </c>
      <c r="G184" t="n">
        <v>0.3</v>
      </c>
      <c r="H184" t="n">
        <v>0</v>
      </c>
      <c r="I184" t="n">
        <v>0</v>
      </c>
      <c r="J184" t="n">
        <v>0</v>
      </c>
      <c r="K184" t="n">
        <v>0</v>
      </c>
      <c r="L184" t="n">
        <v>0</v>
      </c>
      <c r="M184" t="n">
        <v>0</v>
      </c>
      <c r="N184" t="n">
        <v>0</v>
      </c>
      <c r="O184" t="n">
        <v>0</v>
      </c>
      <c r="P184" t="n">
        <v>0</v>
      </c>
      <c r="Q184" t="n">
        <v>0</v>
      </c>
      <c r="R184" s="2" t="inlineStr"/>
    </row>
    <row r="185" ht="15" customHeight="1">
      <c r="A185" t="inlineStr">
        <is>
          <t>A 39115-2024</t>
        </is>
      </c>
      <c r="B185" s="1" t="n">
        <v>45548</v>
      </c>
      <c r="C185" s="1" t="n">
        <v>45983</v>
      </c>
      <c r="D185" t="inlineStr">
        <is>
          <t>UPPSALA LÄN</t>
        </is>
      </c>
      <c r="E185" t="inlineStr">
        <is>
          <t>ENKÖPING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12020-2024</t>
        </is>
      </c>
      <c r="B186" s="1" t="n">
        <v>45377</v>
      </c>
      <c r="C186" s="1" t="n">
        <v>45983</v>
      </c>
      <c r="D186" t="inlineStr">
        <is>
          <t>UPPSALA LÄN</t>
        </is>
      </c>
      <c r="E186" t="inlineStr">
        <is>
          <t>ENKÖPING</t>
        </is>
      </c>
      <c r="G186" t="n">
        <v>2</v>
      </c>
      <c r="H186" t="n">
        <v>0</v>
      </c>
      <c r="I186" t="n">
        <v>0</v>
      </c>
      <c r="J186" t="n">
        <v>0</v>
      </c>
      <c r="K186" t="n">
        <v>0</v>
      </c>
      <c r="L186" t="n">
        <v>0</v>
      </c>
      <c r="M186" t="n">
        <v>0</v>
      </c>
      <c r="N186" t="n">
        <v>0</v>
      </c>
      <c r="O186" t="n">
        <v>0</v>
      </c>
      <c r="P186" t="n">
        <v>0</v>
      </c>
      <c r="Q186" t="n">
        <v>0</v>
      </c>
      <c r="R186" s="2" t="inlineStr"/>
    </row>
    <row r="187" ht="15" customHeight="1">
      <c r="A187" t="inlineStr">
        <is>
          <t>A 26026-2025</t>
        </is>
      </c>
      <c r="B187" s="1" t="n">
        <v>45804.68510416667</v>
      </c>
      <c r="C187" s="1" t="n">
        <v>45983</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26047-2025</t>
        </is>
      </c>
      <c r="B188" s="1" t="n">
        <v>45804.70835648148</v>
      </c>
      <c r="C188" s="1" t="n">
        <v>45983</v>
      </c>
      <c r="D188" t="inlineStr">
        <is>
          <t>UPPSALA LÄN</t>
        </is>
      </c>
      <c r="E188" t="inlineStr">
        <is>
          <t>ENKÖPING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41765-2025</t>
        </is>
      </c>
      <c r="B189" s="1" t="n">
        <v>45902</v>
      </c>
      <c r="C189" s="1" t="n">
        <v>45983</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41616-2025</t>
        </is>
      </c>
      <c r="B190" s="1" t="n">
        <v>45901.69684027778</v>
      </c>
      <c r="C190" s="1" t="n">
        <v>45983</v>
      </c>
      <c r="D190" t="inlineStr">
        <is>
          <t>UPPSALA LÄN</t>
        </is>
      </c>
      <c r="E190" t="inlineStr">
        <is>
          <t>ENKÖPING</t>
        </is>
      </c>
      <c r="F190" t="inlineStr">
        <is>
          <t>Allmännings- och besparingsskogar</t>
        </is>
      </c>
      <c r="G190" t="n">
        <v>17.3</v>
      </c>
      <c r="H190" t="n">
        <v>0</v>
      </c>
      <c r="I190" t="n">
        <v>0</v>
      </c>
      <c r="J190" t="n">
        <v>0</v>
      </c>
      <c r="K190" t="n">
        <v>0</v>
      </c>
      <c r="L190" t="n">
        <v>0</v>
      </c>
      <c r="M190" t="n">
        <v>0</v>
      </c>
      <c r="N190" t="n">
        <v>0</v>
      </c>
      <c r="O190" t="n">
        <v>0</v>
      </c>
      <c r="P190" t="n">
        <v>0</v>
      </c>
      <c r="Q190" t="n">
        <v>0</v>
      </c>
      <c r="R190" s="2" t="inlineStr"/>
    </row>
    <row r="191" ht="15" customHeight="1">
      <c r="A191" t="inlineStr">
        <is>
          <t>A 25847-2025</t>
        </is>
      </c>
      <c r="B191" s="1" t="n">
        <v>45804</v>
      </c>
      <c r="C191" s="1" t="n">
        <v>45983</v>
      </c>
      <c r="D191" t="inlineStr">
        <is>
          <t>UPPSALA LÄN</t>
        </is>
      </c>
      <c r="E191" t="inlineStr">
        <is>
          <t>ENKÖPING</t>
        </is>
      </c>
      <c r="G191" t="n">
        <v>3.6</v>
      </c>
      <c r="H191" t="n">
        <v>0</v>
      </c>
      <c r="I191" t="n">
        <v>0</v>
      </c>
      <c r="J191" t="n">
        <v>0</v>
      </c>
      <c r="K191" t="n">
        <v>0</v>
      </c>
      <c r="L191" t="n">
        <v>0</v>
      </c>
      <c r="M191" t="n">
        <v>0</v>
      </c>
      <c r="N191" t="n">
        <v>0</v>
      </c>
      <c r="O191" t="n">
        <v>0</v>
      </c>
      <c r="P191" t="n">
        <v>0</v>
      </c>
      <c r="Q191" t="n">
        <v>0</v>
      </c>
      <c r="R191" s="2" t="inlineStr"/>
    </row>
    <row r="192" ht="15" customHeight="1">
      <c r="A192" t="inlineStr">
        <is>
          <t>A 26005-2025</t>
        </is>
      </c>
      <c r="B192" s="1" t="n">
        <v>45804.67055555555</v>
      </c>
      <c r="C192" s="1" t="n">
        <v>45983</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26031-2025</t>
        </is>
      </c>
      <c r="B193" s="1" t="n">
        <v>45804.69050925926</v>
      </c>
      <c r="C193" s="1" t="n">
        <v>45983</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26041-2025</t>
        </is>
      </c>
      <c r="B194" s="1" t="n">
        <v>45804.69883101852</v>
      </c>
      <c r="C194" s="1" t="n">
        <v>45983</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26022-2025</t>
        </is>
      </c>
      <c r="B195" s="1" t="n">
        <v>45804.68006944445</v>
      </c>
      <c r="C195" s="1" t="n">
        <v>45983</v>
      </c>
      <c r="D195" t="inlineStr">
        <is>
          <t>UPPSALA LÄN</t>
        </is>
      </c>
      <c r="E195" t="inlineStr">
        <is>
          <t>ENKÖPING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26011-2025</t>
        </is>
      </c>
      <c r="B196" s="1" t="n">
        <v>45804.67412037037</v>
      </c>
      <c r="C196" s="1" t="n">
        <v>45983</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41637-2025</t>
        </is>
      </c>
      <c r="B197" s="1" t="n">
        <v>45901</v>
      </c>
      <c r="C197" s="1" t="n">
        <v>45983</v>
      </c>
      <c r="D197" t="inlineStr">
        <is>
          <t>UPPSALA LÄN</t>
        </is>
      </c>
      <c r="E197" t="inlineStr">
        <is>
          <t>ENKÖPING</t>
        </is>
      </c>
      <c r="F197" t="inlineStr">
        <is>
          <t>Allmännings- och besparingsskogar</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69344-2021</t>
        </is>
      </c>
      <c r="B198" s="1" t="n">
        <v>44531</v>
      </c>
      <c r="C198" s="1" t="n">
        <v>45983</v>
      </c>
      <c r="D198" t="inlineStr">
        <is>
          <t>UPPSALA LÄN</t>
        </is>
      </c>
      <c r="E198" t="inlineStr">
        <is>
          <t>ENKÖPING</t>
        </is>
      </c>
      <c r="G198" t="n">
        <v>2.9</v>
      </c>
      <c r="H198" t="n">
        <v>0</v>
      </c>
      <c r="I198" t="n">
        <v>0</v>
      </c>
      <c r="J198" t="n">
        <v>0</v>
      </c>
      <c r="K198" t="n">
        <v>0</v>
      </c>
      <c r="L198" t="n">
        <v>0</v>
      </c>
      <c r="M198" t="n">
        <v>0</v>
      </c>
      <c r="N198" t="n">
        <v>0</v>
      </c>
      <c r="O198" t="n">
        <v>0</v>
      </c>
      <c r="P198" t="n">
        <v>0</v>
      </c>
      <c r="Q198" t="n">
        <v>0</v>
      </c>
      <c r="R198" s="2" t="inlineStr"/>
    </row>
    <row r="199" ht="15" customHeight="1">
      <c r="A199" t="inlineStr">
        <is>
          <t>A 34124-2021</t>
        </is>
      </c>
      <c r="B199" s="1" t="n">
        <v>44379</v>
      </c>
      <c r="C199" s="1" t="n">
        <v>45983</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43697-2024</t>
        </is>
      </c>
      <c r="B200" s="1" t="n">
        <v>45569</v>
      </c>
      <c r="C200" s="1" t="n">
        <v>45983</v>
      </c>
      <c r="D200" t="inlineStr">
        <is>
          <t>UPPSALA LÄN</t>
        </is>
      </c>
      <c r="E200" t="inlineStr">
        <is>
          <t>ENKÖPING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47516-2022</t>
        </is>
      </c>
      <c r="B201" s="1" t="n">
        <v>44853.68895833333</v>
      </c>
      <c r="C201" s="1" t="n">
        <v>45983</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35067-2024</t>
        </is>
      </c>
      <c r="B202" s="1" t="n">
        <v>45527.66153935185</v>
      </c>
      <c r="C202" s="1" t="n">
        <v>45983</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27983-2024</t>
        </is>
      </c>
      <c r="B203" s="1" t="n">
        <v>45476</v>
      </c>
      <c r="C203" s="1" t="n">
        <v>45983</v>
      </c>
      <c r="D203" t="inlineStr">
        <is>
          <t>UPPSALA LÄN</t>
        </is>
      </c>
      <c r="E203" t="inlineStr">
        <is>
          <t>ENKÖPING</t>
        </is>
      </c>
      <c r="G203" t="n">
        <v>3.2</v>
      </c>
      <c r="H203" t="n">
        <v>0</v>
      </c>
      <c r="I203" t="n">
        <v>0</v>
      </c>
      <c r="J203" t="n">
        <v>0</v>
      </c>
      <c r="K203" t="n">
        <v>0</v>
      </c>
      <c r="L203" t="n">
        <v>0</v>
      </c>
      <c r="M203" t="n">
        <v>0</v>
      </c>
      <c r="N203" t="n">
        <v>0</v>
      </c>
      <c r="O203" t="n">
        <v>0</v>
      </c>
      <c r="P203" t="n">
        <v>0</v>
      </c>
      <c r="Q203" t="n">
        <v>0</v>
      </c>
      <c r="R203" s="2" t="inlineStr"/>
    </row>
    <row r="204" ht="15" customHeight="1">
      <c r="A204" t="inlineStr">
        <is>
          <t>A 51010-2024</t>
        </is>
      </c>
      <c r="B204" s="1" t="n">
        <v>45603.39285879629</v>
      </c>
      <c r="C204" s="1" t="n">
        <v>45983</v>
      </c>
      <c r="D204" t="inlineStr">
        <is>
          <t>UPPSALA LÄN</t>
        </is>
      </c>
      <c r="E204" t="inlineStr">
        <is>
          <t>ENKÖPING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42029-2025</t>
        </is>
      </c>
      <c r="B205" s="1" t="n">
        <v>45903</v>
      </c>
      <c r="C205" s="1" t="n">
        <v>45983</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22912-2024</t>
        </is>
      </c>
      <c r="B206" s="1" t="n">
        <v>45448.73118055556</v>
      </c>
      <c r="C206" s="1" t="n">
        <v>45983</v>
      </c>
      <c r="D206" t="inlineStr">
        <is>
          <t>UPPSALA LÄN</t>
        </is>
      </c>
      <c r="E206" t="inlineStr">
        <is>
          <t>ENKÖPING</t>
        </is>
      </c>
      <c r="G206" t="n">
        <v>2.8</v>
      </c>
      <c r="H206" t="n">
        <v>0</v>
      </c>
      <c r="I206" t="n">
        <v>0</v>
      </c>
      <c r="J206" t="n">
        <v>0</v>
      </c>
      <c r="K206" t="n">
        <v>0</v>
      </c>
      <c r="L206" t="n">
        <v>0</v>
      </c>
      <c r="M206" t="n">
        <v>0</v>
      </c>
      <c r="N206" t="n">
        <v>0</v>
      </c>
      <c r="O206" t="n">
        <v>0</v>
      </c>
      <c r="P206" t="n">
        <v>0</v>
      </c>
      <c r="Q206" t="n">
        <v>0</v>
      </c>
      <c r="R206" s="2" t="inlineStr"/>
    </row>
    <row r="207" ht="15" customHeight="1">
      <c r="A207" t="inlineStr">
        <is>
          <t>A 9667-2024</t>
        </is>
      </c>
      <c r="B207" s="1" t="n">
        <v>45362.45130787037</v>
      </c>
      <c r="C207" s="1" t="n">
        <v>45983</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42756-2025</t>
        </is>
      </c>
      <c r="B208" s="1" t="n">
        <v>45908</v>
      </c>
      <c r="C208" s="1" t="n">
        <v>45983</v>
      </c>
      <c r="D208" t="inlineStr">
        <is>
          <t>UPPSALA LÄN</t>
        </is>
      </c>
      <c r="E208" t="inlineStr">
        <is>
          <t>ENKÖPING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51133-2025</t>
        </is>
      </c>
      <c r="B209" s="1" t="n">
        <v>45947.55598379629</v>
      </c>
      <c r="C209" s="1" t="n">
        <v>45983</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27829-2025</t>
        </is>
      </c>
      <c r="B210" s="1" t="n">
        <v>45817</v>
      </c>
      <c r="C210" s="1" t="n">
        <v>45983</v>
      </c>
      <c r="D210" t="inlineStr">
        <is>
          <t>UPPSALA LÄN</t>
        </is>
      </c>
      <c r="E210" t="inlineStr">
        <is>
          <t>ENKÖPING</t>
        </is>
      </c>
      <c r="G210" t="n">
        <v>2.1</v>
      </c>
      <c r="H210" t="n">
        <v>0</v>
      </c>
      <c r="I210" t="n">
        <v>0</v>
      </c>
      <c r="J210" t="n">
        <v>0</v>
      </c>
      <c r="K210" t="n">
        <v>0</v>
      </c>
      <c r="L210" t="n">
        <v>0</v>
      </c>
      <c r="M210" t="n">
        <v>0</v>
      </c>
      <c r="N210" t="n">
        <v>0</v>
      </c>
      <c r="O210" t="n">
        <v>0</v>
      </c>
      <c r="P210" t="n">
        <v>0</v>
      </c>
      <c r="Q210" t="n">
        <v>0</v>
      </c>
      <c r="R210" s="2" t="inlineStr"/>
    </row>
    <row r="211" ht="15" customHeight="1">
      <c r="A211" t="inlineStr">
        <is>
          <t>A 43506-2023</t>
        </is>
      </c>
      <c r="B211" s="1" t="n">
        <v>45181</v>
      </c>
      <c r="C211" s="1" t="n">
        <v>45983</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14004-2023</t>
        </is>
      </c>
      <c r="B212" s="1" t="n">
        <v>45008</v>
      </c>
      <c r="C212" s="1" t="n">
        <v>45983</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51162-2025</t>
        </is>
      </c>
      <c r="B213" s="1" t="n">
        <v>45947.58820601852</v>
      </c>
      <c r="C213" s="1" t="n">
        <v>45983</v>
      </c>
      <c r="D213" t="inlineStr">
        <is>
          <t>UPPSALA LÄN</t>
        </is>
      </c>
      <c r="E213" t="inlineStr">
        <is>
          <t>ENKÖPING</t>
        </is>
      </c>
      <c r="G213" t="n">
        <v>3.4</v>
      </c>
      <c r="H213" t="n">
        <v>0</v>
      </c>
      <c r="I213" t="n">
        <v>0</v>
      </c>
      <c r="J213" t="n">
        <v>0</v>
      </c>
      <c r="K213" t="n">
        <v>0</v>
      </c>
      <c r="L213" t="n">
        <v>0</v>
      </c>
      <c r="M213" t="n">
        <v>0</v>
      </c>
      <c r="N213" t="n">
        <v>0</v>
      </c>
      <c r="O213" t="n">
        <v>0</v>
      </c>
      <c r="P213" t="n">
        <v>0</v>
      </c>
      <c r="Q213" t="n">
        <v>0</v>
      </c>
      <c r="R213" s="2" t="inlineStr"/>
    </row>
    <row r="214" ht="15" customHeight="1">
      <c r="A214" t="inlineStr">
        <is>
          <t>A 51012-2024</t>
        </is>
      </c>
      <c r="B214" s="1" t="n">
        <v>45603.39686342593</v>
      </c>
      <c r="C214" s="1" t="n">
        <v>45983</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28855-2025</t>
        </is>
      </c>
      <c r="B215" s="1" t="n">
        <v>45820.58274305556</v>
      </c>
      <c r="C215" s="1" t="n">
        <v>45983</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28758-2025</t>
        </is>
      </c>
      <c r="B216" s="1" t="n">
        <v>45820.41212962963</v>
      </c>
      <c r="C216" s="1" t="n">
        <v>45983</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39009-2024</t>
        </is>
      </c>
      <c r="B217" s="1" t="n">
        <v>45548</v>
      </c>
      <c r="C217" s="1" t="n">
        <v>45983</v>
      </c>
      <c r="D217" t="inlineStr">
        <is>
          <t>UPPSALA LÄN</t>
        </is>
      </c>
      <c r="E217" t="inlineStr">
        <is>
          <t>ENKÖPING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8537-2025</t>
        </is>
      </c>
      <c r="B218" s="1" t="n">
        <v>45709</v>
      </c>
      <c r="C218" s="1" t="n">
        <v>45983</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41828-2024</t>
        </is>
      </c>
      <c r="B219" s="1" t="n">
        <v>45561</v>
      </c>
      <c r="C219" s="1" t="n">
        <v>45983</v>
      </c>
      <c r="D219" t="inlineStr">
        <is>
          <t>UPPSALA LÄN</t>
        </is>
      </c>
      <c r="E219" t="inlineStr">
        <is>
          <t>ENKÖPING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28862-2025</t>
        </is>
      </c>
      <c r="B220" s="1" t="n">
        <v>45820.59189814814</v>
      </c>
      <c r="C220" s="1" t="n">
        <v>45983</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41764-2025</t>
        </is>
      </c>
      <c r="B221" s="1" t="n">
        <v>45902</v>
      </c>
      <c r="C221" s="1" t="n">
        <v>45983</v>
      </c>
      <c r="D221" t="inlineStr">
        <is>
          <t>UPPSALA LÄN</t>
        </is>
      </c>
      <c r="E221" t="inlineStr">
        <is>
          <t>ENKÖPING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51042-2024</t>
        </is>
      </c>
      <c r="B222" s="1" t="n">
        <v>45603.4342824074</v>
      </c>
      <c r="C222" s="1" t="n">
        <v>45983</v>
      </c>
      <c r="D222" t="inlineStr">
        <is>
          <t>UPPSALA LÄN</t>
        </is>
      </c>
      <c r="E222" t="inlineStr">
        <is>
          <t>ENKÖPING</t>
        </is>
      </c>
      <c r="G222" t="n">
        <v>4.6</v>
      </c>
      <c r="H222" t="n">
        <v>0</v>
      </c>
      <c r="I222" t="n">
        <v>0</v>
      </c>
      <c r="J222" t="n">
        <v>0</v>
      </c>
      <c r="K222" t="n">
        <v>0</v>
      </c>
      <c r="L222" t="n">
        <v>0</v>
      </c>
      <c r="M222" t="n">
        <v>0</v>
      </c>
      <c r="N222" t="n">
        <v>0</v>
      </c>
      <c r="O222" t="n">
        <v>0</v>
      </c>
      <c r="P222" t="n">
        <v>0</v>
      </c>
      <c r="Q222" t="n">
        <v>0</v>
      </c>
      <c r="R222" s="2" t="inlineStr"/>
    </row>
    <row r="223" ht="15" customHeight="1">
      <c r="A223" t="inlineStr">
        <is>
          <t>A 22632-2025</t>
        </is>
      </c>
      <c r="B223" s="1" t="n">
        <v>45789.44361111111</v>
      </c>
      <c r="C223" s="1" t="n">
        <v>45983</v>
      </c>
      <c r="D223" t="inlineStr">
        <is>
          <t>UPPSALA LÄN</t>
        </is>
      </c>
      <c r="E223" t="inlineStr">
        <is>
          <t>ENKÖPING</t>
        </is>
      </c>
      <c r="G223" t="n">
        <v>2.1</v>
      </c>
      <c r="H223" t="n">
        <v>0</v>
      </c>
      <c r="I223" t="n">
        <v>0</v>
      </c>
      <c r="J223" t="n">
        <v>0</v>
      </c>
      <c r="K223" t="n">
        <v>0</v>
      </c>
      <c r="L223" t="n">
        <v>0</v>
      </c>
      <c r="M223" t="n">
        <v>0</v>
      </c>
      <c r="N223" t="n">
        <v>0</v>
      </c>
      <c r="O223" t="n">
        <v>0</v>
      </c>
      <c r="P223" t="n">
        <v>0</v>
      </c>
      <c r="Q223" t="n">
        <v>0</v>
      </c>
      <c r="R223" s="2" t="inlineStr"/>
    </row>
    <row r="224" ht="15" customHeight="1">
      <c r="A224" t="inlineStr">
        <is>
          <t>A 10465-2022</t>
        </is>
      </c>
      <c r="B224" s="1" t="n">
        <v>44623</v>
      </c>
      <c r="C224" s="1" t="n">
        <v>45983</v>
      </c>
      <c r="D224" t="inlineStr">
        <is>
          <t>UPPSALA LÄN</t>
        </is>
      </c>
      <c r="E224" t="inlineStr">
        <is>
          <t>ENKÖPING</t>
        </is>
      </c>
      <c r="G224" t="n">
        <v>1.7</v>
      </c>
      <c r="H224" t="n">
        <v>0</v>
      </c>
      <c r="I224" t="n">
        <v>0</v>
      </c>
      <c r="J224" t="n">
        <v>0</v>
      </c>
      <c r="K224" t="n">
        <v>0</v>
      </c>
      <c r="L224" t="n">
        <v>0</v>
      </c>
      <c r="M224" t="n">
        <v>0</v>
      </c>
      <c r="N224" t="n">
        <v>0</v>
      </c>
      <c r="O224" t="n">
        <v>0</v>
      </c>
      <c r="P224" t="n">
        <v>0</v>
      </c>
      <c r="Q224" t="n">
        <v>0</v>
      </c>
      <c r="R224" s="2" t="inlineStr"/>
    </row>
    <row r="225" ht="15" customHeight="1">
      <c r="A225" t="inlineStr">
        <is>
          <t>A 29093-2025</t>
        </is>
      </c>
      <c r="B225" s="1" t="n">
        <v>45821.55743055556</v>
      </c>
      <c r="C225" s="1" t="n">
        <v>45983</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51037-2024</t>
        </is>
      </c>
      <c r="B226" s="1" t="n">
        <v>45603.43005787037</v>
      </c>
      <c r="C226" s="1" t="n">
        <v>45983</v>
      </c>
      <c r="D226" t="inlineStr">
        <is>
          <t>UPPSALA LÄN</t>
        </is>
      </c>
      <c r="E226" t="inlineStr">
        <is>
          <t>ENKÖPING</t>
        </is>
      </c>
      <c r="G226" t="n">
        <v>5.7</v>
      </c>
      <c r="H226" t="n">
        <v>0</v>
      </c>
      <c r="I226" t="n">
        <v>0</v>
      </c>
      <c r="J226" t="n">
        <v>0</v>
      </c>
      <c r="K226" t="n">
        <v>0</v>
      </c>
      <c r="L226" t="n">
        <v>0</v>
      </c>
      <c r="M226" t="n">
        <v>0</v>
      </c>
      <c r="N226" t="n">
        <v>0</v>
      </c>
      <c r="O226" t="n">
        <v>0</v>
      </c>
      <c r="P226" t="n">
        <v>0</v>
      </c>
      <c r="Q226" t="n">
        <v>0</v>
      </c>
      <c r="R226" s="2" t="inlineStr"/>
    </row>
    <row r="227" ht="15" customHeight="1">
      <c r="A227" t="inlineStr">
        <is>
          <t>A 29477-2025</t>
        </is>
      </c>
      <c r="B227" s="1" t="n">
        <v>45824.71537037037</v>
      </c>
      <c r="C227" s="1" t="n">
        <v>45983</v>
      </c>
      <c r="D227" t="inlineStr">
        <is>
          <t>UPPSALA LÄN</t>
        </is>
      </c>
      <c r="E227" t="inlineStr">
        <is>
          <t>ENKÖPING</t>
        </is>
      </c>
      <c r="G227" t="n">
        <v>13.4</v>
      </c>
      <c r="H227" t="n">
        <v>0</v>
      </c>
      <c r="I227" t="n">
        <v>0</v>
      </c>
      <c r="J227" t="n">
        <v>0</v>
      </c>
      <c r="K227" t="n">
        <v>0</v>
      </c>
      <c r="L227" t="n">
        <v>0</v>
      </c>
      <c r="M227" t="n">
        <v>0</v>
      </c>
      <c r="N227" t="n">
        <v>0</v>
      </c>
      <c r="O227" t="n">
        <v>0</v>
      </c>
      <c r="P227" t="n">
        <v>0</v>
      </c>
      <c r="Q227" t="n">
        <v>0</v>
      </c>
      <c r="R227" s="2" t="inlineStr"/>
    </row>
    <row r="228" ht="15" customHeight="1">
      <c r="A228" t="inlineStr">
        <is>
          <t>A 51027-2024</t>
        </is>
      </c>
      <c r="B228" s="1" t="n">
        <v>45603</v>
      </c>
      <c r="C228" s="1" t="n">
        <v>45983</v>
      </c>
      <c r="D228" t="inlineStr">
        <is>
          <t>UPPSALA LÄN</t>
        </is>
      </c>
      <c r="E228" t="inlineStr">
        <is>
          <t>ENKÖPING</t>
        </is>
      </c>
      <c r="G228" t="n">
        <v>3.5</v>
      </c>
      <c r="H228" t="n">
        <v>0</v>
      </c>
      <c r="I228" t="n">
        <v>0</v>
      </c>
      <c r="J228" t="n">
        <v>0</v>
      </c>
      <c r="K228" t="n">
        <v>0</v>
      </c>
      <c r="L228" t="n">
        <v>0</v>
      </c>
      <c r="M228" t="n">
        <v>0</v>
      </c>
      <c r="N228" t="n">
        <v>0</v>
      </c>
      <c r="O228" t="n">
        <v>0</v>
      </c>
      <c r="P228" t="n">
        <v>0</v>
      </c>
      <c r="Q228" t="n">
        <v>0</v>
      </c>
      <c r="R228" s="2" t="inlineStr"/>
    </row>
    <row r="229" ht="15" customHeight="1">
      <c r="A229" t="inlineStr">
        <is>
          <t>A 5013-2025</t>
        </is>
      </c>
      <c r="B229" s="1" t="n">
        <v>45691</v>
      </c>
      <c r="C229" s="1" t="n">
        <v>45983</v>
      </c>
      <c r="D229" t="inlineStr">
        <is>
          <t>UPPSALA LÄN</t>
        </is>
      </c>
      <c r="E229" t="inlineStr">
        <is>
          <t>ENKÖPING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11503-2024</t>
        </is>
      </c>
      <c r="B230" s="1" t="n">
        <v>45372.68020833333</v>
      </c>
      <c r="C230" s="1" t="n">
        <v>45983</v>
      </c>
      <c r="D230" t="inlineStr">
        <is>
          <t>UPPSALA LÄN</t>
        </is>
      </c>
      <c r="E230" t="inlineStr">
        <is>
          <t>ENKÖPING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30837-2025</t>
        </is>
      </c>
      <c r="B231" s="1" t="n">
        <v>45831.7063425926</v>
      </c>
      <c r="C231" s="1" t="n">
        <v>45983</v>
      </c>
      <c r="D231" t="inlineStr">
        <is>
          <t>UPPSALA LÄN</t>
        </is>
      </c>
      <c r="E231" t="inlineStr">
        <is>
          <t>ENKÖPING</t>
        </is>
      </c>
      <c r="G231" t="n">
        <v>3.8</v>
      </c>
      <c r="H231" t="n">
        <v>0</v>
      </c>
      <c r="I231" t="n">
        <v>0</v>
      </c>
      <c r="J231" t="n">
        <v>0</v>
      </c>
      <c r="K231" t="n">
        <v>0</v>
      </c>
      <c r="L231" t="n">
        <v>0</v>
      </c>
      <c r="M231" t="n">
        <v>0</v>
      </c>
      <c r="N231" t="n">
        <v>0</v>
      </c>
      <c r="O231" t="n">
        <v>0</v>
      </c>
      <c r="P231" t="n">
        <v>0</v>
      </c>
      <c r="Q231" t="n">
        <v>0</v>
      </c>
      <c r="R231" s="2" t="inlineStr"/>
    </row>
    <row r="232" ht="15" customHeight="1">
      <c r="A232" t="inlineStr">
        <is>
          <t>A 44419-2025</t>
        </is>
      </c>
      <c r="B232" s="1" t="n">
        <v>45916.54671296296</v>
      </c>
      <c r="C232" s="1" t="n">
        <v>45983</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43999-2025</t>
        </is>
      </c>
      <c r="B233" s="1" t="n">
        <v>45915.45158564814</v>
      </c>
      <c r="C233" s="1" t="n">
        <v>45983</v>
      </c>
      <c r="D233" t="inlineStr">
        <is>
          <t>UPPSALA LÄN</t>
        </is>
      </c>
      <c r="E233" t="inlineStr">
        <is>
          <t>ENKÖPING</t>
        </is>
      </c>
      <c r="G233" t="n">
        <v>4.1</v>
      </c>
      <c r="H233" t="n">
        <v>0</v>
      </c>
      <c r="I233" t="n">
        <v>0</v>
      </c>
      <c r="J233" t="n">
        <v>0</v>
      </c>
      <c r="K233" t="n">
        <v>0</v>
      </c>
      <c r="L233" t="n">
        <v>0</v>
      </c>
      <c r="M233" t="n">
        <v>0</v>
      </c>
      <c r="N233" t="n">
        <v>0</v>
      </c>
      <c r="O233" t="n">
        <v>0</v>
      </c>
      <c r="P233" t="n">
        <v>0</v>
      </c>
      <c r="Q233" t="n">
        <v>0</v>
      </c>
      <c r="R233" s="2" t="inlineStr"/>
    </row>
    <row r="234" ht="15" customHeight="1">
      <c r="A234" t="inlineStr">
        <is>
          <t>A 2164-2023</t>
        </is>
      </c>
      <c r="B234" s="1" t="n">
        <v>44941</v>
      </c>
      <c r="C234" s="1" t="n">
        <v>45983</v>
      </c>
      <c r="D234" t="inlineStr">
        <is>
          <t>UPPSALA LÄN</t>
        </is>
      </c>
      <c r="E234" t="inlineStr">
        <is>
          <t>ENKÖPING</t>
        </is>
      </c>
      <c r="G234" t="n">
        <v>2.5</v>
      </c>
      <c r="H234" t="n">
        <v>0</v>
      </c>
      <c r="I234" t="n">
        <v>0</v>
      </c>
      <c r="J234" t="n">
        <v>0</v>
      </c>
      <c r="K234" t="n">
        <v>0</v>
      </c>
      <c r="L234" t="n">
        <v>0</v>
      </c>
      <c r="M234" t="n">
        <v>0</v>
      </c>
      <c r="N234" t="n">
        <v>0</v>
      </c>
      <c r="O234" t="n">
        <v>0</v>
      </c>
      <c r="P234" t="n">
        <v>0</v>
      </c>
      <c r="Q234" t="n">
        <v>0</v>
      </c>
      <c r="R234" s="2" t="inlineStr"/>
    </row>
    <row r="235" ht="15" customHeight="1">
      <c r="A235" t="inlineStr">
        <is>
          <t>A 32477-2025</t>
        </is>
      </c>
      <c r="B235" s="1" t="n">
        <v>45838.43098379629</v>
      </c>
      <c r="C235" s="1" t="n">
        <v>45983</v>
      </c>
      <c r="D235" t="inlineStr">
        <is>
          <t>UPPSALA LÄN</t>
        </is>
      </c>
      <c r="E235" t="inlineStr">
        <is>
          <t>ENKÖPING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33955-2024</t>
        </is>
      </c>
      <c r="B236" s="1" t="n">
        <v>45523.46952546296</v>
      </c>
      <c r="C236" s="1" t="n">
        <v>45983</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6172-2023</t>
        </is>
      </c>
      <c r="B237" s="1" t="n">
        <v>44964.68663194445</v>
      </c>
      <c r="C237" s="1" t="n">
        <v>45983</v>
      </c>
      <c r="D237" t="inlineStr">
        <is>
          <t>UPPSALA LÄN</t>
        </is>
      </c>
      <c r="E237" t="inlineStr">
        <is>
          <t>ENKÖPING</t>
        </is>
      </c>
      <c r="G237" t="n">
        <v>2.6</v>
      </c>
      <c r="H237" t="n">
        <v>0</v>
      </c>
      <c r="I237" t="n">
        <v>0</v>
      </c>
      <c r="J237" t="n">
        <v>0</v>
      </c>
      <c r="K237" t="n">
        <v>0</v>
      </c>
      <c r="L237" t="n">
        <v>0</v>
      </c>
      <c r="M237" t="n">
        <v>0</v>
      </c>
      <c r="N237" t="n">
        <v>0</v>
      </c>
      <c r="O237" t="n">
        <v>0</v>
      </c>
      <c r="P237" t="n">
        <v>0</v>
      </c>
      <c r="Q237" t="n">
        <v>0</v>
      </c>
      <c r="R237" s="2" t="inlineStr"/>
    </row>
    <row r="238" ht="15" customHeight="1">
      <c r="A238" t="inlineStr">
        <is>
          <t>A 10409-2025</t>
        </is>
      </c>
      <c r="B238" s="1" t="n">
        <v>45720.631875</v>
      </c>
      <c r="C238" s="1" t="n">
        <v>45983</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32031-2025</t>
        </is>
      </c>
      <c r="B239" s="1" t="n">
        <v>45835.41712962963</v>
      </c>
      <c r="C239" s="1" t="n">
        <v>45983</v>
      </c>
      <c r="D239" t="inlineStr">
        <is>
          <t>UPPSALA LÄN</t>
        </is>
      </c>
      <c r="E239" t="inlineStr">
        <is>
          <t>ENKÖPING</t>
        </is>
      </c>
      <c r="G239" t="n">
        <v>2.7</v>
      </c>
      <c r="H239" t="n">
        <v>0</v>
      </c>
      <c r="I239" t="n">
        <v>0</v>
      </c>
      <c r="J239" t="n">
        <v>0</v>
      </c>
      <c r="K239" t="n">
        <v>0</v>
      </c>
      <c r="L239" t="n">
        <v>0</v>
      </c>
      <c r="M239" t="n">
        <v>0</v>
      </c>
      <c r="N239" t="n">
        <v>0</v>
      </c>
      <c r="O239" t="n">
        <v>0</v>
      </c>
      <c r="P239" t="n">
        <v>0</v>
      </c>
      <c r="Q239" t="n">
        <v>0</v>
      </c>
      <c r="R239" s="2" t="inlineStr"/>
    </row>
    <row r="240" ht="15" customHeight="1">
      <c r="A240" t="inlineStr">
        <is>
          <t>A 32111-2025</t>
        </is>
      </c>
      <c r="B240" s="1" t="n">
        <v>45835</v>
      </c>
      <c r="C240" s="1" t="n">
        <v>45983</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69567-2020</t>
        </is>
      </c>
      <c r="B241" s="1" t="n">
        <v>44194</v>
      </c>
      <c r="C241" s="1" t="n">
        <v>45983</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21686-2022</t>
        </is>
      </c>
      <c r="B242" s="1" t="n">
        <v>44707</v>
      </c>
      <c r="C242" s="1" t="n">
        <v>45983</v>
      </c>
      <c r="D242" t="inlineStr">
        <is>
          <t>UPPSALA LÄN</t>
        </is>
      </c>
      <c r="E242" t="inlineStr">
        <is>
          <t>ENKÖPING</t>
        </is>
      </c>
      <c r="G242" t="n">
        <v>2.2</v>
      </c>
      <c r="H242" t="n">
        <v>0</v>
      </c>
      <c r="I242" t="n">
        <v>0</v>
      </c>
      <c r="J242" t="n">
        <v>0</v>
      </c>
      <c r="K242" t="n">
        <v>0</v>
      </c>
      <c r="L242" t="n">
        <v>0</v>
      </c>
      <c r="M242" t="n">
        <v>0</v>
      </c>
      <c r="N242" t="n">
        <v>0</v>
      </c>
      <c r="O242" t="n">
        <v>0</v>
      </c>
      <c r="P242" t="n">
        <v>0</v>
      </c>
      <c r="Q242" t="n">
        <v>0</v>
      </c>
      <c r="R242" s="2" t="inlineStr"/>
    </row>
    <row r="243" ht="15" customHeight="1">
      <c r="A243" t="inlineStr">
        <is>
          <t>A 29479-2022</t>
        </is>
      </c>
      <c r="B243" s="1" t="n">
        <v>44753.57265046296</v>
      </c>
      <c r="C243" s="1" t="n">
        <v>45983</v>
      </c>
      <c r="D243" t="inlineStr">
        <is>
          <t>UPPSALA LÄN</t>
        </is>
      </c>
      <c r="E243" t="inlineStr">
        <is>
          <t>ENKÖPING</t>
        </is>
      </c>
      <c r="G243" t="n">
        <v>0.9</v>
      </c>
      <c r="H243" t="n">
        <v>0</v>
      </c>
      <c r="I243" t="n">
        <v>0</v>
      </c>
      <c r="J243" t="n">
        <v>0</v>
      </c>
      <c r="K243" t="n">
        <v>0</v>
      </c>
      <c r="L243" t="n">
        <v>0</v>
      </c>
      <c r="M243" t="n">
        <v>0</v>
      </c>
      <c r="N243" t="n">
        <v>0</v>
      </c>
      <c r="O243" t="n">
        <v>0</v>
      </c>
      <c r="P243" t="n">
        <v>0</v>
      </c>
      <c r="Q243" t="n">
        <v>0</v>
      </c>
      <c r="R243" s="2" t="inlineStr"/>
    </row>
    <row r="244" ht="15" customHeight="1">
      <c r="A244" t="inlineStr">
        <is>
          <t>A 49525-2021</t>
        </is>
      </c>
      <c r="B244" s="1" t="n">
        <v>44455</v>
      </c>
      <c r="C244" s="1" t="n">
        <v>45983</v>
      </c>
      <c r="D244" t="inlineStr">
        <is>
          <t>UPPSALA LÄN</t>
        </is>
      </c>
      <c r="E244" t="inlineStr">
        <is>
          <t>ENKÖPING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6298-2021</t>
        </is>
      </c>
      <c r="B245" s="1" t="n">
        <v>44235</v>
      </c>
      <c r="C245" s="1" t="n">
        <v>45983</v>
      </c>
      <c r="D245" t="inlineStr">
        <is>
          <t>UPPSALA LÄN</t>
        </is>
      </c>
      <c r="E245" t="inlineStr">
        <is>
          <t>ENKÖPING</t>
        </is>
      </c>
      <c r="G245" t="n">
        <v>1.4</v>
      </c>
      <c r="H245" t="n">
        <v>0</v>
      </c>
      <c r="I245" t="n">
        <v>0</v>
      </c>
      <c r="J245" t="n">
        <v>0</v>
      </c>
      <c r="K245" t="n">
        <v>0</v>
      </c>
      <c r="L245" t="n">
        <v>0</v>
      </c>
      <c r="M245" t="n">
        <v>0</v>
      </c>
      <c r="N245" t="n">
        <v>0</v>
      </c>
      <c r="O245" t="n">
        <v>0</v>
      </c>
      <c r="P245" t="n">
        <v>0</v>
      </c>
      <c r="Q245" t="n">
        <v>0</v>
      </c>
      <c r="R245" s="2" t="inlineStr"/>
    </row>
    <row r="246" ht="15" customHeight="1">
      <c r="A246" t="inlineStr">
        <is>
          <t>A 15740-2025</t>
        </is>
      </c>
      <c r="B246" s="1" t="n">
        <v>45748</v>
      </c>
      <c r="C246" s="1" t="n">
        <v>45983</v>
      </c>
      <c r="D246" t="inlineStr">
        <is>
          <t>UPPSALA LÄN</t>
        </is>
      </c>
      <c r="E246" t="inlineStr">
        <is>
          <t>ENKÖPING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54263-2025</t>
        </is>
      </c>
      <c r="B247" s="1" t="n">
        <v>45964.66271990741</v>
      </c>
      <c r="C247" s="1" t="n">
        <v>45983</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57848-2024</t>
        </is>
      </c>
      <c r="B248" s="1" t="n">
        <v>45631.40947916666</v>
      </c>
      <c r="C248" s="1" t="n">
        <v>45983</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54758-2025</t>
        </is>
      </c>
      <c r="B249" s="1" t="n">
        <v>45966.59737268519</v>
      </c>
      <c r="C249" s="1" t="n">
        <v>45983</v>
      </c>
      <c r="D249" t="inlineStr">
        <is>
          <t>UPPSALA LÄN</t>
        </is>
      </c>
      <c r="E249" t="inlineStr">
        <is>
          <t>ENKÖPING</t>
        </is>
      </c>
      <c r="G249" t="n">
        <v>3.3</v>
      </c>
      <c r="H249" t="n">
        <v>0</v>
      </c>
      <c r="I249" t="n">
        <v>0</v>
      </c>
      <c r="J249" t="n">
        <v>0</v>
      </c>
      <c r="K249" t="n">
        <v>0</v>
      </c>
      <c r="L249" t="n">
        <v>0</v>
      </c>
      <c r="M249" t="n">
        <v>0</v>
      </c>
      <c r="N249" t="n">
        <v>0</v>
      </c>
      <c r="O249" t="n">
        <v>0</v>
      </c>
      <c r="P249" t="n">
        <v>0</v>
      </c>
      <c r="Q249" t="n">
        <v>0</v>
      </c>
      <c r="R249" s="2" t="inlineStr"/>
    </row>
    <row r="250" ht="15" customHeight="1">
      <c r="A250" t="inlineStr">
        <is>
          <t>A 57328-2024</t>
        </is>
      </c>
      <c r="B250" s="1" t="n">
        <v>45629.62798611111</v>
      </c>
      <c r="C250" s="1" t="n">
        <v>45983</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18994-2025</t>
        </is>
      </c>
      <c r="B251" s="1" t="n">
        <v>45764.57350694444</v>
      </c>
      <c r="C251" s="1" t="n">
        <v>45983</v>
      </c>
      <c r="D251" t="inlineStr">
        <is>
          <t>UPPSALA LÄN</t>
        </is>
      </c>
      <c r="E251" t="inlineStr">
        <is>
          <t>ENKÖPING</t>
        </is>
      </c>
      <c r="G251" t="n">
        <v>3.8</v>
      </c>
      <c r="H251" t="n">
        <v>0</v>
      </c>
      <c r="I251" t="n">
        <v>0</v>
      </c>
      <c r="J251" t="n">
        <v>0</v>
      </c>
      <c r="K251" t="n">
        <v>0</v>
      </c>
      <c r="L251" t="n">
        <v>0</v>
      </c>
      <c r="M251" t="n">
        <v>0</v>
      </c>
      <c r="N251" t="n">
        <v>0</v>
      </c>
      <c r="O251" t="n">
        <v>0</v>
      </c>
      <c r="P251" t="n">
        <v>0</v>
      </c>
      <c r="Q251" t="n">
        <v>0</v>
      </c>
      <c r="R251" s="2" t="inlineStr"/>
    </row>
    <row r="252" ht="15" customHeight="1">
      <c r="A252" t="inlineStr">
        <is>
          <t>A 49601-2024</t>
        </is>
      </c>
      <c r="B252" s="1" t="n">
        <v>45596.56288194445</v>
      </c>
      <c r="C252" s="1" t="n">
        <v>45983</v>
      </c>
      <c r="D252" t="inlineStr">
        <is>
          <t>UPPSALA LÄN</t>
        </is>
      </c>
      <c r="E252" t="inlineStr">
        <is>
          <t>ENKÖPING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54541-2025</t>
        </is>
      </c>
      <c r="B253" s="1" t="n">
        <v>45965.64733796296</v>
      </c>
      <c r="C253" s="1" t="n">
        <v>45983</v>
      </c>
      <c r="D253" t="inlineStr">
        <is>
          <t>UPPSALA LÄN</t>
        </is>
      </c>
      <c r="E253" t="inlineStr">
        <is>
          <t>ENKÖPING</t>
        </is>
      </c>
      <c r="G253" t="n">
        <v>3.1</v>
      </c>
      <c r="H253" t="n">
        <v>0</v>
      </c>
      <c r="I253" t="n">
        <v>0</v>
      </c>
      <c r="J253" t="n">
        <v>0</v>
      </c>
      <c r="K253" t="n">
        <v>0</v>
      </c>
      <c r="L253" t="n">
        <v>0</v>
      </c>
      <c r="M253" t="n">
        <v>0</v>
      </c>
      <c r="N253" t="n">
        <v>0</v>
      </c>
      <c r="O253" t="n">
        <v>0</v>
      </c>
      <c r="P253" t="n">
        <v>0</v>
      </c>
      <c r="Q253" t="n">
        <v>0</v>
      </c>
      <c r="R253" s="2" t="inlineStr"/>
    </row>
    <row r="254" ht="15" customHeight="1">
      <c r="A254" t="inlineStr">
        <is>
          <t>A 56837-2024</t>
        </is>
      </c>
      <c r="B254" s="1" t="n">
        <v>45628</v>
      </c>
      <c r="C254" s="1" t="n">
        <v>45983</v>
      </c>
      <c r="D254" t="inlineStr">
        <is>
          <t>UPPSALA LÄN</t>
        </is>
      </c>
      <c r="E254" t="inlineStr">
        <is>
          <t>ENKÖPING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54844-2025</t>
        </is>
      </c>
      <c r="B255" s="1" t="n">
        <v>45966.69570601852</v>
      </c>
      <c r="C255" s="1" t="n">
        <v>45983</v>
      </c>
      <c r="D255" t="inlineStr">
        <is>
          <t>UPPSALA LÄN</t>
        </is>
      </c>
      <c r="E255" t="inlineStr">
        <is>
          <t>ENKÖPING</t>
        </is>
      </c>
      <c r="G255" t="n">
        <v>5.5</v>
      </c>
      <c r="H255" t="n">
        <v>0</v>
      </c>
      <c r="I255" t="n">
        <v>0</v>
      </c>
      <c r="J255" t="n">
        <v>0</v>
      </c>
      <c r="K255" t="n">
        <v>0</v>
      </c>
      <c r="L255" t="n">
        <v>0</v>
      </c>
      <c r="M255" t="n">
        <v>0</v>
      </c>
      <c r="N255" t="n">
        <v>0</v>
      </c>
      <c r="O255" t="n">
        <v>0</v>
      </c>
      <c r="P255" t="n">
        <v>0</v>
      </c>
      <c r="Q255" t="n">
        <v>0</v>
      </c>
      <c r="R255" s="2" t="inlineStr"/>
    </row>
    <row r="256" ht="15" customHeight="1">
      <c r="A256" t="inlineStr">
        <is>
          <t>A 45755-2025</t>
        </is>
      </c>
      <c r="B256" s="1" t="n">
        <v>45923.50240740741</v>
      </c>
      <c r="C256" s="1" t="n">
        <v>45983</v>
      </c>
      <c r="D256" t="inlineStr">
        <is>
          <t>UPPSALA LÄN</t>
        </is>
      </c>
      <c r="E256" t="inlineStr">
        <is>
          <t>ENKÖPING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17844-2025</t>
        </is>
      </c>
      <c r="B257" s="1" t="n">
        <v>45758.59920138889</v>
      </c>
      <c r="C257" s="1" t="n">
        <v>45983</v>
      </c>
      <c r="D257" t="inlineStr">
        <is>
          <t>UPPSALA LÄN</t>
        </is>
      </c>
      <c r="E257" t="inlineStr">
        <is>
          <t>ENKÖPING</t>
        </is>
      </c>
      <c r="G257" t="n">
        <v>1.4</v>
      </c>
      <c r="H257" t="n">
        <v>0</v>
      </c>
      <c r="I257" t="n">
        <v>0</v>
      </c>
      <c r="J257" t="n">
        <v>0</v>
      </c>
      <c r="K257" t="n">
        <v>0</v>
      </c>
      <c r="L257" t="n">
        <v>0</v>
      </c>
      <c r="M257" t="n">
        <v>0</v>
      </c>
      <c r="N257" t="n">
        <v>0</v>
      </c>
      <c r="O257" t="n">
        <v>0</v>
      </c>
      <c r="P257" t="n">
        <v>0</v>
      </c>
      <c r="Q257" t="n">
        <v>0</v>
      </c>
      <c r="R257" s="2" t="inlineStr"/>
    </row>
    <row r="258" ht="15" customHeight="1">
      <c r="A258" t="inlineStr">
        <is>
          <t>A 27837-2025</t>
        </is>
      </c>
      <c r="B258" s="1" t="n">
        <v>45817.37207175926</v>
      </c>
      <c r="C258" s="1" t="n">
        <v>45983</v>
      </c>
      <c r="D258" t="inlineStr">
        <is>
          <t>UPPSALA LÄN</t>
        </is>
      </c>
      <c r="E258" t="inlineStr">
        <is>
          <t>ENKÖPING</t>
        </is>
      </c>
      <c r="G258" t="n">
        <v>7.3</v>
      </c>
      <c r="H258" t="n">
        <v>0</v>
      </c>
      <c r="I258" t="n">
        <v>0</v>
      </c>
      <c r="J258" t="n">
        <v>0</v>
      </c>
      <c r="K258" t="n">
        <v>0</v>
      </c>
      <c r="L258" t="n">
        <v>0</v>
      </c>
      <c r="M258" t="n">
        <v>0</v>
      </c>
      <c r="N258" t="n">
        <v>0</v>
      </c>
      <c r="O258" t="n">
        <v>0</v>
      </c>
      <c r="P258" t="n">
        <v>0</v>
      </c>
      <c r="Q258" t="n">
        <v>0</v>
      </c>
      <c r="R258" s="2" t="inlineStr"/>
    </row>
    <row r="259" ht="15" customHeight="1">
      <c r="A259" t="inlineStr">
        <is>
          <t>A 29513-2025</t>
        </is>
      </c>
      <c r="B259" s="1" t="n">
        <v>45825</v>
      </c>
      <c r="C259" s="1" t="n">
        <v>45983</v>
      </c>
      <c r="D259" t="inlineStr">
        <is>
          <t>UPPSALA LÄN</t>
        </is>
      </c>
      <c r="E259" t="inlineStr">
        <is>
          <t>ENKÖPING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46590-2025</t>
        </is>
      </c>
      <c r="B260" s="1" t="n">
        <v>45926.39542824074</v>
      </c>
      <c r="C260" s="1" t="n">
        <v>45983</v>
      </c>
      <c r="D260" t="inlineStr">
        <is>
          <t>UPPSALA LÄN</t>
        </is>
      </c>
      <c r="E260" t="inlineStr">
        <is>
          <t>ENKÖPING</t>
        </is>
      </c>
      <c r="G260" t="n">
        <v>2.7</v>
      </c>
      <c r="H260" t="n">
        <v>0</v>
      </c>
      <c r="I260" t="n">
        <v>0</v>
      </c>
      <c r="J260" t="n">
        <v>0</v>
      </c>
      <c r="K260" t="n">
        <v>0</v>
      </c>
      <c r="L260" t="n">
        <v>0</v>
      </c>
      <c r="M260" t="n">
        <v>0</v>
      </c>
      <c r="N260" t="n">
        <v>0</v>
      </c>
      <c r="O260" t="n">
        <v>0</v>
      </c>
      <c r="P260" t="n">
        <v>0</v>
      </c>
      <c r="Q260" t="n">
        <v>0</v>
      </c>
      <c r="R260" s="2" t="inlineStr"/>
    </row>
    <row r="261" ht="15" customHeight="1">
      <c r="A261" t="inlineStr">
        <is>
          <t>A 55876-2024</t>
        </is>
      </c>
      <c r="B261" s="1" t="n">
        <v>45623.5546412037</v>
      </c>
      <c r="C261" s="1" t="n">
        <v>45983</v>
      </c>
      <c r="D261" t="inlineStr">
        <is>
          <t>UPPSALA LÄN</t>
        </is>
      </c>
      <c r="E261" t="inlineStr">
        <is>
          <t>ENKÖPING</t>
        </is>
      </c>
      <c r="G261" t="n">
        <v>0.7</v>
      </c>
      <c r="H261" t="n">
        <v>0</v>
      </c>
      <c r="I261" t="n">
        <v>0</v>
      </c>
      <c r="J261" t="n">
        <v>0</v>
      </c>
      <c r="K261" t="n">
        <v>0</v>
      </c>
      <c r="L261" t="n">
        <v>0</v>
      </c>
      <c r="M261" t="n">
        <v>0</v>
      </c>
      <c r="N261" t="n">
        <v>0</v>
      </c>
      <c r="O261" t="n">
        <v>0</v>
      </c>
      <c r="P261" t="n">
        <v>0</v>
      </c>
      <c r="Q261" t="n">
        <v>0</v>
      </c>
      <c r="R261" s="2" t="inlineStr"/>
    </row>
    <row r="262" ht="15" customHeight="1">
      <c r="A262" t="inlineStr">
        <is>
          <t>A 34989-2025</t>
        </is>
      </c>
      <c r="B262" s="1" t="n">
        <v>45849</v>
      </c>
      <c r="C262" s="1" t="n">
        <v>45983</v>
      </c>
      <c r="D262" t="inlineStr">
        <is>
          <t>UPPSALA LÄN</t>
        </is>
      </c>
      <c r="E262" t="inlineStr">
        <is>
          <t>ENKÖPING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25334-2023</t>
        </is>
      </c>
      <c r="B263" s="1" t="n">
        <v>45083</v>
      </c>
      <c r="C263" s="1" t="n">
        <v>45983</v>
      </c>
      <c r="D263" t="inlineStr">
        <is>
          <t>UPPSALA LÄN</t>
        </is>
      </c>
      <c r="E263" t="inlineStr">
        <is>
          <t>ENKÖPING</t>
        </is>
      </c>
      <c r="G263" t="n">
        <v>0.2</v>
      </c>
      <c r="H263" t="n">
        <v>0</v>
      </c>
      <c r="I263" t="n">
        <v>0</v>
      </c>
      <c r="J263" t="n">
        <v>0</v>
      </c>
      <c r="K263" t="n">
        <v>0</v>
      </c>
      <c r="L263" t="n">
        <v>0</v>
      </c>
      <c r="M263" t="n">
        <v>0</v>
      </c>
      <c r="N263" t="n">
        <v>0</v>
      </c>
      <c r="O263" t="n">
        <v>0</v>
      </c>
      <c r="P263" t="n">
        <v>0</v>
      </c>
      <c r="Q263" t="n">
        <v>0</v>
      </c>
      <c r="R263" s="2" t="inlineStr"/>
    </row>
    <row r="264" ht="15" customHeight="1">
      <c r="A264" t="inlineStr">
        <is>
          <t>A 34990-2025</t>
        </is>
      </c>
      <c r="B264" s="1" t="n">
        <v>45849.78916666667</v>
      </c>
      <c r="C264" s="1" t="n">
        <v>45983</v>
      </c>
      <c r="D264" t="inlineStr">
        <is>
          <t>UPPSALA LÄN</t>
        </is>
      </c>
      <c r="E264" t="inlineStr">
        <is>
          <t>ENKÖPING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21501-2025</t>
        </is>
      </c>
      <c r="B265" s="1" t="n">
        <v>45782</v>
      </c>
      <c r="C265" s="1" t="n">
        <v>45983</v>
      </c>
      <c r="D265" t="inlineStr">
        <is>
          <t>UPPSALA LÄN</t>
        </is>
      </c>
      <c r="E265" t="inlineStr">
        <is>
          <t>ENKÖPING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33349-2024</t>
        </is>
      </c>
      <c r="B266" s="1" t="n">
        <v>45519</v>
      </c>
      <c r="C266" s="1" t="n">
        <v>45983</v>
      </c>
      <c r="D266" t="inlineStr">
        <is>
          <t>UPPSALA LÄN</t>
        </is>
      </c>
      <c r="E266" t="inlineStr">
        <is>
          <t>ENKÖPING</t>
        </is>
      </c>
      <c r="G266" t="n">
        <v>3.6</v>
      </c>
      <c r="H266" t="n">
        <v>0</v>
      </c>
      <c r="I266" t="n">
        <v>0</v>
      </c>
      <c r="J266" t="n">
        <v>0</v>
      </c>
      <c r="K266" t="n">
        <v>0</v>
      </c>
      <c r="L266" t="n">
        <v>0</v>
      </c>
      <c r="M266" t="n">
        <v>0</v>
      </c>
      <c r="N266" t="n">
        <v>0</v>
      </c>
      <c r="O266" t="n">
        <v>0</v>
      </c>
      <c r="P266" t="n">
        <v>0</v>
      </c>
      <c r="Q266" t="n">
        <v>0</v>
      </c>
      <c r="R266" s="2" t="inlineStr"/>
    </row>
    <row r="267" ht="15" customHeight="1">
      <c r="A267" t="inlineStr">
        <is>
          <t>A 34987-2025</t>
        </is>
      </c>
      <c r="B267" s="1" t="n">
        <v>45849</v>
      </c>
      <c r="C267" s="1" t="n">
        <v>45983</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55567-2025</t>
        </is>
      </c>
      <c r="B268" s="1" t="n">
        <v>45971.65589120371</v>
      </c>
      <c r="C268" s="1" t="n">
        <v>45983</v>
      </c>
      <c r="D268" t="inlineStr">
        <is>
          <t>UPPSALA LÄN</t>
        </is>
      </c>
      <c r="E268" t="inlineStr">
        <is>
          <t>ENKÖPING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34988-2025</t>
        </is>
      </c>
      <c r="B269" s="1" t="n">
        <v>45849</v>
      </c>
      <c r="C269" s="1" t="n">
        <v>45983</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47441-2025</t>
        </is>
      </c>
      <c r="B270" s="1" t="n">
        <v>45930.63986111111</v>
      </c>
      <c r="C270" s="1" t="n">
        <v>45983</v>
      </c>
      <c r="D270" t="inlineStr">
        <is>
          <t>UPPSALA LÄN</t>
        </is>
      </c>
      <c r="E270" t="inlineStr">
        <is>
          <t>ENKÖPING</t>
        </is>
      </c>
      <c r="F270" t="inlineStr">
        <is>
          <t>Allmännings- och besparingsskogar</t>
        </is>
      </c>
      <c r="G270" t="n">
        <v>11.5</v>
      </c>
      <c r="H270" t="n">
        <v>0</v>
      </c>
      <c r="I270" t="n">
        <v>0</v>
      </c>
      <c r="J270" t="n">
        <v>0</v>
      </c>
      <c r="K270" t="n">
        <v>0</v>
      </c>
      <c r="L270" t="n">
        <v>0</v>
      </c>
      <c r="M270" t="n">
        <v>0</v>
      </c>
      <c r="N270" t="n">
        <v>0</v>
      </c>
      <c r="O270" t="n">
        <v>0</v>
      </c>
      <c r="P270" t="n">
        <v>0</v>
      </c>
      <c r="Q270" t="n">
        <v>0</v>
      </c>
      <c r="R270" s="2" t="inlineStr"/>
    </row>
    <row r="271" ht="15" customHeight="1">
      <c r="A271" t="inlineStr">
        <is>
          <t>A 53587-2024</t>
        </is>
      </c>
      <c r="B271" s="1" t="n">
        <v>45614.66953703704</v>
      </c>
      <c r="C271" s="1" t="n">
        <v>45983</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46940-2025</t>
        </is>
      </c>
      <c r="B272" s="1" t="n">
        <v>45929.45483796296</v>
      </c>
      <c r="C272" s="1" t="n">
        <v>45983</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36350-2025</t>
        </is>
      </c>
      <c r="B273" s="1" t="n">
        <v>45868</v>
      </c>
      <c r="C273" s="1" t="n">
        <v>45983</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25989-2025</t>
        </is>
      </c>
      <c r="B274" s="1" t="n">
        <v>45804.65050925926</v>
      </c>
      <c r="C274" s="1" t="n">
        <v>45983</v>
      </c>
      <c r="D274" t="inlineStr">
        <is>
          <t>UPPSALA LÄN</t>
        </is>
      </c>
      <c r="E274" t="inlineStr">
        <is>
          <t>ENKÖPING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36599-2025</t>
        </is>
      </c>
      <c r="B275" s="1" t="n">
        <v>45870.51723379629</v>
      </c>
      <c r="C275" s="1" t="n">
        <v>45983</v>
      </c>
      <c r="D275" t="inlineStr">
        <is>
          <t>UPPSALA LÄN</t>
        </is>
      </c>
      <c r="E275" t="inlineStr">
        <is>
          <t>ENKÖPING</t>
        </is>
      </c>
      <c r="G275" t="n">
        <v>5.9</v>
      </c>
      <c r="H275" t="n">
        <v>0</v>
      </c>
      <c r="I275" t="n">
        <v>0</v>
      </c>
      <c r="J275" t="n">
        <v>0</v>
      </c>
      <c r="K275" t="n">
        <v>0</v>
      </c>
      <c r="L275" t="n">
        <v>0</v>
      </c>
      <c r="M275" t="n">
        <v>0</v>
      </c>
      <c r="N275" t="n">
        <v>0</v>
      </c>
      <c r="O275" t="n">
        <v>0</v>
      </c>
      <c r="P275" t="n">
        <v>0</v>
      </c>
      <c r="Q275" t="n">
        <v>0</v>
      </c>
      <c r="R275" s="2" t="inlineStr"/>
    </row>
    <row r="276" ht="15" customHeight="1">
      <c r="A276" t="inlineStr">
        <is>
          <t>A 36492-2025</t>
        </is>
      </c>
      <c r="B276" s="1" t="n">
        <v>45869</v>
      </c>
      <c r="C276" s="1" t="n">
        <v>45983</v>
      </c>
      <c r="D276" t="inlineStr">
        <is>
          <t>UPPSALA LÄN</t>
        </is>
      </c>
      <c r="E276" t="inlineStr">
        <is>
          <t>ENKÖPING</t>
        </is>
      </c>
      <c r="G276" t="n">
        <v>6.3</v>
      </c>
      <c r="H276" t="n">
        <v>0</v>
      </c>
      <c r="I276" t="n">
        <v>0</v>
      </c>
      <c r="J276" t="n">
        <v>0</v>
      </c>
      <c r="K276" t="n">
        <v>0</v>
      </c>
      <c r="L276" t="n">
        <v>0</v>
      </c>
      <c r="M276" t="n">
        <v>0</v>
      </c>
      <c r="N276" t="n">
        <v>0</v>
      </c>
      <c r="O276" t="n">
        <v>0</v>
      </c>
      <c r="P276" t="n">
        <v>0</v>
      </c>
      <c r="Q276" t="n">
        <v>0</v>
      </c>
      <c r="R276" s="2" t="inlineStr"/>
    </row>
    <row r="277" ht="15" customHeight="1">
      <c r="A277" t="inlineStr">
        <is>
          <t>A 18583-2021</t>
        </is>
      </c>
      <c r="B277" s="1" t="n">
        <v>44306</v>
      </c>
      <c r="C277" s="1" t="n">
        <v>45983</v>
      </c>
      <c r="D277" t="inlineStr">
        <is>
          <t>UPPSALA LÄN</t>
        </is>
      </c>
      <c r="E277" t="inlineStr">
        <is>
          <t>ENKÖPING</t>
        </is>
      </c>
      <c r="G277" t="n">
        <v>0.4</v>
      </c>
      <c r="H277" t="n">
        <v>0</v>
      </c>
      <c r="I277" t="n">
        <v>0</v>
      </c>
      <c r="J277" t="n">
        <v>0</v>
      </c>
      <c r="K277" t="n">
        <v>0</v>
      </c>
      <c r="L277" t="n">
        <v>0</v>
      </c>
      <c r="M277" t="n">
        <v>0</v>
      </c>
      <c r="N277" t="n">
        <v>0</v>
      </c>
      <c r="O277" t="n">
        <v>0</v>
      </c>
      <c r="P277" t="n">
        <v>0</v>
      </c>
      <c r="Q277" t="n">
        <v>0</v>
      </c>
      <c r="R277" s="2" t="inlineStr"/>
    </row>
    <row r="278" ht="15" customHeight="1">
      <c r="A278" t="inlineStr">
        <is>
          <t>A 60125-2024</t>
        </is>
      </c>
      <c r="B278" s="1" t="n">
        <v>45642</v>
      </c>
      <c r="C278" s="1" t="n">
        <v>45983</v>
      </c>
      <c r="D278" t="inlineStr">
        <is>
          <t>UPPSALA LÄN</t>
        </is>
      </c>
      <c r="E278" t="inlineStr">
        <is>
          <t>ENKÖPING</t>
        </is>
      </c>
      <c r="G278" t="n">
        <v>2.1</v>
      </c>
      <c r="H278" t="n">
        <v>0</v>
      </c>
      <c r="I278" t="n">
        <v>0</v>
      </c>
      <c r="J278" t="n">
        <v>0</v>
      </c>
      <c r="K278" t="n">
        <v>0</v>
      </c>
      <c r="L278" t="n">
        <v>0</v>
      </c>
      <c r="M278" t="n">
        <v>0</v>
      </c>
      <c r="N278" t="n">
        <v>0</v>
      </c>
      <c r="O278" t="n">
        <v>0</v>
      </c>
      <c r="P278" t="n">
        <v>0</v>
      </c>
      <c r="Q278" t="n">
        <v>0</v>
      </c>
      <c r="R278" s="2" t="inlineStr"/>
    </row>
    <row r="279" ht="15" customHeight="1">
      <c r="A279" t="inlineStr">
        <is>
          <t>A 1695-2025</t>
        </is>
      </c>
      <c r="B279" s="1" t="n">
        <v>45670</v>
      </c>
      <c r="C279" s="1" t="n">
        <v>45983</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59027-2024</t>
        </is>
      </c>
      <c r="B280" s="1" t="n">
        <v>45636.68755787037</v>
      </c>
      <c r="C280" s="1" t="n">
        <v>45983</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42564-2024</t>
        </is>
      </c>
      <c r="B281" s="1" t="n">
        <v>45565.63358796296</v>
      </c>
      <c r="C281" s="1" t="n">
        <v>45983</v>
      </c>
      <c r="D281" t="inlineStr">
        <is>
          <t>UPPSALA LÄN</t>
        </is>
      </c>
      <c r="E281" t="inlineStr">
        <is>
          <t>ENKÖPING</t>
        </is>
      </c>
      <c r="G281" t="n">
        <v>1.7</v>
      </c>
      <c r="H281" t="n">
        <v>0</v>
      </c>
      <c r="I281" t="n">
        <v>0</v>
      </c>
      <c r="J281" t="n">
        <v>0</v>
      </c>
      <c r="K281" t="n">
        <v>0</v>
      </c>
      <c r="L281" t="n">
        <v>0</v>
      </c>
      <c r="M281" t="n">
        <v>0</v>
      </c>
      <c r="N281" t="n">
        <v>0</v>
      </c>
      <c r="O281" t="n">
        <v>0</v>
      </c>
      <c r="P281" t="n">
        <v>0</v>
      </c>
      <c r="Q281" t="n">
        <v>0</v>
      </c>
      <c r="R281" s="2" t="inlineStr"/>
    </row>
    <row r="282" ht="15" customHeight="1">
      <c r="A282" t="inlineStr">
        <is>
          <t>A 37319-2025</t>
        </is>
      </c>
      <c r="B282" s="1" t="n">
        <v>45876</v>
      </c>
      <c r="C282" s="1" t="n">
        <v>45983</v>
      </c>
      <c r="D282" t="inlineStr">
        <is>
          <t>UPPSALA LÄN</t>
        </is>
      </c>
      <c r="E282" t="inlineStr">
        <is>
          <t>ENKÖPING</t>
        </is>
      </c>
      <c r="G282" t="n">
        <v>9.5</v>
      </c>
      <c r="H282" t="n">
        <v>0</v>
      </c>
      <c r="I282" t="n">
        <v>0</v>
      </c>
      <c r="J282" t="n">
        <v>0</v>
      </c>
      <c r="K282" t="n">
        <v>0</v>
      </c>
      <c r="L282" t="n">
        <v>0</v>
      </c>
      <c r="M282" t="n">
        <v>0</v>
      </c>
      <c r="N282" t="n">
        <v>0</v>
      </c>
      <c r="O282" t="n">
        <v>0</v>
      </c>
      <c r="P282" t="n">
        <v>0</v>
      </c>
      <c r="Q282" t="n">
        <v>0</v>
      </c>
      <c r="R282" s="2" t="inlineStr"/>
    </row>
    <row r="283" ht="15" customHeight="1">
      <c r="A283" t="inlineStr">
        <is>
          <t>A 37296-2025</t>
        </is>
      </c>
      <c r="B283" s="1" t="n">
        <v>45876</v>
      </c>
      <c r="C283" s="1" t="n">
        <v>45983</v>
      </c>
      <c r="D283" t="inlineStr">
        <is>
          <t>UPPSALA LÄN</t>
        </is>
      </c>
      <c r="E283" t="inlineStr">
        <is>
          <t>ENKÖPING</t>
        </is>
      </c>
      <c r="G283" t="n">
        <v>9.5</v>
      </c>
      <c r="H283" t="n">
        <v>0</v>
      </c>
      <c r="I283" t="n">
        <v>0</v>
      </c>
      <c r="J283" t="n">
        <v>0</v>
      </c>
      <c r="K283" t="n">
        <v>0</v>
      </c>
      <c r="L283" t="n">
        <v>0</v>
      </c>
      <c r="M283" t="n">
        <v>0</v>
      </c>
      <c r="N283" t="n">
        <v>0</v>
      </c>
      <c r="O283" t="n">
        <v>0</v>
      </c>
      <c r="P283" t="n">
        <v>0</v>
      </c>
      <c r="Q283" t="n">
        <v>0</v>
      </c>
      <c r="R283" s="2" t="inlineStr"/>
    </row>
    <row r="284" ht="15" customHeight="1">
      <c r="A284" t="inlineStr">
        <is>
          <t>A 3235-2025</t>
        </is>
      </c>
      <c r="B284" s="1" t="n">
        <v>45679</v>
      </c>
      <c r="C284" s="1" t="n">
        <v>45983</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15711-2025</t>
        </is>
      </c>
      <c r="B285" s="1" t="n">
        <v>45748</v>
      </c>
      <c r="C285" s="1" t="n">
        <v>45983</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37498-2025</t>
        </is>
      </c>
      <c r="B286" s="1" t="n">
        <v>45877</v>
      </c>
      <c r="C286" s="1" t="n">
        <v>45983</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56625-2025</t>
        </is>
      </c>
      <c r="B287" s="1" t="n">
        <v>45975.60608796297</v>
      </c>
      <c r="C287" s="1" t="n">
        <v>45983</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49622-2024</t>
        </is>
      </c>
      <c r="B288" s="1" t="n">
        <v>45596.58372685185</v>
      </c>
      <c r="C288" s="1" t="n">
        <v>45983</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6959-2025</t>
        </is>
      </c>
      <c r="B289" s="1" t="n">
        <v>45701.49315972222</v>
      </c>
      <c r="C289" s="1" t="n">
        <v>45983</v>
      </c>
      <c r="D289" t="inlineStr">
        <is>
          <t>UPPSALA LÄN</t>
        </is>
      </c>
      <c r="E289" t="inlineStr">
        <is>
          <t>ENKÖPING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67765-2020</t>
        </is>
      </c>
      <c r="B290" s="1" t="n">
        <v>44182</v>
      </c>
      <c r="C290" s="1" t="n">
        <v>45983</v>
      </c>
      <c r="D290" t="inlineStr">
        <is>
          <t>UPPSALA LÄN</t>
        </is>
      </c>
      <c r="E290" t="inlineStr">
        <is>
          <t>ENKÖPING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17165-2025</t>
        </is>
      </c>
      <c r="B291" s="1" t="n">
        <v>45756</v>
      </c>
      <c r="C291" s="1" t="n">
        <v>45983</v>
      </c>
      <c r="D291" t="inlineStr">
        <is>
          <t>UPPSALA LÄN</t>
        </is>
      </c>
      <c r="E291" t="inlineStr">
        <is>
          <t>ENKÖPING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48423-2025</t>
        </is>
      </c>
      <c r="B292" s="1" t="n">
        <v>45934.68024305555</v>
      </c>
      <c r="C292" s="1" t="n">
        <v>45983</v>
      </c>
      <c r="D292" t="inlineStr">
        <is>
          <t>UPPSALA LÄN</t>
        </is>
      </c>
      <c r="E292" t="inlineStr">
        <is>
          <t>ENKÖPING</t>
        </is>
      </c>
      <c r="G292" t="n">
        <v>4.3</v>
      </c>
      <c r="H292" t="n">
        <v>0</v>
      </c>
      <c r="I292" t="n">
        <v>0</v>
      </c>
      <c r="J292" t="n">
        <v>0</v>
      </c>
      <c r="K292" t="n">
        <v>0</v>
      </c>
      <c r="L292" t="n">
        <v>0</v>
      </c>
      <c r="M292" t="n">
        <v>0</v>
      </c>
      <c r="N292" t="n">
        <v>0</v>
      </c>
      <c r="O292" t="n">
        <v>0</v>
      </c>
      <c r="P292" t="n">
        <v>0</v>
      </c>
      <c r="Q292" t="n">
        <v>0</v>
      </c>
      <c r="R292" s="2" t="inlineStr"/>
    </row>
    <row r="293" ht="15" customHeight="1">
      <c r="A293" t="inlineStr">
        <is>
          <t>A 48424-2025</t>
        </is>
      </c>
      <c r="B293" s="1" t="n">
        <v>45934.69131944444</v>
      </c>
      <c r="C293" s="1" t="n">
        <v>45983</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52299-2023</t>
        </is>
      </c>
      <c r="B294" s="1" t="n">
        <v>45224.61636574074</v>
      </c>
      <c r="C294" s="1" t="n">
        <v>45983</v>
      </c>
      <c r="D294" t="inlineStr">
        <is>
          <t>UPPSALA LÄN</t>
        </is>
      </c>
      <c r="E294" t="inlineStr">
        <is>
          <t>ENKÖPING</t>
        </is>
      </c>
      <c r="G294" t="n">
        <v>2.2</v>
      </c>
      <c r="H294" t="n">
        <v>0</v>
      </c>
      <c r="I294" t="n">
        <v>0</v>
      </c>
      <c r="J294" t="n">
        <v>0</v>
      </c>
      <c r="K294" t="n">
        <v>0</v>
      </c>
      <c r="L294" t="n">
        <v>0</v>
      </c>
      <c r="M294" t="n">
        <v>0</v>
      </c>
      <c r="N294" t="n">
        <v>0</v>
      </c>
      <c r="O294" t="n">
        <v>0</v>
      </c>
      <c r="P294" t="n">
        <v>0</v>
      </c>
      <c r="Q294" t="n">
        <v>0</v>
      </c>
      <c r="R294" s="2" t="inlineStr"/>
    </row>
    <row r="295" ht="15" customHeight="1">
      <c r="A295" t="inlineStr">
        <is>
          <t>A 25598-2021</t>
        </is>
      </c>
      <c r="B295" s="1" t="n">
        <v>44343.4558912037</v>
      </c>
      <c r="C295" s="1" t="n">
        <v>45983</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21017-2023</t>
        </is>
      </c>
      <c r="B296" s="1" t="n">
        <v>45061</v>
      </c>
      <c r="C296" s="1" t="n">
        <v>45983</v>
      </c>
      <c r="D296" t="inlineStr">
        <is>
          <t>UPPSALA LÄN</t>
        </is>
      </c>
      <c r="E296" t="inlineStr">
        <is>
          <t>ENKÖPING</t>
        </is>
      </c>
      <c r="G296" t="n">
        <v>4.8</v>
      </c>
      <c r="H296" t="n">
        <v>0</v>
      </c>
      <c r="I296" t="n">
        <v>0</v>
      </c>
      <c r="J296" t="n">
        <v>0</v>
      </c>
      <c r="K296" t="n">
        <v>0</v>
      </c>
      <c r="L296" t="n">
        <v>0</v>
      </c>
      <c r="M296" t="n">
        <v>0</v>
      </c>
      <c r="N296" t="n">
        <v>0</v>
      </c>
      <c r="O296" t="n">
        <v>0</v>
      </c>
      <c r="P296" t="n">
        <v>0</v>
      </c>
      <c r="Q296" t="n">
        <v>0</v>
      </c>
      <c r="R296" s="2" t="inlineStr"/>
    </row>
    <row r="297" ht="15" customHeight="1">
      <c r="A297" t="inlineStr">
        <is>
          <t>A 48678-2025</t>
        </is>
      </c>
      <c r="B297" s="1" t="n">
        <v>45936.59168981481</v>
      </c>
      <c r="C297" s="1" t="n">
        <v>45983</v>
      </c>
      <c r="D297" t="inlineStr">
        <is>
          <t>UPPSALA LÄN</t>
        </is>
      </c>
      <c r="E297" t="inlineStr">
        <is>
          <t>ENKÖPING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32081-2024</t>
        </is>
      </c>
      <c r="B298" s="1" t="n">
        <v>45511.34605324074</v>
      </c>
      <c r="C298" s="1" t="n">
        <v>45983</v>
      </c>
      <c r="D298" t="inlineStr">
        <is>
          <t>UPPSALA LÄN</t>
        </is>
      </c>
      <c r="E298" t="inlineStr">
        <is>
          <t>ENKÖPING</t>
        </is>
      </c>
      <c r="G298" t="n">
        <v>5.4</v>
      </c>
      <c r="H298" t="n">
        <v>0</v>
      </c>
      <c r="I298" t="n">
        <v>0</v>
      </c>
      <c r="J298" t="n">
        <v>0</v>
      </c>
      <c r="K298" t="n">
        <v>0</v>
      </c>
      <c r="L298" t="n">
        <v>0</v>
      </c>
      <c r="M298" t="n">
        <v>0</v>
      </c>
      <c r="N298" t="n">
        <v>0</v>
      </c>
      <c r="O298" t="n">
        <v>0</v>
      </c>
      <c r="P298" t="n">
        <v>0</v>
      </c>
      <c r="Q298" t="n">
        <v>0</v>
      </c>
      <c r="R298" s="2" t="inlineStr"/>
    </row>
    <row r="299" ht="15" customHeight="1">
      <c r="A299" t="inlineStr">
        <is>
          <t>A 56176-2021</t>
        </is>
      </c>
      <c r="B299" s="1" t="n">
        <v>44477</v>
      </c>
      <c r="C299" s="1" t="n">
        <v>45983</v>
      </c>
      <c r="D299" t="inlineStr">
        <is>
          <t>UPPSALA LÄN</t>
        </is>
      </c>
      <c r="E299" t="inlineStr">
        <is>
          <t>ENKÖPING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20184-2023</t>
        </is>
      </c>
      <c r="B300" s="1" t="n">
        <v>45055.5670949074</v>
      </c>
      <c r="C300" s="1" t="n">
        <v>45983</v>
      </c>
      <c r="D300" t="inlineStr">
        <is>
          <t>UPPSALA LÄN</t>
        </is>
      </c>
      <c r="E300" t="inlineStr">
        <is>
          <t>ENKÖPING</t>
        </is>
      </c>
      <c r="G300" t="n">
        <v>3.2</v>
      </c>
      <c r="H300" t="n">
        <v>0</v>
      </c>
      <c r="I300" t="n">
        <v>0</v>
      </c>
      <c r="J300" t="n">
        <v>0</v>
      </c>
      <c r="K300" t="n">
        <v>0</v>
      </c>
      <c r="L300" t="n">
        <v>0</v>
      </c>
      <c r="M300" t="n">
        <v>0</v>
      </c>
      <c r="N300" t="n">
        <v>0</v>
      </c>
      <c r="O300" t="n">
        <v>0</v>
      </c>
      <c r="P300" t="n">
        <v>0</v>
      </c>
      <c r="Q300" t="n">
        <v>0</v>
      </c>
      <c r="R300" s="2" t="inlineStr"/>
    </row>
    <row r="301" ht="15" customHeight="1">
      <c r="A301" t="inlineStr">
        <is>
          <t>A 57294-2025</t>
        </is>
      </c>
      <c r="B301" s="1" t="n">
        <v>45979</v>
      </c>
      <c r="C301" s="1" t="n">
        <v>45983</v>
      </c>
      <c r="D301" t="inlineStr">
        <is>
          <t>UPPSALA LÄN</t>
        </is>
      </c>
      <c r="E301" t="inlineStr">
        <is>
          <t>ENKÖPING</t>
        </is>
      </c>
      <c r="G301" t="n">
        <v>6.2</v>
      </c>
      <c r="H301" t="n">
        <v>0</v>
      </c>
      <c r="I301" t="n">
        <v>0</v>
      </c>
      <c r="J301" t="n">
        <v>0</v>
      </c>
      <c r="K301" t="n">
        <v>0</v>
      </c>
      <c r="L301" t="n">
        <v>0</v>
      </c>
      <c r="M301" t="n">
        <v>0</v>
      </c>
      <c r="N301" t="n">
        <v>0</v>
      </c>
      <c r="O301" t="n">
        <v>0</v>
      </c>
      <c r="P301" t="n">
        <v>0</v>
      </c>
      <c r="Q301" t="n">
        <v>0</v>
      </c>
      <c r="R301" s="2" t="inlineStr"/>
    </row>
    <row r="302" ht="15" customHeight="1">
      <c r="A302" t="inlineStr">
        <is>
          <t>A 57188-2025</t>
        </is>
      </c>
      <c r="B302" s="1" t="n">
        <v>45979.57570601852</v>
      </c>
      <c r="C302" s="1" t="n">
        <v>45983</v>
      </c>
      <c r="D302" t="inlineStr">
        <is>
          <t>UPPSALA LÄN</t>
        </is>
      </c>
      <c r="E302" t="inlineStr">
        <is>
          <t>ENKÖPING</t>
        </is>
      </c>
      <c r="G302" t="n">
        <v>1.7</v>
      </c>
      <c r="H302" t="n">
        <v>0</v>
      </c>
      <c r="I302" t="n">
        <v>0</v>
      </c>
      <c r="J302" t="n">
        <v>0</v>
      </c>
      <c r="K302" t="n">
        <v>0</v>
      </c>
      <c r="L302" t="n">
        <v>0</v>
      </c>
      <c r="M302" t="n">
        <v>0</v>
      </c>
      <c r="N302" t="n">
        <v>0</v>
      </c>
      <c r="O302" t="n">
        <v>0</v>
      </c>
      <c r="P302" t="n">
        <v>0</v>
      </c>
      <c r="Q302" t="n">
        <v>0</v>
      </c>
      <c r="R302" s="2" t="inlineStr"/>
    </row>
    <row r="303" ht="15" customHeight="1">
      <c r="A303" t="inlineStr">
        <is>
          <t>A 61952-2021</t>
        </is>
      </c>
      <c r="B303" s="1" t="n">
        <v>44502</v>
      </c>
      <c r="C303" s="1" t="n">
        <v>45983</v>
      </c>
      <c r="D303" t="inlineStr">
        <is>
          <t>UPPSALA LÄN</t>
        </is>
      </c>
      <c r="E303" t="inlineStr">
        <is>
          <t>ENKÖPING</t>
        </is>
      </c>
      <c r="G303" t="n">
        <v>2.3</v>
      </c>
      <c r="H303" t="n">
        <v>0</v>
      </c>
      <c r="I303" t="n">
        <v>0</v>
      </c>
      <c r="J303" t="n">
        <v>0</v>
      </c>
      <c r="K303" t="n">
        <v>0</v>
      </c>
      <c r="L303" t="n">
        <v>0</v>
      </c>
      <c r="M303" t="n">
        <v>0</v>
      </c>
      <c r="N303" t="n">
        <v>0</v>
      </c>
      <c r="O303" t="n">
        <v>0</v>
      </c>
      <c r="P303" t="n">
        <v>0</v>
      </c>
      <c r="Q303" t="n">
        <v>0</v>
      </c>
      <c r="R303" s="2" t="inlineStr"/>
    </row>
    <row r="304" ht="15" customHeight="1">
      <c r="A304" t="inlineStr">
        <is>
          <t>A 49068-2025</t>
        </is>
      </c>
      <c r="B304" s="1" t="n">
        <v>45937.64766203704</v>
      </c>
      <c r="C304" s="1" t="n">
        <v>45983</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59602-2022</t>
        </is>
      </c>
      <c r="B305" s="1" t="n">
        <v>44907.72241898148</v>
      </c>
      <c r="C305" s="1" t="n">
        <v>45983</v>
      </c>
      <c r="D305" t="inlineStr">
        <is>
          <t>UPPSALA LÄN</t>
        </is>
      </c>
      <c r="E305" t="inlineStr">
        <is>
          <t>ENKÖPING</t>
        </is>
      </c>
      <c r="G305" t="n">
        <v>14.2</v>
      </c>
      <c r="H305" t="n">
        <v>0</v>
      </c>
      <c r="I305" t="n">
        <v>0</v>
      </c>
      <c r="J305" t="n">
        <v>0</v>
      </c>
      <c r="K305" t="n">
        <v>0</v>
      </c>
      <c r="L305" t="n">
        <v>0</v>
      </c>
      <c r="M305" t="n">
        <v>0</v>
      </c>
      <c r="N305" t="n">
        <v>0</v>
      </c>
      <c r="O305" t="n">
        <v>0</v>
      </c>
      <c r="P305" t="n">
        <v>0</v>
      </c>
      <c r="Q305" t="n">
        <v>0</v>
      </c>
      <c r="R305" s="2" t="inlineStr"/>
    </row>
    <row r="306" ht="15" customHeight="1">
      <c r="A306" t="inlineStr">
        <is>
          <t>A 42589-2022</t>
        </is>
      </c>
      <c r="B306" s="1" t="n">
        <v>44831</v>
      </c>
      <c r="C306" s="1" t="n">
        <v>45983</v>
      </c>
      <c r="D306" t="inlineStr">
        <is>
          <t>UPPSALA LÄN</t>
        </is>
      </c>
      <c r="E306" t="inlineStr">
        <is>
          <t>ENKÖPING</t>
        </is>
      </c>
      <c r="G306" t="n">
        <v>20</v>
      </c>
      <c r="H306" t="n">
        <v>0</v>
      </c>
      <c r="I306" t="n">
        <v>0</v>
      </c>
      <c r="J306" t="n">
        <v>0</v>
      </c>
      <c r="K306" t="n">
        <v>0</v>
      </c>
      <c r="L306" t="n">
        <v>0</v>
      </c>
      <c r="M306" t="n">
        <v>0</v>
      </c>
      <c r="N306" t="n">
        <v>0</v>
      </c>
      <c r="O306" t="n">
        <v>0</v>
      </c>
      <c r="P306" t="n">
        <v>0</v>
      </c>
      <c r="Q306" t="n">
        <v>0</v>
      </c>
      <c r="R306" s="2" t="inlineStr"/>
    </row>
    <row r="307" ht="15" customHeight="1">
      <c r="A307" t="inlineStr">
        <is>
          <t>A 35645-2021</t>
        </is>
      </c>
      <c r="B307" s="1" t="n">
        <v>44386.42</v>
      </c>
      <c r="C307" s="1" t="n">
        <v>45983</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2968-2025</t>
        </is>
      </c>
      <c r="B308" s="1" t="n">
        <v>45678</v>
      </c>
      <c r="C308" s="1" t="n">
        <v>45983</v>
      </c>
      <c r="D308" t="inlineStr">
        <is>
          <t>UPPSALA LÄN</t>
        </is>
      </c>
      <c r="E308" t="inlineStr">
        <is>
          <t>ENKÖPING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39439-2025</t>
        </is>
      </c>
      <c r="B309" s="1" t="n">
        <v>45889</v>
      </c>
      <c r="C309" s="1" t="n">
        <v>45983</v>
      </c>
      <c r="D309" t="inlineStr">
        <is>
          <t>UPPSALA LÄN</t>
        </is>
      </c>
      <c r="E309" t="inlineStr">
        <is>
          <t>ENKÖPING</t>
        </is>
      </c>
      <c r="G309" t="n">
        <v>0.4</v>
      </c>
      <c r="H309" t="n">
        <v>0</v>
      </c>
      <c r="I309" t="n">
        <v>0</v>
      </c>
      <c r="J309" t="n">
        <v>0</v>
      </c>
      <c r="K309" t="n">
        <v>0</v>
      </c>
      <c r="L309" t="n">
        <v>0</v>
      </c>
      <c r="M309" t="n">
        <v>0</v>
      </c>
      <c r="N309" t="n">
        <v>0</v>
      </c>
      <c r="O309" t="n">
        <v>0</v>
      </c>
      <c r="P309" t="n">
        <v>0</v>
      </c>
      <c r="Q309" t="n">
        <v>0</v>
      </c>
      <c r="R309" s="2" t="inlineStr"/>
    </row>
    <row r="310" ht="15" customHeight="1">
      <c r="A310" t="inlineStr">
        <is>
          <t>A 9487-2025</t>
        </is>
      </c>
      <c r="B310" s="1" t="n">
        <v>45715.49331018519</v>
      </c>
      <c r="C310" s="1" t="n">
        <v>45983</v>
      </c>
      <c r="D310" t="inlineStr">
        <is>
          <t>UPPSALA LÄN</t>
        </is>
      </c>
      <c r="E310" t="inlineStr">
        <is>
          <t>ENKÖPING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16176-2025</t>
        </is>
      </c>
      <c r="B311" s="1" t="n">
        <v>45750</v>
      </c>
      <c r="C311" s="1" t="n">
        <v>45983</v>
      </c>
      <c r="D311" t="inlineStr">
        <is>
          <t>UPPSALA LÄN</t>
        </is>
      </c>
      <c r="E311" t="inlineStr">
        <is>
          <t>ENKÖPING</t>
        </is>
      </c>
      <c r="G311" t="n">
        <v>3.9</v>
      </c>
      <c r="H311" t="n">
        <v>0</v>
      </c>
      <c r="I311" t="n">
        <v>0</v>
      </c>
      <c r="J311" t="n">
        <v>0</v>
      </c>
      <c r="K311" t="n">
        <v>0</v>
      </c>
      <c r="L311" t="n">
        <v>0</v>
      </c>
      <c r="M311" t="n">
        <v>0</v>
      </c>
      <c r="N311" t="n">
        <v>0</v>
      </c>
      <c r="O311" t="n">
        <v>0</v>
      </c>
      <c r="P311" t="n">
        <v>0</v>
      </c>
      <c r="Q311" t="n">
        <v>0</v>
      </c>
      <c r="R311" s="2" t="inlineStr"/>
    </row>
    <row r="312" ht="15" customHeight="1">
      <c r="A312" t="inlineStr">
        <is>
          <t>A 37035-2023</t>
        </is>
      </c>
      <c r="B312" s="1" t="n">
        <v>45155</v>
      </c>
      <c r="C312" s="1" t="n">
        <v>45983</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58025-2025</t>
        </is>
      </c>
      <c r="B313" s="1" t="n">
        <v>45982.48221064815</v>
      </c>
      <c r="C313" s="1" t="n">
        <v>45983</v>
      </c>
      <c r="D313" t="inlineStr">
        <is>
          <t>UPPSALA LÄN</t>
        </is>
      </c>
      <c r="E313" t="inlineStr">
        <is>
          <t>ENKÖPING</t>
        </is>
      </c>
      <c r="G313" t="n">
        <v>3.2</v>
      </c>
      <c r="H313" t="n">
        <v>0</v>
      </c>
      <c r="I313" t="n">
        <v>0</v>
      </c>
      <c r="J313" t="n">
        <v>0</v>
      </c>
      <c r="K313" t="n">
        <v>0</v>
      </c>
      <c r="L313" t="n">
        <v>0</v>
      </c>
      <c r="M313" t="n">
        <v>0</v>
      </c>
      <c r="N313" t="n">
        <v>0</v>
      </c>
      <c r="O313" t="n">
        <v>0</v>
      </c>
      <c r="P313" t="n">
        <v>0</v>
      </c>
      <c r="Q313" t="n">
        <v>0</v>
      </c>
      <c r="R313" s="2" t="inlineStr"/>
    </row>
    <row r="314" ht="15" customHeight="1">
      <c r="A314" t="inlineStr">
        <is>
          <t>A 43103-2025</t>
        </is>
      </c>
      <c r="B314" s="1" t="n">
        <v>45909</v>
      </c>
      <c r="C314" s="1" t="n">
        <v>45983</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46186-2023</t>
        </is>
      </c>
      <c r="B315" s="1" t="n">
        <v>45196</v>
      </c>
      <c r="C315" s="1" t="n">
        <v>45983</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15162-2025</t>
        </is>
      </c>
      <c r="B316" s="1" t="n">
        <v>45744</v>
      </c>
      <c r="C316" s="1" t="n">
        <v>45983</v>
      </c>
      <c r="D316" t="inlineStr">
        <is>
          <t>UPPSALA LÄN</t>
        </is>
      </c>
      <c r="E316" t="inlineStr">
        <is>
          <t>ENKÖPING</t>
        </is>
      </c>
      <c r="G316" t="n">
        <v>4.2</v>
      </c>
      <c r="H316" t="n">
        <v>0</v>
      </c>
      <c r="I316" t="n">
        <v>0</v>
      </c>
      <c r="J316" t="n">
        <v>0</v>
      </c>
      <c r="K316" t="n">
        <v>0</v>
      </c>
      <c r="L316" t="n">
        <v>0</v>
      </c>
      <c r="M316" t="n">
        <v>0</v>
      </c>
      <c r="N316" t="n">
        <v>0</v>
      </c>
      <c r="O316" t="n">
        <v>0</v>
      </c>
      <c r="P316" t="n">
        <v>0</v>
      </c>
      <c r="Q316" t="n">
        <v>0</v>
      </c>
      <c r="R316" s="2" t="inlineStr"/>
    </row>
    <row r="317" ht="15" customHeight="1">
      <c r="A317" t="inlineStr">
        <is>
          <t>A 18299-2025</t>
        </is>
      </c>
      <c r="B317" s="1" t="n">
        <v>45762</v>
      </c>
      <c r="C317" s="1" t="n">
        <v>45983</v>
      </c>
      <c r="D317" t="inlineStr">
        <is>
          <t>UPPSALA LÄN</t>
        </is>
      </c>
      <c r="E317" t="inlineStr">
        <is>
          <t>ENKÖPING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6242-2025</t>
        </is>
      </c>
      <c r="B318" s="1" t="n">
        <v>45697</v>
      </c>
      <c r="C318" s="1" t="n">
        <v>45983</v>
      </c>
      <c r="D318" t="inlineStr">
        <is>
          <t>UPPSALA LÄN</t>
        </is>
      </c>
      <c r="E318" t="inlineStr">
        <is>
          <t>ENKÖPING</t>
        </is>
      </c>
      <c r="G318" t="n">
        <v>17.9</v>
      </c>
      <c r="H318" t="n">
        <v>0</v>
      </c>
      <c r="I318" t="n">
        <v>0</v>
      </c>
      <c r="J318" t="n">
        <v>0</v>
      </c>
      <c r="K318" t="n">
        <v>0</v>
      </c>
      <c r="L318" t="n">
        <v>0</v>
      </c>
      <c r="M318" t="n">
        <v>0</v>
      </c>
      <c r="N318" t="n">
        <v>0</v>
      </c>
      <c r="O318" t="n">
        <v>0</v>
      </c>
      <c r="P318" t="n">
        <v>0</v>
      </c>
      <c r="Q318" t="n">
        <v>0</v>
      </c>
      <c r="R318" s="2" t="inlineStr"/>
    </row>
    <row r="319" ht="15" customHeight="1">
      <c r="A319" t="inlineStr">
        <is>
          <t>A 6144-2024</t>
        </is>
      </c>
      <c r="B319" s="1" t="n">
        <v>45337.4684837963</v>
      </c>
      <c r="C319" s="1" t="n">
        <v>45983</v>
      </c>
      <c r="D319" t="inlineStr">
        <is>
          <t>UPPSALA LÄN</t>
        </is>
      </c>
      <c r="E319" t="inlineStr">
        <is>
          <t>ENKÖPING</t>
        </is>
      </c>
      <c r="G319" t="n">
        <v>13.8</v>
      </c>
      <c r="H319" t="n">
        <v>0</v>
      </c>
      <c r="I319" t="n">
        <v>0</v>
      </c>
      <c r="J319" t="n">
        <v>0</v>
      </c>
      <c r="K319" t="n">
        <v>0</v>
      </c>
      <c r="L319" t="n">
        <v>0</v>
      </c>
      <c r="M319" t="n">
        <v>0</v>
      </c>
      <c r="N319" t="n">
        <v>0</v>
      </c>
      <c r="O319" t="n">
        <v>0</v>
      </c>
      <c r="P319" t="n">
        <v>0</v>
      </c>
      <c r="Q319" t="n">
        <v>0</v>
      </c>
      <c r="R319" s="2" t="inlineStr"/>
    </row>
    <row r="320" ht="15" customHeight="1">
      <c r="A320" t="inlineStr">
        <is>
          <t>A 67984-2021</t>
        </is>
      </c>
      <c r="B320" s="1" t="n">
        <v>44525.70237268518</v>
      </c>
      <c r="C320" s="1" t="n">
        <v>45983</v>
      </c>
      <c r="D320" t="inlineStr">
        <is>
          <t>UPPSALA LÄN</t>
        </is>
      </c>
      <c r="E320" t="inlineStr">
        <is>
          <t>ENKÖPING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49073-2025</t>
        </is>
      </c>
      <c r="B321" s="1" t="n">
        <v>45937.65512731481</v>
      </c>
      <c r="C321" s="1" t="n">
        <v>45983</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18592-2021</t>
        </is>
      </c>
      <c r="B322" s="1" t="n">
        <v>44306</v>
      </c>
      <c r="C322" s="1" t="n">
        <v>45983</v>
      </c>
      <c r="D322" t="inlineStr">
        <is>
          <t>UPPSALA LÄN</t>
        </is>
      </c>
      <c r="E322" t="inlineStr">
        <is>
          <t>ENKÖPING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11918-2025</t>
        </is>
      </c>
      <c r="B323" s="1" t="n">
        <v>45728.49331018519</v>
      </c>
      <c r="C323" s="1" t="n">
        <v>45983</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43896-2022</t>
        </is>
      </c>
      <c r="B324" s="1" t="n">
        <v>44838</v>
      </c>
      <c r="C324" s="1" t="n">
        <v>45983</v>
      </c>
      <c r="D324" t="inlineStr">
        <is>
          <t>UPPSALA LÄN</t>
        </is>
      </c>
      <c r="E324" t="inlineStr">
        <is>
          <t>ENKÖPING</t>
        </is>
      </c>
      <c r="G324" t="n">
        <v>5.3</v>
      </c>
      <c r="H324" t="n">
        <v>0</v>
      </c>
      <c r="I324" t="n">
        <v>0</v>
      </c>
      <c r="J324" t="n">
        <v>0</v>
      </c>
      <c r="K324" t="n">
        <v>0</v>
      </c>
      <c r="L324" t="n">
        <v>0</v>
      </c>
      <c r="M324" t="n">
        <v>0</v>
      </c>
      <c r="N324" t="n">
        <v>0</v>
      </c>
      <c r="O324" t="n">
        <v>0</v>
      </c>
      <c r="P324" t="n">
        <v>0</v>
      </c>
      <c r="Q324" t="n">
        <v>0</v>
      </c>
      <c r="R324" s="2" t="inlineStr"/>
    </row>
    <row r="325" ht="15" customHeight="1">
      <c r="A325" t="inlineStr">
        <is>
          <t>A 20440-2025</t>
        </is>
      </c>
      <c r="B325" s="1" t="n">
        <v>45775</v>
      </c>
      <c r="C325" s="1" t="n">
        <v>45983</v>
      </c>
      <c r="D325" t="inlineStr">
        <is>
          <t>UPPSALA LÄN</t>
        </is>
      </c>
      <c r="E325" t="inlineStr">
        <is>
          <t>ENKÖPING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41737-2022</t>
        </is>
      </c>
      <c r="B326" s="1" t="n">
        <v>44827.63826388889</v>
      </c>
      <c r="C326" s="1" t="n">
        <v>45983</v>
      </c>
      <c r="D326" t="inlineStr">
        <is>
          <t>UPPSALA LÄN</t>
        </is>
      </c>
      <c r="E326" t="inlineStr">
        <is>
          <t>ENKÖPING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54595-2021</t>
        </is>
      </c>
      <c r="B327" s="1" t="n">
        <v>44473.58824074074</v>
      </c>
      <c r="C327" s="1" t="n">
        <v>45983</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22094-2023</t>
        </is>
      </c>
      <c r="B328" s="1" t="n">
        <v>45069</v>
      </c>
      <c r="C328" s="1" t="n">
        <v>45983</v>
      </c>
      <c r="D328" t="inlineStr">
        <is>
          <t>UPPSALA LÄN</t>
        </is>
      </c>
      <c r="E328" t="inlineStr">
        <is>
          <t>ENKÖPING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45983</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24962-2023</t>
        </is>
      </c>
      <c r="B330" s="1" t="n">
        <v>45085.60123842592</v>
      </c>
      <c r="C330" s="1" t="n">
        <v>45983</v>
      </c>
      <c r="D330" t="inlineStr">
        <is>
          <t>UPPSALA LÄN</t>
        </is>
      </c>
      <c r="E330" t="inlineStr">
        <is>
          <t>ENKÖPING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44131-2023</t>
        </is>
      </c>
      <c r="B331" s="1" t="n">
        <v>45188</v>
      </c>
      <c r="C331" s="1" t="n">
        <v>45983</v>
      </c>
      <c r="D331" t="inlineStr">
        <is>
          <t>UPPSALA LÄN</t>
        </is>
      </c>
      <c r="E331" t="inlineStr">
        <is>
          <t>ENKÖPING</t>
        </is>
      </c>
      <c r="G331" t="n">
        <v>0.3</v>
      </c>
      <c r="H331" t="n">
        <v>0</v>
      </c>
      <c r="I331" t="n">
        <v>0</v>
      </c>
      <c r="J331" t="n">
        <v>0</v>
      </c>
      <c r="K331" t="n">
        <v>0</v>
      </c>
      <c r="L331" t="n">
        <v>0</v>
      </c>
      <c r="M331" t="n">
        <v>0</v>
      </c>
      <c r="N331" t="n">
        <v>0</v>
      </c>
      <c r="O331" t="n">
        <v>0</v>
      </c>
      <c r="P331" t="n">
        <v>0</v>
      </c>
      <c r="Q331" t="n">
        <v>0</v>
      </c>
      <c r="R331" s="2" t="inlineStr"/>
    </row>
    <row r="332" ht="15" customHeight="1">
      <c r="A332" t="inlineStr">
        <is>
          <t>A 29482-2022</t>
        </is>
      </c>
      <c r="B332" s="1" t="n">
        <v>44753.57703703704</v>
      </c>
      <c r="C332" s="1" t="n">
        <v>45983</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29483-2022</t>
        </is>
      </c>
      <c r="B333" s="1" t="n">
        <v>44753.57829861111</v>
      </c>
      <c r="C333" s="1" t="n">
        <v>45983</v>
      </c>
      <c r="D333" t="inlineStr">
        <is>
          <t>UPPSALA LÄN</t>
        </is>
      </c>
      <c r="E333" t="inlineStr">
        <is>
          <t>ENKÖPING</t>
        </is>
      </c>
      <c r="G333" t="n">
        <v>3.6</v>
      </c>
      <c r="H333" t="n">
        <v>0</v>
      </c>
      <c r="I333" t="n">
        <v>0</v>
      </c>
      <c r="J333" t="n">
        <v>0</v>
      </c>
      <c r="K333" t="n">
        <v>0</v>
      </c>
      <c r="L333" t="n">
        <v>0</v>
      </c>
      <c r="M333" t="n">
        <v>0</v>
      </c>
      <c r="N333" t="n">
        <v>0</v>
      </c>
      <c r="O333" t="n">
        <v>0</v>
      </c>
      <c r="P333" t="n">
        <v>0</v>
      </c>
      <c r="Q333" t="n">
        <v>0</v>
      </c>
      <c r="R333" s="2" t="inlineStr"/>
    </row>
    <row r="334" ht="15" customHeight="1">
      <c r="A334" t="inlineStr">
        <is>
          <t>A 37170-2021</t>
        </is>
      </c>
      <c r="B334" s="1" t="n">
        <v>44395</v>
      </c>
      <c r="C334" s="1" t="n">
        <v>45983</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53496-2022</t>
        </is>
      </c>
      <c r="B335" s="1" t="n">
        <v>44879.57217592592</v>
      </c>
      <c r="C335" s="1" t="n">
        <v>45983</v>
      </c>
      <c r="D335" t="inlineStr">
        <is>
          <t>UPPSALA LÄN</t>
        </is>
      </c>
      <c r="E335" t="inlineStr">
        <is>
          <t>ENKÖPING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7870-2024</t>
        </is>
      </c>
      <c r="B336" s="1" t="n">
        <v>45350.33349537037</v>
      </c>
      <c r="C336" s="1" t="n">
        <v>45983</v>
      </c>
      <c r="D336" t="inlineStr">
        <is>
          <t>UPPSALA LÄN</t>
        </is>
      </c>
      <c r="E336" t="inlineStr">
        <is>
          <t>ENKÖPING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28243-2023</t>
        </is>
      </c>
      <c r="B337" s="1" t="n">
        <v>45099.58885416666</v>
      </c>
      <c r="C337" s="1" t="n">
        <v>45983</v>
      </c>
      <c r="D337" t="inlineStr">
        <is>
          <t>UPPSALA LÄN</t>
        </is>
      </c>
      <c r="E337" t="inlineStr">
        <is>
          <t>ENKÖPING</t>
        </is>
      </c>
      <c r="G337" t="n">
        <v>1.9</v>
      </c>
      <c r="H337" t="n">
        <v>0</v>
      </c>
      <c r="I337" t="n">
        <v>0</v>
      </c>
      <c r="J337" t="n">
        <v>0</v>
      </c>
      <c r="K337" t="n">
        <v>0</v>
      </c>
      <c r="L337" t="n">
        <v>0</v>
      </c>
      <c r="M337" t="n">
        <v>0</v>
      </c>
      <c r="N337" t="n">
        <v>0</v>
      </c>
      <c r="O337" t="n">
        <v>0</v>
      </c>
      <c r="P337" t="n">
        <v>0</v>
      </c>
      <c r="Q337" t="n">
        <v>0</v>
      </c>
      <c r="R337" s="2" t="inlineStr"/>
    </row>
    <row r="338" ht="15" customHeight="1">
      <c r="A338" t="inlineStr">
        <is>
          <t>A 10829-2024</t>
        </is>
      </c>
      <c r="B338" s="1" t="n">
        <v>45369</v>
      </c>
      <c r="C338" s="1" t="n">
        <v>45983</v>
      </c>
      <c r="D338" t="inlineStr">
        <is>
          <t>UPPSALA LÄN</t>
        </is>
      </c>
      <c r="E338" t="inlineStr">
        <is>
          <t>ENKÖPING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2161-2023</t>
        </is>
      </c>
      <c r="B339" s="1" t="n">
        <v>44941</v>
      </c>
      <c r="C339" s="1" t="n">
        <v>45983</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2165-2023</t>
        </is>
      </c>
      <c r="B340" s="1" t="n">
        <v>44941</v>
      </c>
      <c r="C340" s="1" t="n">
        <v>45983</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8306-2021</t>
        </is>
      </c>
      <c r="B341" s="1" t="n">
        <v>44244</v>
      </c>
      <c r="C341" s="1" t="n">
        <v>45983</v>
      </c>
      <c r="D341" t="inlineStr">
        <is>
          <t>UPPSALA LÄN</t>
        </is>
      </c>
      <c r="E341" t="inlineStr">
        <is>
          <t>ENKÖPING</t>
        </is>
      </c>
      <c r="G341" t="n">
        <v>14.9</v>
      </c>
      <c r="H341" t="n">
        <v>0</v>
      </c>
      <c r="I341" t="n">
        <v>0</v>
      </c>
      <c r="J341" t="n">
        <v>0</v>
      </c>
      <c r="K341" t="n">
        <v>0</v>
      </c>
      <c r="L341" t="n">
        <v>0</v>
      </c>
      <c r="M341" t="n">
        <v>0</v>
      </c>
      <c r="N341" t="n">
        <v>0</v>
      </c>
      <c r="O341" t="n">
        <v>0</v>
      </c>
      <c r="P341" t="n">
        <v>0</v>
      </c>
      <c r="Q341" t="n">
        <v>0</v>
      </c>
      <c r="R341" s="2" t="inlineStr"/>
    </row>
    <row r="342" ht="15" customHeight="1">
      <c r="A342" t="inlineStr">
        <is>
          <t>A 2850-2025</t>
        </is>
      </c>
      <c r="B342" s="1" t="n">
        <v>45677</v>
      </c>
      <c r="C342" s="1" t="n">
        <v>45983</v>
      </c>
      <c r="D342" t="inlineStr">
        <is>
          <t>UPPSALA LÄN</t>
        </is>
      </c>
      <c r="E342" t="inlineStr">
        <is>
          <t>ENKÖPING</t>
        </is>
      </c>
      <c r="G342" t="n">
        <v>0.3</v>
      </c>
      <c r="H342" t="n">
        <v>0</v>
      </c>
      <c r="I342" t="n">
        <v>0</v>
      </c>
      <c r="J342" t="n">
        <v>0</v>
      </c>
      <c r="K342" t="n">
        <v>0</v>
      </c>
      <c r="L342" t="n">
        <v>0</v>
      </c>
      <c r="M342" t="n">
        <v>0</v>
      </c>
      <c r="N342" t="n">
        <v>0</v>
      </c>
      <c r="O342" t="n">
        <v>0</v>
      </c>
      <c r="P342" t="n">
        <v>0</v>
      </c>
      <c r="Q342" t="n">
        <v>0</v>
      </c>
      <c r="R342" s="2" t="inlineStr"/>
    </row>
    <row r="343" ht="15" customHeight="1">
      <c r="A343" t="inlineStr">
        <is>
          <t>A 13853-2023</t>
        </is>
      </c>
      <c r="B343" s="1" t="n">
        <v>45007</v>
      </c>
      <c r="C343" s="1" t="n">
        <v>45983</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63310-2021</t>
        </is>
      </c>
      <c r="B344" s="1" t="n">
        <v>44508</v>
      </c>
      <c r="C344" s="1" t="n">
        <v>45983</v>
      </c>
      <c r="D344" t="inlineStr">
        <is>
          <t>UPPSALA LÄN</t>
        </is>
      </c>
      <c r="E344" t="inlineStr">
        <is>
          <t>ENKÖPING</t>
        </is>
      </c>
      <c r="G344" t="n">
        <v>3.5</v>
      </c>
      <c r="H344" t="n">
        <v>0</v>
      </c>
      <c r="I344" t="n">
        <v>0</v>
      </c>
      <c r="J344" t="n">
        <v>0</v>
      </c>
      <c r="K344" t="n">
        <v>0</v>
      </c>
      <c r="L344" t="n">
        <v>0</v>
      </c>
      <c r="M344" t="n">
        <v>0</v>
      </c>
      <c r="N344" t="n">
        <v>0</v>
      </c>
      <c r="O344" t="n">
        <v>0</v>
      </c>
      <c r="P344" t="n">
        <v>0</v>
      </c>
      <c r="Q344" t="n">
        <v>0</v>
      </c>
      <c r="R344" s="2" t="inlineStr"/>
    </row>
    <row r="345" ht="15" customHeight="1">
      <c r="A345" t="inlineStr">
        <is>
          <t>A 61106-2022</t>
        </is>
      </c>
      <c r="B345" s="1" t="n">
        <v>44915.4128587963</v>
      </c>
      <c r="C345" s="1" t="n">
        <v>45983</v>
      </c>
      <c r="D345" t="inlineStr">
        <is>
          <t>UPPSALA LÄN</t>
        </is>
      </c>
      <c r="E345" t="inlineStr">
        <is>
          <t>ENKÖPING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9171-2024</t>
        </is>
      </c>
      <c r="B346" s="1" t="n">
        <v>45358</v>
      </c>
      <c r="C346" s="1" t="n">
        <v>45983</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671-2022</t>
        </is>
      </c>
      <c r="B347" s="1" t="n">
        <v>44568</v>
      </c>
      <c r="C347" s="1" t="n">
        <v>45983</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11005-2023</t>
        </is>
      </c>
      <c r="B348" s="1" t="n">
        <v>44991</v>
      </c>
      <c r="C348" s="1" t="n">
        <v>45983</v>
      </c>
      <c r="D348" t="inlineStr">
        <is>
          <t>UPPSALA LÄN</t>
        </is>
      </c>
      <c r="E348" t="inlineStr">
        <is>
          <t>ENKÖPING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29918-2023</t>
        </is>
      </c>
      <c r="B349" s="1" t="n">
        <v>45099</v>
      </c>
      <c r="C349" s="1" t="n">
        <v>45983</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58384-2022</t>
        </is>
      </c>
      <c r="B350" s="1" t="n">
        <v>44901</v>
      </c>
      <c r="C350" s="1" t="n">
        <v>45983</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43016-2021</t>
        </is>
      </c>
      <c r="B351" s="1" t="n">
        <v>44431</v>
      </c>
      <c r="C351" s="1" t="n">
        <v>45983</v>
      </c>
      <c r="D351" t="inlineStr">
        <is>
          <t>UPPSALA LÄN</t>
        </is>
      </c>
      <c r="E351" t="inlineStr">
        <is>
          <t>ENKÖPING</t>
        </is>
      </c>
      <c r="G351" t="n">
        <v>1.5</v>
      </c>
      <c r="H351" t="n">
        <v>0</v>
      </c>
      <c r="I351" t="n">
        <v>0</v>
      </c>
      <c r="J351" t="n">
        <v>0</v>
      </c>
      <c r="K351" t="n">
        <v>0</v>
      </c>
      <c r="L351" t="n">
        <v>0</v>
      </c>
      <c r="M351" t="n">
        <v>0</v>
      </c>
      <c r="N351" t="n">
        <v>0</v>
      </c>
      <c r="O351" t="n">
        <v>0</v>
      </c>
      <c r="P351" t="n">
        <v>0</v>
      </c>
      <c r="Q351" t="n">
        <v>0</v>
      </c>
      <c r="R351" s="2" t="inlineStr"/>
    </row>
    <row r="352" ht="15" customHeight="1">
      <c r="A352" t="inlineStr">
        <is>
          <t>A 15893-2024</t>
        </is>
      </c>
      <c r="B352" s="1" t="n">
        <v>45405</v>
      </c>
      <c r="C352" s="1" t="n">
        <v>45983</v>
      </c>
      <c r="D352" t="inlineStr">
        <is>
          <t>UPPSALA LÄN</t>
        </is>
      </c>
      <c r="E352" t="inlineStr">
        <is>
          <t>ENKÖPING</t>
        </is>
      </c>
      <c r="G352" t="n">
        <v>1.9</v>
      </c>
      <c r="H352" t="n">
        <v>0</v>
      </c>
      <c r="I352" t="n">
        <v>0</v>
      </c>
      <c r="J352" t="n">
        <v>0</v>
      </c>
      <c r="K352" t="n">
        <v>0</v>
      </c>
      <c r="L352" t="n">
        <v>0</v>
      </c>
      <c r="M352" t="n">
        <v>0</v>
      </c>
      <c r="N352" t="n">
        <v>0</v>
      </c>
      <c r="O352" t="n">
        <v>0</v>
      </c>
      <c r="P352" t="n">
        <v>0</v>
      </c>
      <c r="Q352" t="n">
        <v>0</v>
      </c>
      <c r="R352" s="2" t="inlineStr"/>
    </row>
    <row r="353" ht="15" customHeight="1">
      <c r="A353" t="inlineStr">
        <is>
          <t>A 33343-2024</t>
        </is>
      </c>
      <c r="B353" s="1" t="n">
        <v>45519</v>
      </c>
      <c r="C353" s="1" t="n">
        <v>45983</v>
      </c>
      <c r="D353" t="inlineStr">
        <is>
          <t>UPPSALA LÄN</t>
        </is>
      </c>
      <c r="E353" t="inlineStr">
        <is>
          <t>ENKÖPING</t>
        </is>
      </c>
      <c r="G353" t="n">
        <v>2</v>
      </c>
      <c r="H353" t="n">
        <v>0</v>
      </c>
      <c r="I353" t="n">
        <v>0</v>
      </c>
      <c r="J353" t="n">
        <v>0</v>
      </c>
      <c r="K353" t="n">
        <v>0</v>
      </c>
      <c r="L353" t="n">
        <v>0</v>
      </c>
      <c r="M353" t="n">
        <v>0</v>
      </c>
      <c r="N353" t="n">
        <v>0</v>
      </c>
      <c r="O353" t="n">
        <v>0</v>
      </c>
      <c r="P353" t="n">
        <v>0</v>
      </c>
      <c r="Q353" t="n">
        <v>0</v>
      </c>
      <c r="R353" s="2" t="inlineStr"/>
    </row>
    <row r="354" ht="15" customHeight="1">
      <c r="A354" t="inlineStr">
        <is>
          <t>A 57142-2021</t>
        </is>
      </c>
      <c r="B354" s="1" t="n">
        <v>44482</v>
      </c>
      <c r="C354" s="1" t="n">
        <v>45983</v>
      </c>
      <c r="D354" t="inlineStr">
        <is>
          <t>UPPSALA LÄN</t>
        </is>
      </c>
      <c r="E354" t="inlineStr">
        <is>
          <t>ENKÖPING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57153-2021</t>
        </is>
      </c>
      <c r="B355" s="1" t="n">
        <v>44482</v>
      </c>
      <c r="C355" s="1" t="n">
        <v>45983</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5188-2022</t>
        </is>
      </c>
      <c r="B356" s="1" t="n">
        <v>44594.4471412037</v>
      </c>
      <c r="C356" s="1" t="n">
        <v>45983</v>
      </c>
      <c r="D356" t="inlineStr">
        <is>
          <t>UPPSALA LÄN</t>
        </is>
      </c>
      <c r="E356" t="inlineStr">
        <is>
          <t>ENKÖPING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19014-2025</t>
        </is>
      </c>
      <c r="B357" s="1" t="n">
        <v>45764.59631944444</v>
      </c>
      <c r="C357" s="1" t="n">
        <v>45983</v>
      </c>
      <c r="D357" t="inlineStr">
        <is>
          <t>UPPSALA LÄN</t>
        </is>
      </c>
      <c r="E357" t="inlineStr">
        <is>
          <t>ENKÖPING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43691-2024</t>
        </is>
      </c>
      <c r="B358" s="1" t="n">
        <v>45569</v>
      </c>
      <c r="C358" s="1" t="n">
        <v>45983</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19376-2024</t>
        </is>
      </c>
      <c r="B359" s="1" t="n">
        <v>45429</v>
      </c>
      <c r="C359" s="1" t="n">
        <v>45983</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33670-2024</t>
        </is>
      </c>
      <c r="B360" s="1" t="n">
        <v>45520</v>
      </c>
      <c r="C360" s="1" t="n">
        <v>45983</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19147-2024</t>
        </is>
      </c>
      <c r="B361" s="1" t="n">
        <v>45428</v>
      </c>
      <c r="C361" s="1" t="n">
        <v>45983</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67982-2021</t>
        </is>
      </c>
      <c r="B362" s="1" t="n">
        <v>44525</v>
      </c>
      <c r="C362" s="1" t="n">
        <v>45983</v>
      </c>
      <c r="D362" t="inlineStr">
        <is>
          <t>UPPSALA LÄN</t>
        </is>
      </c>
      <c r="E362" t="inlineStr">
        <is>
          <t>ENKÖPING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57835-2024</t>
        </is>
      </c>
      <c r="B363" s="1" t="n">
        <v>45631.39947916667</v>
      </c>
      <c r="C363" s="1" t="n">
        <v>45983</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21612-2023</t>
        </is>
      </c>
      <c r="B364" s="1" t="n">
        <v>45063</v>
      </c>
      <c r="C364" s="1" t="n">
        <v>45983</v>
      </c>
      <c r="D364" t="inlineStr">
        <is>
          <t>UPPSALA LÄN</t>
        </is>
      </c>
      <c r="E364" t="inlineStr">
        <is>
          <t>ENKÖPING</t>
        </is>
      </c>
      <c r="F364" t="inlineStr">
        <is>
          <t>Allmännings- och besparingsskogar</t>
        </is>
      </c>
      <c r="G364" t="n">
        <v>1</v>
      </c>
      <c r="H364" t="n">
        <v>0</v>
      </c>
      <c r="I364" t="n">
        <v>0</v>
      </c>
      <c r="J364" t="n">
        <v>0</v>
      </c>
      <c r="K364" t="n">
        <v>0</v>
      </c>
      <c r="L364" t="n">
        <v>0</v>
      </c>
      <c r="M364" t="n">
        <v>0</v>
      </c>
      <c r="N364" t="n">
        <v>0</v>
      </c>
      <c r="O364" t="n">
        <v>0</v>
      </c>
      <c r="P364" t="n">
        <v>0</v>
      </c>
      <c r="Q364" t="n">
        <v>0</v>
      </c>
      <c r="R364" s="2" t="inlineStr"/>
    </row>
    <row r="365" ht="15" customHeight="1">
      <c r="A365" t="inlineStr">
        <is>
          <t>A 39624-2023</t>
        </is>
      </c>
      <c r="B365" s="1" t="n">
        <v>45164</v>
      </c>
      <c r="C365" s="1" t="n">
        <v>45983</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5892-2023</t>
        </is>
      </c>
      <c r="B366" s="1" t="n">
        <v>44963.64883101852</v>
      </c>
      <c r="C366" s="1" t="n">
        <v>45983</v>
      </c>
      <c r="D366" t="inlineStr">
        <is>
          <t>UPPSALA LÄN</t>
        </is>
      </c>
      <c r="E366" t="inlineStr">
        <is>
          <t>ENKÖPING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39858-2024</t>
        </is>
      </c>
      <c r="B367" s="1" t="n">
        <v>45553</v>
      </c>
      <c r="C367" s="1" t="n">
        <v>45983</v>
      </c>
      <c r="D367" t="inlineStr">
        <is>
          <t>UPPSALA LÄN</t>
        </is>
      </c>
      <c r="E367" t="inlineStr">
        <is>
          <t>ENKÖPING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9957-2023</t>
        </is>
      </c>
      <c r="B368" s="1" t="n">
        <v>44978</v>
      </c>
      <c r="C368" s="1" t="n">
        <v>45983</v>
      </c>
      <c r="D368" t="inlineStr">
        <is>
          <t>UPPSALA LÄN</t>
        </is>
      </c>
      <c r="E368" t="inlineStr">
        <is>
          <t>ENKÖPING</t>
        </is>
      </c>
      <c r="G368" t="n">
        <v>5.9</v>
      </c>
      <c r="H368" t="n">
        <v>0</v>
      </c>
      <c r="I368" t="n">
        <v>0</v>
      </c>
      <c r="J368" t="n">
        <v>0</v>
      </c>
      <c r="K368" t="n">
        <v>0</v>
      </c>
      <c r="L368" t="n">
        <v>0</v>
      </c>
      <c r="M368" t="n">
        <v>0</v>
      </c>
      <c r="N368" t="n">
        <v>0</v>
      </c>
      <c r="O368" t="n">
        <v>0</v>
      </c>
      <c r="P368" t="n">
        <v>0</v>
      </c>
      <c r="Q368" t="n">
        <v>0</v>
      </c>
      <c r="R368" s="2" t="inlineStr"/>
    </row>
    <row r="369" ht="15" customHeight="1">
      <c r="A369" t="inlineStr">
        <is>
          <t>A 8152-2022</t>
        </is>
      </c>
      <c r="B369" s="1" t="n">
        <v>44609</v>
      </c>
      <c r="C369" s="1" t="n">
        <v>45983</v>
      </c>
      <c r="D369" t="inlineStr">
        <is>
          <t>UPPSALA LÄN</t>
        </is>
      </c>
      <c r="E369" t="inlineStr">
        <is>
          <t>ENKÖPING</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17657-2025</t>
        </is>
      </c>
      <c r="B370" s="1" t="n">
        <v>45758.35006944444</v>
      </c>
      <c r="C370" s="1" t="n">
        <v>45983</v>
      </c>
      <c r="D370" t="inlineStr">
        <is>
          <t>UPPSALA LÄN</t>
        </is>
      </c>
      <c r="E370" t="inlineStr">
        <is>
          <t>ENKÖPING</t>
        </is>
      </c>
      <c r="G370" t="n">
        <v>3</v>
      </c>
      <c r="H370" t="n">
        <v>0</v>
      </c>
      <c r="I370" t="n">
        <v>0</v>
      </c>
      <c r="J370" t="n">
        <v>0</v>
      </c>
      <c r="K370" t="n">
        <v>0</v>
      </c>
      <c r="L370" t="n">
        <v>0</v>
      </c>
      <c r="M370" t="n">
        <v>0</v>
      </c>
      <c r="N370" t="n">
        <v>0</v>
      </c>
      <c r="O370" t="n">
        <v>0</v>
      </c>
      <c r="P370" t="n">
        <v>0</v>
      </c>
      <c r="Q370" t="n">
        <v>0</v>
      </c>
      <c r="R370" s="2" t="inlineStr"/>
    </row>
    <row r="371" ht="15" customHeight="1">
      <c r="A371" t="inlineStr">
        <is>
          <t>A 15939-2022</t>
        </is>
      </c>
      <c r="B371" s="1" t="n">
        <v>44664</v>
      </c>
      <c r="C371" s="1" t="n">
        <v>45983</v>
      </c>
      <c r="D371" t="inlineStr">
        <is>
          <t>UPPSALA LÄN</t>
        </is>
      </c>
      <c r="E371" t="inlineStr">
        <is>
          <t>ENKÖPING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50394-2024</t>
        </is>
      </c>
      <c r="B372" s="1" t="n">
        <v>45600</v>
      </c>
      <c r="C372" s="1" t="n">
        <v>45983</v>
      </c>
      <c r="D372" t="inlineStr">
        <is>
          <t>UPPSALA LÄN</t>
        </is>
      </c>
      <c r="E372" t="inlineStr">
        <is>
          <t>ENKÖPING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45983</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37870-2023</t>
        </is>
      </c>
      <c r="B374" s="1" t="n">
        <v>45160.41996527778</v>
      </c>
      <c r="C374" s="1" t="n">
        <v>45983</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7090-2022</t>
        </is>
      </c>
      <c r="B375" s="1" t="n">
        <v>44603.59520833333</v>
      </c>
      <c r="C375" s="1" t="n">
        <v>45983</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49063-2024</t>
        </is>
      </c>
      <c r="B376" s="1" t="n">
        <v>45594.59869212963</v>
      </c>
      <c r="C376" s="1" t="n">
        <v>45983</v>
      </c>
      <c r="D376" t="inlineStr">
        <is>
          <t>UPPSALA LÄN</t>
        </is>
      </c>
      <c r="E376" t="inlineStr">
        <is>
          <t>ENKÖPING</t>
        </is>
      </c>
      <c r="G376" t="n">
        <v>1.5</v>
      </c>
      <c r="H376" t="n">
        <v>0</v>
      </c>
      <c r="I376" t="n">
        <v>0</v>
      </c>
      <c r="J376" t="n">
        <v>0</v>
      </c>
      <c r="K376" t="n">
        <v>0</v>
      </c>
      <c r="L376" t="n">
        <v>0</v>
      </c>
      <c r="M376" t="n">
        <v>0</v>
      </c>
      <c r="N376" t="n">
        <v>0</v>
      </c>
      <c r="O376" t="n">
        <v>0</v>
      </c>
      <c r="P376" t="n">
        <v>0</v>
      </c>
      <c r="Q376" t="n">
        <v>0</v>
      </c>
      <c r="R376" s="2" t="inlineStr"/>
    </row>
    <row r="377" ht="15" customHeight="1">
      <c r="A377" t="inlineStr">
        <is>
          <t>A 14083-2025</t>
        </is>
      </c>
      <c r="B377" s="1" t="n">
        <v>45740</v>
      </c>
      <c r="C377" s="1" t="n">
        <v>45983</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19298-2023</t>
        </is>
      </c>
      <c r="B378" s="1" t="n">
        <v>45048</v>
      </c>
      <c r="C378" s="1" t="n">
        <v>45983</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15409-2025</t>
        </is>
      </c>
      <c r="B379" s="1" t="n">
        <v>45747</v>
      </c>
      <c r="C379" s="1" t="n">
        <v>45983</v>
      </c>
      <c r="D379" t="inlineStr">
        <is>
          <t>UPPSALA LÄN</t>
        </is>
      </c>
      <c r="E379" t="inlineStr">
        <is>
          <t>ENKÖPING</t>
        </is>
      </c>
      <c r="G379" t="n">
        <v>2.5</v>
      </c>
      <c r="H379" t="n">
        <v>0</v>
      </c>
      <c r="I379" t="n">
        <v>0</v>
      </c>
      <c r="J379" t="n">
        <v>0</v>
      </c>
      <c r="K379" t="n">
        <v>0</v>
      </c>
      <c r="L379" t="n">
        <v>0</v>
      </c>
      <c r="M379" t="n">
        <v>0</v>
      </c>
      <c r="N379" t="n">
        <v>0</v>
      </c>
      <c r="O379" t="n">
        <v>0</v>
      </c>
      <c r="P379" t="n">
        <v>0</v>
      </c>
      <c r="Q379" t="n">
        <v>0</v>
      </c>
      <c r="R379" s="2" t="inlineStr"/>
    </row>
    <row r="380" ht="15" customHeight="1">
      <c r="A380" t="inlineStr">
        <is>
          <t>A 34617-2022</t>
        </is>
      </c>
      <c r="B380" s="1" t="n">
        <v>44795</v>
      </c>
      <c r="C380" s="1" t="n">
        <v>45983</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40202-2024</t>
        </is>
      </c>
      <c r="B381" s="1" t="n">
        <v>45554</v>
      </c>
      <c r="C381" s="1" t="n">
        <v>45983</v>
      </c>
      <c r="D381" t="inlineStr">
        <is>
          <t>UPPSALA LÄN</t>
        </is>
      </c>
      <c r="E381" t="inlineStr">
        <is>
          <t>ENKÖPING</t>
        </is>
      </c>
      <c r="G381" t="n">
        <v>6.2</v>
      </c>
      <c r="H381" t="n">
        <v>0</v>
      </c>
      <c r="I381" t="n">
        <v>0</v>
      </c>
      <c r="J381" t="n">
        <v>0</v>
      </c>
      <c r="K381" t="n">
        <v>0</v>
      </c>
      <c r="L381" t="n">
        <v>0</v>
      </c>
      <c r="M381" t="n">
        <v>0</v>
      </c>
      <c r="N381" t="n">
        <v>0</v>
      </c>
      <c r="O381" t="n">
        <v>0</v>
      </c>
      <c r="P381" t="n">
        <v>0</v>
      </c>
      <c r="Q381" t="n">
        <v>0</v>
      </c>
      <c r="R381" s="2" t="inlineStr"/>
    </row>
    <row r="382" ht="15" customHeight="1">
      <c r="A382" t="inlineStr">
        <is>
          <t>A 40223-2024</t>
        </is>
      </c>
      <c r="B382" s="1" t="n">
        <v>45554</v>
      </c>
      <c r="C382" s="1" t="n">
        <v>45983</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69879-2021</t>
        </is>
      </c>
      <c r="B383" s="1" t="n">
        <v>44532</v>
      </c>
      <c r="C383" s="1" t="n">
        <v>45983</v>
      </c>
      <c r="D383" t="inlineStr">
        <is>
          <t>UPPSALA LÄN</t>
        </is>
      </c>
      <c r="E383" t="inlineStr">
        <is>
          <t>ENKÖPING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19013-2025</t>
        </is>
      </c>
      <c r="B384" s="1" t="n">
        <v>45764.59533564815</v>
      </c>
      <c r="C384" s="1" t="n">
        <v>45983</v>
      </c>
      <c r="D384" t="inlineStr">
        <is>
          <t>UPPSALA LÄN</t>
        </is>
      </c>
      <c r="E384" t="inlineStr">
        <is>
          <t>ENKÖPING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57335-2024</t>
        </is>
      </c>
      <c r="B385" s="1" t="n">
        <v>45629.63302083333</v>
      </c>
      <c r="C385" s="1" t="n">
        <v>45983</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23301-2024</t>
        </is>
      </c>
      <c r="B386" s="1" t="n">
        <v>45453.4396412037</v>
      </c>
      <c r="C386" s="1" t="n">
        <v>45983</v>
      </c>
      <c r="D386" t="inlineStr">
        <is>
          <t>UPPSALA LÄN</t>
        </is>
      </c>
      <c r="E386" t="inlineStr">
        <is>
          <t>ENKÖPING</t>
        </is>
      </c>
      <c r="G386" t="n">
        <v>4.3</v>
      </c>
      <c r="H386" t="n">
        <v>0</v>
      </c>
      <c r="I386" t="n">
        <v>0</v>
      </c>
      <c r="J386" t="n">
        <v>0</v>
      </c>
      <c r="K386" t="n">
        <v>0</v>
      </c>
      <c r="L386" t="n">
        <v>0</v>
      </c>
      <c r="M386" t="n">
        <v>0</v>
      </c>
      <c r="N386" t="n">
        <v>0</v>
      </c>
      <c r="O386" t="n">
        <v>0</v>
      </c>
      <c r="P386" t="n">
        <v>0</v>
      </c>
      <c r="Q386" t="n">
        <v>0</v>
      </c>
      <c r="R386" s="2" t="inlineStr"/>
    </row>
    <row r="387" ht="15" customHeight="1">
      <c r="A387" t="inlineStr">
        <is>
          <t>A 2833-2025</t>
        </is>
      </c>
      <c r="B387" s="1" t="n">
        <v>45677.63206018518</v>
      </c>
      <c r="C387" s="1" t="n">
        <v>45983</v>
      </c>
      <c r="D387" t="inlineStr">
        <is>
          <t>UPPSALA LÄN</t>
        </is>
      </c>
      <c r="E387" t="inlineStr">
        <is>
          <t>ENKÖPING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33619-2022</t>
        </is>
      </c>
      <c r="B388" s="1" t="n">
        <v>44789</v>
      </c>
      <c r="C388" s="1" t="n">
        <v>45983</v>
      </c>
      <c r="D388" t="inlineStr">
        <is>
          <t>UPPSALA LÄN</t>
        </is>
      </c>
      <c r="E388" t="inlineStr">
        <is>
          <t>ENKÖPING</t>
        </is>
      </c>
      <c r="F388" t="inlineStr">
        <is>
          <t>Allmännings- och besparingsskogar</t>
        </is>
      </c>
      <c r="G388" t="n">
        <v>4.5</v>
      </c>
      <c r="H388" t="n">
        <v>0</v>
      </c>
      <c r="I388" t="n">
        <v>0</v>
      </c>
      <c r="J388" t="n">
        <v>0</v>
      </c>
      <c r="K388" t="n">
        <v>0</v>
      </c>
      <c r="L388" t="n">
        <v>0</v>
      </c>
      <c r="M388" t="n">
        <v>0</v>
      </c>
      <c r="N388" t="n">
        <v>0</v>
      </c>
      <c r="O388" t="n">
        <v>0</v>
      </c>
      <c r="P388" t="n">
        <v>0</v>
      </c>
      <c r="Q388" t="n">
        <v>0</v>
      </c>
      <c r="R388" s="2" t="inlineStr"/>
    </row>
    <row r="389" ht="15" customHeight="1">
      <c r="A389" t="inlineStr">
        <is>
          <t>A 31604-2023</t>
        </is>
      </c>
      <c r="B389" s="1" t="n">
        <v>45117.50368055556</v>
      </c>
      <c r="C389" s="1" t="n">
        <v>45983</v>
      </c>
      <c r="D389" t="inlineStr">
        <is>
          <t>UPPSALA LÄN</t>
        </is>
      </c>
      <c r="E389" t="inlineStr">
        <is>
          <t>ENKÖPING</t>
        </is>
      </c>
      <c r="G389" t="n">
        <v>3.5</v>
      </c>
      <c r="H389" t="n">
        <v>0</v>
      </c>
      <c r="I389" t="n">
        <v>0</v>
      </c>
      <c r="J389" t="n">
        <v>0</v>
      </c>
      <c r="K389" t="n">
        <v>0</v>
      </c>
      <c r="L389" t="n">
        <v>0</v>
      </c>
      <c r="M389" t="n">
        <v>0</v>
      </c>
      <c r="N389" t="n">
        <v>0</v>
      </c>
      <c r="O389" t="n">
        <v>0</v>
      </c>
      <c r="P389" t="n">
        <v>0</v>
      </c>
      <c r="Q389" t="n">
        <v>0</v>
      </c>
      <c r="R389" s="2" t="inlineStr"/>
    </row>
    <row r="390" ht="15" customHeight="1">
      <c r="A390" t="inlineStr">
        <is>
          <t>A 59602-2024</t>
        </is>
      </c>
      <c r="B390" s="1" t="n">
        <v>45638</v>
      </c>
      <c r="C390" s="1" t="n">
        <v>45983</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14243-2025</t>
        </is>
      </c>
      <c r="B391" s="1" t="n">
        <v>45740.61288194444</v>
      </c>
      <c r="C391" s="1" t="n">
        <v>45983</v>
      </c>
      <c r="D391" t="inlineStr">
        <is>
          <t>UPPSALA LÄN</t>
        </is>
      </c>
      <c r="E391" t="inlineStr">
        <is>
          <t>ENKÖPING</t>
        </is>
      </c>
      <c r="G391" t="n">
        <v>2.2</v>
      </c>
      <c r="H391" t="n">
        <v>0</v>
      </c>
      <c r="I391" t="n">
        <v>0</v>
      </c>
      <c r="J391" t="n">
        <v>0</v>
      </c>
      <c r="K391" t="n">
        <v>0</v>
      </c>
      <c r="L391" t="n">
        <v>0</v>
      </c>
      <c r="M391" t="n">
        <v>0</v>
      </c>
      <c r="N391" t="n">
        <v>0</v>
      </c>
      <c r="O391" t="n">
        <v>0</v>
      </c>
      <c r="P391" t="n">
        <v>0</v>
      </c>
      <c r="Q391" t="n">
        <v>0</v>
      </c>
      <c r="R391" s="2" t="inlineStr"/>
    </row>
    <row r="392" ht="15" customHeight="1">
      <c r="A392" t="inlineStr">
        <is>
          <t>A 19488-2022</t>
        </is>
      </c>
      <c r="B392" s="1" t="n">
        <v>44693</v>
      </c>
      <c r="C392" s="1" t="n">
        <v>45983</v>
      </c>
      <c r="D392" t="inlineStr">
        <is>
          <t>UPPSALA LÄN</t>
        </is>
      </c>
      <c r="E392" t="inlineStr">
        <is>
          <t>ENKÖPING</t>
        </is>
      </c>
      <c r="G392" t="n">
        <v>7.8</v>
      </c>
      <c r="H392" t="n">
        <v>0</v>
      </c>
      <c r="I392" t="n">
        <v>0</v>
      </c>
      <c r="J392" t="n">
        <v>0</v>
      </c>
      <c r="K392" t="n">
        <v>0</v>
      </c>
      <c r="L392" t="n">
        <v>0</v>
      </c>
      <c r="M392" t="n">
        <v>0</v>
      </c>
      <c r="N392" t="n">
        <v>0</v>
      </c>
      <c r="O392" t="n">
        <v>0</v>
      </c>
      <c r="P392" t="n">
        <v>0</v>
      </c>
      <c r="Q392" t="n">
        <v>0</v>
      </c>
      <c r="R392" s="2" t="inlineStr"/>
    </row>
    <row r="393" ht="15" customHeight="1">
      <c r="A393" t="inlineStr">
        <is>
          <t>A 41826-2024</t>
        </is>
      </c>
      <c r="B393" s="1" t="n">
        <v>45561</v>
      </c>
      <c r="C393" s="1" t="n">
        <v>45983</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16916-2022</t>
        </is>
      </c>
      <c r="B394" s="1" t="n">
        <v>44676</v>
      </c>
      <c r="C394" s="1" t="n">
        <v>45983</v>
      </c>
      <c r="D394" t="inlineStr">
        <is>
          <t>UPPSALA LÄN</t>
        </is>
      </c>
      <c r="E394" t="inlineStr">
        <is>
          <t>ENKÖPING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44115-2024</t>
        </is>
      </c>
      <c r="B395" s="1" t="n">
        <v>45572</v>
      </c>
      <c r="C395" s="1" t="n">
        <v>45983</v>
      </c>
      <c r="D395" t="inlineStr">
        <is>
          <t>UPPSALA LÄN</t>
        </is>
      </c>
      <c r="E395" t="inlineStr">
        <is>
          <t>ENKÖPING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30634-2022</t>
        </is>
      </c>
      <c r="B396" s="1" t="n">
        <v>44763.45711805556</v>
      </c>
      <c r="C396" s="1" t="n">
        <v>45983</v>
      </c>
      <c r="D396" t="inlineStr">
        <is>
          <t>UPPSALA LÄN</t>
        </is>
      </c>
      <c r="E396" t="inlineStr">
        <is>
          <t>ENKÖPING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3300-2025</t>
        </is>
      </c>
      <c r="B397" s="1" t="n">
        <v>45679</v>
      </c>
      <c r="C397" s="1" t="n">
        <v>45983</v>
      </c>
      <c r="D397" t="inlineStr">
        <is>
          <t>UPPSALA LÄN</t>
        </is>
      </c>
      <c r="E397" t="inlineStr">
        <is>
          <t>ENKÖPING</t>
        </is>
      </c>
      <c r="G397" t="n">
        <v>8.9</v>
      </c>
      <c r="H397" t="n">
        <v>0</v>
      </c>
      <c r="I397" t="n">
        <v>0</v>
      </c>
      <c r="J397" t="n">
        <v>0</v>
      </c>
      <c r="K397" t="n">
        <v>0</v>
      </c>
      <c r="L397" t="n">
        <v>0</v>
      </c>
      <c r="M397" t="n">
        <v>0</v>
      </c>
      <c r="N397" t="n">
        <v>0</v>
      </c>
      <c r="O397" t="n">
        <v>0</v>
      </c>
      <c r="P397" t="n">
        <v>0</v>
      </c>
      <c r="Q397" t="n">
        <v>0</v>
      </c>
      <c r="R397" s="2" t="inlineStr"/>
    </row>
    <row r="398" ht="15" customHeight="1">
      <c r="A398" t="inlineStr">
        <is>
          <t>A 51120-2023</t>
        </is>
      </c>
      <c r="B398" s="1" t="n">
        <v>45219.3088425926</v>
      </c>
      <c r="C398" s="1" t="n">
        <v>45983</v>
      </c>
      <c r="D398" t="inlineStr">
        <is>
          <t>UPPSALA LÄN</t>
        </is>
      </c>
      <c r="E398" t="inlineStr">
        <is>
          <t>ENKÖPING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26319-2022</t>
        </is>
      </c>
      <c r="B399" s="1" t="n">
        <v>44735</v>
      </c>
      <c r="C399" s="1" t="n">
        <v>45983</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54357-2023</t>
        </is>
      </c>
      <c r="B400" s="1" t="n">
        <v>45225</v>
      </c>
      <c r="C400" s="1" t="n">
        <v>45983</v>
      </c>
      <c r="D400" t="inlineStr">
        <is>
          <t>UPPSALA LÄN</t>
        </is>
      </c>
      <c r="E400" t="inlineStr">
        <is>
          <t>ENKÖPING</t>
        </is>
      </c>
      <c r="G400" t="n">
        <v>1.8</v>
      </c>
      <c r="H400" t="n">
        <v>0</v>
      </c>
      <c r="I400" t="n">
        <v>0</v>
      </c>
      <c r="J400" t="n">
        <v>0</v>
      </c>
      <c r="K400" t="n">
        <v>0</v>
      </c>
      <c r="L400" t="n">
        <v>0</v>
      </c>
      <c r="M400" t="n">
        <v>0</v>
      </c>
      <c r="N400" t="n">
        <v>0</v>
      </c>
      <c r="O400" t="n">
        <v>0</v>
      </c>
      <c r="P400" t="n">
        <v>0</v>
      </c>
      <c r="Q400" t="n">
        <v>0</v>
      </c>
      <c r="R400" s="2" t="inlineStr"/>
    </row>
    <row r="401" ht="15" customHeight="1">
      <c r="A401" t="inlineStr">
        <is>
          <t>A 4203-2021</t>
        </is>
      </c>
      <c r="B401" s="1" t="n">
        <v>44223</v>
      </c>
      <c r="C401" s="1" t="n">
        <v>45983</v>
      </c>
      <c r="D401" t="inlineStr">
        <is>
          <t>UPPSALA LÄN</t>
        </is>
      </c>
      <c r="E401" t="inlineStr">
        <is>
          <t>ENKÖPING</t>
        </is>
      </c>
      <c r="G401" t="n">
        <v>11.6</v>
      </c>
      <c r="H401" t="n">
        <v>0</v>
      </c>
      <c r="I401" t="n">
        <v>0</v>
      </c>
      <c r="J401" t="n">
        <v>0</v>
      </c>
      <c r="K401" t="n">
        <v>0</v>
      </c>
      <c r="L401" t="n">
        <v>0</v>
      </c>
      <c r="M401" t="n">
        <v>0</v>
      </c>
      <c r="N401" t="n">
        <v>0</v>
      </c>
      <c r="O401" t="n">
        <v>0</v>
      </c>
      <c r="P401" t="n">
        <v>0</v>
      </c>
      <c r="Q401" t="n">
        <v>0</v>
      </c>
      <c r="R401" s="2" t="inlineStr"/>
    </row>
    <row r="402" ht="15" customHeight="1">
      <c r="A402" t="inlineStr">
        <is>
          <t>A 13816-2021</t>
        </is>
      </c>
      <c r="B402" s="1" t="n">
        <v>44276</v>
      </c>
      <c r="C402" s="1" t="n">
        <v>45983</v>
      </c>
      <c r="D402" t="inlineStr">
        <is>
          <t>UPPSALA LÄN</t>
        </is>
      </c>
      <c r="E402" t="inlineStr">
        <is>
          <t>ENKÖPING</t>
        </is>
      </c>
      <c r="G402" t="n">
        <v>0.4</v>
      </c>
      <c r="H402" t="n">
        <v>0</v>
      </c>
      <c r="I402" t="n">
        <v>0</v>
      </c>
      <c r="J402" t="n">
        <v>0</v>
      </c>
      <c r="K402" t="n">
        <v>0</v>
      </c>
      <c r="L402" t="n">
        <v>0</v>
      </c>
      <c r="M402" t="n">
        <v>0</v>
      </c>
      <c r="N402" t="n">
        <v>0</v>
      </c>
      <c r="O402" t="n">
        <v>0</v>
      </c>
      <c r="P402" t="n">
        <v>0</v>
      </c>
      <c r="Q402" t="n">
        <v>0</v>
      </c>
      <c r="R402" s="2" t="inlineStr"/>
    </row>
    <row r="403" ht="15" customHeight="1">
      <c r="A403" t="inlineStr">
        <is>
          <t>A 63402-2023</t>
        </is>
      </c>
      <c r="B403" s="1" t="n">
        <v>45274.50646990741</v>
      </c>
      <c r="C403" s="1" t="n">
        <v>45983</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53208-2023</t>
        </is>
      </c>
      <c r="B404" s="1" t="n">
        <v>45226</v>
      </c>
      <c r="C404" s="1" t="n">
        <v>45983</v>
      </c>
      <c r="D404" t="inlineStr">
        <is>
          <t>UPPSALA LÄN</t>
        </is>
      </c>
      <c r="E404" t="inlineStr">
        <is>
          <t>ENKÖPING</t>
        </is>
      </c>
      <c r="G404" t="n">
        <v>4.3</v>
      </c>
      <c r="H404" t="n">
        <v>0</v>
      </c>
      <c r="I404" t="n">
        <v>0</v>
      </c>
      <c r="J404" t="n">
        <v>0</v>
      </c>
      <c r="K404" t="n">
        <v>0</v>
      </c>
      <c r="L404" t="n">
        <v>0</v>
      </c>
      <c r="M404" t="n">
        <v>0</v>
      </c>
      <c r="N404" t="n">
        <v>0</v>
      </c>
      <c r="O404" t="n">
        <v>0</v>
      </c>
      <c r="P404" t="n">
        <v>0</v>
      </c>
      <c r="Q404" t="n">
        <v>0</v>
      </c>
      <c r="R404" s="2" t="inlineStr"/>
    </row>
    <row r="405" ht="15" customHeight="1">
      <c r="A405" t="inlineStr">
        <is>
          <t>A 18259-2025</t>
        </is>
      </c>
      <c r="B405" s="1" t="n">
        <v>45762</v>
      </c>
      <c r="C405" s="1" t="n">
        <v>45983</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62158-2023</t>
        </is>
      </c>
      <c r="B406" s="1" t="n">
        <v>45267</v>
      </c>
      <c r="C406" s="1" t="n">
        <v>45983</v>
      </c>
      <c r="D406" t="inlineStr">
        <is>
          <t>UPPSALA LÄN</t>
        </is>
      </c>
      <c r="E406" t="inlineStr">
        <is>
          <t>ENKÖPING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60874-2023</t>
        </is>
      </c>
      <c r="B407" s="1" t="n">
        <v>45261.06280092592</v>
      </c>
      <c r="C407" s="1" t="n">
        <v>45983</v>
      </c>
      <c r="D407" t="inlineStr">
        <is>
          <t>UPPSALA LÄN</t>
        </is>
      </c>
      <c r="E407" t="inlineStr">
        <is>
          <t>ENKÖPING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3550-2023</t>
        </is>
      </c>
      <c r="B408" s="1" t="n">
        <v>44950</v>
      </c>
      <c r="C408" s="1" t="n">
        <v>45983</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26292-2022</t>
        </is>
      </c>
      <c r="B409" s="1" t="n">
        <v>44735</v>
      </c>
      <c r="C409" s="1" t="n">
        <v>45983</v>
      </c>
      <c r="D409" t="inlineStr">
        <is>
          <t>UPPSALA LÄN</t>
        </is>
      </c>
      <c r="E409" t="inlineStr">
        <is>
          <t>ENKÖPING</t>
        </is>
      </c>
      <c r="F409" t="inlineStr">
        <is>
          <t>Kyrkan</t>
        </is>
      </c>
      <c r="G409" t="n">
        <v>4.6</v>
      </c>
      <c r="H409" t="n">
        <v>0</v>
      </c>
      <c r="I409" t="n">
        <v>0</v>
      </c>
      <c r="J409" t="n">
        <v>0</v>
      </c>
      <c r="K409" t="n">
        <v>0</v>
      </c>
      <c r="L409" t="n">
        <v>0</v>
      </c>
      <c r="M409" t="n">
        <v>0</v>
      </c>
      <c r="N409" t="n">
        <v>0</v>
      </c>
      <c r="O409" t="n">
        <v>0</v>
      </c>
      <c r="P409" t="n">
        <v>0</v>
      </c>
      <c r="Q409" t="n">
        <v>0</v>
      </c>
      <c r="R409" s="2" t="inlineStr"/>
    </row>
    <row r="410" ht="15" customHeight="1">
      <c r="A410" t="inlineStr">
        <is>
          <t>A 61207-2023</t>
        </is>
      </c>
      <c r="B410" s="1" t="n">
        <v>45264.39444444444</v>
      </c>
      <c r="C410" s="1" t="n">
        <v>45983</v>
      </c>
      <c r="D410" t="inlineStr">
        <is>
          <t>UPPSALA LÄN</t>
        </is>
      </c>
      <c r="E410" t="inlineStr">
        <is>
          <t>ENKÖPING</t>
        </is>
      </c>
      <c r="G410" t="n">
        <v>10.8</v>
      </c>
      <c r="H410" t="n">
        <v>0</v>
      </c>
      <c r="I410" t="n">
        <v>0</v>
      </c>
      <c r="J410" t="n">
        <v>0</v>
      </c>
      <c r="K410" t="n">
        <v>0</v>
      </c>
      <c r="L410" t="n">
        <v>0</v>
      </c>
      <c r="M410" t="n">
        <v>0</v>
      </c>
      <c r="N410" t="n">
        <v>0</v>
      </c>
      <c r="O410" t="n">
        <v>0</v>
      </c>
      <c r="P410" t="n">
        <v>0</v>
      </c>
      <c r="Q410" t="n">
        <v>0</v>
      </c>
      <c r="R410" s="2" t="inlineStr"/>
    </row>
    <row r="411" ht="15" customHeight="1">
      <c r="A411" t="inlineStr">
        <is>
          <t>A 840-2025</t>
        </is>
      </c>
      <c r="B411" s="1" t="n">
        <v>45665</v>
      </c>
      <c r="C411" s="1" t="n">
        <v>45983</v>
      </c>
      <c r="D411" t="inlineStr">
        <is>
          <t>UPPSALA LÄN</t>
        </is>
      </c>
      <c r="E411" t="inlineStr">
        <is>
          <t>ENKÖPING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10458-2022</t>
        </is>
      </c>
      <c r="B412" s="1" t="n">
        <v>44623.56711805556</v>
      </c>
      <c r="C412" s="1" t="n">
        <v>45983</v>
      </c>
      <c r="D412" t="inlineStr">
        <is>
          <t>UPPSALA LÄN</t>
        </is>
      </c>
      <c r="E412" t="inlineStr">
        <is>
          <t>ENKÖPING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45142-2023</t>
        </is>
      </c>
      <c r="B413" s="1" t="n">
        <v>45191.4702662037</v>
      </c>
      <c r="C413" s="1" t="n">
        <v>45983</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57998-2024</t>
        </is>
      </c>
      <c r="B414" s="1" t="n">
        <v>45631</v>
      </c>
      <c r="C414" s="1" t="n">
        <v>45983</v>
      </c>
      <c r="D414" t="inlineStr">
        <is>
          <t>UPPSALA LÄN</t>
        </is>
      </c>
      <c r="E414" t="inlineStr">
        <is>
          <t>ENKÖPING</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14332-2024</t>
        </is>
      </c>
      <c r="B415" s="1" t="n">
        <v>45393</v>
      </c>
      <c r="C415" s="1" t="n">
        <v>45983</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18831-2023</t>
        </is>
      </c>
      <c r="B416" s="1" t="n">
        <v>45044.40798611111</v>
      </c>
      <c r="C416" s="1" t="n">
        <v>45983</v>
      </c>
      <c r="D416" t="inlineStr">
        <is>
          <t>UPPSALA LÄN</t>
        </is>
      </c>
      <c r="E416" t="inlineStr">
        <is>
          <t>ENKÖPING</t>
        </is>
      </c>
      <c r="G416" t="n">
        <v>4.3</v>
      </c>
      <c r="H416" t="n">
        <v>0</v>
      </c>
      <c r="I416" t="n">
        <v>0</v>
      </c>
      <c r="J416" t="n">
        <v>0</v>
      </c>
      <c r="K416" t="n">
        <v>0</v>
      </c>
      <c r="L416" t="n">
        <v>0</v>
      </c>
      <c r="M416" t="n">
        <v>0</v>
      </c>
      <c r="N416" t="n">
        <v>0</v>
      </c>
      <c r="O416" t="n">
        <v>0</v>
      </c>
      <c r="P416" t="n">
        <v>0</v>
      </c>
      <c r="Q416" t="n">
        <v>0</v>
      </c>
      <c r="R416" s="2" t="inlineStr"/>
    </row>
    <row r="417" ht="15" customHeight="1">
      <c r="A417" t="inlineStr">
        <is>
          <t>A 33581-2023</t>
        </is>
      </c>
      <c r="B417" s="1" t="n">
        <v>45131</v>
      </c>
      <c r="C417" s="1" t="n">
        <v>45983</v>
      </c>
      <c r="D417" t="inlineStr">
        <is>
          <t>UPPSALA LÄN</t>
        </is>
      </c>
      <c r="E417" t="inlineStr">
        <is>
          <t>ENKÖPING</t>
        </is>
      </c>
      <c r="G417" t="n">
        <v>3.5</v>
      </c>
      <c r="H417" t="n">
        <v>0</v>
      </c>
      <c r="I417" t="n">
        <v>0</v>
      </c>
      <c r="J417" t="n">
        <v>0</v>
      </c>
      <c r="K417" t="n">
        <v>0</v>
      </c>
      <c r="L417" t="n">
        <v>0</v>
      </c>
      <c r="M417" t="n">
        <v>0</v>
      </c>
      <c r="N417" t="n">
        <v>0</v>
      </c>
      <c r="O417" t="n">
        <v>0</v>
      </c>
      <c r="P417" t="n">
        <v>0</v>
      </c>
      <c r="Q417" t="n">
        <v>0</v>
      </c>
      <c r="R417" s="2" t="inlineStr"/>
    </row>
    <row r="418" ht="15" customHeight="1">
      <c r="A418" t="inlineStr">
        <is>
          <t>A 37115-2024</t>
        </is>
      </c>
      <c r="B418" s="1" t="n">
        <v>45539</v>
      </c>
      <c r="C418" s="1" t="n">
        <v>45983</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6147-2021</t>
        </is>
      </c>
      <c r="B419" s="1" t="n">
        <v>44232</v>
      </c>
      <c r="C419" s="1" t="n">
        <v>45983</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1960-2022</t>
        </is>
      </c>
      <c r="B420" s="1" t="n">
        <v>44575</v>
      </c>
      <c r="C420" s="1" t="n">
        <v>45983</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18028-2023</t>
        </is>
      </c>
      <c r="B421" s="1" t="n">
        <v>45040</v>
      </c>
      <c r="C421" s="1" t="n">
        <v>45983</v>
      </c>
      <c r="D421" t="inlineStr">
        <is>
          <t>UPPSALA LÄN</t>
        </is>
      </c>
      <c r="E421" t="inlineStr">
        <is>
          <t>ENKÖPING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49568-2022</t>
        </is>
      </c>
      <c r="B422" s="1" t="n">
        <v>44862.32791666667</v>
      </c>
      <c r="C422" s="1" t="n">
        <v>45983</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42459-2024</t>
        </is>
      </c>
      <c r="B423" s="1" t="n">
        <v>45565</v>
      </c>
      <c r="C423" s="1" t="n">
        <v>45983</v>
      </c>
      <c r="D423" t="inlineStr">
        <is>
          <t>UPPSALA LÄN</t>
        </is>
      </c>
      <c r="E423" t="inlineStr">
        <is>
          <t>ENKÖPING</t>
        </is>
      </c>
      <c r="G423" t="n">
        <v>3.6</v>
      </c>
      <c r="H423" t="n">
        <v>0</v>
      </c>
      <c r="I423" t="n">
        <v>0</v>
      </c>
      <c r="J423" t="n">
        <v>0</v>
      </c>
      <c r="K423" t="n">
        <v>0</v>
      </c>
      <c r="L423" t="n">
        <v>0</v>
      </c>
      <c r="M423" t="n">
        <v>0</v>
      </c>
      <c r="N423" t="n">
        <v>0</v>
      </c>
      <c r="O423" t="n">
        <v>0</v>
      </c>
      <c r="P423" t="n">
        <v>0</v>
      </c>
      <c r="Q423" t="n">
        <v>0</v>
      </c>
      <c r="R423" s="2" t="inlineStr"/>
    </row>
    <row r="424" ht="15" customHeight="1">
      <c r="A424" t="inlineStr">
        <is>
          <t>A 48864-2022</t>
        </is>
      </c>
      <c r="B424" s="1" t="n">
        <v>44859</v>
      </c>
      <c r="C424" s="1" t="n">
        <v>45983</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31622-2022</t>
        </is>
      </c>
      <c r="B425" s="1" t="n">
        <v>44775</v>
      </c>
      <c r="C425" s="1" t="n">
        <v>45983</v>
      </c>
      <c r="D425" t="inlineStr">
        <is>
          <t>UPPSALA LÄN</t>
        </is>
      </c>
      <c r="E425" t="inlineStr">
        <is>
          <t>ENKÖPING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66517-2020</t>
        </is>
      </c>
      <c r="B426" s="1" t="n">
        <v>44178</v>
      </c>
      <c r="C426" s="1" t="n">
        <v>45983</v>
      </c>
      <c r="D426" t="inlineStr">
        <is>
          <t>UPPSALA LÄN</t>
        </is>
      </c>
      <c r="E426" t="inlineStr">
        <is>
          <t>ENKÖPING</t>
        </is>
      </c>
      <c r="G426" t="n">
        <v>4</v>
      </c>
      <c r="H426" t="n">
        <v>0</v>
      </c>
      <c r="I426" t="n">
        <v>0</v>
      </c>
      <c r="J426" t="n">
        <v>0</v>
      </c>
      <c r="K426" t="n">
        <v>0</v>
      </c>
      <c r="L426" t="n">
        <v>0</v>
      </c>
      <c r="M426" t="n">
        <v>0</v>
      </c>
      <c r="N426" t="n">
        <v>0</v>
      </c>
      <c r="O426" t="n">
        <v>0</v>
      </c>
      <c r="P426" t="n">
        <v>0</v>
      </c>
      <c r="Q426" t="n">
        <v>0</v>
      </c>
      <c r="R426" s="2" t="inlineStr"/>
    </row>
    <row r="427" ht="15" customHeight="1">
      <c r="A427" t="inlineStr">
        <is>
          <t>A 6356-2022</t>
        </is>
      </c>
      <c r="B427" s="1" t="n">
        <v>44600</v>
      </c>
      <c r="C427" s="1" t="n">
        <v>45983</v>
      </c>
      <c r="D427" t="inlineStr">
        <is>
          <t>UPPSALA LÄN</t>
        </is>
      </c>
      <c r="E427" t="inlineStr">
        <is>
          <t>ENKÖPING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57147-2021</t>
        </is>
      </c>
      <c r="B428" s="1" t="n">
        <v>44482</v>
      </c>
      <c r="C428" s="1" t="n">
        <v>45983</v>
      </c>
      <c r="D428" t="inlineStr">
        <is>
          <t>UPPSALA LÄN</t>
        </is>
      </c>
      <c r="E428" t="inlineStr">
        <is>
          <t>ENKÖPING</t>
        </is>
      </c>
      <c r="G428" t="n">
        <v>5.7</v>
      </c>
      <c r="H428" t="n">
        <v>0</v>
      </c>
      <c r="I428" t="n">
        <v>0</v>
      </c>
      <c r="J428" t="n">
        <v>0</v>
      </c>
      <c r="K428" t="n">
        <v>0</v>
      </c>
      <c r="L428" t="n">
        <v>0</v>
      </c>
      <c r="M428" t="n">
        <v>0</v>
      </c>
      <c r="N428" t="n">
        <v>0</v>
      </c>
      <c r="O428" t="n">
        <v>0</v>
      </c>
      <c r="P428" t="n">
        <v>0</v>
      </c>
      <c r="Q428" t="n">
        <v>0</v>
      </c>
      <c r="R428" s="2" t="inlineStr"/>
    </row>
    <row r="429" ht="15" customHeight="1">
      <c r="A429" t="inlineStr">
        <is>
          <t>A 61711-2020</t>
        </is>
      </c>
      <c r="B429" s="1" t="n">
        <v>44158</v>
      </c>
      <c r="C429" s="1" t="n">
        <v>45983</v>
      </c>
      <c r="D429" t="inlineStr">
        <is>
          <t>UPPSALA LÄN</t>
        </is>
      </c>
      <c r="E429" t="inlineStr">
        <is>
          <t>ENKÖPING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47909-2024</t>
        </is>
      </c>
      <c r="B430" s="1" t="n">
        <v>45589.31866898148</v>
      </c>
      <c r="C430" s="1" t="n">
        <v>45983</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6157-2021</t>
        </is>
      </c>
      <c r="B431" s="1" t="n">
        <v>44232</v>
      </c>
      <c r="C431" s="1" t="n">
        <v>45983</v>
      </c>
      <c r="D431" t="inlineStr">
        <is>
          <t>UPPSALA LÄN</t>
        </is>
      </c>
      <c r="E431" t="inlineStr">
        <is>
          <t>ENKÖPING</t>
        </is>
      </c>
      <c r="G431" t="n">
        <v>3.9</v>
      </c>
      <c r="H431" t="n">
        <v>0</v>
      </c>
      <c r="I431" t="n">
        <v>0</v>
      </c>
      <c r="J431" t="n">
        <v>0</v>
      </c>
      <c r="K431" t="n">
        <v>0</v>
      </c>
      <c r="L431" t="n">
        <v>0</v>
      </c>
      <c r="M431" t="n">
        <v>0</v>
      </c>
      <c r="N431" t="n">
        <v>0</v>
      </c>
      <c r="O431" t="n">
        <v>0</v>
      </c>
      <c r="P431" t="n">
        <v>0</v>
      </c>
      <c r="Q431" t="n">
        <v>0</v>
      </c>
      <c r="R431" s="2" t="inlineStr"/>
    </row>
    <row r="432" ht="15" customHeight="1">
      <c r="A432" t="inlineStr">
        <is>
          <t>A 52005-2024</t>
        </is>
      </c>
      <c r="B432" s="1" t="n">
        <v>45607.7627662037</v>
      </c>
      <c r="C432" s="1" t="n">
        <v>45983</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53586-2024</t>
        </is>
      </c>
      <c r="B433" s="1" t="n">
        <v>45614</v>
      </c>
      <c r="C433" s="1" t="n">
        <v>45983</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51034-2024</t>
        </is>
      </c>
      <c r="B434" s="1" t="n">
        <v>45603.4262037037</v>
      </c>
      <c r="C434" s="1" t="n">
        <v>45983</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51036-2024</t>
        </is>
      </c>
      <c r="B435" s="1" t="n">
        <v>45603.42839120371</v>
      </c>
      <c r="C435" s="1" t="n">
        <v>45983</v>
      </c>
      <c r="D435" t="inlineStr">
        <is>
          <t>UPPSALA LÄN</t>
        </is>
      </c>
      <c r="E435" t="inlineStr">
        <is>
          <t>ENKÖPING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43492-2023</t>
        </is>
      </c>
      <c r="B436" s="1" t="n">
        <v>45181</v>
      </c>
      <c r="C436" s="1" t="n">
        <v>45983</v>
      </c>
      <c r="D436" t="inlineStr">
        <is>
          <t>UPPSALA LÄN</t>
        </is>
      </c>
      <c r="E436" t="inlineStr">
        <is>
          <t>ENKÖPING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1536-2024</t>
        </is>
      </c>
      <c r="B437" s="1" t="n">
        <v>45306</v>
      </c>
      <c r="C437" s="1" t="n">
        <v>45983</v>
      </c>
      <c r="D437" t="inlineStr">
        <is>
          <t>UPPSALA LÄN</t>
        </is>
      </c>
      <c r="E437" t="inlineStr">
        <is>
          <t>ENKÖPING</t>
        </is>
      </c>
      <c r="F437" t="inlineStr">
        <is>
          <t>Kyrkan</t>
        </is>
      </c>
      <c r="G437" t="n">
        <v>5.6</v>
      </c>
      <c r="H437" t="n">
        <v>0</v>
      </c>
      <c r="I437" t="n">
        <v>0</v>
      </c>
      <c r="J437" t="n">
        <v>0</v>
      </c>
      <c r="K437" t="n">
        <v>0</v>
      </c>
      <c r="L437" t="n">
        <v>0</v>
      </c>
      <c r="M437" t="n">
        <v>0</v>
      </c>
      <c r="N437" t="n">
        <v>0</v>
      </c>
      <c r="O437" t="n">
        <v>0</v>
      </c>
      <c r="P437" t="n">
        <v>0</v>
      </c>
      <c r="Q437" t="n">
        <v>0</v>
      </c>
      <c r="R437" s="2" t="inlineStr"/>
    </row>
    <row r="438" ht="15" customHeight="1">
      <c r="A438" t="inlineStr">
        <is>
          <t>A 2974-2025</t>
        </is>
      </c>
      <c r="B438" s="1" t="n">
        <v>45678.47168981482</v>
      </c>
      <c r="C438" s="1" t="n">
        <v>45983</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16916-2023</t>
        </is>
      </c>
      <c r="B439" s="1" t="n">
        <v>45033.58347222222</v>
      </c>
      <c r="C439" s="1" t="n">
        <v>45983</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16920-2023</t>
        </is>
      </c>
      <c r="B440" s="1" t="n">
        <v>45033.59030092593</v>
      </c>
      <c r="C440" s="1" t="n">
        <v>45983</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52388-2024</t>
        </is>
      </c>
      <c r="B441" s="1" t="n">
        <v>45609.42939814815</v>
      </c>
      <c r="C441" s="1" t="n">
        <v>45983</v>
      </c>
      <c r="D441" t="inlineStr">
        <is>
          <t>UPPSALA LÄN</t>
        </is>
      </c>
      <c r="E441" t="inlineStr">
        <is>
          <t>ENKÖPING</t>
        </is>
      </c>
      <c r="G441" t="n">
        <v>1.8</v>
      </c>
      <c r="H441" t="n">
        <v>0</v>
      </c>
      <c r="I441" t="n">
        <v>0</v>
      </c>
      <c r="J441" t="n">
        <v>0</v>
      </c>
      <c r="K441" t="n">
        <v>0</v>
      </c>
      <c r="L441" t="n">
        <v>0</v>
      </c>
      <c r="M441" t="n">
        <v>0</v>
      </c>
      <c r="N441" t="n">
        <v>0</v>
      </c>
      <c r="O441" t="n">
        <v>0</v>
      </c>
      <c r="P441" t="n">
        <v>0</v>
      </c>
      <c r="Q441" t="n">
        <v>0</v>
      </c>
      <c r="R441" s="2" t="inlineStr"/>
    </row>
    <row r="442" ht="15" customHeight="1">
      <c r="A442" t="inlineStr">
        <is>
          <t>A 12434-2021</t>
        </is>
      </c>
      <c r="B442" s="1" t="n">
        <v>44267</v>
      </c>
      <c r="C442" s="1" t="n">
        <v>45983</v>
      </c>
      <c r="D442" t="inlineStr">
        <is>
          <t>UPPSALA LÄN</t>
        </is>
      </c>
      <c r="E442" t="inlineStr">
        <is>
          <t>ENKÖPING</t>
        </is>
      </c>
      <c r="G442" t="n">
        <v>5.3</v>
      </c>
      <c r="H442" t="n">
        <v>0</v>
      </c>
      <c r="I442" t="n">
        <v>0</v>
      </c>
      <c r="J442" t="n">
        <v>0</v>
      </c>
      <c r="K442" t="n">
        <v>0</v>
      </c>
      <c r="L442" t="n">
        <v>0</v>
      </c>
      <c r="M442" t="n">
        <v>0</v>
      </c>
      <c r="N442" t="n">
        <v>0</v>
      </c>
      <c r="O442" t="n">
        <v>0</v>
      </c>
      <c r="P442" t="n">
        <v>0</v>
      </c>
      <c r="Q442" t="n">
        <v>0</v>
      </c>
      <c r="R442" s="2" t="inlineStr"/>
    </row>
    <row r="443" ht="15" customHeight="1">
      <c r="A443" t="inlineStr">
        <is>
          <t>A 1992-2022</t>
        </is>
      </c>
      <c r="B443" s="1" t="n">
        <v>44575.56153935185</v>
      </c>
      <c r="C443" s="1" t="n">
        <v>45983</v>
      </c>
      <c r="D443" t="inlineStr">
        <is>
          <t>UPPSALA LÄN</t>
        </is>
      </c>
      <c r="E443" t="inlineStr">
        <is>
          <t>ENKÖPING</t>
        </is>
      </c>
      <c r="G443" t="n">
        <v>2.8</v>
      </c>
      <c r="H443" t="n">
        <v>0</v>
      </c>
      <c r="I443" t="n">
        <v>0</v>
      </c>
      <c r="J443" t="n">
        <v>0</v>
      </c>
      <c r="K443" t="n">
        <v>0</v>
      </c>
      <c r="L443" t="n">
        <v>0</v>
      </c>
      <c r="M443" t="n">
        <v>0</v>
      </c>
      <c r="N443" t="n">
        <v>0</v>
      </c>
      <c r="O443" t="n">
        <v>0</v>
      </c>
      <c r="P443" t="n">
        <v>0</v>
      </c>
      <c r="Q443" t="n">
        <v>0</v>
      </c>
      <c r="R443" s="2" t="inlineStr"/>
    </row>
    <row r="444" ht="15" customHeight="1">
      <c r="A444" t="inlineStr">
        <is>
          <t>A 6626-2023</t>
        </is>
      </c>
      <c r="B444" s="1" t="n">
        <v>44966.55946759259</v>
      </c>
      <c r="C444" s="1" t="n">
        <v>45983</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48843-2023</t>
        </is>
      </c>
      <c r="B445" s="1" t="n">
        <v>45209</v>
      </c>
      <c r="C445" s="1" t="n">
        <v>45983</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57940-2022</t>
        </is>
      </c>
      <c r="B446" s="1" t="n">
        <v>44900</v>
      </c>
      <c r="C446" s="1" t="n">
        <v>45983</v>
      </c>
      <c r="D446" t="inlineStr">
        <is>
          <t>UPPSALA LÄN</t>
        </is>
      </c>
      <c r="E446" t="inlineStr">
        <is>
          <t>ENKÖPING</t>
        </is>
      </c>
      <c r="G446" t="n">
        <v>1.9</v>
      </c>
      <c r="H446" t="n">
        <v>0</v>
      </c>
      <c r="I446" t="n">
        <v>0</v>
      </c>
      <c r="J446" t="n">
        <v>0</v>
      </c>
      <c r="K446" t="n">
        <v>0</v>
      </c>
      <c r="L446" t="n">
        <v>0</v>
      </c>
      <c r="M446" t="n">
        <v>0</v>
      </c>
      <c r="N446" t="n">
        <v>0</v>
      </c>
      <c r="O446" t="n">
        <v>0</v>
      </c>
      <c r="P446" t="n">
        <v>0</v>
      </c>
      <c r="Q446" t="n">
        <v>0</v>
      </c>
      <c r="R446" s="2" t="inlineStr"/>
    </row>
    <row r="447" ht="15" customHeight="1">
      <c r="A447" t="inlineStr">
        <is>
          <t>A 35079-2024</t>
        </is>
      </c>
      <c r="B447" s="1" t="n">
        <v>45527.66770833333</v>
      </c>
      <c r="C447" s="1" t="n">
        <v>45983</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53595-2023</t>
        </is>
      </c>
      <c r="B448" s="1" t="n">
        <v>45223</v>
      </c>
      <c r="C448" s="1" t="n">
        <v>45983</v>
      </c>
      <c r="D448" t="inlineStr">
        <is>
          <t>UPPSALA LÄN</t>
        </is>
      </c>
      <c r="E448" t="inlineStr">
        <is>
          <t>ENKÖPING</t>
        </is>
      </c>
      <c r="G448" t="n">
        <v>2.6</v>
      </c>
      <c r="H448" t="n">
        <v>0</v>
      </c>
      <c r="I448" t="n">
        <v>0</v>
      </c>
      <c r="J448" t="n">
        <v>0</v>
      </c>
      <c r="K448" t="n">
        <v>0</v>
      </c>
      <c r="L448" t="n">
        <v>0</v>
      </c>
      <c r="M448" t="n">
        <v>0</v>
      </c>
      <c r="N448" t="n">
        <v>0</v>
      </c>
      <c r="O448" t="n">
        <v>0</v>
      </c>
      <c r="P448" t="n">
        <v>0</v>
      </c>
      <c r="Q448" t="n">
        <v>0</v>
      </c>
      <c r="R448" s="2" t="inlineStr"/>
    </row>
    <row r="449" ht="15" customHeight="1">
      <c r="A449" t="inlineStr">
        <is>
          <t>A 60533-2021</t>
        </is>
      </c>
      <c r="B449" s="1" t="n">
        <v>44496</v>
      </c>
      <c r="C449" s="1" t="n">
        <v>45983</v>
      </c>
      <c r="D449" t="inlineStr">
        <is>
          <t>UPPSALA LÄN</t>
        </is>
      </c>
      <c r="E449" t="inlineStr">
        <is>
          <t>ENKÖPING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15757-2023</t>
        </is>
      </c>
      <c r="B450" s="1" t="n">
        <v>45021</v>
      </c>
      <c r="C450" s="1" t="n">
        <v>45983</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43230-2023</t>
        </is>
      </c>
      <c r="B451" s="1" t="n">
        <v>45183</v>
      </c>
      <c r="C451" s="1" t="n">
        <v>45983</v>
      </c>
      <c r="D451" t="inlineStr">
        <is>
          <t>UPPSALA LÄN</t>
        </is>
      </c>
      <c r="E451" t="inlineStr">
        <is>
          <t>ENKÖPING</t>
        </is>
      </c>
      <c r="G451" t="n">
        <v>2.1</v>
      </c>
      <c r="H451" t="n">
        <v>0</v>
      </c>
      <c r="I451" t="n">
        <v>0</v>
      </c>
      <c r="J451" t="n">
        <v>0</v>
      </c>
      <c r="K451" t="n">
        <v>0</v>
      </c>
      <c r="L451" t="n">
        <v>0</v>
      </c>
      <c r="M451" t="n">
        <v>0</v>
      </c>
      <c r="N451" t="n">
        <v>0</v>
      </c>
      <c r="O451" t="n">
        <v>0</v>
      </c>
      <c r="P451" t="n">
        <v>0</v>
      </c>
      <c r="Q451" t="n">
        <v>0</v>
      </c>
      <c r="R451" s="2" t="inlineStr"/>
    </row>
    <row r="452" ht="15" customHeight="1">
      <c r="A452" t="inlineStr">
        <is>
          <t>A 56886-2023</t>
        </is>
      </c>
      <c r="B452" s="1" t="n">
        <v>45239</v>
      </c>
      <c r="C452" s="1" t="n">
        <v>45983</v>
      </c>
      <c r="D452" t="inlineStr">
        <is>
          <t>UPPSALA LÄN</t>
        </is>
      </c>
      <c r="E452" t="inlineStr">
        <is>
          <t>ENKÖPING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51011-2024</t>
        </is>
      </c>
      <c r="B453" s="1" t="n">
        <v>45603.39427083333</v>
      </c>
      <c r="C453" s="1" t="n">
        <v>45983</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12102-2024</t>
        </is>
      </c>
      <c r="B454" s="1" t="n">
        <v>45377</v>
      </c>
      <c r="C454" s="1" t="n">
        <v>45983</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58961-2024</t>
        </is>
      </c>
      <c r="B455" s="1" t="n">
        <v>45636.585</v>
      </c>
      <c r="C455" s="1" t="n">
        <v>45983</v>
      </c>
      <c r="D455" t="inlineStr">
        <is>
          <t>UPPSALA LÄN</t>
        </is>
      </c>
      <c r="E455" t="inlineStr">
        <is>
          <t>ENKÖPING</t>
        </is>
      </c>
      <c r="G455" t="n">
        <v>4</v>
      </c>
      <c r="H455" t="n">
        <v>0</v>
      </c>
      <c r="I455" t="n">
        <v>0</v>
      </c>
      <c r="J455" t="n">
        <v>0</v>
      </c>
      <c r="K455" t="n">
        <v>0</v>
      </c>
      <c r="L455" t="n">
        <v>0</v>
      </c>
      <c r="M455" t="n">
        <v>0</v>
      </c>
      <c r="N455" t="n">
        <v>0</v>
      </c>
      <c r="O455" t="n">
        <v>0</v>
      </c>
      <c r="P455" t="n">
        <v>0</v>
      </c>
      <c r="Q455" t="n">
        <v>0</v>
      </c>
      <c r="R455" s="2" t="inlineStr"/>
    </row>
    <row r="456" ht="15" customHeight="1">
      <c r="A456" t="inlineStr">
        <is>
          <t>A 45283-2022</t>
        </is>
      </c>
      <c r="B456" s="1" t="n">
        <v>44844</v>
      </c>
      <c r="C456" s="1" t="n">
        <v>45983</v>
      </c>
      <c r="D456" t="inlineStr">
        <is>
          <t>UPPSALA LÄN</t>
        </is>
      </c>
      <c r="E456" t="inlineStr">
        <is>
          <t>ENKÖPING</t>
        </is>
      </c>
      <c r="G456" t="n">
        <v>5.9</v>
      </c>
      <c r="H456" t="n">
        <v>0</v>
      </c>
      <c r="I456" t="n">
        <v>0</v>
      </c>
      <c r="J456" t="n">
        <v>0</v>
      </c>
      <c r="K456" t="n">
        <v>0</v>
      </c>
      <c r="L456" t="n">
        <v>0</v>
      </c>
      <c r="M456" t="n">
        <v>0</v>
      </c>
      <c r="N456" t="n">
        <v>0</v>
      </c>
      <c r="O456" t="n">
        <v>0</v>
      </c>
      <c r="P456" t="n">
        <v>0</v>
      </c>
      <c r="Q456" t="n">
        <v>0</v>
      </c>
      <c r="R456" s="2" t="inlineStr"/>
    </row>
    <row r="457" ht="15" customHeight="1">
      <c r="A457" t="inlineStr">
        <is>
          <t>A 845-2025</t>
        </is>
      </c>
      <c r="B457" s="1" t="n">
        <v>45665</v>
      </c>
      <c r="C457" s="1" t="n">
        <v>45983</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849-2025</t>
        </is>
      </c>
      <c r="B458" s="1" t="n">
        <v>45665</v>
      </c>
      <c r="C458" s="1" t="n">
        <v>45983</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58147-2024</t>
        </is>
      </c>
      <c r="B459" s="1" t="n">
        <v>45632.4334375</v>
      </c>
      <c r="C459" s="1" t="n">
        <v>45983</v>
      </c>
      <c r="D459" t="inlineStr">
        <is>
          <t>UPPSALA LÄN</t>
        </is>
      </c>
      <c r="E459" t="inlineStr">
        <is>
          <t>ENKÖPING</t>
        </is>
      </c>
      <c r="G459" t="n">
        <v>3</v>
      </c>
      <c r="H459" t="n">
        <v>0</v>
      </c>
      <c r="I459" t="n">
        <v>0</v>
      </c>
      <c r="J459" t="n">
        <v>0</v>
      </c>
      <c r="K459" t="n">
        <v>0</v>
      </c>
      <c r="L459" t="n">
        <v>0</v>
      </c>
      <c r="M459" t="n">
        <v>0</v>
      </c>
      <c r="N459" t="n">
        <v>0</v>
      </c>
      <c r="O459" t="n">
        <v>0</v>
      </c>
      <c r="P459" t="n">
        <v>0</v>
      </c>
      <c r="Q459" t="n">
        <v>0</v>
      </c>
      <c r="R459" s="2" t="inlineStr"/>
    </row>
    <row r="460" ht="15" customHeight="1">
      <c r="A460" t="inlineStr">
        <is>
          <t>A 18302-2025</t>
        </is>
      </c>
      <c r="B460" s="1" t="n">
        <v>45762</v>
      </c>
      <c r="C460" s="1" t="n">
        <v>45983</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34735-2023</t>
        </is>
      </c>
      <c r="B461" s="1" t="n">
        <v>45139</v>
      </c>
      <c r="C461" s="1" t="n">
        <v>45983</v>
      </c>
      <c r="D461" t="inlineStr">
        <is>
          <t>UPPSALA LÄN</t>
        </is>
      </c>
      <c r="E461" t="inlineStr">
        <is>
          <t>ENKÖPING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30514-2021</t>
        </is>
      </c>
      <c r="B462" s="1" t="n">
        <v>44364</v>
      </c>
      <c r="C462" s="1" t="n">
        <v>45983</v>
      </c>
      <c r="D462" t="inlineStr">
        <is>
          <t>UPPSALA LÄN</t>
        </is>
      </c>
      <c r="E462" t="inlineStr">
        <is>
          <t>ENKÖPING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57209-2024</t>
        </is>
      </c>
      <c r="B463" s="1" t="n">
        <v>45629.49311342592</v>
      </c>
      <c r="C463" s="1" t="n">
        <v>45983</v>
      </c>
      <c r="D463" t="inlineStr">
        <is>
          <t>UPPSALA LÄN</t>
        </is>
      </c>
      <c r="E463" t="inlineStr">
        <is>
          <t>ENKÖPING</t>
        </is>
      </c>
      <c r="G463" t="n">
        <v>3.2</v>
      </c>
      <c r="H463" t="n">
        <v>0</v>
      </c>
      <c r="I463" t="n">
        <v>0</v>
      </c>
      <c r="J463" t="n">
        <v>0</v>
      </c>
      <c r="K463" t="n">
        <v>0</v>
      </c>
      <c r="L463" t="n">
        <v>0</v>
      </c>
      <c r="M463" t="n">
        <v>0</v>
      </c>
      <c r="N463" t="n">
        <v>0</v>
      </c>
      <c r="O463" t="n">
        <v>0</v>
      </c>
      <c r="P463" t="n">
        <v>0</v>
      </c>
      <c r="Q463" t="n">
        <v>0</v>
      </c>
      <c r="R463" s="2" t="inlineStr"/>
    </row>
    <row r="464" ht="15" customHeight="1">
      <c r="A464" t="inlineStr">
        <is>
          <t>A 13110-2023</t>
        </is>
      </c>
      <c r="B464" s="1" t="n">
        <v>45001</v>
      </c>
      <c r="C464" s="1" t="n">
        <v>45983</v>
      </c>
      <c r="D464" t="inlineStr">
        <is>
          <t>UPPSALA LÄN</t>
        </is>
      </c>
      <c r="E464" t="inlineStr">
        <is>
          <t>ENKÖPING</t>
        </is>
      </c>
      <c r="G464" t="n">
        <v>2.5</v>
      </c>
      <c r="H464" t="n">
        <v>0</v>
      </c>
      <c r="I464" t="n">
        <v>0</v>
      </c>
      <c r="J464" t="n">
        <v>0</v>
      </c>
      <c r="K464" t="n">
        <v>0</v>
      </c>
      <c r="L464" t="n">
        <v>0</v>
      </c>
      <c r="M464" t="n">
        <v>0</v>
      </c>
      <c r="N464" t="n">
        <v>0</v>
      </c>
      <c r="O464" t="n">
        <v>0</v>
      </c>
      <c r="P464" t="n">
        <v>0</v>
      </c>
      <c r="Q464" t="n">
        <v>0</v>
      </c>
      <c r="R464" s="2" t="inlineStr"/>
    </row>
    <row r="465" ht="15" customHeight="1">
      <c r="A465" t="inlineStr">
        <is>
          <t>A 49627-2024</t>
        </is>
      </c>
      <c r="B465" s="1" t="n">
        <v>45596.59140046296</v>
      </c>
      <c r="C465" s="1" t="n">
        <v>45983</v>
      </c>
      <c r="D465" t="inlineStr">
        <is>
          <t>UPPSALA LÄN</t>
        </is>
      </c>
      <c r="E465" t="inlineStr">
        <is>
          <t>ENKÖPING</t>
        </is>
      </c>
      <c r="G465" t="n">
        <v>0.4</v>
      </c>
      <c r="H465" t="n">
        <v>0</v>
      </c>
      <c r="I465" t="n">
        <v>0</v>
      </c>
      <c r="J465" t="n">
        <v>0</v>
      </c>
      <c r="K465" t="n">
        <v>0</v>
      </c>
      <c r="L465" t="n">
        <v>0</v>
      </c>
      <c r="M465" t="n">
        <v>0</v>
      </c>
      <c r="N465" t="n">
        <v>0</v>
      </c>
      <c r="O465" t="n">
        <v>0</v>
      </c>
      <c r="P465" t="n">
        <v>0</v>
      </c>
      <c r="Q465" t="n">
        <v>0</v>
      </c>
      <c r="R465" s="2" t="inlineStr"/>
    </row>
    <row r="466" ht="15" customHeight="1">
      <c r="A466" t="inlineStr">
        <is>
          <t>A 9231-2023</t>
        </is>
      </c>
      <c r="B466" s="1" t="n">
        <v>44980</v>
      </c>
      <c r="C466" s="1" t="n">
        <v>45983</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27538-2023</t>
        </is>
      </c>
      <c r="B467" s="1" t="n">
        <v>45097</v>
      </c>
      <c r="C467" s="1" t="n">
        <v>45983</v>
      </c>
      <c r="D467" t="inlineStr">
        <is>
          <t>UPPSALA LÄN</t>
        </is>
      </c>
      <c r="E467" t="inlineStr">
        <is>
          <t>ENKÖPING</t>
        </is>
      </c>
      <c r="G467" t="n">
        <v>5.8</v>
      </c>
      <c r="H467" t="n">
        <v>0</v>
      </c>
      <c r="I467" t="n">
        <v>0</v>
      </c>
      <c r="J467" t="n">
        <v>0</v>
      </c>
      <c r="K467" t="n">
        <v>0</v>
      </c>
      <c r="L467" t="n">
        <v>0</v>
      </c>
      <c r="M467" t="n">
        <v>0</v>
      </c>
      <c r="N467" t="n">
        <v>0</v>
      </c>
      <c r="O467" t="n">
        <v>0</v>
      </c>
      <c r="P467" t="n">
        <v>0</v>
      </c>
      <c r="Q467" t="n">
        <v>0</v>
      </c>
      <c r="R467" s="2" t="inlineStr"/>
    </row>
    <row r="468" ht="15" customHeight="1">
      <c r="A468" t="inlineStr">
        <is>
          <t>A 18821-2023</t>
        </is>
      </c>
      <c r="B468" s="1" t="n">
        <v>45044.3782175926</v>
      </c>
      <c r="C468" s="1" t="n">
        <v>45983</v>
      </c>
      <c r="D468" t="inlineStr">
        <is>
          <t>UPPSALA LÄN</t>
        </is>
      </c>
      <c r="E468" t="inlineStr">
        <is>
          <t>ENKÖPING</t>
        </is>
      </c>
      <c r="G468" t="n">
        <v>6</v>
      </c>
      <c r="H468" t="n">
        <v>0</v>
      </c>
      <c r="I468" t="n">
        <v>0</v>
      </c>
      <c r="J468" t="n">
        <v>0</v>
      </c>
      <c r="K468" t="n">
        <v>0</v>
      </c>
      <c r="L468" t="n">
        <v>0</v>
      </c>
      <c r="M468" t="n">
        <v>0</v>
      </c>
      <c r="N468" t="n">
        <v>0</v>
      </c>
      <c r="O468" t="n">
        <v>0</v>
      </c>
      <c r="P468" t="n">
        <v>0</v>
      </c>
      <c r="Q468" t="n">
        <v>0</v>
      </c>
      <c r="R468" s="2" t="inlineStr"/>
    </row>
    <row r="469" ht="15" customHeight="1">
      <c r="A469" t="inlineStr">
        <is>
          <t>A 52380-2024</t>
        </is>
      </c>
      <c r="B469" s="1" t="n">
        <v>45609</v>
      </c>
      <c r="C469" s="1" t="n">
        <v>45983</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9041-2023</t>
        </is>
      </c>
      <c r="B470" s="1" t="n">
        <v>44979</v>
      </c>
      <c r="C470" s="1" t="n">
        <v>45983</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27786-2023</t>
        </is>
      </c>
      <c r="B471" s="1" t="n">
        <v>45098</v>
      </c>
      <c r="C471" s="1" t="n">
        <v>45983</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15942-2022</t>
        </is>
      </c>
      <c r="B472" s="1" t="n">
        <v>44664</v>
      </c>
      <c r="C472" s="1" t="n">
        <v>45983</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50006-2023</t>
        </is>
      </c>
      <c r="B473" s="1" t="n">
        <v>45215</v>
      </c>
      <c r="C473" s="1" t="n">
        <v>45983</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53607-2023</t>
        </is>
      </c>
      <c r="B474" s="1" t="n">
        <v>45230</v>
      </c>
      <c r="C474" s="1" t="n">
        <v>45983</v>
      </c>
      <c r="D474" t="inlineStr">
        <is>
          <t>UPPSALA LÄN</t>
        </is>
      </c>
      <c r="E474" t="inlineStr">
        <is>
          <t>ENKÖPING</t>
        </is>
      </c>
      <c r="F474" t="inlineStr">
        <is>
          <t>Allmännings- och besparingsskogar</t>
        </is>
      </c>
      <c r="G474" t="n">
        <v>6.3</v>
      </c>
      <c r="H474" t="n">
        <v>0</v>
      </c>
      <c r="I474" t="n">
        <v>0</v>
      </c>
      <c r="J474" t="n">
        <v>0</v>
      </c>
      <c r="K474" t="n">
        <v>0</v>
      </c>
      <c r="L474" t="n">
        <v>0</v>
      </c>
      <c r="M474" t="n">
        <v>0</v>
      </c>
      <c r="N474" t="n">
        <v>0</v>
      </c>
      <c r="O474" t="n">
        <v>0</v>
      </c>
      <c r="P474" t="n">
        <v>0</v>
      </c>
      <c r="Q474" t="n">
        <v>0</v>
      </c>
      <c r="R474" s="2" t="inlineStr"/>
    </row>
    <row r="475" ht="15" customHeight="1">
      <c r="A475" t="inlineStr">
        <is>
          <t>A 59497-2022</t>
        </is>
      </c>
      <c r="B475" s="1" t="n">
        <v>44907.48258101852</v>
      </c>
      <c r="C475" s="1" t="n">
        <v>45983</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49614-2024</t>
        </is>
      </c>
      <c r="B476" s="1" t="n">
        <v>45596.57716435185</v>
      </c>
      <c r="C476" s="1" t="n">
        <v>45983</v>
      </c>
      <c r="D476" t="inlineStr">
        <is>
          <t>UPPSALA LÄN</t>
        </is>
      </c>
      <c r="E476" t="inlineStr">
        <is>
          <t>ENKÖPING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49632-2024</t>
        </is>
      </c>
      <c r="B477" s="1" t="n">
        <v>45596</v>
      </c>
      <c r="C477" s="1" t="n">
        <v>45983</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51030-2024</t>
        </is>
      </c>
      <c r="B478" s="1" t="n">
        <v>45603</v>
      </c>
      <c r="C478" s="1" t="n">
        <v>45983</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15405-2025</t>
        </is>
      </c>
      <c r="B479" s="1" t="n">
        <v>45747.44670138889</v>
      </c>
      <c r="C479" s="1" t="n">
        <v>45983</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12878-2025</t>
        </is>
      </c>
      <c r="B480" s="1" t="n">
        <v>45733.68571759259</v>
      </c>
      <c r="C480" s="1" t="n">
        <v>45983</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52889-2022</t>
        </is>
      </c>
      <c r="B481" s="1" t="n">
        <v>44875</v>
      </c>
      <c r="C481" s="1" t="n">
        <v>45983</v>
      </c>
      <c r="D481" t="inlineStr">
        <is>
          <t>UPPSALA LÄN</t>
        </is>
      </c>
      <c r="E481" t="inlineStr">
        <is>
          <t>ENKÖPING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47681-2024</t>
        </is>
      </c>
      <c r="B482" s="1" t="n">
        <v>45588</v>
      </c>
      <c r="C482" s="1" t="n">
        <v>45983</v>
      </c>
      <c r="D482" t="inlineStr">
        <is>
          <t>UPPSALA LÄN</t>
        </is>
      </c>
      <c r="E482" t="inlineStr">
        <is>
          <t>ENKÖPING</t>
        </is>
      </c>
      <c r="G482" t="n">
        <v>4.2</v>
      </c>
      <c r="H482" t="n">
        <v>0</v>
      </c>
      <c r="I482" t="n">
        <v>0</v>
      </c>
      <c r="J482" t="n">
        <v>0</v>
      </c>
      <c r="K482" t="n">
        <v>0</v>
      </c>
      <c r="L482" t="n">
        <v>0</v>
      </c>
      <c r="M482" t="n">
        <v>0</v>
      </c>
      <c r="N482" t="n">
        <v>0</v>
      </c>
      <c r="O482" t="n">
        <v>0</v>
      </c>
      <c r="P482" t="n">
        <v>0</v>
      </c>
      <c r="Q482" t="n">
        <v>0</v>
      </c>
      <c r="R482" s="2" t="inlineStr"/>
    </row>
    <row r="483" ht="15" customHeight="1">
      <c r="A483" t="inlineStr">
        <is>
          <t>A 12754-2025</t>
        </is>
      </c>
      <c r="B483" s="1" t="n">
        <v>45733.56331018519</v>
      </c>
      <c r="C483" s="1" t="n">
        <v>45983</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54588-2024</t>
        </is>
      </c>
      <c r="B484" s="1" t="n">
        <v>45617</v>
      </c>
      <c r="C484" s="1" t="n">
        <v>45983</v>
      </c>
      <c r="D484" t="inlineStr">
        <is>
          <t>UPPSALA LÄN</t>
        </is>
      </c>
      <c r="E484" t="inlineStr">
        <is>
          <t>ENKÖPING</t>
        </is>
      </c>
      <c r="G484" t="n">
        <v>3.7</v>
      </c>
      <c r="H484" t="n">
        <v>0</v>
      </c>
      <c r="I484" t="n">
        <v>0</v>
      </c>
      <c r="J484" t="n">
        <v>0</v>
      </c>
      <c r="K484" t="n">
        <v>0</v>
      </c>
      <c r="L484" t="n">
        <v>0</v>
      </c>
      <c r="M484" t="n">
        <v>0</v>
      </c>
      <c r="N484" t="n">
        <v>0</v>
      </c>
      <c r="O484" t="n">
        <v>0</v>
      </c>
      <c r="P484" t="n">
        <v>0</v>
      </c>
      <c r="Q484" t="n">
        <v>0</v>
      </c>
      <c r="R484" s="2" t="inlineStr"/>
    </row>
    <row r="485" ht="15" customHeight="1">
      <c r="A485" t="inlineStr">
        <is>
          <t>A 56713-2024</t>
        </is>
      </c>
      <c r="B485" s="1" t="n">
        <v>45628</v>
      </c>
      <c r="C485" s="1" t="n">
        <v>45983</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51524-2022</t>
        </is>
      </c>
      <c r="B486" s="1" t="n">
        <v>44869</v>
      </c>
      <c r="C486" s="1" t="n">
        <v>45983</v>
      </c>
      <c r="D486" t="inlineStr">
        <is>
          <t>UPPSALA LÄN</t>
        </is>
      </c>
      <c r="E486" t="inlineStr">
        <is>
          <t>ENKÖPING</t>
        </is>
      </c>
      <c r="G486" t="n">
        <v>6.6</v>
      </c>
      <c r="H486" t="n">
        <v>0</v>
      </c>
      <c r="I486" t="n">
        <v>0</v>
      </c>
      <c r="J486" t="n">
        <v>0</v>
      </c>
      <c r="K486" t="n">
        <v>0</v>
      </c>
      <c r="L486" t="n">
        <v>0</v>
      </c>
      <c r="M486" t="n">
        <v>0</v>
      </c>
      <c r="N486" t="n">
        <v>0</v>
      </c>
      <c r="O486" t="n">
        <v>0</v>
      </c>
      <c r="P486" t="n">
        <v>0</v>
      </c>
      <c r="Q486" t="n">
        <v>0</v>
      </c>
      <c r="R486" s="2" t="inlineStr"/>
    </row>
    <row r="487" ht="15" customHeight="1">
      <c r="A487" t="inlineStr">
        <is>
          <t>A 8137-2025</t>
        </is>
      </c>
      <c r="B487" s="1" t="n">
        <v>45707.8561574074</v>
      </c>
      <c r="C487" s="1" t="n">
        <v>45983</v>
      </c>
      <c r="D487" t="inlineStr">
        <is>
          <t>UPPSALA LÄN</t>
        </is>
      </c>
      <c r="E487" t="inlineStr">
        <is>
          <t>ENKÖPING</t>
        </is>
      </c>
      <c r="G487" t="n">
        <v>0.4</v>
      </c>
      <c r="H487" t="n">
        <v>0</v>
      </c>
      <c r="I487" t="n">
        <v>0</v>
      </c>
      <c r="J487" t="n">
        <v>0</v>
      </c>
      <c r="K487" t="n">
        <v>0</v>
      </c>
      <c r="L487" t="n">
        <v>0</v>
      </c>
      <c r="M487" t="n">
        <v>0</v>
      </c>
      <c r="N487" t="n">
        <v>0</v>
      </c>
      <c r="O487" t="n">
        <v>0</v>
      </c>
      <c r="P487" t="n">
        <v>0</v>
      </c>
      <c r="Q487" t="n">
        <v>0</v>
      </c>
      <c r="R487" s="2" t="inlineStr"/>
    </row>
    <row r="488" ht="15" customHeight="1">
      <c r="A488" t="inlineStr">
        <is>
          <t>A 7868-2024</t>
        </is>
      </c>
      <c r="B488" s="1" t="n">
        <v>45350.33020833333</v>
      </c>
      <c r="C488" s="1" t="n">
        <v>45983</v>
      </c>
      <c r="D488" t="inlineStr">
        <is>
          <t>UPPSALA LÄN</t>
        </is>
      </c>
      <c r="E488" t="inlineStr">
        <is>
          <t>ENKÖPING</t>
        </is>
      </c>
      <c r="G488" t="n">
        <v>0.3</v>
      </c>
      <c r="H488" t="n">
        <v>0</v>
      </c>
      <c r="I488" t="n">
        <v>0</v>
      </c>
      <c r="J488" t="n">
        <v>0</v>
      </c>
      <c r="K488" t="n">
        <v>0</v>
      </c>
      <c r="L488" t="n">
        <v>0</v>
      </c>
      <c r="M488" t="n">
        <v>0</v>
      </c>
      <c r="N488" t="n">
        <v>0</v>
      </c>
      <c r="O488" t="n">
        <v>0</v>
      </c>
      <c r="P488" t="n">
        <v>0</v>
      </c>
      <c r="Q488" t="n">
        <v>0</v>
      </c>
      <c r="R488" s="2" t="inlineStr"/>
    </row>
    <row r="489" ht="15" customHeight="1">
      <c r="A489" t="inlineStr">
        <is>
          <t>A 51008-2024</t>
        </is>
      </c>
      <c r="B489" s="1" t="n">
        <v>45603.39041666667</v>
      </c>
      <c r="C489" s="1" t="n">
        <v>45983</v>
      </c>
      <c r="D489" t="inlineStr">
        <is>
          <t>UPPSALA LÄN</t>
        </is>
      </c>
      <c r="E489" t="inlineStr">
        <is>
          <t>ENKÖPING</t>
        </is>
      </c>
      <c r="G489" t="n">
        <v>2.4</v>
      </c>
      <c r="H489" t="n">
        <v>0</v>
      </c>
      <c r="I489" t="n">
        <v>0</v>
      </c>
      <c r="J489" t="n">
        <v>0</v>
      </c>
      <c r="K489" t="n">
        <v>0</v>
      </c>
      <c r="L489" t="n">
        <v>0</v>
      </c>
      <c r="M489" t="n">
        <v>0</v>
      </c>
      <c r="N489" t="n">
        <v>0</v>
      </c>
      <c r="O489" t="n">
        <v>0</v>
      </c>
      <c r="P489" t="n">
        <v>0</v>
      </c>
      <c r="Q489" t="n">
        <v>0</v>
      </c>
      <c r="R489" s="2" t="inlineStr"/>
    </row>
    <row r="490">
      <c r="A490" t="inlineStr">
        <is>
          <t>A 35052-2024</t>
        </is>
      </c>
      <c r="B490" s="1" t="n">
        <v>45527.6516087963</v>
      </c>
      <c r="C490" s="1" t="n">
        <v>45983</v>
      </c>
      <c r="D490" t="inlineStr">
        <is>
          <t>UPPSALA LÄN</t>
        </is>
      </c>
      <c r="E490" t="inlineStr">
        <is>
          <t>ENKÖPING</t>
        </is>
      </c>
      <c r="G490" t="n">
        <v>1.5</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2025-11-22T10:15:08Z</dcterms:created>
  <dcterms:modified xmlns:dcterms="http://purl.org/dc/terms/" xmlns:xsi="http://www.w3.org/2001/XMLSchema-instance" xsi:type="dcterms:W3CDTF">2025-11-22T10:15:09Z</dcterms:modified>
</cp:coreProperties>
</file>