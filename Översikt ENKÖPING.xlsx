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46017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46017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46017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46017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46017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46017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46017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46017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46017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46017</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46017</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46017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46017</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46017</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46017</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46017</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46017</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46017</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46017</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46017</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45116-2023</t>
        </is>
      </c>
      <c r="B22" s="1" t="n">
        <v>45191</v>
      </c>
      <c r="C22" s="1" t="n">
        <v>46017</v>
      </c>
      <c r="D22" t="inlineStr">
        <is>
          <t>UPPSALA LÄN</t>
        </is>
      </c>
      <c r="E22" t="inlineStr">
        <is>
          <t>ENKÖPING</t>
        </is>
      </c>
      <c r="G22" t="n">
        <v>2</v>
      </c>
      <c r="H22" t="n">
        <v>0</v>
      </c>
      <c r="I22" t="n">
        <v>1</v>
      </c>
      <c r="J22" t="n">
        <v>0</v>
      </c>
      <c r="K22" t="n">
        <v>0</v>
      </c>
      <c r="L22" t="n">
        <v>0</v>
      </c>
      <c r="M22" t="n">
        <v>0</v>
      </c>
      <c r="N22" t="n">
        <v>0</v>
      </c>
      <c r="O22" t="n">
        <v>0</v>
      </c>
      <c r="P22" t="n">
        <v>0</v>
      </c>
      <c r="Q22" t="n">
        <v>1</v>
      </c>
      <c r="R22" s="2" t="inlineStr">
        <is>
          <t>Rävticka</t>
        </is>
      </c>
      <c r="S22">
        <f>HYPERLINK("https://klasma.github.io/Logging_0381/artfynd/A 45116-2023 artfynd.xlsx", "A 45116-2023")</f>
        <v/>
      </c>
      <c r="T22">
        <f>HYPERLINK("https://klasma.github.io/Logging_0381/kartor/A 45116-2023 karta.png", "A 45116-2023")</f>
        <v/>
      </c>
      <c r="V22">
        <f>HYPERLINK("https://klasma.github.io/Logging_0381/klagomål/A 45116-2023 FSC-klagomål.docx", "A 45116-2023")</f>
        <v/>
      </c>
      <c r="W22">
        <f>HYPERLINK("https://klasma.github.io/Logging_0381/klagomålsmail/A 45116-2023 FSC-klagomål mail.docx", "A 45116-2023")</f>
        <v/>
      </c>
      <c r="X22">
        <f>HYPERLINK("https://klasma.github.io/Logging_0381/tillsyn/A 45116-2023 tillsynsbegäran.docx", "A 45116-2023")</f>
        <v/>
      </c>
      <c r="Y22">
        <f>HYPERLINK("https://klasma.github.io/Logging_0381/tillsynsmail/A 45116-2023 tillsynsbegäran mail.docx", "A 45116-2023")</f>
        <v/>
      </c>
    </row>
    <row r="23" ht="15" customHeight="1">
      <c r="A23" t="inlineStr">
        <is>
          <t>A 23961-2022</t>
        </is>
      </c>
      <c r="B23" s="1" t="n">
        <v>44722</v>
      </c>
      <c r="C23" s="1" t="n">
        <v>46017</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28900-2024</t>
        </is>
      </c>
      <c r="B24" s="1" t="n">
        <v>45480</v>
      </c>
      <c r="C24" s="1" t="n">
        <v>46017</v>
      </c>
      <c r="D24" t="inlineStr">
        <is>
          <t>UPPSALA LÄN</t>
        </is>
      </c>
      <c r="E24" t="inlineStr">
        <is>
          <t>ENKÖPING</t>
        </is>
      </c>
      <c r="G24" t="n">
        <v>8.6</v>
      </c>
      <c r="H24" t="n">
        <v>1</v>
      </c>
      <c r="I24" t="n">
        <v>0</v>
      </c>
      <c r="J24" t="n">
        <v>0</v>
      </c>
      <c r="K24" t="n">
        <v>0</v>
      </c>
      <c r="L24" t="n">
        <v>0</v>
      </c>
      <c r="M24" t="n">
        <v>0</v>
      </c>
      <c r="N24" t="n">
        <v>0</v>
      </c>
      <c r="O24" t="n">
        <v>0</v>
      </c>
      <c r="P24" t="n">
        <v>0</v>
      </c>
      <c r="Q24" t="n">
        <v>1</v>
      </c>
      <c r="R24" s="2" t="inlineStr">
        <is>
          <t>Blåsippa</t>
        </is>
      </c>
      <c r="S24">
        <f>HYPERLINK("https://klasma.github.io/Logging_0381/artfynd/A 28900-2024 artfynd.xlsx", "A 28900-2024")</f>
        <v/>
      </c>
      <c r="T24">
        <f>HYPERLINK("https://klasma.github.io/Logging_0381/kartor/A 28900-2024 karta.png", "A 28900-2024")</f>
        <v/>
      </c>
      <c r="V24">
        <f>HYPERLINK("https://klasma.github.io/Logging_0381/klagomål/A 28900-2024 FSC-klagomål.docx", "A 28900-2024")</f>
        <v/>
      </c>
      <c r="W24">
        <f>HYPERLINK("https://klasma.github.io/Logging_0381/klagomålsmail/A 28900-2024 FSC-klagomål mail.docx", "A 28900-2024")</f>
        <v/>
      </c>
      <c r="X24">
        <f>HYPERLINK("https://klasma.github.io/Logging_0381/tillsyn/A 28900-2024 tillsynsbegäran.docx", "A 28900-2024")</f>
        <v/>
      </c>
      <c r="Y24">
        <f>HYPERLINK("https://klasma.github.io/Logging_0381/tillsynsmail/A 28900-2024 tillsynsbegäran mail.docx", "A 28900-2024")</f>
        <v/>
      </c>
    </row>
    <row r="25" ht="15" customHeight="1">
      <c r="A25" t="inlineStr">
        <is>
          <t>A 17942-2024</t>
        </is>
      </c>
      <c r="B25" s="1" t="n">
        <v>45419</v>
      </c>
      <c r="C25" s="1" t="n">
        <v>46017</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1524-2023</t>
        </is>
      </c>
      <c r="B26" s="1" t="n">
        <v>44935</v>
      </c>
      <c r="C26" s="1" t="n">
        <v>46017</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29510-2025</t>
        </is>
      </c>
      <c r="B27" s="1" t="n">
        <v>45825</v>
      </c>
      <c r="C27" s="1" t="n">
        <v>46017</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46749-2024</t>
        </is>
      </c>
      <c r="B28" s="1" t="n">
        <v>45583.48347222222</v>
      </c>
      <c r="C28" s="1" t="n">
        <v>46017</v>
      </c>
      <c r="D28" t="inlineStr">
        <is>
          <t>UPPSALA LÄN</t>
        </is>
      </c>
      <c r="E28" t="inlineStr">
        <is>
          <t>ENKÖPING</t>
        </is>
      </c>
      <c r="G28" t="n">
        <v>8.5</v>
      </c>
      <c r="H28" t="n">
        <v>0</v>
      </c>
      <c r="I28" t="n">
        <v>0</v>
      </c>
      <c r="J28" t="n">
        <v>1</v>
      </c>
      <c r="K28" t="n">
        <v>0</v>
      </c>
      <c r="L28" t="n">
        <v>0</v>
      </c>
      <c r="M28" t="n">
        <v>0</v>
      </c>
      <c r="N28" t="n">
        <v>0</v>
      </c>
      <c r="O28" t="n">
        <v>1</v>
      </c>
      <c r="P28" t="n">
        <v>0</v>
      </c>
      <c r="Q28" t="n">
        <v>1</v>
      </c>
      <c r="R28" s="2" t="inlineStr">
        <is>
          <t>Leptoporus erubescens</t>
        </is>
      </c>
      <c r="S28">
        <f>HYPERLINK("https://klasma.github.io/Logging_0381/artfynd/A 46749-2024 artfynd.xlsx", "A 46749-2024")</f>
        <v/>
      </c>
      <c r="T28">
        <f>HYPERLINK("https://klasma.github.io/Logging_0381/kartor/A 46749-2024 karta.png", "A 46749-2024")</f>
        <v/>
      </c>
      <c r="V28">
        <f>HYPERLINK("https://klasma.github.io/Logging_0381/klagomål/A 46749-2024 FSC-klagomål.docx", "A 46749-2024")</f>
        <v/>
      </c>
      <c r="W28">
        <f>HYPERLINK("https://klasma.github.io/Logging_0381/klagomålsmail/A 46749-2024 FSC-klagomål mail.docx", "A 46749-2024")</f>
        <v/>
      </c>
      <c r="X28">
        <f>HYPERLINK("https://klasma.github.io/Logging_0381/tillsyn/A 46749-2024 tillsynsbegäran.docx", "A 46749-2024")</f>
        <v/>
      </c>
      <c r="Y28">
        <f>HYPERLINK("https://klasma.github.io/Logging_0381/tillsynsmail/A 46749-2024 tillsynsbegäran mail.docx", "A 46749-2024")</f>
        <v/>
      </c>
    </row>
    <row r="29" ht="15" customHeight="1">
      <c r="A29" t="inlineStr">
        <is>
          <t>A 33339-2024</t>
        </is>
      </c>
      <c r="B29" s="1" t="n">
        <v>45519</v>
      </c>
      <c r="C29" s="1" t="n">
        <v>46017</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52439-2025</t>
        </is>
      </c>
      <c r="B30" s="1" t="n">
        <v>45954.40697916667</v>
      </c>
      <c r="C30" s="1" t="n">
        <v>46017</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26347-2025</t>
        </is>
      </c>
      <c r="B31" s="1" t="n">
        <v>45805.7403125</v>
      </c>
      <c r="C31" s="1" t="n">
        <v>46017</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46017</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46017</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46017</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46017</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46017</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46017</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46017</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46017</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46017</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46017</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46017</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46017</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46017</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22058-2021</t>
        </is>
      </c>
      <c r="B45" s="1" t="n">
        <v>44323</v>
      </c>
      <c r="C45" s="1" t="n">
        <v>46017</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46017</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46017</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46017</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46017</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46017</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46017</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46017</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46017</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18785-2022</t>
        </is>
      </c>
      <c r="B54" s="1" t="n">
        <v>44687</v>
      </c>
      <c r="C54" s="1" t="n">
        <v>46017</v>
      </c>
      <c r="D54" t="inlineStr">
        <is>
          <t>UPPSALA LÄN</t>
        </is>
      </c>
      <c r="E54" t="inlineStr">
        <is>
          <t>ENKÖPING</t>
        </is>
      </c>
      <c r="G54" t="n">
        <v>3.4</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46017</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46017</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46017</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46017</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46017</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1965-2022</t>
        </is>
      </c>
      <c r="B60" s="1" t="n">
        <v>44575</v>
      </c>
      <c r="C60" s="1" t="n">
        <v>46017</v>
      </c>
      <c r="D60" t="inlineStr">
        <is>
          <t>UPPSALA LÄN</t>
        </is>
      </c>
      <c r="E60" t="inlineStr">
        <is>
          <t>ENKÖPING</t>
        </is>
      </c>
      <c r="G60" t="n">
        <v>0.7</v>
      </c>
      <c r="H60" t="n">
        <v>0</v>
      </c>
      <c r="I60" t="n">
        <v>0</v>
      </c>
      <c r="J60" t="n">
        <v>0</v>
      </c>
      <c r="K60" t="n">
        <v>0</v>
      </c>
      <c r="L60" t="n">
        <v>0</v>
      </c>
      <c r="M60" t="n">
        <v>0</v>
      </c>
      <c r="N60" t="n">
        <v>0</v>
      </c>
      <c r="O60" t="n">
        <v>0</v>
      </c>
      <c r="P60" t="n">
        <v>0</v>
      </c>
      <c r="Q60" t="n">
        <v>0</v>
      </c>
      <c r="R60" s="2" t="inlineStr"/>
    </row>
    <row r="61" ht="15" customHeight="1">
      <c r="A61" t="inlineStr">
        <is>
          <t>A 48230-2022</t>
        </is>
      </c>
      <c r="B61" s="1" t="n">
        <v>44858.45100694444</v>
      </c>
      <c r="C61" s="1" t="n">
        <v>46017</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14531-2022</t>
        </is>
      </c>
      <c r="B62" s="1" t="n">
        <v>44655</v>
      </c>
      <c r="C62" s="1" t="n">
        <v>46017</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498-2022</t>
        </is>
      </c>
      <c r="B63" s="1" t="n">
        <v>44566</v>
      </c>
      <c r="C63" s="1" t="n">
        <v>46017</v>
      </c>
      <c r="D63" t="inlineStr">
        <is>
          <t>UPPSALA LÄN</t>
        </is>
      </c>
      <c r="E63" t="inlineStr">
        <is>
          <t>ENKÖPING</t>
        </is>
      </c>
      <c r="F63" t="inlineStr">
        <is>
          <t>Övriga statliga verk och myndigheter</t>
        </is>
      </c>
      <c r="G63" t="n">
        <v>11.1</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46017</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46017</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46017</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46017</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46017</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46017</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46017</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2680-2022</t>
        </is>
      </c>
      <c r="B71" s="1" t="n">
        <v>44580</v>
      </c>
      <c r="C71" s="1" t="n">
        <v>46017</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46017</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46017</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46017</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46017</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46017</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46017</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46017</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46017</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46017</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46017</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46017</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46017</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20067-2021</t>
        </is>
      </c>
      <c r="B84" s="1" t="n">
        <v>44314</v>
      </c>
      <c r="C84" s="1" t="n">
        <v>46017</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15924-2022</t>
        </is>
      </c>
      <c r="B85" s="1" t="n">
        <v>44664</v>
      </c>
      <c r="C85" s="1" t="n">
        <v>46017</v>
      </c>
      <c r="D85" t="inlineStr">
        <is>
          <t>UPPSALA LÄN</t>
        </is>
      </c>
      <c r="E85" t="inlineStr">
        <is>
          <t>ENKÖPING</t>
        </is>
      </c>
      <c r="G85" t="n">
        <v>0.7</v>
      </c>
      <c r="H85" t="n">
        <v>0</v>
      </c>
      <c r="I85" t="n">
        <v>0</v>
      </c>
      <c r="J85" t="n">
        <v>0</v>
      </c>
      <c r="K85" t="n">
        <v>0</v>
      </c>
      <c r="L85" t="n">
        <v>0</v>
      </c>
      <c r="M85" t="n">
        <v>0</v>
      </c>
      <c r="N85" t="n">
        <v>0</v>
      </c>
      <c r="O85" t="n">
        <v>0</v>
      </c>
      <c r="P85" t="n">
        <v>0</v>
      </c>
      <c r="Q85" t="n">
        <v>0</v>
      </c>
      <c r="R85" s="2" t="inlineStr"/>
    </row>
    <row r="86" ht="15" customHeight="1">
      <c r="A86" t="inlineStr">
        <is>
          <t>A 15943-2022</t>
        </is>
      </c>
      <c r="B86" s="1" t="n">
        <v>44664.66428240741</v>
      </c>
      <c r="C86" s="1" t="n">
        <v>46017</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47106-2021</t>
        </is>
      </c>
      <c r="B87" s="1" t="n">
        <v>44446</v>
      </c>
      <c r="C87" s="1" t="n">
        <v>46017</v>
      </c>
      <c r="D87" t="inlineStr">
        <is>
          <t>UPPSALA LÄN</t>
        </is>
      </c>
      <c r="E87" t="inlineStr">
        <is>
          <t>ENKÖPING</t>
        </is>
      </c>
      <c r="G87" t="n">
        <v>7.6</v>
      </c>
      <c r="H87" t="n">
        <v>0</v>
      </c>
      <c r="I87" t="n">
        <v>0</v>
      </c>
      <c r="J87" t="n">
        <v>0</v>
      </c>
      <c r="K87" t="n">
        <v>0</v>
      </c>
      <c r="L87" t="n">
        <v>0</v>
      </c>
      <c r="M87" t="n">
        <v>0</v>
      </c>
      <c r="N87" t="n">
        <v>0</v>
      </c>
      <c r="O87" t="n">
        <v>0</v>
      </c>
      <c r="P87" t="n">
        <v>0</v>
      </c>
      <c r="Q87" t="n">
        <v>0</v>
      </c>
      <c r="R87" s="2" t="inlineStr"/>
    </row>
    <row r="88" ht="15" customHeight="1">
      <c r="A88" t="inlineStr">
        <is>
          <t>A 24883-2022</t>
        </is>
      </c>
      <c r="B88" s="1" t="n">
        <v>44728</v>
      </c>
      <c r="C88" s="1" t="n">
        <v>46017</v>
      </c>
      <c r="D88" t="inlineStr">
        <is>
          <t>UPPSALA LÄN</t>
        </is>
      </c>
      <c r="E88" t="inlineStr">
        <is>
          <t>ENKÖPING</t>
        </is>
      </c>
      <c r="G88" t="n">
        <v>2.5</v>
      </c>
      <c r="H88" t="n">
        <v>0</v>
      </c>
      <c r="I88" t="n">
        <v>0</v>
      </c>
      <c r="J88" t="n">
        <v>0</v>
      </c>
      <c r="K88" t="n">
        <v>0</v>
      </c>
      <c r="L88" t="n">
        <v>0</v>
      </c>
      <c r="M88" t="n">
        <v>0</v>
      </c>
      <c r="N88" t="n">
        <v>0</v>
      </c>
      <c r="O88" t="n">
        <v>0</v>
      </c>
      <c r="P88" t="n">
        <v>0</v>
      </c>
      <c r="Q88" t="n">
        <v>0</v>
      </c>
      <c r="R88" s="2" t="inlineStr"/>
    </row>
    <row r="89" ht="15" customHeight="1">
      <c r="A89" t="inlineStr">
        <is>
          <t>A 19731-2022</t>
        </is>
      </c>
      <c r="B89" s="1" t="n">
        <v>44694</v>
      </c>
      <c r="C89" s="1" t="n">
        <v>46017</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15997-2021</t>
        </is>
      </c>
      <c r="B90" s="1" t="n">
        <v>44287</v>
      </c>
      <c r="C90" s="1" t="n">
        <v>46017</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19630-2021</t>
        </is>
      </c>
      <c r="B91" s="1" t="n">
        <v>44312.61876157407</v>
      </c>
      <c r="C91" s="1" t="n">
        <v>46017</v>
      </c>
      <c r="D91" t="inlineStr">
        <is>
          <t>UPPSALA LÄN</t>
        </is>
      </c>
      <c r="E91" t="inlineStr">
        <is>
          <t>ENKÖPING</t>
        </is>
      </c>
      <c r="G91" t="n">
        <v>2.7</v>
      </c>
      <c r="H91" t="n">
        <v>0</v>
      </c>
      <c r="I91" t="n">
        <v>0</v>
      </c>
      <c r="J91" t="n">
        <v>0</v>
      </c>
      <c r="K91" t="n">
        <v>0</v>
      </c>
      <c r="L91" t="n">
        <v>0</v>
      </c>
      <c r="M91" t="n">
        <v>0</v>
      </c>
      <c r="N91" t="n">
        <v>0</v>
      </c>
      <c r="O91" t="n">
        <v>0</v>
      </c>
      <c r="P91" t="n">
        <v>0</v>
      </c>
      <c r="Q91" t="n">
        <v>0</v>
      </c>
      <c r="R91" s="2" t="inlineStr"/>
    </row>
    <row r="92" ht="15" customHeight="1">
      <c r="A92" t="inlineStr">
        <is>
          <t>A 28795-2021</t>
        </is>
      </c>
      <c r="B92" s="1" t="n">
        <v>44357</v>
      </c>
      <c r="C92" s="1" t="n">
        <v>46017</v>
      </c>
      <c r="D92" t="inlineStr">
        <is>
          <t>UPPSALA LÄN</t>
        </is>
      </c>
      <c r="E92" t="inlineStr">
        <is>
          <t>ENKÖPING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15021-2022</t>
        </is>
      </c>
      <c r="B93" s="1" t="n">
        <v>44657</v>
      </c>
      <c r="C93" s="1" t="n">
        <v>46017</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68127-2021</t>
        </is>
      </c>
      <c r="B94" s="1" t="n">
        <v>44526.39513888889</v>
      </c>
      <c r="C94" s="1" t="n">
        <v>46017</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57043-2021</t>
        </is>
      </c>
      <c r="B95" s="1" t="n">
        <v>44482.53399305556</v>
      </c>
      <c r="C95" s="1" t="n">
        <v>46017</v>
      </c>
      <c r="D95" t="inlineStr">
        <is>
          <t>UPPSALA LÄN</t>
        </is>
      </c>
      <c r="E95" t="inlineStr">
        <is>
          <t>ENKÖPING</t>
        </is>
      </c>
      <c r="G95" t="n">
        <v>0.5</v>
      </c>
      <c r="H95" t="n">
        <v>0</v>
      </c>
      <c r="I95" t="n">
        <v>0</v>
      </c>
      <c r="J95" t="n">
        <v>0</v>
      </c>
      <c r="K95" t="n">
        <v>0</v>
      </c>
      <c r="L95" t="n">
        <v>0</v>
      </c>
      <c r="M95" t="n">
        <v>0</v>
      </c>
      <c r="N95" t="n">
        <v>0</v>
      </c>
      <c r="O95" t="n">
        <v>0</v>
      </c>
      <c r="P95" t="n">
        <v>0</v>
      </c>
      <c r="Q95" t="n">
        <v>0</v>
      </c>
      <c r="R95" s="2" t="inlineStr"/>
    </row>
    <row r="96" ht="15" customHeight="1">
      <c r="A96" t="inlineStr">
        <is>
          <t>A 31013-2022</t>
        </is>
      </c>
      <c r="B96" s="1" t="n">
        <v>44768</v>
      </c>
      <c r="C96" s="1" t="n">
        <v>46017</v>
      </c>
      <c r="D96" t="inlineStr">
        <is>
          <t>UPPSALA LÄN</t>
        </is>
      </c>
      <c r="E96" t="inlineStr">
        <is>
          <t>ENKÖPING</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42029-2021</t>
        </is>
      </c>
      <c r="B97" s="1" t="n">
        <v>44426</v>
      </c>
      <c r="C97" s="1" t="n">
        <v>46017</v>
      </c>
      <c r="D97" t="inlineStr">
        <is>
          <t>UPPSALA LÄN</t>
        </is>
      </c>
      <c r="E97" t="inlineStr">
        <is>
          <t>ENKÖPING</t>
        </is>
      </c>
      <c r="G97" t="n">
        <v>5.3</v>
      </c>
      <c r="H97" t="n">
        <v>0</v>
      </c>
      <c r="I97" t="n">
        <v>0</v>
      </c>
      <c r="J97" t="n">
        <v>0</v>
      </c>
      <c r="K97" t="n">
        <v>0</v>
      </c>
      <c r="L97" t="n">
        <v>0</v>
      </c>
      <c r="M97" t="n">
        <v>0</v>
      </c>
      <c r="N97" t="n">
        <v>0</v>
      </c>
      <c r="O97" t="n">
        <v>0</v>
      </c>
      <c r="P97" t="n">
        <v>0</v>
      </c>
      <c r="Q97" t="n">
        <v>0</v>
      </c>
      <c r="R97" s="2" t="inlineStr"/>
    </row>
    <row r="98" ht="15" customHeight="1">
      <c r="A98" t="inlineStr">
        <is>
          <t>A 42021-2021</t>
        </is>
      </c>
      <c r="B98" s="1" t="n">
        <v>44426</v>
      </c>
      <c r="C98" s="1" t="n">
        <v>46017</v>
      </c>
      <c r="D98" t="inlineStr">
        <is>
          <t>UPPSALA LÄN</t>
        </is>
      </c>
      <c r="E98" t="inlineStr">
        <is>
          <t>ENKÖPING</t>
        </is>
      </c>
      <c r="G98" t="n">
        <v>2.2</v>
      </c>
      <c r="H98" t="n">
        <v>0</v>
      </c>
      <c r="I98" t="n">
        <v>0</v>
      </c>
      <c r="J98" t="n">
        <v>0</v>
      </c>
      <c r="K98" t="n">
        <v>0</v>
      </c>
      <c r="L98" t="n">
        <v>0</v>
      </c>
      <c r="M98" t="n">
        <v>0</v>
      </c>
      <c r="N98" t="n">
        <v>0</v>
      </c>
      <c r="O98" t="n">
        <v>0</v>
      </c>
      <c r="P98" t="n">
        <v>0</v>
      </c>
      <c r="Q98" t="n">
        <v>0</v>
      </c>
      <c r="R98" s="2" t="inlineStr"/>
    </row>
    <row r="99" ht="15" customHeight="1">
      <c r="A99" t="inlineStr">
        <is>
          <t>A 1971-2022</t>
        </is>
      </c>
      <c r="B99" s="1" t="n">
        <v>44575</v>
      </c>
      <c r="C99" s="1" t="n">
        <v>46017</v>
      </c>
      <c r="D99" t="inlineStr">
        <is>
          <t>UPPSALA LÄN</t>
        </is>
      </c>
      <c r="E99" t="inlineStr">
        <is>
          <t>ENKÖPING</t>
        </is>
      </c>
      <c r="G99" t="n">
        <v>1.4</v>
      </c>
      <c r="H99" t="n">
        <v>0</v>
      </c>
      <c r="I99" t="n">
        <v>0</v>
      </c>
      <c r="J99" t="n">
        <v>0</v>
      </c>
      <c r="K99" t="n">
        <v>0</v>
      </c>
      <c r="L99" t="n">
        <v>0</v>
      </c>
      <c r="M99" t="n">
        <v>0</v>
      </c>
      <c r="N99" t="n">
        <v>0</v>
      </c>
      <c r="O99" t="n">
        <v>0</v>
      </c>
      <c r="P99" t="n">
        <v>0</v>
      </c>
      <c r="Q99" t="n">
        <v>0</v>
      </c>
      <c r="R99" s="2" t="inlineStr"/>
    </row>
    <row r="100" ht="15" customHeight="1">
      <c r="A100" t="inlineStr">
        <is>
          <t>A 17467-2022</t>
        </is>
      </c>
      <c r="B100" s="1" t="n">
        <v>44679</v>
      </c>
      <c r="C100" s="1" t="n">
        <v>46017</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39115-2024</t>
        </is>
      </c>
      <c r="B101" s="1" t="n">
        <v>45548</v>
      </c>
      <c r="C101" s="1" t="n">
        <v>46017</v>
      </c>
      <c r="D101" t="inlineStr">
        <is>
          <t>UPPSALA LÄN</t>
        </is>
      </c>
      <c r="E101" t="inlineStr">
        <is>
          <t>ENKÖPING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12020-2024</t>
        </is>
      </c>
      <c r="B102" s="1" t="n">
        <v>45377</v>
      </c>
      <c r="C102" s="1" t="n">
        <v>46017</v>
      </c>
      <c r="D102" t="inlineStr">
        <is>
          <t>UPPSALA LÄN</t>
        </is>
      </c>
      <c r="E102" t="inlineStr">
        <is>
          <t>ENKÖPING</t>
        </is>
      </c>
      <c r="G102" t="n">
        <v>2</v>
      </c>
      <c r="H102" t="n">
        <v>0</v>
      </c>
      <c r="I102" t="n">
        <v>0</v>
      </c>
      <c r="J102" t="n">
        <v>0</v>
      </c>
      <c r="K102" t="n">
        <v>0</v>
      </c>
      <c r="L102" t="n">
        <v>0</v>
      </c>
      <c r="M102" t="n">
        <v>0</v>
      </c>
      <c r="N102" t="n">
        <v>0</v>
      </c>
      <c r="O102" t="n">
        <v>0</v>
      </c>
      <c r="P102" t="n">
        <v>0</v>
      </c>
      <c r="Q102" t="n">
        <v>0</v>
      </c>
      <c r="R102" s="2" t="inlineStr"/>
    </row>
    <row r="103" ht="15" customHeight="1">
      <c r="A103" t="inlineStr">
        <is>
          <t>A 29983-2021</t>
        </is>
      </c>
      <c r="B103" s="1" t="n">
        <v>44363</v>
      </c>
      <c r="C103" s="1" t="n">
        <v>46017</v>
      </c>
      <c r="D103" t="inlineStr">
        <is>
          <t>UPPSALA LÄN</t>
        </is>
      </c>
      <c r="E103" t="inlineStr">
        <is>
          <t>ENKÖPING</t>
        </is>
      </c>
      <c r="F103" t="inlineStr">
        <is>
          <t>Kommuner</t>
        </is>
      </c>
      <c r="G103" t="n">
        <v>3.1</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46017</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69344-2021</t>
        </is>
      </c>
      <c r="B105" s="1" t="n">
        <v>44531</v>
      </c>
      <c r="C105" s="1" t="n">
        <v>46017</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31965-2021</t>
        </is>
      </c>
      <c r="B106" s="1" t="n">
        <v>44370.56901620371</v>
      </c>
      <c r="C106" s="1" t="n">
        <v>46017</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10468-2025</t>
        </is>
      </c>
      <c r="B107" s="1" t="n">
        <v>45720</v>
      </c>
      <c r="C107" s="1" t="n">
        <v>46017</v>
      </c>
      <c r="D107" t="inlineStr">
        <is>
          <t>UPPSALA LÄN</t>
        </is>
      </c>
      <c r="E107" t="inlineStr">
        <is>
          <t>ENKÖPING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46017</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46017</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43488-2023</t>
        </is>
      </c>
      <c r="B110" s="1" t="n">
        <v>45181</v>
      </c>
      <c r="C110" s="1" t="n">
        <v>46017</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34124-2021</t>
        </is>
      </c>
      <c r="B111" s="1" t="n">
        <v>44379</v>
      </c>
      <c r="C111" s="1" t="n">
        <v>46017</v>
      </c>
      <c r="D111" t="inlineStr">
        <is>
          <t>UPPSALA LÄN</t>
        </is>
      </c>
      <c r="E111" t="inlineStr">
        <is>
          <t>ENKÖPING</t>
        </is>
      </c>
      <c r="G111" t="n">
        <v>2.2</v>
      </c>
      <c r="H111" t="n">
        <v>0</v>
      </c>
      <c r="I111" t="n">
        <v>0</v>
      </c>
      <c r="J111" t="n">
        <v>0</v>
      </c>
      <c r="K111" t="n">
        <v>0</v>
      </c>
      <c r="L111" t="n">
        <v>0</v>
      </c>
      <c r="M111" t="n">
        <v>0</v>
      </c>
      <c r="N111" t="n">
        <v>0</v>
      </c>
      <c r="O111" t="n">
        <v>0</v>
      </c>
      <c r="P111" t="n">
        <v>0</v>
      </c>
      <c r="Q111" t="n">
        <v>0</v>
      </c>
      <c r="R111" s="2" t="inlineStr"/>
    </row>
    <row r="112" ht="15" customHeight="1">
      <c r="A112" t="inlineStr">
        <is>
          <t>A 43697-2024</t>
        </is>
      </c>
      <c r="B112" s="1" t="n">
        <v>45569</v>
      </c>
      <c r="C112" s="1" t="n">
        <v>46017</v>
      </c>
      <c r="D112" t="inlineStr">
        <is>
          <t>UPPSALA LÄN</t>
        </is>
      </c>
      <c r="E112" t="inlineStr">
        <is>
          <t>ENKÖPING</t>
        </is>
      </c>
      <c r="G112" t="n">
        <v>2.1</v>
      </c>
      <c r="H112" t="n">
        <v>0</v>
      </c>
      <c r="I112" t="n">
        <v>0</v>
      </c>
      <c r="J112" t="n">
        <v>0</v>
      </c>
      <c r="K112" t="n">
        <v>0</v>
      </c>
      <c r="L112" t="n">
        <v>0</v>
      </c>
      <c r="M112" t="n">
        <v>0</v>
      </c>
      <c r="N112" t="n">
        <v>0</v>
      </c>
      <c r="O112" t="n">
        <v>0</v>
      </c>
      <c r="P112" t="n">
        <v>0</v>
      </c>
      <c r="Q112" t="n">
        <v>0</v>
      </c>
      <c r="R112" s="2" t="inlineStr"/>
    </row>
    <row r="113" ht="15" customHeight="1">
      <c r="A113" t="inlineStr">
        <is>
          <t>A 12755-2025</t>
        </is>
      </c>
      <c r="B113" s="1" t="n">
        <v>45733.56541666666</v>
      </c>
      <c r="C113" s="1" t="n">
        <v>46017</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33670-2024</t>
        </is>
      </c>
      <c r="B114" s="1" t="n">
        <v>45520</v>
      </c>
      <c r="C114" s="1" t="n">
        <v>46017</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27983-2024</t>
        </is>
      </c>
      <c r="B115" s="1" t="n">
        <v>45476</v>
      </c>
      <c r="C115" s="1" t="n">
        <v>46017</v>
      </c>
      <c r="D115" t="inlineStr">
        <is>
          <t>UPPSALA LÄN</t>
        </is>
      </c>
      <c r="E115" t="inlineStr">
        <is>
          <t>ENKÖPING</t>
        </is>
      </c>
      <c r="G115" t="n">
        <v>3.2</v>
      </c>
      <c r="H115" t="n">
        <v>0</v>
      </c>
      <c r="I115" t="n">
        <v>0</v>
      </c>
      <c r="J115" t="n">
        <v>0</v>
      </c>
      <c r="K115" t="n">
        <v>0</v>
      </c>
      <c r="L115" t="n">
        <v>0</v>
      </c>
      <c r="M115" t="n">
        <v>0</v>
      </c>
      <c r="N115" t="n">
        <v>0</v>
      </c>
      <c r="O115" t="n">
        <v>0</v>
      </c>
      <c r="P115" t="n">
        <v>0</v>
      </c>
      <c r="Q115" t="n">
        <v>0</v>
      </c>
      <c r="R115" s="2" t="inlineStr"/>
    </row>
    <row r="116" ht="15" customHeight="1">
      <c r="A116" t="inlineStr">
        <is>
          <t>A 4044-2024</t>
        </is>
      </c>
      <c r="B116" s="1" t="n">
        <v>45323.45954861111</v>
      </c>
      <c r="C116" s="1" t="n">
        <v>46017</v>
      </c>
      <c r="D116" t="inlineStr">
        <is>
          <t>UPPSALA LÄN</t>
        </is>
      </c>
      <c r="E116" t="inlineStr">
        <is>
          <t>ENKÖPING</t>
        </is>
      </c>
      <c r="G116" t="n">
        <v>2.1</v>
      </c>
      <c r="H116" t="n">
        <v>0</v>
      </c>
      <c r="I116" t="n">
        <v>0</v>
      </c>
      <c r="J116" t="n">
        <v>0</v>
      </c>
      <c r="K116" t="n">
        <v>0</v>
      </c>
      <c r="L116" t="n">
        <v>0</v>
      </c>
      <c r="M116" t="n">
        <v>0</v>
      </c>
      <c r="N116" t="n">
        <v>0</v>
      </c>
      <c r="O116" t="n">
        <v>0</v>
      </c>
      <c r="P116" t="n">
        <v>0</v>
      </c>
      <c r="Q116" t="n">
        <v>0</v>
      </c>
      <c r="R116" s="2" t="inlineStr"/>
    </row>
    <row r="117" ht="15" customHeight="1">
      <c r="A117" t="inlineStr">
        <is>
          <t>A 51010-2024</t>
        </is>
      </c>
      <c r="B117" s="1" t="n">
        <v>45603.39285879629</v>
      </c>
      <c r="C117" s="1" t="n">
        <v>46017</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5211-2024</t>
        </is>
      </c>
      <c r="B118" s="1" t="n">
        <v>45330</v>
      </c>
      <c r="C118" s="1" t="n">
        <v>46017</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68107-2021</t>
        </is>
      </c>
      <c r="B119" s="1" t="n">
        <v>44526</v>
      </c>
      <c r="C119" s="1" t="n">
        <v>46017</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46103-2023</t>
        </is>
      </c>
      <c r="B120" s="1" t="n">
        <v>45190</v>
      </c>
      <c r="C120" s="1" t="n">
        <v>46017</v>
      </c>
      <c r="D120" t="inlineStr">
        <is>
          <t>UPPSALA LÄN</t>
        </is>
      </c>
      <c r="E120" t="inlineStr">
        <is>
          <t>ENKÖPING</t>
        </is>
      </c>
      <c r="G120" t="n">
        <v>4.6</v>
      </c>
      <c r="H120" t="n">
        <v>0</v>
      </c>
      <c r="I120" t="n">
        <v>0</v>
      </c>
      <c r="J120" t="n">
        <v>0</v>
      </c>
      <c r="K120" t="n">
        <v>0</v>
      </c>
      <c r="L120" t="n">
        <v>0</v>
      </c>
      <c r="M120" t="n">
        <v>0</v>
      </c>
      <c r="N120" t="n">
        <v>0</v>
      </c>
      <c r="O120" t="n">
        <v>0</v>
      </c>
      <c r="P120" t="n">
        <v>0</v>
      </c>
      <c r="Q120" t="n">
        <v>0</v>
      </c>
      <c r="R120" s="2" t="inlineStr"/>
    </row>
    <row r="121" ht="15" customHeight="1">
      <c r="A121" t="inlineStr">
        <is>
          <t>A 19147-2024</t>
        </is>
      </c>
      <c r="B121" s="1" t="n">
        <v>45428</v>
      </c>
      <c r="C121" s="1" t="n">
        <v>46017</v>
      </c>
      <c r="D121" t="inlineStr">
        <is>
          <t>UPPSALA LÄN</t>
        </is>
      </c>
      <c r="E121" t="inlineStr">
        <is>
          <t>ENKÖPING</t>
        </is>
      </c>
      <c r="G121" t="n">
        <v>1.9</v>
      </c>
      <c r="H121" t="n">
        <v>0</v>
      </c>
      <c r="I121" t="n">
        <v>0</v>
      </c>
      <c r="J121" t="n">
        <v>0</v>
      </c>
      <c r="K121" t="n">
        <v>0</v>
      </c>
      <c r="L121" t="n">
        <v>0</v>
      </c>
      <c r="M121" t="n">
        <v>0</v>
      </c>
      <c r="N121" t="n">
        <v>0</v>
      </c>
      <c r="O121" t="n">
        <v>0</v>
      </c>
      <c r="P121" t="n">
        <v>0</v>
      </c>
      <c r="Q121" t="n">
        <v>0</v>
      </c>
      <c r="R121" s="2" t="inlineStr"/>
    </row>
    <row r="122" ht="15" customHeight="1">
      <c r="A122" t="inlineStr">
        <is>
          <t>A 67982-2021</t>
        </is>
      </c>
      <c r="B122" s="1" t="n">
        <v>44525</v>
      </c>
      <c r="C122" s="1" t="n">
        <v>46017</v>
      </c>
      <c r="D122" t="inlineStr">
        <is>
          <t>UPPSALA LÄN</t>
        </is>
      </c>
      <c r="E122" t="inlineStr">
        <is>
          <t>ENKÖPING</t>
        </is>
      </c>
      <c r="G122" t="n">
        <v>1.7</v>
      </c>
      <c r="H122" t="n">
        <v>0</v>
      </c>
      <c r="I122" t="n">
        <v>0</v>
      </c>
      <c r="J122" t="n">
        <v>0</v>
      </c>
      <c r="K122" t="n">
        <v>0</v>
      </c>
      <c r="L122" t="n">
        <v>0</v>
      </c>
      <c r="M122" t="n">
        <v>0</v>
      </c>
      <c r="N122" t="n">
        <v>0</v>
      </c>
      <c r="O122" t="n">
        <v>0</v>
      </c>
      <c r="P122" t="n">
        <v>0</v>
      </c>
      <c r="Q122" t="n">
        <v>0</v>
      </c>
      <c r="R122" s="2" t="inlineStr"/>
    </row>
    <row r="123" ht="15" customHeight="1">
      <c r="A123" t="inlineStr">
        <is>
          <t>A 22912-2024</t>
        </is>
      </c>
      <c r="B123" s="1" t="n">
        <v>45448.73118055556</v>
      </c>
      <c r="C123" s="1" t="n">
        <v>46017</v>
      </c>
      <c r="D123" t="inlineStr">
        <is>
          <t>UPPSALA LÄN</t>
        </is>
      </c>
      <c r="E123" t="inlineStr">
        <is>
          <t>ENKÖPING</t>
        </is>
      </c>
      <c r="G123" t="n">
        <v>2.8</v>
      </c>
      <c r="H123" t="n">
        <v>0</v>
      </c>
      <c r="I123" t="n">
        <v>0</v>
      </c>
      <c r="J123" t="n">
        <v>0</v>
      </c>
      <c r="K123" t="n">
        <v>0</v>
      </c>
      <c r="L123" t="n">
        <v>0</v>
      </c>
      <c r="M123" t="n">
        <v>0</v>
      </c>
      <c r="N123" t="n">
        <v>0</v>
      </c>
      <c r="O123" t="n">
        <v>0</v>
      </c>
      <c r="P123" t="n">
        <v>0</v>
      </c>
      <c r="Q123" t="n">
        <v>0</v>
      </c>
      <c r="R123" s="2" t="inlineStr"/>
    </row>
    <row r="124" ht="15" customHeight="1">
      <c r="A124" t="inlineStr">
        <is>
          <t>A 57835-2024</t>
        </is>
      </c>
      <c r="B124" s="1" t="n">
        <v>45631.39947916667</v>
      </c>
      <c r="C124" s="1" t="n">
        <v>46017</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9667-2024</t>
        </is>
      </c>
      <c r="B125" s="1" t="n">
        <v>45362.45130787037</v>
      </c>
      <c r="C125" s="1" t="n">
        <v>46017</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21612-2023</t>
        </is>
      </c>
      <c r="B126" s="1" t="n">
        <v>45063</v>
      </c>
      <c r="C126" s="1" t="n">
        <v>46017</v>
      </c>
      <c r="D126" t="inlineStr">
        <is>
          <t>UPPSALA LÄN</t>
        </is>
      </c>
      <c r="E126" t="inlineStr">
        <is>
          <t>ENKÖPING</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39624-2023</t>
        </is>
      </c>
      <c r="B127" s="1" t="n">
        <v>45164</v>
      </c>
      <c r="C127" s="1" t="n">
        <v>46017</v>
      </c>
      <c r="D127" t="inlineStr">
        <is>
          <t>UPPSALA LÄN</t>
        </is>
      </c>
      <c r="E127" t="inlineStr">
        <is>
          <t>ENKÖPING</t>
        </is>
      </c>
      <c r="G127" t="n">
        <v>0.9</v>
      </c>
      <c r="H127" t="n">
        <v>0</v>
      </c>
      <c r="I127" t="n">
        <v>0</v>
      </c>
      <c r="J127" t="n">
        <v>0</v>
      </c>
      <c r="K127" t="n">
        <v>0</v>
      </c>
      <c r="L127" t="n">
        <v>0</v>
      </c>
      <c r="M127" t="n">
        <v>0</v>
      </c>
      <c r="N127" t="n">
        <v>0</v>
      </c>
      <c r="O127" t="n">
        <v>0</v>
      </c>
      <c r="P127" t="n">
        <v>0</v>
      </c>
      <c r="Q127" t="n">
        <v>0</v>
      </c>
      <c r="R127" s="2" t="inlineStr"/>
    </row>
    <row r="128" ht="15" customHeight="1">
      <c r="A128" t="inlineStr">
        <is>
          <t>A 25333-2023</t>
        </is>
      </c>
      <c r="B128" s="1" t="n">
        <v>45083</v>
      </c>
      <c r="C128" s="1" t="n">
        <v>46017</v>
      </c>
      <c r="D128" t="inlineStr">
        <is>
          <t>UPPSALA LÄN</t>
        </is>
      </c>
      <c r="E128" t="inlineStr">
        <is>
          <t>ENKÖPING</t>
        </is>
      </c>
      <c r="G128" t="n">
        <v>2.7</v>
      </c>
      <c r="H128" t="n">
        <v>0</v>
      </c>
      <c r="I128" t="n">
        <v>0</v>
      </c>
      <c r="J128" t="n">
        <v>0</v>
      </c>
      <c r="K128" t="n">
        <v>0</v>
      </c>
      <c r="L128" t="n">
        <v>0</v>
      </c>
      <c r="M128" t="n">
        <v>0</v>
      </c>
      <c r="N128" t="n">
        <v>0</v>
      </c>
      <c r="O128" t="n">
        <v>0</v>
      </c>
      <c r="P128" t="n">
        <v>0</v>
      </c>
      <c r="Q128" t="n">
        <v>0</v>
      </c>
      <c r="R128" s="2" t="inlineStr"/>
    </row>
    <row r="129" ht="15" customHeight="1">
      <c r="A129" t="inlineStr">
        <is>
          <t>A 5892-2023</t>
        </is>
      </c>
      <c r="B129" s="1" t="n">
        <v>44963.64883101852</v>
      </c>
      <c r="C129" s="1" t="n">
        <v>46017</v>
      </c>
      <c r="D129" t="inlineStr">
        <is>
          <t>UPPSALA LÄN</t>
        </is>
      </c>
      <c r="E129" t="inlineStr">
        <is>
          <t>ENKÖPING</t>
        </is>
      </c>
      <c r="G129" t="n">
        <v>5.5</v>
      </c>
      <c r="H129" t="n">
        <v>0</v>
      </c>
      <c r="I129" t="n">
        <v>0</v>
      </c>
      <c r="J129" t="n">
        <v>0</v>
      </c>
      <c r="K129" t="n">
        <v>0</v>
      </c>
      <c r="L129" t="n">
        <v>0</v>
      </c>
      <c r="M129" t="n">
        <v>0</v>
      </c>
      <c r="N129" t="n">
        <v>0</v>
      </c>
      <c r="O129" t="n">
        <v>0</v>
      </c>
      <c r="P129" t="n">
        <v>0</v>
      </c>
      <c r="Q129" t="n">
        <v>0</v>
      </c>
      <c r="R129" s="2" t="inlineStr"/>
    </row>
    <row r="130" ht="15" customHeight="1">
      <c r="A130" t="inlineStr">
        <is>
          <t>A 50747-2022</t>
        </is>
      </c>
      <c r="B130" s="1" t="n">
        <v>44867.40162037037</v>
      </c>
      <c r="C130" s="1" t="n">
        <v>46017</v>
      </c>
      <c r="D130" t="inlineStr">
        <is>
          <t>UPPSALA LÄN</t>
        </is>
      </c>
      <c r="E130" t="inlineStr">
        <is>
          <t>ENKÖPING</t>
        </is>
      </c>
      <c r="G130" t="n">
        <v>1.5</v>
      </c>
      <c r="H130" t="n">
        <v>0</v>
      </c>
      <c r="I130" t="n">
        <v>0</v>
      </c>
      <c r="J130" t="n">
        <v>0</v>
      </c>
      <c r="K130" t="n">
        <v>0</v>
      </c>
      <c r="L130" t="n">
        <v>0</v>
      </c>
      <c r="M130" t="n">
        <v>0</v>
      </c>
      <c r="N130" t="n">
        <v>0</v>
      </c>
      <c r="O130" t="n">
        <v>0</v>
      </c>
      <c r="P130" t="n">
        <v>0</v>
      </c>
      <c r="Q130" t="n">
        <v>0</v>
      </c>
      <c r="R130" s="2" t="inlineStr"/>
    </row>
    <row r="131" ht="15" customHeight="1">
      <c r="A131" t="inlineStr">
        <is>
          <t>A 57152-2021</t>
        </is>
      </c>
      <c r="B131" s="1" t="n">
        <v>44482</v>
      </c>
      <c r="C131" s="1" t="n">
        <v>46017</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39858-2024</t>
        </is>
      </c>
      <c r="B132" s="1" t="n">
        <v>45553</v>
      </c>
      <c r="C132" s="1" t="n">
        <v>46017</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30437-2022</t>
        </is>
      </c>
      <c r="B133" s="1" t="n">
        <v>44761</v>
      </c>
      <c r="C133" s="1" t="n">
        <v>46017</v>
      </c>
      <c r="D133" t="inlineStr">
        <is>
          <t>UPPSALA LÄN</t>
        </is>
      </c>
      <c r="E133" t="inlineStr">
        <is>
          <t>ENKÖPING</t>
        </is>
      </c>
      <c r="G133" t="n">
        <v>3.4</v>
      </c>
      <c r="H133" t="n">
        <v>0</v>
      </c>
      <c r="I133" t="n">
        <v>0</v>
      </c>
      <c r="J133" t="n">
        <v>0</v>
      </c>
      <c r="K133" t="n">
        <v>0</v>
      </c>
      <c r="L133" t="n">
        <v>0</v>
      </c>
      <c r="M133" t="n">
        <v>0</v>
      </c>
      <c r="N133" t="n">
        <v>0</v>
      </c>
      <c r="O133" t="n">
        <v>0</v>
      </c>
      <c r="P133" t="n">
        <v>0</v>
      </c>
      <c r="Q133" t="n">
        <v>0</v>
      </c>
      <c r="R133" s="2" t="inlineStr"/>
    </row>
    <row r="134" ht="15" customHeight="1">
      <c r="A134" t="inlineStr">
        <is>
          <t>A 12572-2021</t>
        </is>
      </c>
      <c r="B134" s="1" t="n">
        <v>44270.36438657407</v>
      </c>
      <c r="C134" s="1" t="n">
        <v>46017</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43506-2023</t>
        </is>
      </c>
      <c r="B135" s="1" t="n">
        <v>45181</v>
      </c>
      <c r="C135" s="1" t="n">
        <v>46017</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20112-2024</t>
        </is>
      </c>
      <c r="B136" s="1" t="n">
        <v>45434</v>
      </c>
      <c r="C136" s="1" t="n">
        <v>46017</v>
      </c>
      <c r="D136" t="inlineStr">
        <is>
          <t>UPPSALA LÄN</t>
        </is>
      </c>
      <c r="E136" t="inlineStr">
        <is>
          <t>ENKÖPING</t>
        </is>
      </c>
      <c r="G136" t="n">
        <v>1.8</v>
      </c>
      <c r="H136" t="n">
        <v>0</v>
      </c>
      <c r="I136" t="n">
        <v>0</v>
      </c>
      <c r="J136" t="n">
        <v>0</v>
      </c>
      <c r="K136" t="n">
        <v>0</v>
      </c>
      <c r="L136" t="n">
        <v>0</v>
      </c>
      <c r="M136" t="n">
        <v>0</v>
      </c>
      <c r="N136" t="n">
        <v>0</v>
      </c>
      <c r="O136" t="n">
        <v>0</v>
      </c>
      <c r="P136" t="n">
        <v>0</v>
      </c>
      <c r="Q136" t="n">
        <v>0</v>
      </c>
      <c r="R136" s="2" t="inlineStr"/>
    </row>
    <row r="137" ht="15" customHeight="1">
      <c r="A137" t="inlineStr">
        <is>
          <t>A 69791-2021</t>
        </is>
      </c>
      <c r="B137" s="1" t="n">
        <v>44532</v>
      </c>
      <c r="C137" s="1" t="n">
        <v>46017</v>
      </c>
      <c r="D137" t="inlineStr">
        <is>
          <t>UPPSALA LÄN</t>
        </is>
      </c>
      <c r="E137" t="inlineStr">
        <is>
          <t>ENKÖPING</t>
        </is>
      </c>
      <c r="G137" t="n">
        <v>0.8</v>
      </c>
      <c r="H137" t="n">
        <v>0</v>
      </c>
      <c r="I137" t="n">
        <v>0</v>
      </c>
      <c r="J137" t="n">
        <v>0</v>
      </c>
      <c r="K137" t="n">
        <v>0</v>
      </c>
      <c r="L137" t="n">
        <v>0</v>
      </c>
      <c r="M137" t="n">
        <v>0</v>
      </c>
      <c r="N137" t="n">
        <v>0</v>
      </c>
      <c r="O137" t="n">
        <v>0</v>
      </c>
      <c r="P137" t="n">
        <v>0</v>
      </c>
      <c r="Q137" t="n">
        <v>0</v>
      </c>
      <c r="R137" s="2" t="inlineStr"/>
    </row>
    <row r="138" ht="15" customHeight="1">
      <c r="A138" t="inlineStr">
        <is>
          <t>A 49375-2021</t>
        </is>
      </c>
      <c r="B138" s="1" t="n">
        <v>44454</v>
      </c>
      <c r="C138" s="1" t="n">
        <v>46017</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9957-2023</t>
        </is>
      </c>
      <c r="B139" s="1" t="n">
        <v>44978</v>
      </c>
      <c r="C139" s="1" t="n">
        <v>46017</v>
      </c>
      <c r="D139" t="inlineStr">
        <is>
          <t>UPPSALA LÄN</t>
        </is>
      </c>
      <c r="E139" t="inlineStr">
        <is>
          <t>ENKÖPING</t>
        </is>
      </c>
      <c r="G139" t="n">
        <v>5.9</v>
      </c>
      <c r="H139" t="n">
        <v>0</v>
      </c>
      <c r="I139" t="n">
        <v>0</v>
      </c>
      <c r="J139" t="n">
        <v>0</v>
      </c>
      <c r="K139" t="n">
        <v>0</v>
      </c>
      <c r="L139" t="n">
        <v>0</v>
      </c>
      <c r="M139" t="n">
        <v>0</v>
      </c>
      <c r="N139" t="n">
        <v>0</v>
      </c>
      <c r="O139" t="n">
        <v>0</v>
      </c>
      <c r="P139" t="n">
        <v>0</v>
      </c>
      <c r="Q139" t="n">
        <v>0</v>
      </c>
      <c r="R139" s="2" t="inlineStr"/>
    </row>
    <row r="140" ht="15" customHeight="1">
      <c r="A140" t="inlineStr">
        <is>
          <t>A 14004-2023</t>
        </is>
      </c>
      <c r="B140" s="1" t="n">
        <v>45008</v>
      </c>
      <c r="C140" s="1" t="n">
        <v>46017</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51012-2024</t>
        </is>
      </c>
      <c r="B141" s="1" t="n">
        <v>45603.39686342593</v>
      </c>
      <c r="C141" s="1" t="n">
        <v>46017</v>
      </c>
      <c r="D141" t="inlineStr">
        <is>
          <t>UPPSALA LÄN</t>
        </is>
      </c>
      <c r="E141" t="inlineStr">
        <is>
          <t>ENKÖPING</t>
        </is>
      </c>
      <c r="G141" t="n">
        <v>2.7</v>
      </c>
      <c r="H141" t="n">
        <v>0</v>
      </c>
      <c r="I141" t="n">
        <v>0</v>
      </c>
      <c r="J141" t="n">
        <v>0</v>
      </c>
      <c r="K141" t="n">
        <v>0</v>
      </c>
      <c r="L141" t="n">
        <v>0</v>
      </c>
      <c r="M141" t="n">
        <v>0</v>
      </c>
      <c r="N141" t="n">
        <v>0</v>
      </c>
      <c r="O141" t="n">
        <v>0</v>
      </c>
      <c r="P141" t="n">
        <v>0</v>
      </c>
      <c r="Q141" t="n">
        <v>0</v>
      </c>
      <c r="R141" s="2" t="inlineStr"/>
    </row>
    <row r="142" ht="15" customHeight="1">
      <c r="A142" t="inlineStr">
        <is>
          <t>A 51932-2022</t>
        </is>
      </c>
      <c r="B142" s="1" t="n">
        <v>44872</v>
      </c>
      <c r="C142" s="1" t="n">
        <v>46017</v>
      </c>
      <c r="D142" t="inlineStr">
        <is>
          <t>UPPSALA LÄN</t>
        </is>
      </c>
      <c r="E142" t="inlineStr">
        <is>
          <t>ENKÖPING</t>
        </is>
      </c>
      <c r="G142" t="n">
        <v>5.5</v>
      </c>
      <c r="H142" t="n">
        <v>0</v>
      </c>
      <c r="I142" t="n">
        <v>0</v>
      </c>
      <c r="J142" t="n">
        <v>0</v>
      </c>
      <c r="K142" t="n">
        <v>0</v>
      </c>
      <c r="L142" t="n">
        <v>0</v>
      </c>
      <c r="M142" t="n">
        <v>0</v>
      </c>
      <c r="N142" t="n">
        <v>0</v>
      </c>
      <c r="O142" t="n">
        <v>0</v>
      </c>
      <c r="P142" t="n">
        <v>0</v>
      </c>
      <c r="Q142" t="n">
        <v>0</v>
      </c>
      <c r="R142" s="2" t="inlineStr"/>
    </row>
    <row r="143" ht="15" customHeight="1">
      <c r="A143" t="inlineStr">
        <is>
          <t>A 12958-2024</t>
        </is>
      </c>
      <c r="B143" s="1" t="n">
        <v>45385</v>
      </c>
      <c r="C143" s="1" t="n">
        <v>46017</v>
      </c>
      <c r="D143" t="inlineStr">
        <is>
          <t>UPPSALA LÄN</t>
        </is>
      </c>
      <c r="E143" t="inlineStr">
        <is>
          <t>ENKÖPING</t>
        </is>
      </c>
      <c r="G143" t="n">
        <v>2.1</v>
      </c>
      <c r="H143" t="n">
        <v>0</v>
      </c>
      <c r="I143" t="n">
        <v>0</v>
      </c>
      <c r="J143" t="n">
        <v>0</v>
      </c>
      <c r="K143" t="n">
        <v>0</v>
      </c>
      <c r="L143" t="n">
        <v>0</v>
      </c>
      <c r="M143" t="n">
        <v>0</v>
      </c>
      <c r="N143" t="n">
        <v>0</v>
      </c>
      <c r="O143" t="n">
        <v>0</v>
      </c>
      <c r="P143" t="n">
        <v>0</v>
      </c>
      <c r="Q143" t="n">
        <v>0</v>
      </c>
      <c r="R143" s="2" t="inlineStr"/>
    </row>
    <row r="144" ht="15" customHeight="1">
      <c r="A144" t="inlineStr">
        <is>
          <t>A 57055-2021</t>
        </is>
      </c>
      <c r="B144" s="1" t="n">
        <v>44482.55201388889</v>
      </c>
      <c r="C144" s="1" t="n">
        <v>46017</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41828-2024</t>
        </is>
      </c>
      <c r="B145" s="1" t="n">
        <v>45561</v>
      </c>
      <c r="C145" s="1" t="n">
        <v>46017</v>
      </c>
      <c r="D145" t="inlineStr">
        <is>
          <t>UPPSALA LÄN</t>
        </is>
      </c>
      <c r="E145" t="inlineStr">
        <is>
          <t>ENKÖPING</t>
        </is>
      </c>
      <c r="G145" t="n">
        <v>2.5</v>
      </c>
      <c r="H145" t="n">
        <v>0</v>
      </c>
      <c r="I145" t="n">
        <v>0</v>
      </c>
      <c r="J145" t="n">
        <v>0</v>
      </c>
      <c r="K145" t="n">
        <v>0</v>
      </c>
      <c r="L145" t="n">
        <v>0</v>
      </c>
      <c r="M145" t="n">
        <v>0</v>
      </c>
      <c r="N145" t="n">
        <v>0</v>
      </c>
      <c r="O145" t="n">
        <v>0</v>
      </c>
      <c r="P145" t="n">
        <v>0</v>
      </c>
      <c r="Q145" t="n">
        <v>0</v>
      </c>
      <c r="R145" s="2" t="inlineStr"/>
    </row>
    <row r="146" ht="15" customHeight="1">
      <c r="A146" t="inlineStr">
        <is>
          <t>A 8152-2022</t>
        </is>
      </c>
      <c r="B146" s="1" t="n">
        <v>44609</v>
      </c>
      <c r="C146" s="1" t="n">
        <v>46017</v>
      </c>
      <c r="D146" t="inlineStr">
        <is>
          <t>UPPSALA LÄN</t>
        </is>
      </c>
      <c r="E146" t="inlineStr">
        <is>
          <t>ENKÖPING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10465-2022</t>
        </is>
      </c>
      <c r="B147" s="1" t="n">
        <v>44623</v>
      </c>
      <c r="C147" s="1" t="n">
        <v>46017</v>
      </c>
      <c r="D147" t="inlineStr">
        <is>
          <t>UPPSALA LÄN</t>
        </is>
      </c>
      <c r="E147" t="inlineStr">
        <is>
          <t>ENKÖPING</t>
        </is>
      </c>
      <c r="G147" t="n">
        <v>1.7</v>
      </c>
      <c r="H147" t="n">
        <v>0</v>
      </c>
      <c r="I147" t="n">
        <v>0</v>
      </c>
      <c r="J147" t="n">
        <v>0</v>
      </c>
      <c r="K147" t="n">
        <v>0</v>
      </c>
      <c r="L147" t="n">
        <v>0</v>
      </c>
      <c r="M147" t="n">
        <v>0</v>
      </c>
      <c r="N147" t="n">
        <v>0</v>
      </c>
      <c r="O147" t="n">
        <v>0</v>
      </c>
      <c r="P147" t="n">
        <v>0</v>
      </c>
      <c r="Q147" t="n">
        <v>0</v>
      </c>
      <c r="R147" s="2" t="inlineStr"/>
    </row>
    <row r="148" ht="15" customHeight="1">
      <c r="A148" t="inlineStr">
        <is>
          <t>A 60874-2021</t>
        </is>
      </c>
      <c r="B148" s="1" t="n">
        <v>44497</v>
      </c>
      <c r="C148" s="1" t="n">
        <v>46017</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17657-2025</t>
        </is>
      </c>
      <c r="B149" s="1" t="n">
        <v>45758.35006944444</v>
      </c>
      <c r="C149" s="1" t="n">
        <v>46017</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40812-2022</t>
        </is>
      </c>
      <c r="B150" s="1" t="n">
        <v>44824.68791666667</v>
      </c>
      <c r="C150" s="1" t="n">
        <v>46017</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24291-2024</t>
        </is>
      </c>
      <c r="B151" s="1" t="n">
        <v>45457.4584837963</v>
      </c>
      <c r="C151" s="1" t="n">
        <v>46017</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44232-2022</t>
        </is>
      </c>
      <c r="B152" s="1" t="n">
        <v>44839</v>
      </c>
      <c r="C152" s="1" t="n">
        <v>46017</v>
      </c>
      <c r="D152" t="inlineStr">
        <is>
          <t>UPPSALA LÄN</t>
        </is>
      </c>
      <c r="E152" t="inlineStr">
        <is>
          <t>ENKÖPING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47428-2023</t>
        </is>
      </c>
      <c r="B153" s="1" t="n">
        <v>45202.66664351852</v>
      </c>
      <c r="C153" s="1" t="n">
        <v>46017</v>
      </c>
      <c r="D153" t="inlineStr">
        <is>
          <t>UPPSALA LÄN</t>
        </is>
      </c>
      <c r="E153" t="inlineStr">
        <is>
          <t>ENKÖPING</t>
        </is>
      </c>
      <c r="G153" t="n">
        <v>3</v>
      </c>
      <c r="H153" t="n">
        <v>0</v>
      </c>
      <c r="I153" t="n">
        <v>0</v>
      </c>
      <c r="J153" t="n">
        <v>0</v>
      </c>
      <c r="K153" t="n">
        <v>0</v>
      </c>
      <c r="L153" t="n">
        <v>0</v>
      </c>
      <c r="M153" t="n">
        <v>0</v>
      </c>
      <c r="N153" t="n">
        <v>0</v>
      </c>
      <c r="O153" t="n">
        <v>0</v>
      </c>
      <c r="P153" t="n">
        <v>0</v>
      </c>
      <c r="Q153" t="n">
        <v>0</v>
      </c>
      <c r="R153" s="2" t="inlineStr"/>
    </row>
    <row r="154" ht="15" customHeight="1">
      <c r="A154" t="inlineStr">
        <is>
          <t>A 5013-2025</t>
        </is>
      </c>
      <c r="B154" s="1" t="n">
        <v>45691</v>
      </c>
      <c r="C154" s="1" t="n">
        <v>46017</v>
      </c>
      <c r="D154" t="inlineStr">
        <is>
          <t>UPPSALA LÄN</t>
        </is>
      </c>
      <c r="E154" t="inlineStr">
        <is>
          <t>ENKÖPING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11503-2024</t>
        </is>
      </c>
      <c r="B155" s="1" t="n">
        <v>45372.68020833333</v>
      </c>
      <c r="C155" s="1" t="n">
        <v>46017</v>
      </c>
      <c r="D155" t="inlineStr">
        <is>
          <t>UPPSALA LÄN</t>
        </is>
      </c>
      <c r="E155" t="inlineStr">
        <is>
          <t>ENKÖPING</t>
        </is>
      </c>
      <c r="G155" t="n">
        <v>1.2</v>
      </c>
      <c r="H155" t="n">
        <v>0</v>
      </c>
      <c r="I155" t="n">
        <v>0</v>
      </c>
      <c r="J155" t="n">
        <v>0</v>
      </c>
      <c r="K155" t="n">
        <v>0</v>
      </c>
      <c r="L155" t="n">
        <v>0</v>
      </c>
      <c r="M155" t="n">
        <v>0</v>
      </c>
      <c r="N155" t="n">
        <v>0</v>
      </c>
      <c r="O155" t="n">
        <v>0</v>
      </c>
      <c r="P155" t="n">
        <v>0</v>
      </c>
      <c r="Q155" t="n">
        <v>0</v>
      </c>
      <c r="R155" s="2" t="inlineStr"/>
    </row>
    <row r="156" ht="15" customHeight="1">
      <c r="A156" t="inlineStr">
        <is>
          <t>A 15939-2022</t>
        </is>
      </c>
      <c r="B156" s="1" t="n">
        <v>44664</v>
      </c>
      <c r="C156" s="1" t="n">
        <v>46017</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45362-2022</t>
        </is>
      </c>
      <c r="B157" s="1" t="n">
        <v>44844.62366898148</v>
      </c>
      <c r="C157" s="1" t="n">
        <v>46017</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56526-2022</t>
        </is>
      </c>
      <c r="B158" s="1" t="n">
        <v>44893</v>
      </c>
      <c r="C158" s="1" t="n">
        <v>46017</v>
      </c>
      <c r="D158" t="inlineStr">
        <is>
          <t>UPPSALA LÄN</t>
        </is>
      </c>
      <c r="E158" t="inlineStr">
        <is>
          <t>ENKÖPING</t>
        </is>
      </c>
      <c r="G158" t="n">
        <v>3.8</v>
      </c>
      <c r="H158" t="n">
        <v>0</v>
      </c>
      <c r="I158" t="n">
        <v>0</v>
      </c>
      <c r="J158" t="n">
        <v>0</v>
      </c>
      <c r="K158" t="n">
        <v>0</v>
      </c>
      <c r="L158" t="n">
        <v>0</v>
      </c>
      <c r="M158" t="n">
        <v>0</v>
      </c>
      <c r="N158" t="n">
        <v>0</v>
      </c>
      <c r="O158" t="n">
        <v>0</v>
      </c>
      <c r="P158" t="n">
        <v>0</v>
      </c>
      <c r="Q158" t="n">
        <v>0</v>
      </c>
      <c r="R158" s="2" t="inlineStr"/>
    </row>
    <row r="159" ht="15" customHeight="1">
      <c r="A159" t="inlineStr">
        <is>
          <t>A 50394-2024</t>
        </is>
      </c>
      <c r="B159" s="1" t="n">
        <v>45600</v>
      </c>
      <c r="C159" s="1" t="n">
        <v>46017</v>
      </c>
      <c r="D159" t="inlineStr">
        <is>
          <t>UPPSALA LÄN</t>
        </is>
      </c>
      <c r="E159" t="inlineStr">
        <is>
          <t>ENKÖPING</t>
        </is>
      </c>
      <c r="G159" t="n">
        <v>1.2</v>
      </c>
      <c r="H159" t="n">
        <v>0</v>
      </c>
      <c r="I159" t="n">
        <v>0</v>
      </c>
      <c r="J159" t="n">
        <v>0</v>
      </c>
      <c r="K159" t="n">
        <v>0</v>
      </c>
      <c r="L159" t="n">
        <v>0</v>
      </c>
      <c r="M159" t="n">
        <v>0</v>
      </c>
      <c r="N159" t="n">
        <v>0</v>
      </c>
      <c r="O159" t="n">
        <v>0</v>
      </c>
      <c r="P159" t="n">
        <v>0</v>
      </c>
      <c r="Q159" t="n">
        <v>0</v>
      </c>
      <c r="R159" s="2" t="inlineStr"/>
    </row>
    <row r="160" ht="15" customHeight="1">
      <c r="A160" t="inlineStr">
        <is>
          <t>A 60350-2022</t>
        </is>
      </c>
      <c r="B160" s="1" t="n">
        <v>44910</v>
      </c>
      <c r="C160" s="1" t="n">
        <v>46017</v>
      </c>
      <c r="D160" t="inlineStr">
        <is>
          <t>UPPSALA LÄN</t>
        </is>
      </c>
      <c r="E160" t="inlineStr">
        <is>
          <t>ENKÖPING</t>
        </is>
      </c>
      <c r="F160" t="inlineStr">
        <is>
          <t>Allmännings- och besparingsskogar</t>
        </is>
      </c>
      <c r="G160" t="n">
        <v>3.5</v>
      </c>
      <c r="H160" t="n">
        <v>0</v>
      </c>
      <c r="I160" t="n">
        <v>0</v>
      </c>
      <c r="J160" t="n">
        <v>0</v>
      </c>
      <c r="K160" t="n">
        <v>0</v>
      </c>
      <c r="L160" t="n">
        <v>0</v>
      </c>
      <c r="M160" t="n">
        <v>0</v>
      </c>
      <c r="N160" t="n">
        <v>0</v>
      </c>
      <c r="O160" t="n">
        <v>0</v>
      </c>
      <c r="P160" t="n">
        <v>0</v>
      </c>
      <c r="Q160" t="n">
        <v>0</v>
      </c>
      <c r="R160" s="2" t="inlineStr"/>
    </row>
    <row r="161" ht="15" customHeight="1">
      <c r="A161" t="inlineStr">
        <is>
          <t>A 28518-2024</t>
        </is>
      </c>
      <c r="B161" s="1" t="n">
        <v>45477</v>
      </c>
      <c r="C161" s="1" t="n">
        <v>46017</v>
      </c>
      <c r="D161" t="inlineStr">
        <is>
          <t>UPPSALA LÄN</t>
        </is>
      </c>
      <c r="E161" t="inlineStr">
        <is>
          <t>ENKÖPING</t>
        </is>
      </c>
      <c r="G161" t="n">
        <v>3.4</v>
      </c>
      <c r="H161" t="n">
        <v>0</v>
      </c>
      <c r="I161" t="n">
        <v>0</v>
      </c>
      <c r="J161" t="n">
        <v>0</v>
      </c>
      <c r="K161" t="n">
        <v>0</v>
      </c>
      <c r="L161" t="n">
        <v>0</v>
      </c>
      <c r="M161" t="n">
        <v>0</v>
      </c>
      <c r="N161" t="n">
        <v>0</v>
      </c>
      <c r="O161" t="n">
        <v>0</v>
      </c>
      <c r="P161" t="n">
        <v>0</v>
      </c>
      <c r="Q161" t="n">
        <v>0</v>
      </c>
      <c r="R161" s="2" t="inlineStr"/>
    </row>
    <row r="162" ht="15" customHeight="1">
      <c r="A162" t="inlineStr">
        <is>
          <t>A 2164-2023</t>
        </is>
      </c>
      <c r="B162" s="1" t="n">
        <v>44941</v>
      </c>
      <c r="C162" s="1" t="n">
        <v>46017</v>
      </c>
      <c r="D162" t="inlineStr">
        <is>
          <t>UPPSALA LÄN</t>
        </is>
      </c>
      <c r="E162" t="inlineStr">
        <is>
          <t>ENKÖPING</t>
        </is>
      </c>
      <c r="G162" t="n">
        <v>2.5</v>
      </c>
      <c r="H162" t="n">
        <v>0</v>
      </c>
      <c r="I162" t="n">
        <v>0</v>
      </c>
      <c r="J162" t="n">
        <v>0</v>
      </c>
      <c r="K162" t="n">
        <v>0</v>
      </c>
      <c r="L162" t="n">
        <v>0</v>
      </c>
      <c r="M162" t="n">
        <v>0</v>
      </c>
      <c r="N162" t="n">
        <v>0</v>
      </c>
      <c r="O162" t="n">
        <v>0</v>
      </c>
      <c r="P162" t="n">
        <v>0</v>
      </c>
      <c r="Q162" t="n">
        <v>0</v>
      </c>
      <c r="R162" s="2" t="inlineStr"/>
    </row>
    <row r="163" ht="15" customHeight="1">
      <c r="A163" t="inlineStr">
        <is>
          <t>A 72840-2021</t>
        </is>
      </c>
      <c r="B163" s="1" t="n">
        <v>44547</v>
      </c>
      <c r="C163" s="1" t="n">
        <v>46017</v>
      </c>
      <c r="D163" t="inlineStr">
        <is>
          <t>UPPSALA LÄN</t>
        </is>
      </c>
      <c r="E163" t="inlineStr">
        <is>
          <t>ENKÖPING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30098-2024</t>
        </is>
      </c>
      <c r="B164" s="1" t="n">
        <v>45489.41609953704</v>
      </c>
      <c r="C164" s="1" t="n">
        <v>46017</v>
      </c>
      <c r="D164" t="inlineStr">
        <is>
          <t>UPPSALA LÄN</t>
        </is>
      </c>
      <c r="E164" t="inlineStr">
        <is>
          <t>ENKÖPING</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33955-2024</t>
        </is>
      </c>
      <c r="B165" s="1" t="n">
        <v>45523.46952546296</v>
      </c>
      <c r="C165" s="1" t="n">
        <v>46017</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6172-2023</t>
        </is>
      </c>
      <c r="B166" s="1" t="n">
        <v>44964.68663194445</v>
      </c>
      <c r="C166" s="1" t="n">
        <v>46017</v>
      </c>
      <c r="D166" t="inlineStr">
        <is>
          <t>UPPSALA LÄN</t>
        </is>
      </c>
      <c r="E166" t="inlineStr">
        <is>
          <t>ENKÖPING</t>
        </is>
      </c>
      <c r="G166" t="n">
        <v>2.6</v>
      </c>
      <c r="H166" t="n">
        <v>0</v>
      </c>
      <c r="I166" t="n">
        <v>0</v>
      </c>
      <c r="J166" t="n">
        <v>0</v>
      </c>
      <c r="K166" t="n">
        <v>0</v>
      </c>
      <c r="L166" t="n">
        <v>0</v>
      </c>
      <c r="M166" t="n">
        <v>0</v>
      </c>
      <c r="N166" t="n">
        <v>0</v>
      </c>
      <c r="O166" t="n">
        <v>0</v>
      </c>
      <c r="P166" t="n">
        <v>0</v>
      </c>
      <c r="Q166" t="n">
        <v>0</v>
      </c>
      <c r="R166" s="2" t="inlineStr"/>
    </row>
    <row r="167" ht="15" customHeight="1">
      <c r="A167" t="inlineStr">
        <is>
          <t>A 10409-2025</t>
        </is>
      </c>
      <c r="B167" s="1" t="n">
        <v>45720.631875</v>
      </c>
      <c r="C167" s="1" t="n">
        <v>46017</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1651-2024</t>
        </is>
      </c>
      <c r="B168" s="1" t="n">
        <v>45306.73770833333</v>
      </c>
      <c r="C168" s="1" t="n">
        <v>46017</v>
      </c>
      <c r="D168" t="inlineStr">
        <is>
          <t>UPPSALA LÄN</t>
        </is>
      </c>
      <c r="E168" t="inlineStr">
        <is>
          <t>ENKÖPING</t>
        </is>
      </c>
      <c r="G168" t="n">
        <v>10.2</v>
      </c>
      <c r="H168" t="n">
        <v>0</v>
      </c>
      <c r="I168" t="n">
        <v>0</v>
      </c>
      <c r="J168" t="n">
        <v>0</v>
      </c>
      <c r="K168" t="n">
        <v>0</v>
      </c>
      <c r="L168" t="n">
        <v>0</v>
      </c>
      <c r="M168" t="n">
        <v>0</v>
      </c>
      <c r="N168" t="n">
        <v>0</v>
      </c>
      <c r="O168" t="n">
        <v>0</v>
      </c>
      <c r="P168" t="n">
        <v>0</v>
      </c>
      <c r="Q168" t="n">
        <v>0</v>
      </c>
      <c r="R168" s="2" t="inlineStr"/>
    </row>
    <row r="169" ht="15" customHeight="1">
      <c r="A169" t="inlineStr">
        <is>
          <t>A 60289-2022</t>
        </is>
      </c>
      <c r="B169" s="1" t="n">
        <v>44910.53026620371</v>
      </c>
      <c r="C169" s="1" t="n">
        <v>46017</v>
      </c>
      <c r="D169" t="inlineStr">
        <is>
          <t>UPPSALA LÄN</t>
        </is>
      </c>
      <c r="E169" t="inlineStr">
        <is>
          <t>ENKÖPING</t>
        </is>
      </c>
      <c r="G169" t="n">
        <v>3.2</v>
      </c>
      <c r="H169" t="n">
        <v>0</v>
      </c>
      <c r="I169" t="n">
        <v>0</v>
      </c>
      <c r="J169" t="n">
        <v>0</v>
      </c>
      <c r="K169" t="n">
        <v>0</v>
      </c>
      <c r="L169" t="n">
        <v>0</v>
      </c>
      <c r="M169" t="n">
        <v>0</v>
      </c>
      <c r="N169" t="n">
        <v>0</v>
      </c>
      <c r="O169" t="n">
        <v>0</v>
      </c>
      <c r="P169" t="n">
        <v>0</v>
      </c>
      <c r="Q169" t="n">
        <v>0</v>
      </c>
      <c r="R169" s="2" t="inlineStr"/>
    </row>
    <row r="170" ht="15" customHeight="1">
      <c r="A170" t="inlineStr">
        <is>
          <t>A 37870-2023</t>
        </is>
      </c>
      <c r="B170" s="1" t="n">
        <v>45160.41996527778</v>
      </c>
      <c r="C170" s="1" t="n">
        <v>46017</v>
      </c>
      <c r="D170" t="inlineStr">
        <is>
          <t>UPPSALA LÄN</t>
        </is>
      </c>
      <c r="E170" t="inlineStr">
        <is>
          <t>ENKÖPING</t>
        </is>
      </c>
      <c r="G170" t="n">
        <v>3.5</v>
      </c>
      <c r="H170" t="n">
        <v>0</v>
      </c>
      <c r="I170" t="n">
        <v>0</v>
      </c>
      <c r="J170" t="n">
        <v>0</v>
      </c>
      <c r="K170" t="n">
        <v>0</v>
      </c>
      <c r="L170" t="n">
        <v>0</v>
      </c>
      <c r="M170" t="n">
        <v>0</v>
      </c>
      <c r="N170" t="n">
        <v>0</v>
      </c>
      <c r="O170" t="n">
        <v>0</v>
      </c>
      <c r="P170" t="n">
        <v>0</v>
      </c>
      <c r="Q170" t="n">
        <v>0</v>
      </c>
      <c r="R170" s="2" t="inlineStr"/>
    </row>
    <row r="171" ht="15" customHeight="1">
      <c r="A171" t="inlineStr">
        <is>
          <t>A 7090-2022</t>
        </is>
      </c>
      <c r="B171" s="1" t="n">
        <v>44603.59520833333</v>
      </c>
      <c r="C171" s="1" t="n">
        <v>46017</v>
      </c>
      <c r="D171" t="inlineStr">
        <is>
          <t>UPPSALA LÄN</t>
        </is>
      </c>
      <c r="E171" t="inlineStr">
        <is>
          <t>ENKÖPING</t>
        </is>
      </c>
      <c r="G171" t="n">
        <v>2.8</v>
      </c>
      <c r="H171" t="n">
        <v>0</v>
      </c>
      <c r="I171" t="n">
        <v>0</v>
      </c>
      <c r="J171" t="n">
        <v>0</v>
      </c>
      <c r="K171" t="n">
        <v>0</v>
      </c>
      <c r="L171" t="n">
        <v>0</v>
      </c>
      <c r="M171" t="n">
        <v>0</v>
      </c>
      <c r="N171" t="n">
        <v>0</v>
      </c>
      <c r="O171" t="n">
        <v>0</v>
      </c>
      <c r="P171" t="n">
        <v>0</v>
      </c>
      <c r="Q171" t="n">
        <v>0</v>
      </c>
      <c r="R171" s="2" t="inlineStr"/>
    </row>
    <row r="172" ht="15" customHeight="1">
      <c r="A172" t="inlineStr">
        <is>
          <t>A 49063-2024</t>
        </is>
      </c>
      <c r="B172" s="1" t="n">
        <v>45594.59869212963</v>
      </c>
      <c r="C172" s="1" t="n">
        <v>46017</v>
      </c>
      <c r="D172" t="inlineStr">
        <is>
          <t>UPPSALA LÄN</t>
        </is>
      </c>
      <c r="E172" t="inlineStr">
        <is>
          <t>ENKÖPING</t>
        </is>
      </c>
      <c r="G172" t="n">
        <v>1.5</v>
      </c>
      <c r="H172" t="n">
        <v>0</v>
      </c>
      <c r="I172" t="n">
        <v>0</v>
      </c>
      <c r="J172" t="n">
        <v>0</v>
      </c>
      <c r="K172" t="n">
        <v>0</v>
      </c>
      <c r="L172" t="n">
        <v>0</v>
      </c>
      <c r="M172" t="n">
        <v>0</v>
      </c>
      <c r="N172" t="n">
        <v>0</v>
      </c>
      <c r="O172" t="n">
        <v>0</v>
      </c>
      <c r="P172" t="n">
        <v>0</v>
      </c>
      <c r="Q172" t="n">
        <v>0</v>
      </c>
      <c r="R172" s="2" t="inlineStr"/>
    </row>
    <row r="173" ht="15" customHeight="1">
      <c r="A173" t="inlineStr">
        <is>
          <t>A 14083-2025</t>
        </is>
      </c>
      <c r="B173" s="1" t="n">
        <v>45740</v>
      </c>
      <c r="C173" s="1" t="n">
        <v>46017</v>
      </c>
      <c r="D173" t="inlineStr">
        <is>
          <t>UPPSALA LÄN</t>
        </is>
      </c>
      <c r="E173" t="inlineStr">
        <is>
          <t>ENKÖPING</t>
        </is>
      </c>
      <c r="G173" t="n">
        <v>1.1</v>
      </c>
      <c r="H173" t="n">
        <v>0</v>
      </c>
      <c r="I173" t="n">
        <v>0</v>
      </c>
      <c r="J173" t="n">
        <v>0</v>
      </c>
      <c r="K173" t="n">
        <v>0</v>
      </c>
      <c r="L173" t="n">
        <v>0</v>
      </c>
      <c r="M173" t="n">
        <v>0</v>
      </c>
      <c r="N173" t="n">
        <v>0</v>
      </c>
      <c r="O173" t="n">
        <v>0</v>
      </c>
      <c r="P173" t="n">
        <v>0</v>
      </c>
      <c r="Q173" t="n">
        <v>0</v>
      </c>
      <c r="R173" s="2" t="inlineStr"/>
    </row>
    <row r="174" ht="15" customHeight="1">
      <c r="A174" t="inlineStr">
        <is>
          <t>A 19298-2023</t>
        </is>
      </c>
      <c r="B174" s="1" t="n">
        <v>45048</v>
      </c>
      <c r="C174" s="1" t="n">
        <v>46017</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69567-2020</t>
        </is>
      </c>
      <c r="B175" s="1" t="n">
        <v>44194</v>
      </c>
      <c r="C175" s="1" t="n">
        <v>46017</v>
      </c>
      <c r="D175" t="inlineStr">
        <is>
          <t>UPPSALA LÄN</t>
        </is>
      </c>
      <c r="E175" t="inlineStr">
        <is>
          <t>ENKÖPING</t>
        </is>
      </c>
      <c r="G175" t="n">
        <v>1.6</v>
      </c>
      <c r="H175" t="n">
        <v>0</v>
      </c>
      <c r="I175" t="n">
        <v>0</v>
      </c>
      <c r="J175" t="n">
        <v>0</v>
      </c>
      <c r="K175" t="n">
        <v>0</v>
      </c>
      <c r="L175" t="n">
        <v>0</v>
      </c>
      <c r="M175" t="n">
        <v>0</v>
      </c>
      <c r="N175" t="n">
        <v>0</v>
      </c>
      <c r="O175" t="n">
        <v>0</v>
      </c>
      <c r="P175" t="n">
        <v>0</v>
      </c>
      <c r="Q175" t="n">
        <v>0</v>
      </c>
      <c r="R175" s="2" t="inlineStr"/>
    </row>
    <row r="176" ht="15" customHeight="1">
      <c r="A176" t="inlineStr">
        <is>
          <t>A 31242-2024</t>
        </is>
      </c>
      <c r="B176" s="1" t="n">
        <v>45503</v>
      </c>
      <c r="C176" s="1" t="n">
        <v>46017</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15409-2025</t>
        </is>
      </c>
      <c r="B177" s="1" t="n">
        <v>45747</v>
      </c>
      <c r="C177" s="1" t="n">
        <v>46017</v>
      </c>
      <c r="D177" t="inlineStr">
        <is>
          <t>UPPSALA LÄN</t>
        </is>
      </c>
      <c r="E177" t="inlineStr">
        <is>
          <t>ENKÖPING</t>
        </is>
      </c>
      <c r="G177" t="n">
        <v>2.5</v>
      </c>
      <c r="H177" t="n">
        <v>0</v>
      </c>
      <c r="I177" t="n">
        <v>0</v>
      </c>
      <c r="J177" t="n">
        <v>0</v>
      </c>
      <c r="K177" t="n">
        <v>0</v>
      </c>
      <c r="L177" t="n">
        <v>0</v>
      </c>
      <c r="M177" t="n">
        <v>0</v>
      </c>
      <c r="N177" t="n">
        <v>0</v>
      </c>
      <c r="O177" t="n">
        <v>0</v>
      </c>
      <c r="P177" t="n">
        <v>0</v>
      </c>
      <c r="Q177" t="n">
        <v>0</v>
      </c>
      <c r="R177" s="2" t="inlineStr"/>
    </row>
    <row r="178" ht="15" customHeight="1">
      <c r="A178" t="inlineStr">
        <is>
          <t>A 2162-2023</t>
        </is>
      </c>
      <c r="B178" s="1" t="n">
        <v>44941</v>
      </c>
      <c r="C178" s="1" t="n">
        <v>46017</v>
      </c>
      <c r="D178" t="inlineStr">
        <is>
          <t>UPPSALA LÄN</t>
        </is>
      </c>
      <c r="E178" t="inlineStr">
        <is>
          <t>ENKÖPING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56163-2021</t>
        </is>
      </c>
      <c r="B179" s="1" t="n">
        <v>44477</v>
      </c>
      <c r="C179" s="1" t="n">
        <v>46017</v>
      </c>
      <c r="D179" t="inlineStr">
        <is>
          <t>UPPSALA LÄN</t>
        </is>
      </c>
      <c r="E179" t="inlineStr">
        <is>
          <t>ENKÖPING</t>
        </is>
      </c>
      <c r="F179" t="inlineStr">
        <is>
          <t>Allmännings- och besparingsskogar</t>
        </is>
      </c>
      <c r="G179" t="n">
        <v>0.6</v>
      </c>
      <c r="H179" t="n">
        <v>0</v>
      </c>
      <c r="I179" t="n">
        <v>0</v>
      </c>
      <c r="J179" t="n">
        <v>0</v>
      </c>
      <c r="K179" t="n">
        <v>0</v>
      </c>
      <c r="L179" t="n">
        <v>0</v>
      </c>
      <c r="M179" t="n">
        <v>0</v>
      </c>
      <c r="N179" t="n">
        <v>0</v>
      </c>
      <c r="O179" t="n">
        <v>0</v>
      </c>
      <c r="P179" t="n">
        <v>0</v>
      </c>
      <c r="Q179" t="n">
        <v>0</v>
      </c>
      <c r="R179" s="2" t="inlineStr"/>
    </row>
    <row r="180" ht="15" customHeight="1">
      <c r="A180" t="inlineStr">
        <is>
          <t>A 21686-2022</t>
        </is>
      </c>
      <c r="B180" s="1" t="n">
        <v>44707</v>
      </c>
      <c r="C180" s="1" t="n">
        <v>46017</v>
      </c>
      <c r="D180" t="inlineStr">
        <is>
          <t>UPPSALA LÄN</t>
        </is>
      </c>
      <c r="E180" t="inlineStr">
        <is>
          <t>ENKÖPING</t>
        </is>
      </c>
      <c r="G180" t="n">
        <v>2.2</v>
      </c>
      <c r="H180" t="n">
        <v>0</v>
      </c>
      <c r="I180" t="n">
        <v>0</v>
      </c>
      <c r="J180" t="n">
        <v>0</v>
      </c>
      <c r="K180" t="n">
        <v>0</v>
      </c>
      <c r="L180" t="n">
        <v>0</v>
      </c>
      <c r="M180" t="n">
        <v>0</v>
      </c>
      <c r="N180" t="n">
        <v>0</v>
      </c>
      <c r="O180" t="n">
        <v>0</v>
      </c>
      <c r="P180" t="n">
        <v>0</v>
      </c>
      <c r="Q180" t="n">
        <v>0</v>
      </c>
      <c r="R180" s="2" t="inlineStr"/>
    </row>
    <row r="181" ht="15" customHeight="1">
      <c r="A181" t="inlineStr">
        <is>
          <t>A 29479-2022</t>
        </is>
      </c>
      <c r="B181" s="1" t="n">
        <v>44753.57265046296</v>
      </c>
      <c r="C181" s="1" t="n">
        <v>46017</v>
      </c>
      <c r="D181" t="inlineStr">
        <is>
          <t>UPPSALA LÄN</t>
        </is>
      </c>
      <c r="E181" t="inlineStr">
        <is>
          <t>ENKÖPING</t>
        </is>
      </c>
      <c r="G181" t="n">
        <v>0.9</v>
      </c>
      <c r="H181" t="n">
        <v>0</v>
      </c>
      <c r="I181" t="n">
        <v>0</v>
      </c>
      <c r="J181" t="n">
        <v>0</v>
      </c>
      <c r="K181" t="n">
        <v>0</v>
      </c>
      <c r="L181" t="n">
        <v>0</v>
      </c>
      <c r="M181" t="n">
        <v>0</v>
      </c>
      <c r="N181" t="n">
        <v>0</v>
      </c>
      <c r="O181" t="n">
        <v>0</v>
      </c>
      <c r="P181" t="n">
        <v>0</v>
      </c>
      <c r="Q181" t="n">
        <v>0</v>
      </c>
      <c r="R181" s="2" t="inlineStr"/>
    </row>
    <row r="182" ht="15" customHeight="1">
      <c r="A182" t="inlineStr">
        <is>
          <t>A 28318-2024</t>
        </is>
      </c>
      <c r="B182" s="1" t="n">
        <v>45477</v>
      </c>
      <c r="C182" s="1" t="n">
        <v>46017</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49525-2021</t>
        </is>
      </c>
      <c r="B183" s="1" t="n">
        <v>44455</v>
      </c>
      <c r="C183" s="1" t="n">
        <v>46017</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6298-2021</t>
        </is>
      </c>
      <c r="B184" s="1" t="n">
        <v>44235</v>
      </c>
      <c r="C184" s="1" t="n">
        <v>46017</v>
      </c>
      <c r="D184" t="inlineStr">
        <is>
          <t>UPPSALA LÄN</t>
        </is>
      </c>
      <c r="E184" t="inlineStr">
        <is>
          <t>ENKÖPING</t>
        </is>
      </c>
      <c r="G184" t="n">
        <v>1.4</v>
      </c>
      <c r="H184" t="n">
        <v>0</v>
      </c>
      <c r="I184" t="n">
        <v>0</v>
      </c>
      <c r="J184" t="n">
        <v>0</v>
      </c>
      <c r="K184" t="n">
        <v>0</v>
      </c>
      <c r="L184" t="n">
        <v>0</v>
      </c>
      <c r="M184" t="n">
        <v>0</v>
      </c>
      <c r="N184" t="n">
        <v>0</v>
      </c>
      <c r="O184" t="n">
        <v>0</v>
      </c>
      <c r="P184" t="n">
        <v>0</v>
      </c>
      <c r="Q184" t="n">
        <v>0</v>
      </c>
      <c r="R184" s="2" t="inlineStr"/>
    </row>
    <row r="185" ht="15" customHeight="1">
      <c r="A185" t="inlineStr">
        <is>
          <t>A 34617-2022</t>
        </is>
      </c>
      <c r="B185" s="1" t="n">
        <v>44795</v>
      </c>
      <c r="C185" s="1" t="n">
        <v>46017</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14402-2023</t>
        </is>
      </c>
      <c r="B186" s="1" t="n">
        <v>45012</v>
      </c>
      <c r="C186" s="1" t="n">
        <v>46017</v>
      </c>
      <c r="D186" t="inlineStr">
        <is>
          <t>UPPSALA LÄN</t>
        </is>
      </c>
      <c r="E186" t="inlineStr">
        <is>
          <t>ENKÖPING</t>
        </is>
      </c>
      <c r="G186" t="n">
        <v>9.5</v>
      </c>
      <c r="H186" t="n">
        <v>0</v>
      </c>
      <c r="I186" t="n">
        <v>0</v>
      </c>
      <c r="J186" t="n">
        <v>0</v>
      </c>
      <c r="K186" t="n">
        <v>0</v>
      </c>
      <c r="L186" t="n">
        <v>0</v>
      </c>
      <c r="M186" t="n">
        <v>0</v>
      </c>
      <c r="N186" t="n">
        <v>0</v>
      </c>
      <c r="O186" t="n">
        <v>0</v>
      </c>
      <c r="P186" t="n">
        <v>0</v>
      </c>
      <c r="Q186" t="n">
        <v>0</v>
      </c>
      <c r="R186" s="2" t="inlineStr"/>
    </row>
    <row r="187" ht="15" customHeight="1">
      <c r="A187" t="inlineStr">
        <is>
          <t>A 40202-2024</t>
        </is>
      </c>
      <c r="B187" s="1" t="n">
        <v>45554</v>
      </c>
      <c r="C187" s="1" t="n">
        <v>46017</v>
      </c>
      <c r="D187" t="inlineStr">
        <is>
          <t>UPPSALA LÄN</t>
        </is>
      </c>
      <c r="E187" t="inlineStr">
        <is>
          <t>ENKÖPING</t>
        </is>
      </c>
      <c r="G187" t="n">
        <v>6.2</v>
      </c>
      <c r="H187" t="n">
        <v>0</v>
      </c>
      <c r="I187" t="n">
        <v>0</v>
      </c>
      <c r="J187" t="n">
        <v>0</v>
      </c>
      <c r="K187" t="n">
        <v>0</v>
      </c>
      <c r="L187" t="n">
        <v>0</v>
      </c>
      <c r="M187" t="n">
        <v>0</v>
      </c>
      <c r="N187" t="n">
        <v>0</v>
      </c>
      <c r="O187" t="n">
        <v>0</v>
      </c>
      <c r="P187" t="n">
        <v>0</v>
      </c>
      <c r="Q187" t="n">
        <v>0</v>
      </c>
      <c r="R187" s="2" t="inlineStr"/>
    </row>
    <row r="188" ht="15" customHeight="1">
      <c r="A188" t="inlineStr">
        <is>
          <t>A 40223-2024</t>
        </is>
      </c>
      <c r="B188" s="1" t="n">
        <v>45554</v>
      </c>
      <c r="C188" s="1" t="n">
        <v>46017</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69879-2021</t>
        </is>
      </c>
      <c r="B189" s="1" t="n">
        <v>44532</v>
      </c>
      <c r="C189" s="1" t="n">
        <v>46017</v>
      </c>
      <c r="D189" t="inlineStr">
        <is>
          <t>UPPSALA LÄN</t>
        </is>
      </c>
      <c r="E189" t="inlineStr">
        <is>
          <t>ENKÖPING</t>
        </is>
      </c>
      <c r="G189" t="n">
        <v>4.2</v>
      </c>
      <c r="H189" t="n">
        <v>0</v>
      </c>
      <c r="I189" t="n">
        <v>0</v>
      </c>
      <c r="J189" t="n">
        <v>0</v>
      </c>
      <c r="K189" t="n">
        <v>0</v>
      </c>
      <c r="L189" t="n">
        <v>0</v>
      </c>
      <c r="M189" t="n">
        <v>0</v>
      </c>
      <c r="N189" t="n">
        <v>0</v>
      </c>
      <c r="O189" t="n">
        <v>0</v>
      </c>
      <c r="P189" t="n">
        <v>0</v>
      </c>
      <c r="Q189" t="n">
        <v>0</v>
      </c>
      <c r="R189" s="2" t="inlineStr"/>
    </row>
    <row r="190" ht="15" customHeight="1">
      <c r="A190" t="inlineStr">
        <is>
          <t>A 21017-2023</t>
        </is>
      </c>
      <c r="B190" s="1" t="n">
        <v>45061</v>
      </c>
      <c r="C190" s="1" t="n">
        <v>46017</v>
      </c>
      <c r="D190" t="inlineStr">
        <is>
          <t>UPPSALA LÄN</t>
        </is>
      </c>
      <c r="E190" t="inlineStr">
        <is>
          <t>ENKÖPING</t>
        </is>
      </c>
      <c r="G190" t="n">
        <v>4.8</v>
      </c>
      <c r="H190" t="n">
        <v>0</v>
      </c>
      <c r="I190" t="n">
        <v>0</v>
      </c>
      <c r="J190" t="n">
        <v>0</v>
      </c>
      <c r="K190" t="n">
        <v>0</v>
      </c>
      <c r="L190" t="n">
        <v>0</v>
      </c>
      <c r="M190" t="n">
        <v>0</v>
      </c>
      <c r="N190" t="n">
        <v>0</v>
      </c>
      <c r="O190" t="n">
        <v>0</v>
      </c>
      <c r="P190" t="n">
        <v>0</v>
      </c>
      <c r="Q190" t="n">
        <v>0</v>
      </c>
      <c r="R190" s="2" t="inlineStr"/>
    </row>
    <row r="191" ht="15" customHeight="1">
      <c r="A191" t="inlineStr">
        <is>
          <t>A 19013-2025</t>
        </is>
      </c>
      <c r="B191" s="1" t="n">
        <v>45764.59533564815</v>
      </c>
      <c r="C191" s="1" t="n">
        <v>46017</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57335-2024</t>
        </is>
      </c>
      <c r="B192" s="1" t="n">
        <v>45629.63302083333</v>
      </c>
      <c r="C192" s="1" t="n">
        <v>46017</v>
      </c>
      <c r="D192" t="inlineStr">
        <is>
          <t>UPPSALA LÄN</t>
        </is>
      </c>
      <c r="E192" t="inlineStr">
        <is>
          <t>ENKÖPING</t>
        </is>
      </c>
      <c r="G192" t="n">
        <v>2.1</v>
      </c>
      <c r="H192" t="n">
        <v>0</v>
      </c>
      <c r="I192" t="n">
        <v>0</v>
      </c>
      <c r="J192" t="n">
        <v>0</v>
      </c>
      <c r="K192" t="n">
        <v>0</v>
      </c>
      <c r="L192" t="n">
        <v>0</v>
      </c>
      <c r="M192" t="n">
        <v>0</v>
      </c>
      <c r="N192" t="n">
        <v>0</v>
      </c>
      <c r="O192" t="n">
        <v>0</v>
      </c>
      <c r="P192" t="n">
        <v>0</v>
      </c>
      <c r="Q192" t="n">
        <v>0</v>
      </c>
      <c r="R192" s="2" t="inlineStr"/>
    </row>
    <row r="193" ht="15" customHeight="1">
      <c r="A193" t="inlineStr">
        <is>
          <t>A 57209-2024</t>
        </is>
      </c>
      <c r="B193" s="1" t="n">
        <v>45629.49311342592</v>
      </c>
      <c r="C193" s="1" t="n">
        <v>46017</v>
      </c>
      <c r="D193" t="inlineStr">
        <is>
          <t>UPPSALA LÄN</t>
        </is>
      </c>
      <c r="E193" t="inlineStr">
        <is>
          <t>ENKÖPING</t>
        </is>
      </c>
      <c r="G193" t="n">
        <v>3.2</v>
      </c>
      <c r="H193" t="n">
        <v>0</v>
      </c>
      <c r="I193" t="n">
        <v>0</v>
      </c>
      <c r="J193" t="n">
        <v>0</v>
      </c>
      <c r="K193" t="n">
        <v>0</v>
      </c>
      <c r="L193" t="n">
        <v>0</v>
      </c>
      <c r="M193" t="n">
        <v>0</v>
      </c>
      <c r="N193" t="n">
        <v>0</v>
      </c>
      <c r="O193" t="n">
        <v>0</v>
      </c>
      <c r="P193" t="n">
        <v>0</v>
      </c>
      <c r="Q193" t="n">
        <v>0</v>
      </c>
      <c r="R193" s="2" t="inlineStr"/>
    </row>
    <row r="194" ht="15" customHeight="1">
      <c r="A194" t="inlineStr">
        <is>
          <t>A 56176-2021</t>
        </is>
      </c>
      <c r="B194" s="1" t="n">
        <v>44477</v>
      </c>
      <c r="C194" s="1" t="n">
        <v>46017</v>
      </c>
      <c r="D194" t="inlineStr">
        <is>
          <t>UPPSALA LÄN</t>
        </is>
      </c>
      <c r="E194" t="inlineStr">
        <is>
          <t>ENKÖPING</t>
        </is>
      </c>
      <c r="G194" t="n">
        <v>2.9</v>
      </c>
      <c r="H194" t="n">
        <v>0</v>
      </c>
      <c r="I194" t="n">
        <v>0</v>
      </c>
      <c r="J194" t="n">
        <v>0</v>
      </c>
      <c r="K194" t="n">
        <v>0</v>
      </c>
      <c r="L194" t="n">
        <v>0</v>
      </c>
      <c r="M194" t="n">
        <v>0</v>
      </c>
      <c r="N194" t="n">
        <v>0</v>
      </c>
      <c r="O194" t="n">
        <v>0</v>
      </c>
      <c r="P194" t="n">
        <v>0</v>
      </c>
      <c r="Q194" t="n">
        <v>0</v>
      </c>
      <c r="R194" s="2" t="inlineStr"/>
    </row>
    <row r="195" ht="15" customHeight="1">
      <c r="A195" t="inlineStr">
        <is>
          <t>A 57328-2024</t>
        </is>
      </c>
      <c r="B195" s="1" t="n">
        <v>45629.62798611111</v>
      </c>
      <c r="C195" s="1" t="n">
        <v>46017</v>
      </c>
      <c r="D195" t="inlineStr">
        <is>
          <t>UPPSALA LÄN</t>
        </is>
      </c>
      <c r="E195" t="inlineStr">
        <is>
          <t>ENKÖPING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23301-2024</t>
        </is>
      </c>
      <c r="B196" s="1" t="n">
        <v>45453.4396412037</v>
      </c>
      <c r="C196" s="1" t="n">
        <v>46017</v>
      </c>
      <c r="D196" t="inlineStr">
        <is>
          <t>UPPSALA LÄN</t>
        </is>
      </c>
      <c r="E196" t="inlineStr">
        <is>
          <t>ENKÖPING</t>
        </is>
      </c>
      <c r="G196" t="n">
        <v>4.3</v>
      </c>
      <c r="H196" t="n">
        <v>0</v>
      </c>
      <c r="I196" t="n">
        <v>0</v>
      </c>
      <c r="J196" t="n">
        <v>0</v>
      </c>
      <c r="K196" t="n">
        <v>0</v>
      </c>
      <c r="L196" t="n">
        <v>0</v>
      </c>
      <c r="M196" t="n">
        <v>0</v>
      </c>
      <c r="N196" t="n">
        <v>0</v>
      </c>
      <c r="O196" t="n">
        <v>0</v>
      </c>
      <c r="P196" t="n">
        <v>0</v>
      </c>
      <c r="Q196" t="n">
        <v>0</v>
      </c>
      <c r="R196" s="2" t="inlineStr"/>
    </row>
    <row r="197" ht="15" customHeight="1">
      <c r="A197" t="inlineStr">
        <is>
          <t>A 2833-2025</t>
        </is>
      </c>
      <c r="B197" s="1" t="n">
        <v>45677.63206018518</v>
      </c>
      <c r="C197" s="1" t="n">
        <v>46017</v>
      </c>
      <c r="D197" t="inlineStr">
        <is>
          <t>UPPSALA LÄN</t>
        </is>
      </c>
      <c r="E197" t="inlineStr">
        <is>
          <t>ENKÖPING</t>
        </is>
      </c>
      <c r="G197" t="n">
        <v>0.8</v>
      </c>
      <c r="H197" t="n">
        <v>0</v>
      </c>
      <c r="I197" t="n">
        <v>0</v>
      </c>
      <c r="J197" t="n">
        <v>0</v>
      </c>
      <c r="K197" t="n">
        <v>0</v>
      </c>
      <c r="L197" t="n">
        <v>0</v>
      </c>
      <c r="M197" t="n">
        <v>0</v>
      </c>
      <c r="N197" t="n">
        <v>0</v>
      </c>
      <c r="O197" t="n">
        <v>0</v>
      </c>
      <c r="P197" t="n">
        <v>0</v>
      </c>
      <c r="Q197" t="n">
        <v>0</v>
      </c>
      <c r="R197" s="2" t="inlineStr"/>
    </row>
    <row r="198" ht="15" customHeight="1">
      <c r="A198" t="inlineStr">
        <is>
          <t>A 13110-2023</t>
        </is>
      </c>
      <c r="B198" s="1" t="n">
        <v>45001</v>
      </c>
      <c r="C198" s="1" t="n">
        <v>46017</v>
      </c>
      <c r="D198" t="inlineStr">
        <is>
          <t>UPPSALA LÄN</t>
        </is>
      </c>
      <c r="E198" t="inlineStr">
        <is>
          <t>ENKÖPING</t>
        </is>
      </c>
      <c r="G198" t="n">
        <v>2.5</v>
      </c>
      <c r="H198" t="n">
        <v>0</v>
      </c>
      <c r="I198" t="n">
        <v>0</v>
      </c>
      <c r="J198" t="n">
        <v>0</v>
      </c>
      <c r="K198" t="n">
        <v>0</v>
      </c>
      <c r="L198" t="n">
        <v>0</v>
      </c>
      <c r="M198" t="n">
        <v>0</v>
      </c>
      <c r="N198" t="n">
        <v>0</v>
      </c>
      <c r="O198" t="n">
        <v>0</v>
      </c>
      <c r="P198" t="n">
        <v>0</v>
      </c>
      <c r="Q198" t="n">
        <v>0</v>
      </c>
      <c r="R198" s="2" t="inlineStr"/>
    </row>
    <row r="199" ht="15" customHeight="1">
      <c r="A199" t="inlineStr">
        <is>
          <t>A 49627-2024</t>
        </is>
      </c>
      <c r="B199" s="1" t="n">
        <v>45596.59140046296</v>
      </c>
      <c r="C199" s="1" t="n">
        <v>46017</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9231-2023</t>
        </is>
      </c>
      <c r="B200" s="1" t="n">
        <v>44980</v>
      </c>
      <c r="C200" s="1" t="n">
        <v>46017</v>
      </c>
      <c r="D200" t="inlineStr">
        <is>
          <t>UPPSALA LÄN</t>
        </is>
      </c>
      <c r="E200" t="inlineStr">
        <is>
          <t>ENKÖPING</t>
        </is>
      </c>
      <c r="G200" t="n">
        <v>1.5</v>
      </c>
      <c r="H200" t="n">
        <v>0</v>
      </c>
      <c r="I200" t="n">
        <v>0</v>
      </c>
      <c r="J200" t="n">
        <v>0</v>
      </c>
      <c r="K200" t="n">
        <v>0</v>
      </c>
      <c r="L200" t="n">
        <v>0</v>
      </c>
      <c r="M200" t="n">
        <v>0</v>
      </c>
      <c r="N200" t="n">
        <v>0</v>
      </c>
      <c r="O200" t="n">
        <v>0</v>
      </c>
      <c r="P200" t="n">
        <v>0</v>
      </c>
      <c r="Q200" t="n">
        <v>0</v>
      </c>
      <c r="R200" s="2" t="inlineStr"/>
    </row>
    <row r="201" ht="15" customHeight="1">
      <c r="A201" t="inlineStr">
        <is>
          <t>A 27538-2023</t>
        </is>
      </c>
      <c r="B201" s="1" t="n">
        <v>45097</v>
      </c>
      <c r="C201" s="1" t="n">
        <v>46017</v>
      </c>
      <c r="D201" t="inlineStr">
        <is>
          <t>UPPSALA LÄN</t>
        </is>
      </c>
      <c r="E201" t="inlineStr">
        <is>
          <t>ENKÖPING</t>
        </is>
      </c>
      <c r="G201" t="n">
        <v>5.8</v>
      </c>
      <c r="H201" t="n">
        <v>0</v>
      </c>
      <c r="I201" t="n">
        <v>0</v>
      </c>
      <c r="J201" t="n">
        <v>0</v>
      </c>
      <c r="K201" t="n">
        <v>0</v>
      </c>
      <c r="L201" t="n">
        <v>0</v>
      </c>
      <c r="M201" t="n">
        <v>0</v>
      </c>
      <c r="N201" t="n">
        <v>0</v>
      </c>
      <c r="O201" t="n">
        <v>0</v>
      </c>
      <c r="P201" t="n">
        <v>0</v>
      </c>
      <c r="Q201" t="n">
        <v>0</v>
      </c>
      <c r="R201" s="2" t="inlineStr"/>
    </row>
    <row r="202" ht="15" customHeight="1">
      <c r="A202" t="inlineStr">
        <is>
          <t>A 33619-2022</t>
        </is>
      </c>
      <c r="B202" s="1" t="n">
        <v>44789</v>
      </c>
      <c r="C202" s="1" t="n">
        <v>46017</v>
      </c>
      <c r="D202" t="inlineStr">
        <is>
          <t>UPPSALA LÄN</t>
        </is>
      </c>
      <c r="E202" t="inlineStr">
        <is>
          <t>ENKÖPING</t>
        </is>
      </c>
      <c r="F202" t="inlineStr">
        <is>
          <t>Allmännings- och besparingsskogar</t>
        </is>
      </c>
      <c r="G202" t="n">
        <v>4.5</v>
      </c>
      <c r="H202" t="n">
        <v>0</v>
      </c>
      <c r="I202" t="n">
        <v>0</v>
      </c>
      <c r="J202" t="n">
        <v>0</v>
      </c>
      <c r="K202" t="n">
        <v>0</v>
      </c>
      <c r="L202" t="n">
        <v>0</v>
      </c>
      <c r="M202" t="n">
        <v>0</v>
      </c>
      <c r="N202" t="n">
        <v>0</v>
      </c>
      <c r="O202" t="n">
        <v>0</v>
      </c>
      <c r="P202" t="n">
        <v>0</v>
      </c>
      <c r="Q202" t="n">
        <v>0</v>
      </c>
      <c r="R202" s="2" t="inlineStr"/>
    </row>
    <row r="203" ht="15" customHeight="1">
      <c r="A203" t="inlineStr">
        <is>
          <t>A 56837-2024</t>
        </is>
      </c>
      <c r="B203" s="1" t="n">
        <v>45628</v>
      </c>
      <c r="C203" s="1" t="n">
        <v>46017</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31604-2023</t>
        </is>
      </c>
      <c r="B204" s="1" t="n">
        <v>45117.50368055556</v>
      </c>
      <c r="C204" s="1" t="n">
        <v>46017</v>
      </c>
      <c r="D204" t="inlineStr">
        <is>
          <t>UPPSALA LÄN</t>
        </is>
      </c>
      <c r="E204" t="inlineStr">
        <is>
          <t>ENKÖPING</t>
        </is>
      </c>
      <c r="G204" t="n">
        <v>3.5</v>
      </c>
      <c r="H204" t="n">
        <v>0</v>
      </c>
      <c r="I204" t="n">
        <v>0</v>
      </c>
      <c r="J204" t="n">
        <v>0</v>
      </c>
      <c r="K204" t="n">
        <v>0</v>
      </c>
      <c r="L204" t="n">
        <v>0</v>
      </c>
      <c r="M204" t="n">
        <v>0</v>
      </c>
      <c r="N204" t="n">
        <v>0</v>
      </c>
      <c r="O204" t="n">
        <v>0</v>
      </c>
      <c r="P204" t="n">
        <v>0</v>
      </c>
      <c r="Q204" t="n">
        <v>0</v>
      </c>
      <c r="R204" s="2" t="inlineStr"/>
    </row>
    <row r="205" ht="15" customHeight="1">
      <c r="A205" t="inlineStr">
        <is>
          <t>A 18821-2023</t>
        </is>
      </c>
      <c r="B205" s="1" t="n">
        <v>45044.3782175926</v>
      </c>
      <c r="C205" s="1" t="n">
        <v>46017</v>
      </c>
      <c r="D205" t="inlineStr">
        <is>
          <t>UPPSALA LÄN</t>
        </is>
      </c>
      <c r="E205" t="inlineStr">
        <is>
          <t>ENKÖPING</t>
        </is>
      </c>
      <c r="G205" t="n">
        <v>6</v>
      </c>
      <c r="H205" t="n">
        <v>0</v>
      </c>
      <c r="I205" t="n">
        <v>0</v>
      </c>
      <c r="J205" t="n">
        <v>0</v>
      </c>
      <c r="K205" t="n">
        <v>0</v>
      </c>
      <c r="L205" t="n">
        <v>0</v>
      </c>
      <c r="M205" t="n">
        <v>0</v>
      </c>
      <c r="N205" t="n">
        <v>0</v>
      </c>
      <c r="O205" t="n">
        <v>0</v>
      </c>
      <c r="P205" t="n">
        <v>0</v>
      </c>
      <c r="Q205" t="n">
        <v>0</v>
      </c>
      <c r="R205" s="2" t="inlineStr"/>
    </row>
    <row r="206" ht="15" customHeight="1">
      <c r="A206" t="inlineStr">
        <is>
          <t>A 69344-2021</t>
        </is>
      </c>
      <c r="B206" s="1" t="n">
        <v>44531</v>
      </c>
      <c r="C206" s="1" t="n">
        <v>46017</v>
      </c>
      <c r="D206" t="inlineStr">
        <is>
          <t>UPPSALA LÄN</t>
        </is>
      </c>
      <c r="E206" t="inlineStr">
        <is>
          <t>ENKÖPING</t>
        </is>
      </c>
      <c r="G206" t="n">
        <v>2.9</v>
      </c>
      <c r="H206" t="n">
        <v>0</v>
      </c>
      <c r="I206" t="n">
        <v>0</v>
      </c>
      <c r="J206" t="n">
        <v>0</v>
      </c>
      <c r="K206" t="n">
        <v>0</v>
      </c>
      <c r="L206" t="n">
        <v>0</v>
      </c>
      <c r="M206" t="n">
        <v>0</v>
      </c>
      <c r="N206" t="n">
        <v>0</v>
      </c>
      <c r="O206" t="n">
        <v>0</v>
      </c>
      <c r="P206" t="n">
        <v>0</v>
      </c>
      <c r="Q206" t="n">
        <v>0</v>
      </c>
      <c r="R206" s="2" t="inlineStr"/>
    </row>
    <row r="207" ht="15" customHeight="1">
      <c r="A207" t="inlineStr">
        <is>
          <t>A 59602-2024</t>
        </is>
      </c>
      <c r="B207" s="1" t="n">
        <v>45638</v>
      </c>
      <c r="C207" s="1" t="n">
        <v>46017</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52380-2024</t>
        </is>
      </c>
      <c r="B208" s="1" t="n">
        <v>45609</v>
      </c>
      <c r="C208" s="1" t="n">
        <v>46017</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55876-2024</t>
        </is>
      </c>
      <c r="B209" s="1" t="n">
        <v>45623.5546412037</v>
      </c>
      <c r="C209" s="1" t="n">
        <v>46017</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14243-2025</t>
        </is>
      </c>
      <c r="B210" s="1" t="n">
        <v>45740.61288194444</v>
      </c>
      <c r="C210" s="1" t="n">
        <v>46017</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19488-2022</t>
        </is>
      </c>
      <c r="B211" s="1" t="n">
        <v>44693</v>
      </c>
      <c r="C211" s="1" t="n">
        <v>46017</v>
      </c>
      <c r="D211" t="inlineStr">
        <is>
          <t>UPPSALA LÄN</t>
        </is>
      </c>
      <c r="E211" t="inlineStr">
        <is>
          <t>ENKÖPING</t>
        </is>
      </c>
      <c r="G211" t="n">
        <v>7.8</v>
      </c>
      <c r="H211" t="n">
        <v>0</v>
      </c>
      <c r="I211" t="n">
        <v>0</v>
      </c>
      <c r="J211" t="n">
        <v>0</v>
      </c>
      <c r="K211" t="n">
        <v>0</v>
      </c>
      <c r="L211" t="n">
        <v>0</v>
      </c>
      <c r="M211" t="n">
        <v>0</v>
      </c>
      <c r="N211" t="n">
        <v>0</v>
      </c>
      <c r="O211" t="n">
        <v>0</v>
      </c>
      <c r="P211" t="n">
        <v>0</v>
      </c>
      <c r="Q211" t="n">
        <v>0</v>
      </c>
      <c r="R211" s="2" t="inlineStr"/>
    </row>
    <row r="212" ht="15" customHeight="1">
      <c r="A212" t="inlineStr">
        <is>
          <t>A 9041-2023</t>
        </is>
      </c>
      <c r="B212" s="1" t="n">
        <v>44979</v>
      </c>
      <c r="C212" s="1" t="n">
        <v>46017</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27786-2023</t>
        </is>
      </c>
      <c r="B213" s="1" t="n">
        <v>45098</v>
      </c>
      <c r="C213" s="1" t="n">
        <v>46017</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25334-2023</t>
        </is>
      </c>
      <c r="B214" s="1" t="n">
        <v>45083</v>
      </c>
      <c r="C214" s="1" t="n">
        <v>46017</v>
      </c>
      <c r="D214" t="inlineStr">
        <is>
          <t>UPPSALA LÄN</t>
        </is>
      </c>
      <c r="E214" t="inlineStr">
        <is>
          <t>ENKÖPING</t>
        </is>
      </c>
      <c r="G214" t="n">
        <v>0.2</v>
      </c>
      <c r="H214" t="n">
        <v>0</v>
      </c>
      <c r="I214" t="n">
        <v>0</v>
      </c>
      <c r="J214" t="n">
        <v>0</v>
      </c>
      <c r="K214" t="n">
        <v>0</v>
      </c>
      <c r="L214" t="n">
        <v>0</v>
      </c>
      <c r="M214" t="n">
        <v>0</v>
      </c>
      <c r="N214" t="n">
        <v>0</v>
      </c>
      <c r="O214" t="n">
        <v>0</v>
      </c>
      <c r="P214" t="n">
        <v>0</v>
      </c>
      <c r="Q214" t="n">
        <v>0</v>
      </c>
      <c r="R214" s="2" t="inlineStr"/>
    </row>
    <row r="215" ht="15" customHeight="1">
      <c r="A215" t="inlineStr">
        <is>
          <t>A 33349-2024</t>
        </is>
      </c>
      <c r="B215" s="1" t="n">
        <v>45519</v>
      </c>
      <c r="C215" s="1" t="n">
        <v>46017</v>
      </c>
      <c r="D215" t="inlineStr">
        <is>
          <t>UPPSALA LÄN</t>
        </is>
      </c>
      <c r="E215" t="inlineStr">
        <is>
          <t>ENKÖPING</t>
        </is>
      </c>
      <c r="G215" t="n">
        <v>3.6</v>
      </c>
      <c r="H215" t="n">
        <v>0</v>
      </c>
      <c r="I215" t="n">
        <v>0</v>
      </c>
      <c r="J215" t="n">
        <v>0</v>
      </c>
      <c r="K215" t="n">
        <v>0</v>
      </c>
      <c r="L215" t="n">
        <v>0</v>
      </c>
      <c r="M215" t="n">
        <v>0</v>
      </c>
      <c r="N215" t="n">
        <v>0</v>
      </c>
      <c r="O215" t="n">
        <v>0</v>
      </c>
      <c r="P215" t="n">
        <v>0</v>
      </c>
      <c r="Q215" t="n">
        <v>0</v>
      </c>
      <c r="R215" s="2" t="inlineStr"/>
    </row>
    <row r="216" ht="15" customHeight="1">
      <c r="A216" t="inlineStr">
        <is>
          <t>A 41826-2024</t>
        </is>
      </c>
      <c r="B216" s="1" t="n">
        <v>45561</v>
      </c>
      <c r="C216" s="1" t="n">
        <v>46017</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16916-2022</t>
        </is>
      </c>
      <c r="B217" s="1" t="n">
        <v>44676</v>
      </c>
      <c r="C217" s="1" t="n">
        <v>46017</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44115-2024</t>
        </is>
      </c>
      <c r="B218" s="1" t="n">
        <v>45572</v>
      </c>
      <c r="C218" s="1" t="n">
        <v>46017</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53587-2024</t>
        </is>
      </c>
      <c r="B219" s="1" t="n">
        <v>45614.66953703704</v>
      </c>
      <c r="C219" s="1" t="n">
        <v>46017</v>
      </c>
      <c r="D219" t="inlineStr">
        <is>
          <t>UPPSALA LÄN</t>
        </is>
      </c>
      <c r="E219" t="inlineStr">
        <is>
          <t>ENKÖPING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38941-2025</t>
        </is>
      </c>
      <c r="B220" s="1" t="n">
        <v>45887</v>
      </c>
      <c r="C220" s="1" t="n">
        <v>46017</v>
      </c>
      <c r="D220" t="inlineStr">
        <is>
          <t>UPPSALA LÄN</t>
        </is>
      </c>
      <c r="E220" t="inlineStr">
        <is>
          <t>ENKÖPING</t>
        </is>
      </c>
      <c r="F220" t="inlineStr">
        <is>
          <t>Övriga statliga verk och myndigheter</t>
        </is>
      </c>
      <c r="G220" t="n">
        <v>0.6</v>
      </c>
      <c r="H220" t="n">
        <v>0</v>
      </c>
      <c r="I220" t="n">
        <v>0</v>
      </c>
      <c r="J220" t="n">
        <v>0</v>
      </c>
      <c r="K220" t="n">
        <v>0</v>
      </c>
      <c r="L220" t="n">
        <v>0</v>
      </c>
      <c r="M220" t="n">
        <v>0</v>
      </c>
      <c r="N220" t="n">
        <v>0</v>
      </c>
      <c r="O220" t="n">
        <v>0</v>
      </c>
      <c r="P220" t="n">
        <v>0</v>
      </c>
      <c r="Q220" t="n">
        <v>0</v>
      </c>
      <c r="R220" s="2" t="inlineStr"/>
    </row>
    <row r="221" ht="15" customHeight="1">
      <c r="A221" t="inlineStr">
        <is>
          <t>A 30634-2022</t>
        </is>
      </c>
      <c r="B221" s="1" t="n">
        <v>44763.45711805556</v>
      </c>
      <c r="C221" s="1" t="n">
        <v>46017</v>
      </c>
      <c r="D221" t="inlineStr">
        <is>
          <t>UPPSALA LÄN</t>
        </is>
      </c>
      <c r="E221" t="inlineStr">
        <is>
          <t>ENKÖPING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18583-2021</t>
        </is>
      </c>
      <c r="B222" s="1" t="n">
        <v>44306</v>
      </c>
      <c r="C222" s="1" t="n">
        <v>46017</v>
      </c>
      <c r="D222" t="inlineStr">
        <is>
          <t>UPPSALA LÄN</t>
        </is>
      </c>
      <c r="E222" t="inlineStr">
        <is>
          <t>ENKÖPING</t>
        </is>
      </c>
      <c r="G222" t="n">
        <v>0.4</v>
      </c>
      <c r="H222" t="n">
        <v>0</v>
      </c>
      <c r="I222" t="n">
        <v>0</v>
      </c>
      <c r="J222" t="n">
        <v>0</v>
      </c>
      <c r="K222" t="n">
        <v>0</v>
      </c>
      <c r="L222" t="n">
        <v>0</v>
      </c>
      <c r="M222" t="n">
        <v>0</v>
      </c>
      <c r="N222" t="n">
        <v>0</v>
      </c>
      <c r="O222" t="n">
        <v>0</v>
      </c>
      <c r="P222" t="n">
        <v>0</v>
      </c>
      <c r="Q222" t="n">
        <v>0</v>
      </c>
      <c r="R222" s="2" t="inlineStr"/>
    </row>
    <row r="223" ht="15" customHeight="1">
      <c r="A223" t="inlineStr">
        <is>
          <t>A 60125-2024</t>
        </is>
      </c>
      <c r="B223" s="1" t="n">
        <v>45642</v>
      </c>
      <c r="C223" s="1" t="n">
        <v>46017</v>
      </c>
      <c r="D223" t="inlineStr">
        <is>
          <t>UPPSALA LÄN</t>
        </is>
      </c>
      <c r="E223" t="inlineStr">
        <is>
          <t>ENKÖPING</t>
        </is>
      </c>
      <c r="G223" t="n">
        <v>2.1</v>
      </c>
      <c r="H223" t="n">
        <v>0</v>
      </c>
      <c r="I223" t="n">
        <v>0</v>
      </c>
      <c r="J223" t="n">
        <v>0</v>
      </c>
      <c r="K223" t="n">
        <v>0</v>
      </c>
      <c r="L223" t="n">
        <v>0</v>
      </c>
      <c r="M223" t="n">
        <v>0</v>
      </c>
      <c r="N223" t="n">
        <v>0</v>
      </c>
      <c r="O223" t="n">
        <v>0</v>
      </c>
      <c r="P223" t="n">
        <v>0</v>
      </c>
      <c r="Q223" t="n">
        <v>0</v>
      </c>
      <c r="R223" s="2" t="inlineStr"/>
    </row>
    <row r="224" ht="15" customHeight="1">
      <c r="A224" t="inlineStr">
        <is>
          <t>A 3300-2025</t>
        </is>
      </c>
      <c r="B224" s="1" t="n">
        <v>45679</v>
      </c>
      <c r="C224" s="1" t="n">
        <v>46017</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1695-2025</t>
        </is>
      </c>
      <c r="B225" s="1" t="n">
        <v>45670</v>
      </c>
      <c r="C225" s="1" t="n">
        <v>46017</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59027-2024</t>
        </is>
      </c>
      <c r="B226" s="1" t="n">
        <v>45636.68755787037</v>
      </c>
      <c r="C226" s="1" t="n">
        <v>46017</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42564-2024</t>
        </is>
      </c>
      <c r="B227" s="1" t="n">
        <v>45565.63358796296</v>
      </c>
      <c r="C227" s="1" t="n">
        <v>46017</v>
      </c>
      <c r="D227" t="inlineStr">
        <is>
          <t>UPPSALA LÄN</t>
        </is>
      </c>
      <c r="E227" t="inlineStr">
        <is>
          <t>ENKÖPING</t>
        </is>
      </c>
      <c r="G227" t="n">
        <v>1.7</v>
      </c>
      <c r="H227" t="n">
        <v>0</v>
      </c>
      <c r="I227" t="n">
        <v>0</v>
      </c>
      <c r="J227" t="n">
        <v>0</v>
      </c>
      <c r="K227" t="n">
        <v>0</v>
      </c>
      <c r="L227" t="n">
        <v>0</v>
      </c>
      <c r="M227" t="n">
        <v>0</v>
      </c>
      <c r="N227" t="n">
        <v>0</v>
      </c>
      <c r="O227" t="n">
        <v>0</v>
      </c>
      <c r="P227" t="n">
        <v>0</v>
      </c>
      <c r="Q227" t="n">
        <v>0</v>
      </c>
      <c r="R227" s="2" t="inlineStr"/>
    </row>
    <row r="228" ht="15" customHeight="1">
      <c r="A228" t="inlineStr">
        <is>
          <t>A 39746-2025</t>
        </is>
      </c>
      <c r="B228" s="1" t="n">
        <v>45891</v>
      </c>
      <c r="C228" s="1" t="n">
        <v>46017</v>
      </c>
      <c r="D228" t="inlineStr">
        <is>
          <t>UPPSALA LÄN</t>
        </is>
      </c>
      <c r="E228" t="inlineStr">
        <is>
          <t>ENKÖPING</t>
        </is>
      </c>
      <c r="G228" t="n">
        <v>7.4</v>
      </c>
      <c r="H228" t="n">
        <v>0</v>
      </c>
      <c r="I228" t="n">
        <v>0</v>
      </c>
      <c r="J228" t="n">
        <v>0</v>
      </c>
      <c r="K228" t="n">
        <v>0</v>
      </c>
      <c r="L228" t="n">
        <v>0</v>
      </c>
      <c r="M228" t="n">
        <v>0</v>
      </c>
      <c r="N228" t="n">
        <v>0</v>
      </c>
      <c r="O228" t="n">
        <v>0</v>
      </c>
      <c r="P228" t="n">
        <v>0</v>
      </c>
      <c r="Q228" t="n">
        <v>0</v>
      </c>
      <c r="R228" s="2" t="inlineStr"/>
    </row>
    <row r="229" ht="15" customHeight="1">
      <c r="A229" t="inlineStr">
        <is>
          <t>A 3235-2025</t>
        </is>
      </c>
      <c r="B229" s="1" t="n">
        <v>45679</v>
      </c>
      <c r="C229" s="1" t="n">
        <v>46017</v>
      </c>
      <c r="D229" t="inlineStr">
        <is>
          <t>UPPSALA LÄN</t>
        </is>
      </c>
      <c r="E229" t="inlineStr">
        <is>
          <t>ENKÖPING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51120-2023</t>
        </is>
      </c>
      <c r="B230" s="1" t="n">
        <v>45219.3088425926</v>
      </c>
      <c r="C230" s="1" t="n">
        <v>46017</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26319-2022</t>
        </is>
      </c>
      <c r="B231" s="1" t="n">
        <v>44735</v>
      </c>
      <c r="C231" s="1" t="n">
        <v>46017</v>
      </c>
      <c r="D231" t="inlineStr">
        <is>
          <t>UPPSALA LÄN</t>
        </is>
      </c>
      <c r="E231" t="inlineStr">
        <is>
          <t>ENKÖPING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15942-2022</t>
        </is>
      </c>
      <c r="B232" s="1" t="n">
        <v>44664</v>
      </c>
      <c r="C232" s="1" t="n">
        <v>46017</v>
      </c>
      <c r="D232" t="inlineStr">
        <is>
          <t>UPPSALA LÄN</t>
        </is>
      </c>
      <c r="E232" t="inlineStr">
        <is>
          <t>ENKÖPING</t>
        </is>
      </c>
      <c r="G232" t="n">
        <v>6.6</v>
      </c>
      <c r="H232" t="n">
        <v>0</v>
      </c>
      <c r="I232" t="n">
        <v>0</v>
      </c>
      <c r="J232" t="n">
        <v>0</v>
      </c>
      <c r="K232" t="n">
        <v>0</v>
      </c>
      <c r="L232" t="n">
        <v>0</v>
      </c>
      <c r="M232" t="n">
        <v>0</v>
      </c>
      <c r="N232" t="n">
        <v>0</v>
      </c>
      <c r="O232" t="n">
        <v>0</v>
      </c>
      <c r="P232" t="n">
        <v>0</v>
      </c>
      <c r="Q232" t="n">
        <v>0</v>
      </c>
      <c r="R232" s="2" t="inlineStr"/>
    </row>
    <row r="233" ht="15" customHeight="1">
      <c r="A233" t="inlineStr">
        <is>
          <t>A 54357-2023</t>
        </is>
      </c>
      <c r="B233" s="1" t="n">
        <v>45225</v>
      </c>
      <c r="C233" s="1" t="n">
        <v>46017</v>
      </c>
      <c r="D233" t="inlineStr">
        <is>
          <t>UPPSALA LÄN</t>
        </is>
      </c>
      <c r="E233" t="inlineStr">
        <is>
          <t>ENKÖPING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15711-2025</t>
        </is>
      </c>
      <c r="B234" s="1" t="n">
        <v>45748</v>
      </c>
      <c r="C234" s="1" t="n">
        <v>46017</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4203-2021</t>
        </is>
      </c>
      <c r="B235" s="1" t="n">
        <v>44223</v>
      </c>
      <c r="C235" s="1" t="n">
        <v>46017</v>
      </c>
      <c r="D235" t="inlineStr">
        <is>
          <t>UPPSALA LÄN</t>
        </is>
      </c>
      <c r="E235" t="inlineStr">
        <is>
          <t>ENKÖPING</t>
        </is>
      </c>
      <c r="G235" t="n">
        <v>11.6</v>
      </c>
      <c r="H235" t="n">
        <v>0</v>
      </c>
      <c r="I235" t="n">
        <v>0</v>
      </c>
      <c r="J235" t="n">
        <v>0</v>
      </c>
      <c r="K235" t="n">
        <v>0</v>
      </c>
      <c r="L235" t="n">
        <v>0</v>
      </c>
      <c r="M235" t="n">
        <v>0</v>
      </c>
      <c r="N235" t="n">
        <v>0</v>
      </c>
      <c r="O235" t="n">
        <v>0</v>
      </c>
      <c r="P235" t="n">
        <v>0</v>
      </c>
      <c r="Q235" t="n">
        <v>0</v>
      </c>
      <c r="R235" s="2" t="inlineStr"/>
    </row>
    <row r="236" ht="15" customHeight="1">
      <c r="A236" t="inlineStr">
        <is>
          <t>A 13816-2021</t>
        </is>
      </c>
      <c r="B236" s="1" t="n">
        <v>44276</v>
      </c>
      <c r="C236" s="1" t="n">
        <v>46017</v>
      </c>
      <c r="D236" t="inlineStr">
        <is>
          <t>UPPSALA LÄN</t>
        </is>
      </c>
      <c r="E236" t="inlineStr">
        <is>
          <t>ENKÖPING</t>
        </is>
      </c>
      <c r="G236" t="n">
        <v>0.4</v>
      </c>
      <c r="H236" t="n">
        <v>0</v>
      </c>
      <c r="I236" t="n">
        <v>0</v>
      </c>
      <c r="J236" t="n">
        <v>0</v>
      </c>
      <c r="K236" t="n">
        <v>0</v>
      </c>
      <c r="L236" t="n">
        <v>0</v>
      </c>
      <c r="M236" t="n">
        <v>0</v>
      </c>
      <c r="N236" t="n">
        <v>0</v>
      </c>
      <c r="O236" t="n">
        <v>0</v>
      </c>
      <c r="P236" t="n">
        <v>0</v>
      </c>
      <c r="Q236" t="n">
        <v>0</v>
      </c>
      <c r="R236" s="2" t="inlineStr"/>
    </row>
    <row r="237" ht="15" customHeight="1">
      <c r="A237" t="inlineStr">
        <is>
          <t>A 6959-2025</t>
        </is>
      </c>
      <c r="B237" s="1" t="n">
        <v>45701.49315972222</v>
      </c>
      <c r="C237" s="1" t="n">
        <v>46017</v>
      </c>
      <c r="D237" t="inlineStr">
        <is>
          <t>UPPSALA LÄN</t>
        </is>
      </c>
      <c r="E237" t="inlineStr">
        <is>
          <t>ENKÖPING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63402-2023</t>
        </is>
      </c>
      <c r="B238" s="1" t="n">
        <v>45274.50646990741</v>
      </c>
      <c r="C238" s="1" t="n">
        <v>46017</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17165-2025</t>
        </is>
      </c>
      <c r="B239" s="1" t="n">
        <v>45756</v>
      </c>
      <c r="C239" s="1" t="n">
        <v>46017</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53208-2023</t>
        </is>
      </c>
      <c r="B240" s="1" t="n">
        <v>45226</v>
      </c>
      <c r="C240" s="1" t="n">
        <v>46017</v>
      </c>
      <c r="D240" t="inlineStr">
        <is>
          <t>UPPSALA LÄN</t>
        </is>
      </c>
      <c r="E240" t="inlineStr">
        <is>
          <t>ENKÖPING</t>
        </is>
      </c>
      <c r="G240" t="n">
        <v>4.3</v>
      </c>
      <c r="H240" t="n">
        <v>0</v>
      </c>
      <c r="I240" t="n">
        <v>0</v>
      </c>
      <c r="J240" t="n">
        <v>0</v>
      </c>
      <c r="K240" t="n">
        <v>0</v>
      </c>
      <c r="L240" t="n">
        <v>0</v>
      </c>
      <c r="M240" t="n">
        <v>0</v>
      </c>
      <c r="N240" t="n">
        <v>0</v>
      </c>
      <c r="O240" t="n">
        <v>0</v>
      </c>
      <c r="P240" t="n">
        <v>0</v>
      </c>
      <c r="Q240" t="n">
        <v>0</v>
      </c>
      <c r="R240" s="2" t="inlineStr"/>
    </row>
    <row r="241" ht="15" customHeight="1">
      <c r="A241" t="inlineStr">
        <is>
          <t>A 41618-2025</t>
        </is>
      </c>
      <c r="B241" s="1" t="n">
        <v>45901.70085648148</v>
      </c>
      <c r="C241" s="1" t="n">
        <v>46017</v>
      </c>
      <c r="D241" t="inlineStr">
        <is>
          <t>UPPSALA LÄN</t>
        </is>
      </c>
      <c r="E241" t="inlineStr">
        <is>
          <t>ENKÖPING</t>
        </is>
      </c>
      <c r="F241" t="inlineStr">
        <is>
          <t>Allmännings- och besparingsskogar</t>
        </is>
      </c>
      <c r="G241" t="n">
        <v>5.3</v>
      </c>
      <c r="H241" t="n">
        <v>0</v>
      </c>
      <c r="I241" t="n">
        <v>0</v>
      </c>
      <c r="J241" t="n">
        <v>0</v>
      </c>
      <c r="K241" t="n">
        <v>0</v>
      </c>
      <c r="L241" t="n">
        <v>0</v>
      </c>
      <c r="M241" t="n">
        <v>0</v>
      </c>
      <c r="N241" t="n">
        <v>0</v>
      </c>
      <c r="O241" t="n">
        <v>0</v>
      </c>
      <c r="P241" t="n">
        <v>0</v>
      </c>
      <c r="Q241" t="n">
        <v>0</v>
      </c>
      <c r="R241" s="2" t="inlineStr"/>
    </row>
    <row r="242" ht="15" customHeight="1">
      <c r="A242" t="inlineStr">
        <is>
          <t>A 52299-2023</t>
        </is>
      </c>
      <c r="B242" s="1" t="n">
        <v>45224.61636574074</v>
      </c>
      <c r="C242" s="1" t="n">
        <v>46017</v>
      </c>
      <c r="D242" t="inlineStr">
        <is>
          <t>UPPSALA LÄN</t>
        </is>
      </c>
      <c r="E242" t="inlineStr">
        <is>
          <t>ENKÖPING</t>
        </is>
      </c>
      <c r="G242" t="n">
        <v>2.2</v>
      </c>
      <c r="H242" t="n">
        <v>0</v>
      </c>
      <c r="I242" t="n">
        <v>0</v>
      </c>
      <c r="J242" t="n">
        <v>0</v>
      </c>
      <c r="K242" t="n">
        <v>0</v>
      </c>
      <c r="L242" t="n">
        <v>0</v>
      </c>
      <c r="M242" t="n">
        <v>0</v>
      </c>
      <c r="N242" t="n">
        <v>0</v>
      </c>
      <c r="O242" t="n">
        <v>0</v>
      </c>
      <c r="P242" t="n">
        <v>0</v>
      </c>
      <c r="Q242" t="n">
        <v>0</v>
      </c>
      <c r="R242" s="2" t="inlineStr"/>
    </row>
    <row r="243" ht="15" customHeight="1">
      <c r="A243" t="inlineStr">
        <is>
          <t>A 41765-2025</t>
        </is>
      </c>
      <c r="B243" s="1" t="n">
        <v>45902</v>
      </c>
      <c r="C243" s="1" t="n">
        <v>46017</v>
      </c>
      <c r="D243" t="inlineStr">
        <is>
          <t>UPPSALA LÄN</t>
        </is>
      </c>
      <c r="E243" t="inlineStr">
        <is>
          <t>ENKÖPING</t>
        </is>
      </c>
      <c r="G243" t="n">
        <v>2.7</v>
      </c>
      <c r="H243" t="n">
        <v>0</v>
      </c>
      <c r="I243" t="n">
        <v>0</v>
      </c>
      <c r="J243" t="n">
        <v>0</v>
      </c>
      <c r="K243" t="n">
        <v>0</v>
      </c>
      <c r="L243" t="n">
        <v>0</v>
      </c>
      <c r="M243" t="n">
        <v>0</v>
      </c>
      <c r="N243" t="n">
        <v>0</v>
      </c>
      <c r="O243" t="n">
        <v>0</v>
      </c>
      <c r="P243" t="n">
        <v>0</v>
      </c>
      <c r="Q243" t="n">
        <v>0</v>
      </c>
      <c r="R243" s="2" t="inlineStr"/>
    </row>
    <row r="244" ht="15" customHeight="1">
      <c r="A244" t="inlineStr">
        <is>
          <t>A 25598-2021</t>
        </is>
      </c>
      <c r="B244" s="1" t="n">
        <v>44343.4558912037</v>
      </c>
      <c r="C244" s="1" t="n">
        <v>46017</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41616-2025</t>
        </is>
      </c>
      <c r="B245" s="1" t="n">
        <v>45901.69684027778</v>
      </c>
      <c r="C245" s="1" t="n">
        <v>46017</v>
      </c>
      <c r="D245" t="inlineStr">
        <is>
          <t>UPPSALA LÄN</t>
        </is>
      </c>
      <c r="E245" t="inlineStr">
        <is>
          <t>ENKÖPING</t>
        </is>
      </c>
      <c r="F245" t="inlineStr">
        <is>
          <t>Allmännings- och besparingsskogar</t>
        </is>
      </c>
      <c r="G245" t="n">
        <v>17.3</v>
      </c>
      <c r="H245" t="n">
        <v>0</v>
      </c>
      <c r="I245" t="n">
        <v>0</v>
      </c>
      <c r="J245" t="n">
        <v>0</v>
      </c>
      <c r="K245" t="n">
        <v>0</v>
      </c>
      <c r="L245" t="n">
        <v>0</v>
      </c>
      <c r="M245" t="n">
        <v>0</v>
      </c>
      <c r="N245" t="n">
        <v>0</v>
      </c>
      <c r="O245" t="n">
        <v>0</v>
      </c>
      <c r="P245" t="n">
        <v>0</v>
      </c>
      <c r="Q245" t="n">
        <v>0</v>
      </c>
      <c r="R245" s="2" t="inlineStr"/>
    </row>
    <row r="246" ht="15" customHeight="1">
      <c r="A246" t="inlineStr">
        <is>
          <t>A 32081-2024</t>
        </is>
      </c>
      <c r="B246" s="1" t="n">
        <v>45511.34605324074</v>
      </c>
      <c r="C246" s="1" t="n">
        <v>46017</v>
      </c>
      <c r="D246" t="inlineStr">
        <is>
          <t>UPPSALA LÄN</t>
        </is>
      </c>
      <c r="E246" t="inlineStr">
        <is>
          <t>ENKÖPING</t>
        </is>
      </c>
      <c r="G246" t="n">
        <v>5.4</v>
      </c>
      <c r="H246" t="n">
        <v>0</v>
      </c>
      <c r="I246" t="n">
        <v>0</v>
      </c>
      <c r="J246" t="n">
        <v>0</v>
      </c>
      <c r="K246" t="n">
        <v>0</v>
      </c>
      <c r="L246" t="n">
        <v>0</v>
      </c>
      <c r="M246" t="n">
        <v>0</v>
      </c>
      <c r="N246" t="n">
        <v>0</v>
      </c>
      <c r="O246" t="n">
        <v>0</v>
      </c>
      <c r="P246" t="n">
        <v>0</v>
      </c>
      <c r="Q246" t="n">
        <v>0</v>
      </c>
      <c r="R246" s="2" t="inlineStr"/>
    </row>
    <row r="247" ht="15" customHeight="1">
      <c r="A247" t="inlineStr">
        <is>
          <t>A 41637-2025</t>
        </is>
      </c>
      <c r="B247" s="1" t="n">
        <v>45901</v>
      </c>
      <c r="C247" s="1" t="n">
        <v>46017</v>
      </c>
      <c r="D247" t="inlineStr">
        <is>
          <t>UPPSALA LÄN</t>
        </is>
      </c>
      <c r="E247" t="inlineStr">
        <is>
          <t>ENKÖPING</t>
        </is>
      </c>
      <c r="F247" t="inlineStr">
        <is>
          <t>Allmännings- och besparingsskogar</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20184-2023</t>
        </is>
      </c>
      <c r="B248" s="1" t="n">
        <v>45055.5670949074</v>
      </c>
      <c r="C248" s="1" t="n">
        <v>46017</v>
      </c>
      <c r="D248" t="inlineStr">
        <is>
          <t>UPPSALA LÄN</t>
        </is>
      </c>
      <c r="E248" t="inlineStr">
        <is>
          <t>ENKÖPING</t>
        </is>
      </c>
      <c r="G248" t="n">
        <v>3.2</v>
      </c>
      <c r="H248" t="n">
        <v>0</v>
      </c>
      <c r="I248" t="n">
        <v>0</v>
      </c>
      <c r="J248" t="n">
        <v>0</v>
      </c>
      <c r="K248" t="n">
        <v>0</v>
      </c>
      <c r="L248" t="n">
        <v>0</v>
      </c>
      <c r="M248" t="n">
        <v>0</v>
      </c>
      <c r="N248" t="n">
        <v>0</v>
      </c>
      <c r="O248" t="n">
        <v>0</v>
      </c>
      <c r="P248" t="n">
        <v>0</v>
      </c>
      <c r="Q248" t="n">
        <v>0</v>
      </c>
      <c r="R248" s="2" t="inlineStr"/>
    </row>
    <row r="249" ht="15" customHeight="1">
      <c r="A249" t="inlineStr">
        <is>
          <t>A 18259-2025</t>
        </is>
      </c>
      <c r="B249" s="1" t="n">
        <v>45762</v>
      </c>
      <c r="C249" s="1" t="n">
        <v>46017</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47516-2022</t>
        </is>
      </c>
      <c r="B250" s="1" t="n">
        <v>44853.68895833333</v>
      </c>
      <c r="C250" s="1" t="n">
        <v>46017</v>
      </c>
      <c r="D250" t="inlineStr">
        <is>
          <t>UPPSALA LÄN</t>
        </is>
      </c>
      <c r="E250" t="inlineStr">
        <is>
          <t>ENKÖPING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62158-2023</t>
        </is>
      </c>
      <c r="B251" s="1" t="n">
        <v>45267</v>
      </c>
      <c r="C251" s="1" t="n">
        <v>46017</v>
      </c>
      <c r="D251" t="inlineStr">
        <is>
          <t>UPPSALA LÄN</t>
        </is>
      </c>
      <c r="E251" t="inlineStr">
        <is>
          <t>ENKÖPING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50006-2023</t>
        </is>
      </c>
      <c r="B252" s="1" t="n">
        <v>45215</v>
      </c>
      <c r="C252" s="1" t="n">
        <v>46017</v>
      </c>
      <c r="D252" t="inlineStr">
        <is>
          <t>UPPSALA LÄN</t>
        </is>
      </c>
      <c r="E252" t="inlineStr">
        <is>
          <t>ENKÖPING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61952-2021</t>
        </is>
      </c>
      <c r="B253" s="1" t="n">
        <v>44502</v>
      </c>
      <c r="C253" s="1" t="n">
        <v>46017</v>
      </c>
      <c r="D253" t="inlineStr">
        <is>
          <t>UPPSALA LÄN</t>
        </is>
      </c>
      <c r="E253" t="inlineStr">
        <is>
          <t>ENKÖPING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42029-2025</t>
        </is>
      </c>
      <c r="B254" s="1" t="n">
        <v>45903</v>
      </c>
      <c r="C254" s="1" t="n">
        <v>46017</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60874-2023</t>
        </is>
      </c>
      <c r="B255" s="1" t="n">
        <v>45261.06280092592</v>
      </c>
      <c r="C255" s="1" t="n">
        <v>46017</v>
      </c>
      <c r="D255" t="inlineStr">
        <is>
          <t>UPPSALA LÄN</t>
        </is>
      </c>
      <c r="E255" t="inlineStr">
        <is>
          <t>ENKÖPING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42756-2025</t>
        </is>
      </c>
      <c r="B256" s="1" t="n">
        <v>45908</v>
      </c>
      <c r="C256" s="1" t="n">
        <v>46017</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59602-2022</t>
        </is>
      </c>
      <c r="B257" s="1" t="n">
        <v>44907.72241898148</v>
      </c>
      <c r="C257" s="1" t="n">
        <v>46017</v>
      </c>
      <c r="D257" t="inlineStr">
        <is>
          <t>UPPSALA LÄN</t>
        </is>
      </c>
      <c r="E257" t="inlineStr">
        <is>
          <t>ENKÖPING</t>
        </is>
      </c>
      <c r="G257" t="n">
        <v>14.2</v>
      </c>
      <c r="H257" t="n">
        <v>0</v>
      </c>
      <c r="I257" t="n">
        <v>0</v>
      </c>
      <c r="J257" t="n">
        <v>0</v>
      </c>
      <c r="K257" t="n">
        <v>0</v>
      </c>
      <c r="L257" t="n">
        <v>0</v>
      </c>
      <c r="M257" t="n">
        <v>0</v>
      </c>
      <c r="N257" t="n">
        <v>0</v>
      </c>
      <c r="O257" t="n">
        <v>0</v>
      </c>
      <c r="P257" t="n">
        <v>0</v>
      </c>
      <c r="Q257" t="n">
        <v>0</v>
      </c>
      <c r="R257" s="2" t="inlineStr"/>
    </row>
    <row r="258" ht="15" customHeight="1">
      <c r="A258" t="inlineStr">
        <is>
          <t>A 42589-2022</t>
        </is>
      </c>
      <c r="B258" s="1" t="n">
        <v>44831</v>
      </c>
      <c r="C258" s="1" t="n">
        <v>46017</v>
      </c>
      <c r="D258" t="inlineStr">
        <is>
          <t>UPPSALA LÄN</t>
        </is>
      </c>
      <c r="E258" t="inlineStr">
        <is>
          <t>ENKÖPING</t>
        </is>
      </c>
      <c r="G258" t="n">
        <v>20</v>
      </c>
      <c r="H258" t="n">
        <v>0</v>
      </c>
      <c r="I258" t="n">
        <v>0</v>
      </c>
      <c r="J258" t="n">
        <v>0</v>
      </c>
      <c r="K258" t="n">
        <v>0</v>
      </c>
      <c r="L258" t="n">
        <v>0</v>
      </c>
      <c r="M258" t="n">
        <v>0</v>
      </c>
      <c r="N258" t="n">
        <v>0</v>
      </c>
      <c r="O258" t="n">
        <v>0</v>
      </c>
      <c r="P258" t="n">
        <v>0</v>
      </c>
      <c r="Q258" t="n">
        <v>0</v>
      </c>
      <c r="R258" s="2" t="inlineStr"/>
    </row>
    <row r="259" ht="15" customHeight="1">
      <c r="A259" t="inlineStr">
        <is>
          <t>A 35645-2021</t>
        </is>
      </c>
      <c r="B259" s="1" t="n">
        <v>44386.42</v>
      </c>
      <c r="C259" s="1" t="n">
        <v>46017</v>
      </c>
      <c r="D259" t="inlineStr">
        <is>
          <t>UPPSALA LÄN</t>
        </is>
      </c>
      <c r="E259" t="inlineStr">
        <is>
          <t>ENKÖPING</t>
        </is>
      </c>
      <c r="G259" t="n">
        <v>2.7</v>
      </c>
      <c r="H259" t="n">
        <v>0</v>
      </c>
      <c r="I259" t="n">
        <v>0</v>
      </c>
      <c r="J259" t="n">
        <v>0</v>
      </c>
      <c r="K259" t="n">
        <v>0</v>
      </c>
      <c r="L259" t="n">
        <v>0</v>
      </c>
      <c r="M259" t="n">
        <v>0</v>
      </c>
      <c r="N259" t="n">
        <v>0</v>
      </c>
      <c r="O259" t="n">
        <v>0</v>
      </c>
      <c r="P259" t="n">
        <v>0</v>
      </c>
      <c r="Q259" t="n">
        <v>0</v>
      </c>
      <c r="R259" s="2" t="inlineStr"/>
    </row>
    <row r="260" ht="15" customHeight="1">
      <c r="A260" t="inlineStr">
        <is>
          <t>A 2968-2025</t>
        </is>
      </c>
      <c r="B260" s="1" t="n">
        <v>45678</v>
      </c>
      <c r="C260" s="1" t="n">
        <v>46017</v>
      </c>
      <c r="D260" t="inlineStr">
        <is>
          <t>UPPSALA LÄN</t>
        </is>
      </c>
      <c r="E260" t="inlineStr">
        <is>
          <t>ENKÖPING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3550-2023</t>
        </is>
      </c>
      <c r="B261" s="1" t="n">
        <v>44950</v>
      </c>
      <c r="C261" s="1" t="n">
        <v>46017</v>
      </c>
      <c r="D261" t="inlineStr">
        <is>
          <t>UPPSALA LÄN</t>
        </is>
      </c>
      <c r="E261" t="inlineStr">
        <is>
          <t>ENKÖPING</t>
        </is>
      </c>
      <c r="G261" t="n">
        <v>0.9</v>
      </c>
      <c r="H261" t="n">
        <v>0</v>
      </c>
      <c r="I261" t="n">
        <v>0</v>
      </c>
      <c r="J261" t="n">
        <v>0</v>
      </c>
      <c r="K261" t="n">
        <v>0</v>
      </c>
      <c r="L261" t="n">
        <v>0</v>
      </c>
      <c r="M261" t="n">
        <v>0</v>
      </c>
      <c r="N261" t="n">
        <v>0</v>
      </c>
      <c r="O261" t="n">
        <v>0</v>
      </c>
      <c r="P261" t="n">
        <v>0</v>
      </c>
      <c r="Q261" t="n">
        <v>0</v>
      </c>
      <c r="R261" s="2" t="inlineStr"/>
    </row>
    <row r="262" ht="15" customHeight="1">
      <c r="A262" t="inlineStr">
        <is>
          <t>A 9487-2025</t>
        </is>
      </c>
      <c r="B262" s="1" t="n">
        <v>45715.49331018519</v>
      </c>
      <c r="C262" s="1" t="n">
        <v>46017</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16176-2025</t>
        </is>
      </c>
      <c r="B263" s="1" t="n">
        <v>45750</v>
      </c>
      <c r="C263" s="1" t="n">
        <v>46017</v>
      </c>
      <c r="D263" t="inlineStr">
        <is>
          <t>UPPSALA LÄN</t>
        </is>
      </c>
      <c r="E263" t="inlineStr">
        <is>
          <t>ENKÖPING</t>
        </is>
      </c>
      <c r="G263" t="n">
        <v>3.9</v>
      </c>
      <c r="H263" t="n">
        <v>0</v>
      </c>
      <c r="I263" t="n">
        <v>0</v>
      </c>
      <c r="J263" t="n">
        <v>0</v>
      </c>
      <c r="K263" t="n">
        <v>0</v>
      </c>
      <c r="L263" t="n">
        <v>0</v>
      </c>
      <c r="M263" t="n">
        <v>0</v>
      </c>
      <c r="N263" t="n">
        <v>0</v>
      </c>
      <c r="O263" t="n">
        <v>0</v>
      </c>
      <c r="P263" t="n">
        <v>0</v>
      </c>
      <c r="Q263" t="n">
        <v>0</v>
      </c>
      <c r="R263" s="2" t="inlineStr"/>
    </row>
    <row r="264" ht="15" customHeight="1">
      <c r="A264" t="inlineStr">
        <is>
          <t>A 41764-2025</t>
        </is>
      </c>
      <c r="B264" s="1" t="n">
        <v>45902</v>
      </c>
      <c r="C264" s="1" t="n">
        <v>46017</v>
      </c>
      <c r="D264" t="inlineStr">
        <is>
          <t>UPPSALA LÄN</t>
        </is>
      </c>
      <c r="E264" t="inlineStr">
        <is>
          <t>ENKÖPING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51042-2024</t>
        </is>
      </c>
      <c r="B265" s="1" t="n">
        <v>45603.4342824074</v>
      </c>
      <c r="C265" s="1" t="n">
        <v>46017</v>
      </c>
      <c r="D265" t="inlineStr">
        <is>
          <t>UPPSALA LÄN</t>
        </is>
      </c>
      <c r="E265" t="inlineStr">
        <is>
          <t>ENKÖPING</t>
        </is>
      </c>
      <c r="G265" t="n">
        <v>4.6</v>
      </c>
      <c r="H265" t="n">
        <v>0</v>
      </c>
      <c r="I265" t="n">
        <v>0</v>
      </c>
      <c r="J265" t="n">
        <v>0</v>
      </c>
      <c r="K265" t="n">
        <v>0</v>
      </c>
      <c r="L265" t="n">
        <v>0</v>
      </c>
      <c r="M265" t="n">
        <v>0</v>
      </c>
      <c r="N265" t="n">
        <v>0</v>
      </c>
      <c r="O265" t="n">
        <v>0</v>
      </c>
      <c r="P265" t="n">
        <v>0</v>
      </c>
      <c r="Q265" t="n">
        <v>0</v>
      </c>
      <c r="R265" s="2" t="inlineStr"/>
    </row>
    <row r="266" ht="15" customHeight="1">
      <c r="A266" t="inlineStr">
        <is>
          <t>A 37035-2023</t>
        </is>
      </c>
      <c r="B266" s="1" t="n">
        <v>45155</v>
      </c>
      <c r="C266" s="1" t="n">
        <v>46017</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26292-2022</t>
        </is>
      </c>
      <c r="B267" s="1" t="n">
        <v>44735</v>
      </c>
      <c r="C267" s="1" t="n">
        <v>46017</v>
      </c>
      <c r="D267" t="inlineStr">
        <is>
          <t>UPPSALA LÄN</t>
        </is>
      </c>
      <c r="E267" t="inlineStr">
        <is>
          <t>ENKÖPING</t>
        </is>
      </c>
      <c r="F267" t="inlineStr">
        <is>
          <t>Kyrkan</t>
        </is>
      </c>
      <c r="G267" t="n">
        <v>4.6</v>
      </c>
      <c r="H267" t="n">
        <v>0</v>
      </c>
      <c r="I267" t="n">
        <v>0</v>
      </c>
      <c r="J267" t="n">
        <v>0</v>
      </c>
      <c r="K267" t="n">
        <v>0</v>
      </c>
      <c r="L267" t="n">
        <v>0</v>
      </c>
      <c r="M267" t="n">
        <v>0</v>
      </c>
      <c r="N267" t="n">
        <v>0</v>
      </c>
      <c r="O267" t="n">
        <v>0</v>
      </c>
      <c r="P267" t="n">
        <v>0</v>
      </c>
      <c r="Q267" t="n">
        <v>0</v>
      </c>
      <c r="R267" s="2" t="inlineStr"/>
    </row>
    <row r="268" ht="15" customHeight="1">
      <c r="A268" t="inlineStr">
        <is>
          <t>A 22632-2025</t>
        </is>
      </c>
      <c r="B268" s="1" t="n">
        <v>45789.44361111111</v>
      </c>
      <c r="C268" s="1" t="n">
        <v>46017</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51037-2024</t>
        </is>
      </c>
      <c r="B269" s="1" t="n">
        <v>45603.43005787037</v>
      </c>
      <c r="C269" s="1" t="n">
        <v>46017</v>
      </c>
      <c r="D269" t="inlineStr">
        <is>
          <t>UPPSALA LÄN</t>
        </is>
      </c>
      <c r="E269" t="inlineStr">
        <is>
          <t>ENKÖPING</t>
        </is>
      </c>
      <c r="G269" t="n">
        <v>5.7</v>
      </c>
      <c r="H269" t="n">
        <v>0</v>
      </c>
      <c r="I269" t="n">
        <v>0</v>
      </c>
      <c r="J269" t="n">
        <v>0</v>
      </c>
      <c r="K269" t="n">
        <v>0</v>
      </c>
      <c r="L269" t="n">
        <v>0</v>
      </c>
      <c r="M269" t="n">
        <v>0</v>
      </c>
      <c r="N269" t="n">
        <v>0</v>
      </c>
      <c r="O269" t="n">
        <v>0</v>
      </c>
      <c r="P269" t="n">
        <v>0</v>
      </c>
      <c r="Q269" t="n">
        <v>0</v>
      </c>
      <c r="R269" s="2" t="inlineStr"/>
    </row>
    <row r="270" ht="15" customHeight="1">
      <c r="A270" t="inlineStr">
        <is>
          <t>A 46186-2023</t>
        </is>
      </c>
      <c r="B270" s="1" t="n">
        <v>45196</v>
      </c>
      <c r="C270" s="1" t="n">
        <v>46017</v>
      </c>
      <c r="D270" t="inlineStr">
        <is>
          <t>UPPSALA LÄN</t>
        </is>
      </c>
      <c r="E270" t="inlineStr">
        <is>
          <t>ENKÖPING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15162-2025</t>
        </is>
      </c>
      <c r="B271" s="1" t="n">
        <v>45744</v>
      </c>
      <c r="C271" s="1" t="n">
        <v>46017</v>
      </c>
      <c r="D271" t="inlineStr">
        <is>
          <t>UPPSALA LÄN</t>
        </is>
      </c>
      <c r="E271" t="inlineStr">
        <is>
          <t>ENKÖPING</t>
        </is>
      </c>
      <c r="G271" t="n">
        <v>4.2</v>
      </c>
      <c r="H271" t="n">
        <v>0</v>
      </c>
      <c r="I271" t="n">
        <v>0</v>
      </c>
      <c r="J271" t="n">
        <v>0</v>
      </c>
      <c r="K271" t="n">
        <v>0</v>
      </c>
      <c r="L271" t="n">
        <v>0</v>
      </c>
      <c r="M271" t="n">
        <v>0</v>
      </c>
      <c r="N271" t="n">
        <v>0</v>
      </c>
      <c r="O271" t="n">
        <v>0</v>
      </c>
      <c r="P271" t="n">
        <v>0</v>
      </c>
      <c r="Q271" t="n">
        <v>0</v>
      </c>
      <c r="R271" s="2" t="inlineStr"/>
    </row>
    <row r="272" ht="15" customHeight="1">
      <c r="A272" t="inlineStr">
        <is>
          <t>A 61207-2023</t>
        </is>
      </c>
      <c r="B272" s="1" t="n">
        <v>45264.39444444444</v>
      </c>
      <c r="C272" s="1" t="n">
        <v>46017</v>
      </c>
      <c r="D272" t="inlineStr">
        <is>
          <t>UPPSALA LÄN</t>
        </is>
      </c>
      <c r="E272" t="inlineStr">
        <is>
          <t>ENKÖPING</t>
        </is>
      </c>
      <c r="G272" t="n">
        <v>10.8</v>
      </c>
      <c r="H272" t="n">
        <v>0</v>
      </c>
      <c r="I272" t="n">
        <v>0</v>
      </c>
      <c r="J272" t="n">
        <v>0</v>
      </c>
      <c r="K272" t="n">
        <v>0</v>
      </c>
      <c r="L272" t="n">
        <v>0</v>
      </c>
      <c r="M272" t="n">
        <v>0</v>
      </c>
      <c r="N272" t="n">
        <v>0</v>
      </c>
      <c r="O272" t="n">
        <v>0</v>
      </c>
      <c r="P272" t="n">
        <v>0</v>
      </c>
      <c r="Q272" t="n">
        <v>0</v>
      </c>
      <c r="R272" s="2" t="inlineStr"/>
    </row>
    <row r="273" ht="15" customHeight="1">
      <c r="A273" t="inlineStr">
        <is>
          <t>A 51027-2024</t>
        </is>
      </c>
      <c r="B273" s="1" t="n">
        <v>45603</v>
      </c>
      <c r="C273" s="1" t="n">
        <v>46017</v>
      </c>
      <c r="D273" t="inlineStr">
        <is>
          <t>UPPSALA LÄN</t>
        </is>
      </c>
      <c r="E273" t="inlineStr">
        <is>
          <t>ENKÖPING</t>
        </is>
      </c>
      <c r="G273" t="n">
        <v>3.5</v>
      </c>
      <c r="H273" t="n">
        <v>0</v>
      </c>
      <c r="I273" t="n">
        <v>0</v>
      </c>
      <c r="J273" t="n">
        <v>0</v>
      </c>
      <c r="K273" t="n">
        <v>0</v>
      </c>
      <c r="L273" t="n">
        <v>0</v>
      </c>
      <c r="M273" t="n">
        <v>0</v>
      </c>
      <c r="N273" t="n">
        <v>0</v>
      </c>
      <c r="O273" t="n">
        <v>0</v>
      </c>
      <c r="P273" t="n">
        <v>0</v>
      </c>
      <c r="Q273" t="n">
        <v>0</v>
      </c>
      <c r="R273" s="2" t="inlineStr"/>
    </row>
    <row r="274" ht="15" customHeight="1">
      <c r="A274" t="inlineStr">
        <is>
          <t>A 18299-2025</t>
        </is>
      </c>
      <c r="B274" s="1" t="n">
        <v>45762</v>
      </c>
      <c r="C274" s="1" t="n">
        <v>46017</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6242-2025</t>
        </is>
      </c>
      <c r="B275" s="1" t="n">
        <v>45697</v>
      </c>
      <c r="C275" s="1" t="n">
        <v>46017</v>
      </c>
      <c r="D275" t="inlineStr">
        <is>
          <t>UPPSALA LÄN</t>
        </is>
      </c>
      <c r="E275" t="inlineStr">
        <is>
          <t>ENKÖPING</t>
        </is>
      </c>
      <c r="G275" t="n">
        <v>17.9</v>
      </c>
      <c r="H275" t="n">
        <v>0</v>
      </c>
      <c r="I275" t="n">
        <v>0</v>
      </c>
      <c r="J275" t="n">
        <v>0</v>
      </c>
      <c r="K275" t="n">
        <v>0</v>
      </c>
      <c r="L275" t="n">
        <v>0</v>
      </c>
      <c r="M275" t="n">
        <v>0</v>
      </c>
      <c r="N275" t="n">
        <v>0</v>
      </c>
      <c r="O275" t="n">
        <v>0</v>
      </c>
      <c r="P275" t="n">
        <v>0</v>
      </c>
      <c r="Q275" t="n">
        <v>0</v>
      </c>
      <c r="R275" s="2" t="inlineStr"/>
    </row>
    <row r="276" ht="15" customHeight="1">
      <c r="A276" t="inlineStr">
        <is>
          <t>A 6144-2024</t>
        </is>
      </c>
      <c r="B276" s="1" t="n">
        <v>45337.4684837963</v>
      </c>
      <c r="C276" s="1" t="n">
        <v>46017</v>
      </c>
      <c r="D276" t="inlineStr">
        <is>
          <t>UPPSALA LÄN</t>
        </is>
      </c>
      <c r="E276" t="inlineStr">
        <is>
          <t>ENKÖPING</t>
        </is>
      </c>
      <c r="G276" t="n">
        <v>13.8</v>
      </c>
      <c r="H276" t="n">
        <v>0</v>
      </c>
      <c r="I276" t="n">
        <v>0</v>
      </c>
      <c r="J276" t="n">
        <v>0</v>
      </c>
      <c r="K276" t="n">
        <v>0</v>
      </c>
      <c r="L276" t="n">
        <v>0</v>
      </c>
      <c r="M276" t="n">
        <v>0</v>
      </c>
      <c r="N276" t="n">
        <v>0</v>
      </c>
      <c r="O276" t="n">
        <v>0</v>
      </c>
      <c r="P276" t="n">
        <v>0</v>
      </c>
      <c r="Q276" t="n">
        <v>0</v>
      </c>
      <c r="R276" s="2" t="inlineStr"/>
    </row>
    <row r="277" ht="15" customHeight="1">
      <c r="A277" t="inlineStr">
        <is>
          <t>A 67984-2021</t>
        </is>
      </c>
      <c r="B277" s="1" t="n">
        <v>44525.70237268518</v>
      </c>
      <c r="C277" s="1" t="n">
        <v>46017</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44419-2025</t>
        </is>
      </c>
      <c r="B278" s="1" t="n">
        <v>45916.54671296296</v>
      </c>
      <c r="C278" s="1" t="n">
        <v>46017</v>
      </c>
      <c r="D278" t="inlineStr">
        <is>
          <t>UPPSALA LÄN</t>
        </is>
      </c>
      <c r="E278" t="inlineStr">
        <is>
          <t>ENKÖPING</t>
        </is>
      </c>
      <c r="G278" t="n">
        <v>1.6</v>
      </c>
      <c r="H278" t="n">
        <v>0</v>
      </c>
      <c r="I278" t="n">
        <v>0</v>
      </c>
      <c r="J278" t="n">
        <v>0</v>
      </c>
      <c r="K278" t="n">
        <v>0</v>
      </c>
      <c r="L278" t="n">
        <v>0</v>
      </c>
      <c r="M278" t="n">
        <v>0</v>
      </c>
      <c r="N278" t="n">
        <v>0</v>
      </c>
      <c r="O278" t="n">
        <v>0</v>
      </c>
      <c r="P278" t="n">
        <v>0</v>
      </c>
      <c r="Q278" t="n">
        <v>0</v>
      </c>
      <c r="R278" s="2" t="inlineStr"/>
    </row>
    <row r="279" ht="15" customHeight="1">
      <c r="A279" t="inlineStr">
        <is>
          <t>A 43999-2025</t>
        </is>
      </c>
      <c r="B279" s="1" t="n">
        <v>45915.45158564814</v>
      </c>
      <c r="C279" s="1" t="n">
        <v>46017</v>
      </c>
      <c r="D279" t="inlineStr">
        <is>
          <t>UPPSALA LÄN</t>
        </is>
      </c>
      <c r="E279" t="inlineStr">
        <is>
          <t>ENKÖPING</t>
        </is>
      </c>
      <c r="G279" t="n">
        <v>4.1</v>
      </c>
      <c r="H279" t="n">
        <v>0</v>
      </c>
      <c r="I279" t="n">
        <v>0</v>
      </c>
      <c r="J279" t="n">
        <v>0</v>
      </c>
      <c r="K279" t="n">
        <v>0</v>
      </c>
      <c r="L279" t="n">
        <v>0</v>
      </c>
      <c r="M279" t="n">
        <v>0</v>
      </c>
      <c r="N279" t="n">
        <v>0</v>
      </c>
      <c r="O279" t="n">
        <v>0</v>
      </c>
      <c r="P279" t="n">
        <v>0</v>
      </c>
      <c r="Q279" t="n">
        <v>0</v>
      </c>
      <c r="R279" s="2" t="inlineStr"/>
    </row>
    <row r="280" ht="15" customHeight="1">
      <c r="A280" t="inlineStr">
        <is>
          <t>A 32477-2025</t>
        </is>
      </c>
      <c r="B280" s="1" t="n">
        <v>45838.43098379629</v>
      </c>
      <c r="C280" s="1" t="n">
        <v>46017</v>
      </c>
      <c r="D280" t="inlineStr">
        <is>
          <t>UPPSALA LÄN</t>
        </is>
      </c>
      <c r="E280" t="inlineStr">
        <is>
          <t>ENKÖPING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840-2025</t>
        </is>
      </c>
      <c r="B281" s="1" t="n">
        <v>45665</v>
      </c>
      <c r="C281" s="1" t="n">
        <v>46017</v>
      </c>
      <c r="D281" t="inlineStr">
        <is>
          <t>UPPSALA LÄN</t>
        </is>
      </c>
      <c r="E281" t="inlineStr">
        <is>
          <t>ENKÖPING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18592-2021</t>
        </is>
      </c>
      <c r="B282" s="1" t="n">
        <v>44306</v>
      </c>
      <c r="C282" s="1" t="n">
        <v>46017</v>
      </c>
      <c r="D282" t="inlineStr">
        <is>
          <t>UPPSALA LÄN</t>
        </is>
      </c>
      <c r="E282" t="inlineStr">
        <is>
          <t>ENKÖPING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11918-2025</t>
        </is>
      </c>
      <c r="B283" s="1" t="n">
        <v>45728.49331018519</v>
      </c>
      <c r="C283" s="1" t="n">
        <v>46017</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10458-2022</t>
        </is>
      </c>
      <c r="B284" s="1" t="n">
        <v>44623.56711805556</v>
      </c>
      <c r="C284" s="1" t="n">
        <v>46017</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45142-2023</t>
        </is>
      </c>
      <c r="B285" s="1" t="n">
        <v>45191.4702662037</v>
      </c>
      <c r="C285" s="1" t="n">
        <v>46017</v>
      </c>
      <c r="D285" t="inlineStr">
        <is>
          <t>UPPSALA LÄN</t>
        </is>
      </c>
      <c r="E285" t="inlineStr">
        <is>
          <t>ENKÖPING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57998-2024</t>
        </is>
      </c>
      <c r="B286" s="1" t="n">
        <v>45631</v>
      </c>
      <c r="C286" s="1" t="n">
        <v>46017</v>
      </c>
      <c r="D286" t="inlineStr">
        <is>
          <t>UPPSALA LÄN</t>
        </is>
      </c>
      <c r="E286" t="inlineStr">
        <is>
          <t>ENKÖPING</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14332-2024</t>
        </is>
      </c>
      <c r="B287" s="1" t="n">
        <v>45393</v>
      </c>
      <c r="C287" s="1" t="n">
        <v>46017</v>
      </c>
      <c r="D287" t="inlineStr">
        <is>
          <t>UPPSALA LÄN</t>
        </is>
      </c>
      <c r="E287" t="inlineStr">
        <is>
          <t>ENKÖPING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18831-2023</t>
        </is>
      </c>
      <c r="B288" s="1" t="n">
        <v>45044.40798611111</v>
      </c>
      <c r="C288" s="1" t="n">
        <v>46017</v>
      </c>
      <c r="D288" t="inlineStr">
        <is>
          <t>UPPSALA LÄN</t>
        </is>
      </c>
      <c r="E288" t="inlineStr">
        <is>
          <t>ENKÖPING</t>
        </is>
      </c>
      <c r="G288" t="n">
        <v>4.3</v>
      </c>
      <c r="H288" t="n">
        <v>0</v>
      </c>
      <c r="I288" t="n">
        <v>0</v>
      </c>
      <c r="J288" t="n">
        <v>0</v>
      </c>
      <c r="K288" t="n">
        <v>0</v>
      </c>
      <c r="L288" t="n">
        <v>0</v>
      </c>
      <c r="M288" t="n">
        <v>0</v>
      </c>
      <c r="N288" t="n">
        <v>0</v>
      </c>
      <c r="O288" t="n">
        <v>0</v>
      </c>
      <c r="P288" t="n">
        <v>0</v>
      </c>
      <c r="Q288" t="n">
        <v>0</v>
      </c>
      <c r="R288" s="2" t="inlineStr"/>
    </row>
    <row r="289" ht="15" customHeight="1">
      <c r="A289" t="inlineStr">
        <is>
          <t>A 43896-2022</t>
        </is>
      </c>
      <c r="B289" s="1" t="n">
        <v>44838</v>
      </c>
      <c r="C289" s="1" t="n">
        <v>46017</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20440-2025</t>
        </is>
      </c>
      <c r="B290" s="1" t="n">
        <v>45775</v>
      </c>
      <c r="C290" s="1" t="n">
        <v>46017</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41737-2022</t>
        </is>
      </c>
      <c r="B291" s="1" t="n">
        <v>44827.63826388889</v>
      </c>
      <c r="C291" s="1" t="n">
        <v>46017</v>
      </c>
      <c r="D291" t="inlineStr">
        <is>
          <t>UPPSALA LÄN</t>
        </is>
      </c>
      <c r="E291" t="inlineStr">
        <is>
          <t>ENKÖPING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33581-2023</t>
        </is>
      </c>
      <c r="B292" s="1" t="n">
        <v>45131</v>
      </c>
      <c r="C292" s="1" t="n">
        <v>46017</v>
      </c>
      <c r="D292" t="inlineStr">
        <is>
          <t>UPPSALA LÄN</t>
        </is>
      </c>
      <c r="E292" t="inlineStr">
        <is>
          <t>ENKÖPING</t>
        </is>
      </c>
      <c r="G292" t="n">
        <v>3.5</v>
      </c>
      <c r="H292" t="n">
        <v>0</v>
      </c>
      <c r="I292" t="n">
        <v>0</v>
      </c>
      <c r="J292" t="n">
        <v>0</v>
      </c>
      <c r="K292" t="n">
        <v>0</v>
      </c>
      <c r="L292" t="n">
        <v>0</v>
      </c>
      <c r="M292" t="n">
        <v>0</v>
      </c>
      <c r="N292" t="n">
        <v>0</v>
      </c>
      <c r="O292" t="n">
        <v>0</v>
      </c>
      <c r="P292" t="n">
        <v>0</v>
      </c>
      <c r="Q292" t="n">
        <v>0</v>
      </c>
      <c r="R292" s="2" t="inlineStr"/>
    </row>
    <row r="293" ht="15" customHeight="1">
      <c r="A293" t="inlineStr">
        <is>
          <t>A 54595-2021</t>
        </is>
      </c>
      <c r="B293" s="1" t="n">
        <v>44473.58824074074</v>
      </c>
      <c r="C293" s="1" t="n">
        <v>46017</v>
      </c>
      <c r="D293" t="inlineStr">
        <is>
          <t>UPPSALA LÄN</t>
        </is>
      </c>
      <c r="E293" t="inlineStr">
        <is>
          <t>ENKÖPING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22094-2023</t>
        </is>
      </c>
      <c r="B294" s="1" t="n">
        <v>45069</v>
      </c>
      <c r="C294" s="1" t="n">
        <v>46017</v>
      </c>
      <c r="D294" t="inlineStr">
        <is>
          <t>UPPSALA LÄN</t>
        </is>
      </c>
      <c r="E294" t="inlineStr">
        <is>
          <t>ENKÖPING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37115-2024</t>
        </is>
      </c>
      <c r="B295" s="1" t="n">
        <v>45539</v>
      </c>
      <c r="C295" s="1" t="n">
        <v>46017</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53607-2023</t>
        </is>
      </c>
      <c r="B296" s="1" t="n">
        <v>45230</v>
      </c>
      <c r="C296" s="1" t="n">
        <v>46017</v>
      </c>
      <c r="D296" t="inlineStr">
        <is>
          <t>UPPSALA LÄN</t>
        </is>
      </c>
      <c r="E296" t="inlineStr">
        <is>
          <t>ENKÖPING</t>
        </is>
      </c>
      <c r="F296" t="inlineStr">
        <is>
          <t>Allmännings- och besparingsskogar</t>
        </is>
      </c>
      <c r="G296" t="n">
        <v>6.3</v>
      </c>
      <c r="H296" t="n">
        <v>0</v>
      </c>
      <c r="I296" t="n">
        <v>0</v>
      </c>
      <c r="J296" t="n">
        <v>0</v>
      </c>
      <c r="K296" t="n">
        <v>0</v>
      </c>
      <c r="L296" t="n">
        <v>0</v>
      </c>
      <c r="M296" t="n">
        <v>0</v>
      </c>
      <c r="N296" t="n">
        <v>0</v>
      </c>
      <c r="O296" t="n">
        <v>0</v>
      </c>
      <c r="P296" t="n">
        <v>0</v>
      </c>
      <c r="Q296" t="n">
        <v>0</v>
      </c>
      <c r="R296" s="2" t="inlineStr"/>
    </row>
    <row r="297" ht="15" customHeight="1">
      <c r="A297" t="inlineStr">
        <is>
          <t>A 35647-2021</t>
        </is>
      </c>
      <c r="B297" s="1" t="n">
        <v>44386</v>
      </c>
      <c r="C297" s="1" t="n">
        <v>46017</v>
      </c>
      <c r="D297" t="inlineStr">
        <is>
          <t>UPPSALA LÄN</t>
        </is>
      </c>
      <c r="E297" t="inlineStr">
        <is>
          <t>ENKÖPING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45755-2025</t>
        </is>
      </c>
      <c r="B298" s="1" t="n">
        <v>45923.50240740741</v>
      </c>
      <c r="C298" s="1" t="n">
        <v>46017</v>
      </c>
      <c r="D298" t="inlineStr">
        <is>
          <t>UPPSALA LÄN</t>
        </is>
      </c>
      <c r="E298" t="inlineStr">
        <is>
          <t>ENKÖPING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46590-2025</t>
        </is>
      </c>
      <c r="B299" s="1" t="n">
        <v>45926.39542824074</v>
      </c>
      <c r="C299" s="1" t="n">
        <v>46017</v>
      </c>
      <c r="D299" t="inlineStr">
        <is>
          <t>UPPSALA LÄN</t>
        </is>
      </c>
      <c r="E299" t="inlineStr">
        <is>
          <t>ENKÖPING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24962-2023</t>
        </is>
      </c>
      <c r="B300" s="1" t="n">
        <v>45085.60123842592</v>
      </c>
      <c r="C300" s="1" t="n">
        <v>46017</v>
      </c>
      <c r="D300" t="inlineStr">
        <is>
          <t>UPPSALA LÄN</t>
        </is>
      </c>
      <c r="E300" t="inlineStr">
        <is>
          <t>ENKÖPING</t>
        </is>
      </c>
      <c r="G300" t="n">
        <v>2.8</v>
      </c>
      <c r="H300" t="n">
        <v>0</v>
      </c>
      <c r="I300" t="n">
        <v>0</v>
      </c>
      <c r="J300" t="n">
        <v>0</v>
      </c>
      <c r="K300" t="n">
        <v>0</v>
      </c>
      <c r="L300" t="n">
        <v>0</v>
      </c>
      <c r="M300" t="n">
        <v>0</v>
      </c>
      <c r="N300" t="n">
        <v>0</v>
      </c>
      <c r="O300" t="n">
        <v>0</v>
      </c>
      <c r="P300" t="n">
        <v>0</v>
      </c>
      <c r="Q300" t="n">
        <v>0</v>
      </c>
      <c r="R300" s="2" t="inlineStr"/>
    </row>
    <row r="301" ht="15" customHeight="1">
      <c r="A301" t="inlineStr">
        <is>
          <t>A 6147-2021</t>
        </is>
      </c>
      <c r="B301" s="1" t="n">
        <v>44232</v>
      </c>
      <c r="C301" s="1" t="n">
        <v>46017</v>
      </c>
      <c r="D301" t="inlineStr">
        <is>
          <t>UPPSALA LÄN</t>
        </is>
      </c>
      <c r="E301" t="inlineStr">
        <is>
          <t>ENKÖPING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34989-2025</t>
        </is>
      </c>
      <c r="B302" s="1" t="n">
        <v>45849</v>
      </c>
      <c r="C302" s="1" t="n">
        <v>46017</v>
      </c>
      <c r="D302" t="inlineStr">
        <is>
          <t>UPPSALA LÄN</t>
        </is>
      </c>
      <c r="E302" t="inlineStr">
        <is>
          <t>ENKÖPING</t>
        </is>
      </c>
      <c r="G302" t="n">
        <v>2.4</v>
      </c>
      <c r="H302" t="n">
        <v>0</v>
      </c>
      <c r="I302" t="n">
        <v>0</v>
      </c>
      <c r="J302" t="n">
        <v>0</v>
      </c>
      <c r="K302" t="n">
        <v>0</v>
      </c>
      <c r="L302" t="n">
        <v>0</v>
      </c>
      <c r="M302" t="n">
        <v>0</v>
      </c>
      <c r="N302" t="n">
        <v>0</v>
      </c>
      <c r="O302" t="n">
        <v>0</v>
      </c>
      <c r="P302" t="n">
        <v>0</v>
      </c>
      <c r="Q302" t="n">
        <v>0</v>
      </c>
      <c r="R302" s="2" t="inlineStr"/>
    </row>
    <row r="303" ht="15" customHeight="1">
      <c r="A303" t="inlineStr">
        <is>
          <t>A 1960-2022</t>
        </is>
      </c>
      <c r="B303" s="1" t="n">
        <v>44575</v>
      </c>
      <c r="C303" s="1" t="n">
        <v>46017</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34990-2025</t>
        </is>
      </c>
      <c r="B304" s="1" t="n">
        <v>45849.78916666667</v>
      </c>
      <c r="C304" s="1" t="n">
        <v>46017</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44131-2023</t>
        </is>
      </c>
      <c r="B305" s="1" t="n">
        <v>45188</v>
      </c>
      <c r="C305" s="1" t="n">
        <v>46017</v>
      </c>
      <c r="D305" t="inlineStr">
        <is>
          <t>UPPSALA LÄN</t>
        </is>
      </c>
      <c r="E305" t="inlineStr">
        <is>
          <t>ENKÖPING</t>
        </is>
      </c>
      <c r="G305" t="n">
        <v>0.3</v>
      </c>
      <c r="H305" t="n">
        <v>0</v>
      </c>
      <c r="I305" t="n">
        <v>0</v>
      </c>
      <c r="J305" t="n">
        <v>0</v>
      </c>
      <c r="K305" t="n">
        <v>0</v>
      </c>
      <c r="L305" t="n">
        <v>0</v>
      </c>
      <c r="M305" t="n">
        <v>0</v>
      </c>
      <c r="N305" t="n">
        <v>0</v>
      </c>
      <c r="O305" t="n">
        <v>0</v>
      </c>
      <c r="P305" t="n">
        <v>0</v>
      </c>
      <c r="Q305" t="n">
        <v>0</v>
      </c>
      <c r="R305" s="2" t="inlineStr"/>
    </row>
    <row r="306" ht="15" customHeight="1">
      <c r="A306" t="inlineStr">
        <is>
          <t>A 29482-2022</t>
        </is>
      </c>
      <c r="B306" s="1" t="n">
        <v>44753.57703703704</v>
      </c>
      <c r="C306" s="1" t="n">
        <v>46017</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29483-2022</t>
        </is>
      </c>
      <c r="B307" s="1" t="n">
        <v>44753.57829861111</v>
      </c>
      <c r="C307" s="1" t="n">
        <v>46017</v>
      </c>
      <c r="D307" t="inlineStr">
        <is>
          <t>UPPSALA LÄN</t>
        </is>
      </c>
      <c r="E307" t="inlineStr">
        <is>
          <t>ENKÖPING</t>
        </is>
      </c>
      <c r="G307" t="n">
        <v>3.6</v>
      </c>
      <c r="H307" t="n">
        <v>0</v>
      </c>
      <c r="I307" t="n">
        <v>0</v>
      </c>
      <c r="J307" t="n">
        <v>0</v>
      </c>
      <c r="K307" t="n">
        <v>0</v>
      </c>
      <c r="L307" t="n">
        <v>0</v>
      </c>
      <c r="M307" t="n">
        <v>0</v>
      </c>
      <c r="N307" t="n">
        <v>0</v>
      </c>
      <c r="O307" t="n">
        <v>0</v>
      </c>
      <c r="P307" t="n">
        <v>0</v>
      </c>
      <c r="Q307" t="n">
        <v>0</v>
      </c>
      <c r="R307" s="2" t="inlineStr"/>
    </row>
    <row r="308" ht="15" customHeight="1">
      <c r="A308" t="inlineStr">
        <is>
          <t>A 59497-2022</t>
        </is>
      </c>
      <c r="B308" s="1" t="n">
        <v>44907.48258101852</v>
      </c>
      <c r="C308" s="1" t="n">
        <v>46017</v>
      </c>
      <c r="D308" t="inlineStr">
        <is>
          <t>UPPSALA LÄN</t>
        </is>
      </c>
      <c r="E308" t="inlineStr">
        <is>
          <t>ENKÖPING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37170-2021</t>
        </is>
      </c>
      <c r="B309" s="1" t="n">
        <v>44395</v>
      </c>
      <c r="C309" s="1" t="n">
        <v>46017</v>
      </c>
      <c r="D309" t="inlineStr">
        <is>
          <t>UPPSALA LÄN</t>
        </is>
      </c>
      <c r="E309" t="inlineStr">
        <is>
          <t>ENKÖPING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18028-2023</t>
        </is>
      </c>
      <c r="B310" s="1" t="n">
        <v>45040</v>
      </c>
      <c r="C310" s="1" t="n">
        <v>46017</v>
      </c>
      <c r="D310" t="inlineStr">
        <is>
          <t>UPPSALA LÄN</t>
        </is>
      </c>
      <c r="E310" t="inlineStr">
        <is>
          <t>ENKÖPING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47441-2025</t>
        </is>
      </c>
      <c r="B311" s="1" t="n">
        <v>45930.63986111111</v>
      </c>
      <c r="C311" s="1" t="n">
        <v>46017</v>
      </c>
      <c r="D311" t="inlineStr">
        <is>
          <t>UPPSALA LÄN</t>
        </is>
      </c>
      <c r="E311" t="inlineStr">
        <is>
          <t>ENKÖPING</t>
        </is>
      </c>
      <c r="F311" t="inlineStr">
        <is>
          <t>Allmännings- och besparingsskogar</t>
        </is>
      </c>
      <c r="G311" t="n">
        <v>11.5</v>
      </c>
      <c r="H311" t="n">
        <v>0</v>
      </c>
      <c r="I311" t="n">
        <v>0</v>
      </c>
      <c r="J311" t="n">
        <v>0</v>
      </c>
      <c r="K311" t="n">
        <v>0</v>
      </c>
      <c r="L311" t="n">
        <v>0</v>
      </c>
      <c r="M311" t="n">
        <v>0</v>
      </c>
      <c r="N311" t="n">
        <v>0</v>
      </c>
      <c r="O311" t="n">
        <v>0</v>
      </c>
      <c r="P311" t="n">
        <v>0</v>
      </c>
      <c r="Q311" t="n">
        <v>0</v>
      </c>
      <c r="R311" s="2" t="inlineStr"/>
    </row>
    <row r="312" ht="15" customHeight="1">
      <c r="A312" t="inlineStr">
        <is>
          <t>A 46940-2025</t>
        </is>
      </c>
      <c r="B312" s="1" t="n">
        <v>45929.45483796296</v>
      </c>
      <c r="C312" s="1" t="n">
        <v>46017</v>
      </c>
      <c r="D312" t="inlineStr">
        <is>
          <t>UPPSALA LÄN</t>
        </is>
      </c>
      <c r="E312" t="inlineStr">
        <is>
          <t>ENKÖPING</t>
        </is>
      </c>
      <c r="G312" t="n">
        <v>5.3</v>
      </c>
      <c r="H312" t="n">
        <v>0</v>
      </c>
      <c r="I312" t="n">
        <v>0</v>
      </c>
      <c r="J312" t="n">
        <v>0</v>
      </c>
      <c r="K312" t="n">
        <v>0</v>
      </c>
      <c r="L312" t="n">
        <v>0</v>
      </c>
      <c r="M312" t="n">
        <v>0</v>
      </c>
      <c r="N312" t="n">
        <v>0</v>
      </c>
      <c r="O312" t="n">
        <v>0</v>
      </c>
      <c r="P312" t="n">
        <v>0</v>
      </c>
      <c r="Q312" t="n">
        <v>0</v>
      </c>
      <c r="R312" s="2" t="inlineStr"/>
    </row>
    <row r="313" ht="15" customHeight="1">
      <c r="A313" t="inlineStr">
        <is>
          <t>A 49568-2022</t>
        </is>
      </c>
      <c r="B313" s="1" t="n">
        <v>44862.32791666667</v>
      </c>
      <c r="C313" s="1" t="n">
        <v>46017</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42459-2024</t>
        </is>
      </c>
      <c r="B314" s="1" t="n">
        <v>45565</v>
      </c>
      <c r="C314" s="1" t="n">
        <v>46017</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48864-2022</t>
        </is>
      </c>
      <c r="B315" s="1" t="n">
        <v>44859</v>
      </c>
      <c r="C315" s="1" t="n">
        <v>46017</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31622-2022</t>
        </is>
      </c>
      <c r="B316" s="1" t="n">
        <v>44775</v>
      </c>
      <c r="C316" s="1" t="n">
        <v>46017</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53496-2022</t>
        </is>
      </c>
      <c r="B317" s="1" t="n">
        <v>44879.57217592592</v>
      </c>
      <c r="C317" s="1" t="n">
        <v>46017</v>
      </c>
      <c r="D317" t="inlineStr">
        <is>
          <t>UPPSALA LÄN</t>
        </is>
      </c>
      <c r="E317" t="inlineStr">
        <is>
          <t>ENKÖPING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7870-2024</t>
        </is>
      </c>
      <c r="B318" s="1" t="n">
        <v>45350.33349537037</v>
      </c>
      <c r="C318" s="1" t="n">
        <v>46017</v>
      </c>
      <c r="D318" t="inlineStr">
        <is>
          <t>UPPSALA LÄN</t>
        </is>
      </c>
      <c r="E318" t="inlineStr">
        <is>
          <t>ENKÖPING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28243-2023</t>
        </is>
      </c>
      <c r="B319" s="1" t="n">
        <v>45099.58885416666</v>
      </c>
      <c r="C319" s="1" t="n">
        <v>46017</v>
      </c>
      <c r="D319" t="inlineStr">
        <is>
          <t>UPPSALA LÄN</t>
        </is>
      </c>
      <c r="E319" t="inlineStr">
        <is>
          <t>ENKÖPING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10829-2024</t>
        </is>
      </c>
      <c r="B320" s="1" t="n">
        <v>45369</v>
      </c>
      <c r="C320" s="1" t="n">
        <v>46017</v>
      </c>
      <c r="D320" t="inlineStr">
        <is>
          <t>UPPSALA LÄN</t>
        </is>
      </c>
      <c r="E320" t="inlineStr">
        <is>
          <t>ENKÖPING</t>
        </is>
      </c>
      <c r="G320" t="n">
        <v>2.1</v>
      </c>
      <c r="H320" t="n">
        <v>0</v>
      </c>
      <c r="I320" t="n">
        <v>0</v>
      </c>
      <c r="J320" t="n">
        <v>0</v>
      </c>
      <c r="K320" t="n">
        <v>0</v>
      </c>
      <c r="L320" t="n">
        <v>0</v>
      </c>
      <c r="M320" t="n">
        <v>0</v>
      </c>
      <c r="N320" t="n">
        <v>0</v>
      </c>
      <c r="O320" t="n">
        <v>0</v>
      </c>
      <c r="P320" t="n">
        <v>0</v>
      </c>
      <c r="Q320" t="n">
        <v>0</v>
      </c>
      <c r="R320" s="2" t="inlineStr"/>
    </row>
    <row r="321" ht="15" customHeight="1">
      <c r="A321" t="inlineStr">
        <is>
          <t>A 2161-2023</t>
        </is>
      </c>
      <c r="B321" s="1" t="n">
        <v>44941</v>
      </c>
      <c r="C321" s="1" t="n">
        <v>46017</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2165-2023</t>
        </is>
      </c>
      <c r="B322" s="1" t="n">
        <v>44941</v>
      </c>
      <c r="C322" s="1" t="n">
        <v>46017</v>
      </c>
      <c r="D322" t="inlineStr">
        <is>
          <t>UPPSALA LÄN</t>
        </is>
      </c>
      <c r="E322" t="inlineStr">
        <is>
          <t>ENKÖPING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56625-2025</t>
        </is>
      </c>
      <c r="B323" s="1" t="n">
        <v>45975.60608796297</v>
      </c>
      <c r="C323" s="1" t="n">
        <v>46017</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8306-2021</t>
        </is>
      </c>
      <c r="B324" s="1" t="n">
        <v>44244</v>
      </c>
      <c r="C324" s="1" t="n">
        <v>46017</v>
      </c>
      <c r="D324" t="inlineStr">
        <is>
          <t>UPPSALA LÄN</t>
        </is>
      </c>
      <c r="E324" t="inlineStr">
        <is>
          <t>ENKÖPING</t>
        </is>
      </c>
      <c r="G324" t="n">
        <v>14.9</v>
      </c>
      <c r="H324" t="n">
        <v>0</v>
      </c>
      <c r="I324" t="n">
        <v>0</v>
      </c>
      <c r="J324" t="n">
        <v>0</v>
      </c>
      <c r="K324" t="n">
        <v>0</v>
      </c>
      <c r="L324" t="n">
        <v>0</v>
      </c>
      <c r="M324" t="n">
        <v>0</v>
      </c>
      <c r="N324" t="n">
        <v>0</v>
      </c>
      <c r="O324" t="n">
        <v>0</v>
      </c>
      <c r="P324" t="n">
        <v>0</v>
      </c>
      <c r="Q324" t="n">
        <v>0</v>
      </c>
      <c r="R324" s="2" t="inlineStr"/>
    </row>
    <row r="325" ht="15" customHeight="1">
      <c r="A325" t="inlineStr">
        <is>
          <t>A 48423-2025</t>
        </is>
      </c>
      <c r="B325" s="1" t="n">
        <v>45934.68024305555</v>
      </c>
      <c r="C325" s="1" t="n">
        <v>46017</v>
      </c>
      <c r="D325" t="inlineStr">
        <is>
          <t>UPPSALA LÄN</t>
        </is>
      </c>
      <c r="E325" t="inlineStr">
        <is>
          <t>ENKÖPING</t>
        </is>
      </c>
      <c r="G325" t="n">
        <v>4.3</v>
      </c>
      <c r="H325" t="n">
        <v>0</v>
      </c>
      <c r="I325" t="n">
        <v>0</v>
      </c>
      <c r="J325" t="n">
        <v>0</v>
      </c>
      <c r="K325" t="n">
        <v>0</v>
      </c>
      <c r="L325" t="n">
        <v>0</v>
      </c>
      <c r="M325" t="n">
        <v>0</v>
      </c>
      <c r="N325" t="n">
        <v>0</v>
      </c>
      <c r="O325" t="n">
        <v>0</v>
      </c>
      <c r="P325" t="n">
        <v>0</v>
      </c>
      <c r="Q325" t="n">
        <v>0</v>
      </c>
      <c r="R325" s="2" t="inlineStr"/>
    </row>
    <row r="326" ht="15" customHeight="1">
      <c r="A326" t="inlineStr">
        <is>
          <t>A 6356-2022</t>
        </is>
      </c>
      <c r="B326" s="1" t="n">
        <v>44600</v>
      </c>
      <c r="C326" s="1" t="n">
        <v>46017</v>
      </c>
      <c r="D326" t="inlineStr">
        <is>
          <t>UPPSALA LÄN</t>
        </is>
      </c>
      <c r="E326" t="inlineStr">
        <is>
          <t>ENKÖPING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48424-2025</t>
        </is>
      </c>
      <c r="B327" s="1" t="n">
        <v>45934.69131944444</v>
      </c>
      <c r="C327" s="1" t="n">
        <v>46017</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57147-2021</t>
        </is>
      </c>
      <c r="B328" s="1" t="n">
        <v>44482</v>
      </c>
      <c r="C328" s="1" t="n">
        <v>46017</v>
      </c>
      <c r="D328" t="inlineStr">
        <is>
          <t>UPPSALA LÄN</t>
        </is>
      </c>
      <c r="E328" t="inlineStr">
        <is>
          <t>ENKÖPING</t>
        </is>
      </c>
      <c r="G328" t="n">
        <v>5.7</v>
      </c>
      <c r="H328" t="n">
        <v>0</v>
      </c>
      <c r="I328" t="n">
        <v>0</v>
      </c>
      <c r="J328" t="n">
        <v>0</v>
      </c>
      <c r="K328" t="n">
        <v>0</v>
      </c>
      <c r="L328" t="n">
        <v>0</v>
      </c>
      <c r="M328" t="n">
        <v>0</v>
      </c>
      <c r="N328" t="n">
        <v>0</v>
      </c>
      <c r="O328" t="n">
        <v>0</v>
      </c>
      <c r="P328" t="n">
        <v>0</v>
      </c>
      <c r="Q328" t="n">
        <v>0</v>
      </c>
      <c r="R328" s="2" t="inlineStr"/>
    </row>
    <row r="329" ht="15" customHeight="1">
      <c r="A329" t="inlineStr">
        <is>
          <t>A 48678-2025</t>
        </is>
      </c>
      <c r="B329" s="1" t="n">
        <v>45936.59168981481</v>
      </c>
      <c r="C329" s="1" t="n">
        <v>46017</v>
      </c>
      <c r="D329" t="inlineStr">
        <is>
          <t>UPPSALA LÄN</t>
        </is>
      </c>
      <c r="E329" t="inlineStr">
        <is>
          <t>ENKÖPING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47909-2024</t>
        </is>
      </c>
      <c r="B330" s="1" t="n">
        <v>45589.31866898148</v>
      </c>
      <c r="C330" s="1" t="n">
        <v>46017</v>
      </c>
      <c r="D330" t="inlineStr">
        <is>
          <t>UPPSALA LÄN</t>
        </is>
      </c>
      <c r="E330" t="inlineStr">
        <is>
          <t>ENKÖPING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57294-2025</t>
        </is>
      </c>
      <c r="B331" s="1" t="n">
        <v>45979</v>
      </c>
      <c r="C331" s="1" t="n">
        <v>46017</v>
      </c>
      <c r="D331" t="inlineStr">
        <is>
          <t>UPPSALA LÄN</t>
        </is>
      </c>
      <c r="E331" t="inlineStr">
        <is>
          <t>ENKÖPING</t>
        </is>
      </c>
      <c r="G331" t="n">
        <v>6.2</v>
      </c>
      <c r="H331" t="n">
        <v>0</v>
      </c>
      <c r="I331" t="n">
        <v>0</v>
      </c>
      <c r="J331" t="n">
        <v>0</v>
      </c>
      <c r="K331" t="n">
        <v>0</v>
      </c>
      <c r="L331" t="n">
        <v>0</v>
      </c>
      <c r="M331" t="n">
        <v>0</v>
      </c>
      <c r="N331" t="n">
        <v>0</v>
      </c>
      <c r="O331" t="n">
        <v>0</v>
      </c>
      <c r="P331" t="n">
        <v>0</v>
      </c>
      <c r="Q331" t="n">
        <v>0</v>
      </c>
      <c r="R331" s="2" t="inlineStr"/>
    </row>
    <row r="332" ht="15" customHeight="1">
      <c r="A332" t="inlineStr">
        <is>
          <t>A 6157-2021</t>
        </is>
      </c>
      <c r="B332" s="1" t="n">
        <v>44232</v>
      </c>
      <c r="C332" s="1" t="n">
        <v>46017</v>
      </c>
      <c r="D332" t="inlineStr">
        <is>
          <t>UPPSALA LÄN</t>
        </is>
      </c>
      <c r="E332" t="inlineStr">
        <is>
          <t>ENKÖPING</t>
        </is>
      </c>
      <c r="G332" t="n">
        <v>3.9</v>
      </c>
      <c r="H332" t="n">
        <v>0</v>
      </c>
      <c r="I332" t="n">
        <v>0</v>
      </c>
      <c r="J332" t="n">
        <v>0</v>
      </c>
      <c r="K332" t="n">
        <v>0</v>
      </c>
      <c r="L332" t="n">
        <v>0</v>
      </c>
      <c r="M332" t="n">
        <v>0</v>
      </c>
      <c r="N332" t="n">
        <v>0</v>
      </c>
      <c r="O332" t="n">
        <v>0</v>
      </c>
      <c r="P332" t="n">
        <v>0</v>
      </c>
      <c r="Q332" t="n">
        <v>0</v>
      </c>
      <c r="R332" s="2" t="inlineStr"/>
    </row>
    <row r="333" ht="15" customHeight="1">
      <c r="A333" t="inlineStr">
        <is>
          <t>A 52005-2024</t>
        </is>
      </c>
      <c r="B333" s="1" t="n">
        <v>45607.7627662037</v>
      </c>
      <c r="C333" s="1" t="n">
        <v>46017</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13853-2023</t>
        </is>
      </c>
      <c r="B334" s="1" t="n">
        <v>45007</v>
      </c>
      <c r="C334" s="1" t="n">
        <v>46017</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49068-2025</t>
        </is>
      </c>
      <c r="B335" s="1" t="n">
        <v>45937.64766203704</v>
      </c>
      <c r="C335" s="1" t="n">
        <v>46017</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63310-2021</t>
        </is>
      </c>
      <c r="B336" s="1" t="n">
        <v>44508</v>
      </c>
      <c r="C336" s="1" t="n">
        <v>46017</v>
      </c>
      <c r="D336" t="inlineStr">
        <is>
          <t>UPPSALA LÄN</t>
        </is>
      </c>
      <c r="E336" t="inlineStr">
        <is>
          <t>ENKÖPING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39439-2025</t>
        </is>
      </c>
      <c r="B337" s="1" t="n">
        <v>45889</v>
      </c>
      <c r="C337" s="1" t="n">
        <v>46017</v>
      </c>
      <c r="D337" t="inlineStr">
        <is>
          <t>UPPSALA LÄN</t>
        </is>
      </c>
      <c r="E337" t="inlineStr">
        <is>
          <t>ENKÖPING</t>
        </is>
      </c>
      <c r="G337" t="n">
        <v>0.4</v>
      </c>
      <c r="H337" t="n">
        <v>0</v>
      </c>
      <c r="I337" t="n">
        <v>0</v>
      </c>
      <c r="J337" t="n">
        <v>0</v>
      </c>
      <c r="K337" t="n">
        <v>0</v>
      </c>
      <c r="L337" t="n">
        <v>0</v>
      </c>
      <c r="M337" t="n">
        <v>0</v>
      </c>
      <c r="N337" t="n">
        <v>0</v>
      </c>
      <c r="O337" t="n">
        <v>0</v>
      </c>
      <c r="P337" t="n">
        <v>0</v>
      </c>
      <c r="Q337" t="n">
        <v>0</v>
      </c>
      <c r="R337" s="2" t="inlineStr"/>
    </row>
    <row r="338" ht="15" customHeight="1">
      <c r="A338" t="inlineStr">
        <is>
          <t>A 61106-2022</t>
        </is>
      </c>
      <c r="B338" s="1" t="n">
        <v>44915.4128587963</v>
      </c>
      <c r="C338" s="1" t="n">
        <v>46017</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53586-2024</t>
        </is>
      </c>
      <c r="B339" s="1" t="n">
        <v>45614</v>
      </c>
      <c r="C339" s="1" t="n">
        <v>46017</v>
      </c>
      <c r="D339" t="inlineStr">
        <is>
          <t>UPPSALA LÄN</t>
        </is>
      </c>
      <c r="E339" t="inlineStr">
        <is>
          <t>ENKÖPING</t>
        </is>
      </c>
      <c r="G339" t="n">
        <v>6.6</v>
      </c>
      <c r="H339" t="n">
        <v>0</v>
      </c>
      <c r="I339" t="n">
        <v>0</v>
      </c>
      <c r="J339" t="n">
        <v>0</v>
      </c>
      <c r="K339" t="n">
        <v>0</v>
      </c>
      <c r="L339" t="n">
        <v>0</v>
      </c>
      <c r="M339" t="n">
        <v>0</v>
      </c>
      <c r="N339" t="n">
        <v>0</v>
      </c>
      <c r="O339" t="n">
        <v>0</v>
      </c>
      <c r="P339" t="n">
        <v>0</v>
      </c>
      <c r="Q339" t="n">
        <v>0</v>
      </c>
      <c r="R339" s="2" t="inlineStr"/>
    </row>
    <row r="340" ht="15" customHeight="1">
      <c r="A340" t="inlineStr">
        <is>
          <t>A 43103-2025</t>
        </is>
      </c>
      <c r="B340" s="1" t="n">
        <v>45909</v>
      </c>
      <c r="C340" s="1" t="n">
        <v>46017</v>
      </c>
      <c r="D340" t="inlineStr">
        <is>
          <t>UPPSALA LÄN</t>
        </is>
      </c>
      <c r="E340" t="inlineStr">
        <is>
          <t>ENKÖPING</t>
        </is>
      </c>
      <c r="G340" t="n">
        <v>2.3</v>
      </c>
      <c r="H340" t="n">
        <v>0</v>
      </c>
      <c r="I340" t="n">
        <v>0</v>
      </c>
      <c r="J340" t="n">
        <v>0</v>
      </c>
      <c r="K340" t="n">
        <v>0</v>
      </c>
      <c r="L340" t="n">
        <v>0</v>
      </c>
      <c r="M340" t="n">
        <v>0</v>
      </c>
      <c r="N340" t="n">
        <v>0</v>
      </c>
      <c r="O340" t="n">
        <v>0</v>
      </c>
      <c r="P340" t="n">
        <v>0</v>
      </c>
      <c r="Q340" t="n">
        <v>0</v>
      </c>
      <c r="R340" s="2" t="inlineStr"/>
    </row>
    <row r="341" ht="15" customHeight="1">
      <c r="A341" t="inlineStr">
        <is>
          <t>A 51034-2024</t>
        </is>
      </c>
      <c r="B341" s="1" t="n">
        <v>45603.4262037037</v>
      </c>
      <c r="C341" s="1" t="n">
        <v>46017</v>
      </c>
      <c r="D341" t="inlineStr">
        <is>
          <t>UPPSALA LÄN</t>
        </is>
      </c>
      <c r="E341" t="inlineStr">
        <is>
          <t>ENKÖPING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51036-2024</t>
        </is>
      </c>
      <c r="B342" s="1" t="n">
        <v>45603.42839120371</v>
      </c>
      <c r="C342" s="1" t="n">
        <v>46017</v>
      </c>
      <c r="D342" t="inlineStr">
        <is>
          <t>UPPSALA LÄN</t>
        </is>
      </c>
      <c r="E342" t="inlineStr">
        <is>
          <t>ENKÖPING</t>
        </is>
      </c>
      <c r="G342" t="n">
        <v>2.6</v>
      </c>
      <c r="H342" t="n">
        <v>0</v>
      </c>
      <c r="I342" t="n">
        <v>0</v>
      </c>
      <c r="J342" t="n">
        <v>0</v>
      </c>
      <c r="K342" t="n">
        <v>0</v>
      </c>
      <c r="L342" t="n">
        <v>0</v>
      </c>
      <c r="M342" t="n">
        <v>0</v>
      </c>
      <c r="N342" t="n">
        <v>0</v>
      </c>
      <c r="O342" t="n">
        <v>0</v>
      </c>
      <c r="P342" t="n">
        <v>0</v>
      </c>
      <c r="Q342" t="n">
        <v>0</v>
      </c>
      <c r="R342" s="2" t="inlineStr"/>
    </row>
    <row r="343" ht="15" customHeight="1">
      <c r="A343" t="inlineStr">
        <is>
          <t>A 9171-2024</t>
        </is>
      </c>
      <c r="B343" s="1" t="n">
        <v>45358</v>
      </c>
      <c r="C343" s="1" t="n">
        <v>46017</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43492-2023</t>
        </is>
      </c>
      <c r="B344" s="1" t="n">
        <v>45181</v>
      </c>
      <c r="C344" s="1" t="n">
        <v>46017</v>
      </c>
      <c r="D344" t="inlineStr">
        <is>
          <t>UPPSALA LÄN</t>
        </is>
      </c>
      <c r="E344" t="inlineStr">
        <is>
          <t>ENKÖPING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671-2022</t>
        </is>
      </c>
      <c r="B345" s="1" t="n">
        <v>44568</v>
      </c>
      <c r="C345" s="1" t="n">
        <v>46017</v>
      </c>
      <c r="D345" t="inlineStr">
        <is>
          <t>UPPSALA LÄN</t>
        </is>
      </c>
      <c r="E345" t="inlineStr">
        <is>
          <t>ENKÖPING</t>
        </is>
      </c>
      <c r="G345" t="n">
        <v>3.5</v>
      </c>
      <c r="H345" t="n">
        <v>0</v>
      </c>
      <c r="I345" t="n">
        <v>0</v>
      </c>
      <c r="J345" t="n">
        <v>0</v>
      </c>
      <c r="K345" t="n">
        <v>0</v>
      </c>
      <c r="L345" t="n">
        <v>0</v>
      </c>
      <c r="M345" t="n">
        <v>0</v>
      </c>
      <c r="N345" t="n">
        <v>0</v>
      </c>
      <c r="O345" t="n">
        <v>0</v>
      </c>
      <c r="P345" t="n">
        <v>0</v>
      </c>
      <c r="Q345" t="n">
        <v>0</v>
      </c>
      <c r="R345" s="2" t="inlineStr"/>
    </row>
    <row r="346" ht="15" customHeight="1">
      <c r="A346" t="inlineStr">
        <is>
          <t>A 1536-2024</t>
        </is>
      </c>
      <c r="B346" s="1" t="n">
        <v>45306</v>
      </c>
      <c r="C346" s="1" t="n">
        <v>46017</v>
      </c>
      <c r="D346" t="inlineStr">
        <is>
          <t>UPPSALA LÄN</t>
        </is>
      </c>
      <c r="E346" t="inlineStr">
        <is>
          <t>ENKÖPING</t>
        </is>
      </c>
      <c r="F346" t="inlineStr">
        <is>
          <t>Kyrkan</t>
        </is>
      </c>
      <c r="G346" t="n">
        <v>5.6</v>
      </c>
      <c r="H346" t="n">
        <v>0</v>
      </c>
      <c r="I346" t="n">
        <v>0</v>
      </c>
      <c r="J346" t="n">
        <v>0</v>
      </c>
      <c r="K346" t="n">
        <v>0</v>
      </c>
      <c r="L346" t="n">
        <v>0</v>
      </c>
      <c r="M346" t="n">
        <v>0</v>
      </c>
      <c r="N346" t="n">
        <v>0</v>
      </c>
      <c r="O346" t="n">
        <v>0</v>
      </c>
      <c r="P346" t="n">
        <v>0</v>
      </c>
      <c r="Q346" t="n">
        <v>0</v>
      </c>
      <c r="R346" s="2" t="inlineStr"/>
    </row>
    <row r="347" ht="15" customHeight="1">
      <c r="A347" t="inlineStr">
        <is>
          <t>A 49614-2024</t>
        </is>
      </c>
      <c r="B347" s="1" t="n">
        <v>45596.57716435185</v>
      </c>
      <c r="C347" s="1" t="n">
        <v>46017</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49632-2024</t>
        </is>
      </c>
      <c r="B348" s="1" t="n">
        <v>45596</v>
      </c>
      <c r="C348" s="1" t="n">
        <v>46017</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11005-2023</t>
        </is>
      </c>
      <c r="B349" s="1" t="n">
        <v>44991</v>
      </c>
      <c r="C349" s="1" t="n">
        <v>46017</v>
      </c>
      <c r="D349" t="inlineStr">
        <is>
          <t>UPPSALA LÄN</t>
        </is>
      </c>
      <c r="E349" t="inlineStr">
        <is>
          <t>ENKÖPING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2974-2025</t>
        </is>
      </c>
      <c r="B350" s="1" t="n">
        <v>45678.47168981482</v>
      </c>
      <c r="C350" s="1" t="n">
        <v>46017</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16916-2023</t>
        </is>
      </c>
      <c r="B351" s="1" t="n">
        <v>45033.58347222222</v>
      </c>
      <c r="C351" s="1" t="n">
        <v>46017</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16920-2023</t>
        </is>
      </c>
      <c r="B352" s="1" t="n">
        <v>45033.59030092593</v>
      </c>
      <c r="C352" s="1" t="n">
        <v>46017</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49073-2025</t>
        </is>
      </c>
      <c r="B353" s="1" t="n">
        <v>45937.65512731481</v>
      </c>
      <c r="C353" s="1" t="n">
        <v>46017</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29918-2023</t>
        </is>
      </c>
      <c r="B354" s="1" t="n">
        <v>45099</v>
      </c>
      <c r="C354" s="1" t="n">
        <v>46017</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51030-2024</t>
        </is>
      </c>
      <c r="B355" s="1" t="n">
        <v>45603</v>
      </c>
      <c r="C355" s="1" t="n">
        <v>46017</v>
      </c>
      <c r="D355" t="inlineStr">
        <is>
          <t>UPPSALA LÄN</t>
        </is>
      </c>
      <c r="E355" t="inlineStr">
        <is>
          <t>ENKÖPING</t>
        </is>
      </c>
      <c r="G355" t="n">
        <v>2</v>
      </c>
      <c r="H355" t="n">
        <v>0</v>
      </c>
      <c r="I355" t="n">
        <v>0</v>
      </c>
      <c r="J355" t="n">
        <v>0</v>
      </c>
      <c r="K355" t="n">
        <v>0</v>
      </c>
      <c r="L355" t="n">
        <v>0</v>
      </c>
      <c r="M355" t="n">
        <v>0</v>
      </c>
      <c r="N355" t="n">
        <v>0</v>
      </c>
      <c r="O355" t="n">
        <v>0</v>
      </c>
      <c r="P355" t="n">
        <v>0</v>
      </c>
      <c r="Q355" t="n">
        <v>0</v>
      </c>
      <c r="R355" s="2" t="inlineStr"/>
    </row>
    <row r="356" ht="15" customHeight="1">
      <c r="A356" t="inlineStr">
        <is>
          <t>A 58384-2022</t>
        </is>
      </c>
      <c r="B356" s="1" t="n">
        <v>44901</v>
      </c>
      <c r="C356" s="1" t="n">
        <v>46017</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43016-2021</t>
        </is>
      </c>
      <c r="B357" s="1" t="n">
        <v>44431</v>
      </c>
      <c r="C357" s="1" t="n">
        <v>46017</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15893-2024</t>
        </is>
      </c>
      <c r="B358" s="1" t="n">
        <v>45405</v>
      </c>
      <c r="C358" s="1" t="n">
        <v>46017</v>
      </c>
      <c r="D358" t="inlineStr">
        <is>
          <t>UPPSALA LÄN</t>
        </is>
      </c>
      <c r="E358" t="inlineStr">
        <is>
          <t>ENKÖPING</t>
        </is>
      </c>
      <c r="G358" t="n">
        <v>1.9</v>
      </c>
      <c r="H358" t="n">
        <v>0</v>
      </c>
      <c r="I358" t="n">
        <v>0</v>
      </c>
      <c r="J358" t="n">
        <v>0</v>
      </c>
      <c r="K358" t="n">
        <v>0</v>
      </c>
      <c r="L358" t="n">
        <v>0</v>
      </c>
      <c r="M358" t="n">
        <v>0</v>
      </c>
      <c r="N358" t="n">
        <v>0</v>
      </c>
      <c r="O358" t="n">
        <v>0</v>
      </c>
      <c r="P358" t="n">
        <v>0</v>
      </c>
      <c r="Q358" t="n">
        <v>0</v>
      </c>
      <c r="R358" s="2" t="inlineStr"/>
    </row>
    <row r="359" ht="15" customHeight="1">
      <c r="A359" t="inlineStr">
        <is>
          <t>A 52388-2024</t>
        </is>
      </c>
      <c r="B359" s="1" t="n">
        <v>45609.42939814815</v>
      </c>
      <c r="C359" s="1" t="n">
        <v>46017</v>
      </c>
      <c r="D359" t="inlineStr">
        <is>
          <t>UPPSALA LÄN</t>
        </is>
      </c>
      <c r="E359" t="inlineStr">
        <is>
          <t>ENKÖPING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33343-2024</t>
        </is>
      </c>
      <c r="B360" s="1" t="n">
        <v>45519</v>
      </c>
      <c r="C360" s="1" t="n">
        <v>46017</v>
      </c>
      <c r="D360" t="inlineStr">
        <is>
          <t>UPPSALA LÄN</t>
        </is>
      </c>
      <c r="E360" t="inlineStr">
        <is>
          <t>ENKÖPING</t>
        </is>
      </c>
      <c r="G360" t="n">
        <v>2</v>
      </c>
      <c r="H360" t="n">
        <v>0</v>
      </c>
      <c r="I360" t="n">
        <v>0</v>
      </c>
      <c r="J360" t="n">
        <v>0</v>
      </c>
      <c r="K360" t="n">
        <v>0</v>
      </c>
      <c r="L360" t="n">
        <v>0</v>
      </c>
      <c r="M360" t="n">
        <v>0</v>
      </c>
      <c r="N360" t="n">
        <v>0</v>
      </c>
      <c r="O360" t="n">
        <v>0</v>
      </c>
      <c r="P360" t="n">
        <v>0</v>
      </c>
      <c r="Q360" t="n">
        <v>0</v>
      </c>
      <c r="R360" s="2" t="inlineStr"/>
    </row>
    <row r="361" ht="15" customHeight="1">
      <c r="A361" t="inlineStr">
        <is>
          <t>A 12434-2021</t>
        </is>
      </c>
      <c r="B361" s="1" t="n">
        <v>44267</v>
      </c>
      <c r="C361" s="1" t="n">
        <v>46017</v>
      </c>
      <c r="D361" t="inlineStr">
        <is>
          <t>UPPSALA LÄN</t>
        </is>
      </c>
      <c r="E361" t="inlineStr">
        <is>
          <t>ENKÖPING</t>
        </is>
      </c>
      <c r="G361" t="n">
        <v>5.3</v>
      </c>
      <c r="H361" t="n">
        <v>0</v>
      </c>
      <c r="I361" t="n">
        <v>0</v>
      </c>
      <c r="J361" t="n">
        <v>0</v>
      </c>
      <c r="K361" t="n">
        <v>0</v>
      </c>
      <c r="L361" t="n">
        <v>0</v>
      </c>
      <c r="M361" t="n">
        <v>0</v>
      </c>
      <c r="N361" t="n">
        <v>0</v>
      </c>
      <c r="O361" t="n">
        <v>0</v>
      </c>
      <c r="P361" t="n">
        <v>0</v>
      </c>
      <c r="Q361" t="n">
        <v>0</v>
      </c>
      <c r="R361" s="2" t="inlineStr"/>
    </row>
    <row r="362" ht="15" customHeight="1">
      <c r="A362" t="inlineStr">
        <is>
          <t>A 57142-2021</t>
        </is>
      </c>
      <c r="B362" s="1" t="n">
        <v>44482</v>
      </c>
      <c r="C362" s="1" t="n">
        <v>46017</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57153-2021</t>
        </is>
      </c>
      <c r="B363" s="1" t="n">
        <v>44482</v>
      </c>
      <c r="C363" s="1" t="n">
        <v>46017</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1992-2022</t>
        </is>
      </c>
      <c r="B364" s="1" t="n">
        <v>44575.56153935185</v>
      </c>
      <c r="C364" s="1" t="n">
        <v>46017</v>
      </c>
      <c r="D364" t="inlineStr">
        <is>
          <t>UPPSALA LÄN</t>
        </is>
      </c>
      <c r="E364" t="inlineStr">
        <is>
          <t>ENKÖPING</t>
        </is>
      </c>
      <c r="G364" t="n">
        <v>2.8</v>
      </c>
      <c r="H364" t="n">
        <v>0</v>
      </c>
      <c r="I364" t="n">
        <v>0</v>
      </c>
      <c r="J364" t="n">
        <v>0</v>
      </c>
      <c r="K364" t="n">
        <v>0</v>
      </c>
      <c r="L364" t="n">
        <v>0</v>
      </c>
      <c r="M364" t="n">
        <v>0</v>
      </c>
      <c r="N364" t="n">
        <v>0</v>
      </c>
      <c r="O364" t="n">
        <v>0</v>
      </c>
      <c r="P364" t="n">
        <v>0</v>
      </c>
      <c r="Q364" t="n">
        <v>0</v>
      </c>
      <c r="R364" s="2" t="inlineStr"/>
    </row>
    <row r="365" ht="15" customHeight="1">
      <c r="A365" t="inlineStr">
        <is>
          <t>A 5188-2022</t>
        </is>
      </c>
      <c r="B365" s="1" t="n">
        <v>44594.4471412037</v>
      </c>
      <c r="C365" s="1" t="n">
        <v>46017</v>
      </c>
      <c r="D365" t="inlineStr">
        <is>
          <t>UPPSALA LÄN</t>
        </is>
      </c>
      <c r="E365" t="inlineStr">
        <is>
          <t>ENKÖPING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6626-2023</t>
        </is>
      </c>
      <c r="B366" s="1" t="n">
        <v>44966.55946759259</v>
      </c>
      <c r="C366" s="1" t="n">
        <v>46017</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19014-2025</t>
        </is>
      </c>
      <c r="B367" s="1" t="n">
        <v>45764.59631944444</v>
      </c>
      <c r="C367" s="1" t="n">
        <v>46017</v>
      </c>
      <c r="D367" t="inlineStr">
        <is>
          <t>UPPSALA LÄN</t>
        </is>
      </c>
      <c r="E367" t="inlineStr">
        <is>
          <t>ENKÖPING</t>
        </is>
      </c>
      <c r="G367" t="n">
        <v>0.2</v>
      </c>
      <c r="H367" t="n">
        <v>0</v>
      </c>
      <c r="I367" t="n">
        <v>0</v>
      </c>
      <c r="J367" t="n">
        <v>0</v>
      </c>
      <c r="K367" t="n">
        <v>0</v>
      </c>
      <c r="L367" t="n">
        <v>0</v>
      </c>
      <c r="M367" t="n">
        <v>0</v>
      </c>
      <c r="N367" t="n">
        <v>0</v>
      </c>
      <c r="O367" t="n">
        <v>0</v>
      </c>
      <c r="P367" t="n">
        <v>0</v>
      </c>
      <c r="Q367" t="n">
        <v>0</v>
      </c>
      <c r="R367" s="2" t="inlineStr"/>
    </row>
    <row r="368" ht="15" customHeight="1">
      <c r="A368" t="inlineStr">
        <is>
          <t>A 48843-2023</t>
        </is>
      </c>
      <c r="B368" s="1" t="n">
        <v>45209</v>
      </c>
      <c r="C368" s="1" t="n">
        <v>46017</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43691-2024</t>
        </is>
      </c>
      <c r="B369" s="1" t="n">
        <v>45569</v>
      </c>
      <c r="C369" s="1" t="n">
        <v>46017</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57940-2022</t>
        </is>
      </c>
      <c r="B370" s="1" t="n">
        <v>44900</v>
      </c>
      <c r="C370" s="1" t="n">
        <v>46017</v>
      </c>
      <c r="D370" t="inlineStr">
        <is>
          <t>UPPSALA LÄN</t>
        </is>
      </c>
      <c r="E370" t="inlineStr">
        <is>
          <t>ENKÖPING</t>
        </is>
      </c>
      <c r="G370" t="n">
        <v>1.9</v>
      </c>
      <c r="H370" t="n">
        <v>0</v>
      </c>
      <c r="I370" t="n">
        <v>0</v>
      </c>
      <c r="J370" t="n">
        <v>0</v>
      </c>
      <c r="K370" t="n">
        <v>0</v>
      </c>
      <c r="L370" t="n">
        <v>0</v>
      </c>
      <c r="M370" t="n">
        <v>0</v>
      </c>
      <c r="N370" t="n">
        <v>0</v>
      </c>
      <c r="O370" t="n">
        <v>0</v>
      </c>
      <c r="P370" t="n">
        <v>0</v>
      </c>
      <c r="Q370" t="n">
        <v>0</v>
      </c>
      <c r="R370" s="2" t="inlineStr"/>
    </row>
    <row r="371" ht="15" customHeight="1">
      <c r="A371" t="inlineStr">
        <is>
          <t>A 35079-2024</t>
        </is>
      </c>
      <c r="B371" s="1" t="n">
        <v>45527.66770833333</v>
      </c>
      <c r="C371" s="1" t="n">
        <v>46017</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53595-2023</t>
        </is>
      </c>
      <c r="B372" s="1" t="n">
        <v>45223</v>
      </c>
      <c r="C372" s="1" t="n">
        <v>46017</v>
      </c>
      <c r="D372" t="inlineStr">
        <is>
          <t>UPPSALA LÄN</t>
        </is>
      </c>
      <c r="E372" t="inlineStr">
        <is>
          <t>ENKÖPING</t>
        </is>
      </c>
      <c r="G372" t="n">
        <v>2.6</v>
      </c>
      <c r="H372" t="n">
        <v>0</v>
      </c>
      <c r="I372" t="n">
        <v>0</v>
      </c>
      <c r="J372" t="n">
        <v>0</v>
      </c>
      <c r="K372" t="n">
        <v>0</v>
      </c>
      <c r="L372" t="n">
        <v>0</v>
      </c>
      <c r="M372" t="n">
        <v>0</v>
      </c>
      <c r="N372" t="n">
        <v>0</v>
      </c>
      <c r="O372" t="n">
        <v>0</v>
      </c>
      <c r="P372" t="n">
        <v>0</v>
      </c>
      <c r="Q372" t="n">
        <v>0</v>
      </c>
      <c r="R372" s="2" t="inlineStr"/>
    </row>
    <row r="373" ht="15" customHeight="1">
      <c r="A373" t="inlineStr">
        <is>
          <t>A 19376-2024</t>
        </is>
      </c>
      <c r="B373" s="1" t="n">
        <v>45429</v>
      </c>
      <c r="C373" s="1" t="n">
        <v>46017</v>
      </c>
      <c r="D373" t="inlineStr">
        <is>
          <t>UPPSALA LÄN</t>
        </is>
      </c>
      <c r="E373" t="inlineStr">
        <is>
          <t>ENKÖPING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58025-2025</t>
        </is>
      </c>
      <c r="B374" s="1" t="n">
        <v>45982</v>
      </c>
      <c r="C374" s="1" t="n">
        <v>46017</v>
      </c>
      <c r="D374" t="inlineStr">
        <is>
          <t>UPPSALA LÄN</t>
        </is>
      </c>
      <c r="E374" t="inlineStr">
        <is>
          <t>ENKÖPING</t>
        </is>
      </c>
      <c r="G374" t="n">
        <v>3.2</v>
      </c>
      <c r="H374" t="n">
        <v>0</v>
      </c>
      <c r="I374" t="n">
        <v>0</v>
      </c>
      <c r="J374" t="n">
        <v>0</v>
      </c>
      <c r="K374" t="n">
        <v>0</v>
      </c>
      <c r="L374" t="n">
        <v>0</v>
      </c>
      <c r="M374" t="n">
        <v>0</v>
      </c>
      <c r="N374" t="n">
        <v>0</v>
      </c>
      <c r="O374" t="n">
        <v>0</v>
      </c>
      <c r="P374" t="n">
        <v>0</v>
      </c>
      <c r="Q374" t="n">
        <v>0</v>
      </c>
      <c r="R374" s="2" t="inlineStr"/>
    </row>
    <row r="375" ht="15" customHeight="1">
      <c r="A375" t="inlineStr">
        <is>
          <t>A 60533-2021</t>
        </is>
      </c>
      <c r="B375" s="1" t="n">
        <v>44496</v>
      </c>
      <c r="C375" s="1" t="n">
        <v>46017</v>
      </c>
      <c r="D375" t="inlineStr">
        <is>
          <t>UPPSALA LÄN</t>
        </is>
      </c>
      <c r="E375" t="inlineStr">
        <is>
          <t>ENKÖPING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15757-2023</t>
        </is>
      </c>
      <c r="B376" s="1" t="n">
        <v>45021</v>
      </c>
      <c r="C376" s="1" t="n">
        <v>46017</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43230-2023</t>
        </is>
      </c>
      <c r="B377" s="1" t="n">
        <v>45183</v>
      </c>
      <c r="C377" s="1" t="n">
        <v>46017</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56886-2023</t>
        </is>
      </c>
      <c r="B378" s="1" t="n">
        <v>45239</v>
      </c>
      <c r="C378" s="1" t="n">
        <v>46017</v>
      </c>
      <c r="D378" t="inlineStr">
        <is>
          <t>UPPSALA LÄN</t>
        </is>
      </c>
      <c r="E378" t="inlineStr">
        <is>
          <t>ENKÖPING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51011-2024</t>
        </is>
      </c>
      <c r="B379" s="1" t="n">
        <v>45603.39427083333</v>
      </c>
      <c r="C379" s="1" t="n">
        <v>46017</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15405-2025</t>
        </is>
      </c>
      <c r="B380" s="1" t="n">
        <v>45747.44670138889</v>
      </c>
      <c r="C380" s="1" t="n">
        <v>46017</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12878-2025</t>
        </is>
      </c>
      <c r="B381" s="1" t="n">
        <v>45733.68571759259</v>
      </c>
      <c r="C381" s="1" t="n">
        <v>46017</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51162-2025</t>
        </is>
      </c>
      <c r="B382" s="1" t="n">
        <v>45947.58820601852</v>
      </c>
      <c r="C382" s="1" t="n">
        <v>46017</v>
      </c>
      <c r="D382" t="inlineStr">
        <is>
          <t>UPPSALA LÄN</t>
        </is>
      </c>
      <c r="E382" t="inlineStr">
        <is>
          <t>ENKÖPING</t>
        </is>
      </c>
      <c r="G382" t="n">
        <v>3.4</v>
      </c>
      <c r="H382" t="n">
        <v>0</v>
      </c>
      <c r="I382" t="n">
        <v>0</v>
      </c>
      <c r="J382" t="n">
        <v>0</v>
      </c>
      <c r="K382" t="n">
        <v>0</v>
      </c>
      <c r="L382" t="n">
        <v>0</v>
      </c>
      <c r="M382" t="n">
        <v>0</v>
      </c>
      <c r="N382" t="n">
        <v>0</v>
      </c>
      <c r="O382" t="n">
        <v>0</v>
      </c>
      <c r="P382" t="n">
        <v>0</v>
      </c>
      <c r="Q382" t="n">
        <v>0</v>
      </c>
      <c r="R382" s="2" t="inlineStr"/>
    </row>
    <row r="383" ht="15" customHeight="1">
      <c r="A383" t="inlineStr">
        <is>
          <t>A 51133-2025</t>
        </is>
      </c>
      <c r="B383" s="1" t="n">
        <v>45947.55598379629</v>
      </c>
      <c r="C383" s="1" t="n">
        <v>46017</v>
      </c>
      <c r="D383" t="inlineStr">
        <is>
          <t>UPPSALA LÄN</t>
        </is>
      </c>
      <c r="E383" t="inlineStr">
        <is>
          <t>ENKÖPING</t>
        </is>
      </c>
      <c r="G383" t="n">
        <v>2.4</v>
      </c>
      <c r="H383" t="n">
        <v>0</v>
      </c>
      <c r="I383" t="n">
        <v>0</v>
      </c>
      <c r="J383" t="n">
        <v>0</v>
      </c>
      <c r="K383" t="n">
        <v>0</v>
      </c>
      <c r="L383" t="n">
        <v>0</v>
      </c>
      <c r="M383" t="n">
        <v>0</v>
      </c>
      <c r="N383" t="n">
        <v>0</v>
      </c>
      <c r="O383" t="n">
        <v>0</v>
      </c>
      <c r="P383" t="n">
        <v>0</v>
      </c>
      <c r="Q383" t="n">
        <v>0</v>
      </c>
      <c r="R383" s="2" t="inlineStr"/>
    </row>
    <row r="384" ht="15" customHeight="1">
      <c r="A384" t="inlineStr">
        <is>
          <t>A 12102-2024</t>
        </is>
      </c>
      <c r="B384" s="1" t="n">
        <v>45377</v>
      </c>
      <c r="C384" s="1" t="n">
        <v>46017</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58961-2024</t>
        </is>
      </c>
      <c r="B385" s="1" t="n">
        <v>45636.585</v>
      </c>
      <c r="C385" s="1" t="n">
        <v>46017</v>
      </c>
      <c r="D385" t="inlineStr">
        <is>
          <t>UPPSALA LÄN</t>
        </is>
      </c>
      <c r="E385" t="inlineStr">
        <is>
          <t>ENKÖPING</t>
        </is>
      </c>
      <c r="G385" t="n">
        <v>4</v>
      </c>
      <c r="H385" t="n">
        <v>0</v>
      </c>
      <c r="I385" t="n">
        <v>0</v>
      </c>
      <c r="J385" t="n">
        <v>0</v>
      </c>
      <c r="K385" t="n">
        <v>0</v>
      </c>
      <c r="L385" t="n">
        <v>0</v>
      </c>
      <c r="M385" t="n">
        <v>0</v>
      </c>
      <c r="N385" t="n">
        <v>0</v>
      </c>
      <c r="O385" t="n">
        <v>0</v>
      </c>
      <c r="P385" t="n">
        <v>0</v>
      </c>
      <c r="Q385" t="n">
        <v>0</v>
      </c>
      <c r="R385" s="2" t="inlineStr"/>
    </row>
    <row r="386" ht="15" customHeight="1">
      <c r="A386" t="inlineStr">
        <is>
          <t>A 52889-2022</t>
        </is>
      </c>
      <c r="B386" s="1" t="n">
        <v>44875</v>
      </c>
      <c r="C386" s="1" t="n">
        <v>46017</v>
      </c>
      <c r="D386" t="inlineStr">
        <is>
          <t>UPPSALA LÄN</t>
        </is>
      </c>
      <c r="E386" t="inlineStr">
        <is>
          <t>ENKÖPING</t>
        </is>
      </c>
      <c r="G386" t="n">
        <v>1.7</v>
      </c>
      <c r="H386" t="n">
        <v>0</v>
      </c>
      <c r="I386" t="n">
        <v>0</v>
      </c>
      <c r="J386" t="n">
        <v>0</v>
      </c>
      <c r="K386" t="n">
        <v>0</v>
      </c>
      <c r="L386" t="n">
        <v>0</v>
      </c>
      <c r="M386" t="n">
        <v>0</v>
      </c>
      <c r="N386" t="n">
        <v>0</v>
      </c>
      <c r="O386" t="n">
        <v>0</v>
      </c>
      <c r="P386" t="n">
        <v>0</v>
      </c>
      <c r="Q386" t="n">
        <v>0</v>
      </c>
      <c r="R386" s="2" t="inlineStr"/>
    </row>
    <row r="387" ht="15" customHeight="1">
      <c r="A387" t="inlineStr">
        <is>
          <t>A 45283-2022</t>
        </is>
      </c>
      <c r="B387" s="1" t="n">
        <v>44844</v>
      </c>
      <c r="C387" s="1" t="n">
        <v>46017</v>
      </c>
      <c r="D387" t="inlineStr">
        <is>
          <t>UPPSALA LÄN</t>
        </is>
      </c>
      <c r="E387" t="inlineStr">
        <is>
          <t>ENKÖPING</t>
        </is>
      </c>
      <c r="G387" t="n">
        <v>5.9</v>
      </c>
      <c r="H387" t="n">
        <v>0</v>
      </c>
      <c r="I387" t="n">
        <v>0</v>
      </c>
      <c r="J387" t="n">
        <v>0</v>
      </c>
      <c r="K387" t="n">
        <v>0</v>
      </c>
      <c r="L387" t="n">
        <v>0</v>
      </c>
      <c r="M387" t="n">
        <v>0</v>
      </c>
      <c r="N387" t="n">
        <v>0</v>
      </c>
      <c r="O387" t="n">
        <v>0</v>
      </c>
      <c r="P387" t="n">
        <v>0</v>
      </c>
      <c r="Q387" t="n">
        <v>0</v>
      </c>
      <c r="R387" s="2" t="inlineStr"/>
    </row>
    <row r="388" ht="15" customHeight="1">
      <c r="A388" t="inlineStr">
        <is>
          <t>A 845-2025</t>
        </is>
      </c>
      <c r="B388" s="1" t="n">
        <v>45665</v>
      </c>
      <c r="C388" s="1" t="n">
        <v>46017</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849-2025</t>
        </is>
      </c>
      <c r="B389" s="1" t="n">
        <v>45665</v>
      </c>
      <c r="C389" s="1" t="n">
        <v>46017</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59668-2025</t>
        </is>
      </c>
      <c r="B390" s="1" t="n">
        <v>45992.45567129629</v>
      </c>
      <c r="C390" s="1" t="n">
        <v>46017</v>
      </c>
      <c r="D390" t="inlineStr">
        <is>
          <t>UPPSALA LÄN</t>
        </is>
      </c>
      <c r="E390" t="inlineStr">
        <is>
          <t>ENKÖPING</t>
        </is>
      </c>
      <c r="G390" t="n">
        <v>3.3</v>
      </c>
      <c r="H390" t="n">
        <v>0</v>
      </c>
      <c r="I390" t="n">
        <v>0</v>
      </c>
      <c r="J390" t="n">
        <v>0</v>
      </c>
      <c r="K390" t="n">
        <v>0</v>
      </c>
      <c r="L390" t="n">
        <v>0</v>
      </c>
      <c r="M390" t="n">
        <v>0</v>
      </c>
      <c r="N390" t="n">
        <v>0</v>
      </c>
      <c r="O390" t="n">
        <v>0</v>
      </c>
      <c r="P390" t="n">
        <v>0</v>
      </c>
      <c r="Q390" t="n">
        <v>0</v>
      </c>
      <c r="R390" s="2" t="inlineStr"/>
    </row>
    <row r="391" ht="15" customHeight="1">
      <c r="A391" t="inlineStr">
        <is>
          <t>A 59379-2025</t>
        </is>
      </c>
      <c r="B391" s="1" t="n">
        <v>45989.4540162037</v>
      </c>
      <c r="C391" s="1" t="n">
        <v>46017</v>
      </c>
      <c r="D391" t="inlineStr">
        <is>
          <t>UPPSALA LÄN</t>
        </is>
      </c>
      <c r="E391" t="inlineStr">
        <is>
          <t>ENKÖPING</t>
        </is>
      </c>
      <c r="G391" t="n">
        <v>10.8</v>
      </c>
      <c r="H391" t="n">
        <v>0</v>
      </c>
      <c r="I391" t="n">
        <v>0</v>
      </c>
      <c r="J391" t="n">
        <v>0</v>
      </c>
      <c r="K391" t="n">
        <v>0</v>
      </c>
      <c r="L391" t="n">
        <v>0</v>
      </c>
      <c r="M391" t="n">
        <v>0</v>
      </c>
      <c r="N391" t="n">
        <v>0</v>
      </c>
      <c r="O391" t="n">
        <v>0</v>
      </c>
      <c r="P391" t="n">
        <v>0</v>
      </c>
      <c r="Q391" t="n">
        <v>0</v>
      </c>
      <c r="R391" s="2" t="inlineStr"/>
    </row>
    <row r="392" ht="15" customHeight="1">
      <c r="A392" t="inlineStr">
        <is>
          <t>A 47681-2024</t>
        </is>
      </c>
      <c r="B392" s="1" t="n">
        <v>45588</v>
      </c>
      <c r="C392" s="1" t="n">
        <v>46017</v>
      </c>
      <c r="D392" t="inlineStr">
        <is>
          <t>UPPSALA LÄN</t>
        </is>
      </c>
      <c r="E392" t="inlineStr">
        <is>
          <t>ENKÖPING</t>
        </is>
      </c>
      <c r="G392" t="n">
        <v>4.2</v>
      </c>
      <c r="H392" t="n">
        <v>0</v>
      </c>
      <c r="I392" t="n">
        <v>0</v>
      </c>
      <c r="J392" t="n">
        <v>0</v>
      </c>
      <c r="K392" t="n">
        <v>0</v>
      </c>
      <c r="L392" t="n">
        <v>0</v>
      </c>
      <c r="M392" t="n">
        <v>0</v>
      </c>
      <c r="N392" t="n">
        <v>0</v>
      </c>
      <c r="O392" t="n">
        <v>0</v>
      </c>
      <c r="P392" t="n">
        <v>0</v>
      </c>
      <c r="Q392" t="n">
        <v>0</v>
      </c>
      <c r="R392" s="2" t="inlineStr"/>
    </row>
    <row r="393" ht="15" customHeight="1">
      <c r="A393" t="inlineStr">
        <is>
          <t>A 12754-2025</t>
        </is>
      </c>
      <c r="B393" s="1" t="n">
        <v>45733.56331018519</v>
      </c>
      <c r="C393" s="1" t="n">
        <v>46017</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54588-2024</t>
        </is>
      </c>
      <c r="B394" s="1" t="n">
        <v>45617</v>
      </c>
      <c r="C394" s="1" t="n">
        <v>46017</v>
      </c>
      <c r="D394" t="inlineStr">
        <is>
          <t>UPPSALA LÄN</t>
        </is>
      </c>
      <c r="E394" t="inlineStr">
        <is>
          <t>ENKÖPING</t>
        </is>
      </c>
      <c r="G394" t="n">
        <v>3.7</v>
      </c>
      <c r="H394" t="n">
        <v>0</v>
      </c>
      <c r="I394" t="n">
        <v>0</v>
      </c>
      <c r="J394" t="n">
        <v>0</v>
      </c>
      <c r="K394" t="n">
        <v>0</v>
      </c>
      <c r="L394" t="n">
        <v>0</v>
      </c>
      <c r="M394" t="n">
        <v>0</v>
      </c>
      <c r="N394" t="n">
        <v>0</v>
      </c>
      <c r="O394" t="n">
        <v>0</v>
      </c>
      <c r="P394" t="n">
        <v>0</v>
      </c>
      <c r="Q394" t="n">
        <v>0</v>
      </c>
      <c r="R394" s="2" t="inlineStr"/>
    </row>
    <row r="395" ht="15" customHeight="1">
      <c r="A395" t="inlineStr">
        <is>
          <t>A 56713-2024</t>
        </is>
      </c>
      <c r="B395" s="1" t="n">
        <v>45628</v>
      </c>
      <c r="C395" s="1" t="n">
        <v>46017</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59964-2025</t>
        </is>
      </c>
      <c r="B396" s="1" t="n">
        <v>45993.48043981481</v>
      </c>
      <c r="C396" s="1" t="n">
        <v>46017</v>
      </c>
      <c r="D396" t="inlineStr">
        <is>
          <t>UPPSALA LÄN</t>
        </is>
      </c>
      <c r="E396" t="inlineStr">
        <is>
          <t>ENKÖPING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51524-2022</t>
        </is>
      </c>
      <c r="B397" s="1" t="n">
        <v>44869</v>
      </c>
      <c r="C397" s="1" t="n">
        <v>46017</v>
      </c>
      <c r="D397" t="inlineStr">
        <is>
          <t>UPPSALA LÄN</t>
        </is>
      </c>
      <c r="E397" t="inlineStr">
        <is>
          <t>ENKÖPING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8137-2025</t>
        </is>
      </c>
      <c r="B398" s="1" t="n">
        <v>45707.8561574074</v>
      </c>
      <c r="C398" s="1" t="n">
        <v>46017</v>
      </c>
      <c r="D398" t="inlineStr">
        <is>
          <t>UPPSALA LÄN</t>
        </is>
      </c>
      <c r="E398" t="inlineStr">
        <is>
          <t>ENKÖPING</t>
        </is>
      </c>
      <c r="G398" t="n">
        <v>0.4</v>
      </c>
      <c r="H398" t="n">
        <v>0</v>
      </c>
      <c r="I398" t="n">
        <v>0</v>
      </c>
      <c r="J398" t="n">
        <v>0</v>
      </c>
      <c r="K398" t="n">
        <v>0</v>
      </c>
      <c r="L398" t="n">
        <v>0</v>
      </c>
      <c r="M398" t="n">
        <v>0</v>
      </c>
      <c r="N398" t="n">
        <v>0</v>
      </c>
      <c r="O398" t="n">
        <v>0</v>
      </c>
      <c r="P398" t="n">
        <v>0</v>
      </c>
      <c r="Q398" t="n">
        <v>0</v>
      </c>
      <c r="R398" s="2" t="inlineStr"/>
    </row>
    <row r="399" ht="15" customHeight="1">
      <c r="A399" t="inlineStr">
        <is>
          <t>A 7868-2024</t>
        </is>
      </c>
      <c r="B399" s="1" t="n">
        <v>45350.33020833333</v>
      </c>
      <c r="C399" s="1" t="n">
        <v>46017</v>
      </c>
      <c r="D399" t="inlineStr">
        <is>
          <t>UPPSALA LÄN</t>
        </is>
      </c>
      <c r="E399" t="inlineStr">
        <is>
          <t>ENKÖPING</t>
        </is>
      </c>
      <c r="G399" t="n">
        <v>0.3</v>
      </c>
      <c r="H399" t="n">
        <v>0</v>
      </c>
      <c r="I399" t="n">
        <v>0</v>
      </c>
      <c r="J399" t="n">
        <v>0</v>
      </c>
      <c r="K399" t="n">
        <v>0</v>
      </c>
      <c r="L399" t="n">
        <v>0</v>
      </c>
      <c r="M399" t="n">
        <v>0</v>
      </c>
      <c r="N399" t="n">
        <v>0</v>
      </c>
      <c r="O399" t="n">
        <v>0</v>
      </c>
      <c r="P399" t="n">
        <v>0</v>
      </c>
      <c r="Q399" t="n">
        <v>0</v>
      </c>
      <c r="R399" s="2" t="inlineStr"/>
    </row>
    <row r="400" ht="15" customHeight="1">
      <c r="A400" t="inlineStr">
        <is>
          <t>A 60175-2025</t>
        </is>
      </c>
      <c r="B400" s="1" t="n">
        <v>45994.45378472222</v>
      </c>
      <c r="C400" s="1" t="n">
        <v>46017</v>
      </c>
      <c r="D400" t="inlineStr">
        <is>
          <t>UPPSALA LÄN</t>
        </is>
      </c>
      <c r="E400" t="inlineStr">
        <is>
          <t>ENKÖPING</t>
        </is>
      </c>
      <c r="G400" t="n">
        <v>2.4</v>
      </c>
      <c r="H400" t="n">
        <v>0</v>
      </c>
      <c r="I400" t="n">
        <v>0</v>
      </c>
      <c r="J400" t="n">
        <v>0</v>
      </c>
      <c r="K400" t="n">
        <v>0</v>
      </c>
      <c r="L400" t="n">
        <v>0</v>
      </c>
      <c r="M400" t="n">
        <v>0</v>
      </c>
      <c r="N400" t="n">
        <v>0</v>
      </c>
      <c r="O400" t="n">
        <v>0</v>
      </c>
      <c r="P400" t="n">
        <v>0</v>
      </c>
      <c r="Q400" t="n">
        <v>0</v>
      </c>
      <c r="R400" s="2" t="inlineStr"/>
    </row>
    <row r="401" ht="15" customHeight="1">
      <c r="A401" t="inlineStr">
        <is>
          <t>A 51008-2024</t>
        </is>
      </c>
      <c r="B401" s="1" t="n">
        <v>45603.39041666667</v>
      </c>
      <c r="C401" s="1" t="n">
        <v>46017</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60340-2025</t>
        </is>
      </c>
      <c r="B402" s="1" t="n">
        <v>45994.83415509259</v>
      </c>
      <c r="C402" s="1" t="n">
        <v>46017</v>
      </c>
      <c r="D402" t="inlineStr">
        <is>
          <t>UPPSALA LÄN</t>
        </is>
      </c>
      <c r="E402" t="inlineStr">
        <is>
          <t>ENKÖPING</t>
        </is>
      </c>
      <c r="G402" t="n">
        <v>5.6</v>
      </c>
      <c r="H402" t="n">
        <v>0</v>
      </c>
      <c r="I402" t="n">
        <v>0</v>
      </c>
      <c r="J402" t="n">
        <v>0</v>
      </c>
      <c r="K402" t="n">
        <v>0</v>
      </c>
      <c r="L402" t="n">
        <v>0</v>
      </c>
      <c r="M402" t="n">
        <v>0</v>
      </c>
      <c r="N402" t="n">
        <v>0</v>
      </c>
      <c r="O402" t="n">
        <v>0</v>
      </c>
      <c r="P402" t="n">
        <v>0</v>
      </c>
      <c r="Q402" t="n">
        <v>0</v>
      </c>
      <c r="R402" s="2" t="inlineStr"/>
    </row>
    <row r="403" ht="15" customHeight="1">
      <c r="A403" t="inlineStr">
        <is>
          <t>A 26017-2025</t>
        </is>
      </c>
      <c r="B403" s="1" t="n">
        <v>45804</v>
      </c>
      <c r="C403" s="1" t="n">
        <v>46017</v>
      </c>
      <c r="D403" t="inlineStr">
        <is>
          <t>UPPSALA LÄN</t>
        </is>
      </c>
      <c r="E403" t="inlineStr">
        <is>
          <t>ENKÖPING</t>
        </is>
      </c>
      <c r="G403" t="n">
        <v>0.4</v>
      </c>
      <c r="H403" t="n">
        <v>0</v>
      </c>
      <c r="I403" t="n">
        <v>0</v>
      </c>
      <c r="J403" t="n">
        <v>0</v>
      </c>
      <c r="K403" t="n">
        <v>0</v>
      </c>
      <c r="L403" t="n">
        <v>0</v>
      </c>
      <c r="M403" t="n">
        <v>0</v>
      </c>
      <c r="N403" t="n">
        <v>0</v>
      </c>
      <c r="O403" t="n">
        <v>0</v>
      </c>
      <c r="P403" t="n">
        <v>0</v>
      </c>
      <c r="Q403" t="n">
        <v>0</v>
      </c>
      <c r="R403" s="2" t="inlineStr"/>
    </row>
    <row r="404" ht="15" customHeight="1">
      <c r="A404" t="inlineStr">
        <is>
          <t>A 35052-2024</t>
        </is>
      </c>
      <c r="B404" s="1" t="n">
        <v>45527.6516087963</v>
      </c>
      <c r="C404" s="1" t="n">
        <v>46017</v>
      </c>
      <c r="D404" t="inlineStr">
        <is>
          <t>UPPSALA LÄN</t>
        </is>
      </c>
      <c r="E404" t="inlineStr">
        <is>
          <t>ENKÖPING</t>
        </is>
      </c>
      <c r="G404" t="n">
        <v>1.5</v>
      </c>
      <c r="H404" t="n">
        <v>0</v>
      </c>
      <c r="I404" t="n">
        <v>0</v>
      </c>
      <c r="J404" t="n">
        <v>0</v>
      </c>
      <c r="K404" t="n">
        <v>0</v>
      </c>
      <c r="L404" t="n">
        <v>0</v>
      </c>
      <c r="M404" t="n">
        <v>0</v>
      </c>
      <c r="N404" t="n">
        <v>0</v>
      </c>
      <c r="O404" t="n">
        <v>0</v>
      </c>
      <c r="P404" t="n">
        <v>0</v>
      </c>
      <c r="Q404" t="n">
        <v>0</v>
      </c>
      <c r="R404" s="2" t="inlineStr"/>
    </row>
    <row r="405" ht="15" customHeight="1">
      <c r="A405" t="inlineStr">
        <is>
          <t>A 60174-2025</t>
        </is>
      </c>
      <c r="B405" s="1" t="n">
        <v>45994.45039351852</v>
      </c>
      <c r="C405" s="1" t="n">
        <v>46017</v>
      </c>
      <c r="D405" t="inlineStr">
        <is>
          <t>UPPSALA LÄN</t>
        </is>
      </c>
      <c r="E405" t="inlineStr">
        <is>
          <t>ENKÖPING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58147-2024</t>
        </is>
      </c>
      <c r="B406" s="1" t="n">
        <v>45632.4334375</v>
      </c>
      <c r="C406" s="1" t="n">
        <v>46017</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18302-2025</t>
        </is>
      </c>
      <c r="B407" s="1" t="n">
        <v>45762</v>
      </c>
      <c r="C407" s="1" t="n">
        <v>46017</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34735-2023</t>
        </is>
      </c>
      <c r="B408" s="1" t="n">
        <v>45139</v>
      </c>
      <c r="C408" s="1" t="n">
        <v>46017</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30514-2021</t>
        </is>
      </c>
      <c r="B409" s="1" t="n">
        <v>44364</v>
      </c>
      <c r="C409" s="1" t="n">
        <v>46017</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14518-2025</t>
        </is>
      </c>
      <c r="B410" s="1" t="n">
        <v>45741</v>
      </c>
      <c r="C410" s="1" t="n">
        <v>46017</v>
      </c>
      <c r="D410" t="inlineStr">
        <is>
          <t>UPPSALA LÄN</t>
        </is>
      </c>
      <c r="E410" t="inlineStr">
        <is>
          <t>ENKÖPING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26011-2025</t>
        </is>
      </c>
      <c r="B411" s="1" t="n">
        <v>45804.67412037037</v>
      </c>
      <c r="C411" s="1" t="n">
        <v>46017</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54776-2024</t>
        </is>
      </c>
      <c r="B412" s="1" t="n">
        <v>45618</v>
      </c>
      <c r="C412" s="1" t="n">
        <v>46017</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22150-2025</t>
        </is>
      </c>
      <c r="B413" s="1" t="n">
        <v>45785.56398148148</v>
      </c>
      <c r="C413" s="1" t="n">
        <v>46017</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22156-2025</t>
        </is>
      </c>
      <c r="B414" s="1" t="n">
        <v>45785.57512731481</v>
      </c>
      <c r="C414" s="1" t="n">
        <v>46017</v>
      </c>
      <c r="D414" t="inlineStr">
        <is>
          <t>UPPSALA LÄN</t>
        </is>
      </c>
      <c r="E414" t="inlineStr">
        <is>
          <t>ENKÖPING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30087-2024</t>
        </is>
      </c>
      <c r="B415" s="1" t="n">
        <v>45489.39447916667</v>
      </c>
      <c r="C415" s="1" t="n">
        <v>46017</v>
      </c>
      <c r="D415" t="inlineStr">
        <is>
          <t>UPPSALA LÄN</t>
        </is>
      </c>
      <c r="E415" t="inlineStr">
        <is>
          <t>ENKÖPING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22677-2025</t>
        </is>
      </c>
      <c r="B416" s="1" t="n">
        <v>45789.49515046296</v>
      </c>
      <c r="C416" s="1" t="n">
        <v>46017</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22679-2025</t>
        </is>
      </c>
      <c r="B417" s="1" t="n">
        <v>45789.49747685185</v>
      </c>
      <c r="C417" s="1" t="n">
        <v>46017</v>
      </c>
      <c r="D417" t="inlineStr">
        <is>
          <t>UPPSALA LÄN</t>
        </is>
      </c>
      <c r="E417" t="inlineStr">
        <is>
          <t>ENKÖPING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22729-2025</t>
        </is>
      </c>
      <c r="B418" s="1" t="n">
        <v>45789.57790509259</v>
      </c>
      <c r="C418" s="1" t="n">
        <v>46017</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22786-2025</t>
        </is>
      </c>
      <c r="B419" s="1" t="n">
        <v>45789.64643518518</v>
      </c>
      <c r="C419" s="1" t="n">
        <v>46017</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22795-2025</t>
        </is>
      </c>
      <c r="B420" s="1" t="n">
        <v>45789.65944444444</v>
      </c>
      <c r="C420" s="1" t="n">
        <v>46017</v>
      </c>
      <c r="D420" t="inlineStr">
        <is>
          <t>UPPSALA LÄN</t>
        </is>
      </c>
      <c r="E420" t="inlineStr">
        <is>
          <t>ENKÖPING</t>
        </is>
      </c>
      <c r="G420" t="n">
        <v>10.4</v>
      </c>
      <c r="H420" t="n">
        <v>0</v>
      </c>
      <c r="I420" t="n">
        <v>0</v>
      </c>
      <c r="J420" t="n">
        <v>0</v>
      </c>
      <c r="K420" t="n">
        <v>0</v>
      </c>
      <c r="L420" t="n">
        <v>0</v>
      </c>
      <c r="M420" t="n">
        <v>0</v>
      </c>
      <c r="N420" t="n">
        <v>0</v>
      </c>
      <c r="O420" t="n">
        <v>0</v>
      </c>
      <c r="P420" t="n">
        <v>0</v>
      </c>
      <c r="Q420" t="n">
        <v>0</v>
      </c>
      <c r="R420" s="2" t="inlineStr"/>
    </row>
    <row r="421" ht="15" customHeight="1">
      <c r="A421" t="inlineStr">
        <is>
          <t>A 22802-2025</t>
        </is>
      </c>
      <c r="B421" s="1" t="n">
        <v>45789.6686574074</v>
      </c>
      <c r="C421" s="1" t="n">
        <v>46017</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57188-2025</t>
        </is>
      </c>
      <c r="B422" s="1" t="n">
        <v>45979</v>
      </c>
      <c r="C422" s="1" t="n">
        <v>46017</v>
      </c>
      <c r="D422" t="inlineStr">
        <is>
          <t>UPPSALA LÄN</t>
        </is>
      </c>
      <c r="E422" t="inlineStr">
        <is>
          <t>ENKÖPING</t>
        </is>
      </c>
      <c r="G422" t="n">
        <v>1.7</v>
      </c>
      <c r="H422" t="n">
        <v>0</v>
      </c>
      <c r="I422" t="n">
        <v>0</v>
      </c>
      <c r="J422" t="n">
        <v>0</v>
      </c>
      <c r="K422" t="n">
        <v>0</v>
      </c>
      <c r="L422" t="n">
        <v>0</v>
      </c>
      <c r="M422" t="n">
        <v>0</v>
      </c>
      <c r="N422" t="n">
        <v>0</v>
      </c>
      <c r="O422" t="n">
        <v>0</v>
      </c>
      <c r="P422" t="n">
        <v>0</v>
      </c>
      <c r="Q422" t="n">
        <v>0</v>
      </c>
      <c r="R422" s="2" t="inlineStr"/>
    </row>
    <row r="423" ht="15" customHeight="1">
      <c r="A423" t="inlineStr">
        <is>
          <t>A 22680-2025</t>
        </is>
      </c>
      <c r="B423" s="1" t="n">
        <v>45789.5005787037</v>
      </c>
      <c r="C423" s="1" t="n">
        <v>46017</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61778-2025</t>
        </is>
      </c>
      <c r="B424" s="1" t="n">
        <v>46002.66555555556</v>
      </c>
      <c r="C424" s="1" t="n">
        <v>46017</v>
      </c>
      <c r="D424" t="inlineStr">
        <is>
          <t>UPPSALA LÄN</t>
        </is>
      </c>
      <c r="E424" t="inlineStr">
        <is>
          <t>ENKÖPING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6981-2025</t>
        </is>
      </c>
      <c r="B425" s="1" t="n">
        <v>45701</v>
      </c>
      <c r="C425" s="1" t="n">
        <v>46017</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22770-2025</t>
        </is>
      </c>
      <c r="B426" s="1" t="n">
        <v>45789.63454861111</v>
      </c>
      <c r="C426" s="1" t="n">
        <v>46017</v>
      </c>
      <c r="D426" t="inlineStr">
        <is>
          <t>UPPSALA LÄN</t>
        </is>
      </c>
      <c r="E426" t="inlineStr">
        <is>
          <t>ENKÖPING</t>
        </is>
      </c>
      <c r="G426" t="n">
        <v>4.5</v>
      </c>
      <c r="H426" t="n">
        <v>0</v>
      </c>
      <c r="I426" t="n">
        <v>0</v>
      </c>
      <c r="J426" t="n">
        <v>0</v>
      </c>
      <c r="K426" t="n">
        <v>0</v>
      </c>
      <c r="L426" t="n">
        <v>0</v>
      </c>
      <c r="M426" t="n">
        <v>0</v>
      </c>
      <c r="N426" t="n">
        <v>0</v>
      </c>
      <c r="O426" t="n">
        <v>0</v>
      </c>
      <c r="P426" t="n">
        <v>0</v>
      </c>
      <c r="Q426" t="n">
        <v>0</v>
      </c>
      <c r="R426" s="2" t="inlineStr"/>
    </row>
    <row r="427" ht="15" customHeight="1">
      <c r="A427" t="inlineStr">
        <is>
          <t>A 22725-2025</t>
        </is>
      </c>
      <c r="B427" s="1" t="n">
        <v>45789.57371527778</v>
      </c>
      <c r="C427" s="1" t="n">
        <v>46017</v>
      </c>
      <c r="D427" t="inlineStr">
        <is>
          <t>UPPSALA LÄN</t>
        </is>
      </c>
      <c r="E427" t="inlineStr">
        <is>
          <t>ENKÖPING</t>
        </is>
      </c>
      <c r="G427" t="n">
        <v>4.8</v>
      </c>
      <c r="H427" t="n">
        <v>0</v>
      </c>
      <c r="I427" t="n">
        <v>0</v>
      </c>
      <c r="J427" t="n">
        <v>0</v>
      </c>
      <c r="K427" t="n">
        <v>0</v>
      </c>
      <c r="L427" t="n">
        <v>0</v>
      </c>
      <c r="M427" t="n">
        <v>0</v>
      </c>
      <c r="N427" t="n">
        <v>0</v>
      </c>
      <c r="O427" t="n">
        <v>0</v>
      </c>
      <c r="P427" t="n">
        <v>0</v>
      </c>
      <c r="Q427" t="n">
        <v>0</v>
      </c>
      <c r="R427" s="2" t="inlineStr"/>
    </row>
    <row r="428" ht="15" customHeight="1">
      <c r="A428" t="inlineStr">
        <is>
          <t>A 61437-2025</t>
        </is>
      </c>
      <c r="B428" s="1" t="n">
        <v>46001.5659375</v>
      </c>
      <c r="C428" s="1" t="n">
        <v>46017</v>
      </c>
      <c r="D428" t="inlineStr">
        <is>
          <t>UPPSALA LÄN</t>
        </is>
      </c>
      <c r="E428" t="inlineStr">
        <is>
          <t>ENKÖPING</t>
        </is>
      </c>
      <c r="G428" t="n">
        <v>1</v>
      </c>
      <c r="H428" t="n">
        <v>0</v>
      </c>
      <c r="I428" t="n">
        <v>0</v>
      </c>
      <c r="J428" t="n">
        <v>0</v>
      </c>
      <c r="K428" t="n">
        <v>0</v>
      </c>
      <c r="L428" t="n">
        <v>0</v>
      </c>
      <c r="M428" t="n">
        <v>0</v>
      </c>
      <c r="N428" t="n">
        <v>0</v>
      </c>
      <c r="O428" t="n">
        <v>0</v>
      </c>
      <c r="P428" t="n">
        <v>0</v>
      </c>
      <c r="Q428" t="n">
        <v>0</v>
      </c>
      <c r="R428" s="2" t="inlineStr"/>
    </row>
    <row r="429" ht="15" customHeight="1">
      <c r="A429" t="inlineStr">
        <is>
          <t>A 22981-2025</t>
        </is>
      </c>
      <c r="B429" s="1" t="n">
        <v>45790.56964120371</v>
      </c>
      <c r="C429" s="1" t="n">
        <v>46017</v>
      </c>
      <c r="D429" t="inlineStr">
        <is>
          <t>UPPSALA LÄN</t>
        </is>
      </c>
      <c r="E429" t="inlineStr">
        <is>
          <t>ENKÖPING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68123-2021</t>
        </is>
      </c>
      <c r="B430" s="1" t="n">
        <v>44526.39126157408</v>
      </c>
      <c r="C430" s="1" t="n">
        <v>46017</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22793-2025</t>
        </is>
      </c>
      <c r="B431" s="1" t="n">
        <v>45789.65693287037</v>
      </c>
      <c r="C431" s="1" t="n">
        <v>46017</v>
      </c>
      <c r="D431" t="inlineStr">
        <is>
          <t>UPPSALA LÄN</t>
        </is>
      </c>
      <c r="E431" t="inlineStr">
        <is>
          <t>ENKÖPING</t>
        </is>
      </c>
      <c r="G431" t="n">
        <v>3.2</v>
      </c>
      <c r="H431" t="n">
        <v>0</v>
      </c>
      <c r="I431" t="n">
        <v>0</v>
      </c>
      <c r="J431" t="n">
        <v>0</v>
      </c>
      <c r="K431" t="n">
        <v>0</v>
      </c>
      <c r="L431" t="n">
        <v>0</v>
      </c>
      <c r="M431" t="n">
        <v>0</v>
      </c>
      <c r="N431" t="n">
        <v>0</v>
      </c>
      <c r="O431" t="n">
        <v>0</v>
      </c>
      <c r="P431" t="n">
        <v>0</v>
      </c>
      <c r="Q431" t="n">
        <v>0</v>
      </c>
      <c r="R431" s="2" t="inlineStr"/>
    </row>
    <row r="432" ht="15" customHeight="1">
      <c r="A432" t="inlineStr">
        <is>
          <t>A 22800-2025</t>
        </is>
      </c>
      <c r="B432" s="1" t="n">
        <v>45789.6669212963</v>
      </c>
      <c r="C432" s="1" t="n">
        <v>46017</v>
      </c>
      <c r="D432" t="inlineStr">
        <is>
          <t>UPPSALA LÄN</t>
        </is>
      </c>
      <c r="E432" t="inlineStr">
        <is>
          <t>ENKÖPING</t>
        </is>
      </c>
      <c r="G432" t="n">
        <v>2</v>
      </c>
      <c r="H432" t="n">
        <v>0</v>
      </c>
      <c r="I432" t="n">
        <v>0</v>
      </c>
      <c r="J432" t="n">
        <v>0</v>
      </c>
      <c r="K432" t="n">
        <v>0</v>
      </c>
      <c r="L432" t="n">
        <v>0</v>
      </c>
      <c r="M432" t="n">
        <v>0</v>
      </c>
      <c r="N432" t="n">
        <v>0</v>
      </c>
      <c r="O432" t="n">
        <v>0</v>
      </c>
      <c r="P432" t="n">
        <v>0</v>
      </c>
      <c r="Q432" t="n">
        <v>0</v>
      </c>
      <c r="R432" s="2" t="inlineStr"/>
    </row>
    <row r="433" ht="15" customHeight="1">
      <c r="A433" t="inlineStr">
        <is>
          <t>A 60934-2025</t>
        </is>
      </c>
      <c r="B433" s="1" t="n">
        <v>45999</v>
      </c>
      <c r="C433" s="1" t="n">
        <v>46017</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60947-2025</t>
        </is>
      </c>
      <c r="B434" s="1" t="n">
        <v>45999</v>
      </c>
      <c r="C434" s="1" t="n">
        <v>46017</v>
      </c>
      <c r="D434" t="inlineStr">
        <is>
          <t>UPPSALA LÄN</t>
        </is>
      </c>
      <c r="E434" t="inlineStr">
        <is>
          <t>ENKÖPING</t>
        </is>
      </c>
      <c r="G434" t="n">
        <v>4</v>
      </c>
      <c r="H434" t="n">
        <v>0</v>
      </c>
      <c r="I434" t="n">
        <v>0</v>
      </c>
      <c r="J434" t="n">
        <v>0</v>
      </c>
      <c r="K434" t="n">
        <v>0</v>
      </c>
      <c r="L434" t="n">
        <v>0</v>
      </c>
      <c r="M434" t="n">
        <v>0</v>
      </c>
      <c r="N434" t="n">
        <v>0</v>
      </c>
      <c r="O434" t="n">
        <v>0</v>
      </c>
      <c r="P434" t="n">
        <v>0</v>
      </c>
      <c r="Q434" t="n">
        <v>0</v>
      </c>
      <c r="R434" s="2" t="inlineStr"/>
    </row>
    <row r="435" ht="15" customHeight="1">
      <c r="A435" t="inlineStr">
        <is>
          <t>A 54263-2025</t>
        </is>
      </c>
      <c r="B435" s="1" t="n">
        <v>45964.66271990741</v>
      </c>
      <c r="C435" s="1" t="n">
        <v>46017</v>
      </c>
      <c r="D435" t="inlineStr">
        <is>
          <t>UPPSALA LÄN</t>
        </is>
      </c>
      <c r="E435" t="inlineStr">
        <is>
          <t>ENKÖPING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2850-2025</t>
        </is>
      </c>
      <c r="B436" s="1" t="n">
        <v>45677</v>
      </c>
      <c r="C436" s="1" t="n">
        <v>46017</v>
      </c>
      <c r="D436" t="inlineStr">
        <is>
          <t>UPPSALA LÄN</t>
        </is>
      </c>
      <c r="E436" t="inlineStr">
        <is>
          <t>ENKÖPING</t>
        </is>
      </c>
      <c r="G436" t="n">
        <v>0.3</v>
      </c>
      <c r="H436" t="n">
        <v>0</v>
      </c>
      <c r="I436" t="n">
        <v>0</v>
      </c>
      <c r="J436" t="n">
        <v>0</v>
      </c>
      <c r="K436" t="n">
        <v>0</v>
      </c>
      <c r="L436" t="n">
        <v>0</v>
      </c>
      <c r="M436" t="n">
        <v>0</v>
      </c>
      <c r="N436" t="n">
        <v>0</v>
      </c>
      <c r="O436" t="n">
        <v>0</v>
      </c>
      <c r="P436" t="n">
        <v>0</v>
      </c>
      <c r="Q436" t="n">
        <v>0</v>
      </c>
      <c r="R436" s="2" t="inlineStr"/>
    </row>
    <row r="437" ht="15" customHeight="1">
      <c r="A437" t="inlineStr">
        <is>
          <t>A 17729-2023</t>
        </is>
      </c>
      <c r="B437" s="1" t="n">
        <v>45037</v>
      </c>
      <c r="C437" s="1" t="n">
        <v>46017</v>
      </c>
      <c r="D437" t="inlineStr">
        <is>
          <t>UPPSALA LÄN</t>
        </is>
      </c>
      <c r="E437" t="inlineStr">
        <is>
          <t>ENKÖPING</t>
        </is>
      </c>
      <c r="G437" t="n">
        <v>10.2</v>
      </c>
      <c r="H437" t="n">
        <v>0</v>
      </c>
      <c r="I437" t="n">
        <v>0</v>
      </c>
      <c r="J437" t="n">
        <v>0</v>
      </c>
      <c r="K437" t="n">
        <v>0</v>
      </c>
      <c r="L437" t="n">
        <v>0</v>
      </c>
      <c r="M437" t="n">
        <v>0</v>
      </c>
      <c r="N437" t="n">
        <v>0</v>
      </c>
      <c r="O437" t="n">
        <v>0</v>
      </c>
      <c r="P437" t="n">
        <v>0</v>
      </c>
      <c r="Q437" t="n">
        <v>0</v>
      </c>
      <c r="R437" s="2" t="inlineStr"/>
    </row>
    <row r="438" ht="15" customHeight="1">
      <c r="A438" t="inlineStr">
        <is>
          <t>A 5749-2025</t>
        </is>
      </c>
      <c r="B438" s="1" t="n">
        <v>45694</v>
      </c>
      <c r="C438" s="1" t="n">
        <v>46017</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8020-2022</t>
        </is>
      </c>
      <c r="B439" s="1" t="n">
        <v>44609</v>
      </c>
      <c r="C439" s="1" t="n">
        <v>46017</v>
      </c>
      <c r="D439" t="inlineStr">
        <is>
          <t>UPPSALA LÄN</t>
        </is>
      </c>
      <c r="E439" t="inlineStr">
        <is>
          <t>ENKÖPING</t>
        </is>
      </c>
      <c r="G439" t="n">
        <v>6</v>
      </c>
      <c r="H439" t="n">
        <v>0</v>
      </c>
      <c r="I439" t="n">
        <v>0</v>
      </c>
      <c r="J439" t="n">
        <v>0</v>
      </c>
      <c r="K439" t="n">
        <v>0</v>
      </c>
      <c r="L439" t="n">
        <v>0</v>
      </c>
      <c r="M439" t="n">
        <v>0</v>
      </c>
      <c r="N439" t="n">
        <v>0</v>
      </c>
      <c r="O439" t="n">
        <v>0</v>
      </c>
      <c r="P439" t="n">
        <v>0</v>
      </c>
      <c r="Q439" t="n">
        <v>0</v>
      </c>
      <c r="R439" s="2" t="inlineStr"/>
    </row>
    <row r="440" ht="15" customHeight="1">
      <c r="A440" t="inlineStr">
        <is>
          <t>A 34805-2024</t>
        </is>
      </c>
      <c r="B440" s="1" t="n">
        <v>45526</v>
      </c>
      <c r="C440" s="1" t="n">
        <v>46017</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314-2025</t>
        </is>
      </c>
      <c r="B441" s="1" t="n">
        <v>45656</v>
      </c>
      <c r="C441" s="1" t="n">
        <v>46017</v>
      </c>
      <c r="D441" t="inlineStr">
        <is>
          <t>UPPSALA LÄN</t>
        </is>
      </c>
      <c r="E441" t="inlineStr">
        <is>
          <t>ENKÖPING</t>
        </is>
      </c>
      <c r="G441" t="n">
        <v>9</v>
      </c>
      <c r="H441" t="n">
        <v>0</v>
      </c>
      <c r="I441" t="n">
        <v>0</v>
      </c>
      <c r="J441" t="n">
        <v>0</v>
      </c>
      <c r="K441" t="n">
        <v>0</v>
      </c>
      <c r="L441" t="n">
        <v>0</v>
      </c>
      <c r="M441" t="n">
        <v>0</v>
      </c>
      <c r="N441" t="n">
        <v>0</v>
      </c>
      <c r="O441" t="n">
        <v>0</v>
      </c>
      <c r="P441" t="n">
        <v>0</v>
      </c>
      <c r="Q441" t="n">
        <v>0</v>
      </c>
      <c r="R441" s="2" t="inlineStr"/>
    </row>
    <row r="442" ht="15" customHeight="1">
      <c r="A442" t="inlineStr">
        <is>
          <t>A 10831-2024</t>
        </is>
      </c>
      <c r="B442" s="1" t="n">
        <v>45369</v>
      </c>
      <c r="C442" s="1" t="n">
        <v>46017</v>
      </c>
      <c r="D442" t="inlineStr">
        <is>
          <t>UPPSALA LÄN</t>
        </is>
      </c>
      <c r="E442" t="inlineStr">
        <is>
          <t>ENKÖPING</t>
        </is>
      </c>
      <c r="G442" t="n">
        <v>2.9</v>
      </c>
      <c r="H442" t="n">
        <v>0</v>
      </c>
      <c r="I442" t="n">
        <v>0</v>
      </c>
      <c r="J442" t="n">
        <v>0</v>
      </c>
      <c r="K442" t="n">
        <v>0</v>
      </c>
      <c r="L442" t="n">
        <v>0</v>
      </c>
      <c r="M442" t="n">
        <v>0</v>
      </c>
      <c r="N442" t="n">
        <v>0</v>
      </c>
      <c r="O442" t="n">
        <v>0</v>
      </c>
      <c r="P442" t="n">
        <v>0</v>
      </c>
      <c r="Q442" t="n">
        <v>0</v>
      </c>
      <c r="R442" s="2" t="inlineStr"/>
    </row>
    <row r="443" ht="15" customHeight="1">
      <c r="A443" t="inlineStr">
        <is>
          <t>A 5712-2025</t>
        </is>
      </c>
      <c r="B443" s="1" t="n">
        <v>45694</v>
      </c>
      <c r="C443" s="1" t="n">
        <v>46017</v>
      </c>
      <c r="D443" t="inlineStr">
        <is>
          <t>UPPSALA LÄN</t>
        </is>
      </c>
      <c r="E443" t="inlineStr">
        <is>
          <t>ENKÖPING</t>
        </is>
      </c>
      <c r="G443" t="n">
        <v>5.1</v>
      </c>
      <c r="H443" t="n">
        <v>0</v>
      </c>
      <c r="I443" t="n">
        <v>0</v>
      </c>
      <c r="J443" t="n">
        <v>0</v>
      </c>
      <c r="K443" t="n">
        <v>0</v>
      </c>
      <c r="L443" t="n">
        <v>0</v>
      </c>
      <c r="M443" t="n">
        <v>0</v>
      </c>
      <c r="N443" t="n">
        <v>0</v>
      </c>
      <c r="O443" t="n">
        <v>0</v>
      </c>
      <c r="P443" t="n">
        <v>0</v>
      </c>
      <c r="Q443" t="n">
        <v>0</v>
      </c>
      <c r="R443" s="2" t="inlineStr"/>
    </row>
    <row r="444" ht="15" customHeight="1">
      <c r="A444" t="inlineStr">
        <is>
          <t>A 62772-2025</t>
        </is>
      </c>
      <c r="B444" s="1" t="n">
        <v>46008.60365740741</v>
      </c>
      <c r="C444" s="1" t="n">
        <v>46017</v>
      </c>
      <c r="D444" t="inlineStr">
        <is>
          <t>UPPSALA LÄN</t>
        </is>
      </c>
      <c r="E444" t="inlineStr">
        <is>
          <t>ENKÖPING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45956-2024</t>
        </is>
      </c>
      <c r="B445" s="1" t="n">
        <v>45580</v>
      </c>
      <c r="C445" s="1" t="n">
        <v>46017</v>
      </c>
      <c r="D445" t="inlineStr">
        <is>
          <t>UPPSALA LÄN</t>
        </is>
      </c>
      <c r="E445" t="inlineStr">
        <is>
          <t>ENKÖPING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54844-2025</t>
        </is>
      </c>
      <c r="B446" s="1" t="n">
        <v>45966.69570601852</v>
      </c>
      <c r="C446" s="1" t="n">
        <v>46017</v>
      </c>
      <c r="D446" t="inlineStr">
        <is>
          <t>UPPSALA LÄN</t>
        </is>
      </c>
      <c r="E446" t="inlineStr">
        <is>
          <t>ENKÖPING</t>
        </is>
      </c>
      <c r="G446" t="n">
        <v>5.5</v>
      </c>
      <c r="H446" t="n">
        <v>0</v>
      </c>
      <c r="I446" t="n">
        <v>0</v>
      </c>
      <c r="J446" t="n">
        <v>0</v>
      </c>
      <c r="K446" t="n">
        <v>0</v>
      </c>
      <c r="L446" t="n">
        <v>0</v>
      </c>
      <c r="M446" t="n">
        <v>0</v>
      </c>
      <c r="N446" t="n">
        <v>0</v>
      </c>
      <c r="O446" t="n">
        <v>0</v>
      </c>
      <c r="P446" t="n">
        <v>0</v>
      </c>
      <c r="Q446" t="n">
        <v>0</v>
      </c>
      <c r="R446" s="2" t="inlineStr"/>
    </row>
    <row r="447" ht="15" customHeight="1">
      <c r="A447" t="inlineStr">
        <is>
          <t>A 11627-2025</t>
        </is>
      </c>
      <c r="B447" s="1" t="n">
        <v>45727</v>
      </c>
      <c r="C447" s="1" t="n">
        <v>46017</v>
      </c>
      <c r="D447" t="inlineStr">
        <is>
          <t>UPPSALA LÄN</t>
        </is>
      </c>
      <c r="E447" t="inlineStr">
        <is>
          <t>ENKÖPING</t>
        </is>
      </c>
      <c r="G447" t="n">
        <v>5.5</v>
      </c>
      <c r="H447" t="n">
        <v>0</v>
      </c>
      <c r="I447" t="n">
        <v>0</v>
      </c>
      <c r="J447" t="n">
        <v>0</v>
      </c>
      <c r="K447" t="n">
        <v>0</v>
      </c>
      <c r="L447" t="n">
        <v>0</v>
      </c>
      <c r="M447" t="n">
        <v>0</v>
      </c>
      <c r="N447" t="n">
        <v>0</v>
      </c>
      <c r="O447" t="n">
        <v>0</v>
      </c>
      <c r="P447" t="n">
        <v>0</v>
      </c>
      <c r="Q447" t="n">
        <v>0</v>
      </c>
      <c r="R447" s="2" t="inlineStr"/>
    </row>
    <row r="448" ht="15" customHeight="1">
      <c r="A448" t="inlineStr">
        <is>
          <t>A 74090-2021</t>
        </is>
      </c>
      <c r="B448" s="1" t="n">
        <v>44557</v>
      </c>
      <c r="C448" s="1" t="n">
        <v>46017</v>
      </c>
      <c r="D448" t="inlineStr">
        <is>
          <t>UPPSALA LÄN</t>
        </is>
      </c>
      <c r="E448" t="inlineStr">
        <is>
          <t>ENKÖPING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54758-2025</t>
        </is>
      </c>
      <c r="B449" s="1" t="n">
        <v>45966.59737268519</v>
      </c>
      <c r="C449" s="1" t="n">
        <v>46017</v>
      </c>
      <c r="D449" t="inlineStr">
        <is>
          <t>UPPSALA LÄN</t>
        </is>
      </c>
      <c r="E449" t="inlineStr">
        <is>
          <t>ENKÖPING</t>
        </is>
      </c>
      <c r="G449" t="n">
        <v>3.3</v>
      </c>
      <c r="H449" t="n">
        <v>0</v>
      </c>
      <c r="I449" t="n">
        <v>0</v>
      </c>
      <c r="J449" t="n">
        <v>0</v>
      </c>
      <c r="K449" t="n">
        <v>0</v>
      </c>
      <c r="L449" t="n">
        <v>0</v>
      </c>
      <c r="M449" t="n">
        <v>0</v>
      </c>
      <c r="N449" t="n">
        <v>0</v>
      </c>
      <c r="O449" t="n">
        <v>0</v>
      </c>
      <c r="P449" t="n">
        <v>0</v>
      </c>
      <c r="Q449" t="n">
        <v>0</v>
      </c>
      <c r="R449" s="2" t="inlineStr"/>
    </row>
    <row r="450" ht="15" customHeight="1">
      <c r="A450" t="inlineStr">
        <is>
          <t>A 54541-2025</t>
        </is>
      </c>
      <c r="B450" s="1" t="n">
        <v>45965.64733796296</v>
      </c>
      <c r="C450" s="1" t="n">
        <v>46017</v>
      </c>
      <c r="D450" t="inlineStr">
        <is>
          <t>UPPSALA LÄN</t>
        </is>
      </c>
      <c r="E450" t="inlineStr">
        <is>
          <t>ENKÖPING</t>
        </is>
      </c>
      <c r="G450" t="n">
        <v>3.1</v>
      </c>
      <c r="H450" t="n">
        <v>0</v>
      </c>
      <c r="I450" t="n">
        <v>0</v>
      </c>
      <c r="J450" t="n">
        <v>0</v>
      </c>
      <c r="K450" t="n">
        <v>0</v>
      </c>
      <c r="L450" t="n">
        <v>0</v>
      </c>
      <c r="M450" t="n">
        <v>0</v>
      </c>
      <c r="N450" t="n">
        <v>0</v>
      </c>
      <c r="O450" t="n">
        <v>0</v>
      </c>
      <c r="P450" t="n">
        <v>0</v>
      </c>
      <c r="Q450" t="n">
        <v>0</v>
      </c>
      <c r="R450" s="2" t="inlineStr"/>
    </row>
    <row r="451" ht="15" customHeight="1">
      <c r="A451" t="inlineStr">
        <is>
          <t>A 62602-2025</t>
        </is>
      </c>
      <c r="B451" s="1" t="n">
        <v>46007.92581018519</v>
      </c>
      <c r="C451" s="1" t="n">
        <v>46017</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62599-2025</t>
        </is>
      </c>
      <c r="B452" s="1" t="n">
        <v>46007.91961805556</v>
      </c>
      <c r="C452" s="1" t="n">
        <v>46017</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62600-2025</t>
        </is>
      </c>
      <c r="B453" s="1" t="n">
        <v>46007.92175925926</v>
      </c>
      <c r="C453" s="1" t="n">
        <v>46017</v>
      </c>
      <c r="D453" t="inlineStr">
        <is>
          <t>UPPSALA LÄN</t>
        </is>
      </c>
      <c r="E453" t="inlineStr">
        <is>
          <t>ENKÖPING</t>
        </is>
      </c>
      <c r="G453" t="n">
        <v>2</v>
      </c>
      <c r="H453" t="n">
        <v>0</v>
      </c>
      <c r="I453" t="n">
        <v>0</v>
      </c>
      <c r="J453" t="n">
        <v>0</v>
      </c>
      <c r="K453" t="n">
        <v>0</v>
      </c>
      <c r="L453" t="n">
        <v>0</v>
      </c>
      <c r="M453" t="n">
        <v>0</v>
      </c>
      <c r="N453" t="n">
        <v>0</v>
      </c>
      <c r="O453" t="n">
        <v>0</v>
      </c>
      <c r="P453" t="n">
        <v>0</v>
      </c>
      <c r="Q453" t="n">
        <v>0</v>
      </c>
      <c r="R453" s="2" t="inlineStr"/>
    </row>
    <row r="454" ht="15" customHeight="1">
      <c r="A454" t="inlineStr">
        <is>
          <t>A 62601-2025</t>
        </is>
      </c>
      <c r="B454" s="1" t="n">
        <v>46007.92395833333</v>
      </c>
      <c r="C454" s="1" t="n">
        <v>46017</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58092-2024</t>
        </is>
      </c>
      <c r="B455" s="1" t="n">
        <v>45632</v>
      </c>
      <c r="C455" s="1" t="n">
        <v>46017</v>
      </c>
      <c r="D455" t="inlineStr">
        <is>
          <t>UPPSALA LÄN</t>
        </is>
      </c>
      <c r="E455" t="inlineStr">
        <is>
          <t>ENKÖPING</t>
        </is>
      </c>
      <c r="G455" t="n">
        <v>4.8</v>
      </c>
      <c r="H455" t="n">
        <v>0</v>
      </c>
      <c r="I455" t="n">
        <v>0</v>
      </c>
      <c r="J455" t="n">
        <v>0</v>
      </c>
      <c r="K455" t="n">
        <v>0</v>
      </c>
      <c r="L455" t="n">
        <v>0</v>
      </c>
      <c r="M455" t="n">
        <v>0</v>
      </c>
      <c r="N455" t="n">
        <v>0</v>
      </c>
      <c r="O455" t="n">
        <v>0</v>
      </c>
      <c r="P455" t="n">
        <v>0</v>
      </c>
      <c r="Q455" t="n">
        <v>0</v>
      </c>
      <c r="R455" s="2" t="inlineStr"/>
    </row>
    <row r="456" ht="15" customHeight="1">
      <c r="A456" t="inlineStr">
        <is>
          <t>A 63128-2025</t>
        </is>
      </c>
      <c r="B456" s="1" t="n">
        <v>46009.91732638889</v>
      </c>
      <c r="C456" s="1" t="n">
        <v>46017</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61811-2025</t>
        </is>
      </c>
      <c r="B457" s="1" t="n">
        <v>46002.90059027778</v>
      </c>
      <c r="C457" s="1" t="n">
        <v>46017</v>
      </c>
      <c r="D457" t="inlineStr">
        <is>
          <t>UPPSALA LÄN</t>
        </is>
      </c>
      <c r="E457" t="inlineStr">
        <is>
          <t>ENKÖPING</t>
        </is>
      </c>
      <c r="F457" t="inlineStr">
        <is>
          <t>Allmännings- och besparingsskogar</t>
        </is>
      </c>
      <c r="G457" t="n">
        <v>4.7</v>
      </c>
      <c r="H457" t="n">
        <v>0</v>
      </c>
      <c r="I457" t="n">
        <v>0</v>
      </c>
      <c r="J457" t="n">
        <v>0</v>
      </c>
      <c r="K457" t="n">
        <v>0</v>
      </c>
      <c r="L457" t="n">
        <v>0</v>
      </c>
      <c r="M457" t="n">
        <v>0</v>
      </c>
      <c r="N457" t="n">
        <v>0</v>
      </c>
      <c r="O457" t="n">
        <v>0</v>
      </c>
      <c r="P457" t="n">
        <v>0</v>
      </c>
      <c r="Q457" t="n">
        <v>0</v>
      </c>
      <c r="R457" s="2" t="inlineStr"/>
    </row>
    <row r="458" ht="15" customHeight="1">
      <c r="A458" t="inlineStr">
        <is>
          <t>A 24411-2024</t>
        </is>
      </c>
      <c r="B458" s="1" t="n">
        <v>45457</v>
      </c>
      <c r="C458" s="1" t="n">
        <v>46017</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25988-2025</t>
        </is>
      </c>
      <c r="B459" s="1" t="n">
        <v>45804.64814814815</v>
      </c>
      <c r="C459" s="1" t="n">
        <v>46017</v>
      </c>
      <c r="D459" t="inlineStr">
        <is>
          <t>UPPSALA LÄN</t>
        </is>
      </c>
      <c r="E459" t="inlineStr">
        <is>
          <t>ENKÖPING</t>
        </is>
      </c>
      <c r="G459" t="n">
        <v>4.7</v>
      </c>
      <c r="H459" t="n">
        <v>0</v>
      </c>
      <c r="I459" t="n">
        <v>0</v>
      </c>
      <c r="J459" t="n">
        <v>0</v>
      </c>
      <c r="K459" t="n">
        <v>0</v>
      </c>
      <c r="L459" t="n">
        <v>0</v>
      </c>
      <c r="M459" t="n">
        <v>0</v>
      </c>
      <c r="N459" t="n">
        <v>0</v>
      </c>
      <c r="O459" t="n">
        <v>0</v>
      </c>
      <c r="P459" t="n">
        <v>0</v>
      </c>
      <c r="Q459" t="n">
        <v>0</v>
      </c>
      <c r="R459" s="2" t="inlineStr"/>
    </row>
    <row r="460" ht="15" customHeight="1">
      <c r="A460" t="inlineStr">
        <is>
          <t>A 26024-2025</t>
        </is>
      </c>
      <c r="B460" s="1" t="n">
        <v>45804.6831712963</v>
      </c>
      <c r="C460" s="1" t="n">
        <v>46017</v>
      </c>
      <c r="D460" t="inlineStr">
        <is>
          <t>UPPSALA LÄN</t>
        </is>
      </c>
      <c r="E460" t="inlineStr">
        <is>
          <t>ENKÖPING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26042-2025</t>
        </is>
      </c>
      <c r="B461" s="1" t="n">
        <v>45804.70018518518</v>
      </c>
      <c r="C461" s="1" t="n">
        <v>46017</v>
      </c>
      <c r="D461" t="inlineStr">
        <is>
          <t>UPPSALA LÄN</t>
        </is>
      </c>
      <c r="E461" t="inlineStr">
        <is>
          <t>ENKÖPING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25990-2025</t>
        </is>
      </c>
      <c r="B462" s="1" t="n">
        <v>45804.65229166667</v>
      </c>
      <c r="C462" s="1" t="n">
        <v>46017</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26030-2025</t>
        </is>
      </c>
      <c r="B463" s="1" t="n">
        <v>45804.68815972222</v>
      </c>
      <c r="C463" s="1" t="n">
        <v>46017</v>
      </c>
      <c r="D463" t="inlineStr">
        <is>
          <t>UPPSALA LÄN</t>
        </is>
      </c>
      <c r="E463" t="inlineStr">
        <is>
          <t>ENKÖPING</t>
        </is>
      </c>
      <c r="G463" t="n">
        <v>0.3</v>
      </c>
      <c r="H463" t="n">
        <v>0</v>
      </c>
      <c r="I463" t="n">
        <v>0</v>
      </c>
      <c r="J463" t="n">
        <v>0</v>
      </c>
      <c r="K463" t="n">
        <v>0</v>
      </c>
      <c r="L463" t="n">
        <v>0</v>
      </c>
      <c r="M463" t="n">
        <v>0</v>
      </c>
      <c r="N463" t="n">
        <v>0</v>
      </c>
      <c r="O463" t="n">
        <v>0</v>
      </c>
      <c r="P463" t="n">
        <v>0</v>
      </c>
      <c r="Q463" t="n">
        <v>0</v>
      </c>
      <c r="R463" s="2" t="inlineStr"/>
    </row>
    <row r="464" ht="15" customHeight="1">
      <c r="A464" t="inlineStr">
        <is>
          <t>A 26026-2025</t>
        </is>
      </c>
      <c r="B464" s="1" t="n">
        <v>45804.68510416667</v>
      </c>
      <c r="C464" s="1" t="n">
        <v>46017</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26047-2025</t>
        </is>
      </c>
      <c r="B465" s="1" t="n">
        <v>45804.70835648148</v>
      </c>
      <c r="C465" s="1" t="n">
        <v>46017</v>
      </c>
      <c r="D465" t="inlineStr">
        <is>
          <t>UPPSALA LÄN</t>
        </is>
      </c>
      <c r="E465" t="inlineStr">
        <is>
          <t>ENKÖPING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25847-2025</t>
        </is>
      </c>
      <c r="B466" s="1" t="n">
        <v>45804</v>
      </c>
      <c r="C466" s="1" t="n">
        <v>46017</v>
      </c>
      <c r="D466" t="inlineStr">
        <is>
          <t>UPPSALA LÄN</t>
        </is>
      </c>
      <c r="E466" t="inlineStr">
        <is>
          <t>ENKÖPING</t>
        </is>
      </c>
      <c r="G466" t="n">
        <v>3.6</v>
      </c>
      <c r="H466" t="n">
        <v>0</v>
      </c>
      <c r="I466" t="n">
        <v>0</v>
      </c>
      <c r="J466" t="n">
        <v>0</v>
      </c>
      <c r="K466" t="n">
        <v>0</v>
      </c>
      <c r="L466" t="n">
        <v>0</v>
      </c>
      <c r="M466" t="n">
        <v>0</v>
      </c>
      <c r="N466" t="n">
        <v>0</v>
      </c>
      <c r="O466" t="n">
        <v>0</v>
      </c>
      <c r="P466" t="n">
        <v>0</v>
      </c>
      <c r="Q466" t="n">
        <v>0</v>
      </c>
      <c r="R466" s="2" t="inlineStr"/>
    </row>
    <row r="467" ht="15" customHeight="1">
      <c r="A467" t="inlineStr">
        <is>
          <t>A 26005-2025</t>
        </is>
      </c>
      <c r="B467" s="1" t="n">
        <v>45804.67055555555</v>
      </c>
      <c r="C467" s="1" t="n">
        <v>46017</v>
      </c>
      <c r="D467" t="inlineStr">
        <is>
          <t>UPPSALA LÄN</t>
        </is>
      </c>
      <c r="E467" t="inlineStr">
        <is>
          <t>ENKÖPING</t>
        </is>
      </c>
      <c r="G467" t="n">
        <v>0.3</v>
      </c>
      <c r="H467" t="n">
        <v>0</v>
      </c>
      <c r="I467" t="n">
        <v>0</v>
      </c>
      <c r="J467" t="n">
        <v>0</v>
      </c>
      <c r="K467" t="n">
        <v>0</v>
      </c>
      <c r="L467" t="n">
        <v>0</v>
      </c>
      <c r="M467" t="n">
        <v>0</v>
      </c>
      <c r="N467" t="n">
        <v>0</v>
      </c>
      <c r="O467" t="n">
        <v>0</v>
      </c>
      <c r="P467" t="n">
        <v>0</v>
      </c>
      <c r="Q467" t="n">
        <v>0</v>
      </c>
      <c r="R467" s="2" t="inlineStr"/>
    </row>
    <row r="468" ht="15" customHeight="1">
      <c r="A468" t="inlineStr">
        <is>
          <t>A 26031-2025</t>
        </is>
      </c>
      <c r="B468" s="1" t="n">
        <v>45804.69050925926</v>
      </c>
      <c r="C468" s="1" t="n">
        <v>46017</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26041-2025</t>
        </is>
      </c>
      <c r="B469" s="1" t="n">
        <v>45804.69883101852</v>
      </c>
      <c r="C469" s="1" t="n">
        <v>46017</v>
      </c>
      <c r="D469" t="inlineStr">
        <is>
          <t>UPPSALA LÄN</t>
        </is>
      </c>
      <c r="E469" t="inlineStr">
        <is>
          <t>ENKÖPING</t>
        </is>
      </c>
      <c r="G469" t="n">
        <v>0.8</v>
      </c>
      <c r="H469" t="n">
        <v>0</v>
      </c>
      <c r="I469" t="n">
        <v>0</v>
      </c>
      <c r="J469" t="n">
        <v>0</v>
      </c>
      <c r="K469" t="n">
        <v>0</v>
      </c>
      <c r="L469" t="n">
        <v>0</v>
      </c>
      <c r="M469" t="n">
        <v>0</v>
      </c>
      <c r="N469" t="n">
        <v>0</v>
      </c>
      <c r="O469" t="n">
        <v>0</v>
      </c>
      <c r="P469" t="n">
        <v>0</v>
      </c>
      <c r="Q469" t="n">
        <v>0</v>
      </c>
      <c r="R469" s="2" t="inlineStr"/>
    </row>
    <row r="470" ht="15" customHeight="1">
      <c r="A470" t="inlineStr">
        <is>
          <t>A 26022-2025</t>
        </is>
      </c>
      <c r="B470" s="1" t="n">
        <v>45804.68006944445</v>
      </c>
      <c r="C470" s="1" t="n">
        <v>46017</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61889-2025</t>
        </is>
      </c>
      <c r="B471" s="1" t="n">
        <v>46003.44765046296</v>
      </c>
      <c r="C471" s="1" t="n">
        <v>46017</v>
      </c>
      <c r="D471" t="inlineStr">
        <is>
          <t>UPPSALA LÄN</t>
        </is>
      </c>
      <c r="E471" t="inlineStr">
        <is>
          <t>ENKÖPING</t>
        </is>
      </c>
      <c r="G471" t="n">
        <v>2.3</v>
      </c>
      <c r="H471" t="n">
        <v>0</v>
      </c>
      <c r="I471" t="n">
        <v>0</v>
      </c>
      <c r="J471" t="n">
        <v>0</v>
      </c>
      <c r="K471" t="n">
        <v>0</v>
      </c>
      <c r="L471" t="n">
        <v>0</v>
      </c>
      <c r="M471" t="n">
        <v>0</v>
      </c>
      <c r="N471" t="n">
        <v>0</v>
      </c>
      <c r="O471" t="n">
        <v>0</v>
      </c>
      <c r="P471" t="n">
        <v>0</v>
      </c>
      <c r="Q471" t="n">
        <v>0</v>
      </c>
      <c r="R471" s="2" t="inlineStr"/>
    </row>
    <row r="472" ht="15" customHeight="1">
      <c r="A472" t="inlineStr">
        <is>
          <t>A 55567-2025</t>
        </is>
      </c>
      <c r="B472" s="1" t="n">
        <v>45971.65589120371</v>
      </c>
      <c r="C472" s="1" t="n">
        <v>46017</v>
      </c>
      <c r="D472" t="inlineStr">
        <is>
          <t>UPPSALA LÄN</t>
        </is>
      </c>
      <c r="E472" t="inlineStr">
        <is>
          <t>ENKÖPING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35067-2024</t>
        </is>
      </c>
      <c r="B473" s="1" t="n">
        <v>45527.66153935185</v>
      </c>
      <c r="C473" s="1" t="n">
        <v>46017</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27829-2025</t>
        </is>
      </c>
      <c r="B474" s="1" t="n">
        <v>45817</v>
      </c>
      <c r="C474" s="1" t="n">
        <v>46017</v>
      </c>
      <c r="D474" t="inlineStr">
        <is>
          <t>UPPSALA LÄN</t>
        </is>
      </c>
      <c r="E474" t="inlineStr">
        <is>
          <t>ENKÖPING</t>
        </is>
      </c>
      <c r="G474" t="n">
        <v>2.1</v>
      </c>
      <c r="H474" t="n">
        <v>0</v>
      </c>
      <c r="I474" t="n">
        <v>0</v>
      </c>
      <c r="J474" t="n">
        <v>0</v>
      </c>
      <c r="K474" t="n">
        <v>0</v>
      </c>
      <c r="L474" t="n">
        <v>0</v>
      </c>
      <c r="M474" t="n">
        <v>0</v>
      </c>
      <c r="N474" t="n">
        <v>0</v>
      </c>
      <c r="O474" t="n">
        <v>0</v>
      </c>
      <c r="P474" t="n">
        <v>0</v>
      </c>
      <c r="Q474" t="n">
        <v>0</v>
      </c>
      <c r="R474" s="2" t="inlineStr"/>
    </row>
    <row r="475" ht="15" customHeight="1">
      <c r="A475" t="inlineStr">
        <is>
          <t>A 28855-2025</t>
        </is>
      </c>
      <c r="B475" s="1" t="n">
        <v>45820.58274305556</v>
      </c>
      <c r="C475" s="1" t="n">
        <v>46017</v>
      </c>
      <c r="D475" t="inlineStr">
        <is>
          <t>UPPSALA LÄN</t>
        </is>
      </c>
      <c r="E475" t="inlineStr">
        <is>
          <t>ENKÖPING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28758-2025</t>
        </is>
      </c>
      <c r="B476" s="1" t="n">
        <v>45820.41212962963</v>
      </c>
      <c r="C476" s="1" t="n">
        <v>46017</v>
      </c>
      <c r="D476" t="inlineStr">
        <is>
          <t>UPPSALA LÄN</t>
        </is>
      </c>
      <c r="E476" t="inlineStr">
        <is>
          <t>ENKÖPING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39009-2024</t>
        </is>
      </c>
      <c r="B477" s="1" t="n">
        <v>45548</v>
      </c>
      <c r="C477" s="1" t="n">
        <v>46017</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8537-2025</t>
        </is>
      </c>
      <c r="B478" s="1" t="n">
        <v>45709</v>
      </c>
      <c r="C478" s="1" t="n">
        <v>46017</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28862-2025</t>
        </is>
      </c>
      <c r="B479" s="1" t="n">
        <v>45820.59189814814</v>
      </c>
      <c r="C479" s="1" t="n">
        <v>46017</v>
      </c>
      <c r="D479" t="inlineStr">
        <is>
          <t>UPPSALA LÄN</t>
        </is>
      </c>
      <c r="E479" t="inlineStr">
        <is>
          <t>ENKÖPING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29093-2025</t>
        </is>
      </c>
      <c r="B480" s="1" t="n">
        <v>45821.55743055556</v>
      </c>
      <c r="C480" s="1" t="n">
        <v>46017</v>
      </c>
      <c r="D480" t="inlineStr">
        <is>
          <t>UPPSALA LÄN</t>
        </is>
      </c>
      <c r="E480" t="inlineStr">
        <is>
          <t>ENKÖPING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29477-2025</t>
        </is>
      </c>
      <c r="B481" s="1" t="n">
        <v>45824.71537037037</v>
      </c>
      <c r="C481" s="1" t="n">
        <v>46017</v>
      </c>
      <c r="D481" t="inlineStr">
        <is>
          <t>UPPSALA LÄN</t>
        </is>
      </c>
      <c r="E481" t="inlineStr">
        <is>
          <t>ENKÖPING</t>
        </is>
      </c>
      <c r="G481" t="n">
        <v>13.4</v>
      </c>
      <c r="H481" t="n">
        <v>0</v>
      </c>
      <c r="I481" t="n">
        <v>0</v>
      </c>
      <c r="J481" t="n">
        <v>0</v>
      </c>
      <c r="K481" t="n">
        <v>0</v>
      </c>
      <c r="L481" t="n">
        <v>0</v>
      </c>
      <c r="M481" t="n">
        <v>0</v>
      </c>
      <c r="N481" t="n">
        <v>0</v>
      </c>
      <c r="O481" t="n">
        <v>0</v>
      </c>
      <c r="P481" t="n">
        <v>0</v>
      </c>
      <c r="Q481" t="n">
        <v>0</v>
      </c>
      <c r="R481" s="2" t="inlineStr"/>
    </row>
    <row r="482" ht="15" customHeight="1">
      <c r="A482" t="inlineStr">
        <is>
          <t>A 30837-2025</t>
        </is>
      </c>
      <c r="B482" s="1" t="n">
        <v>45831.7063425926</v>
      </c>
      <c r="C482" s="1" t="n">
        <v>46017</v>
      </c>
      <c r="D482" t="inlineStr">
        <is>
          <t>UPPSALA LÄN</t>
        </is>
      </c>
      <c r="E482" t="inlineStr">
        <is>
          <t>ENKÖPING</t>
        </is>
      </c>
      <c r="G482" t="n">
        <v>3.8</v>
      </c>
      <c r="H482" t="n">
        <v>0</v>
      </c>
      <c r="I482" t="n">
        <v>0</v>
      </c>
      <c r="J482" t="n">
        <v>0</v>
      </c>
      <c r="K482" t="n">
        <v>0</v>
      </c>
      <c r="L482" t="n">
        <v>0</v>
      </c>
      <c r="M482" t="n">
        <v>0</v>
      </c>
      <c r="N482" t="n">
        <v>0</v>
      </c>
      <c r="O482" t="n">
        <v>0</v>
      </c>
      <c r="P482" t="n">
        <v>0</v>
      </c>
      <c r="Q482" t="n">
        <v>0</v>
      </c>
      <c r="R482" s="2" t="inlineStr"/>
    </row>
    <row r="483" ht="15" customHeight="1">
      <c r="A483" t="inlineStr">
        <is>
          <t>A 32031-2025</t>
        </is>
      </c>
      <c r="B483" s="1" t="n">
        <v>45835.41712962963</v>
      </c>
      <c r="C483" s="1" t="n">
        <v>46017</v>
      </c>
      <c r="D483" t="inlineStr">
        <is>
          <t>UPPSALA LÄN</t>
        </is>
      </c>
      <c r="E483" t="inlineStr">
        <is>
          <t>ENKÖPING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32111-2025</t>
        </is>
      </c>
      <c r="B484" s="1" t="n">
        <v>45835</v>
      </c>
      <c r="C484" s="1" t="n">
        <v>46017</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15740-2025</t>
        </is>
      </c>
      <c r="B485" s="1" t="n">
        <v>45748</v>
      </c>
      <c r="C485" s="1" t="n">
        <v>46017</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57848-2024</t>
        </is>
      </c>
      <c r="B486" s="1" t="n">
        <v>45631.40947916666</v>
      </c>
      <c r="C486" s="1" t="n">
        <v>46017</v>
      </c>
      <c r="D486" t="inlineStr">
        <is>
          <t>UPPSALA LÄN</t>
        </is>
      </c>
      <c r="E486" t="inlineStr">
        <is>
          <t>ENKÖPING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18994-2025</t>
        </is>
      </c>
      <c r="B487" s="1" t="n">
        <v>45764.57350694444</v>
      </c>
      <c r="C487" s="1" t="n">
        <v>46017</v>
      </c>
      <c r="D487" t="inlineStr">
        <is>
          <t>UPPSALA LÄN</t>
        </is>
      </c>
      <c r="E487" t="inlineStr">
        <is>
          <t>ENKÖPING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49601-2024</t>
        </is>
      </c>
      <c r="B488" s="1" t="n">
        <v>45596.56288194445</v>
      </c>
      <c r="C488" s="1" t="n">
        <v>46017</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17844-2025</t>
        </is>
      </c>
      <c r="B489" s="1" t="n">
        <v>45758.59920138889</v>
      </c>
      <c r="C489" s="1" t="n">
        <v>46017</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27837-2025</t>
        </is>
      </c>
      <c r="B490" s="1" t="n">
        <v>45817.37207175926</v>
      </c>
      <c r="C490" s="1" t="n">
        <v>46017</v>
      </c>
      <c r="D490" t="inlineStr">
        <is>
          <t>UPPSALA LÄN</t>
        </is>
      </c>
      <c r="E490" t="inlineStr">
        <is>
          <t>ENKÖPING</t>
        </is>
      </c>
      <c r="G490" t="n">
        <v>7.3</v>
      </c>
      <c r="H490" t="n">
        <v>0</v>
      </c>
      <c r="I490" t="n">
        <v>0</v>
      </c>
      <c r="J490" t="n">
        <v>0</v>
      </c>
      <c r="K490" t="n">
        <v>0</v>
      </c>
      <c r="L490" t="n">
        <v>0</v>
      </c>
      <c r="M490" t="n">
        <v>0</v>
      </c>
      <c r="N490" t="n">
        <v>0</v>
      </c>
      <c r="O490" t="n">
        <v>0</v>
      </c>
      <c r="P490" t="n">
        <v>0</v>
      </c>
      <c r="Q490" t="n">
        <v>0</v>
      </c>
      <c r="R490" s="2" t="inlineStr"/>
    </row>
    <row r="491" ht="15" customHeight="1">
      <c r="A491" t="inlineStr">
        <is>
          <t>A 29513-2025</t>
        </is>
      </c>
      <c r="B491" s="1" t="n">
        <v>45825</v>
      </c>
      <c r="C491" s="1" t="n">
        <v>46017</v>
      </c>
      <c r="D491" t="inlineStr">
        <is>
          <t>UPPSALA LÄN</t>
        </is>
      </c>
      <c r="E491" t="inlineStr">
        <is>
          <t>ENKÖPING</t>
        </is>
      </c>
      <c r="G491" t="n">
        <v>2.6</v>
      </c>
      <c r="H491" t="n">
        <v>0</v>
      </c>
      <c r="I491" t="n">
        <v>0</v>
      </c>
      <c r="J491" t="n">
        <v>0</v>
      </c>
      <c r="K491" t="n">
        <v>0</v>
      </c>
      <c r="L491" t="n">
        <v>0</v>
      </c>
      <c r="M491" t="n">
        <v>0</v>
      </c>
      <c r="N491" t="n">
        <v>0</v>
      </c>
      <c r="O491" t="n">
        <v>0</v>
      </c>
      <c r="P491" t="n">
        <v>0</v>
      </c>
      <c r="Q491" t="n">
        <v>0</v>
      </c>
      <c r="R491" s="2" t="inlineStr"/>
    </row>
    <row r="492" ht="15" customHeight="1">
      <c r="A492" t="inlineStr">
        <is>
          <t>A 21501-2025</t>
        </is>
      </c>
      <c r="B492" s="1" t="n">
        <v>45782</v>
      </c>
      <c r="C492" s="1" t="n">
        <v>46017</v>
      </c>
      <c r="D492" t="inlineStr">
        <is>
          <t>UPPSALA LÄN</t>
        </is>
      </c>
      <c r="E492" t="inlineStr">
        <is>
          <t>ENKÖPING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34987-2025</t>
        </is>
      </c>
      <c r="B493" s="1" t="n">
        <v>45849</v>
      </c>
      <c r="C493" s="1" t="n">
        <v>46017</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34988-2025</t>
        </is>
      </c>
      <c r="B494" s="1" t="n">
        <v>45849</v>
      </c>
      <c r="C494" s="1" t="n">
        <v>46017</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36350-2025</t>
        </is>
      </c>
      <c r="B495" s="1" t="n">
        <v>45868</v>
      </c>
      <c r="C495" s="1" t="n">
        <v>46017</v>
      </c>
      <c r="D495" t="inlineStr">
        <is>
          <t>UPPSALA LÄN</t>
        </is>
      </c>
      <c r="E495" t="inlineStr">
        <is>
          <t>ENKÖPING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25989-2025</t>
        </is>
      </c>
      <c r="B496" s="1" t="n">
        <v>45804.65050925926</v>
      </c>
      <c r="C496" s="1" t="n">
        <v>46017</v>
      </c>
      <c r="D496" t="inlineStr">
        <is>
          <t>UPPSALA LÄN</t>
        </is>
      </c>
      <c r="E496" t="inlineStr">
        <is>
          <t>ENKÖPING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36599-2025</t>
        </is>
      </c>
      <c r="B497" s="1" t="n">
        <v>45870.51723379629</v>
      </c>
      <c r="C497" s="1" t="n">
        <v>46017</v>
      </c>
      <c r="D497" t="inlineStr">
        <is>
          <t>UPPSALA LÄN</t>
        </is>
      </c>
      <c r="E497" t="inlineStr">
        <is>
          <t>ENKÖPING</t>
        </is>
      </c>
      <c r="G497" t="n">
        <v>5.9</v>
      </c>
      <c r="H497" t="n">
        <v>0</v>
      </c>
      <c r="I497" t="n">
        <v>0</v>
      </c>
      <c r="J497" t="n">
        <v>0</v>
      </c>
      <c r="K497" t="n">
        <v>0</v>
      </c>
      <c r="L497" t="n">
        <v>0</v>
      </c>
      <c r="M497" t="n">
        <v>0</v>
      </c>
      <c r="N497" t="n">
        <v>0</v>
      </c>
      <c r="O497" t="n">
        <v>0</v>
      </c>
      <c r="P497" t="n">
        <v>0</v>
      </c>
      <c r="Q497" t="n">
        <v>0</v>
      </c>
      <c r="R497" s="2" t="inlineStr"/>
    </row>
    <row r="498" ht="15" customHeight="1">
      <c r="A498" t="inlineStr">
        <is>
          <t>A 36492-2025</t>
        </is>
      </c>
      <c r="B498" s="1" t="n">
        <v>45869</v>
      </c>
      <c r="C498" s="1" t="n">
        <v>46017</v>
      </c>
      <c r="D498" t="inlineStr">
        <is>
          <t>UPPSALA LÄN</t>
        </is>
      </c>
      <c r="E498" t="inlineStr">
        <is>
          <t>ENKÖPING</t>
        </is>
      </c>
      <c r="G498" t="n">
        <v>6.3</v>
      </c>
      <c r="H498" t="n">
        <v>0</v>
      </c>
      <c r="I498" t="n">
        <v>0</v>
      </c>
      <c r="J498" t="n">
        <v>0</v>
      </c>
      <c r="K498" t="n">
        <v>0</v>
      </c>
      <c r="L498" t="n">
        <v>0</v>
      </c>
      <c r="M498" t="n">
        <v>0</v>
      </c>
      <c r="N498" t="n">
        <v>0</v>
      </c>
      <c r="O498" t="n">
        <v>0</v>
      </c>
      <c r="P498" t="n">
        <v>0</v>
      </c>
      <c r="Q498" t="n">
        <v>0</v>
      </c>
      <c r="R498" s="2" t="inlineStr"/>
    </row>
    <row r="499" ht="15" customHeight="1">
      <c r="A499" t="inlineStr">
        <is>
          <t>A 37319-2025</t>
        </is>
      </c>
      <c r="B499" s="1" t="n">
        <v>45876</v>
      </c>
      <c r="C499" s="1" t="n">
        <v>46017</v>
      </c>
      <c r="D499" t="inlineStr">
        <is>
          <t>UPPSALA LÄN</t>
        </is>
      </c>
      <c r="E499" t="inlineStr">
        <is>
          <t>ENKÖPING</t>
        </is>
      </c>
      <c r="G499" t="n">
        <v>9.5</v>
      </c>
      <c r="H499" t="n">
        <v>0</v>
      </c>
      <c r="I499" t="n">
        <v>0</v>
      </c>
      <c r="J499" t="n">
        <v>0</v>
      </c>
      <c r="K499" t="n">
        <v>0</v>
      </c>
      <c r="L499" t="n">
        <v>0</v>
      </c>
      <c r="M499" t="n">
        <v>0</v>
      </c>
      <c r="N499" t="n">
        <v>0</v>
      </c>
      <c r="O499" t="n">
        <v>0</v>
      </c>
      <c r="P499" t="n">
        <v>0</v>
      </c>
      <c r="Q499" t="n">
        <v>0</v>
      </c>
      <c r="R499" s="2" t="inlineStr"/>
    </row>
    <row r="500" ht="15" customHeight="1">
      <c r="A500" t="inlineStr">
        <is>
          <t>A 37296-2025</t>
        </is>
      </c>
      <c r="B500" s="1" t="n">
        <v>45876</v>
      </c>
      <c r="C500" s="1" t="n">
        <v>46017</v>
      </c>
      <c r="D500" t="inlineStr">
        <is>
          <t>UPPSALA LÄN</t>
        </is>
      </c>
      <c r="E500" t="inlineStr">
        <is>
          <t>ENKÖPING</t>
        </is>
      </c>
      <c r="G500" t="n">
        <v>9.5</v>
      </c>
      <c r="H500" t="n">
        <v>0</v>
      </c>
      <c r="I500" t="n">
        <v>0</v>
      </c>
      <c r="J500" t="n">
        <v>0</v>
      </c>
      <c r="K500" t="n">
        <v>0</v>
      </c>
      <c r="L500" t="n">
        <v>0</v>
      </c>
      <c r="M500" t="n">
        <v>0</v>
      </c>
      <c r="N500" t="n">
        <v>0</v>
      </c>
      <c r="O500" t="n">
        <v>0</v>
      </c>
      <c r="P500" t="n">
        <v>0</v>
      </c>
      <c r="Q500" t="n">
        <v>0</v>
      </c>
      <c r="R500" s="2" t="inlineStr"/>
    </row>
    <row r="501" ht="15" customHeight="1">
      <c r="A501" t="inlineStr">
        <is>
          <t>A 37498-2025</t>
        </is>
      </c>
      <c r="B501" s="1" t="n">
        <v>45877</v>
      </c>
      <c r="C501" s="1" t="n">
        <v>46017</v>
      </c>
      <c r="D501" t="inlineStr">
        <is>
          <t>UPPSALA LÄN</t>
        </is>
      </c>
      <c r="E501" t="inlineStr">
        <is>
          <t>ENKÖPING</t>
        </is>
      </c>
      <c r="G501" t="n">
        <v>1.2</v>
      </c>
      <c r="H501" t="n">
        <v>0</v>
      </c>
      <c r="I501" t="n">
        <v>0</v>
      </c>
      <c r="J501" t="n">
        <v>0</v>
      </c>
      <c r="K501" t="n">
        <v>0</v>
      </c>
      <c r="L501" t="n">
        <v>0</v>
      </c>
      <c r="M501" t="n">
        <v>0</v>
      </c>
      <c r="N501" t="n">
        <v>0</v>
      </c>
      <c r="O501" t="n">
        <v>0</v>
      </c>
      <c r="P501" t="n">
        <v>0</v>
      </c>
      <c r="Q501" t="n">
        <v>0</v>
      </c>
      <c r="R501" s="2" t="inlineStr"/>
    </row>
    <row r="502">
      <c r="A502" t="inlineStr">
        <is>
          <t>A 49622-2024</t>
        </is>
      </c>
      <c r="B502" s="1" t="n">
        <v>45596.58372685185</v>
      </c>
      <c r="C502" s="1" t="n">
        <v>46017</v>
      </c>
      <c r="D502" t="inlineStr">
        <is>
          <t>UPPSALA LÄN</t>
        </is>
      </c>
      <c r="E502" t="inlineStr">
        <is>
          <t>ENKÖPING</t>
        </is>
      </c>
      <c r="G502" t="n">
        <v>1.3</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2025-12-26T09:33:14Z</dcterms:created>
  <dcterms:modified xmlns:dcterms="http://purl.org/dc/terms/" xmlns:xsi="http://www.w3.org/2001/XMLSchema-instance" xsi:type="dcterms:W3CDTF">2025-12-26T09:33:14Z</dcterms:modified>
</cp:coreProperties>
</file>