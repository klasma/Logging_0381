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45893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45893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45893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45893</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45893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45893</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45893</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45893</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45893</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45893</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28900-2024</t>
        </is>
      </c>
      <c r="B22" s="1" t="n">
        <v>45480</v>
      </c>
      <c r="C22" s="1" t="n">
        <v>45893</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45893</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46749-2024</t>
        </is>
      </c>
      <c r="B24" s="1" t="n">
        <v>45583.48347222222</v>
      </c>
      <c r="C24" s="1" t="n">
        <v>45893</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21970-2025</t>
        </is>
      </c>
      <c r="B25" s="1" t="n">
        <v>45784.63335648148</v>
      </c>
      <c r="C25" s="1" t="n">
        <v>45893</v>
      </c>
      <c r="D25" t="inlineStr">
        <is>
          <t>UPPSALA LÄN</t>
        </is>
      </c>
      <c r="E25" t="inlineStr">
        <is>
          <t>ENKÖPING</t>
        </is>
      </c>
      <c r="G25" t="n">
        <v>5.3</v>
      </c>
      <c r="H25" t="n">
        <v>1</v>
      </c>
      <c r="I25" t="n">
        <v>0</v>
      </c>
      <c r="J25" t="n">
        <v>0</v>
      </c>
      <c r="K25" t="n">
        <v>0</v>
      </c>
      <c r="L25" t="n">
        <v>0</v>
      </c>
      <c r="M25" t="n">
        <v>0</v>
      </c>
      <c r="N25" t="n">
        <v>0</v>
      </c>
      <c r="O25" t="n">
        <v>0</v>
      </c>
      <c r="P25" t="n">
        <v>0</v>
      </c>
      <c r="Q25" t="n">
        <v>1</v>
      </c>
      <c r="R25" s="2" t="inlineStr">
        <is>
          <t>Blåsippa</t>
        </is>
      </c>
      <c r="S25">
        <f>HYPERLINK("https://klasma.github.io/Logging_0381/artfynd/A 21970-2025 artfynd.xlsx", "A 21970-2025")</f>
        <v/>
      </c>
      <c r="T25">
        <f>HYPERLINK("https://klasma.github.io/Logging_0381/kartor/A 21970-2025 karta.png", "A 21970-2025")</f>
        <v/>
      </c>
      <c r="V25">
        <f>HYPERLINK("https://klasma.github.io/Logging_0381/klagomål/A 21970-2025 FSC-klagomål.docx", "A 21970-2025")</f>
        <v/>
      </c>
      <c r="W25">
        <f>HYPERLINK("https://klasma.github.io/Logging_0381/klagomålsmail/A 21970-2025 FSC-klagomål mail.docx", "A 21970-2025")</f>
        <v/>
      </c>
      <c r="X25">
        <f>HYPERLINK("https://klasma.github.io/Logging_0381/tillsyn/A 21970-2025 tillsynsbegäran.docx", "A 21970-2025")</f>
        <v/>
      </c>
      <c r="Y25">
        <f>HYPERLINK("https://klasma.github.io/Logging_0381/tillsynsmail/A 21970-2025 tillsynsbegäran mail.docx", "A 21970-2025")</f>
        <v/>
      </c>
    </row>
    <row r="26" ht="15" customHeight="1">
      <c r="A26" t="inlineStr">
        <is>
          <t>A 45116-2023</t>
        </is>
      </c>
      <c r="B26" s="1" t="n">
        <v>45191</v>
      </c>
      <c r="C26" s="1" t="n">
        <v>45893</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1524-2023</t>
        </is>
      </c>
      <c r="B27" s="1" t="n">
        <v>44935</v>
      </c>
      <c r="C27" s="1" t="n">
        <v>45893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45893</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45893</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29510-2025</t>
        </is>
      </c>
      <c r="B30" s="1" t="n">
        <v>45825</v>
      </c>
      <c r="C30" s="1" t="n">
        <v>45893</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23961-2022</t>
        </is>
      </c>
      <c r="B31" s="1" t="n">
        <v>44722</v>
      </c>
      <c r="C31" s="1" t="n">
        <v>45893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16683-2021</t>
        </is>
      </c>
      <c r="B32" s="1" t="n">
        <v>44294.58495370371</v>
      </c>
      <c r="C32" s="1" t="n">
        <v>45893</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45893</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45893</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45893</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45893</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45893</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45893</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45893</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45893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45893</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45893</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45893</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45893</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45893</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45893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45893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45893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45893</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45893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45893</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45893</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45893</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45893</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45893</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45893</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45893</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45893</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45893</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45893</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45893</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45893</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45893</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45893</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45893</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45893</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45893</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45893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45893</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45893</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45893</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45893</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45893</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45893</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45893</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45893</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57055-2021</t>
        </is>
      </c>
      <c r="B99" s="1" t="n">
        <v>44482.55201388889</v>
      </c>
      <c r="C99" s="1" t="n">
        <v>45893</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45893</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45893</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45893</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45893</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47106-2021</t>
        </is>
      </c>
      <c r="B104" s="1" t="n">
        <v>44446</v>
      </c>
      <c r="C104" s="1" t="n">
        <v>45893</v>
      </c>
      <c r="D104" t="inlineStr">
        <is>
          <t>UPPSALA LÄN</t>
        </is>
      </c>
      <c r="E104" t="inlineStr">
        <is>
          <t>ENKÖPING</t>
        </is>
      </c>
      <c r="G104" t="n">
        <v>7.6</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45893</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19731-2022</t>
        </is>
      </c>
      <c r="B106" s="1" t="n">
        <v>44694</v>
      </c>
      <c r="C106" s="1" t="n">
        <v>45893</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45893</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45893</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45893</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57043-2021</t>
        </is>
      </c>
      <c r="B110" s="1" t="n">
        <v>44482.53399305556</v>
      </c>
      <c r="C110" s="1" t="n">
        <v>45893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47516-2022</t>
        </is>
      </c>
      <c r="B111" s="1" t="n">
        <v>44853.68895833333</v>
      </c>
      <c r="C111" s="1" t="n">
        <v>45893</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15021-2022</t>
        </is>
      </c>
      <c r="B112" s="1" t="n">
        <v>44657</v>
      </c>
      <c r="C112" s="1" t="n">
        <v>45893</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45893</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57802-2020</t>
        </is>
      </c>
      <c r="B114" s="1" t="n">
        <v>44141</v>
      </c>
      <c r="C114" s="1" t="n">
        <v>45893</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45893</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42021-2021</t>
        </is>
      </c>
      <c r="B116" s="1" t="n">
        <v>44426</v>
      </c>
      <c r="C116" s="1" t="n">
        <v>45893</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45893</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52464-2020</t>
        </is>
      </c>
      <c r="B118" s="1" t="n">
        <v>44118</v>
      </c>
      <c r="C118" s="1" t="n">
        <v>45893</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51092-2020</t>
        </is>
      </c>
      <c r="B119" s="1" t="n">
        <v>44112</v>
      </c>
      <c r="C119" s="1" t="n">
        <v>45893</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16176-2025</t>
        </is>
      </c>
      <c r="B120" s="1" t="n">
        <v>45750</v>
      </c>
      <c r="C120" s="1" t="n">
        <v>45893</v>
      </c>
      <c r="D120" t="inlineStr">
        <is>
          <t>UPPSALA LÄN</t>
        </is>
      </c>
      <c r="E120" t="inlineStr">
        <is>
          <t>ENKÖPING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45893</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56713-2024</t>
        </is>
      </c>
      <c r="B122" s="1" t="n">
        <v>45628</v>
      </c>
      <c r="C122" s="1" t="n">
        <v>45893</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42029-2021</t>
        </is>
      </c>
      <c r="B123" s="1" t="n">
        <v>44426</v>
      </c>
      <c r="C123" s="1" t="n">
        <v>45893</v>
      </c>
      <c r="D123" t="inlineStr">
        <is>
          <t>UPPSALA LÄN</t>
        </is>
      </c>
      <c r="E123" t="inlineStr">
        <is>
          <t>ENKÖPING</t>
        </is>
      </c>
      <c r="G123" t="n">
        <v>5.3</v>
      </c>
      <c r="H123" t="n">
        <v>0</v>
      </c>
      <c r="I123" t="n">
        <v>0</v>
      </c>
      <c r="J123" t="n">
        <v>0</v>
      </c>
      <c r="K123" t="n">
        <v>0</v>
      </c>
      <c r="L123" t="n">
        <v>0</v>
      </c>
      <c r="M123" t="n">
        <v>0</v>
      </c>
      <c r="N123" t="n">
        <v>0</v>
      </c>
      <c r="O123" t="n">
        <v>0</v>
      </c>
      <c r="P123" t="n">
        <v>0</v>
      </c>
      <c r="Q123" t="n">
        <v>0</v>
      </c>
      <c r="R123" s="2" t="inlineStr"/>
    </row>
    <row r="124" ht="15" customHeight="1">
      <c r="A124" t="inlineStr">
        <is>
          <t>A 37870-2023</t>
        </is>
      </c>
      <c r="B124" s="1" t="n">
        <v>45160.41996527778</v>
      </c>
      <c r="C124" s="1" t="n">
        <v>45893</v>
      </c>
      <c r="D124" t="inlineStr">
        <is>
          <t>UPPSALA LÄN</t>
        </is>
      </c>
      <c r="E124" t="inlineStr">
        <is>
          <t>ENKÖPING</t>
        </is>
      </c>
      <c r="G124" t="n">
        <v>3.5</v>
      </c>
      <c r="H124" t="n">
        <v>0</v>
      </c>
      <c r="I124" t="n">
        <v>0</v>
      </c>
      <c r="J124" t="n">
        <v>0</v>
      </c>
      <c r="K124" t="n">
        <v>0</v>
      </c>
      <c r="L124" t="n">
        <v>0</v>
      </c>
      <c r="M124" t="n">
        <v>0</v>
      </c>
      <c r="N124" t="n">
        <v>0</v>
      </c>
      <c r="O124" t="n">
        <v>0</v>
      </c>
      <c r="P124" t="n">
        <v>0</v>
      </c>
      <c r="Q124" t="n">
        <v>0</v>
      </c>
      <c r="R124" s="2" t="inlineStr"/>
    </row>
    <row r="125" ht="15" customHeight="1">
      <c r="A125" t="inlineStr">
        <is>
          <t>A 49063-2024</t>
        </is>
      </c>
      <c r="B125" s="1" t="n">
        <v>45594.59869212963</v>
      </c>
      <c r="C125" s="1" t="n">
        <v>45893</v>
      </c>
      <c r="D125" t="inlineStr">
        <is>
          <t>UPPSALA LÄN</t>
        </is>
      </c>
      <c r="E125" t="inlineStr">
        <is>
          <t>ENKÖPING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13853-2023</t>
        </is>
      </c>
      <c r="B126" s="1" t="n">
        <v>45007</v>
      </c>
      <c r="C126" s="1" t="n">
        <v>45893</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22094-2023</t>
        </is>
      </c>
      <c r="B127" s="1" t="n">
        <v>45069</v>
      </c>
      <c r="C127" s="1" t="n">
        <v>45893</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17165-2025</t>
        </is>
      </c>
      <c r="B128" s="1" t="n">
        <v>45756</v>
      </c>
      <c r="C128" s="1" t="n">
        <v>45893</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5013-2025</t>
        </is>
      </c>
      <c r="B129" s="1" t="n">
        <v>45691</v>
      </c>
      <c r="C129" s="1" t="n">
        <v>45893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50747-2022</t>
        </is>
      </c>
      <c r="B130" s="1" t="n">
        <v>44867.40162037037</v>
      </c>
      <c r="C130" s="1" t="n">
        <v>45893</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15405-2025</t>
        </is>
      </c>
      <c r="B131" s="1" t="n">
        <v>45747.44670138889</v>
      </c>
      <c r="C131" s="1" t="n">
        <v>45893</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17657-2025</t>
        </is>
      </c>
      <c r="B132" s="1" t="n">
        <v>45758.35006944444</v>
      </c>
      <c r="C132" s="1" t="n">
        <v>45893</v>
      </c>
      <c r="D132" t="inlineStr">
        <is>
          <t>UPPSALA LÄN</t>
        </is>
      </c>
      <c r="E132" t="inlineStr">
        <is>
          <t>ENKÖPING</t>
        </is>
      </c>
      <c r="G132" t="n">
        <v>3</v>
      </c>
      <c r="H132" t="n">
        <v>0</v>
      </c>
      <c r="I132" t="n">
        <v>0</v>
      </c>
      <c r="J132" t="n">
        <v>0</v>
      </c>
      <c r="K132" t="n">
        <v>0</v>
      </c>
      <c r="L132" t="n">
        <v>0</v>
      </c>
      <c r="M132" t="n">
        <v>0</v>
      </c>
      <c r="N132" t="n">
        <v>0</v>
      </c>
      <c r="O132" t="n">
        <v>0</v>
      </c>
      <c r="P132" t="n">
        <v>0</v>
      </c>
      <c r="Q132" t="n">
        <v>0</v>
      </c>
      <c r="R132" s="2" t="inlineStr"/>
    </row>
    <row r="133" ht="15" customHeight="1">
      <c r="A133" t="inlineStr">
        <is>
          <t>A 35079-2024</t>
        </is>
      </c>
      <c r="B133" s="1" t="n">
        <v>45527.66770833333</v>
      </c>
      <c r="C133" s="1" t="n">
        <v>45893</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49568-2022</t>
        </is>
      </c>
      <c r="B134" s="1" t="n">
        <v>44862.32791666667</v>
      </c>
      <c r="C134" s="1" t="n">
        <v>45893</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69567-2020</t>
        </is>
      </c>
      <c r="B135" s="1" t="n">
        <v>44194</v>
      </c>
      <c r="C135" s="1" t="n">
        <v>45893</v>
      </c>
      <c r="D135" t="inlineStr">
        <is>
          <t>UPPSALA LÄN</t>
        </is>
      </c>
      <c r="E135" t="inlineStr">
        <is>
          <t>ENKÖPING</t>
        </is>
      </c>
      <c r="G135" t="n">
        <v>1.6</v>
      </c>
      <c r="H135" t="n">
        <v>0</v>
      </c>
      <c r="I135" t="n">
        <v>0</v>
      </c>
      <c r="J135" t="n">
        <v>0</v>
      </c>
      <c r="K135" t="n">
        <v>0</v>
      </c>
      <c r="L135" t="n">
        <v>0</v>
      </c>
      <c r="M135" t="n">
        <v>0</v>
      </c>
      <c r="N135" t="n">
        <v>0</v>
      </c>
      <c r="O135" t="n">
        <v>0</v>
      </c>
      <c r="P135" t="n">
        <v>0</v>
      </c>
      <c r="Q135" t="n">
        <v>0</v>
      </c>
      <c r="R135" s="2" t="inlineStr"/>
    </row>
    <row r="136" ht="15" customHeight="1">
      <c r="A136" t="inlineStr">
        <is>
          <t>A 37170-2021</t>
        </is>
      </c>
      <c r="B136" s="1" t="n">
        <v>44395</v>
      </c>
      <c r="C136" s="1" t="n">
        <v>45893</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33581-2023</t>
        </is>
      </c>
      <c r="B137" s="1" t="n">
        <v>45131</v>
      </c>
      <c r="C137" s="1" t="n">
        <v>45893</v>
      </c>
      <c r="D137" t="inlineStr">
        <is>
          <t>UPPSALA LÄN</t>
        </is>
      </c>
      <c r="E137" t="inlineStr">
        <is>
          <t>ENKÖPING</t>
        </is>
      </c>
      <c r="G137" t="n">
        <v>3.5</v>
      </c>
      <c r="H137" t="n">
        <v>0</v>
      </c>
      <c r="I137" t="n">
        <v>0</v>
      </c>
      <c r="J137" t="n">
        <v>0</v>
      </c>
      <c r="K137" t="n">
        <v>0</v>
      </c>
      <c r="L137" t="n">
        <v>0</v>
      </c>
      <c r="M137" t="n">
        <v>0</v>
      </c>
      <c r="N137" t="n">
        <v>0</v>
      </c>
      <c r="O137" t="n">
        <v>0</v>
      </c>
      <c r="P137" t="n">
        <v>0</v>
      </c>
      <c r="Q137" t="n">
        <v>0</v>
      </c>
      <c r="R137" s="2" t="inlineStr"/>
    </row>
    <row r="138" ht="15" customHeight="1">
      <c r="A138" t="inlineStr">
        <is>
          <t>A 58147-2024</t>
        </is>
      </c>
      <c r="B138" s="1" t="n">
        <v>45632.4334375</v>
      </c>
      <c r="C138" s="1" t="n">
        <v>45893</v>
      </c>
      <c r="D138" t="inlineStr">
        <is>
          <t>UPPSALA LÄN</t>
        </is>
      </c>
      <c r="E138" t="inlineStr">
        <is>
          <t>ENKÖPING</t>
        </is>
      </c>
      <c r="G138" t="n">
        <v>3</v>
      </c>
      <c r="H138" t="n">
        <v>0</v>
      </c>
      <c r="I138" t="n">
        <v>0</v>
      </c>
      <c r="J138" t="n">
        <v>0</v>
      </c>
      <c r="K138" t="n">
        <v>0</v>
      </c>
      <c r="L138" t="n">
        <v>0</v>
      </c>
      <c r="M138" t="n">
        <v>0</v>
      </c>
      <c r="N138" t="n">
        <v>0</v>
      </c>
      <c r="O138" t="n">
        <v>0</v>
      </c>
      <c r="P138" t="n">
        <v>0</v>
      </c>
      <c r="Q138" t="n">
        <v>0</v>
      </c>
      <c r="R138" s="2" t="inlineStr"/>
    </row>
    <row r="139" ht="15" customHeight="1">
      <c r="A139" t="inlineStr">
        <is>
          <t>A 56163-2021</t>
        </is>
      </c>
      <c r="B139" s="1" t="n">
        <v>44477</v>
      </c>
      <c r="C139" s="1" t="n">
        <v>45893</v>
      </c>
      <c r="D139" t="inlineStr">
        <is>
          <t>UPPSALA LÄN</t>
        </is>
      </c>
      <c r="E139" t="inlineStr">
        <is>
          <t>ENKÖPING</t>
        </is>
      </c>
      <c r="F139" t="inlineStr">
        <is>
          <t>Allmännings- och besparingsskogar</t>
        </is>
      </c>
      <c r="G139" t="n">
        <v>0.6</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45893</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4562-2025</t>
        </is>
      </c>
      <c r="B141" s="1" t="n">
        <v>45687</v>
      </c>
      <c r="C141" s="1" t="n">
        <v>45893</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47681-2024</t>
        </is>
      </c>
      <c r="B142" s="1" t="n">
        <v>45588</v>
      </c>
      <c r="C142" s="1" t="n">
        <v>45893</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51932-2022</t>
        </is>
      </c>
      <c r="B143" s="1" t="n">
        <v>44872</v>
      </c>
      <c r="C143" s="1" t="n">
        <v>45893</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39935-2020</t>
        </is>
      </c>
      <c r="B144" s="1" t="n">
        <v>44067</v>
      </c>
      <c r="C144" s="1" t="n">
        <v>45893</v>
      </c>
      <c r="D144" t="inlineStr">
        <is>
          <t>UPPSALA LÄN</t>
        </is>
      </c>
      <c r="E144" t="inlineStr">
        <is>
          <t>ENKÖPING</t>
        </is>
      </c>
      <c r="G144" t="n">
        <v>4.2</v>
      </c>
      <c r="H144" t="n">
        <v>0</v>
      </c>
      <c r="I144" t="n">
        <v>0</v>
      </c>
      <c r="J144" t="n">
        <v>0</v>
      </c>
      <c r="K144" t="n">
        <v>0</v>
      </c>
      <c r="L144" t="n">
        <v>0</v>
      </c>
      <c r="M144" t="n">
        <v>0</v>
      </c>
      <c r="N144" t="n">
        <v>0</v>
      </c>
      <c r="O144" t="n">
        <v>0</v>
      </c>
      <c r="P144" t="n">
        <v>0</v>
      </c>
      <c r="Q144" t="n">
        <v>0</v>
      </c>
      <c r="R144" s="2" t="inlineStr"/>
    </row>
    <row r="145" ht="15" customHeight="1">
      <c r="A145" t="inlineStr">
        <is>
          <t>A 53496-2022</t>
        </is>
      </c>
      <c r="B145" s="1" t="n">
        <v>44879.57217592592</v>
      </c>
      <c r="C145" s="1" t="n">
        <v>45893</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3550-2023</t>
        </is>
      </c>
      <c r="B146" s="1" t="n">
        <v>44950</v>
      </c>
      <c r="C146" s="1" t="n">
        <v>45893</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19014-2025</t>
        </is>
      </c>
      <c r="B147" s="1" t="n">
        <v>45764.59631944444</v>
      </c>
      <c r="C147" s="1" t="n">
        <v>45893</v>
      </c>
      <c r="D147" t="inlineStr">
        <is>
          <t>UPPSALA LÄN</t>
        </is>
      </c>
      <c r="E147" t="inlineStr">
        <is>
          <t>ENKÖPING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15942-2022</t>
        </is>
      </c>
      <c r="B148" s="1" t="n">
        <v>44664</v>
      </c>
      <c r="C148" s="1" t="n">
        <v>45893</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2974-2025</t>
        </is>
      </c>
      <c r="B149" s="1" t="n">
        <v>45678.47168981482</v>
      </c>
      <c r="C149" s="1" t="n">
        <v>45893</v>
      </c>
      <c r="D149" t="inlineStr">
        <is>
          <t>UPPSALA LÄN</t>
        </is>
      </c>
      <c r="E149" t="inlineStr">
        <is>
          <t>ENKÖPING</t>
        </is>
      </c>
      <c r="G149" t="n">
        <v>1.6</v>
      </c>
      <c r="H149" t="n">
        <v>0</v>
      </c>
      <c r="I149" t="n">
        <v>0</v>
      </c>
      <c r="J149" t="n">
        <v>0</v>
      </c>
      <c r="K149" t="n">
        <v>0</v>
      </c>
      <c r="L149" t="n">
        <v>0</v>
      </c>
      <c r="M149" t="n">
        <v>0</v>
      </c>
      <c r="N149" t="n">
        <v>0</v>
      </c>
      <c r="O149" t="n">
        <v>0</v>
      </c>
      <c r="P149" t="n">
        <v>0</v>
      </c>
      <c r="Q149" t="n">
        <v>0</v>
      </c>
      <c r="R149" s="2" t="inlineStr"/>
    </row>
    <row r="150" ht="15" customHeight="1">
      <c r="A150" t="inlineStr">
        <is>
          <t>A 12958-2024</t>
        </is>
      </c>
      <c r="B150" s="1" t="n">
        <v>45385</v>
      </c>
      <c r="C150" s="1" t="n">
        <v>45893</v>
      </c>
      <c r="D150" t="inlineStr">
        <is>
          <t>UPPSALA LÄN</t>
        </is>
      </c>
      <c r="E150" t="inlineStr">
        <is>
          <t>ENKÖPING</t>
        </is>
      </c>
      <c r="G150" t="n">
        <v>2.1</v>
      </c>
      <c r="H150" t="n">
        <v>0</v>
      </c>
      <c r="I150" t="n">
        <v>0</v>
      </c>
      <c r="J150" t="n">
        <v>0</v>
      </c>
      <c r="K150" t="n">
        <v>0</v>
      </c>
      <c r="L150" t="n">
        <v>0</v>
      </c>
      <c r="M150" t="n">
        <v>0</v>
      </c>
      <c r="N150" t="n">
        <v>0</v>
      </c>
      <c r="O150" t="n">
        <v>0</v>
      </c>
      <c r="P150" t="n">
        <v>0</v>
      </c>
      <c r="Q150" t="n">
        <v>0</v>
      </c>
      <c r="R150" s="2" t="inlineStr"/>
    </row>
    <row r="151" ht="15" customHeight="1">
      <c r="A151" t="inlineStr">
        <is>
          <t>A 27786-2023</t>
        </is>
      </c>
      <c r="B151" s="1" t="n">
        <v>45098</v>
      </c>
      <c r="C151" s="1" t="n">
        <v>45893</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59497-2022</t>
        </is>
      </c>
      <c r="B152" s="1" t="n">
        <v>44907.48258101852</v>
      </c>
      <c r="C152" s="1" t="n">
        <v>45893</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9041-2023</t>
        </is>
      </c>
      <c r="B153" s="1" t="n">
        <v>44979</v>
      </c>
      <c r="C153" s="1" t="n">
        <v>45893</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48864-2022</t>
        </is>
      </c>
      <c r="B154" s="1" t="n">
        <v>44859</v>
      </c>
      <c r="C154" s="1" t="n">
        <v>45893</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6242-2025</t>
        </is>
      </c>
      <c r="B155" s="1" t="n">
        <v>45697</v>
      </c>
      <c r="C155" s="1" t="n">
        <v>45893</v>
      </c>
      <c r="D155" t="inlineStr">
        <is>
          <t>UPPSALA LÄN</t>
        </is>
      </c>
      <c r="E155" t="inlineStr">
        <is>
          <t>ENKÖPING</t>
        </is>
      </c>
      <c r="G155" t="n">
        <v>17.9</v>
      </c>
      <c r="H155" t="n">
        <v>0</v>
      </c>
      <c r="I155" t="n">
        <v>0</v>
      </c>
      <c r="J155" t="n">
        <v>0</v>
      </c>
      <c r="K155" t="n">
        <v>0</v>
      </c>
      <c r="L155" t="n">
        <v>0</v>
      </c>
      <c r="M155" t="n">
        <v>0</v>
      </c>
      <c r="N155" t="n">
        <v>0</v>
      </c>
      <c r="O155" t="n">
        <v>0</v>
      </c>
      <c r="P155" t="n">
        <v>0</v>
      </c>
      <c r="Q155" t="n">
        <v>0</v>
      </c>
      <c r="R155" s="2" t="inlineStr"/>
    </row>
    <row r="156" ht="15" customHeight="1">
      <c r="A156" t="inlineStr">
        <is>
          <t>A 42459-2024</t>
        </is>
      </c>
      <c r="B156" s="1" t="n">
        <v>45565</v>
      </c>
      <c r="C156" s="1" t="n">
        <v>45893</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12755-2025</t>
        </is>
      </c>
      <c r="B157" s="1" t="n">
        <v>45733.56541666666</v>
      </c>
      <c r="C157" s="1" t="n">
        <v>45893</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60125-2024</t>
        </is>
      </c>
      <c r="B158" s="1" t="n">
        <v>45642</v>
      </c>
      <c r="C158" s="1" t="n">
        <v>45893</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45893</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10468-2025</t>
        </is>
      </c>
      <c r="B160" s="1" t="n">
        <v>45720</v>
      </c>
      <c r="C160" s="1" t="n">
        <v>45893</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53587-2024</t>
        </is>
      </c>
      <c r="B161" s="1" t="n">
        <v>45614.66953703704</v>
      </c>
      <c r="C161" s="1" t="n">
        <v>45893</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45893</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11503-2024</t>
        </is>
      </c>
      <c r="B163" s="1" t="n">
        <v>45372.68020833333</v>
      </c>
      <c r="C163" s="1" t="n">
        <v>45893</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5211-2024</t>
        </is>
      </c>
      <c r="B164" s="1" t="n">
        <v>45330</v>
      </c>
      <c r="C164" s="1" t="n">
        <v>45893</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51012-2024</t>
        </is>
      </c>
      <c r="B165" s="1" t="n">
        <v>45603.39686342593</v>
      </c>
      <c r="C165" s="1" t="n">
        <v>45893</v>
      </c>
      <c r="D165" t="inlineStr">
        <is>
          <t>UPPSALA LÄN</t>
        </is>
      </c>
      <c r="E165" t="inlineStr">
        <is>
          <t>ENKÖPING</t>
        </is>
      </c>
      <c r="G165" t="n">
        <v>2.7</v>
      </c>
      <c r="H165" t="n">
        <v>0</v>
      </c>
      <c r="I165" t="n">
        <v>0</v>
      </c>
      <c r="J165" t="n">
        <v>0</v>
      </c>
      <c r="K165" t="n">
        <v>0</v>
      </c>
      <c r="L165" t="n">
        <v>0</v>
      </c>
      <c r="M165" t="n">
        <v>0</v>
      </c>
      <c r="N165" t="n">
        <v>0</v>
      </c>
      <c r="O165" t="n">
        <v>0</v>
      </c>
      <c r="P165" t="n">
        <v>0</v>
      </c>
      <c r="Q165" t="n">
        <v>0</v>
      </c>
      <c r="R165" s="2" t="inlineStr"/>
    </row>
    <row r="166" ht="15" customHeight="1">
      <c r="A166" t="inlineStr">
        <is>
          <t>A 51037-2024</t>
        </is>
      </c>
      <c r="B166" s="1" t="n">
        <v>45603.43005787037</v>
      </c>
      <c r="C166" s="1" t="n">
        <v>45893</v>
      </c>
      <c r="D166" t="inlineStr">
        <is>
          <t>UPPSALA LÄN</t>
        </is>
      </c>
      <c r="E166" t="inlineStr">
        <is>
          <t>ENKÖPING</t>
        </is>
      </c>
      <c r="G166" t="n">
        <v>5.7</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45893</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39115-2024</t>
        </is>
      </c>
      <c r="B168" s="1" t="n">
        <v>45548</v>
      </c>
      <c r="C168" s="1" t="n">
        <v>45893</v>
      </c>
      <c r="D168" t="inlineStr">
        <is>
          <t>UPPSALA LÄN</t>
        </is>
      </c>
      <c r="E168" t="inlineStr">
        <is>
          <t>ENKÖPING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25334-2023</t>
        </is>
      </c>
      <c r="B169" s="1" t="n">
        <v>45083</v>
      </c>
      <c r="C169" s="1" t="n">
        <v>45893</v>
      </c>
      <c r="D169" t="inlineStr">
        <is>
          <t>UPPSALA LÄN</t>
        </is>
      </c>
      <c r="E169" t="inlineStr">
        <is>
          <t>ENKÖPING</t>
        </is>
      </c>
      <c r="G169" t="n">
        <v>0.2</v>
      </c>
      <c r="H169" t="n">
        <v>0</v>
      </c>
      <c r="I169" t="n">
        <v>0</v>
      </c>
      <c r="J169" t="n">
        <v>0</v>
      </c>
      <c r="K169" t="n">
        <v>0</v>
      </c>
      <c r="L169" t="n">
        <v>0</v>
      </c>
      <c r="M169" t="n">
        <v>0</v>
      </c>
      <c r="N169" t="n">
        <v>0</v>
      </c>
      <c r="O169" t="n">
        <v>0</v>
      </c>
      <c r="P169" t="n">
        <v>0</v>
      </c>
      <c r="Q169" t="n">
        <v>0</v>
      </c>
      <c r="R169" s="2" t="inlineStr"/>
    </row>
    <row r="170" ht="15" customHeight="1">
      <c r="A170" t="inlineStr">
        <is>
          <t>A 18299-2025</t>
        </is>
      </c>
      <c r="B170" s="1" t="n">
        <v>45762</v>
      </c>
      <c r="C170" s="1" t="n">
        <v>45893</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57940-2022</t>
        </is>
      </c>
      <c r="B171" s="1" t="n">
        <v>44900</v>
      </c>
      <c r="C171" s="1" t="n">
        <v>45893</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56837-2024</t>
        </is>
      </c>
      <c r="B172" s="1" t="n">
        <v>45628</v>
      </c>
      <c r="C172" s="1" t="n">
        <v>45893</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21686-2022</t>
        </is>
      </c>
      <c r="B173" s="1" t="n">
        <v>44707</v>
      </c>
      <c r="C173" s="1" t="n">
        <v>45893</v>
      </c>
      <c r="D173" t="inlineStr">
        <is>
          <t>UPPSALA LÄN</t>
        </is>
      </c>
      <c r="E173" t="inlineStr">
        <is>
          <t>ENKÖPING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18831-2023</t>
        </is>
      </c>
      <c r="B174" s="1" t="n">
        <v>45044.40798611111</v>
      </c>
      <c r="C174" s="1" t="n">
        <v>45893</v>
      </c>
      <c r="D174" t="inlineStr">
        <is>
          <t>UPPSALA LÄN</t>
        </is>
      </c>
      <c r="E174" t="inlineStr">
        <is>
          <t>ENKÖPING</t>
        </is>
      </c>
      <c r="G174" t="n">
        <v>4.3</v>
      </c>
      <c r="H174" t="n">
        <v>0</v>
      </c>
      <c r="I174" t="n">
        <v>0</v>
      </c>
      <c r="J174" t="n">
        <v>0</v>
      </c>
      <c r="K174" t="n">
        <v>0</v>
      </c>
      <c r="L174" t="n">
        <v>0</v>
      </c>
      <c r="M174" t="n">
        <v>0</v>
      </c>
      <c r="N174" t="n">
        <v>0</v>
      </c>
      <c r="O174" t="n">
        <v>0</v>
      </c>
      <c r="P174" t="n">
        <v>0</v>
      </c>
      <c r="Q174" t="n">
        <v>0</v>
      </c>
      <c r="R174" s="2" t="inlineStr"/>
    </row>
    <row r="175" ht="15" customHeight="1">
      <c r="A175" t="inlineStr">
        <is>
          <t>A 46593-2020</t>
        </is>
      </c>
      <c r="B175" s="1" t="n">
        <v>44095</v>
      </c>
      <c r="C175" s="1" t="n">
        <v>45893</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6172-2023</t>
        </is>
      </c>
      <c r="B176" s="1" t="n">
        <v>44964.68663194445</v>
      </c>
      <c r="C176" s="1" t="n">
        <v>45893</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14402-2023</t>
        </is>
      </c>
      <c r="B177" s="1" t="n">
        <v>45012</v>
      </c>
      <c r="C177" s="1" t="n">
        <v>45893</v>
      </c>
      <c r="D177" t="inlineStr">
        <is>
          <t>UPPSALA LÄN</t>
        </is>
      </c>
      <c r="E177" t="inlineStr">
        <is>
          <t>ENKÖPING</t>
        </is>
      </c>
      <c r="G177" t="n">
        <v>9.5</v>
      </c>
      <c r="H177" t="n">
        <v>0</v>
      </c>
      <c r="I177" t="n">
        <v>0</v>
      </c>
      <c r="J177" t="n">
        <v>0</v>
      </c>
      <c r="K177" t="n">
        <v>0</v>
      </c>
      <c r="L177" t="n">
        <v>0</v>
      </c>
      <c r="M177" t="n">
        <v>0</v>
      </c>
      <c r="N177" t="n">
        <v>0</v>
      </c>
      <c r="O177" t="n">
        <v>0</v>
      </c>
      <c r="P177" t="n">
        <v>0</v>
      </c>
      <c r="Q177" t="n">
        <v>0</v>
      </c>
      <c r="R177" s="2" t="inlineStr"/>
    </row>
    <row r="178" ht="15" customHeight="1">
      <c r="A178" t="inlineStr">
        <is>
          <t>A 63310-2021</t>
        </is>
      </c>
      <c r="B178" s="1" t="n">
        <v>44508</v>
      </c>
      <c r="C178" s="1" t="n">
        <v>45893</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18821-2023</t>
        </is>
      </c>
      <c r="B179" s="1" t="n">
        <v>45044.3782175926</v>
      </c>
      <c r="C179" s="1" t="n">
        <v>45893</v>
      </c>
      <c r="D179" t="inlineStr">
        <is>
          <t>UPPSALA LÄN</t>
        </is>
      </c>
      <c r="E179" t="inlineStr">
        <is>
          <t>ENKÖPING</t>
        </is>
      </c>
      <c r="G179" t="n">
        <v>6</v>
      </c>
      <c r="H179" t="n">
        <v>0</v>
      </c>
      <c r="I179" t="n">
        <v>0</v>
      </c>
      <c r="J179" t="n">
        <v>0</v>
      </c>
      <c r="K179" t="n">
        <v>0</v>
      </c>
      <c r="L179" t="n">
        <v>0</v>
      </c>
      <c r="M179" t="n">
        <v>0</v>
      </c>
      <c r="N179" t="n">
        <v>0</v>
      </c>
      <c r="O179" t="n">
        <v>0</v>
      </c>
      <c r="P179" t="n">
        <v>0</v>
      </c>
      <c r="Q179" t="n">
        <v>0</v>
      </c>
      <c r="R179" s="2" t="inlineStr"/>
    </row>
    <row r="180" ht="15" customHeight="1">
      <c r="A180" t="inlineStr">
        <is>
          <t>A 20440-2025</t>
        </is>
      </c>
      <c r="B180" s="1" t="n">
        <v>45775</v>
      </c>
      <c r="C180" s="1" t="n">
        <v>45893</v>
      </c>
      <c r="D180" t="inlineStr">
        <is>
          <t>UPPSALA LÄN</t>
        </is>
      </c>
      <c r="E180" t="inlineStr">
        <is>
          <t>ENKÖPING</t>
        </is>
      </c>
      <c r="G180" t="n">
        <v>1.6</v>
      </c>
      <c r="H180" t="n">
        <v>0</v>
      </c>
      <c r="I180" t="n">
        <v>0</v>
      </c>
      <c r="J180" t="n">
        <v>0</v>
      </c>
      <c r="K180" t="n">
        <v>0</v>
      </c>
      <c r="L180" t="n">
        <v>0</v>
      </c>
      <c r="M180" t="n">
        <v>0</v>
      </c>
      <c r="N180" t="n">
        <v>0</v>
      </c>
      <c r="O180" t="n">
        <v>0</v>
      </c>
      <c r="P180" t="n">
        <v>0</v>
      </c>
      <c r="Q180" t="n">
        <v>0</v>
      </c>
      <c r="R180" s="2" t="inlineStr"/>
    </row>
    <row r="181" ht="15" customHeight="1">
      <c r="A181" t="inlineStr">
        <is>
          <t>A 27983-2024</t>
        </is>
      </c>
      <c r="B181" s="1" t="n">
        <v>45476</v>
      </c>
      <c r="C181" s="1" t="n">
        <v>45893</v>
      </c>
      <c r="D181" t="inlineStr">
        <is>
          <t>UPPSALA LÄN</t>
        </is>
      </c>
      <c r="E181" t="inlineStr">
        <is>
          <t>ENKÖPING</t>
        </is>
      </c>
      <c r="G181" t="n">
        <v>3.2</v>
      </c>
      <c r="H181" t="n">
        <v>0</v>
      </c>
      <c r="I181" t="n">
        <v>0</v>
      </c>
      <c r="J181" t="n">
        <v>0</v>
      </c>
      <c r="K181" t="n">
        <v>0</v>
      </c>
      <c r="L181" t="n">
        <v>0</v>
      </c>
      <c r="M181" t="n">
        <v>0</v>
      </c>
      <c r="N181" t="n">
        <v>0</v>
      </c>
      <c r="O181" t="n">
        <v>0</v>
      </c>
      <c r="P181" t="n">
        <v>0</v>
      </c>
      <c r="Q181" t="n">
        <v>0</v>
      </c>
      <c r="R181" s="2" t="inlineStr"/>
    </row>
    <row r="182" ht="15" customHeight="1">
      <c r="A182" t="inlineStr">
        <is>
          <t>A 19488-2022</t>
        </is>
      </c>
      <c r="B182" s="1" t="n">
        <v>44693</v>
      </c>
      <c r="C182" s="1" t="n">
        <v>45893</v>
      </c>
      <c r="D182" t="inlineStr">
        <is>
          <t>UPPSALA LÄN</t>
        </is>
      </c>
      <c r="E182" t="inlineStr">
        <is>
          <t>ENKÖPING</t>
        </is>
      </c>
      <c r="G182" t="n">
        <v>7.8</v>
      </c>
      <c r="H182" t="n">
        <v>0</v>
      </c>
      <c r="I182" t="n">
        <v>0</v>
      </c>
      <c r="J182" t="n">
        <v>0</v>
      </c>
      <c r="K182" t="n">
        <v>0</v>
      </c>
      <c r="L182" t="n">
        <v>0</v>
      </c>
      <c r="M182" t="n">
        <v>0</v>
      </c>
      <c r="N182" t="n">
        <v>0</v>
      </c>
      <c r="O182" t="n">
        <v>0</v>
      </c>
      <c r="P182" t="n">
        <v>0</v>
      </c>
      <c r="Q182" t="n">
        <v>0</v>
      </c>
      <c r="R182" s="2" t="inlineStr"/>
    </row>
    <row r="183" ht="15" customHeight="1">
      <c r="A183" t="inlineStr">
        <is>
          <t>A 5188-2022</t>
        </is>
      </c>
      <c r="B183" s="1" t="n">
        <v>44594.4471412037</v>
      </c>
      <c r="C183" s="1" t="n">
        <v>45893</v>
      </c>
      <c r="D183" t="inlineStr">
        <is>
          <t>UPPSALA LÄN</t>
        </is>
      </c>
      <c r="E183" t="inlineStr">
        <is>
          <t>ENKÖPING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31622-2022</t>
        </is>
      </c>
      <c r="B184" s="1" t="n">
        <v>44775</v>
      </c>
      <c r="C184" s="1" t="n">
        <v>45893</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19298-2023</t>
        </is>
      </c>
      <c r="B185" s="1" t="n">
        <v>45048</v>
      </c>
      <c r="C185" s="1" t="n">
        <v>45893</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57335-2024</t>
        </is>
      </c>
      <c r="B186" s="1" t="n">
        <v>45629.63302083333</v>
      </c>
      <c r="C186" s="1" t="n">
        <v>45893</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6147-2021</t>
        </is>
      </c>
      <c r="B187" s="1" t="n">
        <v>44232</v>
      </c>
      <c r="C187" s="1" t="n">
        <v>45893</v>
      </c>
      <c r="D187" t="inlineStr">
        <is>
          <t>UPPSALA LÄN</t>
        </is>
      </c>
      <c r="E187" t="inlineStr">
        <is>
          <t>ENKÖPING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12102-2024</t>
        </is>
      </c>
      <c r="B188" s="1" t="n">
        <v>45377</v>
      </c>
      <c r="C188" s="1" t="n">
        <v>45893</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15939-2022</t>
        </is>
      </c>
      <c r="B189" s="1" t="n">
        <v>44664</v>
      </c>
      <c r="C189" s="1" t="n">
        <v>45893</v>
      </c>
      <c r="D189" t="inlineStr">
        <is>
          <t>UPPSALA LÄN</t>
        </is>
      </c>
      <c r="E189" t="inlineStr">
        <is>
          <t>ENKÖPING</t>
        </is>
      </c>
      <c r="G189" t="n">
        <v>2</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45893</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53208-2023</t>
        </is>
      </c>
      <c r="B191" s="1" t="n">
        <v>45226</v>
      </c>
      <c r="C191" s="1" t="n">
        <v>45893</v>
      </c>
      <c r="D191" t="inlineStr">
        <is>
          <t>UPPSALA LÄN</t>
        </is>
      </c>
      <c r="E191" t="inlineStr">
        <is>
          <t>ENKÖPING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59602-2024</t>
        </is>
      </c>
      <c r="B192" s="1" t="n">
        <v>45638</v>
      </c>
      <c r="C192" s="1" t="n">
        <v>45893</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57153-2021</t>
        </is>
      </c>
      <c r="B193" s="1" t="n">
        <v>44482</v>
      </c>
      <c r="C193" s="1" t="n">
        <v>45893</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58062-2020</t>
        </is>
      </c>
      <c r="B194" s="1" t="n">
        <v>44144</v>
      </c>
      <c r="C194" s="1" t="n">
        <v>45893</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19013-2025</t>
        </is>
      </c>
      <c r="B195" s="1" t="n">
        <v>45764.59533564815</v>
      </c>
      <c r="C195" s="1" t="n">
        <v>45893</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43697-2024</t>
        </is>
      </c>
      <c r="B196" s="1" t="n">
        <v>45569</v>
      </c>
      <c r="C196" s="1" t="n">
        <v>45893</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27837-2025</t>
        </is>
      </c>
      <c r="B197" s="1" t="n">
        <v>45817.37207175926</v>
      </c>
      <c r="C197" s="1" t="n">
        <v>45893</v>
      </c>
      <c r="D197" t="inlineStr">
        <is>
          <t>UPPSALA LÄN</t>
        </is>
      </c>
      <c r="E197" t="inlineStr">
        <is>
          <t>ENKÖPING</t>
        </is>
      </c>
      <c r="G197" t="n">
        <v>7.3</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45893</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45893</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41826-2024</t>
        </is>
      </c>
      <c r="B200" s="1" t="n">
        <v>45561</v>
      </c>
      <c r="C200" s="1" t="n">
        <v>45893</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2164-2023</t>
        </is>
      </c>
      <c r="B201" s="1" t="n">
        <v>44941</v>
      </c>
      <c r="C201" s="1" t="n">
        <v>45893</v>
      </c>
      <c r="D201" t="inlineStr">
        <is>
          <t>UPPSALA LÄN</t>
        </is>
      </c>
      <c r="E201" t="inlineStr">
        <is>
          <t>ENKÖPING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61952-2021</t>
        </is>
      </c>
      <c r="B202" s="1" t="n">
        <v>44502</v>
      </c>
      <c r="C202" s="1" t="n">
        <v>45893</v>
      </c>
      <c r="D202" t="inlineStr">
        <is>
          <t>UPPSALA LÄN</t>
        </is>
      </c>
      <c r="E202" t="inlineStr">
        <is>
          <t>ENKÖPING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42589-2022</t>
        </is>
      </c>
      <c r="B203" s="1" t="n">
        <v>44831</v>
      </c>
      <c r="C203" s="1" t="n">
        <v>45893</v>
      </c>
      <c r="D203" t="inlineStr">
        <is>
          <t>UPPSALA LÄN</t>
        </is>
      </c>
      <c r="E203" t="inlineStr">
        <is>
          <t>ENKÖPING</t>
        </is>
      </c>
      <c r="G203" t="n">
        <v>20</v>
      </c>
      <c r="H203" t="n">
        <v>0</v>
      </c>
      <c r="I203" t="n">
        <v>0</v>
      </c>
      <c r="J203" t="n">
        <v>0</v>
      </c>
      <c r="K203" t="n">
        <v>0</v>
      </c>
      <c r="L203" t="n">
        <v>0</v>
      </c>
      <c r="M203" t="n">
        <v>0</v>
      </c>
      <c r="N203" t="n">
        <v>0</v>
      </c>
      <c r="O203" t="n">
        <v>0</v>
      </c>
      <c r="P203" t="n">
        <v>0</v>
      </c>
      <c r="Q203" t="n">
        <v>0</v>
      </c>
      <c r="R203" s="2" t="inlineStr"/>
    </row>
    <row r="204" ht="15" customHeight="1">
      <c r="A204" t="inlineStr">
        <is>
          <t>A 44131-2023</t>
        </is>
      </c>
      <c r="B204" s="1" t="n">
        <v>45188</v>
      </c>
      <c r="C204" s="1" t="n">
        <v>45893</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840-2025</t>
        </is>
      </c>
      <c r="B205" s="1" t="n">
        <v>45665</v>
      </c>
      <c r="C205" s="1" t="n">
        <v>45893</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14083-2025</t>
        </is>
      </c>
      <c r="B206" s="1" t="n">
        <v>45740</v>
      </c>
      <c r="C206" s="1" t="n">
        <v>45893</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60533-2021</t>
        </is>
      </c>
      <c r="B207" s="1" t="n">
        <v>44496</v>
      </c>
      <c r="C207" s="1" t="n">
        <v>45893</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37115-2024</t>
        </is>
      </c>
      <c r="B208" s="1" t="n">
        <v>45539</v>
      </c>
      <c r="C208" s="1" t="n">
        <v>45893</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69879-2021</t>
        </is>
      </c>
      <c r="B209" s="1" t="n">
        <v>44532</v>
      </c>
      <c r="C209" s="1" t="n">
        <v>45893</v>
      </c>
      <c r="D209" t="inlineStr">
        <is>
          <t>UPPSALA LÄN</t>
        </is>
      </c>
      <c r="E209" t="inlineStr">
        <is>
          <t>ENKÖPING</t>
        </is>
      </c>
      <c r="G209" t="n">
        <v>4.2</v>
      </c>
      <c r="H209" t="n">
        <v>0</v>
      </c>
      <c r="I209" t="n">
        <v>0</v>
      </c>
      <c r="J209" t="n">
        <v>0</v>
      </c>
      <c r="K209" t="n">
        <v>0</v>
      </c>
      <c r="L209" t="n">
        <v>0</v>
      </c>
      <c r="M209" t="n">
        <v>0</v>
      </c>
      <c r="N209" t="n">
        <v>0</v>
      </c>
      <c r="O209" t="n">
        <v>0</v>
      </c>
      <c r="P209" t="n">
        <v>0</v>
      </c>
      <c r="Q209" t="n">
        <v>0</v>
      </c>
      <c r="R209" s="2" t="inlineStr"/>
    </row>
    <row r="210" ht="15" customHeight="1">
      <c r="A210" t="inlineStr">
        <is>
          <t>A 35052-2024</t>
        </is>
      </c>
      <c r="B210" s="1" t="n">
        <v>45527.6516087963</v>
      </c>
      <c r="C210" s="1" t="n">
        <v>45893</v>
      </c>
      <c r="D210" t="inlineStr">
        <is>
          <t>UPPSALA LÄN</t>
        </is>
      </c>
      <c r="E210" t="inlineStr">
        <is>
          <t>ENKÖPING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51008-2024</t>
        </is>
      </c>
      <c r="B211" s="1" t="n">
        <v>45603.39041666667</v>
      </c>
      <c r="C211" s="1" t="n">
        <v>45893</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52169-2020</t>
        </is>
      </c>
      <c r="B212" s="1" t="n">
        <v>44117</v>
      </c>
      <c r="C212" s="1" t="n">
        <v>45893</v>
      </c>
      <c r="D212" t="inlineStr">
        <is>
          <t>UPPSALA LÄN</t>
        </is>
      </c>
      <c r="E212" t="inlineStr">
        <is>
          <t>ENKÖPING</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45142-2023</t>
        </is>
      </c>
      <c r="B213" s="1" t="n">
        <v>45191.4702662037</v>
      </c>
      <c r="C213" s="1" t="n">
        <v>45893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11918-2025</t>
        </is>
      </c>
      <c r="B214" s="1" t="n">
        <v>45728.49331018519</v>
      </c>
      <c r="C214" s="1" t="n">
        <v>45893</v>
      </c>
      <c r="D214" t="inlineStr">
        <is>
          <t>UPPSALA LÄN</t>
        </is>
      </c>
      <c r="E214" t="inlineStr">
        <is>
          <t>ENKÖPING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31242-2024</t>
        </is>
      </c>
      <c r="B215" s="1" t="n">
        <v>45503</v>
      </c>
      <c r="C215" s="1" t="n">
        <v>45893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845-2025</t>
        </is>
      </c>
      <c r="B216" s="1" t="n">
        <v>45665</v>
      </c>
      <c r="C216" s="1" t="n">
        <v>45893</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849-2025</t>
        </is>
      </c>
      <c r="B217" s="1" t="n">
        <v>45665</v>
      </c>
      <c r="C217" s="1" t="n">
        <v>45893</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15757-2023</t>
        </is>
      </c>
      <c r="B218" s="1" t="n">
        <v>45021</v>
      </c>
      <c r="C218" s="1" t="n">
        <v>45893</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18038-2025</t>
        </is>
      </c>
      <c r="B219" s="1" t="n">
        <v>45761</v>
      </c>
      <c r="C219" s="1" t="n">
        <v>45893</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2161-2023</t>
        </is>
      </c>
      <c r="B220" s="1" t="n">
        <v>44941</v>
      </c>
      <c r="C220" s="1" t="n">
        <v>45893</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2165-2023</t>
        </is>
      </c>
      <c r="B221" s="1" t="n">
        <v>44941</v>
      </c>
      <c r="C221" s="1" t="n">
        <v>45893</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62158-2023</t>
        </is>
      </c>
      <c r="B222" s="1" t="n">
        <v>45267</v>
      </c>
      <c r="C222" s="1" t="n">
        <v>45893</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60350-2022</t>
        </is>
      </c>
      <c r="B223" s="1" t="n">
        <v>44910</v>
      </c>
      <c r="C223" s="1" t="n">
        <v>45893</v>
      </c>
      <c r="D223" t="inlineStr">
        <is>
          <t>UPPSALA LÄN</t>
        </is>
      </c>
      <c r="E223" t="inlineStr">
        <is>
          <t>ENKÖPING</t>
        </is>
      </c>
      <c r="F223" t="inlineStr">
        <is>
          <t>Allmännings- och besparingsskogar</t>
        </is>
      </c>
      <c r="G223" t="n">
        <v>3.5</v>
      </c>
      <c r="H223" t="n">
        <v>0</v>
      </c>
      <c r="I223" t="n">
        <v>0</v>
      </c>
      <c r="J223" t="n">
        <v>0</v>
      </c>
      <c r="K223" t="n">
        <v>0</v>
      </c>
      <c r="L223" t="n">
        <v>0</v>
      </c>
      <c r="M223" t="n">
        <v>0</v>
      </c>
      <c r="N223" t="n">
        <v>0</v>
      </c>
      <c r="O223" t="n">
        <v>0</v>
      </c>
      <c r="P223" t="n">
        <v>0</v>
      </c>
      <c r="Q223" t="n">
        <v>0</v>
      </c>
      <c r="R223" s="2" t="inlineStr"/>
    </row>
    <row r="224" ht="15" customHeight="1">
      <c r="A224" t="inlineStr">
        <is>
          <t>A 2850-2025</t>
        </is>
      </c>
      <c r="B224" s="1" t="n">
        <v>45677</v>
      </c>
      <c r="C224" s="1" t="n">
        <v>45893</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22156-2025</t>
        </is>
      </c>
      <c r="B225" s="1" t="n">
        <v>45785.57512731481</v>
      </c>
      <c r="C225" s="1" t="n">
        <v>45893</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20112-2024</t>
        </is>
      </c>
      <c r="B226" s="1" t="n">
        <v>45434</v>
      </c>
      <c r="C226" s="1" t="n">
        <v>45893</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22150-2025</t>
        </is>
      </c>
      <c r="B227" s="1" t="n">
        <v>45785.56398148148</v>
      </c>
      <c r="C227" s="1" t="n">
        <v>45893</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30087-2024</t>
        </is>
      </c>
      <c r="B228" s="1" t="n">
        <v>45489.39447916667</v>
      </c>
      <c r="C228" s="1" t="n">
        <v>45893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54776-2024</t>
        </is>
      </c>
      <c r="B229" s="1" t="n">
        <v>45618</v>
      </c>
      <c r="C229" s="1" t="n">
        <v>45893</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35647-2021</t>
        </is>
      </c>
      <c r="B230" s="1" t="n">
        <v>44386</v>
      </c>
      <c r="C230" s="1" t="n">
        <v>45893</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22729-2025</t>
        </is>
      </c>
      <c r="B231" s="1" t="n">
        <v>45789.57790509259</v>
      </c>
      <c r="C231" s="1" t="n">
        <v>45893</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14518-2025</t>
        </is>
      </c>
      <c r="B232" s="1" t="n">
        <v>45741</v>
      </c>
      <c r="C232" s="1" t="n">
        <v>45893</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22677-2025</t>
        </is>
      </c>
      <c r="B233" s="1" t="n">
        <v>45789.49515046296</v>
      </c>
      <c r="C233" s="1" t="n">
        <v>45893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22679-2025</t>
        </is>
      </c>
      <c r="B234" s="1" t="n">
        <v>45789.49747685185</v>
      </c>
      <c r="C234" s="1" t="n">
        <v>45893</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22770-2025</t>
        </is>
      </c>
      <c r="B235" s="1" t="n">
        <v>45789.63454861111</v>
      </c>
      <c r="C235" s="1" t="n">
        <v>45893</v>
      </c>
      <c r="D235" t="inlineStr">
        <is>
          <t>UPPSALA LÄN</t>
        </is>
      </c>
      <c r="E235" t="inlineStr">
        <is>
          <t>ENKÖPING</t>
        </is>
      </c>
      <c r="G235" t="n">
        <v>4.5</v>
      </c>
      <c r="H235" t="n">
        <v>0</v>
      </c>
      <c r="I235" t="n">
        <v>0</v>
      </c>
      <c r="J235" t="n">
        <v>0</v>
      </c>
      <c r="K235" t="n">
        <v>0</v>
      </c>
      <c r="L235" t="n">
        <v>0</v>
      </c>
      <c r="M235" t="n">
        <v>0</v>
      </c>
      <c r="N235" t="n">
        <v>0</v>
      </c>
      <c r="O235" t="n">
        <v>0</v>
      </c>
      <c r="P235" t="n">
        <v>0</v>
      </c>
      <c r="Q235" t="n">
        <v>0</v>
      </c>
      <c r="R235" s="2" t="inlineStr"/>
    </row>
    <row r="236" ht="15" customHeight="1">
      <c r="A236" t="inlineStr">
        <is>
          <t>A 22800-2025</t>
        </is>
      </c>
      <c r="B236" s="1" t="n">
        <v>45789.6669212963</v>
      </c>
      <c r="C236" s="1" t="n">
        <v>45893</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6981-2025</t>
        </is>
      </c>
      <c r="B237" s="1" t="n">
        <v>45701</v>
      </c>
      <c r="C237" s="1" t="n">
        <v>45893</v>
      </c>
      <c r="D237" t="inlineStr">
        <is>
          <t>UPPSALA LÄN</t>
        </is>
      </c>
      <c r="E237" t="inlineStr">
        <is>
          <t>ENKÖPING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2162-2023</t>
        </is>
      </c>
      <c r="B238" s="1" t="n">
        <v>44941</v>
      </c>
      <c r="C238" s="1" t="n">
        <v>45893</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22786-2025</t>
        </is>
      </c>
      <c r="B239" s="1" t="n">
        <v>45789.64643518518</v>
      </c>
      <c r="C239" s="1" t="n">
        <v>45893</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32081-2024</t>
        </is>
      </c>
      <c r="B240" s="1" t="n">
        <v>45511.34605324074</v>
      </c>
      <c r="C240" s="1" t="n">
        <v>45893</v>
      </c>
      <c r="D240" t="inlineStr">
        <is>
          <t>UPPSALA LÄN</t>
        </is>
      </c>
      <c r="E240" t="inlineStr">
        <is>
          <t>ENKÖPING</t>
        </is>
      </c>
      <c r="G240" t="n">
        <v>5.4</v>
      </c>
      <c r="H240" t="n">
        <v>0</v>
      </c>
      <c r="I240" t="n">
        <v>0</v>
      </c>
      <c r="J240" t="n">
        <v>0</v>
      </c>
      <c r="K240" t="n">
        <v>0</v>
      </c>
      <c r="L240" t="n">
        <v>0</v>
      </c>
      <c r="M240" t="n">
        <v>0</v>
      </c>
      <c r="N240" t="n">
        <v>0</v>
      </c>
      <c r="O240" t="n">
        <v>0</v>
      </c>
      <c r="P240" t="n">
        <v>0</v>
      </c>
      <c r="Q240" t="n">
        <v>0</v>
      </c>
      <c r="R240" s="2" t="inlineStr"/>
    </row>
    <row r="241" ht="15" customHeight="1">
      <c r="A241" t="inlineStr">
        <is>
          <t>A 68123-2021</t>
        </is>
      </c>
      <c r="B241" s="1" t="n">
        <v>44526.39126157408</v>
      </c>
      <c r="C241" s="1" t="n">
        <v>45893</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22632-2025</t>
        </is>
      </c>
      <c r="B242" s="1" t="n">
        <v>45789.44361111111</v>
      </c>
      <c r="C242" s="1" t="n">
        <v>45893</v>
      </c>
      <c r="D242" t="inlineStr">
        <is>
          <t>UPPSALA LÄN</t>
        </is>
      </c>
      <c r="E242" t="inlineStr">
        <is>
          <t>ENKÖPING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22680-2025</t>
        </is>
      </c>
      <c r="B243" s="1" t="n">
        <v>45789.5005787037</v>
      </c>
      <c r="C243" s="1" t="n">
        <v>45893</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22802-2025</t>
        </is>
      </c>
      <c r="B244" s="1" t="n">
        <v>45789.6686574074</v>
      </c>
      <c r="C244" s="1" t="n">
        <v>45893</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10458-2022</t>
        </is>
      </c>
      <c r="B245" s="1" t="n">
        <v>44623.56711805556</v>
      </c>
      <c r="C245" s="1" t="n">
        <v>45893</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22793-2025</t>
        </is>
      </c>
      <c r="B246" s="1" t="n">
        <v>45789.65693287037</v>
      </c>
      <c r="C246" s="1" t="n">
        <v>45893</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22795-2025</t>
        </is>
      </c>
      <c r="B247" s="1" t="n">
        <v>45789.65944444444</v>
      </c>
      <c r="C247" s="1" t="n">
        <v>45893</v>
      </c>
      <c r="D247" t="inlineStr">
        <is>
          <t>UPPSALA LÄN</t>
        </is>
      </c>
      <c r="E247" t="inlineStr">
        <is>
          <t>ENKÖPING</t>
        </is>
      </c>
      <c r="G247" t="n">
        <v>10.4</v>
      </c>
      <c r="H247" t="n">
        <v>0</v>
      </c>
      <c r="I247" t="n">
        <v>0</v>
      </c>
      <c r="J247" t="n">
        <v>0</v>
      </c>
      <c r="K247" t="n">
        <v>0</v>
      </c>
      <c r="L247" t="n">
        <v>0</v>
      </c>
      <c r="M247" t="n">
        <v>0</v>
      </c>
      <c r="N247" t="n">
        <v>0</v>
      </c>
      <c r="O247" t="n">
        <v>0</v>
      </c>
      <c r="P247" t="n">
        <v>0</v>
      </c>
      <c r="Q247" t="n">
        <v>0</v>
      </c>
      <c r="R247" s="2" t="inlineStr"/>
    </row>
    <row r="248" ht="15" customHeight="1">
      <c r="A248" t="inlineStr">
        <is>
          <t>A 22725-2025</t>
        </is>
      </c>
      <c r="B248" s="1" t="n">
        <v>45789.57371527778</v>
      </c>
      <c r="C248" s="1" t="n">
        <v>45893</v>
      </c>
      <c r="D248" t="inlineStr">
        <is>
          <t>UPPSALA LÄN</t>
        </is>
      </c>
      <c r="E248" t="inlineStr">
        <is>
          <t>ENKÖPING</t>
        </is>
      </c>
      <c r="G248" t="n">
        <v>4.8</v>
      </c>
      <c r="H248" t="n">
        <v>0</v>
      </c>
      <c r="I248" t="n">
        <v>0</v>
      </c>
      <c r="J248" t="n">
        <v>0</v>
      </c>
      <c r="K248" t="n">
        <v>0</v>
      </c>
      <c r="L248" t="n">
        <v>0</v>
      </c>
      <c r="M248" t="n">
        <v>0</v>
      </c>
      <c r="N248" t="n">
        <v>0</v>
      </c>
      <c r="O248" t="n">
        <v>0</v>
      </c>
      <c r="P248" t="n">
        <v>0</v>
      </c>
      <c r="Q248" t="n">
        <v>0</v>
      </c>
      <c r="R248" s="2" t="inlineStr"/>
    </row>
    <row r="249" ht="15" customHeight="1">
      <c r="A249" t="inlineStr">
        <is>
          <t>A 2968-2025</t>
        </is>
      </c>
      <c r="B249" s="1" t="n">
        <v>45678</v>
      </c>
      <c r="C249" s="1" t="n">
        <v>45893</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49525-2021</t>
        </is>
      </c>
      <c r="B250" s="1" t="n">
        <v>44455</v>
      </c>
      <c r="C250" s="1" t="n">
        <v>45893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6959-2025</t>
        </is>
      </c>
      <c r="B251" s="1" t="n">
        <v>45701.49315972222</v>
      </c>
      <c r="C251" s="1" t="n">
        <v>45893</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44115-2024</t>
        </is>
      </c>
      <c r="B252" s="1" t="n">
        <v>45572</v>
      </c>
      <c r="C252" s="1" t="n">
        <v>45893</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23020-2025</t>
        </is>
      </c>
      <c r="B253" s="1" t="n">
        <v>45790.64706018518</v>
      </c>
      <c r="C253" s="1" t="n">
        <v>45893</v>
      </c>
      <c r="D253" t="inlineStr">
        <is>
          <t>UPPSALA LÄN</t>
        </is>
      </c>
      <c r="E253" t="inlineStr">
        <is>
          <t>ENKÖPING</t>
        </is>
      </c>
      <c r="G253" t="n">
        <v>5.2</v>
      </c>
      <c r="H253" t="n">
        <v>0</v>
      </c>
      <c r="I253" t="n">
        <v>0</v>
      </c>
      <c r="J253" t="n">
        <v>0</v>
      </c>
      <c r="K253" t="n">
        <v>0</v>
      </c>
      <c r="L253" t="n">
        <v>0</v>
      </c>
      <c r="M253" t="n">
        <v>0</v>
      </c>
      <c r="N253" t="n">
        <v>0</v>
      </c>
      <c r="O253" t="n">
        <v>0</v>
      </c>
      <c r="P253" t="n">
        <v>0</v>
      </c>
      <c r="Q253" t="n">
        <v>0</v>
      </c>
      <c r="R253" s="2" t="inlineStr"/>
    </row>
    <row r="254" ht="15" customHeight="1">
      <c r="A254" t="inlineStr">
        <is>
          <t>A 9957-2023</t>
        </is>
      </c>
      <c r="B254" s="1" t="n">
        <v>44978</v>
      </c>
      <c r="C254" s="1" t="n">
        <v>45893</v>
      </c>
      <c r="D254" t="inlineStr">
        <is>
          <t>UPPSALA LÄN</t>
        </is>
      </c>
      <c r="E254" t="inlineStr">
        <is>
          <t>ENKÖPING</t>
        </is>
      </c>
      <c r="G254" t="n">
        <v>5.9</v>
      </c>
      <c r="H254" t="n">
        <v>0</v>
      </c>
      <c r="I254" t="n">
        <v>0</v>
      </c>
      <c r="J254" t="n">
        <v>0</v>
      </c>
      <c r="K254" t="n">
        <v>0</v>
      </c>
      <c r="L254" t="n">
        <v>0</v>
      </c>
      <c r="M254" t="n">
        <v>0</v>
      </c>
      <c r="N254" t="n">
        <v>0</v>
      </c>
      <c r="O254" t="n">
        <v>0</v>
      </c>
      <c r="P254" t="n">
        <v>0</v>
      </c>
      <c r="Q254" t="n">
        <v>0</v>
      </c>
      <c r="R254" s="2" t="inlineStr"/>
    </row>
    <row r="255" ht="15" customHeight="1">
      <c r="A255" t="inlineStr">
        <is>
          <t>A 30437-2022</t>
        </is>
      </c>
      <c r="B255" s="1" t="n">
        <v>44761</v>
      </c>
      <c r="C255" s="1" t="n">
        <v>45893</v>
      </c>
      <c r="D255" t="inlineStr">
        <is>
          <t>UPPSALA LÄN</t>
        </is>
      </c>
      <c r="E255" t="inlineStr">
        <is>
          <t>ENKÖPING</t>
        </is>
      </c>
      <c r="G255" t="n">
        <v>3.4</v>
      </c>
      <c r="H255" t="n">
        <v>0</v>
      </c>
      <c r="I255" t="n">
        <v>0</v>
      </c>
      <c r="J255" t="n">
        <v>0</v>
      </c>
      <c r="K255" t="n">
        <v>0</v>
      </c>
      <c r="L255" t="n">
        <v>0</v>
      </c>
      <c r="M255" t="n">
        <v>0</v>
      </c>
      <c r="N255" t="n">
        <v>0</v>
      </c>
      <c r="O255" t="n">
        <v>0</v>
      </c>
      <c r="P255" t="n">
        <v>0</v>
      </c>
      <c r="Q255" t="n">
        <v>0</v>
      </c>
      <c r="R255" s="2" t="inlineStr"/>
    </row>
    <row r="256" ht="15" customHeight="1">
      <c r="A256" t="inlineStr">
        <is>
          <t>A 51011-2024</t>
        </is>
      </c>
      <c r="B256" s="1" t="n">
        <v>45603.39427083333</v>
      </c>
      <c r="C256" s="1" t="n">
        <v>45893</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26319-2022</t>
        </is>
      </c>
      <c r="B257" s="1" t="n">
        <v>44735</v>
      </c>
      <c r="C257" s="1" t="n">
        <v>45893</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45893</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22981-2025</t>
        </is>
      </c>
      <c r="B259" s="1" t="n">
        <v>45790.56964120371</v>
      </c>
      <c r="C259" s="1" t="n">
        <v>45893</v>
      </c>
      <c r="D259" t="inlineStr">
        <is>
          <t>UPPSALA LÄN</t>
        </is>
      </c>
      <c r="E259" t="inlineStr">
        <is>
          <t>ENKÖPING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29918-2023</t>
        </is>
      </c>
      <c r="B260" s="1" t="n">
        <v>45099</v>
      </c>
      <c r="C260" s="1" t="n">
        <v>45893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16916-2023</t>
        </is>
      </c>
      <c r="B261" s="1" t="n">
        <v>45033.58347222222</v>
      </c>
      <c r="C261" s="1" t="n">
        <v>45893</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56886-2023</t>
        </is>
      </c>
      <c r="B262" s="1" t="n">
        <v>45239</v>
      </c>
      <c r="C262" s="1" t="n">
        <v>45893</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45956-2024</t>
        </is>
      </c>
      <c r="B263" s="1" t="n">
        <v>45580</v>
      </c>
      <c r="C263" s="1" t="n">
        <v>45893</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24291-2024</t>
        </is>
      </c>
      <c r="B264" s="1" t="n">
        <v>45457.4584837963</v>
      </c>
      <c r="C264" s="1" t="n">
        <v>45893</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10831-2024</t>
        </is>
      </c>
      <c r="B265" s="1" t="n">
        <v>45369</v>
      </c>
      <c r="C265" s="1" t="n">
        <v>45893</v>
      </c>
      <c r="D265" t="inlineStr">
        <is>
          <t>UPPSALA LÄN</t>
        </is>
      </c>
      <c r="E265" t="inlineStr">
        <is>
          <t>ENKÖPING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8020-2022</t>
        </is>
      </c>
      <c r="B266" s="1" t="n">
        <v>44609</v>
      </c>
      <c r="C266" s="1" t="n">
        <v>45893</v>
      </c>
      <c r="D266" t="inlineStr">
        <is>
          <t>UPPSALA LÄN</t>
        </is>
      </c>
      <c r="E266" t="inlineStr">
        <is>
          <t>ENKÖPING</t>
        </is>
      </c>
      <c r="G266" t="n">
        <v>6</v>
      </c>
      <c r="H266" t="n">
        <v>0</v>
      </c>
      <c r="I266" t="n">
        <v>0</v>
      </c>
      <c r="J266" t="n">
        <v>0</v>
      </c>
      <c r="K266" t="n">
        <v>0</v>
      </c>
      <c r="L266" t="n">
        <v>0</v>
      </c>
      <c r="M266" t="n">
        <v>0</v>
      </c>
      <c r="N266" t="n">
        <v>0</v>
      </c>
      <c r="O266" t="n">
        <v>0</v>
      </c>
      <c r="P266" t="n">
        <v>0</v>
      </c>
      <c r="Q266" t="n">
        <v>0</v>
      </c>
      <c r="R266" s="2" t="inlineStr"/>
    </row>
    <row r="267" ht="15" customHeight="1">
      <c r="A267" t="inlineStr">
        <is>
          <t>A 74090-2021</t>
        </is>
      </c>
      <c r="B267" s="1" t="n">
        <v>44557</v>
      </c>
      <c r="C267" s="1" t="n">
        <v>45893</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34805-2024</t>
        </is>
      </c>
      <c r="B268" s="1" t="n">
        <v>45526</v>
      </c>
      <c r="C268" s="1" t="n">
        <v>45893</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17729-2023</t>
        </is>
      </c>
      <c r="B269" s="1" t="n">
        <v>45037</v>
      </c>
      <c r="C269" s="1" t="n">
        <v>45893</v>
      </c>
      <c r="D269" t="inlineStr">
        <is>
          <t>UPPSALA LÄN</t>
        </is>
      </c>
      <c r="E269" t="inlineStr">
        <is>
          <t>ENKÖPING</t>
        </is>
      </c>
      <c r="G269" t="n">
        <v>10.2</v>
      </c>
      <c r="H269" t="n">
        <v>0</v>
      </c>
      <c r="I269" t="n">
        <v>0</v>
      </c>
      <c r="J269" t="n">
        <v>0</v>
      </c>
      <c r="K269" t="n">
        <v>0</v>
      </c>
      <c r="L269" t="n">
        <v>0</v>
      </c>
      <c r="M269" t="n">
        <v>0</v>
      </c>
      <c r="N269" t="n">
        <v>0</v>
      </c>
      <c r="O269" t="n">
        <v>0</v>
      </c>
      <c r="P269" t="n">
        <v>0</v>
      </c>
      <c r="Q269" t="n">
        <v>0</v>
      </c>
      <c r="R269" s="2" t="inlineStr"/>
    </row>
    <row r="270" ht="15" customHeight="1">
      <c r="A270" t="inlineStr">
        <is>
          <t>A 5712-2025</t>
        </is>
      </c>
      <c r="B270" s="1" t="n">
        <v>45694</v>
      </c>
      <c r="C270" s="1" t="n">
        <v>45893</v>
      </c>
      <c r="D270" t="inlineStr">
        <is>
          <t>UPPSALA LÄN</t>
        </is>
      </c>
      <c r="E270" t="inlineStr">
        <is>
          <t>ENKÖPING</t>
        </is>
      </c>
      <c r="G270" t="n">
        <v>5.1</v>
      </c>
      <c r="H270" t="n">
        <v>0</v>
      </c>
      <c r="I270" t="n">
        <v>0</v>
      </c>
      <c r="J270" t="n">
        <v>0</v>
      </c>
      <c r="K270" t="n">
        <v>0</v>
      </c>
      <c r="L270" t="n">
        <v>0</v>
      </c>
      <c r="M270" t="n">
        <v>0</v>
      </c>
      <c r="N270" t="n">
        <v>0</v>
      </c>
      <c r="O270" t="n">
        <v>0</v>
      </c>
      <c r="P270" t="n">
        <v>0</v>
      </c>
      <c r="Q270" t="n">
        <v>0</v>
      </c>
      <c r="R270" s="2" t="inlineStr"/>
    </row>
    <row r="271" ht="15" customHeight="1">
      <c r="A271" t="inlineStr">
        <is>
          <t>A 5749-2025</t>
        </is>
      </c>
      <c r="B271" s="1" t="n">
        <v>45694</v>
      </c>
      <c r="C271" s="1" t="n">
        <v>45893</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314-2025</t>
        </is>
      </c>
      <c r="B272" s="1" t="n">
        <v>45656</v>
      </c>
      <c r="C272" s="1" t="n">
        <v>45893</v>
      </c>
      <c r="D272" t="inlineStr">
        <is>
          <t>UPPSALA LÄN</t>
        </is>
      </c>
      <c r="E272" t="inlineStr">
        <is>
          <t>ENKÖPING</t>
        </is>
      </c>
      <c r="G272" t="n">
        <v>9</v>
      </c>
      <c r="H272" t="n">
        <v>0</v>
      </c>
      <c r="I272" t="n">
        <v>0</v>
      </c>
      <c r="J272" t="n">
        <v>0</v>
      </c>
      <c r="K272" t="n">
        <v>0</v>
      </c>
      <c r="L272" t="n">
        <v>0</v>
      </c>
      <c r="M272" t="n">
        <v>0</v>
      </c>
      <c r="N272" t="n">
        <v>0</v>
      </c>
      <c r="O272" t="n">
        <v>0</v>
      </c>
      <c r="P272" t="n">
        <v>0</v>
      </c>
      <c r="Q272" t="n">
        <v>0</v>
      </c>
      <c r="R272" s="2" t="inlineStr"/>
    </row>
    <row r="273" ht="15" customHeight="1">
      <c r="A273" t="inlineStr">
        <is>
          <t>A 21017-2023</t>
        </is>
      </c>
      <c r="B273" s="1" t="n">
        <v>45061</v>
      </c>
      <c r="C273" s="1" t="n">
        <v>45893</v>
      </c>
      <c r="D273" t="inlineStr">
        <is>
          <t>UPPSALA LÄN</t>
        </is>
      </c>
      <c r="E273" t="inlineStr">
        <is>
          <t>ENKÖPING</t>
        </is>
      </c>
      <c r="G273" t="n">
        <v>4.8</v>
      </c>
      <c r="H273" t="n">
        <v>0</v>
      </c>
      <c r="I273" t="n">
        <v>0</v>
      </c>
      <c r="J273" t="n">
        <v>0</v>
      </c>
      <c r="K273" t="n">
        <v>0</v>
      </c>
      <c r="L273" t="n">
        <v>0</v>
      </c>
      <c r="M273" t="n">
        <v>0</v>
      </c>
      <c r="N273" t="n">
        <v>0</v>
      </c>
      <c r="O273" t="n">
        <v>0</v>
      </c>
      <c r="P273" t="n">
        <v>0</v>
      </c>
      <c r="Q273" t="n">
        <v>0</v>
      </c>
      <c r="R273" s="2" t="inlineStr"/>
    </row>
    <row r="274" ht="15" customHeight="1">
      <c r="A274" t="inlineStr">
        <is>
          <t>A 11627-2025</t>
        </is>
      </c>
      <c r="B274" s="1" t="n">
        <v>45727</v>
      </c>
      <c r="C274" s="1" t="n">
        <v>45893</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18592-2021</t>
        </is>
      </c>
      <c r="B275" s="1" t="n">
        <v>44306</v>
      </c>
      <c r="C275" s="1" t="n">
        <v>45893</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2833-2025</t>
        </is>
      </c>
      <c r="B276" s="1" t="n">
        <v>45677.63206018518</v>
      </c>
      <c r="C276" s="1" t="n">
        <v>45893</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6356-2022</t>
        </is>
      </c>
      <c r="B277" s="1" t="n">
        <v>44600</v>
      </c>
      <c r="C277" s="1" t="n">
        <v>45893</v>
      </c>
      <c r="D277" t="inlineStr">
        <is>
          <t>UPPSALA LÄN</t>
        </is>
      </c>
      <c r="E277" t="inlineStr">
        <is>
          <t>ENKÖPING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24411-2024</t>
        </is>
      </c>
      <c r="B278" s="1" t="n">
        <v>45457</v>
      </c>
      <c r="C278" s="1" t="n">
        <v>45893</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45893</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50006-2023</t>
        </is>
      </c>
      <c r="B280" s="1" t="n">
        <v>45215</v>
      </c>
      <c r="C280" s="1" t="n">
        <v>45893</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45378-2020</t>
        </is>
      </c>
      <c r="B281" s="1" t="n">
        <v>44089</v>
      </c>
      <c r="C281" s="1" t="n">
        <v>45893</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56526-2022</t>
        </is>
      </c>
      <c r="B282" s="1" t="n">
        <v>44893</v>
      </c>
      <c r="C282" s="1" t="n">
        <v>45893</v>
      </c>
      <c r="D282" t="inlineStr">
        <is>
          <t>UPPSALA LÄN</t>
        </is>
      </c>
      <c r="E282" t="inlineStr">
        <is>
          <t>ENKÖPING</t>
        </is>
      </c>
      <c r="G282" t="n">
        <v>3.8</v>
      </c>
      <c r="H282" t="n">
        <v>0</v>
      </c>
      <c r="I282" t="n">
        <v>0</v>
      </c>
      <c r="J282" t="n">
        <v>0</v>
      </c>
      <c r="K282" t="n">
        <v>0</v>
      </c>
      <c r="L282" t="n">
        <v>0</v>
      </c>
      <c r="M282" t="n">
        <v>0</v>
      </c>
      <c r="N282" t="n">
        <v>0</v>
      </c>
      <c r="O282" t="n">
        <v>0</v>
      </c>
      <c r="P282" t="n">
        <v>0</v>
      </c>
      <c r="Q282" t="n">
        <v>0</v>
      </c>
      <c r="R282" s="2" t="inlineStr"/>
    </row>
    <row r="283" ht="15" customHeight="1">
      <c r="A283" t="inlineStr">
        <is>
          <t>A 39858-2024</t>
        </is>
      </c>
      <c r="B283" s="1" t="n">
        <v>45553</v>
      </c>
      <c r="C283" s="1" t="n">
        <v>45893</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60289-2022</t>
        </is>
      </c>
      <c r="B284" s="1" t="n">
        <v>44910.53026620371</v>
      </c>
      <c r="C284" s="1" t="n">
        <v>45893</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13110-2023</t>
        </is>
      </c>
      <c r="B285" s="1" t="n">
        <v>45001</v>
      </c>
      <c r="C285" s="1" t="n">
        <v>45893</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58384-2022</t>
        </is>
      </c>
      <c r="B286" s="1" t="n">
        <v>44901</v>
      </c>
      <c r="C286" s="1" t="n">
        <v>45893</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45893</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59602-2022</t>
        </is>
      </c>
      <c r="B288" s="1" t="n">
        <v>44907.72241898148</v>
      </c>
      <c r="C288" s="1" t="n">
        <v>45893</v>
      </c>
      <c r="D288" t="inlineStr">
        <is>
          <t>UPPSALA LÄN</t>
        </is>
      </c>
      <c r="E288" t="inlineStr">
        <is>
          <t>ENKÖPING</t>
        </is>
      </c>
      <c r="G288" t="n">
        <v>14.2</v>
      </c>
      <c r="H288" t="n">
        <v>0</v>
      </c>
      <c r="I288" t="n">
        <v>0</v>
      </c>
      <c r="J288" t="n">
        <v>0</v>
      </c>
      <c r="K288" t="n">
        <v>0</v>
      </c>
      <c r="L288" t="n">
        <v>0</v>
      </c>
      <c r="M288" t="n">
        <v>0</v>
      </c>
      <c r="N288" t="n">
        <v>0</v>
      </c>
      <c r="O288" t="n">
        <v>0</v>
      </c>
      <c r="P288" t="n">
        <v>0</v>
      </c>
      <c r="Q288" t="n">
        <v>0</v>
      </c>
      <c r="R288" s="2" t="inlineStr"/>
    </row>
    <row r="289" ht="15" customHeight="1">
      <c r="A289" t="inlineStr">
        <is>
          <t>A 49614-2024</t>
        </is>
      </c>
      <c r="B289" s="1" t="n">
        <v>45596.57716435185</v>
      </c>
      <c r="C289" s="1" t="n">
        <v>45893</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49632-2024</t>
        </is>
      </c>
      <c r="B290" s="1" t="n">
        <v>45596</v>
      </c>
      <c r="C290" s="1" t="n">
        <v>45893</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31965-2021</t>
        </is>
      </c>
      <c r="B291" s="1" t="n">
        <v>44370.56901620371</v>
      </c>
      <c r="C291" s="1" t="n">
        <v>45893</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29479-2022</t>
        </is>
      </c>
      <c r="B292" s="1" t="n">
        <v>44753.57265046296</v>
      </c>
      <c r="C292" s="1" t="n">
        <v>45893</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45893</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58092-2024</t>
        </is>
      </c>
      <c r="B294" s="1" t="n">
        <v>45632</v>
      </c>
      <c r="C294" s="1" t="n">
        <v>45893</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21501-2025</t>
        </is>
      </c>
      <c r="B295" s="1" t="n">
        <v>45782</v>
      </c>
      <c r="C295" s="1" t="n">
        <v>45893</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33619-2022</t>
        </is>
      </c>
      <c r="B296" s="1" t="n">
        <v>44789</v>
      </c>
      <c r="C296" s="1" t="n">
        <v>45893</v>
      </c>
      <c r="D296" t="inlineStr">
        <is>
          <t>UPPSALA LÄN</t>
        </is>
      </c>
      <c r="E296" t="inlineStr">
        <is>
          <t>ENKÖPING</t>
        </is>
      </c>
      <c r="F296" t="inlineStr">
        <is>
          <t>Allmännings- och besparingsskogar</t>
        </is>
      </c>
      <c r="G296" t="n">
        <v>4.5</v>
      </c>
      <c r="H296" t="n">
        <v>0</v>
      </c>
      <c r="I296" t="n">
        <v>0</v>
      </c>
      <c r="J296" t="n">
        <v>0</v>
      </c>
      <c r="K296" t="n">
        <v>0</v>
      </c>
      <c r="L296" t="n">
        <v>0</v>
      </c>
      <c r="M296" t="n">
        <v>0</v>
      </c>
      <c r="N296" t="n">
        <v>0</v>
      </c>
      <c r="O296" t="n">
        <v>0</v>
      </c>
      <c r="P296" t="n">
        <v>0</v>
      </c>
      <c r="Q296" t="n">
        <v>0</v>
      </c>
      <c r="R296" s="2" t="inlineStr"/>
    </row>
    <row r="297" ht="15" customHeight="1">
      <c r="A297" t="inlineStr">
        <is>
          <t>A 26017-2025</t>
        </is>
      </c>
      <c r="B297" s="1" t="n">
        <v>45804</v>
      </c>
      <c r="C297" s="1" t="n">
        <v>45893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26024-2025</t>
        </is>
      </c>
      <c r="B298" s="1" t="n">
        <v>45804.6831712963</v>
      </c>
      <c r="C298" s="1" t="n">
        <v>45893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26042-2025</t>
        </is>
      </c>
      <c r="B299" s="1" t="n">
        <v>45804.70018518518</v>
      </c>
      <c r="C299" s="1" t="n">
        <v>45893</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26005-2025</t>
        </is>
      </c>
      <c r="B300" s="1" t="n">
        <v>45804.67055555555</v>
      </c>
      <c r="C300" s="1" t="n">
        <v>45893</v>
      </c>
      <c r="D300" t="inlineStr">
        <is>
          <t>UPPSALA LÄN</t>
        </is>
      </c>
      <c r="E300" t="inlineStr">
        <is>
          <t>ENKÖPING</t>
        </is>
      </c>
      <c r="G300" t="n">
        <v>0.3</v>
      </c>
      <c r="H300" t="n">
        <v>0</v>
      </c>
      <c r="I300" t="n">
        <v>0</v>
      </c>
      <c r="J300" t="n">
        <v>0</v>
      </c>
      <c r="K300" t="n">
        <v>0</v>
      </c>
      <c r="L300" t="n">
        <v>0</v>
      </c>
      <c r="M300" t="n">
        <v>0</v>
      </c>
      <c r="N300" t="n">
        <v>0</v>
      </c>
      <c r="O300" t="n">
        <v>0</v>
      </c>
      <c r="P300" t="n">
        <v>0</v>
      </c>
      <c r="Q300" t="n">
        <v>0</v>
      </c>
      <c r="R300" s="2" t="inlineStr"/>
    </row>
    <row r="301" ht="15" customHeight="1">
      <c r="A301" t="inlineStr">
        <is>
          <t>A 26026-2025</t>
        </is>
      </c>
      <c r="B301" s="1" t="n">
        <v>45804.68510416667</v>
      </c>
      <c r="C301" s="1" t="n">
        <v>45893</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26030-2025</t>
        </is>
      </c>
      <c r="B302" s="1" t="n">
        <v>45804.68815972222</v>
      </c>
      <c r="C302" s="1" t="n">
        <v>45893</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26022-2025</t>
        </is>
      </c>
      <c r="B303" s="1" t="n">
        <v>45804.68006944445</v>
      </c>
      <c r="C303" s="1" t="n">
        <v>45893</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25988-2025</t>
        </is>
      </c>
      <c r="B304" s="1" t="n">
        <v>45804.64814814815</v>
      </c>
      <c r="C304" s="1" t="n">
        <v>45893</v>
      </c>
      <c r="D304" t="inlineStr">
        <is>
          <t>UPPSALA LÄN</t>
        </is>
      </c>
      <c r="E304" t="inlineStr">
        <is>
          <t>ENKÖPING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26031-2025</t>
        </is>
      </c>
      <c r="B305" s="1" t="n">
        <v>45804.69050925926</v>
      </c>
      <c r="C305" s="1" t="n">
        <v>45893</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45893</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26041-2025</t>
        </is>
      </c>
      <c r="B307" s="1" t="n">
        <v>45804.69883101852</v>
      </c>
      <c r="C307" s="1" t="n">
        <v>45893</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10829-2024</t>
        </is>
      </c>
      <c r="B308" s="1" t="n">
        <v>45369</v>
      </c>
      <c r="C308" s="1" t="n">
        <v>45893</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25990-2025</t>
        </is>
      </c>
      <c r="B309" s="1" t="n">
        <v>45804.65229166667</v>
      </c>
      <c r="C309" s="1" t="n">
        <v>45893</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25847-2025</t>
        </is>
      </c>
      <c r="B310" s="1" t="n">
        <v>45804</v>
      </c>
      <c r="C310" s="1" t="n">
        <v>45893</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25989-2025</t>
        </is>
      </c>
      <c r="B311" s="1" t="n">
        <v>45804.65050925926</v>
      </c>
      <c r="C311" s="1" t="n">
        <v>45893</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26047-2025</t>
        </is>
      </c>
      <c r="B312" s="1" t="n">
        <v>45804.70835648148</v>
      </c>
      <c r="C312" s="1" t="n">
        <v>45893</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67982-2021</t>
        </is>
      </c>
      <c r="B313" s="1" t="n">
        <v>44525</v>
      </c>
      <c r="C313" s="1" t="n">
        <v>45893</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27538-2023</t>
        </is>
      </c>
      <c r="B314" s="1" t="n">
        <v>45097</v>
      </c>
      <c r="C314" s="1" t="n">
        <v>45893</v>
      </c>
      <c r="D314" t="inlineStr">
        <is>
          <t>UPPSALA LÄN</t>
        </is>
      </c>
      <c r="E314" t="inlineStr">
        <is>
          <t>ENKÖPING</t>
        </is>
      </c>
      <c r="G314" t="n">
        <v>5.8</v>
      </c>
      <c r="H314" t="n">
        <v>0</v>
      </c>
      <c r="I314" t="n">
        <v>0</v>
      </c>
      <c r="J314" t="n">
        <v>0</v>
      </c>
      <c r="K314" t="n">
        <v>0</v>
      </c>
      <c r="L314" t="n">
        <v>0</v>
      </c>
      <c r="M314" t="n">
        <v>0</v>
      </c>
      <c r="N314" t="n">
        <v>0</v>
      </c>
      <c r="O314" t="n">
        <v>0</v>
      </c>
      <c r="P314" t="n">
        <v>0</v>
      </c>
      <c r="Q314" t="n">
        <v>0</v>
      </c>
      <c r="R314" s="2" t="inlineStr"/>
    </row>
    <row r="315" ht="15" customHeight="1">
      <c r="A315" t="inlineStr">
        <is>
          <t>A 15409-2025</t>
        </is>
      </c>
      <c r="B315" s="1" t="n">
        <v>45747</v>
      </c>
      <c r="C315" s="1" t="n">
        <v>45893</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29513-2025</t>
        </is>
      </c>
      <c r="B316" s="1" t="n">
        <v>45825</v>
      </c>
      <c r="C316" s="1" t="n">
        <v>45893</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60874-2023</t>
        </is>
      </c>
      <c r="B317" s="1" t="n">
        <v>45261.06280092592</v>
      </c>
      <c r="C317" s="1" t="n">
        <v>45893</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51034-2024</t>
        </is>
      </c>
      <c r="B318" s="1" t="n">
        <v>45603.4262037037</v>
      </c>
      <c r="C318" s="1" t="n">
        <v>45893</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50394-2024</t>
        </is>
      </c>
      <c r="B319" s="1" t="n">
        <v>45600</v>
      </c>
      <c r="C319" s="1" t="n">
        <v>45893</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51036-2024</t>
        </is>
      </c>
      <c r="B320" s="1" t="n">
        <v>45603.42839120371</v>
      </c>
      <c r="C320" s="1" t="n">
        <v>45893</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35067-2024</t>
        </is>
      </c>
      <c r="B321" s="1" t="n">
        <v>45527.66153935185</v>
      </c>
      <c r="C321" s="1" t="n">
        <v>45893</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55876-2024</t>
        </is>
      </c>
      <c r="B322" s="1" t="n">
        <v>45623.5546412037</v>
      </c>
      <c r="C322" s="1" t="n">
        <v>45893</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51010-2024</t>
        </is>
      </c>
      <c r="B323" s="1" t="n">
        <v>45603.39285879629</v>
      </c>
      <c r="C323" s="1" t="n">
        <v>45893</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45893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11005-2023</t>
        </is>
      </c>
      <c r="B325" s="1" t="n">
        <v>44991</v>
      </c>
      <c r="C325" s="1" t="n">
        <v>45893</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19147-2024</t>
        </is>
      </c>
      <c r="B326" s="1" t="n">
        <v>45428</v>
      </c>
      <c r="C326" s="1" t="n">
        <v>45893</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57209-2024</t>
        </is>
      </c>
      <c r="B327" s="1" t="n">
        <v>45629.49311342592</v>
      </c>
      <c r="C327" s="1" t="n">
        <v>45893</v>
      </c>
      <c r="D327" t="inlineStr">
        <is>
          <t>UPPSALA LÄN</t>
        </is>
      </c>
      <c r="E327" t="inlineStr">
        <is>
          <t>ENKÖPING</t>
        </is>
      </c>
      <c r="G327" t="n">
        <v>3.2</v>
      </c>
      <c r="H327" t="n">
        <v>0</v>
      </c>
      <c r="I327" t="n">
        <v>0</v>
      </c>
      <c r="J327" t="n">
        <v>0</v>
      </c>
      <c r="K327" t="n">
        <v>0</v>
      </c>
      <c r="L327" t="n">
        <v>0</v>
      </c>
      <c r="M327" t="n">
        <v>0</v>
      </c>
      <c r="N327" t="n">
        <v>0</v>
      </c>
      <c r="O327" t="n">
        <v>0</v>
      </c>
      <c r="P327" t="n">
        <v>0</v>
      </c>
      <c r="Q327" t="n">
        <v>0</v>
      </c>
      <c r="R327" s="2" t="inlineStr"/>
    </row>
    <row r="328" ht="15" customHeight="1">
      <c r="A328" t="inlineStr">
        <is>
          <t>A 51120-2023</t>
        </is>
      </c>
      <c r="B328" s="1" t="n">
        <v>45219.3088425926</v>
      </c>
      <c r="C328" s="1" t="n">
        <v>45893</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12878-2025</t>
        </is>
      </c>
      <c r="B329" s="1" t="n">
        <v>45733.68571759259</v>
      </c>
      <c r="C329" s="1" t="n">
        <v>45893</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57142-2021</t>
        </is>
      </c>
      <c r="B330" s="1" t="n">
        <v>44482</v>
      </c>
      <c r="C330" s="1" t="n">
        <v>45893</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57147-2021</t>
        </is>
      </c>
      <c r="B331" s="1" t="n">
        <v>44482</v>
      </c>
      <c r="C331" s="1" t="n">
        <v>45893</v>
      </c>
      <c r="D331" t="inlineStr">
        <is>
          <t>UPPSALA LÄN</t>
        </is>
      </c>
      <c r="E331" t="inlineStr">
        <is>
          <t>ENKÖPING</t>
        </is>
      </c>
      <c r="G331" t="n">
        <v>5.7</v>
      </c>
      <c r="H331" t="n">
        <v>0</v>
      </c>
      <c r="I331" t="n">
        <v>0</v>
      </c>
      <c r="J331" t="n">
        <v>0</v>
      </c>
      <c r="K331" t="n">
        <v>0</v>
      </c>
      <c r="L331" t="n">
        <v>0</v>
      </c>
      <c r="M331" t="n">
        <v>0</v>
      </c>
      <c r="N331" t="n">
        <v>0</v>
      </c>
      <c r="O331" t="n">
        <v>0</v>
      </c>
      <c r="P331" t="n">
        <v>0</v>
      </c>
      <c r="Q331" t="n">
        <v>0</v>
      </c>
      <c r="R331" s="2" t="inlineStr"/>
    </row>
    <row r="332" ht="15" customHeight="1">
      <c r="A332" t="inlineStr">
        <is>
          <t>A 7868-2024</t>
        </is>
      </c>
      <c r="B332" s="1" t="n">
        <v>45350.33020833333</v>
      </c>
      <c r="C332" s="1" t="n">
        <v>45893</v>
      </c>
      <c r="D332" t="inlineStr">
        <is>
          <t>UPPSALA LÄN</t>
        </is>
      </c>
      <c r="E332" t="inlineStr">
        <is>
          <t>ENKÖPING</t>
        </is>
      </c>
      <c r="G332" t="n">
        <v>0.3</v>
      </c>
      <c r="H332" t="n">
        <v>0</v>
      </c>
      <c r="I332" t="n">
        <v>0</v>
      </c>
      <c r="J332" t="n">
        <v>0</v>
      </c>
      <c r="K332" t="n">
        <v>0</v>
      </c>
      <c r="L332" t="n">
        <v>0</v>
      </c>
      <c r="M332" t="n">
        <v>0</v>
      </c>
      <c r="N332" t="n">
        <v>0</v>
      </c>
      <c r="O332" t="n">
        <v>0</v>
      </c>
      <c r="P332" t="n">
        <v>0</v>
      </c>
      <c r="Q332" t="n">
        <v>0</v>
      </c>
      <c r="R332" s="2" t="inlineStr"/>
    </row>
    <row r="333" ht="15" customHeight="1">
      <c r="A333" t="inlineStr">
        <is>
          <t>A 7870-2024</t>
        </is>
      </c>
      <c r="B333" s="1" t="n">
        <v>45350.33349537037</v>
      </c>
      <c r="C333" s="1" t="n">
        <v>45893</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9231-2023</t>
        </is>
      </c>
      <c r="B334" s="1" t="n">
        <v>44980</v>
      </c>
      <c r="C334" s="1" t="n">
        <v>45893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16916-2022</t>
        </is>
      </c>
      <c r="B335" s="1" t="n">
        <v>44676</v>
      </c>
      <c r="C335" s="1" t="n">
        <v>45893</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43896-2022</t>
        </is>
      </c>
      <c r="B336" s="1" t="n">
        <v>44838</v>
      </c>
      <c r="C336" s="1" t="n">
        <v>45893</v>
      </c>
      <c r="D336" t="inlineStr">
        <is>
          <t>UPPSALA LÄN</t>
        </is>
      </c>
      <c r="E336" t="inlineStr">
        <is>
          <t>ENKÖPING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4203-2021</t>
        </is>
      </c>
      <c r="B337" s="1" t="n">
        <v>44223</v>
      </c>
      <c r="C337" s="1" t="n">
        <v>45893</v>
      </c>
      <c r="D337" t="inlineStr">
        <is>
          <t>UPPSALA LÄN</t>
        </is>
      </c>
      <c r="E337" t="inlineStr">
        <is>
          <t>ENKÖPING</t>
        </is>
      </c>
      <c r="G337" t="n">
        <v>11.6</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45893</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30514-2021</t>
        </is>
      </c>
      <c r="B339" s="1" t="n">
        <v>44364</v>
      </c>
      <c r="C339" s="1" t="n">
        <v>45893</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31604-2023</t>
        </is>
      </c>
      <c r="B340" s="1" t="n">
        <v>45117.50368055556</v>
      </c>
      <c r="C340" s="1" t="n">
        <v>45893</v>
      </c>
      <c r="D340" t="inlineStr">
        <is>
          <t>UPPSALA LÄN</t>
        </is>
      </c>
      <c r="E340" t="inlineStr">
        <is>
          <t>ENKÖPING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7090-2022</t>
        </is>
      </c>
      <c r="B341" s="1" t="n">
        <v>44603.59520833333</v>
      </c>
      <c r="C341" s="1" t="n">
        <v>45893</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25598-2021</t>
        </is>
      </c>
      <c r="B342" s="1" t="n">
        <v>44343.4558912037</v>
      </c>
      <c r="C342" s="1" t="n">
        <v>45893</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15162-2025</t>
        </is>
      </c>
      <c r="B343" s="1" t="n">
        <v>45744</v>
      </c>
      <c r="C343" s="1" t="n">
        <v>45893</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9487-2025</t>
        </is>
      </c>
      <c r="B344" s="1" t="n">
        <v>45715.49331018519</v>
      </c>
      <c r="C344" s="1" t="n">
        <v>45893</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6144-2024</t>
        </is>
      </c>
      <c r="B345" s="1" t="n">
        <v>45337.4684837963</v>
      </c>
      <c r="C345" s="1" t="n">
        <v>45893</v>
      </c>
      <c r="D345" t="inlineStr">
        <is>
          <t>UPPSALA LÄN</t>
        </is>
      </c>
      <c r="E345" t="inlineStr">
        <is>
          <t>ENKÖPING</t>
        </is>
      </c>
      <c r="G345" t="n">
        <v>13.8</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45893</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49637-2024</t>
        </is>
      </c>
      <c r="B347" s="1" t="n">
        <v>45596.59831018518</v>
      </c>
      <c r="C347" s="1" t="n">
        <v>45893</v>
      </c>
      <c r="D347" t="inlineStr">
        <is>
          <t>UPPSALA LÄN</t>
        </is>
      </c>
      <c r="E347" t="inlineStr">
        <is>
          <t>ENKÖPING</t>
        </is>
      </c>
      <c r="G347" t="n">
        <v>4.9</v>
      </c>
      <c r="H347" t="n">
        <v>0</v>
      </c>
      <c r="I347" t="n">
        <v>0</v>
      </c>
      <c r="J347" t="n">
        <v>0</v>
      </c>
      <c r="K347" t="n">
        <v>0</v>
      </c>
      <c r="L347" t="n">
        <v>0</v>
      </c>
      <c r="M347" t="n">
        <v>0</v>
      </c>
      <c r="N347" t="n">
        <v>0</v>
      </c>
      <c r="O347" t="n">
        <v>0</v>
      </c>
      <c r="P347" t="n">
        <v>0</v>
      </c>
      <c r="Q347" t="n">
        <v>0</v>
      </c>
      <c r="R347" s="2" t="inlineStr"/>
    </row>
    <row r="348" ht="15" customHeight="1">
      <c r="A348" t="inlineStr">
        <is>
          <t>A 52388-2024</t>
        </is>
      </c>
      <c r="B348" s="1" t="n">
        <v>45609.42939814815</v>
      </c>
      <c r="C348" s="1" t="n">
        <v>45893</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27829-2025</t>
        </is>
      </c>
      <c r="B349" s="1" t="n">
        <v>45817</v>
      </c>
      <c r="C349" s="1" t="n">
        <v>45893</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53607-2023</t>
        </is>
      </c>
      <c r="B350" s="1" t="n">
        <v>45230</v>
      </c>
      <c r="C350" s="1" t="n">
        <v>45893</v>
      </c>
      <c r="D350" t="inlineStr">
        <is>
          <t>UPPSALA LÄN</t>
        </is>
      </c>
      <c r="E350" t="inlineStr">
        <is>
          <t>ENKÖPING</t>
        </is>
      </c>
      <c r="F350" t="inlineStr">
        <is>
          <t>Allmännings- och besparingsskogar</t>
        </is>
      </c>
      <c r="G350" t="n">
        <v>6.3</v>
      </c>
      <c r="H350" t="n">
        <v>0</v>
      </c>
      <c r="I350" t="n">
        <v>0</v>
      </c>
      <c r="J350" t="n">
        <v>0</v>
      </c>
      <c r="K350" t="n">
        <v>0</v>
      </c>
      <c r="L350" t="n">
        <v>0</v>
      </c>
      <c r="M350" t="n">
        <v>0</v>
      </c>
      <c r="N350" t="n">
        <v>0</v>
      </c>
      <c r="O350" t="n">
        <v>0</v>
      </c>
      <c r="P350" t="n">
        <v>0</v>
      </c>
      <c r="Q350" t="n">
        <v>0</v>
      </c>
      <c r="R350" s="2" t="inlineStr"/>
    </row>
    <row r="351" ht="15" customHeight="1">
      <c r="A351" t="inlineStr">
        <is>
          <t>A 40202-2024</t>
        </is>
      </c>
      <c r="B351" s="1" t="n">
        <v>45554</v>
      </c>
      <c r="C351" s="1" t="n">
        <v>45893</v>
      </c>
      <c r="D351" t="inlineStr">
        <is>
          <t>UPPSALA LÄN</t>
        </is>
      </c>
      <c r="E351" t="inlineStr">
        <is>
          <t>ENKÖPING</t>
        </is>
      </c>
      <c r="G351" t="n">
        <v>6.2</v>
      </c>
      <c r="H351" t="n">
        <v>0</v>
      </c>
      <c r="I351" t="n">
        <v>0</v>
      </c>
      <c r="J351" t="n">
        <v>0</v>
      </c>
      <c r="K351" t="n">
        <v>0</v>
      </c>
      <c r="L351" t="n">
        <v>0</v>
      </c>
      <c r="M351" t="n">
        <v>0</v>
      </c>
      <c r="N351" t="n">
        <v>0</v>
      </c>
      <c r="O351" t="n">
        <v>0</v>
      </c>
      <c r="P351" t="n">
        <v>0</v>
      </c>
      <c r="Q351" t="n">
        <v>0</v>
      </c>
      <c r="R351" s="2" t="inlineStr"/>
    </row>
    <row r="352" ht="15" customHeight="1">
      <c r="A352" t="inlineStr">
        <is>
          <t>A 66517-2020</t>
        </is>
      </c>
      <c r="B352" s="1" t="n">
        <v>44178</v>
      </c>
      <c r="C352" s="1" t="n">
        <v>45893</v>
      </c>
      <c r="D352" t="inlineStr">
        <is>
          <t>UPPSALA LÄN</t>
        </is>
      </c>
      <c r="E352" t="inlineStr">
        <is>
          <t>ENKÖPING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34990-2025</t>
        </is>
      </c>
      <c r="B353" s="1" t="n">
        <v>45849.78916666667</v>
      </c>
      <c r="C353" s="1" t="n">
        <v>45893</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8306-2021</t>
        </is>
      </c>
      <c r="B354" s="1" t="n">
        <v>44244</v>
      </c>
      <c r="C354" s="1" t="n">
        <v>45893</v>
      </c>
      <c r="D354" t="inlineStr">
        <is>
          <t>UPPSALA LÄN</t>
        </is>
      </c>
      <c r="E354" t="inlineStr">
        <is>
          <t>ENKÖPING</t>
        </is>
      </c>
      <c r="G354" t="n">
        <v>14.9</v>
      </c>
      <c r="H354" t="n">
        <v>0</v>
      </c>
      <c r="I354" t="n">
        <v>0</v>
      </c>
      <c r="J354" t="n">
        <v>0</v>
      </c>
      <c r="K354" t="n">
        <v>0</v>
      </c>
      <c r="L354" t="n">
        <v>0</v>
      </c>
      <c r="M354" t="n">
        <v>0</v>
      </c>
      <c r="N354" t="n">
        <v>0</v>
      </c>
      <c r="O354" t="n">
        <v>0</v>
      </c>
      <c r="P354" t="n">
        <v>0</v>
      </c>
      <c r="Q354" t="n">
        <v>0</v>
      </c>
      <c r="R354" s="2" t="inlineStr"/>
    </row>
    <row r="355" ht="15" customHeight="1">
      <c r="A355" t="inlineStr">
        <is>
          <t>A 39009-2024</t>
        </is>
      </c>
      <c r="B355" s="1" t="n">
        <v>45548</v>
      </c>
      <c r="C355" s="1" t="n">
        <v>45893</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8537-2025</t>
        </is>
      </c>
      <c r="B356" s="1" t="n">
        <v>45709</v>
      </c>
      <c r="C356" s="1" t="n">
        <v>45893</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57152-2021</t>
        </is>
      </c>
      <c r="B357" s="1" t="n">
        <v>44482</v>
      </c>
      <c r="C357" s="1" t="n">
        <v>45893</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16920-2023</t>
        </is>
      </c>
      <c r="B358" s="1" t="n">
        <v>45033.59030092593</v>
      </c>
      <c r="C358" s="1" t="n">
        <v>45893</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28758-2025</t>
        </is>
      </c>
      <c r="B359" s="1" t="n">
        <v>45820.41212962963</v>
      </c>
      <c r="C359" s="1" t="n">
        <v>45893</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28862-2025</t>
        </is>
      </c>
      <c r="B360" s="1" t="n">
        <v>45820.59189814814</v>
      </c>
      <c r="C360" s="1" t="n">
        <v>45893</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28855-2025</t>
        </is>
      </c>
      <c r="B361" s="1" t="n">
        <v>45820.58274305556</v>
      </c>
      <c r="C361" s="1" t="n">
        <v>45893</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53586-2024</t>
        </is>
      </c>
      <c r="B362" s="1" t="n">
        <v>45614</v>
      </c>
      <c r="C362" s="1" t="n">
        <v>45893</v>
      </c>
      <c r="D362" t="inlineStr">
        <is>
          <t>UPPSALA LÄN</t>
        </is>
      </c>
      <c r="E362" t="inlineStr">
        <is>
          <t>ENKÖPING</t>
        </is>
      </c>
      <c r="G362" t="n">
        <v>6.6</v>
      </c>
      <c r="H362" t="n">
        <v>0</v>
      </c>
      <c r="I362" t="n">
        <v>0</v>
      </c>
      <c r="J362" t="n">
        <v>0</v>
      </c>
      <c r="K362" t="n">
        <v>0</v>
      </c>
      <c r="L362" t="n">
        <v>0</v>
      </c>
      <c r="M362" t="n">
        <v>0</v>
      </c>
      <c r="N362" t="n">
        <v>0</v>
      </c>
      <c r="O362" t="n">
        <v>0</v>
      </c>
      <c r="P362" t="n">
        <v>0</v>
      </c>
      <c r="Q362" t="n">
        <v>0</v>
      </c>
      <c r="R362" s="2" t="inlineStr"/>
    </row>
    <row r="363" ht="15" customHeight="1">
      <c r="A363" t="inlineStr">
        <is>
          <t>A 34988-2025</t>
        </is>
      </c>
      <c r="B363" s="1" t="n">
        <v>45849</v>
      </c>
      <c r="C363" s="1" t="n">
        <v>45893</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34124-2021</t>
        </is>
      </c>
      <c r="B364" s="1" t="n">
        <v>44379</v>
      </c>
      <c r="C364" s="1" t="n">
        <v>45893</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28518-2024</t>
        </is>
      </c>
      <c r="B365" s="1" t="n">
        <v>45477</v>
      </c>
      <c r="C365" s="1" t="n">
        <v>45893</v>
      </c>
      <c r="D365" t="inlineStr">
        <is>
          <t>UPPSALA LÄN</t>
        </is>
      </c>
      <c r="E365" t="inlineStr">
        <is>
          <t>ENKÖPING</t>
        </is>
      </c>
      <c r="G365" t="n">
        <v>3.4</v>
      </c>
      <c r="H365" t="n">
        <v>0</v>
      </c>
      <c r="I365" t="n">
        <v>0</v>
      </c>
      <c r="J365" t="n">
        <v>0</v>
      </c>
      <c r="K365" t="n">
        <v>0</v>
      </c>
      <c r="L365" t="n">
        <v>0</v>
      </c>
      <c r="M365" t="n">
        <v>0</v>
      </c>
      <c r="N365" t="n">
        <v>0</v>
      </c>
      <c r="O365" t="n">
        <v>0</v>
      </c>
      <c r="P365" t="n">
        <v>0</v>
      </c>
      <c r="Q365" t="n">
        <v>0</v>
      </c>
      <c r="R365" s="2" t="inlineStr"/>
    </row>
    <row r="366" ht="15" customHeight="1">
      <c r="A366" t="inlineStr">
        <is>
          <t>A 52299-2023</t>
        </is>
      </c>
      <c r="B366" s="1" t="n">
        <v>45224.61636574074</v>
      </c>
      <c r="C366" s="1" t="n">
        <v>45893</v>
      </c>
      <c r="D366" t="inlineStr">
        <is>
          <t>UPPSALA LÄN</t>
        </is>
      </c>
      <c r="E366" t="inlineStr">
        <is>
          <t>ENKÖPING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29093-2025</t>
        </is>
      </c>
      <c r="B367" s="1" t="n">
        <v>45821.55743055556</v>
      </c>
      <c r="C367" s="1" t="n">
        <v>45893</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34987-2025</t>
        </is>
      </c>
      <c r="B368" s="1" t="n">
        <v>45849</v>
      </c>
      <c r="C368" s="1" t="n">
        <v>45893</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34989-2025</t>
        </is>
      </c>
      <c r="B369" s="1" t="n">
        <v>45849</v>
      </c>
      <c r="C369" s="1" t="n">
        <v>45893</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29477-2025</t>
        </is>
      </c>
      <c r="B370" s="1" t="n">
        <v>45824.71537037037</v>
      </c>
      <c r="C370" s="1" t="n">
        <v>45893</v>
      </c>
      <c r="D370" t="inlineStr">
        <is>
          <t>UPPSALA LÄN</t>
        </is>
      </c>
      <c r="E370" t="inlineStr">
        <is>
          <t>ENKÖPING</t>
        </is>
      </c>
      <c r="G370" t="n">
        <v>13.4</v>
      </c>
      <c r="H370" t="n">
        <v>0</v>
      </c>
      <c r="I370" t="n">
        <v>0</v>
      </c>
      <c r="J370" t="n">
        <v>0</v>
      </c>
      <c r="K370" t="n">
        <v>0</v>
      </c>
      <c r="L370" t="n">
        <v>0</v>
      </c>
      <c r="M370" t="n">
        <v>0</v>
      </c>
      <c r="N370" t="n">
        <v>0</v>
      </c>
      <c r="O370" t="n">
        <v>0</v>
      </c>
      <c r="P370" t="n">
        <v>0</v>
      </c>
      <c r="Q370" t="n">
        <v>0</v>
      </c>
      <c r="R370" s="2" t="inlineStr"/>
    </row>
    <row r="371" ht="15" customHeight="1">
      <c r="A371" t="inlineStr">
        <is>
          <t>A 30634-2022</t>
        </is>
      </c>
      <c r="B371" s="1" t="n">
        <v>44763.45711805556</v>
      </c>
      <c r="C371" s="1" t="n">
        <v>45893</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18259-2025</t>
        </is>
      </c>
      <c r="B372" s="1" t="n">
        <v>45762</v>
      </c>
      <c r="C372" s="1" t="n">
        <v>45893</v>
      </c>
      <c r="D372" t="inlineStr">
        <is>
          <t>UPPSALA LÄN</t>
        </is>
      </c>
      <c r="E372" t="inlineStr">
        <is>
          <t>ENKÖPING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43506-2023</t>
        </is>
      </c>
      <c r="B373" s="1" t="n">
        <v>45181</v>
      </c>
      <c r="C373" s="1" t="n">
        <v>45893</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14004-2023</t>
        </is>
      </c>
      <c r="B374" s="1" t="n">
        <v>45008</v>
      </c>
      <c r="C374" s="1" t="n">
        <v>45893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46186-2023</t>
        </is>
      </c>
      <c r="B375" s="1" t="n">
        <v>45196</v>
      </c>
      <c r="C375" s="1" t="n">
        <v>45893</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54595-2021</t>
        </is>
      </c>
      <c r="B376" s="1" t="n">
        <v>44473.58824074074</v>
      </c>
      <c r="C376" s="1" t="n">
        <v>45893</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54588-2024</t>
        </is>
      </c>
      <c r="B377" s="1" t="n">
        <v>45617</v>
      </c>
      <c r="C377" s="1" t="n">
        <v>45893</v>
      </c>
      <c r="D377" t="inlineStr">
        <is>
          <t>UPPSALA LÄN</t>
        </is>
      </c>
      <c r="E377" t="inlineStr">
        <is>
          <t>ENKÖPING</t>
        </is>
      </c>
      <c r="G377" t="n">
        <v>3.7</v>
      </c>
      <c r="H377" t="n">
        <v>0</v>
      </c>
      <c r="I377" t="n">
        <v>0</v>
      </c>
      <c r="J377" t="n">
        <v>0</v>
      </c>
      <c r="K377" t="n">
        <v>0</v>
      </c>
      <c r="L377" t="n">
        <v>0</v>
      </c>
      <c r="M377" t="n">
        <v>0</v>
      </c>
      <c r="N377" t="n">
        <v>0</v>
      </c>
      <c r="O377" t="n">
        <v>0</v>
      </c>
      <c r="P377" t="n">
        <v>0</v>
      </c>
      <c r="Q377" t="n">
        <v>0</v>
      </c>
      <c r="R377" s="2" t="inlineStr"/>
    </row>
    <row r="378" ht="15" customHeight="1">
      <c r="A378" t="inlineStr">
        <is>
          <t>A 52005-2024</t>
        </is>
      </c>
      <c r="B378" s="1" t="n">
        <v>45607.7627662037</v>
      </c>
      <c r="C378" s="1" t="n">
        <v>45893</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45893</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45893</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47428-2023</t>
        </is>
      </c>
      <c r="B381" s="1" t="n">
        <v>45202.66664351852</v>
      </c>
      <c r="C381" s="1" t="n">
        <v>45893</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36350-2025</t>
        </is>
      </c>
      <c r="B382" s="1" t="n">
        <v>45868</v>
      </c>
      <c r="C382" s="1" t="n">
        <v>45893</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36492-2025</t>
        </is>
      </c>
      <c r="B383" s="1" t="n">
        <v>45869</v>
      </c>
      <c r="C383" s="1" t="n">
        <v>45893</v>
      </c>
      <c r="D383" t="inlineStr">
        <is>
          <t>UPPSALA LÄN</t>
        </is>
      </c>
      <c r="E383" t="inlineStr">
        <is>
          <t>ENKÖPING</t>
        </is>
      </c>
      <c r="G383" t="n">
        <v>6.3</v>
      </c>
      <c r="H383" t="n">
        <v>0</v>
      </c>
      <c r="I383" t="n">
        <v>0</v>
      </c>
      <c r="J383" t="n">
        <v>0</v>
      </c>
      <c r="K383" t="n">
        <v>0</v>
      </c>
      <c r="L383" t="n">
        <v>0</v>
      </c>
      <c r="M383" t="n">
        <v>0</v>
      </c>
      <c r="N383" t="n">
        <v>0</v>
      </c>
      <c r="O383" t="n">
        <v>0</v>
      </c>
      <c r="P383" t="n">
        <v>0</v>
      </c>
      <c r="Q383" t="n">
        <v>0</v>
      </c>
      <c r="R383" s="2" t="inlineStr"/>
    </row>
    <row r="384" ht="15" customHeight="1">
      <c r="A384" t="inlineStr">
        <is>
          <t>A 5892-2023</t>
        </is>
      </c>
      <c r="B384" s="1" t="n">
        <v>44963.64883101852</v>
      </c>
      <c r="C384" s="1" t="n">
        <v>45893</v>
      </c>
      <c r="D384" t="inlineStr">
        <is>
          <t>UPPSALA LÄN</t>
        </is>
      </c>
      <c r="E384" t="inlineStr">
        <is>
          <t>ENKÖPING</t>
        </is>
      </c>
      <c r="G384" t="n">
        <v>5.5</v>
      </c>
      <c r="H384" t="n">
        <v>0</v>
      </c>
      <c r="I384" t="n">
        <v>0</v>
      </c>
      <c r="J384" t="n">
        <v>0</v>
      </c>
      <c r="K384" t="n">
        <v>0</v>
      </c>
      <c r="L384" t="n">
        <v>0</v>
      </c>
      <c r="M384" t="n">
        <v>0</v>
      </c>
      <c r="N384" t="n">
        <v>0</v>
      </c>
      <c r="O384" t="n">
        <v>0</v>
      </c>
      <c r="P384" t="n">
        <v>0</v>
      </c>
      <c r="Q384" t="n">
        <v>0</v>
      </c>
      <c r="R384" s="2" t="inlineStr"/>
    </row>
    <row r="385" ht="15" customHeight="1">
      <c r="A385" t="inlineStr">
        <is>
          <t>A 36368-2025</t>
        </is>
      </c>
      <c r="B385" s="1" t="n">
        <v>45868</v>
      </c>
      <c r="C385" s="1" t="n">
        <v>45893</v>
      </c>
      <c r="D385" t="inlineStr">
        <is>
          <t>UPPSALA LÄN</t>
        </is>
      </c>
      <c r="E385" t="inlineStr">
        <is>
          <t>ENKÖPING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12572-2021</t>
        </is>
      </c>
      <c r="B386" s="1" t="n">
        <v>44270.36438657407</v>
      </c>
      <c r="C386" s="1" t="n">
        <v>45893</v>
      </c>
      <c r="D386" t="inlineStr">
        <is>
          <t>UPPSALA LÄN</t>
        </is>
      </c>
      <c r="E386" t="inlineStr">
        <is>
          <t>ENKÖPING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49625-2024</t>
        </is>
      </c>
      <c r="B387" s="1" t="n">
        <v>45596.5891087963</v>
      </c>
      <c r="C387" s="1" t="n">
        <v>45893</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45893</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36599-2025</t>
        </is>
      </c>
      <c r="B389" s="1" t="n">
        <v>45870.51723379629</v>
      </c>
      <c r="C389" s="1" t="n">
        <v>45893</v>
      </c>
      <c r="D389" t="inlineStr">
        <is>
          <t>UPPSALA LÄN</t>
        </is>
      </c>
      <c r="E389" t="inlineStr">
        <is>
          <t>ENKÖPING</t>
        </is>
      </c>
      <c r="G389" t="n">
        <v>5.9</v>
      </c>
      <c r="H389" t="n">
        <v>0</v>
      </c>
      <c r="I389" t="n">
        <v>0</v>
      </c>
      <c r="J389" t="n">
        <v>0</v>
      </c>
      <c r="K389" t="n">
        <v>0</v>
      </c>
      <c r="L389" t="n">
        <v>0</v>
      </c>
      <c r="M389" t="n">
        <v>0</v>
      </c>
      <c r="N389" t="n">
        <v>0</v>
      </c>
      <c r="O389" t="n">
        <v>0</v>
      </c>
      <c r="P389" t="n">
        <v>0</v>
      </c>
      <c r="Q389" t="n">
        <v>0</v>
      </c>
      <c r="R389" s="2" t="inlineStr"/>
    </row>
    <row r="390" ht="15" customHeight="1">
      <c r="A390" t="inlineStr">
        <is>
          <t>A 49623-2024</t>
        </is>
      </c>
      <c r="B390" s="1" t="n">
        <v>45596</v>
      </c>
      <c r="C390" s="1" t="n">
        <v>45893</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49627-2024</t>
        </is>
      </c>
      <c r="B391" s="1" t="n">
        <v>45596.59140046296</v>
      </c>
      <c r="C391" s="1" t="n">
        <v>45893</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57998-2024</t>
        </is>
      </c>
      <c r="B392" s="1" t="n">
        <v>45631</v>
      </c>
      <c r="C392" s="1" t="n">
        <v>45893</v>
      </c>
      <c r="D392" t="inlineStr">
        <is>
          <t>UPPSALA LÄN</t>
        </is>
      </c>
      <c r="E392" t="inlineStr">
        <is>
          <t>ENKÖPING</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30837-2025</t>
        </is>
      </c>
      <c r="B393" s="1" t="n">
        <v>45831.7063425926</v>
      </c>
      <c r="C393" s="1" t="n">
        <v>45893</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9667-2024</t>
        </is>
      </c>
      <c r="B394" s="1" t="n">
        <v>45362.45130787037</v>
      </c>
      <c r="C394" s="1" t="n">
        <v>45893</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43488-2023</t>
        </is>
      </c>
      <c r="B395" s="1" t="n">
        <v>45181</v>
      </c>
      <c r="C395" s="1" t="n">
        <v>45893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35645-2021</t>
        </is>
      </c>
      <c r="B396" s="1" t="n">
        <v>44386.42</v>
      </c>
      <c r="C396" s="1" t="n">
        <v>45893</v>
      </c>
      <c r="D396" t="inlineStr">
        <is>
          <t>UPPSALA LÄN</t>
        </is>
      </c>
      <c r="E396" t="inlineStr">
        <is>
          <t>ENKÖPING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9171-2024</t>
        </is>
      </c>
      <c r="B397" s="1" t="n">
        <v>45358</v>
      </c>
      <c r="C397" s="1" t="n">
        <v>45893</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45893</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28318-2024</t>
        </is>
      </c>
      <c r="B399" s="1" t="n">
        <v>45477</v>
      </c>
      <c r="C399" s="1" t="n">
        <v>45893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43230-2023</t>
        </is>
      </c>
      <c r="B400" s="1" t="n">
        <v>45183</v>
      </c>
      <c r="C400" s="1" t="n">
        <v>45893</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45362-2022</t>
        </is>
      </c>
      <c r="B401" s="1" t="n">
        <v>44844.62366898148</v>
      </c>
      <c r="C401" s="1" t="n">
        <v>45893</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32111-2025</t>
        </is>
      </c>
      <c r="B402" s="1" t="n">
        <v>45835</v>
      </c>
      <c r="C402" s="1" t="n">
        <v>45893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72840-2021</t>
        </is>
      </c>
      <c r="B403" s="1" t="n">
        <v>44547</v>
      </c>
      <c r="C403" s="1" t="n">
        <v>45893</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32031-2025</t>
        </is>
      </c>
      <c r="B404" s="1" t="n">
        <v>45835.41712962963</v>
      </c>
      <c r="C404" s="1" t="n">
        <v>45893</v>
      </c>
      <c r="D404" t="inlineStr">
        <is>
          <t>UPPSALA LÄN</t>
        </is>
      </c>
      <c r="E404" t="inlineStr">
        <is>
          <t>ENKÖPING</t>
        </is>
      </c>
      <c r="G404" t="n">
        <v>2.7</v>
      </c>
      <c r="H404" t="n">
        <v>0</v>
      </c>
      <c r="I404" t="n">
        <v>0</v>
      </c>
      <c r="J404" t="n">
        <v>0</v>
      </c>
      <c r="K404" t="n">
        <v>0</v>
      </c>
      <c r="L404" t="n">
        <v>0</v>
      </c>
      <c r="M404" t="n">
        <v>0</v>
      </c>
      <c r="N404" t="n">
        <v>0</v>
      </c>
      <c r="O404" t="n">
        <v>0</v>
      </c>
      <c r="P404" t="n">
        <v>0</v>
      </c>
      <c r="Q404" t="n">
        <v>0</v>
      </c>
      <c r="R404" s="2" t="inlineStr"/>
    </row>
    <row r="405" ht="15" customHeight="1">
      <c r="A405" t="inlineStr">
        <is>
          <t>A 69344-2021</t>
        </is>
      </c>
      <c r="B405" s="1" t="n">
        <v>44531</v>
      </c>
      <c r="C405" s="1" t="n">
        <v>45893</v>
      </c>
      <c r="D405" t="inlineStr">
        <is>
          <t>UPPSALA LÄN</t>
        </is>
      </c>
      <c r="E405" t="inlineStr">
        <is>
          <t>ENKÖPING</t>
        </is>
      </c>
      <c r="G405" t="n">
        <v>2.9</v>
      </c>
      <c r="H405" t="n">
        <v>0</v>
      </c>
      <c r="I405" t="n">
        <v>0</v>
      </c>
      <c r="J405" t="n">
        <v>0</v>
      </c>
      <c r="K405" t="n">
        <v>0</v>
      </c>
      <c r="L405" t="n">
        <v>0</v>
      </c>
      <c r="M405" t="n">
        <v>0</v>
      </c>
      <c r="N405" t="n">
        <v>0</v>
      </c>
      <c r="O405" t="n">
        <v>0</v>
      </c>
      <c r="P405" t="n">
        <v>0</v>
      </c>
      <c r="Q405" t="n">
        <v>0</v>
      </c>
      <c r="R405" s="2" t="inlineStr"/>
    </row>
    <row r="406" ht="15" customHeight="1">
      <c r="A406" t="inlineStr">
        <is>
          <t>A 51524-2022</t>
        </is>
      </c>
      <c r="B406" s="1" t="n">
        <v>44869</v>
      </c>
      <c r="C406" s="1" t="n">
        <v>45893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49622-2024</t>
        </is>
      </c>
      <c r="B407" s="1" t="n">
        <v>45596.58372685185</v>
      </c>
      <c r="C407" s="1" t="n">
        <v>45893</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46103-2023</t>
        </is>
      </c>
      <c r="B408" s="1" t="n">
        <v>45190</v>
      </c>
      <c r="C408" s="1" t="n">
        <v>45893</v>
      </c>
      <c r="D408" t="inlineStr">
        <is>
          <t>UPPSALA LÄN</t>
        </is>
      </c>
      <c r="E408" t="inlineStr">
        <is>
          <t>ENKÖPING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34617-2022</t>
        </is>
      </c>
      <c r="B409" s="1" t="n">
        <v>44795</v>
      </c>
      <c r="C409" s="1" t="n">
        <v>45893</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1992-2022</t>
        </is>
      </c>
      <c r="B410" s="1" t="n">
        <v>44575.56153935185</v>
      </c>
      <c r="C410" s="1" t="n">
        <v>45893</v>
      </c>
      <c r="D410" t="inlineStr">
        <is>
          <t>UPPSALA LÄN</t>
        </is>
      </c>
      <c r="E410" t="inlineStr">
        <is>
          <t>ENKÖPING</t>
        </is>
      </c>
      <c r="G410" t="n">
        <v>2.8</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45893</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45893</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18583-2021</t>
        </is>
      </c>
      <c r="B413" s="1" t="n">
        <v>44306</v>
      </c>
      <c r="C413" s="1" t="n">
        <v>45893</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1695-2025</t>
        </is>
      </c>
      <c r="B414" s="1" t="n">
        <v>45670</v>
      </c>
      <c r="C414" s="1" t="n">
        <v>45893</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45893</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24962-2023</t>
        </is>
      </c>
      <c r="B416" s="1" t="n">
        <v>45085.60123842592</v>
      </c>
      <c r="C416" s="1" t="n">
        <v>45893</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23301-2024</t>
        </is>
      </c>
      <c r="B417" s="1" t="n">
        <v>45453.4396412037</v>
      </c>
      <c r="C417" s="1" t="n">
        <v>45893</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67765-2020</t>
        </is>
      </c>
      <c r="B418" s="1" t="n">
        <v>44182</v>
      </c>
      <c r="C418" s="1" t="n">
        <v>45893</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53149-2020</t>
        </is>
      </c>
      <c r="B419" s="1" t="n">
        <v>44120</v>
      </c>
      <c r="C419" s="1" t="n">
        <v>45893</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6298-2021</t>
        </is>
      </c>
      <c r="B420" s="1" t="n">
        <v>44235</v>
      </c>
      <c r="C420" s="1" t="n">
        <v>45893</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52380-2024</t>
        </is>
      </c>
      <c r="B421" s="1" t="n">
        <v>45609</v>
      </c>
      <c r="C421" s="1" t="n">
        <v>45893</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58961-2024</t>
        </is>
      </c>
      <c r="B422" s="1" t="n">
        <v>45636.585</v>
      </c>
      <c r="C422" s="1" t="n">
        <v>45893</v>
      </c>
      <c r="D422" t="inlineStr">
        <is>
          <t>UPPSALA LÄN</t>
        </is>
      </c>
      <c r="E422" t="inlineStr">
        <is>
          <t>ENKÖPING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51042-2024</t>
        </is>
      </c>
      <c r="B423" s="1" t="n">
        <v>45603.4342824074</v>
      </c>
      <c r="C423" s="1" t="n">
        <v>45893</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30098-2024</t>
        </is>
      </c>
      <c r="B424" s="1" t="n">
        <v>45489.41609953704</v>
      </c>
      <c r="C424" s="1" t="n">
        <v>45893</v>
      </c>
      <c r="D424" t="inlineStr">
        <is>
          <t>UPPSALA LÄN</t>
        </is>
      </c>
      <c r="E424" t="inlineStr">
        <is>
          <t>ENKÖPING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59441-2020</t>
        </is>
      </c>
      <c r="B425" s="1" t="n">
        <v>44148</v>
      </c>
      <c r="C425" s="1" t="n">
        <v>45893</v>
      </c>
      <c r="D425" t="inlineStr">
        <is>
          <t>UPPSALA LÄN</t>
        </is>
      </c>
      <c r="E425" t="inlineStr">
        <is>
          <t>ENKÖPING</t>
        </is>
      </c>
      <c r="G425" t="n">
        <v>4.8</v>
      </c>
      <c r="H425" t="n">
        <v>0</v>
      </c>
      <c r="I425" t="n">
        <v>0</v>
      </c>
      <c r="J425" t="n">
        <v>0</v>
      </c>
      <c r="K425" t="n">
        <v>0</v>
      </c>
      <c r="L425" t="n">
        <v>0</v>
      </c>
      <c r="M425" t="n">
        <v>0</v>
      </c>
      <c r="N425" t="n">
        <v>0</v>
      </c>
      <c r="O425" t="n">
        <v>0</v>
      </c>
      <c r="P425" t="n">
        <v>0</v>
      </c>
      <c r="Q425" t="n">
        <v>0</v>
      </c>
      <c r="R425" s="2" t="inlineStr"/>
    </row>
    <row r="426" ht="15" customHeight="1">
      <c r="A426" t="inlineStr">
        <is>
          <t>A 34735-2023</t>
        </is>
      </c>
      <c r="B426" s="1" t="n">
        <v>45139</v>
      </c>
      <c r="C426" s="1" t="n">
        <v>45893</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53595-2023</t>
        </is>
      </c>
      <c r="B427" s="1" t="n">
        <v>45223</v>
      </c>
      <c r="C427" s="1" t="n">
        <v>45893</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32477-2025</t>
        </is>
      </c>
      <c r="B428" s="1" t="n">
        <v>45838.43098379629</v>
      </c>
      <c r="C428" s="1" t="n">
        <v>45893</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45893</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15740-2025</t>
        </is>
      </c>
      <c r="B430" s="1" t="n">
        <v>45748</v>
      </c>
      <c r="C430" s="1" t="n">
        <v>45893</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15893-2024</t>
        </is>
      </c>
      <c r="B431" s="1" t="n">
        <v>45405</v>
      </c>
      <c r="C431" s="1" t="n">
        <v>45893</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18028-2023</t>
        </is>
      </c>
      <c r="B432" s="1" t="n">
        <v>45040</v>
      </c>
      <c r="C432" s="1" t="n">
        <v>45893</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44753.57703703704</v>
      </c>
      <c r="C433" s="1" t="n">
        <v>45893</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44753.57829861111</v>
      </c>
      <c r="C434" s="1" t="n">
        <v>45893</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44232-2022</t>
        </is>
      </c>
      <c r="B435" s="1" t="n">
        <v>44839</v>
      </c>
      <c r="C435" s="1" t="n">
        <v>45893</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61106-2022</t>
        </is>
      </c>
      <c r="B436" s="1" t="n">
        <v>44915.4128587963</v>
      </c>
      <c r="C436" s="1" t="n">
        <v>45893</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39624-2023</t>
        </is>
      </c>
      <c r="B437" s="1" t="n">
        <v>45164</v>
      </c>
      <c r="C437" s="1" t="n">
        <v>45893</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17029-2025</t>
        </is>
      </c>
      <c r="B438" s="1" t="n">
        <v>45755.57291666666</v>
      </c>
      <c r="C438" s="1" t="n">
        <v>45893</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20184-2023</t>
        </is>
      </c>
      <c r="B439" s="1" t="n">
        <v>45055.5670949074</v>
      </c>
      <c r="C439" s="1" t="n">
        <v>45893</v>
      </c>
      <c r="D439" t="inlineStr">
        <is>
          <t>UPPSALA LÄN</t>
        </is>
      </c>
      <c r="E439" t="inlineStr">
        <is>
          <t>ENKÖPING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8152-2022</t>
        </is>
      </c>
      <c r="B440" s="1" t="n">
        <v>44609</v>
      </c>
      <c r="C440" s="1" t="n">
        <v>45893</v>
      </c>
      <c r="D440" t="inlineStr">
        <is>
          <t>UPPSALA LÄN</t>
        </is>
      </c>
      <c r="E440" t="inlineStr">
        <is>
          <t>ENKÖPING</t>
        </is>
      </c>
      <c r="F440" t="inlineStr">
        <is>
          <t>Kyrkan</t>
        </is>
      </c>
      <c r="G440" t="n">
        <v>1.3</v>
      </c>
      <c r="H440" t="n">
        <v>0</v>
      </c>
      <c r="I440" t="n">
        <v>0</v>
      </c>
      <c r="J440" t="n">
        <v>0</v>
      </c>
      <c r="K440" t="n">
        <v>0</v>
      </c>
      <c r="L440" t="n">
        <v>0</v>
      </c>
      <c r="M440" t="n">
        <v>0</v>
      </c>
      <c r="N440" t="n">
        <v>0</v>
      </c>
      <c r="O440" t="n">
        <v>0</v>
      </c>
      <c r="P440" t="n">
        <v>0</v>
      </c>
      <c r="Q440" t="n">
        <v>0</v>
      </c>
      <c r="R440" s="2" t="inlineStr"/>
    </row>
    <row r="441" ht="15" customHeight="1">
      <c r="A441" t="inlineStr">
        <is>
          <t>A 18994-2025</t>
        </is>
      </c>
      <c r="B441" s="1" t="n">
        <v>45764.57350694444</v>
      </c>
      <c r="C441" s="1" t="n">
        <v>45893</v>
      </c>
      <c r="D441" t="inlineStr">
        <is>
          <t>UPPSALA LÄN</t>
        </is>
      </c>
      <c r="E441" t="inlineStr">
        <is>
          <t>ENKÖPING</t>
        </is>
      </c>
      <c r="G441" t="n">
        <v>3.8</v>
      </c>
      <c r="H441" t="n">
        <v>0</v>
      </c>
      <c r="I441" t="n">
        <v>0</v>
      </c>
      <c r="J441" t="n">
        <v>0</v>
      </c>
      <c r="K441" t="n">
        <v>0</v>
      </c>
      <c r="L441" t="n">
        <v>0</v>
      </c>
      <c r="M441" t="n">
        <v>0</v>
      </c>
      <c r="N441" t="n">
        <v>0</v>
      </c>
      <c r="O441" t="n">
        <v>0</v>
      </c>
      <c r="P441" t="n">
        <v>0</v>
      </c>
      <c r="Q441" t="n">
        <v>0</v>
      </c>
      <c r="R441" s="2" t="inlineStr"/>
    </row>
    <row r="442" ht="15" customHeight="1">
      <c r="A442" t="inlineStr">
        <is>
          <t>A 40223-2024</t>
        </is>
      </c>
      <c r="B442" s="1" t="n">
        <v>45554</v>
      </c>
      <c r="C442" s="1" t="n">
        <v>45893</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37035-2023</t>
        </is>
      </c>
      <c r="B443" s="1" t="n">
        <v>45155</v>
      </c>
      <c r="C443" s="1" t="n">
        <v>45893</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48843-2023</t>
        </is>
      </c>
      <c r="B444" s="1" t="n">
        <v>45209</v>
      </c>
      <c r="C444" s="1" t="n">
        <v>45893</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57848-2024</t>
        </is>
      </c>
      <c r="B445" s="1" t="n">
        <v>45631.40947916666</v>
      </c>
      <c r="C445" s="1" t="n">
        <v>45893</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45893</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33670-2024</t>
        </is>
      </c>
      <c r="B447" s="1" t="n">
        <v>45520</v>
      </c>
      <c r="C447" s="1" t="n">
        <v>45893</v>
      </c>
      <c r="D447" t="inlineStr">
        <is>
          <t>UPPSALA LÄN</t>
        </is>
      </c>
      <c r="E447" t="inlineStr">
        <is>
          <t>ENKÖPING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52889-2022</t>
        </is>
      </c>
      <c r="B448" s="1" t="n">
        <v>44875</v>
      </c>
      <c r="C448" s="1" t="n">
        <v>45893</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51027-2024</t>
        </is>
      </c>
      <c r="B449" s="1" t="n">
        <v>45603</v>
      </c>
      <c r="C449" s="1" t="n">
        <v>45893</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51030-2024</t>
        </is>
      </c>
      <c r="B450" s="1" t="n">
        <v>45603</v>
      </c>
      <c r="C450" s="1" t="n">
        <v>45893</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26292-2022</t>
        </is>
      </c>
      <c r="B451" s="1" t="n">
        <v>44735</v>
      </c>
      <c r="C451" s="1" t="n">
        <v>45893</v>
      </c>
      <c r="D451" t="inlineStr">
        <is>
          <t>UPPSALA LÄN</t>
        </is>
      </c>
      <c r="E451" t="inlineStr">
        <is>
          <t>ENKÖPING</t>
        </is>
      </c>
      <c r="F451" t="inlineStr">
        <is>
          <t>Kyrkan</t>
        </is>
      </c>
      <c r="G451" t="n">
        <v>4.6</v>
      </c>
      <c r="H451" t="n">
        <v>0</v>
      </c>
      <c r="I451" t="n">
        <v>0</v>
      </c>
      <c r="J451" t="n">
        <v>0</v>
      </c>
      <c r="K451" t="n">
        <v>0</v>
      </c>
      <c r="L451" t="n">
        <v>0</v>
      </c>
      <c r="M451" t="n">
        <v>0</v>
      </c>
      <c r="N451" t="n">
        <v>0</v>
      </c>
      <c r="O451" t="n">
        <v>0</v>
      </c>
      <c r="P451" t="n">
        <v>0</v>
      </c>
      <c r="Q451" t="n">
        <v>0</v>
      </c>
      <c r="R451" s="2" t="inlineStr"/>
    </row>
    <row r="452" ht="15" customHeight="1">
      <c r="A452" t="inlineStr">
        <is>
          <t>A 38941-2025</t>
        </is>
      </c>
      <c r="B452" s="1" t="n">
        <v>45887</v>
      </c>
      <c r="C452" s="1" t="n">
        <v>45893</v>
      </c>
      <c r="D452" t="inlineStr">
        <is>
          <t>UPPSALA LÄN</t>
        </is>
      </c>
      <c r="E452" t="inlineStr">
        <is>
          <t>ENKÖPING</t>
        </is>
      </c>
      <c r="F452" t="inlineStr">
        <is>
          <t>Övriga statliga verk och myndigheter</t>
        </is>
      </c>
      <c r="G452" t="n">
        <v>0.6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45893</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45893</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45893</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19376-2024</t>
        </is>
      </c>
      <c r="B456" s="1" t="n">
        <v>45429</v>
      </c>
      <c r="C456" s="1" t="n">
        <v>45893</v>
      </c>
      <c r="D456" t="inlineStr">
        <is>
          <t>UPPSALA LÄN</t>
        </is>
      </c>
      <c r="E456" t="inlineStr">
        <is>
          <t>ENKÖPING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21612-2023</t>
        </is>
      </c>
      <c r="B457" s="1" t="n">
        <v>45063</v>
      </c>
      <c r="C457" s="1" t="n">
        <v>45893</v>
      </c>
      <c r="D457" t="inlineStr">
        <is>
          <t>UPPSALA LÄN</t>
        </is>
      </c>
      <c r="E457" t="inlineStr">
        <is>
          <t>ENKÖPING</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14243-2025</t>
        </is>
      </c>
      <c r="B458" s="1" t="n">
        <v>45740.61288194444</v>
      </c>
      <c r="C458" s="1" t="n">
        <v>45893</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33343-2024</t>
        </is>
      </c>
      <c r="B459" s="1" t="n">
        <v>45519</v>
      </c>
      <c r="C459" s="1" t="n">
        <v>45893</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37319-2025</t>
        </is>
      </c>
      <c r="B460" s="1" t="n">
        <v>45876</v>
      </c>
      <c r="C460" s="1" t="n">
        <v>45893</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37498-2025</t>
        </is>
      </c>
      <c r="B461" s="1" t="n">
        <v>45877</v>
      </c>
      <c r="C461" s="1" t="n">
        <v>45893</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37296-2025</t>
        </is>
      </c>
      <c r="B462" s="1" t="n">
        <v>45876</v>
      </c>
      <c r="C462" s="1" t="n">
        <v>45893</v>
      </c>
      <c r="D462" t="inlineStr">
        <is>
          <t>UPPSALA LÄN</t>
        </is>
      </c>
      <c r="E462" t="inlineStr">
        <is>
          <t>ENKÖPING</t>
        </is>
      </c>
      <c r="G462" t="n">
        <v>9.5</v>
      </c>
      <c r="H462" t="n">
        <v>0</v>
      </c>
      <c r="I462" t="n">
        <v>0</v>
      </c>
      <c r="J462" t="n">
        <v>0</v>
      </c>
      <c r="K462" t="n">
        <v>0</v>
      </c>
      <c r="L462" t="n">
        <v>0</v>
      </c>
      <c r="M462" t="n">
        <v>0</v>
      </c>
      <c r="N462" t="n">
        <v>0</v>
      </c>
      <c r="O462" t="n">
        <v>0</v>
      </c>
      <c r="P462" t="n">
        <v>0</v>
      </c>
      <c r="Q462" t="n">
        <v>0</v>
      </c>
      <c r="R462" s="2" t="inlineStr"/>
    </row>
    <row r="463" ht="15" customHeight="1">
      <c r="A463" t="inlineStr">
        <is>
          <t>A 39439-2025</t>
        </is>
      </c>
      <c r="B463" s="1" t="n">
        <v>45889</v>
      </c>
      <c r="C463" s="1" t="n">
        <v>45893</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61711-2020</t>
        </is>
      </c>
      <c r="B464" s="1" t="n">
        <v>44158</v>
      </c>
      <c r="C464" s="1" t="n">
        <v>45893</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18302-2025</t>
        </is>
      </c>
      <c r="B465" s="1" t="n">
        <v>45762</v>
      </c>
      <c r="C465" s="1" t="n">
        <v>45893</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12020-2024</t>
        </is>
      </c>
      <c r="B466" s="1" t="n">
        <v>45377</v>
      </c>
      <c r="C466" s="1" t="n">
        <v>45893</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28243-2023</t>
        </is>
      </c>
      <c r="B467" s="1" t="n">
        <v>45099.58885416666</v>
      </c>
      <c r="C467" s="1" t="n">
        <v>45893</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10465-2022</t>
        </is>
      </c>
      <c r="B468" s="1" t="n">
        <v>44623</v>
      </c>
      <c r="C468" s="1" t="n">
        <v>45893</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14332-2024</t>
        </is>
      </c>
      <c r="B469" s="1" t="n">
        <v>45393</v>
      </c>
      <c r="C469" s="1" t="n">
        <v>45893</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61207-2023</t>
        </is>
      </c>
      <c r="B470" s="1" t="n">
        <v>45264.39444444444</v>
      </c>
      <c r="C470" s="1" t="n">
        <v>45893</v>
      </c>
      <c r="D470" t="inlineStr">
        <is>
          <t>UPPSALA LÄN</t>
        </is>
      </c>
      <c r="E470" t="inlineStr">
        <is>
          <t>ENKÖPING</t>
        </is>
      </c>
      <c r="G470" t="n">
        <v>10.8</v>
      </c>
      <c r="H470" t="n">
        <v>0</v>
      </c>
      <c r="I470" t="n">
        <v>0</v>
      </c>
      <c r="J470" t="n">
        <v>0</v>
      </c>
      <c r="K470" t="n">
        <v>0</v>
      </c>
      <c r="L470" t="n">
        <v>0</v>
      </c>
      <c r="M470" t="n">
        <v>0</v>
      </c>
      <c r="N470" t="n">
        <v>0</v>
      </c>
      <c r="O470" t="n">
        <v>0</v>
      </c>
      <c r="P470" t="n">
        <v>0</v>
      </c>
      <c r="Q470" t="n">
        <v>0</v>
      </c>
      <c r="R470" s="2" t="inlineStr"/>
    </row>
    <row r="471" ht="15" customHeight="1">
      <c r="A471" t="inlineStr">
        <is>
          <t>A 3235-2025</t>
        </is>
      </c>
      <c r="B471" s="1" t="n">
        <v>45679</v>
      </c>
      <c r="C471" s="1" t="n">
        <v>45893</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41828-2024</t>
        </is>
      </c>
      <c r="B472" s="1" t="n">
        <v>45561</v>
      </c>
      <c r="C472" s="1" t="n">
        <v>45893</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1536-2024</t>
        </is>
      </c>
      <c r="B473" s="1" t="n">
        <v>45306</v>
      </c>
      <c r="C473" s="1" t="n">
        <v>45893</v>
      </c>
      <c r="D473" t="inlineStr">
        <is>
          <t>UPPSALA LÄN</t>
        </is>
      </c>
      <c r="E473" t="inlineStr">
        <is>
          <t>ENKÖPING</t>
        </is>
      </c>
      <c r="F473" t="inlineStr">
        <is>
          <t>Kyrkan</t>
        </is>
      </c>
      <c r="G473" t="n">
        <v>5.6</v>
      </c>
      <c r="H473" t="n">
        <v>0</v>
      </c>
      <c r="I473" t="n">
        <v>0</v>
      </c>
      <c r="J473" t="n">
        <v>0</v>
      </c>
      <c r="K473" t="n">
        <v>0</v>
      </c>
      <c r="L473" t="n">
        <v>0</v>
      </c>
      <c r="M473" t="n">
        <v>0</v>
      </c>
      <c r="N473" t="n">
        <v>0</v>
      </c>
      <c r="O473" t="n">
        <v>0</v>
      </c>
      <c r="P473" t="n">
        <v>0</v>
      </c>
      <c r="Q473" t="n">
        <v>0</v>
      </c>
      <c r="R473" s="2" t="inlineStr"/>
    </row>
    <row r="474" ht="15" customHeight="1">
      <c r="A474" t="inlineStr">
        <is>
          <t>A 42564-2024</t>
        </is>
      </c>
      <c r="B474" s="1" t="n">
        <v>45565.63358796296</v>
      </c>
      <c r="C474" s="1" t="n">
        <v>45893</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40812-2022</t>
        </is>
      </c>
      <c r="B475" s="1" t="n">
        <v>44824.68791666667</v>
      </c>
      <c r="C475" s="1" t="n">
        <v>45893</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43492-2023</t>
        </is>
      </c>
      <c r="B476" s="1" t="n">
        <v>45181</v>
      </c>
      <c r="C476" s="1" t="n">
        <v>45893</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58896-2020</t>
        </is>
      </c>
      <c r="B477" s="1" t="n">
        <v>44146</v>
      </c>
      <c r="C477" s="1" t="n">
        <v>45893</v>
      </c>
      <c r="D477" t="inlineStr">
        <is>
          <t>UPPSALA LÄN</t>
        </is>
      </c>
      <c r="E477" t="inlineStr">
        <is>
          <t>ENKÖPING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43691-2024</t>
        </is>
      </c>
      <c r="B478" s="1" t="n">
        <v>45569</v>
      </c>
      <c r="C478" s="1" t="n">
        <v>45893</v>
      </c>
      <c r="D478" t="inlineStr">
        <is>
          <t>UPPSALA LÄN</t>
        </is>
      </c>
      <c r="E478" t="inlineStr">
        <is>
          <t>ENKÖPING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6626-2023</t>
        </is>
      </c>
      <c r="B479" s="1" t="n">
        <v>44966.55946759259</v>
      </c>
      <c r="C479" s="1" t="n">
        <v>45893</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25333-2023</t>
        </is>
      </c>
      <c r="B480" s="1" t="n">
        <v>45083</v>
      </c>
      <c r="C480" s="1" t="n">
        <v>45893</v>
      </c>
      <c r="D480" t="inlineStr">
        <is>
          <t>UPPSALA LÄN</t>
        </is>
      </c>
      <c r="E480" t="inlineStr">
        <is>
          <t>ENKÖPING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3300-2025</t>
        </is>
      </c>
      <c r="B481" s="1" t="n">
        <v>45679</v>
      </c>
      <c r="C481" s="1" t="n">
        <v>45893</v>
      </c>
      <c r="D481" t="inlineStr">
        <is>
          <t>UPPSALA LÄN</t>
        </is>
      </c>
      <c r="E481" t="inlineStr">
        <is>
          <t>ENKÖPING</t>
        </is>
      </c>
      <c r="G481" t="n">
        <v>8.9</v>
      </c>
      <c r="H481" t="n">
        <v>0</v>
      </c>
      <c r="I481" t="n">
        <v>0</v>
      </c>
      <c r="J481" t="n">
        <v>0</v>
      </c>
      <c r="K481" t="n">
        <v>0</v>
      </c>
      <c r="L481" t="n">
        <v>0</v>
      </c>
      <c r="M481" t="n">
        <v>0</v>
      </c>
      <c r="N481" t="n">
        <v>0</v>
      </c>
      <c r="O481" t="n">
        <v>0</v>
      </c>
      <c r="P481" t="n">
        <v>0</v>
      </c>
      <c r="Q481" t="n">
        <v>0</v>
      </c>
      <c r="R481" s="2" t="inlineStr"/>
    </row>
    <row r="482">
      <c r="A482" t="inlineStr">
        <is>
          <t>A 12754-2025</t>
        </is>
      </c>
      <c r="B482" s="1" t="n">
        <v>45733.56331018519</v>
      </c>
      <c r="C482" s="1" t="n">
        <v>45893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2025-08-24T08:28:09Z</dcterms:created>
  <dcterms:modified xmlns:dcterms="http://purl.org/dc/terms/" xmlns:xsi="http://www.w3.org/2001/XMLSchema-instance" xsi:type="dcterms:W3CDTF">2025-08-24T08:28:09Z</dcterms:modified>
</cp:coreProperties>
</file>