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45905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45905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45905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45905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45905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45905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45905</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45905</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45905</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45905</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45905</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45905</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45905</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45905</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45905</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45905</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45905</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45905</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45905</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33339-2024</t>
        </is>
      </c>
      <c r="B21" s="1" t="n">
        <v>45519</v>
      </c>
      <c r="C21" s="1" t="n">
        <v>45905</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21970-2025</t>
        </is>
      </c>
      <c r="B22" s="1" t="n">
        <v>45784.63335648148</v>
      </c>
      <c r="C22" s="1" t="n">
        <v>45905</v>
      </c>
      <c r="D22" t="inlineStr">
        <is>
          <t>UPPSALA LÄN</t>
        </is>
      </c>
      <c r="E22" t="inlineStr">
        <is>
          <t>ENKÖPING</t>
        </is>
      </c>
      <c r="G22" t="n">
        <v>5.3</v>
      </c>
      <c r="H22" t="n">
        <v>1</v>
      </c>
      <c r="I22" t="n">
        <v>0</v>
      </c>
      <c r="J22" t="n">
        <v>0</v>
      </c>
      <c r="K22" t="n">
        <v>0</v>
      </c>
      <c r="L22" t="n">
        <v>0</v>
      </c>
      <c r="M22" t="n">
        <v>0</v>
      </c>
      <c r="N22" t="n">
        <v>0</v>
      </c>
      <c r="O22" t="n">
        <v>0</v>
      </c>
      <c r="P22" t="n">
        <v>0</v>
      </c>
      <c r="Q22" t="n">
        <v>1</v>
      </c>
      <c r="R22" s="2" t="inlineStr">
        <is>
          <t>Blåsippa</t>
        </is>
      </c>
      <c r="S22">
        <f>HYPERLINK("https://klasma.github.io/Logging_0381/artfynd/A 21970-2025 artfynd.xlsx", "A 21970-2025")</f>
        <v/>
      </c>
      <c r="T22">
        <f>HYPERLINK("https://klasma.github.io/Logging_0381/kartor/A 21970-2025 karta.png", "A 21970-2025")</f>
        <v/>
      </c>
      <c r="V22">
        <f>HYPERLINK("https://klasma.github.io/Logging_0381/klagomål/A 21970-2025 FSC-klagomål.docx", "A 21970-2025")</f>
        <v/>
      </c>
      <c r="W22">
        <f>HYPERLINK("https://klasma.github.io/Logging_0381/klagomålsmail/A 21970-2025 FSC-klagomål mail.docx", "A 21970-2025")</f>
        <v/>
      </c>
      <c r="X22">
        <f>HYPERLINK("https://klasma.github.io/Logging_0381/tillsyn/A 21970-2025 tillsynsbegäran.docx", "A 21970-2025")</f>
        <v/>
      </c>
      <c r="Y22">
        <f>HYPERLINK("https://klasma.github.io/Logging_0381/tillsynsmail/A 21970-2025 tillsynsbegäran mail.docx", "A 21970-2025")</f>
        <v/>
      </c>
    </row>
    <row r="23" ht="15" customHeight="1">
      <c r="A23" t="inlineStr">
        <is>
          <t>A 26347-2025</t>
        </is>
      </c>
      <c r="B23" s="1" t="n">
        <v>45805.7403125</v>
      </c>
      <c r="C23" s="1" t="n">
        <v>45905</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45116-2023</t>
        </is>
      </c>
      <c r="B24" s="1" t="n">
        <v>45191</v>
      </c>
      <c r="C24" s="1" t="n">
        <v>45905</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27060-2025</t>
        </is>
      </c>
      <c r="B25" s="1" t="n">
        <v>45811.63590277778</v>
      </c>
      <c r="C25" s="1" t="n">
        <v>45905</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23961-2022</t>
        </is>
      </c>
      <c r="B26" s="1" t="n">
        <v>44722</v>
      </c>
      <c r="C26" s="1" t="n">
        <v>45905</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45905</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45905</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29510-2025</t>
        </is>
      </c>
      <c r="B29" s="1" t="n">
        <v>45825</v>
      </c>
      <c r="C29" s="1" t="n">
        <v>45905</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1524-2023</t>
        </is>
      </c>
      <c r="B30" s="1" t="n">
        <v>44935</v>
      </c>
      <c r="C30" s="1" t="n">
        <v>45905</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46749-2024</t>
        </is>
      </c>
      <c r="B31" s="1" t="n">
        <v>45583.48347222222</v>
      </c>
      <c r="C31" s="1" t="n">
        <v>45905</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16683-2021</t>
        </is>
      </c>
      <c r="B32" s="1" t="n">
        <v>44294.58495370371</v>
      </c>
      <c r="C32" s="1" t="n">
        <v>45905</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45905</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45905</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45905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45905</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45905</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45905</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45905</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45905</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45905</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45905</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45905</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45905</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45905</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45905</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45905</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45905</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45905</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45905</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45905</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45905</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45905</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45905</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45905</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45905</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45905</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45905</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45905</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45905</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45905</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45905</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45905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45905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45905</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45905</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45905</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45905</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45905</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45905</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45905</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45905</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45905</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45905</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45905</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45905</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45905</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45905</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45905</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45905</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45905</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45905</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45905</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45905</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45905</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45905</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45905</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45905</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45905</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45905</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15997-2021</t>
        </is>
      </c>
      <c r="B91" s="1" t="n">
        <v>44287</v>
      </c>
      <c r="C91" s="1" t="n">
        <v>45905</v>
      </c>
      <c r="D91" t="inlineStr">
        <is>
          <t>UPPSALA LÄN</t>
        </is>
      </c>
      <c r="E91" t="inlineStr">
        <is>
          <t>ENKÖPING</t>
        </is>
      </c>
      <c r="G91" t="n">
        <v>1.2</v>
      </c>
      <c r="H91" t="n">
        <v>0</v>
      </c>
      <c r="I91" t="n">
        <v>0</v>
      </c>
      <c r="J91" t="n">
        <v>0</v>
      </c>
      <c r="K91" t="n">
        <v>0</v>
      </c>
      <c r="L91" t="n">
        <v>0</v>
      </c>
      <c r="M91" t="n">
        <v>0</v>
      </c>
      <c r="N91" t="n">
        <v>0</v>
      </c>
      <c r="O91" t="n">
        <v>0</v>
      </c>
      <c r="P91" t="n">
        <v>0</v>
      </c>
      <c r="Q91" t="n">
        <v>0</v>
      </c>
      <c r="R91" s="2" t="inlineStr"/>
    </row>
    <row r="92" ht="15" customHeight="1">
      <c r="A92" t="inlineStr">
        <is>
          <t>A 28795-2021</t>
        </is>
      </c>
      <c r="B92" s="1" t="n">
        <v>44357</v>
      </c>
      <c r="C92" s="1" t="n">
        <v>45905</v>
      </c>
      <c r="D92" t="inlineStr">
        <is>
          <t>UPPSALA LÄN</t>
        </is>
      </c>
      <c r="E92" t="inlineStr">
        <is>
          <t>ENKÖPING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45905</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49375-2021</t>
        </is>
      </c>
      <c r="B94" s="1" t="n">
        <v>44454</v>
      </c>
      <c r="C94" s="1" t="n">
        <v>45905</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69791-2021</t>
        </is>
      </c>
      <c r="B95" s="1" t="n">
        <v>44532</v>
      </c>
      <c r="C95" s="1" t="n">
        <v>45905</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45905</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15924-2022</t>
        </is>
      </c>
      <c r="B97" s="1" t="n">
        <v>44664</v>
      </c>
      <c r="C97" s="1" t="n">
        <v>45905</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15943-2022</t>
        </is>
      </c>
      <c r="B98" s="1" t="n">
        <v>44664.66428240741</v>
      </c>
      <c r="C98" s="1" t="n">
        <v>45905</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47106-2021</t>
        </is>
      </c>
      <c r="B99" s="1" t="n">
        <v>44446</v>
      </c>
      <c r="C99" s="1" t="n">
        <v>45905</v>
      </c>
      <c r="D99" t="inlineStr">
        <is>
          <t>UPPSALA LÄN</t>
        </is>
      </c>
      <c r="E99" t="inlineStr">
        <is>
          <t>ENKÖPING</t>
        </is>
      </c>
      <c r="G99" t="n">
        <v>7.6</v>
      </c>
      <c r="H99" t="n">
        <v>0</v>
      </c>
      <c r="I99" t="n">
        <v>0</v>
      </c>
      <c r="J99" t="n">
        <v>0</v>
      </c>
      <c r="K99" t="n">
        <v>0</v>
      </c>
      <c r="L99" t="n">
        <v>0</v>
      </c>
      <c r="M99" t="n">
        <v>0</v>
      </c>
      <c r="N99" t="n">
        <v>0</v>
      </c>
      <c r="O99" t="n">
        <v>0</v>
      </c>
      <c r="P99" t="n">
        <v>0</v>
      </c>
      <c r="Q99" t="n">
        <v>0</v>
      </c>
      <c r="R99" s="2" t="inlineStr"/>
    </row>
    <row r="100" ht="15" customHeight="1">
      <c r="A100" t="inlineStr">
        <is>
          <t>A 60874-2021</t>
        </is>
      </c>
      <c r="B100" s="1" t="n">
        <v>44497</v>
      </c>
      <c r="C100" s="1" t="n">
        <v>45905</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59121-2021</t>
        </is>
      </c>
      <c r="B101" s="1" t="n">
        <v>44490</v>
      </c>
      <c r="C101" s="1" t="n">
        <v>45905</v>
      </c>
      <c r="D101" t="inlineStr">
        <is>
          <t>UPPSALA LÄN</t>
        </is>
      </c>
      <c r="E101" t="inlineStr">
        <is>
          <t>ENKÖPING</t>
        </is>
      </c>
      <c r="G101" t="n">
        <v>2.4</v>
      </c>
      <c r="H101" t="n">
        <v>0</v>
      </c>
      <c r="I101" t="n">
        <v>0</v>
      </c>
      <c r="J101" t="n">
        <v>0</v>
      </c>
      <c r="K101" t="n">
        <v>0</v>
      </c>
      <c r="L101" t="n">
        <v>0</v>
      </c>
      <c r="M101" t="n">
        <v>0</v>
      </c>
      <c r="N101" t="n">
        <v>0</v>
      </c>
      <c r="O101" t="n">
        <v>0</v>
      </c>
      <c r="P101" t="n">
        <v>0</v>
      </c>
      <c r="Q101" t="n">
        <v>0</v>
      </c>
      <c r="R101" s="2" t="inlineStr"/>
    </row>
    <row r="102" ht="15" customHeight="1">
      <c r="A102" t="inlineStr">
        <is>
          <t>A 19731-2022</t>
        </is>
      </c>
      <c r="B102" s="1" t="n">
        <v>44694</v>
      </c>
      <c r="C102" s="1" t="n">
        <v>45905</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45905</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24815-2022</t>
        </is>
      </c>
      <c r="B104" s="1" t="n">
        <v>44728</v>
      </c>
      <c r="C104" s="1" t="n">
        <v>45905</v>
      </c>
      <c r="D104" t="inlineStr">
        <is>
          <t>UPPSALA LÄN</t>
        </is>
      </c>
      <c r="E104" t="inlineStr">
        <is>
          <t>ENKÖPING</t>
        </is>
      </c>
      <c r="G104" t="n">
        <v>1.8</v>
      </c>
      <c r="H104" t="n">
        <v>0</v>
      </c>
      <c r="I104" t="n">
        <v>0</v>
      </c>
      <c r="J104" t="n">
        <v>0</v>
      </c>
      <c r="K104" t="n">
        <v>0</v>
      </c>
      <c r="L104" t="n">
        <v>0</v>
      </c>
      <c r="M104" t="n">
        <v>0</v>
      </c>
      <c r="N104" t="n">
        <v>0</v>
      </c>
      <c r="O104" t="n">
        <v>0</v>
      </c>
      <c r="P104" t="n">
        <v>0</v>
      </c>
      <c r="Q104" t="n">
        <v>0</v>
      </c>
      <c r="R104" s="2" t="inlineStr"/>
    </row>
    <row r="105" ht="15" customHeight="1">
      <c r="A105" t="inlineStr">
        <is>
          <t>A 57078-2021</t>
        </is>
      </c>
      <c r="B105" s="1" t="n">
        <v>44482.57855324074</v>
      </c>
      <c r="C105" s="1" t="n">
        <v>45905</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57043-2021</t>
        </is>
      </c>
      <c r="B106" s="1" t="n">
        <v>44482.53399305556</v>
      </c>
      <c r="C106" s="1" t="n">
        <v>45905</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47516-2022</t>
        </is>
      </c>
      <c r="B107" s="1" t="n">
        <v>44853.68895833333</v>
      </c>
      <c r="C107" s="1" t="n">
        <v>45905</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15021-2022</t>
        </is>
      </c>
      <c r="B108" s="1" t="n">
        <v>44657</v>
      </c>
      <c r="C108" s="1" t="n">
        <v>45905</v>
      </c>
      <c r="D108" t="inlineStr">
        <is>
          <t>UPPSALA LÄN</t>
        </is>
      </c>
      <c r="E108" t="inlineStr">
        <is>
          <t>ENKÖPING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58798-2020</t>
        </is>
      </c>
      <c r="B109" s="1" t="n">
        <v>44146</v>
      </c>
      <c r="C109" s="1" t="n">
        <v>45905</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57802-2020</t>
        </is>
      </c>
      <c r="B110" s="1" t="n">
        <v>44141</v>
      </c>
      <c r="C110" s="1" t="n">
        <v>45905</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42021-2021</t>
        </is>
      </c>
      <c r="B111" s="1" t="n">
        <v>44426</v>
      </c>
      <c r="C111" s="1" t="n">
        <v>45905</v>
      </c>
      <c r="D111" t="inlineStr">
        <is>
          <t>UPPSALA LÄN</t>
        </is>
      </c>
      <c r="E111" t="inlineStr">
        <is>
          <t>ENKÖPING</t>
        </is>
      </c>
      <c r="G111" t="n">
        <v>2.2</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45905</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17467-2022</t>
        </is>
      </c>
      <c r="B113" s="1" t="n">
        <v>44679</v>
      </c>
      <c r="C113" s="1" t="n">
        <v>45905</v>
      </c>
      <c r="D113" t="inlineStr">
        <is>
          <t>UPPSALA LÄN</t>
        </is>
      </c>
      <c r="E113" t="inlineStr">
        <is>
          <t>ENKÖPING</t>
        </is>
      </c>
      <c r="G113" t="n">
        <v>0.7</v>
      </c>
      <c r="H113" t="n">
        <v>0</v>
      </c>
      <c r="I113" t="n">
        <v>0</v>
      </c>
      <c r="J113" t="n">
        <v>0</v>
      </c>
      <c r="K113" t="n">
        <v>0</v>
      </c>
      <c r="L113" t="n">
        <v>0</v>
      </c>
      <c r="M113" t="n">
        <v>0</v>
      </c>
      <c r="N113" t="n">
        <v>0</v>
      </c>
      <c r="O113" t="n">
        <v>0</v>
      </c>
      <c r="P113" t="n">
        <v>0</v>
      </c>
      <c r="Q113" t="n">
        <v>0</v>
      </c>
      <c r="R113" s="2" t="inlineStr"/>
    </row>
    <row r="114" ht="15" customHeight="1">
      <c r="A114" t="inlineStr">
        <is>
          <t>A 31965-2021</t>
        </is>
      </c>
      <c r="B114" s="1" t="n">
        <v>44370.56901620371</v>
      </c>
      <c r="C114" s="1" t="n">
        <v>45905</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52464-2020</t>
        </is>
      </c>
      <c r="B115" s="1" t="n">
        <v>44118</v>
      </c>
      <c r="C115" s="1" t="n">
        <v>45905</v>
      </c>
      <c r="D115" t="inlineStr">
        <is>
          <t>UPPSALA LÄN</t>
        </is>
      </c>
      <c r="E115" t="inlineStr">
        <is>
          <t>ENKÖPING</t>
        </is>
      </c>
      <c r="G115" t="n">
        <v>4.6</v>
      </c>
      <c r="H115" t="n">
        <v>0</v>
      </c>
      <c r="I115" t="n">
        <v>0</v>
      </c>
      <c r="J115" t="n">
        <v>0</v>
      </c>
      <c r="K115" t="n">
        <v>0</v>
      </c>
      <c r="L115" t="n">
        <v>0</v>
      </c>
      <c r="M115" t="n">
        <v>0</v>
      </c>
      <c r="N115" t="n">
        <v>0</v>
      </c>
      <c r="O115" t="n">
        <v>0</v>
      </c>
      <c r="P115" t="n">
        <v>0</v>
      </c>
      <c r="Q115" t="n">
        <v>0</v>
      </c>
      <c r="R115" s="2" t="inlineStr"/>
    </row>
    <row r="116" ht="15" customHeight="1">
      <c r="A116" t="inlineStr">
        <is>
          <t>A 24883-2022</t>
        </is>
      </c>
      <c r="B116" s="1" t="n">
        <v>44728</v>
      </c>
      <c r="C116" s="1" t="n">
        <v>45905</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10468-2025</t>
        </is>
      </c>
      <c r="B117" s="1" t="n">
        <v>45720</v>
      </c>
      <c r="C117" s="1" t="n">
        <v>45905</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19630-2021</t>
        </is>
      </c>
      <c r="B118" s="1" t="n">
        <v>44312.61876157407</v>
      </c>
      <c r="C118" s="1" t="n">
        <v>45905</v>
      </c>
      <c r="D118" t="inlineStr">
        <is>
          <t>UPPSALA LÄN</t>
        </is>
      </c>
      <c r="E118" t="inlineStr">
        <is>
          <t>ENKÖPING</t>
        </is>
      </c>
      <c r="G118" t="n">
        <v>2.7</v>
      </c>
      <c r="H118" t="n">
        <v>0</v>
      </c>
      <c r="I118" t="n">
        <v>0</v>
      </c>
      <c r="J118" t="n">
        <v>0</v>
      </c>
      <c r="K118" t="n">
        <v>0</v>
      </c>
      <c r="L118" t="n">
        <v>0</v>
      </c>
      <c r="M118" t="n">
        <v>0</v>
      </c>
      <c r="N118" t="n">
        <v>0</v>
      </c>
      <c r="O118" t="n">
        <v>0</v>
      </c>
      <c r="P118" t="n">
        <v>0</v>
      </c>
      <c r="Q118" t="n">
        <v>0</v>
      </c>
      <c r="R118" s="2" t="inlineStr"/>
    </row>
    <row r="119" ht="15" customHeight="1">
      <c r="A119" t="inlineStr">
        <is>
          <t>A 31013-2022</t>
        </is>
      </c>
      <c r="B119" s="1" t="n">
        <v>44768</v>
      </c>
      <c r="C119" s="1" t="n">
        <v>45905</v>
      </c>
      <c r="D119" t="inlineStr">
        <is>
          <t>UPPSALA LÄN</t>
        </is>
      </c>
      <c r="E119" t="inlineStr">
        <is>
          <t>ENKÖPING</t>
        </is>
      </c>
      <c r="F119" t="inlineStr">
        <is>
          <t>Allmännings- och besparingsskogar</t>
        </is>
      </c>
      <c r="G119" t="n">
        <v>0.5</v>
      </c>
      <c r="H119" t="n">
        <v>0</v>
      </c>
      <c r="I119" t="n">
        <v>0</v>
      </c>
      <c r="J119" t="n">
        <v>0</v>
      </c>
      <c r="K119" t="n">
        <v>0</v>
      </c>
      <c r="L119" t="n">
        <v>0</v>
      </c>
      <c r="M119" t="n">
        <v>0</v>
      </c>
      <c r="N119" t="n">
        <v>0</v>
      </c>
      <c r="O119" t="n">
        <v>0</v>
      </c>
      <c r="P119" t="n">
        <v>0</v>
      </c>
      <c r="Q119" t="n">
        <v>0</v>
      </c>
      <c r="R119" s="2" t="inlineStr"/>
    </row>
    <row r="120" ht="15" customHeight="1">
      <c r="A120" t="inlineStr">
        <is>
          <t>A 43488-2023</t>
        </is>
      </c>
      <c r="B120" s="1" t="n">
        <v>45181</v>
      </c>
      <c r="C120" s="1" t="n">
        <v>45905</v>
      </c>
      <c r="D120" t="inlineStr">
        <is>
          <t>UPPSALA LÄN</t>
        </is>
      </c>
      <c r="E120" t="inlineStr">
        <is>
          <t>ENKÖPING</t>
        </is>
      </c>
      <c r="G120" t="n">
        <v>0.6</v>
      </c>
      <c r="H120" t="n">
        <v>0</v>
      </c>
      <c r="I120" t="n">
        <v>0</v>
      </c>
      <c r="J120" t="n">
        <v>0</v>
      </c>
      <c r="K120" t="n">
        <v>0</v>
      </c>
      <c r="L120" t="n">
        <v>0</v>
      </c>
      <c r="M120" t="n">
        <v>0</v>
      </c>
      <c r="N120" t="n">
        <v>0</v>
      </c>
      <c r="O120" t="n">
        <v>0</v>
      </c>
      <c r="P120" t="n">
        <v>0</v>
      </c>
      <c r="Q120" t="n">
        <v>0</v>
      </c>
      <c r="R120" s="2" t="inlineStr"/>
    </row>
    <row r="121" ht="15" customHeight="1">
      <c r="A121" t="inlineStr">
        <is>
          <t>A 12755-2025</t>
        </is>
      </c>
      <c r="B121" s="1" t="n">
        <v>45733.56541666666</v>
      </c>
      <c r="C121" s="1" t="n">
        <v>45905</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50747-2022</t>
        </is>
      </c>
      <c r="B122" s="1" t="n">
        <v>44867.40162037037</v>
      </c>
      <c r="C122" s="1" t="n">
        <v>45905</v>
      </c>
      <c r="D122" t="inlineStr">
        <is>
          <t>UPPSALA LÄN</t>
        </is>
      </c>
      <c r="E122" t="inlineStr">
        <is>
          <t>ENKÖPING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57152-2021</t>
        </is>
      </c>
      <c r="B123" s="1" t="n">
        <v>44482</v>
      </c>
      <c r="C123" s="1" t="n">
        <v>45905</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4044-2024</t>
        </is>
      </c>
      <c r="B124" s="1" t="n">
        <v>45323.45954861111</v>
      </c>
      <c r="C124" s="1" t="n">
        <v>45905</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5211-2024</t>
        </is>
      </c>
      <c r="B125" s="1" t="n">
        <v>45330</v>
      </c>
      <c r="C125" s="1" t="n">
        <v>45905</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42029-2021</t>
        </is>
      </c>
      <c r="B126" s="1" t="n">
        <v>44426</v>
      </c>
      <c r="C126" s="1" t="n">
        <v>45905</v>
      </c>
      <c r="D126" t="inlineStr">
        <is>
          <t>UPPSALA LÄN</t>
        </is>
      </c>
      <c r="E126" t="inlineStr">
        <is>
          <t>ENKÖPING</t>
        </is>
      </c>
      <c r="G126" t="n">
        <v>5.3</v>
      </c>
      <c r="H126" t="n">
        <v>0</v>
      </c>
      <c r="I126" t="n">
        <v>0</v>
      </c>
      <c r="J126" t="n">
        <v>0</v>
      </c>
      <c r="K126" t="n">
        <v>0</v>
      </c>
      <c r="L126" t="n">
        <v>0</v>
      </c>
      <c r="M126" t="n">
        <v>0</v>
      </c>
      <c r="N126" t="n">
        <v>0</v>
      </c>
      <c r="O126" t="n">
        <v>0</v>
      </c>
      <c r="P126" t="n">
        <v>0</v>
      </c>
      <c r="Q126" t="n">
        <v>0</v>
      </c>
      <c r="R126" s="2" t="inlineStr"/>
    </row>
    <row r="127" ht="15" customHeight="1">
      <c r="A127" t="inlineStr">
        <is>
          <t>A 30437-2022</t>
        </is>
      </c>
      <c r="B127" s="1" t="n">
        <v>44761</v>
      </c>
      <c r="C127" s="1" t="n">
        <v>45905</v>
      </c>
      <c r="D127" t="inlineStr">
        <is>
          <t>UPPSALA LÄN</t>
        </is>
      </c>
      <c r="E127" t="inlineStr">
        <is>
          <t>ENKÖPING</t>
        </is>
      </c>
      <c r="G127" t="n">
        <v>3.4</v>
      </c>
      <c r="H127" t="n">
        <v>0</v>
      </c>
      <c r="I127" t="n">
        <v>0</v>
      </c>
      <c r="J127" t="n">
        <v>0</v>
      </c>
      <c r="K127" t="n">
        <v>0</v>
      </c>
      <c r="L127" t="n">
        <v>0</v>
      </c>
      <c r="M127" t="n">
        <v>0</v>
      </c>
      <c r="N127" t="n">
        <v>0</v>
      </c>
      <c r="O127" t="n">
        <v>0</v>
      </c>
      <c r="P127" t="n">
        <v>0</v>
      </c>
      <c r="Q127" t="n">
        <v>0</v>
      </c>
      <c r="R127" s="2" t="inlineStr"/>
    </row>
    <row r="128" ht="15" customHeight="1">
      <c r="A128" t="inlineStr">
        <is>
          <t>A 63310-2021</t>
        </is>
      </c>
      <c r="B128" s="1" t="n">
        <v>44508</v>
      </c>
      <c r="C128" s="1" t="n">
        <v>45905</v>
      </c>
      <c r="D128" t="inlineStr">
        <is>
          <t>UPPSALA LÄN</t>
        </is>
      </c>
      <c r="E128" t="inlineStr">
        <is>
          <t>ENKÖPING</t>
        </is>
      </c>
      <c r="G128" t="n">
        <v>3.5</v>
      </c>
      <c r="H128" t="n">
        <v>0</v>
      </c>
      <c r="I128" t="n">
        <v>0</v>
      </c>
      <c r="J128" t="n">
        <v>0</v>
      </c>
      <c r="K128" t="n">
        <v>0</v>
      </c>
      <c r="L128" t="n">
        <v>0</v>
      </c>
      <c r="M128" t="n">
        <v>0</v>
      </c>
      <c r="N128" t="n">
        <v>0</v>
      </c>
      <c r="O128" t="n">
        <v>0</v>
      </c>
      <c r="P128" t="n">
        <v>0</v>
      </c>
      <c r="Q128" t="n">
        <v>0</v>
      </c>
      <c r="R128" s="2" t="inlineStr"/>
    </row>
    <row r="129" ht="15" customHeight="1">
      <c r="A129" t="inlineStr">
        <is>
          <t>A 12572-2021</t>
        </is>
      </c>
      <c r="B129" s="1" t="n">
        <v>44270.36438657407</v>
      </c>
      <c r="C129" s="1" t="n">
        <v>45905</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46103-2023</t>
        </is>
      </c>
      <c r="B130" s="1" t="n">
        <v>45190</v>
      </c>
      <c r="C130" s="1" t="n">
        <v>45905</v>
      </c>
      <c r="D130" t="inlineStr">
        <is>
          <t>UPPSALA LÄN</t>
        </is>
      </c>
      <c r="E130" t="inlineStr">
        <is>
          <t>ENKÖPING</t>
        </is>
      </c>
      <c r="G130" t="n">
        <v>4.6</v>
      </c>
      <c r="H130" t="n">
        <v>0</v>
      </c>
      <c r="I130" t="n">
        <v>0</v>
      </c>
      <c r="J130" t="n">
        <v>0</v>
      </c>
      <c r="K130" t="n">
        <v>0</v>
      </c>
      <c r="L130" t="n">
        <v>0</v>
      </c>
      <c r="M130" t="n">
        <v>0</v>
      </c>
      <c r="N130" t="n">
        <v>0</v>
      </c>
      <c r="O130" t="n">
        <v>0</v>
      </c>
      <c r="P130" t="n">
        <v>0</v>
      </c>
      <c r="Q130" t="n">
        <v>0</v>
      </c>
      <c r="R130" s="2" t="inlineStr"/>
    </row>
    <row r="131" ht="15" customHeight="1">
      <c r="A131" t="inlineStr">
        <is>
          <t>A 61106-2022</t>
        </is>
      </c>
      <c r="B131" s="1" t="n">
        <v>44915.4128587963</v>
      </c>
      <c r="C131" s="1" t="n">
        <v>45905</v>
      </c>
      <c r="D131" t="inlineStr">
        <is>
          <t>UPPSALA LÄN</t>
        </is>
      </c>
      <c r="E131" t="inlineStr">
        <is>
          <t>ENKÖPING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20112-2024</t>
        </is>
      </c>
      <c r="B132" s="1" t="n">
        <v>45434</v>
      </c>
      <c r="C132" s="1" t="n">
        <v>45905</v>
      </c>
      <c r="D132" t="inlineStr">
        <is>
          <t>UPPSALA LÄN</t>
        </is>
      </c>
      <c r="E132" t="inlineStr">
        <is>
          <t>ENKÖPING</t>
        </is>
      </c>
      <c r="G132" t="n">
        <v>1.8</v>
      </c>
      <c r="H132" t="n">
        <v>0</v>
      </c>
      <c r="I132" t="n">
        <v>0</v>
      </c>
      <c r="J132" t="n">
        <v>0</v>
      </c>
      <c r="K132" t="n">
        <v>0</v>
      </c>
      <c r="L132" t="n">
        <v>0</v>
      </c>
      <c r="M132" t="n">
        <v>0</v>
      </c>
      <c r="N132" t="n">
        <v>0</v>
      </c>
      <c r="O132" t="n">
        <v>0</v>
      </c>
      <c r="P132" t="n">
        <v>0</v>
      </c>
      <c r="Q132" t="n">
        <v>0</v>
      </c>
      <c r="R132" s="2" t="inlineStr"/>
    </row>
    <row r="133" ht="15" customHeight="1">
      <c r="A133" t="inlineStr">
        <is>
          <t>A 9171-2024</t>
        </is>
      </c>
      <c r="B133" s="1" t="n">
        <v>45358</v>
      </c>
      <c r="C133" s="1" t="n">
        <v>45905</v>
      </c>
      <c r="D133" t="inlineStr">
        <is>
          <t>UPPSALA LÄN</t>
        </is>
      </c>
      <c r="E133" t="inlineStr">
        <is>
          <t>ENKÖPING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671-2022</t>
        </is>
      </c>
      <c r="B134" s="1" t="n">
        <v>44568</v>
      </c>
      <c r="C134" s="1" t="n">
        <v>45905</v>
      </c>
      <c r="D134" t="inlineStr">
        <is>
          <t>UPPSALA LÄN</t>
        </is>
      </c>
      <c r="E134" t="inlineStr">
        <is>
          <t>ENKÖPING</t>
        </is>
      </c>
      <c r="G134" t="n">
        <v>3.5</v>
      </c>
      <c r="H134" t="n">
        <v>0</v>
      </c>
      <c r="I134" t="n">
        <v>0</v>
      </c>
      <c r="J134" t="n">
        <v>0</v>
      </c>
      <c r="K134" t="n">
        <v>0</v>
      </c>
      <c r="L134" t="n">
        <v>0</v>
      </c>
      <c r="M134" t="n">
        <v>0</v>
      </c>
      <c r="N134" t="n">
        <v>0</v>
      </c>
      <c r="O134" t="n">
        <v>0</v>
      </c>
      <c r="P134" t="n">
        <v>0</v>
      </c>
      <c r="Q134" t="n">
        <v>0</v>
      </c>
      <c r="R134" s="2" t="inlineStr"/>
    </row>
    <row r="135" ht="15" customHeight="1">
      <c r="A135" t="inlineStr">
        <is>
          <t>A 11005-2023</t>
        </is>
      </c>
      <c r="B135" s="1" t="n">
        <v>44991</v>
      </c>
      <c r="C135" s="1" t="n">
        <v>45905</v>
      </c>
      <c r="D135" t="inlineStr">
        <is>
          <t>UPPSALA LÄN</t>
        </is>
      </c>
      <c r="E135" t="inlineStr">
        <is>
          <t>ENKÖPING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51932-2022</t>
        </is>
      </c>
      <c r="B136" s="1" t="n">
        <v>44872</v>
      </c>
      <c r="C136" s="1" t="n">
        <v>45905</v>
      </c>
      <c r="D136" t="inlineStr">
        <is>
          <t>UPPSALA LÄN</t>
        </is>
      </c>
      <c r="E136" t="inlineStr">
        <is>
          <t>ENKÖPING</t>
        </is>
      </c>
      <c r="G136" t="n">
        <v>5.5</v>
      </c>
      <c r="H136" t="n">
        <v>0</v>
      </c>
      <c r="I136" t="n">
        <v>0</v>
      </c>
      <c r="J136" t="n">
        <v>0</v>
      </c>
      <c r="K136" t="n">
        <v>0</v>
      </c>
      <c r="L136" t="n">
        <v>0</v>
      </c>
      <c r="M136" t="n">
        <v>0</v>
      </c>
      <c r="N136" t="n">
        <v>0</v>
      </c>
      <c r="O136" t="n">
        <v>0</v>
      </c>
      <c r="P136" t="n">
        <v>0</v>
      </c>
      <c r="Q136" t="n">
        <v>0</v>
      </c>
      <c r="R136" s="2" t="inlineStr"/>
    </row>
    <row r="137" ht="15" customHeight="1">
      <c r="A137" t="inlineStr">
        <is>
          <t>A 25333-2023</t>
        </is>
      </c>
      <c r="B137" s="1" t="n">
        <v>45083</v>
      </c>
      <c r="C137" s="1" t="n">
        <v>45905</v>
      </c>
      <c r="D137" t="inlineStr">
        <is>
          <t>UPPSALA LÄN</t>
        </is>
      </c>
      <c r="E137" t="inlineStr">
        <is>
          <t>ENKÖPING</t>
        </is>
      </c>
      <c r="G137" t="n">
        <v>2.7</v>
      </c>
      <c r="H137" t="n">
        <v>0</v>
      </c>
      <c r="I137" t="n">
        <v>0</v>
      </c>
      <c r="J137" t="n">
        <v>0</v>
      </c>
      <c r="K137" t="n">
        <v>0</v>
      </c>
      <c r="L137" t="n">
        <v>0</v>
      </c>
      <c r="M137" t="n">
        <v>0</v>
      </c>
      <c r="N137" t="n">
        <v>0</v>
      </c>
      <c r="O137" t="n">
        <v>0</v>
      </c>
      <c r="P137" t="n">
        <v>0</v>
      </c>
      <c r="Q137" t="n">
        <v>0</v>
      </c>
      <c r="R137" s="2" t="inlineStr"/>
    </row>
    <row r="138" ht="15" customHeight="1">
      <c r="A138" t="inlineStr">
        <is>
          <t>A 12958-2024</t>
        </is>
      </c>
      <c r="B138" s="1" t="n">
        <v>45385</v>
      </c>
      <c r="C138" s="1" t="n">
        <v>45905</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1971-2022</t>
        </is>
      </c>
      <c r="B139" s="1" t="n">
        <v>44575</v>
      </c>
      <c r="C139" s="1" t="n">
        <v>45905</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29918-2023</t>
        </is>
      </c>
      <c r="B140" s="1" t="n">
        <v>45099</v>
      </c>
      <c r="C140" s="1" t="n">
        <v>45905</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12878-2025</t>
        </is>
      </c>
      <c r="B141" s="1" t="n">
        <v>45733.68571759259</v>
      </c>
      <c r="C141" s="1" t="n">
        <v>45905</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20067-2021</t>
        </is>
      </c>
      <c r="B142" s="1" t="n">
        <v>44314</v>
      </c>
      <c r="C142" s="1" t="n">
        <v>45905</v>
      </c>
      <c r="D142" t="inlineStr">
        <is>
          <t>UPPSALA LÄN</t>
        </is>
      </c>
      <c r="E142" t="inlineStr">
        <is>
          <t>ENKÖPING</t>
        </is>
      </c>
      <c r="G142" t="n">
        <v>0.9</v>
      </c>
      <c r="H142" t="n">
        <v>0</v>
      </c>
      <c r="I142" t="n">
        <v>0</v>
      </c>
      <c r="J142" t="n">
        <v>0</v>
      </c>
      <c r="K142" t="n">
        <v>0</v>
      </c>
      <c r="L142" t="n">
        <v>0</v>
      </c>
      <c r="M142" t="n">
        <v>0</v>
      </c>
      <c r="N142" t="n">
        <v>0</v>
      </c>
      <c r="O142" t="n">
        <v>0</v>
      </c>
      <c r="P142" t="n">
        <v>0</v>
      </c>
      <c r="Q142" t="n">
        <v>0</v>
      </c>
      <c r="R142" s="2" t="inlineStr"/>
    </row>
    <row r="143" ht="15" customHeight="1">
      <c r="A143" t="inlineStr">
        <is>
          <t>A 52889-2022</t>
        </is>
      </c>
      <c r="B143" s="1" t="n">
        <v>44875</v>
      </c>
      <c r="C143" s="1" t="n">
        <v>45905</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58384-2022</t>
        </is>
      </c>
      <c r="B144" s="1" t="n">
        <v>44901</v>
      </c>
      <c r="C144" s="1" t="n">
        <v>45905</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43016-2021</t>
        </is>
      </c>
      <c r="B145" s="1" t="n">
        <v>44431</v>
      </c>
      <c r="C145" s="1" t="n">
        <v>45905</v>
      </c>
      <c r="D145" t="inlineStr">
        <is>
          <t>UPPSALA LÄN</t>
        </is>
      </c>
      <c r="E145" t="inlineStr">
        <is>
          <t>ENKÖPING</t>
        </is>
      </c>
      <c r="G145" t="n">
        <v>1.5</v>
      </c>
      <c r="H145" t="n">
        <v>0</v>
      </c>
      <c r="I145" t="n">
        <v>0</v>
      </c>
      <c r="J145" t="n">
        <v>0</v>
      </c>
      <c r="K145" t="n">
        <v>0</v>
      </c>
      <c r="L145" t="n">
        <v>0</v>
      </c>
      <c r="M145" t="n">
        <v>0</v>
      </c>
      <c r="N145" t="n">
        <v>0</v>
      </c>
      <c r="O145" t="n">
        <v>0</v>
      </c>
      <c r="P145" t="n">
        <v>0</v>
      </c>
      <c r="Q145" t="n">
        <v>0</v>
      </c>
      <c r="R145" s="2" t="inlineStr"/>
    </row>
    <row r="146" ht="15" customHeight="1">
      <c r="A146" t="inlineStr">
        <is>
          <t>A 15893-2024</t>
        </is>
      </c>
      <c r="B146" s="1" t="n">
        <v>45405</v>
      </c>
      <c r="C146" s="1" t="n">
        <v>45905</v>
      </c>
      <c r="D146" t="inlineStr">
        <is>
          <t>UPPSALA LÄN</t>
        </is>
      </c>
      <c r="E146" t="inlineStr">
        <is>
          <t>ENKÖPING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33343-2024</t>
        </is>
      </c>
      <c r="B147" s="1" t="n">
        <v>45519</v>
      </c>
      <c r="C147" s="1" t="n">
        <v>45905</v>
      </c>
      <c r="D147" t="inlineStr">
        <is>
          <t>UPPSALA LÄN</t>
        </is>
      </c>
      <c r="E147" t="inlineStr">
        <is>
          <t>ENKÖPING</t>
        </is>
      </c>
      <c r="G147" t="n">
        <v>2</v>
      </c>
      <c r="H147" t="n">
        <v>0</v>
      </c>
      <c r="I147" t="n">
        <v>0</v>
      </c>
      <c r="J147" t="n">
        <v>0</v>
      </c>
      <c r="K147" t="n">
        <v>0</v>
      </c>
      <c r="L147" t="n">
        <v>0</v>
      </c>
      <c r="M147" t="n">
        <v>0</v>
      </c>
      <c r="N147" t="n">
        <v>0</v>
      </c>
      <c r="O147" t="n">
        <v>0</v>
      </c>
      <c r="P147" t="n">
        <v>0</v>
      </c>
      <c r="Q147" t="n">
        <v>0</v>
      </c>
      <c r="R147" s="2" t="inlineStr"/>
    </row>
    <row r="148" ht="15" customHeight="1">
      <c r="A148" t="inlineStr">
        <is>
          <t>A 47681-2024</t>
        </is>
      </c>
      <c r="B148" s="1" t="n">
        <v>45588</v>
      </c>
      <c r="C148" s="1" t="n">
        <v>45905</v>
      </c>
      <c r="D148" t="inlineStr">
        <is>
          <t>UPPSALA LÄN</t>
        </is>
      </c>
      <c r="E148" t="inlineStr">
        <is>
          <t>ENKÖPING</t>
        </is>
      </c>
      <c r="G148" t="n">
        <v>4.2</v>
      </c>
      <c r="H148" t="n">
        <v>0</v>
      </c>
      <c r="I148" t="n">
        <v>0</v>
      </c>
      <c r="J148" t="n">
        <v>0</v>
      </c>
      <c r="K148" t="n">
        <v>0</v>
      </c>
      <c r="L148" t="n">
        <v>0</v>
      </c>
      <c r="M148" t="n">
        <v>0</v>
      </c>
      <c r="N148" t="n">
        <v>0</v>
      </c>
      <c r="O148" t="n">
        <v>0</v>
      </c>
      <c r="P148" t="n">
        <v>0</v>
      </c>
      <c r="Q148" t="n">
        <v>0</v>
      </c>
      <c r="R148" s="2" t="inlineStr"/>
    </row>
    <row r="149" ht="15" customHeight="1">
      <c r="A149" t="inlineStr">
        <is>
          <t>A 12754-2025</t>
        </is>
      </c>
      <c r="B149" s="1" t="n">
        <v>45733.56331018519</v>
      </c>
      <c r="C149" s="1" t="n">
        <v>45905</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54588-2024</t>
        </is>
      </c>
      <c r="B150" s="1" t="n">
        <v>45617</v>
      </c>
      <c r="C150" s="1" t="n">
        <v>45905</v>
      </c>
      <c r="D150" t="inlineStr">
        <is>
          <t>UPPSALA LÄN</t>
        </is>
      </c>
      <c r="E150" t="inlineStr">
        <is>
          <t>ENKÖPING</t>
        </is>
      </c>
      <c r="G150" t="n">
        <v>3.7</v>
      </c>
      <c r="H150" t="n">
        <v>0</v>
      </c>
      <c r="I150" t="n">
        <v>0</v>
      </c>
      <c r="J150" t="n">
        <v>0</v>
      </c>
      <c r="K150" t="n">
        <v>0</v>
      </c>
      <c r="L150" t="n">
        <v>0</v>
      </c>
      <c r="M150" t="n">
        <v>0</v>
      </c>
      <c r="N150" t="n">
        <v>0</v>
      </c>
      <c r="O150" t="n">
        <v>0</v>
      </c>
      <c r="P150" t="n">
        <v>0</v>
      </c>
      <c r="Q150" t="n">
        <v>0</v>
      </c>
      <c r="R150" s="2" t="inlineStr"/>
    </row>
    <row r="151" ht="15" customHeight="1">
      <c r="A151" t="inlineStr">
        <is>
          <t>A 56713-2024</t>
        </is>
      </c>
      <c r="B151" s="1" t="n">
        <v>45628</v>
      </c>
      <c r="C151" s="1" t="n">
        <v>45905</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57142-2021</t>
        </is>
      </c>
      <c r="B152" s="1" t="n">
        <v>44482</v>
      </c>
      <c r="C152" s="1" t="n">
        <v>45905</v>
      </c>
      <c r="D152" t="inlineStr">
        <is>
          <t>UPPSALA LÄN</t>
        </is>
      </c>
      <c r="E152" t="inlineStr">
        <is>
          <t>ENKÖPING</t>
        </is>
      </c>
      <c r="G152" t="n">
        <v>0.7</v>
      </c>
      <c r="H152" t="n">
        <v>0</v>
      </c>
      <c r="I152" t="n">
        <v>0</v>
      </c>
      <c r="J152" t="n">
        <v>0</v>
      </c>
      <c r="K152" t="n">
        <v>0</v>
      </c>
      <c r="L152" t="n">
        <v>0</v>
      </c>
      <c r="M152" t="n">
        <v>0</v>
      </c>
      <c r="N152" t="n">
        <v>0</v>
      </c>
      <c r="O152" t="n">
        <v>0</v>
      </c>
      <c r="P152" t="n">
        <v>0</v>
      </c>
      <c r="Q152" t="n">
        <v>0</v>
      </c>
      <c r="R152" s="2" t="inlineStr"/>
    </row>
    <row r="153" ht="15" customHeight="1">
      <c r="A153" t="inlineStr">
        <is>
          <t>A 57153-2021</t>
        </is>
      </c>
      <c r="B153" s="1" t="n">
        <v>44482</v>
      </c>
      <c r="C153" s="1" t="n">
        <v>45905</v>
      </c>
      <c r="D153" t="inlineStr">
        <is>
          <t>UPPSALA LÄN</t>
        </is>
      </c>
      <c r="E153" t="inlineStr">
        <is>
          <t>ENKÖPING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40812-2022</t>
        </is>
      </c>
      <c r="B154" s="1" t="n">
        <v>44824.68791666667</v>
      </c>
      <c r="C154" s="1" t="n">
        <v>45905</v>
      </c>
      <c r="D154" t="inlineStr">
        <is>
          <t>UPPSALA LÄN</t>
        </is>
      </c>
      <c r="E154" t="inlineStr">
        <is>
          <t>ENKÖPING</t>
        </is>
      </c>
      <c r="G154" t="n">
        <v>1.4</v>
      </c>
      <c r="H154" t="n">
        <v>0</v>
      </c>
      <c r="I154" t="n">
        <v>0</v>
      </c>
      <c r="J154" t="n">
        <v>0</v>
      </c>
      <c r="K154" t="n">
        <v>0</v>
      </c>
      <c r="L154" t="n">
        <v>0</v>
      </c>
      <c r="M154" t="n">
        <v>0</v>
      </c>
      <c r="N154" t="n">
        <v>0</v>
      </c>
      <c r="O154" t="n">
        <v>0</v>
      </c>
      <c r="P154" t="n">
        <v>0</v>
      </c>
      <c r="Q154" t="n">
        <v>0</v>
      </c>
      <c r="R154" s="2" t="inlineStr"/>
    </row>
    <row r="155" ht="15" customHeight="1">
      <c r="A155" t="inlineStr">
        <is>
          <t>A 24291-2024</t>
        </is>
      </c>
      <c r="B155" s="1" t="n">
        <v>45457.4584837963</v>
      </c>
      <c r="C155" s="1" t="n">
        <v>45905</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21017-2023</t>
        </is>
      </c>
      <c r="B156" s="1" t="n">
        <v>45061</v>
      </c>
      <c r="C156" s="1" t="n">
        <v>45905</v>
      </c>
      <c r="D156" t="inlineStr">
        <is>
          <t>UPPSALA LÄN</t>
        </is>
      </c>
      <c r="E156" t="inlineStr">
        <is>
          <t>ENKÖPING</t>
        </is>
      </c>
      <c r="G156" t="n">
        <v>4.8</v>
      </c>
      <c r="H156" t="n">
        <v>0</v>
      </c>
      <c r="I156" t="n">
        <v>0</v>
      </c>
      <c r="J156" t="n">
        <v>0</v>
      </c>
      <c r="K156" t="n">
        <v>0</v>
      </c>
      <c r="L156" t="n">
        <v>0</v>
      </c>
      <c r="M156" t="n">
        <v>0</v>
      </c>
      <c r="N156" t="n">
        <v>0</v>
      </c>
      <c r="O156" t="n">
        <v>0</v>
      </c>
      <c r="P156" t="n">
        <v>0</v>
      </c>
      <c r="Q156" t="n">
        <v>0</v>
      </c>
      <c r="R156" s="2" t="inlineStr"/>
    </row>
    <row r="157" ht="15" customHeight="1">
      <c r="A157" t="inlineStr">
        <is>
          <t>A 51524-2022</t>
        </is>
      </c>
      <c r="B157" s="1" t="n">
        <v>44869</v>
      </c>
      <c r="C157" s="1" t="n">
        <v>45905</v>
      </c>
      <c r="D157" t="inlineStr">
        <is>
          <t>UPPSALA LÄN</t>
        </is>
      </c>
      <c r="E157" t="inlineStr">
        <is>
          <t>ENKÖPING</t>
        </is>
      </c>
      <c r="G157" t="n">
        <v>6.6</v>
      </c>
      <c r="H157" t="n">
        <v>0</v>
      </c>
      <c r="I157" t="n">
        <v>0</v>
      </c>
      <c r="J157" t="n">
        <v>0</v>
      </c>
      <c r="K157" t="n">
        <v>0</v>
      </c>
      <c r="L157" t="n">
        <v>0</v>
      </c>
      <c r="M157" t="n">
        <v>0</v>
      </c>
      <c r="N157" t="n">
        <v>0</v>
      </c>
      <c r="O157" t="n">
        <v>0</v>
      </c>
      <c r="P157" t="n">
        <v>0</v>
      </c>
      <c r="Q157" t="n">
        <v>0</v>
      </c>
      <c r="R157" s="2" t="inlineStr"/>
    </row>
    <row r="158" ht="15" customHeight="1">
      <c r="A158" t="inlineStr">
        <is>
          <t>A 5188-2022</t>
        </is>
      </c>
      <c r="B158" s="1" t="n">
        <v>44594.4471412037</v>
      </c>
      <c r="C158" s="1" t="n">
        <v>45905</v>
      </c>
      <c r="D158" t="inlineStr">
        <is>
          <t>UPPSALA LÄN</t>
        </is>
      </c>
      <c r="E158" t="inlineStr">
        <is>
          <t>ENKÖPING</t>
        </is>
      </c>
      <c r="G158" t="n">
        <v>1.6</v>
      </c>
      <c r="H158" t="n">
        <v>0</v>
      </c>
      <c r="I158" t="n">
        <v>0</v>
      </c>
      <c r="J158" t="n">
        <v>0</v>
      </c>
      <c r="K158" t="n">
        <v>0</v>
      </c>
      <c r="L158" t="n">
        <v>0</v>
      </c>
      <c r="M158" t="n">
        <v>0</v>
      </c>
      <c r="N158" t="n">
        <v>0</v>
      </c>
      <c r="O158" t="n">
        <v>0</v>
      </c>
      <c r="P158" t="n">
        <v>0</v>
      </c>
      <c r="Q158" t="n">
        <v>0</v>
      </c>
      <c r="R158" s="2" t="inlineStr"/>
    </row>
    <row r="159" ht="15" customHeight="1">
      <c r="A159" t="inlineStr">
        <is>
          <t>A 8137-2025</t>
        </is>
      </c>
      <c r="B159" s="1" t="n">
        <v>45707.8561574074</v>
      </c>
      <c r="C159" s="1" t="n">
        <v>45905</v>
      </c>
      <c r="D159" t="inlineStr">
        <is>
          <t>UPPSALA LÄN</t>
        </is>
      </c>
      <c r="E159" t="inlineStr">
        <is>
          <t>ENKÖPING</t>
        </is>
      </c>
      <c r="G159" t="n">
        <v>0.4</v>
      </c>
      <c r="H159" t="n">
        <v>0</v>
      </c>
      <c r="I159" t="n">
        <v>0</v>
      </c>
      <c r="J159" t="n">
        <v>0</v>
      </c>
      <c r="K159" t="n">
        <v>0</v>
      </c>
      <c r="L159" t="n">
        <v>0</v>
      </c>
      <c r="M159" t="n">
        <v>0</v>
      </c>
      <c r="N159" t="n">
        <v>0</v>
      </c>
      <c r="O159" t="n">
        <v>0</v>
      </c>
      <c r="P159" t="n">
        <v>0</v>
      </c>
      <c r="Q159" t="n">
        <v>0</v>
      </c>
      <c r="R159" s="2" t="inlineStr"/>
    </row>
    <row r="160" ht="15" customHeight="1">
      <c r="A160" t="inlineStr">
        <is>
          <t>A 7868-2024</t>
        </is>
      </c>
      <c r="B160" s="1" t="n">
        <v>45350.33020833333</v>
      </c>
      <c r="C160" s="1" t="n">
        <v>45905</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19014-2025</t>
        </is>
      </c>
      <c r="B161" s="1" t="n">
        <v>45764.59631944444</v>
      </c>
      <c r="C161" s="1" t="n">
        <v>45905</v>
      </c>
      <c r="D161" t="inlineStr">
        <is>
          <t>UPPSALA LÄN</t>
        </is>
      </c>
      <c r="E161" t="inlineStr">
        <is>
          <t>ENKÖPING</t>
        </is>
      </c>
      <c r="G161" t="n">
        <v>0.2</v>
      </c>
      <c r="H161" t="n">
        <v>0</v>
      </c>
      <c r="I161" t="n">
        <v>0</v>
      </c>
      <c r="J161" t="n">
        <v>0</v>
      </c>
      <c r="K161" t="n">
        <v>0</v>
      </c>
      <c r="L161" t="n">
        <v>0</v>
      </c>
      <c r="M161" t="n">
        <v>0</v>
      </c>
      <c r="N161" t="n">
        <v>0</v>
      </c>
      <c r="O161" t="n">
        <v>0</v>
      </c>
      <c r="P161" t="n">
        <v>0</v>
      </c>
      <c r="Q161" t="n">
        <v>0</v>
      </c>
      <c r="R161" s="2" t="inlineStr"/>
    </row>
    <row r="162" ht="15" customHeight="1">
      <c r="A162" t="inlineStr">
        <is>
          <t>A 43691-2024</t>
        </is>
      </c>
      <c r="B162" s="1" t="n">
        <v>45569</v>
      </c>
      <c r="C162" s="1" t="n">
        <v>45905</v>
      </c>
      <c r="D162" t="inlineStr">
        <is>
          <t>UPPSALA LÄN</t>
        </is>
      </c>
      <c r="E162" t="inlineStr">
        <is>
          <t>ENKÖPING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44232-2022</t>
        </is>
      </c>
      <c r="B163" s="1" t="n">
        <v>44839</v>
      </c>
      <c r="C163" s="1" t="n">
        <v>45905</v>
      </c>
      <c r="D163" t="inlineStr">
        <is>
          <t>UPPSALA LÄN</t>
        </is>
      </c>
      <c r="E163" t="inlineStr">
        <is>
          <t>ENKÖPING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47428-2023</t>
        </is>
      </c>
      <c r="B164" s="1" t="n">
        <v>45202.66664351852</v>
      </c>
      <c r="C164" s="1" t="n">
        <v>45905</v>
      </c>
      <c r="D164" t="inlineStr">
        <is>
          <t>UPPSALA LÄN</t>
        </is>
      </c>
      <c r="E164" t="inlineStr">
        <is>
          <t>ENKÖPING</t>
        </is>
      </c>
      <c r="G164" t="n">
        <v>3</v>
      </c>
      <c r="H164" t="n">
        <v>0</v>
      </c>
      <c r="I164" t="n">
        <v>0</v>
      </c>
      <c r="J164" t="n">
        <v>0</v>
      </c>
      <c r="K164" t="n">
        <v>0</v>
      </c>
      <c r="L164" t="n">
        <v>0</v>
      </c>
      <c r="M164" t="n">
        <v>0</v>
      </c>
      <c r="N164" t="n">
        <v>0</v>
      </c>
      <c r="O164" t="n">
        <v>0</v>
      </c>
      <c r="P164" t="n">
        <v>0</v>
      </c>
      <c r="Q164" t="n">
        <v>0</v>
      </c>
      <c r="R164" s="2" t="inlineStr"/>
    </row>
    <row r="165" ht="15" customHeight="1">
      <c r="A165" t="inlineStr">
        <is>
          <t>A 19376-2024</t>
        </is>
      </c>
      <c r="B165" s="1" t="n">
        <v>45429</v>
      </c>
      <c r="C165" s="1" t="n">
        <v>45905</v>
      </c>
      <c r="D165" t="inlineStr">
        <is>
          <t>UPPSALA LÄN</t>
        </is>
      </c>
      <c r="E165" t="inlineStr">
        <is>
          <t>ENKÖPING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51008-2024</t>
        </is>
      </c>
      <c r="B166" s="1" t="n">
        <v>45603.39041666667</v>
      </c>
      <c r="C166" s="1" t="n">
        <v>45905</v>
      </c>
      <c r="D166" t="inlineStr">
        <is>
          <t>UPPSALA LÄN</t>
        </is>
      </c>
      <c r="E166" t="inlineStr">
        <is>
          <t>ENKÖPING</t>
        </is>
      </c>
      <c r="G166" t="n">
        <v>2.4</v>
      </c>
      <c r="H166" t="n">
        <v>0</v>
      </c>
      <c r="I166" t="n">
        <v>0</v>
      </c>
      <c r="J166" t="n">
        <v>0</v>
      </c>
      <c r="K166" t="n">
        <v>0</v>
      </c>
      <c r="L166" t="n">
        <v>0</v>
      </c>
      <c r="M166" t="n">
        <v>0</v>
      </c>
      <c r="N166" t="n">
        <v>0</v>
      </c>
      <c r="O166" t="n">
        <v>0</v>
      </c>
      <c r="P166" t="n">
        <v>0</v>
      </c>
      <c r="Q166" t="n">
        <v>0</v>
      </c>
      <c r="R166" s="2" t="inlineStr"/>
    </row>
    <row r="167" ht="15" customHeight="1">
      <c r="A167" t="inlineStr">
        <is>
          <t>A 45362-2022</t>
        </is>
      </c>
      <c r="B167" s="1" t="n">
        <v>44844.62366898148</v>
      </c>
      <c r="C167" s="1" t="n">
        <v>45905</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56526-2022</t>
        </is>
      </c>
      <c r="B168" s="1" t="n">
        <v>44893</v>
      </c>
      <c r="C168" s="1" t="n">
        <v>45905</v>
      </c>
      <c r="D168" t="inlineStr">
        <is>
          <t>UPPSALA LÄN</t>
        </is>
      </c>
      <c r="E168" t="inlineStr">
        <is>
          <t>ENKÖPING</t>
        </is>
      </c>
      <c r="G168" t="n">
        <v>3.8</v>
      </c>
      <c r="H168" t="n">
        <v>0</v>
      </c>
      <c r="I168" t="n">
        <v>0</v>
      </c>
      <c r="J168" t="n">
        <v>0</v>
      </c>
      <c r="K168" t="n">
        <v>0</v>
      </c>
      <c r="L168" t="n">
        <v>0</v>
      </c>
      <c r="M168" t="n">
        <v>0</v>
      </c>
      <c r="N168" t="n">
        <v>0</v>
      </c>
      <c r="O168" t="n">
        <v>0</v>
      </c>
      <c r="P168" t="n">
        <v>0</v>
      </c>
      <c r="Q168" t="n">
        <v>0</v>
      </c>
      <c r="R168" s="2" t="inlineStr"/>
    </row>
    <row r="169" ht="15" customHeight="1">
      <c r="A169" t="inlineStr">
        <is>
          <t>A 33670-2024</t>
        </is>
      </c>
      <c r="B169" s="1" t="n">
        <v>45520</v>
      </c>
      <c r="C169" s="1" t="n">
        <v>45905</v>
      </c>
      <c r="D169" t="inlineStr">
        <is>
          <t>UPPSALA LÄN</t>
        </is>
      </c>
      <c r="E169" t="inlineStr">
        <is>
          <t>ENKÖPING</t>
        </is>
      </c>
      <c r="G169" t="n">
        <v>1.9</v>
      </c>
      <c r="H169" t="n">
        <v>0</v>
      </c>
      <c r="I169" t="n">
        <v>0</v>
      </c>
      <c r="J169" t="n">
        <v>0</v>
      </c>
      <c r="K169" t="n">
        <v>0</v>
      </c>
      <c r="L169" t="n">
        <v>0</v>
      </c>
      <c r="M169" t="n">
        <v>0</v>
      </c>
      <c r="N169" t="n">
        <v>0</v>
      </c>
      <c r="O169" t="n">
        <v>0</v>
      </c>
      <c r="P169" t="n">
        <v>0</v>
      </c>
      <c r="Q169" t="n">
        <v>0</v>
      </c>
      <c r="R169" s="2" t="inlineStr"/>
    </row>
    <row r="170" ht="15" customHeight="1">
      <c r="A170" t="inlineStr">
        <is>
          <t>A 35052-2024</t>
        </is>
      </c>
      <c r="B170" s="1" t="n">
        <v>45527.6516087963</v>
      </c>
      <c r="C170" s="1" t="n">
        <v>45905</v>
      </c>
      <c r="D170" t="inlineStr">
        <is>
          <t>UPPSALA LÄN</t>
        </is>
      </c>
      <c r="E170" t="inlineStr">
        <is>
          <t>ENKÖPING</t>
        </is>
      </c>
      <c r="G170" t="n">
        <v>1.5</v>
      </c>
      <c r="H170" t="n">
        <v>0</v>
      </c>
      <c r="I170" t="n">
        <v>0</v>
      </c>
      <c r="J170" t="n">
        <v>0</v>
      </c>
      <c r="K170" t="n">
        <v>0</v>
      </c>
      <c r="L170" t="n">
        <v>0</v>
      </c>
      <c r="M170" t="n">
        <v>0</v>
      </c>
      <c r="N170" t="n">
        <v>0</v>
      </c>
      <c r="O170" t="n">
        <v>0</v>
      </c>
      <c r="P170" t="n">
        <v>0</v>
      </c>
      <c r="Q170" t="n">
        <v>0</v>
      </c>
      <c r="R170" s="2" t="inlineStr"/>
    </row>
    <row r="171" ht="15" customHeight="1">
      <c r="A171" t="inlineStr">
        <is>
          <t>A 60350-2022</t>
        </is>
      </c>
      <c r="B171" s="1" t="n">
        <v>44910</v>
      </c>
      <c r="C171" s="1" t="n">
        <v>45905</v>
      </c>
      <c r="D171" t="inlineStr">
        <is>
          <t>UPPSALA LÄN</t>
        </is>
      </c>
      <c r="E171" t="inlineStr">
        <is>
          <t>ENKÖPING</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28518-2024</t>
        </is>
      </c>
      <c r="B172" s="1" t="n">
        <v>45477</v>
      </c>
      <c r="C172" s="1" t="n">
        <v>45905</v>
      </c>
      <c r="D172" t="inlineStr">
        <is>
          <t>UPPSALA LÄN</t>
        </is>
      </c>
      <c r="E172" t="inlineStr">
        <is>
          <t>ENKÖPING</t>
        </is>
      </c>
      <c r="G172" t="n">
        <v>3.4</v>
      </c>
      <c r="H172" t="n">
        <v>0</v>
      </c>
      <c r="I172" t="n">
        <v>0</v>
      </c>
      <c r="J172" t="n">
        <v>0</v>
      </c>
      <c r="K172" t="n">
        <v>0</v>
      </c>
      <c r="L172" t="n">
        <v>0</v>
      </c>
      <c r="M172" t="n">
        <v>0</v>
      </c>
      <c r="N172" t="n">
        <v>0</v>
      </c>
      <c r="O172" t="n">
        <v>0</v>
      </c>
      <c r="P172" t="n">
        <v>0</v>
      </c>
      <c r="Q172" t="n">
        <v>0</v>
      </c>
      <c r="R172" s="2" t="inlineStr"/>
    </row>
    <row r="173" ht="15" customHeight="1">
      <c r="A173" t="inlineStr">
        <is>
          <t>A 19147-2024</t>
        </is>
      </c>
      <c r="B173" s="1" t="n">
        <v>45428</v>
      </c>
      <c r="C173" s="1" t="n">
        <v>45905</v>
      </c>
      <c r="D173" t="inlineStr">
        <is>
          <t>UPPSALA LÄN</t>
        </is>
      </c>
      <c r="E173" t="inlineStr">
        <is>
          <t>ENKÖPING</t>
        </is>
      </c>
      <c r="G173" t="n">
        <v>1.9</v>
      </c>
      <c r="H173" t="n">
        <v>0</v>
      </c>
      <c r="I173" t="n">
        <v>0</v>
      </c>
      <c r="J173" t="n">
        <v>0</v>
      </c>
      <c r="K173" t="n">
        <v>0</v>
      </c>
      <c r="L173" t="n">
        <v>0</v>
      </c>
      <c r="M173" t="n">
        <v>0</v>
      </c>
      <c r="N173" t="n">
        <v>0</v>
      </c>
      <c r="O173" t="n">
        <v>0</v>
      </c>
      <c r="P173" t="n">
        <v>0</v>
      </c>
      <c r="Q173" t="n">
        <v>0</v>
      </c>
      <c r="R173" s="2" t="inlineStr"/>
    </row>
    <row r="174" ht="15" customHeight="1">
      <c r="A174" t="inlineStr">
        <is>
          <t>A 67982-2021</t>
        </is>
      </c>
      <c r="B174" s="1" t="n">
        <v>44525</v>
      </c>
      <c r="C174" s="1" t="n">
        <v>45905</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30098-2024</t>
        </is>
      </c>
      <c r="B175" s="1" t="n">
        <v>45489.41609953704</v>
      </c>
      <c r="C175" s="1" t="n">
        <v>45905</v>
      </c>
      <c r="D175" t="inlineStr">
        <is>
          <t>UPPSALA LÄN</t>
        </is>
      </c>
      <c r="E175" t="inlineStr">
        <is>
          <t>ENKÖPING</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57835-2024</t>
        </is>
      </c>
      <c r="B176" s="1" t="n">
        <v>45631.39947916667</v>
      </c>
      <c r="C176" s="1" t="n">
        <v>45905</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21612-2023</t>
        </is>
      </c>
      <c r="B177" s="1" t="n">
        <v>45063</v>
      </c>
      <c r="C177" s="1" t="n">
        <v>45905</v>
      </c>
      <c r="D177" t="inlineStr">
        <is>
          <t>UPPSALA LÄN</t>
        </is>
      </c>
      <c r="E177" t="inlineStr">
        <is>
          <t>ENKÖPING</t>
        </is>
      </c>
      <c r="F177" t="inlineStr">
        <is>
          <t>Allmännings- och besparingsskogar</t>
        </is>
      </c>
      <c r="G177" t="n">
        <v>1</v>
      </c>
      <c r="H177" t="n">
        <v>0</v>
      </c>
      <c r="I177" t="n">
        <v>0</v>
      </c>
      <c r="J177" t="n">
        <v>0</v>
      </c>
      <c r="K177" t="n">
        <v>0</v>
      </c>
      <c r="L177" t="n">
        <v>0</v>
      </c>
      <c r="M177" t="n">
        <v>0</v>
      </c>
      <c r="N177" t="n">
        <v>0</v>
      </c>
      <c r="O177" t="n">
        <v>0</v>
      </c>
      <c r="P177" t="n">
        <v>0</v>
      </c>
      <c r="Q177" t="n">
        <v>0</v>
      </c>
      <c r="R177" s="2" t="inlineStr"/>
    </row>
    <row r="178" ht="15" customHeight="1">
      <c r="A178" t="inlineStr">
        <is>
          <t>A 39624-2023</t>
        </is>
      </c>
      <c r="B178" s="1" t="n">
        <v>45164</v>
      </c>
      <c r="C178" s="1" t="n">
        <v>45905</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1651-2024</t>
        </is>
      </c>
      <c r="B179" s="1" t="n">
        <v>45306.73770833333</v>
      </c>
      <c r="C179" s="1" t="n">
        <v>45905</v>
      </c>
      <c r="D179" t="inlineStr">
        <is>
          <t>UPPSALA LÄN</t>
        </is>
      </c>
      <c r="E179" t="inlineStr">
        <is>
          <t>ENKÖPING</t>
        </is>
      </c>
      <c r="G179" t="n">
        <v>10.2</v>
      </c>
      <c r="H179" t="n">
        <v>0</v>
      </c>
      <c r="I179" t="n">
        <v>0</v>
      </c>
      <c r="J179" t="n">
        <v>0</v>
      </c>
      <c r="K179" t="n">
        <v>0</v>
      </c>
      <c r="L179" t="n">
        <v>0</v>
      </c>
      <c r="M179" t="n">
        <v>0</v>
      </c>
      <c r="N179" t="n">
        <v>0</v>
      </c>
      <c r="O179" t="n">
        <v>0</v>
      </c>
      <c r="P179" t="n">
        <v>0</v>
      </c>
      <c r="Q179" t="n">
        <v>0</v>
      </c>
      <c r="R179" s="2" t="inlineStr"/>
    </row>
    <row r="180" ht="15" customHeight="1">
      <c r="A180" t="inlineStr">
        <is>
          <t>A 60289-2022</t>
        </is>
      </c>
      <c r="B180" s="1" t="n">
        <v>44910.53026620371</v>
      </c>
      <c r="C180" s="1" t="n">
        <v>45905</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5892-2023</t>
        </is>
      </c>
      <c r="B181" s="1" t="n">
        <v>44963.64883101852</v>
      </c>
      <c r="C181" s="1" t="n">
        <v>45905</v>
      </c>
      <c r="D181" t="inlineStr">
        <is>
          <t>UPPSALA LÄN</t>
        </is>
      </c>
      <c r="E181" t="inlineStr">
        <is>
          <t>ENKÖPING</t>
        </is>
      </c>
      <c r="G181" t="n">
        <v>5.5</v>
      </c>
      <c r="H181" t="n">
        <v>0</v>
      </c>
      <c r="I181" t="n">
        <v>0</v>
      </c>
      <c r="J181" t="n">
        <v>0</v>
      </c>
      <c r="K181" t="n">
        <v>0</v>
      </c>
      <c r="L181" t="n">
        <v>0</v>
      </c>
      <c r="M181" t="n">
        <v>0</v>
      </c>
      <c r="N181" t="n">
        <v>0</v>
      </c>
      <c r="O181" t="n">
        <v>0</v>
      </c>
      <c r="P181" t="n">
        <v>0</v>
      </c>
      <c r="Q181" t="n">
        <v>0</v>
      </c>
      <c r="R181" s="2" t="inlineStr"/>
    </row>
    <row r="182" ht="15" customHeight="1">
      <c r="A182" t="inlineStr">
        <is>
          <t>A 39858-2024</t>
        </is>
      </c>
      <c r="B182" s="1" t="n">
        <v>45553</v>
      </c>
      <c r="C182" s="1" t="n">
        <v>45905</v>
      </c>
      <c r="D182" t="inlineStr">
        <is>
          <t>UPPSALA LÄN</t>
        </is>
      </c>
      <c r="E182" t="inlineStr">
        <is>
          <t>ENKÖPING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14518-2025</t>
        </is>
      </c>
      <c r="B183" s="1" t="n">
        <v>45741</v>
      </c>
      <c r="C183" s="1" t="n">
        <v>45905</v>
      </c>
      <c r="D183" t="inlineStr">
        <is>
          <t>UPPSALA LÄN</t>
        </is>
      </c>
      <c r="E183" t="inlineStr">
        <is>
          <t>ENKÖPING</t>
        </is>
      </c>
      <c r="G183" t="n">
        <v>2</v>
      </c>
      <c r="H183" t="n">
        <v>0</v>
      </c>
      <c r="I183" t="n">
        <v>0</v>
      </c>
      <c r="J183" t="n">
        <v>0</v>
      </c>
      <c r="K183" t="n">
        <v>0</v>
      </c>
      <c r="L183" t="n">
        <v>0</v>
      </c>
      <c r="M183" t="n">
        <v>0</v>
      </c>
      <c r="N183" t="n">
        <v>0</v>
      </c>
      <c r="O183" t="n">
        <v>0</v>
      </c>
      <c r="P183" t="n">
        <v>0</v>
      </c>
      <c r="Q183" t="n">
        <v>0</v>
      </c>
      <c r="R183" s="2" t="inlineStr"/>
    </row>
    <row r="184" ht="15" customHeight="1">
      <c r="A184" t="inlineStr">
        <is>
          <t>A 9957-2023</t>
        </is>
      </c>
      <c r="B184" s="1" t="n">
        <v>44978</v>
      </c>
      <c r="C184" s="1" t="n">
        <v>45905</v>
      </c>
      <c r="D184" t="inlineStr">
        <is>
          <t>UPPSALA LÄN</t>
        </is>
      </c>
      <c r="E184" t="inlineStr">
        <is>
          <t>ENKÖPING</t>
        </is>
      </c>
      <c r="G184" t="n">
        <v>5.9</v>
      </c>
      <c r="H184" t="n">
        <v>0</v>
      </c>
      <c r="I184" t="n">
        <v>0</v>
      </c>
      <c r="J184" t="n">
        <v>0</v>
      </c>
      <c r="K184" t="n">
        <v>0</v>
      </c>
      <c r="L184" t="n">
        <v>0</v>
      </c>
      <c r="M184" t="n">
        <v>0</v>
      </c>
      <c r="N184" t="n">
        <v>0</v>
      </c>
      <c r="O184" t="n">
        <v>0</v>
      </c>
      <c r="P184" t="n">
        <v>0</v>
      </c>
      <c r="Q184" t="n">
        <v>0</v>
      </c>
      <c r="R184" s="2" t="inlineStr"/>
    </row>
    <row r="185" ht="15" customHeight="1">
      <c r="A185" t="inlineStr">
        <is>
          <t>A 54776-2024</t>
        </is>
      </c>
      <c r="B185" s="1" t="n">
        <v>45618</v>
      </c>
      <c r="C185" s="1" t="n">
        <v>45905</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31242-2024</t>
        </is>
      </c>
      <c r="B186" s="1" t="n">
        <v>45503</v>
      </c>
      <c r="C186" s="1" t="n">
        <v>45905</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22150-2025</t>
        </is>
      </c>
      <c r="B187" s="1" t="n">
        <v>45785.56398148148</v>
      </c>
      <c r="C187" s="1" t="n">
        <v>45905</v>
      </c>
      <c r="D187" t="inlineStr">
        <is>
          <t>UPPSALA LÄN</t>
        </is>
      </c>
      <c r="E187" t="inlineStr">
        <is>
          <t>ENKÖPING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2162-2023</t>
        </is>
      </c>
      <c r="B188" s="1" t="n">
        <v>44941</v>
      </c>
      <c r="C188" s="1" t="n">
        <v>45905</v>
      </c>
      <c r="D188" t="inlineStr">
        <is>
          <t>UPPSALA LÄN</t>
        </is>
      </c>
      <c r="E188" t="inlineStr">
        <is>
          <t>ENKÖPING</t>
        </is>
      </c>
      <c r="G188" t="n">
        <v>2.4</v>
      </c>
      <c r="H188" t="n">
        <v>0</v>
      </c>
      <c r="I188" t="n">
        <v>0</v>
      </c>
      <c r="J188" t="n">
        <v>0</v>
      </c>
      <c r="K188" t="n">
        <v>0</v>
      </c>
      <c r="L188" t="n">
        <v>0</v>
      </c>
      <c r="M188" t="n">
        <v>0</v>
      </c>
      <c r="N188" t="n">
        <v>0</v>
      </c>
      <c r="O188" t="n">
        <v>0</v>
      </c>
      <c r="P188" t="n">
        <v>0</v>
      </c>
      <c r="Q188" t="n">
        <v>0</v>
      </c>
      <c r="R188" s="2" t="inlineStr"/>
    </row>
    <row r="189" ht="15" customHeight="1">
      <c r="A189" t="inlineStr">
        <is>
          <t>A 22156-2025</t>
        </is>
      </c>
      <c r="B189" s="1" t="n">
        <v>45785.57512731481</v>
      </c>
      <c r="C189" s="1" t="n">
        <v>45905</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56163-2021</t>
        </is>
      </c>
      <c r="B190" s="1" t="n">
        <v>44477</v>
      </c>
      <c r="C190" s="1" t="n">
        <v>45905</v>
      </c>
      <c r="D190" t="inlineStr">
        <is>
          <t>UPPSALA LÄN</t>
        </is>
      </c>
      <c r="E190" t="inlineStr">
        <is>
          <t>ENKÖPING</t>
        </is>
      </c>
      <c r="F190" t="inlineStr">
        <is>
          <t>Allmännings- och besparingsskogar</t>
        </is>
      </c>
      <c r="G190" t="n">
        <v>0.6</v>
      </c>
      <c r="H190" t="n">
        <v>0</v>
      </c>
      <c r="I190" t="n">
        <v>0</v>
      </c>
      <c r="J190" t="n">
        <v>0</v>
      </c>
      <c r="K190" t="n">
        <v>0</v>
      </c>
      <c r="L190" t="n">
        <v>0</v>
      </c>
      <c r="M190" t="n">
        <v>0</v>
      </c>
      <c r="N190" t="n">
        <v>0</v>
      </c>
      <c r="O190" t="n">
        <v>0</v>
      </c>
      <c r="P190" t="n">
        <v>0</v>
      </c>
      <c r="Q190" t="n">
        <v>0</v>
      </c>
      <c r="R190" s="2" t="inlineStr"/>
    </row>
    <row r="191" ht="15" customHeight="1">
      <c r="A191" t="inlineStr">
        <is>
          <t>A 30087-2024</t>
        </is>
      </c>
      <c r="B191" s="1" t="n">
        <v>45489.39447916667</v>
      </c>
      <c r="C191" s="1" t="n">
        <v>45905</v>
      </c>
      <c r="D191" t="inlineStr">
        <is>
          <t>UPPSALA LÄN</t>
        </is>
      </c>
      <c r="E191" t="inlineStr">
        <is>
          <t>ENKÖPING</t>
        </is>
      </c>
      <c r="G191" t="n">
        <v>1.4</v>
      </c>
      <c r="H191" t="n">
        <v>0</v>
      </c>
      <c r="I191" t="n">
        <v>0</v>
      </c>
      <c r="J191" t="n">
        <v>0</v>
      </c>
      <c r="K191" t="n">
        <v>0</v>
      </c>
      <c r="L191" t="n">
        <v>0</v>
      </c>
      <c r="M191" t="n">
        <v>0</v>
      </c>
      <c r="N191" t="n">
        <v>0</v>
      </c>
      <c r="O191" t="n">
        <v>0</v>
      </c>
      <c r="P191" t="n">
        <v>0</v>
      </c>
      <c r="Q191" t="n">
        <v>0</v>
      </c>
      <c r="R191" s="2" t="inlineStr"/>
    </row>
    <row r="192" ht="15" customHeight="1">
      <c r="A192" t="inlineStr">
        <is>
          <t>A 8152-2022</t>
        </is>
      </c>
      <c r="B192" s="1" t="n">
        <v>44609</v>
      </c>
      <c r="C192" s="1" t="n">
        <v>45905</v>
      </c>
      <c r="D192" t="inlineStr">
        <is>
          <t>UPPSALA LÄN</t>
        </is>
      </c>
      <c r="E192" t="inlineStr">
        <is>
          <t>ENKÖPING</t>
        </is>
      </c>
      <c r="F192" t="inlineStr">
        <is>
          <t>Kyrkan</t>
        </is>
      </c>
      <c r="G192" t="n">
        <v>1.3</v>
      </c>
      <c r="H192" t="n">
        <v>0</v>
      </c>
      <c r="I192" t="n">
        <v>0</v>
      </c>
      <c r="J192" t="n">
        <v>0</v>
      </c>
      <c r="K192" t="n">
        <v>0</v>
      </c>
      <c r="L192" t="n">
        <v>0</v>
      </c>
      <c r="M192" t="n">
        <v>0</v>
      </c>
      <c r="N192" t="n">
        <v>0</v>
      </c>
      <c r="O192" t="n">
        <v>0</v>
      </c>
      <c r="P192" t="n">
        <v>0</v>
      </c>
      <c r="Q192" t="n">
        <v>0</v>
      </c>
      <c r="R192" s="2" t="inlineStr"/>
    </row>
    <row r="193" ht="15" customHeight="1">
      <c r="A193" t="inlineStr">
        <is>
          <t>A 28318-2024</t>
        </is>
      </c>
      <c r="B193" s="1" t="n">
        <v>45477</v>
      </c>
      <c r="C193" s="1" t="n">
        <v>45905</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22632-2025</t>
        </is>
      </c>
      <c r="B194" s="1" t="n">
        <v>45789.44361111111</v>
      </c>
      <c r="C194" s="1" t="n">
        <v>45905</v>
      </c>
      <c r="D194" t="inlineStr">
        <is>
          <t>UPPSALA LÄN</t>
        </is>
      </c>
      <c r="E194" t="inlineStr">
        <is>
          <t>ENKÖPING</t>
        </is>
      </c>
      <c r="G194" t="n">
        <v>2.1</v>
      </c>
      <c r="H194" t="n">
        <v>0</v>
      </c>
      <c r="I194" t="n">
        <v>0</v>
      </c>
      <c r="J194" t="n">
        <v>0</v>
      </c>
      <c r="K194" t="n">
        <v>0</v>
      </c>
      <c r="L194" t="n">
        <v>0</v>
      </c>
      <c r="M194" t="n">
        <v>0</v>
      </c>
      <c r="N194" t="n">
        <v>0</v>
      </c>
      <c r="O194" t="n">
        <v>0</v>
      </c>
      <c r="P194" t="n">
        <v>0</v>
      </c>
      <c r="Q194" t="n">
        <v>0</v>
      </c>
      <c r="R194" s="2" t="inlineStr"/>
    </row>
    <row r="195" ht="15" customHeight="1">
      <c r="A195" t="inlineStr">
        <is>
          <t>A 22677-2025</t>
        </is>
      </c>
      <c r="B195" s="1" t="n">
        <v>45789.49515046296</v>
      </c>
      <c r="C195" s="1" t="n">
        <v>45905</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22679-2025</t>
        </is>
      </c>
      <c r="B196" s="1" t="n">
        <v>45789.49747685185</v>
      </c>
      <c r="C196" s="1" t="n">
        <v>45905</v>
      </c>
      <c r="D196" t="inlineStr">
        <is>
          <t>UPPSALA LÄN</t>
        </is>
      </c>
      <c r="E196" t="inlineStr">
        <is>
          <t>ENKÖPING</t>
        </is>
      </c>
      <c r="G196" t="n">
        <v>1.1</v>
      </c>
      <c r="H196" t="n">
        <v>0</v>
      </c>
      <c r="I196" t="n">
        <v>0</v>
      </c>
      <c r="J196" t="n">
        <v>0</v>
      </c>
      <c r="K196" t="n">
        <v>0</v>
      </c>
      <c r="L196" t="n">
        <v>0</v>
      </c>
      <c r="M196" t="n">
        <v>0</v>
      </c>
      <c r="N196" t="n">
        <v>0</v>
      </c>
      <c r="O196" t="n">
        <v>0</v>
      </c>
      <c r="P196" t="n">
        <v>0</v>
      </c>
      <c r="Q196" t="n">
        <v>0</v>
      </c>
      <c r="R196" s="2" t="inlineStr"/>
    </row>
    <row r="197" ht="15" customHeight="1">
      <c r="A197" t="inlineStr">
        <is>
          <t>A 22729-2025</t>
        </is>
      </c>
      <c r="B197" s="1" t="n">
        <v>45789.57790509259</v>
      </c>
      <c r="C197" s="1" t="n">
        <v>45905</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22786-2025</t>
        </is>
      </c>
      <c r="B198" s="1" t="n">
        <v>45789.64643518518</v>
      </c>
      <c r="C198" s="1" t="n">
        <v>45905</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22795-2025</t>
        </is>
      </c>
      <c r="B199" s="1" t="n">
        <v>45789.65944444444</v>
      </c>
      <c r="C199" s="1" t="n">
        <v>45905</v>
      </c>
      <c r="D199" t="inlineStr">
        <is>
          <t>UPPSALA LÄN</t>
        </is>
      </c>
      <c r="E199" t="inlineStr">
        <is>
          <t>ENKÖPING</t>
        </is>
      </c>
      <c r="G199" t="n">
        <v>10.4</v>
      </c>
      <c r="H199" t="n">
        <v>0</v>
      </c>
      <c r="I199" t="n">
        <v>0</v>
      </c>
      <c r="J199" t="n">
        <v>0</v>
      </c>
      <c r="K199" t="n">
        <v>0</v>
      </c>
      <c r="L199" t="n">
        <v>0</v>
      </c>
      <c r="M199" t="n">
        <v>0</v>
      </c>
      <c r="N199" t="n">
        <v>0</v>
      </c>
      <c r="O199" t="n">
        <v>0</v>
      </c>
      <c r="P199" t="n">
        <v>0</v>
      </c>
      <c r="Q199" t="n">
        <v>0</v>
      </c>
      <c r="R199" s="2" t="inlineStr"/>
    </row>
    <row r="200" ht="15" customHeight="1">
      <c r="A200" t="inlineStr">
        <is>
          <t>A 22802-2025</t>
        </is>
      </c>
      <c r="B200" s="1" t="n">
        <v>45789.6686574074</v>
      </c>
      <c r="C200" s="1" t="n">
        <v>45905</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17657-2025</t>
        </is>
      </c>
      <c r="B201" s="1" t="n">
        <v>45758.35006944444</v>
      </c>
      <c r="C201" s="1" t="n">
        <v>45905</v>
      </c>
      <c r="D201" t="inlineStr">
        <is>
          <t>UPPSALA LÄN</t>
        </is>
      </c>
      <c r="E201" t="inlineStr">
        <is>
          <t>ENKÖPING</t>
        </is>
      </c>
      <c r="G201" t="n">
        <v>3</v>
      </c>
      <c r="H201" t="n">
        <v>0</v>
      </c>
      <c r="I201" t="n">
        <v>0</v>
      </c>
      <c r="J201" t="n">
        <v>0</v>
      </c>
      <c r="K201" t="n">
        <v>0</v>
      </c>
      <c r="L201" t="n">
        <v>0</v>
      </c>
      <c r="M201" t="n">
        <v>0</v>
      </c>
      <c r="N201" t="n">
        <v>0</v>
      </c>
      <c r="O201" t="n">
        <v>0</v>
      </c>
      <c r="P201" t="n">
        <v>0</v>
      </c>
      <c r="Q201" t="n">
        <v>0</v>
      </c>
      <c r="R201" s="2" t="inlineStr"/>
    </row>
    <row r="202" ht="15" customHeight="1">
      <c r="A202" t="inlineStr">
        <is>
          <t>A 45378-2020</t>
        </is>
      </c>
      <c r="B202" s="1" t="n">
        <v>44089</v>
      </c>
      <c r="C202" s="1" t="n">
        <v>45905</v>
      </c>
      <c r="D202" t="inlineStr">
        <is>
          <t>UPPSALA LÄN</t>
        </is>
      </c>
      <c r="E202" t="inlineStr">
        <is>
          <t>ENKÖPING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14402-2023</t>
        </is>
      </c>
      <c r="B203" s="1" t="n">
        <v>45012</v>
      </c>
      <c r="C203" s="1" t="n">
        <v>45905</v>
      </c>
      <c r="D203" t="inlineStr">
        <is>
          <t>UPPSALA LÄN</t>
        </is>
      </c>
      <c r="E203" t="inlineStr">
        <is>
          <t>ENKÖPING</t>
        </is>
      </c>
      <c r="G203" t="n">
        <v>9.5</v>
      </c>
      <c r="H203" t="n">
        <v>0</v>
      </c>
      <c r="I203" t="n">
        <v>0</v>
      </c>
      <c r="J203" t="n">
        <v>0</v>
      </c>
      <c r="K203" t="n">
        <v>0</v>
      </c>
      <c r="L203" t="n">
        <v>0</v>
      </c>
      <c r="M203" t="n">
        <v>0</v>
      </c>
      <c r="N203" t="n">
        <v>0</v>
      </c>
      <c r="O203" t="n">
        <v>0</v>
      </c>
      <c r="P203" t="n">
        <v>0</v>
      </c>
      <c r="Q203" t="n">
        <v>0</v>
      </c>
      <c r="R203" s="2" t="inlineStr"/>
    </row>
    <row r="204" ht="15" customHeight="1">
      <c r="A204" t="inlineStr">
        <is>
          <t>A 22680-2025</t>
        </is>
      </c>
      <c r="B204" s="1" t="n">
        <v>45789.5005787037</v>
      </c>
      <c r="C204" s="1" t="n">
        <v>45905</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6981-2025</t>
        </is>
      </c>
      <c r="B205" s="1" t="n">
        <v>45701</v>
      </c>
      <c r="C205" s="1" t="n">
        <v>45905</v>
      </c>
      <c r="D205" t="inlineStr">
        <is>
          <t>UPPSALA LÄN</t>
        </is>
      </c>
      <c r="E205" t="inlineStr">
        <is>
          <t>ENKÖPING</t>
        </is>
      </c>
      <c r="G205" t="n">
        <v>0.9</v>
      </c>
      <c r="H205" t="n">
        <v>0</v>
      </c>
      <c r="I205" t="n">
        <v>0</v>
      </c>
      <c r="J205" t="n">
        <v>0</v>
      </c>
      <c r="K205" t="n">
        <v>0</v>
      </c>
      <c r="L205" t="n">
        <v>0</v>
      </c>
      <c r="M205" t="n">
        <v>0</v>
      </c>
      <c r="N205" t="n">
        <v>0</v>
      </c>
      <c r="O205" t="n">
        <v>0</v>
      </c>
      <c r="P205" t="n">
        <v>0</v>
      </c>
      <c r="Q205" t="n">
        <v>0</v>
      </c>
      <c r="R205" s="2" t="inlineStr"/>
    </row>
    <row r="206" ht="15" customHeight="1">
      <c r="A206" t="inlineStr">
        <is>
          <t>A 22770-2025</t>
        </is>
      </c>
      <c r="B206" s="1" t="n">
        <v>45789.63454861111</v>
      </c>
      <c r="C206" s="1" t="n">
        <v>45905</v>
      </c>
      <c r="D206" t="inlineStr">
        <is>
          <t>UPPSALA LÄN</t>
        </is>
      </c>
      <c r="E206" t="inlineStr">
        <is>
          <t>ENKÖPING</t>
        </is>
      </c>
      <c r="G206" t="n">
        <v>4.5</v>
      </c>
      <c r="H206" t="n">
        <v>0</v>
      </c>
      <c r="I206" t="n">
        <v>0</v>
      </c>
      <c r="J206" t="n">
        <v>0</v>
      </c>
      <c r="K206" t="n">
        <v>0</v>
      </c>
      <c r="L206" t="n">
        <v>0</v>
      </c>
      <c r="M206" t="n">
        <v>0</v>
      </c>
      <c r="N206" t="n">
        <v>0</v>
      </c>
      <c r="O206" t="n">
        <v>0</v>
      </c>
      <c r="P206" t="n">
        <v>0</v>
      </c>
      <c r="Q206" t="n">
        <v>0</v>
      </c>
      <c r="R206" s="2" t="inlineStr"/>
    </row>
    <row r="207" ht="15" customHeight="1">
      <c r="A207" t="inlineStr">
        <is>
          <t>A 22725-2025</t>
        </is>
      </c>
      <c r="B207" s="1" t="n">
        <v>45789.57371527778</v>
      </c>
      <c r="C207" s="1" t="n">
        <v>45905</v>
      </c>
      <c r="D207" t="inlineStr">
        <is>
          <t>UPPSALA LÄN</t>
        </is>
      </c>
      <c r="E207" t="inlineStr">
        <is>
          <t>ENKÖPING</t>
        </is>
      </c>
      <c r="G207" t="n">
        <v>4.8</v>
      </c>
      <c r="H207" t="n">
        <v>0</v>
      </c>
      <c r="I207" t="n">
        <v>0</v>
      </c>
      <c r="J207" t="n">
        <v>0</v>
      </c>
      <c r="K207" t="n">
        <v>0</v>
      </c>
      <c r="L207" t="n">
        <v>0</v>
      </c>
      <c r="M207" t="n">
        <v>0</v>
      </c>
      <c r="N207" t="n">
        <v>0</v>
      </c>
      <c r="O207" t="n">
        <v>0</v>
      </c>
      <c r="P207" t="n">
        <v>0</v>
      </c>
      <c r="Q207" t="n">
        <v>0</v>
      </c>
      <c r="R207" s="2" t="inlineStr"/>
    </row>
    <row r="208" ht="15" customHeight="1">
      <c r="A208" t="inlineStr">
        <is>
          <t>A 22981-2025</t>
        </is>
      </c>
      <c r="B208" s="1" t="n">
        <v>45790.56964120371</v>
      </c>
      <c r="C208" s="1" t="n">
        <v>45905</v>
      </c>
      <c r="D208" t="inlineStr">
        <is>
          <t>UPPSALA LÄN</t>
        </is>
      </c>
      <c r="E208" t="inlineStr">
        <is>
          <t>ENKÖPING</t>
        </is>
      </c>
      <c r="G208" t="n">
        <v>1.5</v>
      </c>
      <c r="H208" t="n">
        <v>0</v>
      </c>
      <c r="I208" t="n">
        <v>0</v>
      </c>
      <c r="J208" t="n">
        <v>0</v>
      </c>
      <c r="K208" t="n">
        <v>0</v>
      </c>
      <c r="L208" t="n">
        <v>0</v>
      </c>
      <c r="M208" t="n">
        <v>0</v>
      </c>
      <c r="N208" t="n">
        <v>0</v>
      </c>
      <c r="O208" t="n">
        <v>0</v>
      </c>
      <c r="P208" t="n">
        <v>0</v>
      </c>
      <c r="Q208" t="n">
        <v>0</v>
      </c>
      <c r="R208" s="2" t="inlineStr"/>
    </row>
    <row r="209" ht="15" customHeight="1">
      <c r="A209" t="inlineStr">
        <is>
          <t>A 68123-2021</t>
        </is>
      </c>
      <c r="B209" s="1" t="n">
        <v>44526.39126157408</v>
      </c>
      <c r="C209" s="1" t="n">
        <v>45905</v>
      </c>
      <c r="D209" t="inlineStr">
        <is>
          <t>UPPSALA LÄN</t>
        </is>
      </c>
      <c r="E209" t="inlineStr">
        <is>
          <t>ENKÖPING</t>
        </is>
      </c>
      <c r="G209" t="n">
        <v>0.9</v>
      </c>
      <c r="H209" t="n">
        <v>0</v>
      </c>
      <c r="I209" t="n">
        <v>0</v>
      </c>
      <c r="J209" t="n">
        <v>0</v>
      </c>
      <c r="K209" t="n">
        <v>0</v>
      </c>
      <c r="L209" t="n">
        <v>0</v>
      </c>
      <c r="M209" t="n">
        <v>0</v>
      </c>
      <c r="N209" t="n">
        <v>0</v>
      </c>
      <c r="O209" t="n">
        <v>0</v>
      </c>
      <c r="P209" t="n">
        <v>0</v>
      </c>
      <c r="Q209" t="n">
        <v>0</v>
      </c>
      <c r="R209" s="2" t="inlineStr"/>
    </row>
    <row r="210" ht="15" customHeight="1">
      <c r="A210" t="inlineStr">
        <is>
          <t>A 22793-2025</t>
        </is>
      </c>
      <c r="B210" s="1" t="n">
        <v>45789.65693287037</v>
      </c>
      <c r="C210" s="1" t="n">
        <v>45905</v>
      </c>
      <c r="D210" t="inlineStr">
        <is>
          <t>UPPSALA LÄN</t>
        </is>
      </c>
      <c r="E210" t="inlineStr">
        <is>
          <t>ENKÖPING</t>
        </is>
      </c>
      <c r="G210" t="n">
        <v>3.2</v>
      </c>
      <c r="H210" t="n">
        <v>0</v>
      </c>
      <c r="I210" t="n">
        <v>0</v>
      </c>
      <c r="J210" t="n">
        <v>0</v>
      </c>
      <c r="K210" t="n">
        <v>0</v>
      </c>
      <c r="L210" t="n">
        <v>0</v>
      </c>
      <c r="M210" t="n">
        <v>0</v>
      </c>
      <c r="N210" t="n">
        <v>0</v>
      </c>
      <c r="O210" t="n">
        <v>0</v>
      </c>
      <c r="P210" t="n">
        <v>0</v>
      </c>
      <c r="Q210" t="n">
        <v>0</v>
      </c>
      <c r="R210" s="2" t="inlineStr"/>
    </row>
    <row r="211" ht="15" customHeight="1">
      <c r="A211" t="inlineStr">
        <is>
          <t>A 39115-2024</t>
        </is>
      </c>
      <c r="B211" s="1" t="n">
        <v>45548</v>
      </c>
      <c r="C211" s="1" t="n">
        <v>45905</v>
      </c>
      <c r="D211" t="inlineStr">
        <is>
          <t>UPPSALA LÄN</t>
        </is>
      </c>
      <c r="E211" t="inlineStr">
        <is>
          <t>ENKÖPING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12020-2024</t>
        </is>
      </c>
      <c r="B212" s="1" t="n">
        <v>45377</v>
      </c>
      <c r="C212" s="1" t="n">
        <v>45905</v>
      </c>
      <c r="D212" t="inlineStr">
        <is>
          <t>UPPSALA LÄN</t>
        </is>
      </c>
      <c r="E212" t="inlineStr">
        <is>
          <t>ENKÖPING</t>
        </is>
      </c>
      <c r="G212" t="n">
        <v>2</v>
      </c>
      <c r="H212" t="n">
        <v>0</v>
      </c>
      <c r="I212" t="n">
        <v>0</v>
      </c>
      <c r="J212" t="n">
        <v>0</v>
      </c>
      <c r="K212" t="n">
        <v>0</v>
      </c>
      <c r="L212" t="n">
        <v>0</v>
      </c>
      <c r="M212" t="n">
        <v>0</v>
      </c>
      <c r="N212" t="n">
        <v>0</v>
      </c>
      <c r="O212" t="n">
        <v>0</v>
      </c>
      <c r="P212" t="n">
        <v>0</v>
      </c>
      <c r="Q212" t="n">
        <v>0</v>
      </c>
      <c r="R212" s="2" t="inlineStr"/>
    </row>
    <row r="213" ht="15" customHeight="1">
      <c r="A213" t="inlineStr">
        <is>
          <t>A 22800-2025</t>
        </is>
      </c>
      <c r="B213" s="1" t="n">
        <v>45789.6669212963</v>
      </c>
      <c r="C213" s="1" t="n">
        <v>45905</v>
      </c>
      <c r="D213" t="inlineStr">
        <is>
          <t>UPPSALA LÄN</t>
        </is>
      </c>
      <c r="E213" t="inlineStr">
        <is>
          <t>ENKÖPING</t>
        </is>
      </c>
      <c r="G213" t="n">
        <v>2</v>
      </c>
      <c r="H213" t="n">
        <v>0</v>
      </c>
      <c r="I213" t="n">
        <v>0</v>
      </c>
      <c r="J213" t="n">
        <v>0</v>
      </c>
      <c r="K213" t="n">
        <v>0</v>
      </c>
      <c r="L213" t="n">
        <v>0</v>
      </c>
      <c r="M213" t="n">
        <v>0</v>
      </c>
      <c r="N213" t="n">
        <v>0</v>
      </c>
      <c r="O213" t="n">
        <v>0</v>
      </c>
      <c r="P213" t="n">
        <v>0</v>
      </c>
      <c r="Q213" t="n">
        <v>0</v>
      </c>
      <c r="R213" s="2" t="inlineStr"/>
    </row>
    <row r="214" ht="15" customHeight="1">
      <c r="A214" t="inlineStr">
        <is>
          <t>A 15939-2022</t>
        </is>
      </c>
      <c r="B214" s="1" t="n">
        <v>44664</v>
      </c>
      <c r="C214" s="1" t="n">
        <v>45905</v>
      </c>
      <c r="D214" t="inlineStr">
        <is>
          <t>UPPSALA LÄN</t>
        </is>
      </c>
      <c r="E214" t="inlineStr">
        <is>
          <t>ENKÖPING</t>
        </is>
      </c>
      <c r="G214" t="n">
        <v>2</v>
      </c>
      <c r="H214" t="n">
        <v>0</v>
      </c>
      <c r="I214" t="n">
        <v>0</v>
      </c>
      <c r="J214" t="n">
        <v>0</v>
      </c>
      <c r="K214" t="n">
        <v>0</v>
      </c>
      <c r="L214" t="n">
        <v>0</v>
      </c>
      <c r="M214" t="n">
        <v>0</v>
      </c>
      <c r="N214" t="n">
        <v>0</v>
      </c>
      <c r="O214" t="n">
        <v>0</v>
      </c>
      <c r="P214" t="n">
        <v>0</v>
      </c>
      <c r="Q214" t="n">
        <v>0</v>
      </c>
      <c r="R214" s="2" t="inlineStr"/>
    </row>
    <row r="215" ht="15" customHeight="1">
      <c r="A215" t="inlineStr">
        <is>
          <t>A 50394-2024</t>
        </is>
      </c>
      <c r="B215" s="1" t="n">
        <v>45600</v>
      </c>
      <c r="C215" s="1" t="n">
        <v>45905</v>
      </c>
      <c r="D215" t="inlineStr">
        <is>
          <t>UPPSALA LÄN</t>
        </is>
      </c>
      <c r="E215" t="inlineStr">
        <is>
          <t>ENKÖPING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51092-2020</t>
        </is>
      </c>
      <c r="B216" s="1" t="n">
        <v>44112</v>
      </c>
      <c r="C216" s="1" t="n">
        <v>45905</v>
      </c>
      <c r="D216" t="inlineStr">
        <is>
          <t>UPPSALA LÄN</t>
        </is>
      </c>
      <c r="E216" t="inlineStr">
        <is>
          <t>ENKÖPING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72840-2021</t>
        </is>
      </c>
      <c r="B217" s="1" t="n">
        <v>44547</v>
      </c>
      <c r="C217" s="1" t="n">
        <v>45905</v>
      </c>
      <c r="D217" t="inlineStr">
        <is>
          <t>UPPSALA LÄN</t>
        </is>
      </c>
      <c r="E217" t="inlineStr">
        <is>
          <t>ENKÖPING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69344-2021</t>
        </is>
      </c>
      <c r="B218" s="1" t="n">
        <v>44531</v>
      </c>
      <c r="C218" s="1" t="n">
        <v>45905</v>
      </c>
      <c r="D218" t="inlineStr">
        <is>
          <t>UPPSALA LÄN</t>
        </is>
      </c>
      <c r="E218" t="inlineStr">
        <is>
          <t>ENKÖPING</t>
        </is>
      </c>
      <c r="G218" t="n">
        <v>2.9</v>
      </c>
      <c r="H218" t="n">
        <v>0</v>
      </c>
      <c r="I218" t="n">
        <v>0</v>
      </c>
      <c r="J218" t="n">
        <v>0</v>
      </c>
      <c r="K218" t="n">
        <v>0</v>
      </c>
      <c r="L218" t="n">
        <v>0</v>
      </c>
      <c r="M218" t="n">
        <v>0</v>
      </c>
      <c r="N218" t="n">
        <v>0</v>
      </c>
      <c r="O218" t="n">
        <v>0</v>
      </c>
      <c r="P218" t="n">
        <v>0</v>
      </c>
      <c r="Q218" t="n">
        <v>0</v>
      </c>
      <c r="R218" s="2" t="inlineStr"/>
    </row>
    <row r="219" ht="15" customHeight="1">
      <c r="A219" t="inlineStr">
        <is>
          <t>A 34124-2021</t>
        </is>
      </c>
      <c r="B219" s="1" t="n">
        <v>44379</v>
      </c>
      <c r="C219" s="1" t="n">
        <v>45905</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43697-2024</t>
        </is>
      </c>
      <c r="B220" s="1" t="n">
        <v>45569</v>
      </c>
      <c r="C220" s="1" t="n">
        <v>45905</v>
      </c>
      <c r="D220" t="inlineStr">
        <is>
          <t>UPPSALA LÄN</t>
        </is>
      </c>
      <c r="E220" t="inlineStr">
        <is>
          <t>ENKÖPING</t>
        </is>
      </c>
      <c r="G220" t="n">
        <v>2.1</v>
      </c>
      <c r="H220" t="n">
        <v>0</v>
      </c>
      <c r="I220" t="n">
        <v>0</v>
      </c>
      <c r="J220" t="n">
        <v>0</v>
      </c>
      <c r="K220" t="n">
        <v>0</v>
      </c>
      <c r="L220" t="n">
        <v>0</v>
      </c>
      <c r="M220" t="n">
        <v>0</v>
      </c>
      <c r="N220" t="n">
        <v>0</v>
      </c>
      <c r="O220" t="n">
        <v>0</v>
      </c>
      <c r="P220" t="n">
        <v>0</v>
      </c>
      <c r="Q220" t="n">
        <v>0</v>
      </c>
      <c r="R220" s="2" t="inlineStr"/>
    </row>
    <row r="221" ht="15" customHeight="1">
      <c r="A221" t="inlineStr">
        <is>
          <t>A 17729-2023</t>
        </is>
      </c>
      <c r="B221" s="1" t="n">
        <v>45037</v>
      </c>
      <c r="C221" s="1" t="n">
        <v>45905</v>
      </c>
      <c r="D221" t="inlineStr">
        <is>
          <t>UPPSALA LÄN</t>
        </is>
      </c>
      <c r="E221" t="inlineStr">
        <is>
          <t>ENKÖPING</t>
        </is>
      </c>
      <c r="G221" t="n">
        <v>10.2</v>
      </c>
      <c r="H221" t="n">
        <v>0</v>
      </c>
      <c r="I221" t="n">
        <v>0</v>
      </c>
      <c r="J221" t="n">
        <v>0</v>
      </c>
      <c r="K221" t="n">
        <v>0</v>
      </c>
      <c r="L221" t="n">
        <v>0</v>
      </c>
      <c r="M221" t="n">
        <v>0</v>
      </c>
      <c r="N221" t="n">
        <v>0</v>
      </c>
      <c r="O221" t="n">
        <v>0</v>
      </c>
      <c r="P221" t="n">
        <v>0</v>
      </c>
      <c r="Q221" t="n">
        <v>0</v>
      </c>
      <c r="R221" s="2" t="inlineStr"/>
    </row>
    <row r="222" ht="15" customHeight="1">
      <c r="A222" t="inlineStr">
        <is>
          <t>A 5749-2025</t>
        </is>
      </c>
      <c r="B222" s="1" t="n">
        <v>45694</v>
      </c>
      <c r="C222" s="1" t="n">
        <v>45905</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27983-2024</t>
        </is>
      </c>
      <c r="B223" s="1" t="n">
        <v>45476</v>
      </c>
      <c r="C223" s="1" t="n">
        <v>45905</v>
      </c>
      <c r="D223" t="inlineStr">
        <is>
          <t>UPPSALA LÄN</t>
        </is>
      </c>
      <c r="E223" t="inlineStr">
        <is>
          <t>ENKÖPING</t>
        </is>
      </c>
      <c r="G223" t="n">
        <v>3.2</v>
      </c>
      <c r="H223" t="n">
        <v>0</v>
      </c>
      <c r="I223" t="n">
        <v>0</v>
      </c>
      <c r="J223" t="n">
        <v>0</v>
      </c>
      <c r="K223" t="n">
        <v>0</v>
      </c>
      <c r="L223" t="n">
        <v>0</v>
      </c>
      <c r="M223" t="n">
        <v>0</v>
      </c>
      <c r="N223" t="n">
        <v>0</v>
      </c>
      <c r="O223" t="n">
        <v>0</v>
      </c>
      <c r="P223" t="n">
        <v>0</v>
      </c>
      <c r="Q223" t="n">
        <v>0</v>
      </c>
      <c r="R223" s="2" t="inlineStr"/>
    </row>
    <row r="224" ht="15" customHeight="1">
      <c r="A224" t="inlineStr">
        <is>
          <t>A 8020-2022</t>
        </is>
      </c>
      <c r="B224" s="1" t="n">
        <v>44609</v>
      </c>
      <c r="C224" s="1" t="n">
        <v>45905</v>
      </c>
      <c r="D224" t="inlineStr">
        <is>
          <t>UPPSALA LÄN</t>
        </is>
      </c>
      <c r="E224" t="inlineStr">
        <is>
          <t>ENKÖPING</t>
        </is>
      </c>
      <c r="G224" t="n">
        <v>6</v>
      </c>
      <c r="H224" t="n">
        <v>0</v>
      </c>
      <c r="I224" t="n">
        <v>0</v>
      </c>
      <c r="J224" t="n">
        <v>0</v>
      </c>
      <c r="K224" t="n">
        <v>0</v>
      </c>
      <c r="L224" t="n">
        <v>0</v>
      </c>
      <c r="M224" t="n">
        <v>0</v>
      </c>
      <c r="N224" t="n">
        <v>0</v>
      </c>
      <c r="O224" t="n">
        <v>0</v>
      </c>
      <c r="P224" t="n">
        <v>0</v>
      </c>
      <c r="Q224" t="n">
        <v>0</v>
      </c>
      <c r="R224" s="2" t="inlineStr"/>
    </row>
    <row r="225" ht="15" customHeight="1">
      <c r="A225" t="inlineStr">
        <is>
          <t>A 34805-2024</t>
        </is>
      </c>
      <c r="B225" s="1" t="n">
        <v>45526</v>
      </c>
      <c r="C225" s="1" t="n">
        <v>45905</v>
      </c>
      <c r="D225" t="inlineStr">
        <is>
          <t>UPPSALA LÄN</t>
        </is>
      </c>
      <c r="E225" t="inlineStr">
        <is>
          <t>ENKÖPING</t>
        </is>
      </c>
      <c r="G225" t="n">
        <v>3.6</v>
      </c>
      <c r="H225" t="n">
        <v>0</v>
      </c>
      <c r="I225" t="n">
        <v>0</v>
      </c>
      <c r="J225" t="n">
        <v>0</v>
      </c>
      <c r="K225" t="n">
        <v>0</v>
      </c>
      <c r="L225" t="n">
        <v>0</v>
      </c>
      <c r="M225" t="n">
        <v>0</v>
      </c>
      <c r="N225" t="n">
        <v>0</v>
      </c>
      <c r="O225" t="n">
        <v>0</v>
      </c>
      <c r="P225" t="n">
        <v>0</v>
      </c>
      <c r="Q225" t="n">
        <v>0</v>
      </c>
      <c r="R225" s="2" t="inlineStr"/>
    </row>
    <row r="226" ht="15" customHeight="1">
      <c r="A226" t="inlineStr">
        <is>
          <t>A 51010-2024</t>
        </is>
      </c>
      <c r="B226" s="1" t="n">
        <v>45603.39285879629</v>
      </c>
      <c r="C226" s="1" t="n">
        <v>45905</v>
      </c>
      <c r="D226" t="inlineStr">
        <is>
          <t>UPPSALA LÄN</t>
        </is>
      </c>
      <c r="E226" t="inlineStr">
        <is>
          <t>ENKÖPING</t>
        </is>
      </c>
      <c r="G226" t="n">
        <v>1.7</v>
      </c>
      <c r="H226" t="n">
        <v>0</v>
      </c>
      <c r="I226" t="n">
        <v>0</v>
      </c>
      <c r="J226" t="n">
        <v>0</v>
      </c>
      <c r="K226" t="n">
        <v>0</v>
      </c>
      <c r="L226" t="n">
        <v>0</v>
      </c>
      <c r="M226" t="n">
        <v>0</v>
      </c>
      <c r="N226" t="n">
        <v>0</v>
      </c>
      <c r="O226" t="n">
        <v>0</v>
      </c>
      <c r="P226" t="n">
        <v>0</v>
      </c>
      <c r="Q226" t="n">
        <v>0</v>
      </c>
      <c r="R226" s="2" t="inlineStr"/>
    </row>
    <row r="227" ht="15" customHeight="1">
      <c r="A227" t="inlineStr">
        <is>
          <t>A 51042-2024</t>
        </is>
      </c>
      <c r="B227" s="1" t="n">
        <v>45603.4342824074</v>
      </c>
      <c r="C227" s="1" t="n">
        <v>45905</v>
      </c>
      <c r="D227" t="inlineStr">
        <is>
          <t>UPPSALA LÄN</t>
        </is>
      </c>
      <c r="E227" t="inlineStr">
        <is>
          <t>ENKÖPING</t>
        </is>
      </c>
      <c r="G227" t="n">
        <v>4.6</v>
      </c>
      <c r="H227" t="n">
        <v>0</v>
      </c>
      <c r="I227" t="n">
        <v>0</v>
      </c>
      <c r="J227" t="n">
        <v>0</v>
      </c>
      <c r="K227" t="n">
        <v>0</v>
      </c>
      <c r="L227" t="n">
        <v>0</v>
      </c>
      <c r="M227" t="n">
        <v>0</v>
      </c>
      <c r="N227" t="n">
        <v>0</v>
      </c>
      <c r="O227" t="n">
        <v>0</v>
      </c>
      <c r="P227" t="n">
        <v>0</v>
      </c>
      <c r="Q227" t="n">
        <v>0</v>
      </c>
      <c r="R227" s="2" t="inlineStr"/>
    </row>
    <row r="228" ht="15" customHeight="1">
      <c r="A228" t="inlineStr">
        <is>
          <t>A 314-2025</t>
        </is>
      </c>
      <c r="B228" s="1" t="n">
        <v>45656</v>
      </c>
      <c r="C228" s="1" t="n">
        <v>45905</v>
      </c>
      <c r="D228" t="inlineStr">
        <is>
          <t>UPPSALA LÄN</t>
        </is>
      </c>
      <c r="E228" t="inlineStr">
        <is>
          <t>ENKÖPING</t>
        </is>
      </c>
      <c r="G228" t="n">
        <v>9</v>
      </c>
      <c r="H228" t="n">
        <v>0</v>
      </c>
      <c r="I228" t="n">
        <v>0</v>
      </c>
      <c r="J228" t="n">
        <v>0</v>
      </c>
      <c r="K228" t="n">
        <v>0</v>
      </c>
      <c r="L228" t="n">
        <v>0</v>
      </c>
      <c r="M228" t="n">
        <v>0</v>
      </c>
      <c r="N228" t="n">
        <v>0</v>
      </c>
      <c r="O228" t="n">
        <v>0</v>
      </c>
      <c r="P228" t="n">
        <v>0</v>
      </c>
      <c r="Q228" t="n">
        <v>0</v>
      </c>
      <c r="R228" s="2" t="inlineStr"/>
    </row>
    <row r="229" ht="15" customHeight="1">
      <c r="A229" t="inlineStr">
        <is>
          <t>A 10831-2024</t>
        </is>
      </c>
      <c r="B229" s="1" t="n">
        <v>45369</v>
      </c>
      <c r="C229" s="1" t="n">
        <v>45905</v>
      </c>
      <c r="D229" t="inlineStr">
        <is>
          <t>UPPSALA LÄN</t>
        </is>
      </c>
      <c r="E229" t="inlineStr">
        <is>
          <t>ENKÖPING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5712-2025</t>
        </is>
      </c>
      <c r="B230" s="1" t="n">
        <v>45694</v>
      </c>
      <c r="C230" s="1" t="n">
        <v>45905</v>
      </c>
      <c r="D230" t="inlineStr">
        <is>
          <t>UPPSALA LÄN</t>
        </is>
      </c>
      <c r="E230" t="inlineStr">
        <is>
          <t>ENKÖPING</t>
        </is>
      </c>
      <c r="G230" t="n">
        <v>5.1</v>
      </c>
      <c r="H230" t="n">
        <v>0</v>
      </c>
      <c r="I230" t="n">
        <v>0</v>
      </c>
      <c r="J230" t="n">
        <v>0</v>
      </c>
      <c r="K230" t="n">
        <v>0</v>
      </c>
      <c r="L230" t="n">
        <v>0</v>
      </c>
      <c r="M230" t="n">
        <v>0</v>
      </c>
      <c r="N230" t="n">
        <v>0</v>
      </c>
      <c r="O230" t="n">
        <v>0</v>
      </c>
      <c r="P230" t="n">
        <v>0</v>
      </c>
      <c r="Q230" t="n">
        <v>0</v>
      </c>
      <c r="R230" s="2" t="inlineStr"/>
    </row>
    <row r="231" ht="15" customHeight="1">
      <c r="A231" t="inlineStr">
        <is>
          <t>A 22912-2024</t>
        </is>
      </c>
      <c r="B231" s="1" t="n">
        <v>45448.73118055556</v>
      </c>
      <c r="C231" s="1" t="n">
        <v>45905</v>
      </c>
      <c r="D231" t="inlineStr">
        <is>
          <t>UPPSALA LÄN</t>
        </is>
      </c>
      <c r="E231" t="inlineStr">
        <is>
          <t>ENKÖPING</t>
        </is>
      </c>
      <c r="G231" t="n">
        <v>2.8</v>
      </c>
      <c r="H231" t="n">
        <v>0</v>
      </c>
      <c r="I231" t="n">
        <v>0</v>
      </c>
      <c r="J231" t="n">
        <v>0</v>
      </c>
      <c r="K231" t="n">
        <v>0</v>
      </c>
      <c r="L231" t="n">
        <v>0</v>
      </c>
      <c r="M231" t="n">
        <v>0</v>
      </c>
      <c r="N231" t="n">
        <v>0</v>
      </c>
      <c r="O231" t="n">
        <v>0</v>
      </c>
      <c r="P231" t="n">
        <v>0</v>
      </c>
      <c r="Q231" t="n">
        <v>0</v>
      </c>
      <c r="R231" s="2" t="inlineStr"/>
    </row>
    <row r="232" ht="15" customHeight="1">
      <c r="A232" t="inlineStr">
        <is>
          <t>A 53149-2020</t>
        </is>
      </c>
      <c r="B232" s="1" t="n">
        <v>44120</v>
      </c>
      <c r="C232" s="1" t="n">
        <v>45905</v>
      </c>
      <c r="D232" t="inlineStr">
        <is>
          <t>UPPSALA LÄN</t>
        </is>
      </c>
      <c r="E232" t="inlineStr">
        <is>
          <t>ENKÖPING</t>
        </is>
      </c>
      <c r="G232" t="n">
        <v>1.3</v>
      </c>
      <c r="H232" t="n">
        <v>0</v>
      </c>
      <c r="I232" t="n">
        <v>0</v>
      </c>
      <c r="J232" t="n">
        <v>0</v>
      </c>
      <c r="K232" t="n">
        <v>0</v>
      </c>
      <c r="L232" t="n">
        <v>0</v>
      </c>
      <c r="M232" t="n">
        <v>0</v>
      </c>
      <c r="N232" t="n">
        <v>0</v>
      </c>
      <c r="O232" t="n">
        <v>0</v>
      </c>
      <c r="P232" t="n">
        <v>0</v>
      </c>
      <c r="Q232" t="n">
        <v>0</v>
      </c>
      <c r="R232" s="2" t="inlineStr"/>
    </row>
    <row r="233" ht="15" customHeight="1">
      <c r="A233" t="inlineStr">
        <is>
          <t>A 45956-2024</t>
        </is>
      </c>
      <c r="B233" s="1" t="n">
        <v>45580</v>
      </c>
      <c r="C233" s="1" t="n">
        <v>45905</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11627-2025</t>
        </is>
      </c>
      <c r="B234" s="1" t="n">
        <v>45727</v>
      </c>
      <c r="C234" s="1" t="n">
        <v>45905</v>
      </c>
      <c r="D234" t="inlineStr">
        <is>
          <t>UPPSALA LÄN</t>
        </is>
      </c>
      <c r="E234" t="inlineStr">
        <is>
          <t>ENKÖPING</t>
        </is>
      </c>
      <c r="G234" t="n">
        <v>5.5</v>
      </c>
      <c r="H234" t="n">
        <v>0</v>
      </c>
      <c r="I234" t="n">
        <v>0</v>
      </c>
      <c r="J234" t="n">
        <v>0</v>
      </c>
      <c r="K234" t="n">
        <v>0</v>
      </c>
      <c r="L234" t="n">
        <v>0</v>
      </c>
      <c r="M234" t="n">
        <v>0</v>
      </c>
      <c r="N234" t="n">
        <v>0</v>
      </c>
      <c r="O234" t="n">
        <v>0</v>
      </c>
      <c r="P234" t="n">
        <v>0</v>
      </c>
      <c r="Q234" t="n">
        <v>0</v>
      </c>
      <c r="R234" s="2" t="inlineStr"/>
    </row>
    <row r="235" ht="15" customHeight="1">
      <c r="A235" t="inlineStr">
        <is>
          <t>A 74090-2021</t>
        </is>
      </c>
      <c r="B235" s="1" t="n">
        <v>44557</v>
      </c>
      <c r="C235" s="1" t="n">
        <v>45905</v>
      </c>
      <c r="D235" t="inlineStr">
        <is>
          <t>UPPSALA LÄN</t>
        </is>
      </c>
      <c r="E235" t="inlineStr">
        <is>
          <t>ENKÖPING</t>
        </is>
      </c>
      <c r="G235" t="n">
        <v>2.1</v>
      </c>
      <c r="H235" t="n">
        <v>0</v>
      </c>
      <c r="I235" t="n">
        <v>0</v>
      </c>
      <c r="J235" t="n">
        <v>0</v>
      </c>
      <c r="K235" t="n">
        <v>0</v>
      </c>
      <c r="L235" t="n">
        <v>0</v>
      </c>
      <c r="M235" t="n">
        <v>0</v>
      </c>
      <c r="N235" t="n">
        <v>0</v>
      </c>
      <c r="O235" t="n">
        <v>0</v>
      </c>
      <c r="P235" t="n">
        <v>0</v>
      </c>
      <c r="Q235" t="n">
        <v>0</v>
      </c>
      <c r="R235" s="2" t="inlineStr"/>
    </row>
    <row r="236" ht="15" customHeight="1">
      <c r="A236" t="inlineStr">
        <is>
          <t>A 9667-2024</t>
        </is>
      </c>
      <c r="B236" s="1" t="n">
        <v>45362.45130787037</v>
      </c>
      <c r="C236" s="1" t="n">
        <v>45905</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37870-2023</t>
        </is>
      </c>
      <c r="B237" s="1" t="n">
        <v>45160.41996527778</v>
      </c>
      <c r="C237" s="1" t="n">
        <v>45905</v>
      </c>
      <c r="D237" t="inlineStr">
        <is>
          <t>UPPSALA LÄN</t>
        </is>
      </c>
      <c r="E237" t="inlineStr">
        <is>
          <t>ENKÖPING</t>
        </is>
      </c>
      <c r="G237" t="n">
        <v>3.5</v>
      </c>
      <c r="H237" t="n">
        <v>0</v>
      </c>
      <c r="I237" t="n">
        <v>0</v>
      </c>
      <c r="J237" t="n">
        <v>0</v>
      </c>
      <c r="K237" t="n">
        <v>0</v>
      </c>
      <c r="L237" t="n">
        <v>0</v>
      </c>
      <c r="M237" t="n">
        <v>0</v>
      </c>
      <c r="N237" t="n">
        <v>0</v>
      </c>
      <c r="O237" t="n">
        <v>0</v>
      </c>
      <c r="P237" t="n">
        <v>0</v>
      </c>
      <c r="Q237" t="n">
        <v>0</v>
      </c>
      <c r="R237" s="2" t="inlineStr"/>
    </row>
    <row r="238" ht="15" customHeight="1">
      <c r="A238" t="inlineStr">
        <is>
          <t>A 7090-2022</t>
        </is>
      </c>
      <c r="B238" s="1" t="n">
        <v>44603.59520833333</v>
      </c>
      <c r="C238" s="1" t="n">
        <v>45905</v>
      </c>
      <c r="D238" t="inlineStr">
        <is>
          <t>UPPSALA LÄN</t>
        </is>
      </c>
      <c r="E238" t="inlineStr">
        <is>
          <t>ENKÖPING</t>
        </is>
      </c>
      <c r="G238" t="n">
        <v>2.8</v>
      </c>
      <c r="H238" t="n">
        <v>0</v>
      </c>
      <c r="I238" t="n">
        <v>0</v>
      </c>
      <c r="J238" t="n">
        <v>0</v>
      </c>
      <c r="K238" t="n">
        <v>0</v>
      </c>
      <c r="L238" t="n">
        <v>0</v>
      </c>
      <c r="M238" t="n">
        <v>0</v>
      </c>
      <c r="N238" t="n">
        <v>0</v>
      </c>
      <c r="O238" t="n">
        <v>0</v>
      </c>
      <c r="P238" t="n">
        <v>0</v>
      </c>
      <c r="Q238" t="n">
        <v>0</v>
      </c>
      <c r="R238" s="2" t="inlineStr"/>
    </row>
    <row r="239" ht="15" customHeight="1">
      <c r="A239" t="inlineStr">
        <is>
          <t>A 49063-2024</t>
        </is>
      </c>
      <c r="B239" s="1" t="n">
        <v>45594.59869212963</v>
      </c>
      <c r="C239" s="1" t="n">
        <v>45905</v>
      </c>
      <c r="D239" t="inlineStr">
        <is>
          <t>UPPSALA LÄN</t>
        </is>
      </c>
      <c r="E239" t="inlineStr">
        <is>
          <t>ENKÖPING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14083-2025</t>
        </is>
      </c>
      <c r="B240" s="1" t="n">
        <v>45740</v>
      </c>
      <c r="C240" s="1" t="n">
        <v>45905</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19298-2023</t>
        </is>
      </c>
      <c r="B241" s="1" t="n">
        <v>45048</v>
      </c>
      <c r="C241" s="1" t="n">
        <v>45905</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43506-2023</t>
        </is>
      </c>
      <c r="B242" s="1" t="n">
        <v>45181</v>
      </c>
      <c r="C242" s="1" t="n">
        <v>45905</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15409-2025</t>
        </is>
      </c>
      <c r="B243" s="1" t="n">
        <v>45747</v>
      </c>
      <c r="C243" s="1" t="n">
        <v>45905</v>
      </c>
      <c r="D243" t="inlineStr">
        <is>
          <t>UPPSALA LÄN</t>
        </is>
      </c>
      <c r="E243" t="inlineStr">
        <is>
          <t>ENKÖPING</t>
        </is>
      </c>
      <c r="G243" t="n">
        <v>2.5</v>
      </c>
      <c r="H243" t="n">
        <v>0</v>
      </c>
      <c r="I243" t="n">
        <v>0</v>
      </c>
      <c r="J243" t="n">
        <v>0</v>
      </c>
      <c r="K243" t="n">
        <v>0</v>
      </c>
      <c r="L243" t="n">
        <v>0</v>
      </c>
      <c r="M243" t="n">
        <v>0</v>
      </c>
      <c r="N243" t="n">
        <v>0</v>
      </c>
      <c r="O243" t="n">
        <v>0</v>
      </c>
      <c r="P243" t="n">
        <v>0</v>
      </c>
      <c r="Q243" t="n">
        <v>0</v>
      </c>
      <c r="R243" s="2" t="inlineStr"/>
    </row>
    <row r="244" ht="15" customHeight="1">
      <c r="A244" t="inlineStr">
        <is>
          <t>A 58092-2024</t>
        </is>
      </c>
      <c r="B244" s="1" t="n">
        <v>45632</v>
      </c>
      <c r="C244" s="1" t="n">
        <v>45905</v>
      </c>
      <c r="D244" t="inlineStr">
        <is>
          <t>UPPSALA LÄN</t>
        </is>
      </c>
      <c r="E244" t="inlineStr">
        <is>
          <t>ENKÖPING</t>
        </is>
      </c>
      <c r="G244" t="n">
        <v>4.8</v>
      </c>
      <c r="H244" t="n">
        <v>0</v>
      </c>
      <c r="I244" t="n">
        <v>0</v>
      </c>
      <c r="J244" t="n">
        <v>0</v>
      </c>
      <c r="K244" t="n">
        <v>0</v>
      </c>
      <c r="L244" t="n">
        <v>0</v>
      </c>
      <c r="M244" t="n">
        <v>0</v>
      </c>
      <c r="N244" t="n">
        <v>0</v>
      </c>
      <c r="O244" t="n">
        <v>0</v>
      </c>
      <c r="P244" t="n">
        <v>0</v>
      </c>
      <c r="Q244" t="n">
        <v>0</v>
      </c>
      <c r="R244" s="2" t="inlineStr"/>
    </row>
    <row r="245" ht="15" customHeight="1">
      <c r="A245" t="inlineStr">
        <is>
          <t>A 14004-2023</t>
        </is>
      </c>
      <c r="B245" s="1" t="n">
        <v>45008</v>
      </c>
      <c r="C245" s="1" t="n">
        <v>45905</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51012-2024</t>
        </is>
      </c>
      <c r="B246" s="1" t="n">
        <v>45603.39686342593</v>
      </c>
      <c r="C246" s="1" t="n">
        <v>45905</v>
      </c>
      <c r="D246" t="inlineStr">
        <is>
          <t>UPPSALA LÄN</t>
        </is>
      </c>
      <c r="E246" t="inlineStr">
        <is>
          <t>ENKÖPING</t>
        </is>
      </c>
      <c r="G246" t="n">
        <v>2.7</v>
      </c>
      <c r="H246" t="n">
        <v>0</v>
      </c>
      <c r="I246" t="n">
        <v>0</v>
      </c>
      <c r="J246" t="n">
        <v>0</v>
      </c>
      <c r="K246" t="n">
        <v>0</v>
      </c>
      <c r="L246" t="n">
        <v>0</v>
      </c>
      <c r="M246" t="n">
        <v>0</v>
      </c>
      <c r="N246" t="n">
        <v>0</v>
      </c>
      <c r="O246" t="n">
        <v>0</v>
      </c>
      <c r="P246" t="n">
        <v>0</v>
      </c>
      <c r="Q246" t="n">
        <v>0</v>
      </c>
      <c r="R246" s="2" t="inlineStr"/>
    </row>
    <row r="247" ht="15" customHeight="1">
      <c r="A247" t="inlineStr">
        <is>
          <t>A 51037-2024</t>
        </is>
      </c>
      <c r="B247" s="1" t="n">
        <v>45603.43005787037</v>
      </c>
      <c r="C247" s="1" t="n">
        <v>45905</v>
      </c>
      <c r="D247" t="inlineStr">
        <is>
          <t>UPPSALA LÄN</t>
        </is>
      </c>
      <c r="E247" t="inlineStr">
        <is>
          <t>ENKÖPING</t>
        </is>
      </c>
      <c r="G247" t="n">
        <v>5.7</v>
      </c>
      <c r="H247" t="n">
        <v>0</v>
      </c>
      <c r="I247" t="n">
        <v>0</v>
      </c>
      <c r="J247" t="n">
        <v>0</v>
      </c>
      <c r="K247" t="n">
        <v>0</v>
      </c>
      <c r="L247" t="n">
        <v>0</v>
      </c>
      <c r="M247" t="n">
        <v>0</v>
      </c>
      <c r="N247" t="n">
        <v>0</v>
      </c>
      <c r="O247" t="n">
        <v>0</v>
      </c>
      <c r="P247" t="n">
        <v>0</v>
      </c>
      <c r="Q247" t="n">
        <v>0</v>
      </c>
      <c r="R247" s="2" t="inlineStr"/>
    </row>
    <row r="248" ht="15" customHeight="1">
      <c r="A248" t="inlineStr">
        <is>
          <t>A 24411-2024</t>
        </is>
      </c>
      <c r="B248" s="1" t="n">
        <v>45457</v>
      </c>
      <c r="C248" s="1" t="n">
        <v>45905</v>
      </c>
      <c r="D248" t="inlineStr">
        <is>
          <t>UPPSALA LÄN</t>
        </is>
      </c>
      <c r="E248" t="inlineStr">
        <is>
          <t>ENKÖPING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25988-2025</t>
        </is>
      </c>
      <c r="B249" s="1" t="n">
        <v>45804.64814814815</v>
      </c>
      <c r="C249" s="1" t="n">
        <v>45905</v>
      </c>
      <c r="D249" t="inlineStr">
        <is>
          <t>UPPSALA LÄN</t>
        </is>
      </c>
      <c r="E249" t="inlineStr">
        <is>
          <t>ENKÖPING</t>
        </is>
      </c>
      <c r="G249" t="n">
        <v>4.7</v>
      </c>
      <c r="H249" t="n">
        <v>0</v>
      </c>
      <c r="I249" t="n">
        <v>0</v>
      </c>
      <c r="J249" t="n">
        <v>0</v>
      </c>
      <c r="K249" t="n">
        <v>0</v>
      </c>
      <c r="L249" t="n">
        <v>0</v>
      </c>
      <c r="M249" t="n">
        <v>0</v>
      </c>
      <c r="N249" t="n">
        <v>0</v>
      </c>
      <c r="O249" t="n">
        <v>0</v>
      </c>
      <c r="P249" t="n">
        <v>0</v>
      </c>
      <c r="Q249" t="n">
        <v>0</v>
      </c>
      <c r="R249" s="2" t="inlineStr"/>
    </row>
    <row r="250" ht="15" customHeight="1">
      <c r="A250" t="inlineStr">
        <is>
          <t>A 41828-2024</t>
        </is>
      </c>
      <c r="B250" s="1" t="n">
        <v>45561</v>
      </c>
      <c r="C250" s="1" t="n">
        <v>45905</v>
      </c>
      <c r="D250" t="inlineStr">
        <is>
          <t>UPPSALA LÄN</t>
        </is>
      </c>
      <c r="E250" t="inlineStr">
        <is>
          <t>ENKÖPING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26017-2025</t>
        </is>
      </c>
      <c r="B251" s="1" t="n">
        <v>45804</v>
      </c>
      <c r="C251" s="1" t="n">
        <v>45905</v>
      </c>
      <c r="D251" t="inlineStr">
        <is>
          <t>UPPSALA LÄN</t>
        </is>
      </c>
      <c r="E251" t="inlineStr">
        <is>
          <t>ENKÖPING</t>
        </is>
      </c>
      <c r="G251" t="n">
        <v>0.4</v>
      </c>
      <c r="H251" t="n">
        <v>0</v>
      </c>
      <c r="I251" t="n">
        <v>0</v>
      </c>
      <c r="J251" t="n">
        <v>0</v>
      </c>
      <c r="K251" t="n">
        <v>0</v>
      </c>
      <c r="L251" t="n">
        <v>0</v>
      </c>
      <c r="M251" t="n">
        <v>0</v>
      </c>
      <c r="N251" t="n">
        <v>0</v>
      </c>
      <c r="O251" t="n">
        <v>0</v>
      </c>
      <c r="P251" t="n">
        <v>0</v>
      </c>
      <c r="Q251" t="n">
        <v>0</v>
      </c>
      <c r="R251" s="2" t="inlineStr"/>
    </row>
    <row r="252" ht="15" customHeight="1">
      <c r="A252" t="inlineStr">
        <is>
          <t>A 26024-2025</t>
        </is>
      </c>
      <c r="B252" s="1" t="n">
        <v>45804.6831712963</v>
      </c>
      <c r="C252" s="1" t="n">
        <v>45905</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26042-2025</t>
        </is>
      </c>
      <c r="B253" s="1" t="n">
        <v>45804.70018518518</v>
      </c>
      <c r="C253" s="1" t="n">
        <v>45905</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25990-2025</t>
        </is>
      </c>
      <c r="B254" s="1" t="n">
        <v>45804.65229166667</v>
      </c>
      <c r="C254" s="1" t="n">
        <v>45905</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26030-2025</t>
        </is>
      </c>
      <c r="B255" s="1" t="n">
        <v>45804.68815972222</v>
      </c>
      <c r="C255" s="1" t="n">
        <v>45905</v>
      </c>
      <c r="D255" t="inlineStr">
        <is>
          <t>UPPSALA LÄN</t>
        </is>
      </c>
      <c r="E255" t="inlineStr">
        <is>
          <t>ENKÖPING</t>
        </is>
      </c>
      <c r="G255" t="n">
        <v>0.3</v>
      </c>
      <c r="H255" t="n">
        <v>0</v>
      </c>
      <c r="I255" t="n">
        <v>0</v>
      </c>
      <c r="J255" t="n">
        <v>0</v>
      </c>
      <c r="K255" t="n">
        <v>0</v>
      </c>
      <c r="L255" t="n">
        <v>0</v>
      </c>
      <c r="M255" t="n">
        <v>0</v>
      </c>
      <c r="N255" t="n">
        <v>0</v>
      </c>
      <c r="O255" t="n">
        <v>0</v>
      </c>
      <c r="P255" t="n">
        <v>0</v>
      </c>
      <c r="Q255" t="n">
        <v>0</v>
      </c>
      <c r="R255" s="2" t="inlineStr"/>
    </row>
    <row r="256" ht="15" customHeight="1">
      <c r="A256" t="inlineStr">
        <is>
          <t>A 26026-2025</t>
        </is>
      </c>
      <c r="B256" s="1" t="n">
        <v>45804.68510416667</v>
      </c>
      <c r="C256" s="1" t="n">
        <v>45905</v>
      </c>
      <c r="D256" t="inlineStr">
        <is>
          <t>UPPSALA LÄN</t>
        </is>
      </c>
      <c r="E256" t="inlineStr">
        <is>
          <t>ENKÖPING</t>
        </is>
      </c>
      <c r="G256" t="n">
        <v>1</v>
      </c>
      <c r="H256" t="n">
        <v>0</v>
      </c>
      <c r="I256" t="n">
        <v>0</v>
      </c>
      <c r="J256" t="n">
        <v>0</v>
      </c>
      <c r="K256" t="n">
        <v>0</v>
      </c>
      <c r="L256" t="n">
        <v>0</v>
      </c>
      <c r="M256" t="n">
        <v>0</v>
      </c>
      <c r="N256" t="n">
        <v>0</v>
      </c>
      <c r="O256" t="n">
        <v>0</v>
      </c>
      <c r="P256" t="n">
        <v>0</v>
      </c>
      <c r="Q256" t="n">
        <v>0</v>
      </c>
      <c r="R256" s="2" t="inlineStr"/>
    </row>
    <row r="257" ht="15" customHeight="1">
      <c r="A257" t="inlineStr">
        <is>
          <t>A 26047-2025</t>
        </is>
      </c>
      <c r="B257" s="1" t="n">
        <v>45804.70835648148</v>
      </c>
      <c r="C257" s="1" t="n">
        <v>45905</v>
      </c>
      <c r="D257" t="inlineStr">
        <is>
          <t>UPPSALA LÄN</t>
        </is>
      </c>
      <c r="E257" t="inlineStr">
        <is>
          <t>ENKÖPING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34617-2022</t>
        </is>
      </c>
      <c r="B258" s="1" t="n">
        <v>44795</v>
      </c>
      <c r="C258" s="1" t="n">
        <v>45905</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25847-2025</t>
        </is>
      </c>
      <c r="B259" s="1" t="n">
        <v>45804</v>
      </c>
      <c r="C259" s="1" t="n">
        <v>45905</v>
      </c>
      <c r="D259" t="inlineStr">
        <is>
          <t>UPPSALA LÄN</t>
        </is>
      </c>
      <c r="E259" t="inlineStr">
        <is>
          <t>ENKÖPING</t>
        </is>
      </c>
      <c r="G259" t="n">
        <v>3.6</v>
      </c>
      <c r="H259" t="n">
        <v>0</v>
      </c>
      <c r="I259" t="n">
        <v>0</v>
      </c>
      <c r="J259" t="n">
        <v>0</v>
      </c>
      <c r="K259" t="n">
        <v>0</v>
      </c>
      <c r="L259" t="n">
        <v>0</v>
      </c>
      <c r="M259" t="n">
        <v>0</v>
      </c>
      <c r="N259" t="n">
        <v>0</v>
      </c>
      <c r="O259" t="n">
        <v>0</v>
      </c>
      <c r="P259" t="n">
        <v>0</v>
      </c>
      <c r="Q259" t="n">
        <v>0</v>
      </c>
      <c r="R259" s="2" t="inlineStr"/>
    </row>
    <row r="260" ht="15" customHeight="1">
      <c r="A260" t="inlineStr">
        <is>
          <t>A 26005-2025</t>
        </is>
      </c>
      <c r="B260" s="1" t="n">
        <v>45804.67055555555</v>
      </c>
      <c r="C260" s="1" t="n">
        <v>45905</v>
      </c>
      <c r="D260" t="inlineStr">
        <is>
          <t>UPPSALA LÄN</t>
        </is>
      </c>
      <c r="E260" t="inlineStr">
        <is>
          <t>ENKÖPING</t>
        </is>
      </c>
      <c r="G260" t="n">
        <v>0.3</v>
      </c>
      <c r="H260" t="n">
        <v>0</v>
      </c>
      <c r="I260" t="n">
        <v>0</v>
      </c>
      <c r="J260" t="n">
        <v>0</v>
      </c>
      <c r="K260" t="n">
        <v>0</v>
      </c>
      <c r="L260" t="n">
        <v>0</v>
      </c>
      <c r="M260" t="n">
        <v>0</v>
      </c>
      <c r="N260" t="n">
        <v>0</v>
      </c>
      <c r="O260" t="n">
        <v>0</v>
      </c>
      <c r="P260" t="n">
        <v>0</v>
      </c>
      <c r="Q260" t="n">
        <v>0</v>
      </c>
      <c r="R260" s="2" t="inlineStr"/>
    </row>
    <row r="261" ht="15" customHeight="1">
      <c r="A261" t="inlineStr">
        <is>
          <t>A 26031-2025</t>
        </is>
      </c>
      <c r="B261" s="1" t="n">
        <v>45804.69050925926</v>
      </c>
      <c r="C261" s="1" t="n">
        <v>45905</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26041-2025</t>
        </is>
      </c>
      <c r="B262" s="1" t="n">
        <v>45804.69883101852</v>
      </c>
      <c r="C262" s="1" t="n">
        <v>45905</v>
      </c>
      <c r="D262" t="inlineStr">
        <is>
          <t>UPPSALA LÄN</t>
        </is>
      </c>
      <c r="E262" t="inlineStr">
        <is>
          <t>ENKÖPING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26022-2025</t>
        </is>
      </c>
      <c r="B263" s="1" t="n">
        <v>45804.68006944445</v>
      </c>
      <c r="C263" s="1" t="n">
        <v>45905</v>
      </c>
      <c r="D263" t="inlineStr">
        <is>
          <t>UPPSALA LÄN</t>
        </is>
      </c>
      <c r="E263" t="inlineStr">
        <is>
          <t>ENKÖPING</t>
        </is>
      </c>
      <c r="G263" t="n">
        <v>0.7</v>
      </c>
      <c r="H263" t="n">
        <v>0</v>
      </c>
      <c r="I263" t="n">
        <v>0</v>
      </c>
      <c r="J263" t="n">
        <v>0</v>
      </c>
      <c r="K263" t="n">
        <v>0</v>
      </c>
      <c r="L263" t="n">
        <v>0</v>
      </c>
      <c r="M263" t="n">
        <v>0</v>
      </c>
      <c r="N263" t="n">
        <v>0</v>
      </c>
      <c r="O263" t="n">
        <v>0</v>
      </c>
      <c r="P263" t="n">
        <v>0</v>
      </c>
      <c r="Q263" t="n">
        <v>0</v>
      </c>
      <c r="R263" s="2" t="inlineStr"/>
    </row>
    <row r="264" ht="15" customHeight="1">
      <c r="A264" t="inlineStr">
        <is>
          <t>A 26011-2025</t>
        </is>
      </c>
      <c r="B264" s="1" t="n">
        <v>45804.67412037037</v>
      </c>
      <c r="C264" s="1" t="n">
        <v>45905</v>
      </c>
      <c r="D264" t="inlineStr">
        <is>
          <t>UPPSALA LÄN</t>
        </is>
      </c>
      <c r="E264" t="inlineStr">
        <is>
          <t>ENKÖPING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40202-2024</t>
        </is>
      </c>
      <c r="B265" s="1" t="n">
        <v>45554</v>
      </c>
      <c r="C265" s="1" t="n">
        <v>45905</v>
      </c>
      <c r="D265" t="inlineStr">
        <is>
          <t>UPPSALA LÄN</t>
        </is>
      </c>
      <c r="E265" t="inlineStr">
        <is>
          <t>ENKÖPING</t>
        </is>
      </c>
      <c r="G265" t="n">
        <v>6.2</v>
      </c>
      <c r="H265" t="n">
        <v>0</v>
      </c>
      <c r="I265" t="n">
        <v>0</v>
      </c>
      <c r="J265" t="n">
        <v>0</v>
      </c>
      <c r="K265" t="n">
        <v>0</v>
      </c>
      <c r="L265" t="n">
        <v>0</v>
      </c>
      <c r="M265" t="n">
        <v>0</v>
      </c>
      <c r="N265" t="n">
        <v>0</v>
      </c>
      <c r="O265" t="n">
        <v>0</v>
      </c>
      <c r="P265" t="n">
        <v>0</v>
      </c>
      <c r="Q265" t="n">
        <v>0</v>
      </c>
      <c r="R265" s="2" t="inlineStr"/>
    </row>
    <row r="266" ht="15" customHeight="1">
      <c r="A266" t="inlineStr">
        <is>
          <t>A 40223-2024</t>
        </is>
      </c>
      <c r="B266" s="1" t="n">
        <v>45554</v>
      </c>
      <c r="C266" s="1" t="n">
        <v>45905</v>
      </c>
      <c r="D266" t="inlineStr">
        <is>
          <t>UPPSALA LÄN</t>
        </is>
      </c>
      <c r="E266" t="inlineStr">
        <is>
          <t>ENKÖPING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10465-2022</t>
        </is>
      </c>
      <c r="B267" s="1" t="n">
        <v>44623</v>
      </c>
      <c r="C267" s="1" t="n">
        <v>45905</v>
      </c>
      <c r="D267" t="inlineStr">
        <is>
          <t>UPPSALA LÄN</t>
        </is>
      </c>
      <c r="E267" t="inlineStr">
        <is>
          <t>ENKÖPING</t>
        </is>
      </c>
      <c r="G267" t="n">
        <v>1.7</v>
      </c>
      <c r="H267" t="n">
        <v>0</v>
      </c>
      <c r="I267" t="n">
        <v>0</v>
      </c>
      <c r="J267" t="n">
        <v>0</v>
      </c>
      <c r="K267" t="n">
        <v>0</v>
      </c>
      <c r="L267" t="n">
        <v>0</v>
      </c>
      <c r="M267" t="n">
        <v>0</v>
      </c>
      <c r="N267" t="n">
        <v>0</v>
      </c>
      <c r="O267" t="n">
        <v>0</v>
      </c>
      <c r="P267" t="n">
        <v>0</v>
      </c>
      <c r="Q267" t="n">
        <v>0</v>
      </c>
      <c r="R267" s="2" t="inlineStr"/>
    </row>
    <row r="268" ht="15" customHeight="1">
      <c r="A268" t="inlineStr">
        <is>
          <t>A 69879-2021</t>
        </is>
      </c>
      <c r="B268" s="1" t="n">
        <v>44532</v>
      </c>
      <c r="C268" s="1" t="n">
        <v>45905</v>
      </c>
      <c r="D268" t="inlineStr">
        <is>
          <t>UPPSALA LÄN</t>
        </is>
      </c>
      <c r="E268" t="inlineStr">
        <is>
          <t>ENKÖPING</t>
        </is>
      </c>
      <c r="G268" t="n">
        <v>4.2</v>
      </c>
      <c r="H268" t="n">
        <v>0</v>
      </c>
      <c r="I268" t="n">
        <v>0</v>
      </c>
      <c r="J268" t="n">
        <v>0</v>
      </c>
      <c r="K268" t="n">
        <v>0</v>
      </c>
      <c r="L268" t="n">
        <v>0</v>
      </c>
      <c r="M268" t="n">
        <v>0</v>
      </c>
      <c r="N268" t="n">
        <v>0</v>
      </c>
      <c r="O268" t="n">
        <v>0</v>
      </c>
      <c r="P268" t="n">
        <v>0</v>
      </c>
      <c r="Q268" t="n">
        <v>0</v>
      </c>
      <c r="R268" s="2" t="inlineStr"/>
    </row>
    <row r="269" ht="15" customHeight="1">
      <c r="A269" t="inlineStr">
        <is>
          <t>A 19013-2025</t>
        </is>
      </c>
      <c r="B269" s="1" t="n">
        <v>45764.59533564815</v>
      </c>
      <c r="C269" s="1" t="n">
        <v>45905</v>
      </c>
      <c r="D269" t="inlineStr">
        <is>
          <t>UPPSALA LÄN</t>
        </is>
      </c>
      <c r="E269" t="inlineStr">
        <is>
          <t>ENKÖPING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57335-2024</t>
        </is>
      </c>
      <c r="B270" s="1" t="n">
        <v>45629.63302083333</v>
      </c>
      <c r="C270" s="1" t="n">
        <v>45905</v>
      </c>
      <c r="D270" t="inlineStr">
        <is>
          <t>UPPSALA LÄN</t>
        </is>
      </c>
      <c r="E270" t="inlineStr">
        <is>
          <t>ENKÖPING</t>
        </is>
      </c>
      <c r="G270" t="n">
        <v>2.1</v>
      </c>
      <c r="H270" t="n">
        <v>0</v>
      </c>
      <c r="I270" t="n">
        <v>0</v>
      </c>
      <c r="J270" t="n">
        <v>0</v>
      </c>
      <c r="K270" t="n">
        <v>0</v>
      </c>
      <c r="L270" t="n">
        <v>0</v>
      </c>
      <c r="M270" t="n">
        <v>0</v>
      </c>
      <c r="N270" t="n">
        <v>0</v>
      </c>
      <c r="O270" t="n">
        <v>0</v>
      </c>
      <c r="P270" t="n">
        <v>0</v>
      </c>
      <c r="Q270" t="n">
        <v>0</v>
      </c>
      <c r="R270" s="2" t="inlineStr"/>
    </row>
    <row r="271" ht="15" customHeight="1">
      <c r="A271" t="inlineStr">
        <is>
          <t>A 23301-2024</t>
        </is>
      </c>
      <c r="B271" s="1" t="n">
        <v>45453.4396412037</v>
      </c>
      <c r="C271" s="1" t="n">
        <v>45905</v>
      </c>
      <c r="D271" t="inlineStr">
        <is>
          <t>UPPSALA LÄN</t>
        </is>
      </c>
      <c r="E271" t="inlineStr">
        <is>
          <t>ENKÖPING</t>
        </is>
      </c>
      <c r="G271" t="n">
        <v>4.3</v>
      </c>
      <c r="H271" t="n">
        <v>0</v>
      </c>
      <c r="I271" t="n">
        <v>0</v>
      </c>
      <c r="J271" t="n">
        <v>0</v>
      </c>
      <c r="K271" t="n">
        <v>0</v>
      </c>
      <c r="L271" t="n">
        <v>0</v>
      </c>
      <c r="M271" t="n">
        <v>0</v>
      </c>
      <c r="N271" t="n">
        <v>0</v>
      </c>
      <c r="O271" t="n">
        <v>0</v>
      </c>
      <c r="P271" t="n">
        <v>0</v>
      </c>
      <c r="Q271" t="n">
        <v>0</v>
      </c>
      <c r="R271" s="2" t="inlineStr"/>
    </row>
    <row r="272" ht="15" customHeight="1">
      <c r="A272" t="inlineStr">
        <is>
          <t>A 2833-2025</t>
        </is>
      </c>
      <c r="B272" s="1" t="n">
        <v>45677.63206018518</v>
      </c>
      <c r="C272" s="1" t="n">
        <v>45905</v>
      </c>
      <c r="D272" t="inlineStr">
        <is>
          <t>UPPSALA LÄN</t>
        </is>
      </c>
      <c r="E272" t="inlineStr">
        <is>
          <t>ENKÖPING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5013-2025</t>
        </is>
      </c>
      <c r="B273" s="1" t="n">
        <v>45691</v>
      </c>
      <c r="C273" s="1" t="n">
        <v>45905</v>
      </c>
      <c r="D273" t="inlineStr">
        <is>
          <t>UPPSALA LÄN</t>
        </is>
      </c>
      <c r="E273" t="inlineStr">
        <is>
          <t>ENKÖPING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11503-2024</t>
        </is>
      </c>
      <c r="B274" s="1" t="n">
        <v>45372.68020833333</v>
      </c>
      <c r="C274" s="1" t="n">
        <v>45905</v>
      </c>
      <c r="D274" t="inlineStr">
        <is>
          <t>UPPSALA LÄN</t>
        </is>
      </c>
      <c r="E274" t="inlineStr">
        <is>
          <t>ENKÖPING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35067-2024</t>
        </is>
      </c>
      <c r="B275" s="1" t="n">
        <v>45527.66153935185</v>
      </c>
      <c r="C275" s="1" t="n">
        <v>45905</v>
      </c>
      <c r="D275" t="inlineStr">
        <is>
          <t>UPPSALA LÄN</t>
        </is>
      </c>
      <c r="E275" t="inlineStr">
        <is>
          <t>ENKÖPING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33619-2022</t>
        </is>
      </c>
      <c r="B276" s="1" t="n">
        <v>44789</v>
      </c>
      <c r="C276" s="1" t="n">
        <v>45905</v>
      </c>
      <c r="D276" t="inlineStr">
        <is>
          <t>UPPSALA LÄN</t>
        </is>
      </c>
      <c r="E276" t="inlineStr">
        <is>
          <t>ENKÖPING</t>
        </is>
      </c>
      <c r="F276" t="inlineStr">
        <is>
          <t>Allmännings- och besparingsskogar</t>
        </is>
      </c>
      <c r="G276" t="n">
        <v>4.5</v>
      </c>
      <c r="H276" t="n">
        <v>0</v>
      </c>
      <c r="I276" t="n">
        <v>0</v>
      </c>
      <c r="J276" t="n">
        <v>0</v>
      </c>
      <c r="K276" t="n">
        <v>0</v>
      </c>
      <c r="L276" t="n">
        <v>0</v>
      </c>
      <c r="M276" t="n">
        <v>0</v>
      </c>
      <c r="N276" t="n">
        <v>0</v>
      </c>
      <c r="O276" t="n">
        <v>0</v>
      </c>
      <c r="P276" t="n">
        <v>0</v>
      </c>
      <c r="Q276" t="n">
        <v>0</v>
      </c>
      <c r="R276" s="2" t="inlineStr"/>
    </row>
    <row r="277" ht="15" customHeight="1">
      <c r="A277" t="inlineStr">
        <is>
          <t>A 31604-2023</t>
        </is>
      </c>
      <c r="B277" s="1" t="n">
        <v>45117.50368055556</v>
      </c>
      <c r="C277" s="1" t="n">
        <v>45905</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2164-2023</t>
        </is>
      </c>
      <c r="B278" s="1" t="n">
        <v>44941</v>
      </c>
      <c r="C278" s="1" t="n">
        <v>45905</v>
      </c>
      <c r="D278" t="inlineStr">
        <is>
          <t>UPPSALA LÄN</t>
        </is>
      </c>
      <c r="E278" t="inlineStr">
        <is>
          <t>ENKÖPING</t>
        </is>
      </c>
      <c r="G278" t="n">
        <v>2.5</v>
      </c>
      <c r="H278" t="n">
        <v>0</v>
      </c>
      <c r="I278" t="n">
        <v>0</v>
      </c>
      <c r="J278" t="n">
        <v>0</v>
      </c>
      <c r="K278" t="n">
        <v>0</v>
      </c>
      <c r="L278" t="n">
        <v>0</v>
      </c>
      <c r="M278" t="n">
        <v>0</v>
      </c>
      <c r="N278" t="n">
        <v>0</v>
      </c>
      <c r="O278" t="n">
        <v>0</v>
      </c>
      <c r="P278" t="n">
        <v>0</v>
      </c>
      <c r="Q278" t="n">
        <v>0</v>
      </c>
      <c r="R278" s="2" t="inlineStr"/>
    </row>
    <row r="279" ht="15" customHeight="1">
      <c r="A279" t="inlineStr">
        <is>
          <t>A 59602-2024</t>
        </is>
      </c>
      <c r="B279" s="1" t="n">
        <v>45638</v>
      </c>
      <c r="C279" s="1" t="n">
        <v>45905</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33955-2024</t>
        </is>
      </c>
      <c r="B280" s="1" t="n">
        <v>45523.46952546296</v>
      </c>
      <c r="C280" s="1" t="n">
        <v>45905</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14243-2025</t>
        </is>
      </c>
      <c r="B281" s="1" t="n">
        <v>45740.61288194444</v>
      </c>
      <c r="C281" s="1" t="n">
        <v>45905</v>
      </c>
      <c r="D281" t="inlineStr">
        <is>
          <t>UPPSALA LÄN</t>
        </is>
      </c>
      <c r="E281" t="inlineStr">
        <is>
          <t>ENKÖPING</t>
        </is>
      </c>
      <c r="G281" t="n">
        <v>2.2</v>
      </c>
      <c r="H281" t="n">
        <v>0</v>
      </c>
      <c r="I281" t="n">
        <v>0</v>
      </c>
      <c r="J281" t="n">
        <v>0</v>
      </c>
      <c r="K281" t="n">
        <v>0</v>
      </c>
      <c r="L281" t="n">
        <v>0</v>
      </c>
      <c r="M281" t="n">
        <v>0</v>
      </c>
      <c r="N281" t="n">
        <v>0</v>
      </c>
      <c r="O281" t="n">
        <v>0</v>
      </c>
      <c r="P281" t="n">
        <v>0</v>
      </c>
      <c r="Q281" t="n">
        <v>0</v>
      </c>
      <c r="R281" s="2" t="inlineStr"/>
    </row>
    <row r="282" ht="15" customHeight="1">
      <c r="A282" t="inlineStr">
        <is>
          <t>A 19488-2022</t>
        </is>
      </c>
      <c r="B282" s="1" t="n">
        <v>44693</v>
      </c>
      <c r="C282" s="1" t="n">
        <v>45905</v>
      </c>
      <c r="D282" t="inlineStr">
        <is>
          <t>UPPSALA LÄN</t>
        </is>
      </c>
      <c r="E282" t="inlineStr">
        <is>
          <t>ENKÖPING</t>
        </is>
      </c>
      <c r="G282" t="n">
        <v>7.8</v>
      </c>
      <c r="H282" t="n">
        <v>0</v>
      </c>
      <c r="I282" t="n">
        <v>0</v>
      </c>
      <c r="J282" t="n">
        <v>0</v>
      </c>
      <c r="K282" t="n">
        <v>0</v>
      </c>
      <c r="L282" t="n">
        <v>0</v>
      </c>
      <c r="M282" t="n">
        <v>0</v>
      </c>
      <c r="N282" t="n">
        <v>0</v>
      </c>
      <c r="O282" t="n">
        <v>0</v>
      </c>
      <c r="P282" t="n">
        <v>0</v>
      </c>
      <c r="Q282" t="n">
        <v>0</v>
      </c>
      <c r="R282" s="2" t="inlineStr"/>
    </row>
    <row r="283" ht="15" customHeight="1">
      <c r="A283" t="inlineStr">
        <is>
          <t>A 6172-2023</t>
        </is>
      </c>
      <c r="B283" s="1" t="n">
        <v>44964.68663194445</v>
      </c>
      <c r="C283" s="1" t="n">
        <v>45905</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10409-2025</t>
        </is>
      </c>
      <c r="B284" s="1" t="n">
        <v>45720.631875</v>
      </c>
      <c r="C284" s="1" t="n">
        <v>45905</v>
      </c>
      <c r="D284" t="inlineStr">
        <is>
          <t>UPPSALA LÄN</t>
        </is>
      </c>
      <c r="E284" t="inlineStr">
        <is>
          <t>ENKÖPING</t>
        </is>
      </c>
      <c r="G284" t="n">
        <v>2.2</v>
      </c>
      <c r="H284" t="n">
        <v>0</v>
      </c>
      <c r="I284" t="n">
        <v>0</v>
      </c>
      <c r="J284" t="n">
        <v>0</v>
      </c>
      <c r="K284" t="n">
        <v>0</v>
      </c>
      <c r="L284" t="n">
        <v>0</v>
      </c>
      <c r="M284" t="n">
        <v>0</v>
      </c>
      <c r="N284" t="n">
        <v>0</v>
      </c>
      <c r="O284" t="n">
        <v>0</v>
      </c>
      <c r="P284" t="n">
        <v>0</v>
      </c>
      <c r="Q284" t="n">
        <v>0</v>
      </c>
      <c r="R284" s="2" t="inlineStr"/>
    </row>
    <row r="285" ht="15" customHeight="1">
      <c r="A285" t="inlineStr">
        <is>
          <t>A 41826-2024</t>
        </is>
      </c>
      <c r="B285" s="1" t="n">
        <v>45561</v>
      </c>
      <c r="C285" s="1" t="n">
        <v>45905</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69567-2020</t>
        </is>
      </c>
      <c r="B286" s="1" t="n">
        <v>44194</v>
      </c>
      <c r="C286" s="1" t="n">
        <v>45905</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21686-2022</t>
        </is>
      </c>
      <c r="B287" s="1" t="n">
        <v>44707</v>
      </c>
      <c r="C287" s="1" t="n">
        <v>45905</v>
      </c>
      <c r="D287" t="inlineStr">
        <is>
          <t>UPPSALA LÄN</t>
        </is>
      </c>
      <c r="E287" t="inlineStr">
        <is>
          <t>ENKÖPING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29479-2022</t>
        </is>
      </c>
      <c r="B288" s="1" t="n">
        <v>44753.57265046296</v>
      </c>
      <c r="C288" s="1" t="n">
        <v>45905</v>
      </c>
      <c r="D288" t="inlineStr">
        <is>
          <t>UPPSALA LÄN</t>
        </is>
      </c>
      <c r="E288" t="inlineStr">
        <is>
          <t>ENKÖPING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49525-2021</t>
        </is>
      </c>
      <c r="B289" s="1" t="n">
        <v>44455</v>
      </c>
      <c r="C289" s="1" t="n">
        <v>45905</v>
      </c>
      <c r="D289" t="inlineStr">
        <is>
          <t>UPPSALA LÄN</t>
        </is>
      </c>
      <c r="E289" t="inlineStr">
        <is>
          <t>ENKÖPING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6298-2021</t>
        </is>
      </c>
      <c r="B290" s="1" t="n">
        <v>44235</v>
      </c>
      <c r="C290" s="1" t="n">
        <v>45905</v>
      </c>
      <c r="D290" t="inlineStr">
        <is>
          <t>UPPSALA LÄN</t>
        </is>
      </c>
      <c r="E290" t="inlineStr">
        <is>
          <t>ENKÖPING</t>
        </is>
      </c>
      <c r="G290" t="n">
        <v>1.4</v>
      </c>
      <c r="H290" t="n">
        <v>0</v>
      </c>
      <c r="I290" t="n">
        <v>0</v>
      </c>
      <c r="J290" t="n">
        <v>0</v>
      </c>
      <c r="K290" t="n">
        <v>0</v>
      </c>
      <c r="L290" t="n">
        <v>0</v>
      </c>
      <c r="M290" t="n">
        <v>0</v>
      </c>
      <c r="N290" t="n">
        <v>0</v>
      </c>
      <c r="O290" t="n">
        <v>0</v>
      </c>
      <c r="P290" t="n">
        <v>0</v>
      </c>
      <c r="Q290" t="n">
        <v>0</v>
      </c>
      <c r="R290" s="2" t="inlineStr"/>
    </row>
    <row r="291" ht="15" customHeight="1">
      <c r="A291" t="inlineStr">
        <is>
          <t>A 16916-2022</t>
        </is>
      </c>
      <c r="B291" s="1" t="n">
        <v>44676</v>
      </c>
      <c r="C291" s="1" t="n">
        <v>45905</v>
      </c>
      <c r="D291" t="inlineStr">
        <is>
          <t>UPPSALA LÄN</t>
        </is>
      </c>
      <c r="E291" t="inlineStr">
        <is>
          <t>ENKÖPING</t>
        </is>
      </c>
      <c r="G291" t="n">
        <v>1</v>
      </c>
      <c r="H291" t="n">
        <v>0</v>
      </c>
      <c r="I291" t="n">
        <v>0</v>
      </c>
      <c r="J291" t="n">
        <v>0</v>
      </c>
      <c r="K291" t="n">
        <v>0</v>
      </c>
      <c r="L291" t="n">
        <v>0</v>
      </c>
      <c r="M291" t="n">
        <v>0</v>
      </c>
      <c r="N291" t="n">
        <v>0</v>
      </c>
      <c r="O291" t="n">
        <v>0</v>
      </c>
      <c r="P291" t="n">
        <v>0</v>
      </c>
      <c r="Q291" t="n">
        <v>0</v>
      </c>
      <c r="R291" s="2" t="inlineStr"/>
    </row>
    <row r="292" ht="15" customHeight="1">
      <c r="A292" t="inlineStr">
        <is>
          <t>A 44115-2024</t>
        </is>
      </c>
      <c r="B292" s="1" t="n">
        <v>45572</v>
      </c>
      <c r="C292" s="1" t="n">
        <v>45905</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27829-2025</t>
        </is>
      </c>
      <c r="B293" s="1" t="n">
        <v>45817</v>
      </c>
      <c r="C293" s="1" t="n">
        <v>45905</v>
      </c>
      <c r="D293" t="inlineStr">
        <is>
          <t>UPPSALA LÄN</t>
        </is>
      </c>
      <c r="E293" t="inlineStr">
        <is>
          <t>ENKÖPING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30634-2022</t>
        </is>
      </c>
      <c r="B294" s="1" t="n">
        <v>44763.45711805556</v>
      </c>
      <c r="C294" s="1" t="n">
        <v>45905</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3300-2025</t>
        </is>
      </c>
      <c r="B295" s="1" t="n">
        <v>45679</v>
      </c>
      <c r="C295" s="1" t="n">
        <v>45905</v>
      </c>
      <c r="D295" t="inlineStr">
        <is>
          <t>UPPSALA LÄN</t>
        </is>
      </c>
      <c r="E295" t="inlineStr">
        <is>
          <t>ENKÖPING</t>
        </is>
      </c>
      <c r="G295" t="n">
        <v>8.9</v>
      </c>
      <c r="H295" t="n">
        <v>0</v>
      </c>
      <c r="I295" t="n">
        <v>0</v>
      </c>
      <c r="J295" t="n">
        <v>0</v>
      </c>
      <c r="K295" t="n">
        <v>0</v>
      </c>
      <c r="L295" t="n">
        <v>0</v>
      </c>
      <c r="M295" t="n">
        <v>0</v>
      </c>
      <c r="N295" t="n">
        <v>0</v>
      </c>
      <c r="O295" t="n">
        <v>0</v>
      </c>
      <c r="P295" t="n">
        <v>0</v>
      </c>
      <c r="Q295" t="n">
        <v>0</v>
      </c>
      <c r="R295" s="2" t="inlineStr"/>
    </row>
    <row r="296" ht="15" customHeight="1">
      <c r="A296" t="inlineStr">
        <is>
          <t>A 28855-2025</t>
        </is>
      </c>
      <c r="B296" s="1" t="n">
        <v>45820.58274305556</v>
      </c>
      <c r="C296" s="1" t="n">
        <v>45905</v>
      </c>
      <c r="D296" t="inlineStr">
        <is>
          <t>UPPSALA LÄN</t>
        </is>
      </c>
      <c r="E296" t="inlineStr">
        <is>
          <t>ENKÖPING</t>
        </is>
      </c>
      <c r="G296" t="n">
        <v>2.4</v>
      </c>
      <c r="H296" t="n">
        <v>0</v>
      </c>
      <c r="I296" t="n">
        <v>0</v>
      </c>
      <c r="J296" t="n">
        <v>0</v>
      </c>
      <c r="K296" t="n">
        <v>0</v>
      </c>
      <c r="L296" t="n">
        <v>0</v>
      </c>
      <c r="M296" t="n">
        <v>0</v>
      </c>
      <c r="N296" t="n">
        <v>0</v>
      </c>
      <c r="O296" t="n">
        <v>0</v>
      </c>
      <c r="P296" t="n">
        <v>0</v>
      </c>
      <c r="Q296" t="n">
        <v>0</v>
      </c>
      <c r="R296" s="2" t="inlineStr"/>
    </row>
    <row r="297" ht="15" customHeight="1">
      <c r="A297" t="inlineStr">
        <is>
          <t>A 59441-2020</t>
        </is>
      </c>
      <c r="B297" s="1" t="n">
        <v>44148</v>
      </c>
      <c r="C297" s="1" t="n">
        <v>45905</v>
      </c>
      <c r="D297" t="inlineStr">
        <is>
          <t>UPPSALA LÄN</t>
        </is>
      </c>
      <c r="E297" t="inlineStr">
        <is>
          <t>ENKÖPING</t>
        </is>
      </c>
      <c r="G297" t="n">
        <v>4.8</v>
      </c>
      <c r="H297" t="n">
        <v>0</v>
      </c>
      <c r="I297" t="n">
        <v>0</v>
      </c>
      <c r="J297" t="n">
        <v>0</v>
      </c>
      <c r="K297" t="n">
        <v>0</v>
      </c>
      <c r="L297" t="n">
        <v>0</v>
      </c>
      <c r="M297" t="n">
        <v>0</v>
      </c>
      <c r="N297" t="n">
        <v>0</v>
      </c>
      <c r="O297" t="n">
        <v>0</v>
      </c>
      <c r="P297" t="n">
        <v>0</v>
      </c>
      <c r="Q297" t="n">
        <v>0</v>
      </c>
      <c r="R297" s="2" t="inlineStr"/>
    </row>
    <row r="298" ht="15" customHeight="1">
      <c r="A298" t="inlineStr">
        <is>
          <t>A 28758-2025</t>
        </is>
      </c>
      <c r="B298" s="1" t="n">
        <v>45820.41212962963</v>
      </c>
      <c r="C298" s="1" t="n">
        <v>45905</v>
      </c>
      <c r="D298" t="inlineStr">
        <is>
          <t>UPPSALA LÄN</t>
        </is>
      </c>
      <c r="E298" t="inlineStr">
        <is>
          <t>ENKÖPING</t>
        </is>
      </c>
      <c r="G298" t="n">
        <v>2.4</v>
      </c>
      <c r="H298" t="n">
        <v>0</v>
      </c>
      <c r="I298" t="n">
        <v>0</v>
      </c>
      <c r="J298" t="n">
        <v>0</v>
      </c>
      <c r="K298" t="n">
        <v>0</v>
      </c>
      <c r="L298" t="n">
        <v>0</v>
      </c>
      <c r="M298" t="n">
        <v>0</v>
      </c>
      <c r="N298" t="n">
        <v>0</v>
      </c>
      <c r="O298" t="n">
        <v>0</v>
      </c>
      <c r="P298" t="n">
        <v>0</v>
      </c>
      <c r="Q298" t="n">
        <v>0</v>
      </c>
      <c r="R298" s="2" t="inlineStr"/>
    </row>
    <row r="299" ht="15" customHeight="1">
      <c r="A299" t="inlineStr">
        <is>
          <t>A 39009-2024</t>
        </is>
      </c>
      <c r="B299" s="1" t="n">
        <v>45548</v>
      </c>
      <c r="C299" s="1" t="n">
        <v>45905</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8537-2025</t>
        </is>
      </c>
      <c r="B300" s="1" t="n">
        <v>45709</v>
      </c>
      <c r="C300" s="1" t="n">
        <v>45905</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57328-2024</t>
        </is>
      </c>
      <c r="B301" s="1" t="n">
        <v>45629.62798611111</v>
      </c>
      <c r="C301" s="1" t="n">
        <v>45905</v>
      </c>
      <c r="D301" t="inlineStr">
        <is>
          <t>UPPSALA LÄN</t>
        </is>
      </c>
      <c r="E301" t="inlineStr">
        <is>
          <t>ENKÖPING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28862-2025</t>
        </is>
      </c>
      <c r="B302" s="1" t="n">
        <v>45820.59189814814</v>
      </c>
      <c r="C302" s="1" t="n">
        <v>45905</v>
      </c>
      <c r="D302" t="inlineStr">
        <is>
          <t>UPPSALA LÄN</t>
        </is>
      </c>
      <c r="E302" t="inlineStr">
        <is>
          <t>ENKÖPING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34988-2025</t>
        </is>
      </c>
      <c r="B303" s="1" t="n">
        <v>45849</v>
      </c>
      <c r="C303" s="1" t="n">
        <v>45905</v>
      </c>
      <c r="D303" t="inlineStr">
        <is>
          <t>UPPSALA LÄN</t>
        </is>
      </c>
      <c r="E303" t="inlineStr">
        <is>
          <t>ENKÖPING</t>
        </is>
      </c>
      <c r="G303" t="n">
        <v>1.1</v>
      </c>
      <c r="H303" t="n">
        <v>0</v>
      </c>
      <c r="I303" t="n">
        <v>0</v>
      </c>
      <c r="J303" t="n">
        <v>0</v>
      </c>
      <c r="K303" t="n">
        <v>0</v>
      </c>
      <c r="L303" t="n">
        <v>0</v>
      </c>
      <c r="M303" t="n">
        <v>0</v>
      </c>
      <c r="N303" t="n">
        <v>0</v>
      </c>
      <c r="O303" t="n">
        <v>0</v>
      </c>
      <c r="P303" t="n">
        <v>0</v>
      </c>
      <c r="Q303" t="n">
        <v>0</v>
      </c>
      <c r="R303" s="2" t="inlineStr"/>
    </row>
    <row r="304" ht="15" customHeight="1">
      <c r="A304" t="inlineStr">
        <is>
          <t>A 34987-2025</t>
        </is>
      </c>
      <c r="B304" s="1" t="n">
        <v>45849</v>
      </c>
      <c r="C304" s="1" t="n">
        <v>45905</v>
      </c>
      <c r="D304" t="inlineStr">
        <is>
          <t>UPPSALA LÄN</t>
        </is>
      </c>
      <c r="E304" t="inlineStr">
        <is>
          <t>ENKÖPING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34989-2025</t>
        </is>
      </c>
      <c r="B305" s="1" t="n">
        <v>45849</v>
      </c>
      <c r="C305" s="1" t="n">
        <v>45905</v>
      </c>
      <c r="D305" t="inlineStr">
        <is>
          <t>UPPSALA LÄN</t>
        </is>
      </c>
      <c r="E305" t="inlineStr">
        <is>
          <t>ENKÖPING</t>
        </is>
      </c>
      <c r="G305" t="n">
        <v>2.4</v>
      </c>
      <c r="H305" t="n">
        <v>0</v>
      </c>
      <c r="I305" t="n">
        <v>0</v>
      </c>
      <c r="J305" t="n">
        <v>0</v>
      </c>
      <c r="K305" t="n">
        <v>0</v>
      </c>
      <c r="L305" t="n">
        <v>0</v>
      </c>
      <c r="M305" t="n">
        <v>0</v>
      </c>
      <c r="N305" t="n">
        <v>0</v>
      </c>
      <c r="O305" t="n">
        <v>0</v>
      </c>
      <c r="P305" t="n">
        <v>0</v>
      </c>
      <c r="Q305" t="n">
        <v>0</v>
      </c>
      <c r="R305" s="2" t="inlineStr"/>
    </row>
    <row r="306" ht="15" customHeight="1">
      <c r="A306" t="inlineStr">
        <is>
          <t>A 51120-2023</t>
        </is>
      </c>
      <c r="B306" s="1" t="n">
        <v>45219.3088425926</v>
      </c>
      <c r="C306" s="1" t="n">
        <v>45905</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26319-2022</t>
        </is>
      </c>
      <c r="B307" s="1" t="n">
        <v>44735</v>
      </c>
      <c r="C307" s="1" t="n">
        <v>45905</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54357-2023</t>
        </is>
      </c>
      <c r="B308" s="1" t="n">
        <v>45225</v>
      </c>
      <c r="C308" s="1" t="n">
        <v>45905</v>
      </c>
      <c r="D308" t="inlineStr">
        <is>
          <t>UPPSALA LÄN</t>
        </is>
      </c>
      <c r="E308" t="inlineStr">
        <is>
          <t>ENKÖPING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29093-2025</t>
        </is>
      </c>
      <c r="B309" s="1" t="n">
        <v>45821.55743055556</v>
      </c>
      <c r="C309" s="1" t="n">
        <v>45905</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29477-2025</t>
        </is>
      </c>
      <c r="B310" s="1" t="n">
        <v>45824.71537037037</v>
      </c>
      <c r="C310" s="1" t="n">
        <v>45905</v>
      </c>
      <c r="D310" t="inlineStr">
        <is>
          <t>UPPSALA LÄN</t>
        </is>
      </c>
      <c r="E310" t="inlineStr">
        <is>
          <t>ENKÖPING</t>
        </is>
      </c>
      <c r="G310" t="n">
        <v>13.4</v>
      </c>
      <c r="H310" t="n">
        <v>0</v>
      </c>
      <c r="I310" t="n">
        <v>0</v>
      </c>
      <c r="J310" t="n">
        <v>0</v>
      </c>
      <c r="K310" t="n">
        <v>0</v>
      </c>
      <c r="L310" t="n">
        <v>0</v>
      </c>
      <c r="M310" t="n">
        <v>0</v>
      </c>
      <c r="N310" t="n">
        <v>0</v>
      </c>
      <c r="O310" t="n">
        <v>0</v>
      </c>
      <c r="P310" t="n">
        <v>0</v>
      </c>
      <c r="Q310" t="n">
        <v>0</v>
      </c>
      <c r="R310" s="2" t="inlineStr"/>
    </row>
    <row r="311" ht="15" customHeight="1">
      <c r="A311" t="inlineStr">
        <is>
          <t>A 4203-2021</t>
        </is>
      </c>
      <c r="B311" s="1" t="n">
        <v>44223</v>
      </c>
      <c r="C311" s="1" t="n">
        <v>45905</v>
      </c>
      <c r="D311" t="inlineStr">
        <is>
          <t>UPPSALA LÄN</t>
        </is>
      </c>
      <c r="E311" t="inlineStr">
        <is>
          <t>ENKÖPING</t>
        </is>
      </c>
      <c r="G311" t="n">
        <v>11.6</v>
      </c>
      <c r="H311" t="n">
        <v>0</v>
      </c>
      <c r="I311" t="n">
        <v>0</v>
      </c>
      <c r="J311" t="n">
        <v>0</v>
      </c>
      <c r="K311" t="n">
        <v>0</v>
      </c>
      <c r="L311" t="n">
        <v>0</v>
      </c>
      <c r="M311" t="n">
        <v>0</v>
      </c>
      <c r="N311" t="n">
        <v>0</v>
      </c>
      <c r="O311" t="n">
        <v>0</v>
      </c>
      <c r="P311" t="n">
        <v>0</v>
      </c>
      <c r="Q311" t="n">
        <v>0</v>
      </c>
      <c r="R311" s="2" t="inlineStr"/>
    </row>
    <row r="312" ht="15" customHeight="1">
      <c r="A312" t="inlineStr">
        <is>
          <t>A 13816-2021</t>
        </is>
      </c>
      <c r="B312" s="1" t="n">
        <v>44276</v>
      </c>
      <c r="C312" s="1" t="n">
        <v>45905</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56837-2024</t>
        </is>
      </c>
      <c r="B313" s="1" t="n">
        <v>45628</v>
      </c>
      <c r="C313" s="1" t="n">
        <v>45905</v>
      </c>
      <c r="D313" t="inlineStr">
        <is>
          <t>UPPSALA LÄN</t>
        </is>
      </c>
      <c r="E313" t="inlineStr">
        <is>
          <t>ENKÖPING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36350-2025</t>
        </is>
      </c>
      <c r="B314" s="1" t="n">
        <v>45868</v>
      </c>
      <c r="C314" s="1" t="n">
        <v>45905</v>
      </c>
      <c r="D314" t="inlineStr">
        <is>
          <t>UPPSALA LÄN</t>
        </is>
      </c>
      <c r="E314" t="inlineStr">
        <is>
          <t>ENKÖPING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63402-2023</t>
        </is>
      </c>
      <c r="B315" s="1" t="n">
        <v>45274.50646990741</v>
      </c>
      <c r="C315" s="1" t="n">
        <v>45905</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36368-2025</t>
        </is>
      </c>
      <c r="B316" s="1" t="n">
        <v>45868</v>
      </c>
      <c r="C316" s="1" t="n">
        <v>45905</v>
      </c>
      <c r="D316" t="inlineStr">
        <is>
          <t>UPPSALA LÄN</t>
        </is>
      </c>
      <c r="E316" t="inlineStr">
        <is>
          <t>ENKÖPING</t>
        </is>
      </c>
      <c r="G316" t="n">
        <v>2.6</v>
      </c>
      <c r="H316" t="n">
        <v>0</v>
      </c>
      <c r="I316" t="n">
        <v>0</v>
      </c>
      <c r="J316" t="n">
        <v>0</v>
      </c>
      <c r="K316" t="n">
        <v>0</v>
      </c>
      <c r="L316" t="n">
        <v>0</v>
      </c>
      <c r="M316" t="n">
        <v>0</v>
      </c>
      <c r="N316" t="n">
        <v>0</v>
      </c>
      <c r="O316" t="n">
        <v>0</v>
      </c>
      <c r="P316" t="n">
        <v>0</v>
      </c>
      <c r="Q316" t="n">
        <v>0</v>
      </c>
      <c r="R316" s="2" t="inlineStr"/>
    </row>
    <row r="317" ht="15" customHeight="1">
      <c r="A317" t="inlineStr">
        <is>
          <t>A 53208-2023</t>
        </is>
      </c>
      <c r="B317" s="1" t="n">
        <v>45226</v>
      </c>
      <c r="C317" s="1" t="n">
        <v>45905</v>
      </c>
      <c r="D317" t="inlineStr">
        <is>
          <t>UPPSALA LÄN</t>
        </is>
      </c>
      <c r="E317" t="inlineStr">
        <is>
          <t>ENKÖPING</t>
        </is>
      </c>
      <c r="G317" t="n">
        <v>4.3</v>
      </c>
      <c r="H317" t="n">
        <v>0</v>
      </c>
      <c r="I317" t="n">
        <v>0</v>
      </c>
      <c r="J317" t="n">
        <v>0</v>
      </c>
      <c r="K317" t="n">
        <v>0</v>
      </c>
      <c r="L317" t="n">
        <v>0</v>
      </c>
      <c r="M317" t="n">
        <v>0</v>
      </c>
      <c r="N317" t="n">
        <v>0</v>
      </c>
      <c r="O317" t="n">
        <v>0</v>
      </c>
      <c r="P317" t="n">
        <v>0</v>
      </c>
      <c r="Q317" t="n">
        <v>0</v>
      </c>
      <c r="R317" s="2" t="inlineStr"/>
    </row>
    <row r="318" ht="15" customHeight="1">
      <c r="A318" t="inlineStr">
        <is>
          <t>A 36492-2025</t>
        </is>
      </c>
      <c r="B318" s="1" t="n">
        <v>45869</v>
      </c>
      <c r="C318" s="1" t="n">
        <v>45905</v>
      </c>
      <c r="D318" t="inlineStr">
        <is>
          <t>UPPSALA LÄN</t>
        </is>
      </c>
      <c r="E318" t="inlineStr">
        <is>
          <t>ENKÖPING</t>
        </is>
      </c>
      <c r="G318" t="n">
        <v>6.3</v>
      </c>
      <c r="H318" t="n">
        <v>0</v>
      </c>
      <c r="I318" t="n">
        <v>0</v>
      </c>
      <c r="J318" t="n">
        <v>0</v>
      </c>
      <c r="K318" t="n">
        <v>0</v>
      </c>
      <c r="L318" t="n">
        <v>0</v>
      </c>
      <c r="M318" t="n">
        <v>0</v>
      </c>
      <c r="N318" t="n">
        <v>0</v>
      </c>
      <c r="O318" t="n">
        <v>0</v>
      </c>
      <c r="P318" t="n">
        <v>0</v>
      </c>
      <c r="Q318" t="n">
        <v>0</v>
      </c>
      <c r="R318" s="2" t="inlineStr"/>
    </row>
    <row r="319" ht="15" customHeight="1">
      <c r="A319" t="inlineStr">
        <is>
          <t>A 55876-2024</t>
        </is>
      </c>
      <c r="B319" s="1" t="n">
        <v>45623.5546412037</v>
      </c>
      <c r="C319" s="1" t="n">
        <v>45905</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36599-2025</t>
        </is>
      </c>
      <c r="B320" s="1" t="n">
        <v>45870.51723379629</v>
      </c>
      <c r="C320" s="1" t="n">
        <v>45905</v>
      </c>
      <c r="D320" t="inlineStr">
        <is>
          <t>UPPSALA LÄN</t>
        </is>
      </c>
      <c r="E320" t="inlineStr">
        <is>
          <t>ENKÖPING</t>
        </is>
      </c>
      <c r="G320" t="n">
        <v>5.9</v>
      </c>
      <c r="H320" t="n">
        <v>0</v>
      </c>
      <c r="I320" t="n">
        <v>0</v>
      </c>
      <c r="J320" t="n">
        <v>0</v>
      </c>
      <c r="K320" t="n">
        <v>0</v>
      </c>
      <c r="L320" t="n">
        <v>0</v>
      </c>
      <c r="M320" t="n">
        <v>0</v>
      </c>
      <c r="N320" t="n">
        <v>0</v>
      </c>
      <c r="O320" t="n">
        <v>0</v>
      </c>
      <c r="P320" t="n">
        <v>0</v>
      </c>
      <c r="Q320" t="n">
        <v>0</v>
      </c>
      <c r="R320" s="2" t="inlineStr"/>
    </row>
    <row r="321" ht="15" customHeight="1">
      <c r="A321" t="inlineStr">
        <is>
          <t>A 25334-2023</t>
        </is>
      </c>
      <c r="B321" s="1" t="n">
        <v>45083</v>
      </c>
      <c r="C321" s="1" t="n">
        <v>45905</v>
      </c>
      <c r="D321" t="inlineStr">
        <is>
          <t>UPPSALA LÄN</t>
        </is>
      </c>
      <c r="E321" t="inlineStr">
        <is>
          <t>ENKÖPING</t>
        </is>
      </c>
      <c r="G321" t="n">
        <v>0.2</v>
      </c>
      <c r="H321" t="n">
        <v>0</v>
      </c>
      <c r="I321" t="n">
        <v>0</v>
      </c>
      <c r="J321" t="n">
        <v>0</v>
      </c>
      <c r="K321" t="n">
        <v>0</v>
      </c>
      <c r="L321" t="n">
        <v>0</v>
      </c>
      <c r="M321" t="n">
        <v>0</v>
      </c>
      <c r="N321" t="n">
        <v>0</v>
      </c>
      <c r="O321" t="n">
        <v>0</v>
      </c>
      <c r="P321" t="n">
        <v>0</v>
      </c>
      <c r="Q321" t="n">
        <v>0</v>
      </c>
      <c r="R321" s="2" t="inlineStr"/>
    </row>
    <row r="322" ht="15" customHeight="1">
      <c r="A322" t="inlineStr">
        <is>
          <t>A 33349-2024</t>
        </is>
      </c>
      <c r="B322" s="1" t="n">
        <v>45519</v>
      </c>
      <c r="C322" s="1" t="n">
        <v>45905</v>
      </c>
      <c r="D322" t="inlineStr">
        <is>
          <t>UPPSALA LÄN</t>
        </is>
      </c>
      <c r="E322" t="inlineStr">
        <is>
          <t>ENKÖPING</t>
        </is>
      </c>
      <c r="G322" t="n">
        <v>3.6</v>
      </c>
      <c r="H322" t="n">
        <v>0</v>
      </c>
      <c r="I322" t="n">
        <v>0</v>
      </c>
      <c r="J322" t="n">
        <v>0</v>
      </c>
      <c r="K322" t="n">
        <v>0</v>
      </c>
      <c r="L322" t="n">
        <v>0</v>
      </c>
      <c r="M322" t="n">
        <v>0</v>
      </c>
      <c r="N322" t="n">
        <v>0</v>
      </c>
      <c r="O322" t="n">
        <v>0</v>
      </c>
      <c r="P322" t="n">
        <v>0</v>
      </c>
      <c r="Q322" t="n">
        <v>0</v>
      </c>
      <c r="R322" s="2" t="inlineStr"/>
    </row>
    <row r="323" ht="15" customHeight="1">
      <c r="A323" t="inlineStr">
        <is>
          <t>A 30837-2025</t>
        </is>
      </c>
      <c r="B323" s="1" t="n">
        <v>45831.7063425926</v>
      </c>
      <c r="C323" s="1" t="n">
        <v>45905</v>
      </c>
      <c r="D323" t="inlineStr">
        <is>
          <t>UPPSALA LÄN</t>
        </is>
      </c>
      <c r="E323" t="inlineStr">
        <is>
          <t>ENKÖPING</t>
        </is>
      </c>
      <c r="G323" t="n">
        <v>3.8</v>
      </c>
      <c r="H323" t="n">
        <v>0</v>
      </c>
      <c r="I323" t="n">
        <v>0</v>
      </c>
      <c r="J323" t="n">
        <v>0</v>
      </c>
      <c r="K323" t="n">
        <v>0</v>
      </c>
      <c r="L323" t="n">
        <v>0</v>
      </c>
      <c r="M323" t="n">
        <v>0</v>
      </c>
      <c r="N323" t="n">
        <v>0</v>
      </c>
      <c r="O323" t="n">
        <v>0</v>
      </c>
      <c r="P323" t="n">
        <v>0</v>
      </c>
      <c r="Q323" t="n">
        <v>0</v>
      </c>
      <c r="R323" s="2" t="inlineStr"/>
    </row>
    <row r="324" ht="15" customHeight="1">
      <c r="A324" t="inlineStr">
        <is>
          <t>A 18259-2025</t>
        </is>
      </c>
      <c r="B324" s="1" t="n">
        <v>45762</v>
      </c>
      <c r="C324" s="1" t="n">
        <v>45905</v>
      </c>
      <c r="D324" t="inlineStr">
        <is>
          <t>UPPSALA LÄN</t>
        </is>
      </c>
      <c r="E324" t="inlineStr">
        <is>
          <t>ENKÖPING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53587-2024</t>
        </is>
      </c>
      <c r="B325" s="1" t="n">
        <v>45614.66953703704</v>
      </c>
      <c r="C325" s="1" t="n">
        <v>45905</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62158-2023</t>
        </is>
      </c>
      <c r="B326" s="1" t="n">
        <v>45267</v>
      </c>
      <c r="C326" s="1" t="n">
        <v>45905</v>
      </c>
      <c r="D326" t="inlineStr">
        <is>
          <t>UPPSALA LÄN</t>
        </is>
      </c>
      <c r="E326" t="inlineStr">
        <is>
          <t>ENKÖPING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60874-2023</t>
        </is>
      </c>
      <c r="B327" s="1" t="n">
        <v>45261.06280092592</v>
      </c>
      <c r="C327" s="1" t="n">
        <v>45905</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18583-2021</t>
        </is>
      </c>
      <c r="B328" s="1" t="n">
        <v>44306</v>
      </c>
      <c r="C328" s="1" t="n">
        <v>45905</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60125-2024</t>
        </is>
      </c>
      <c r="B329" s="1" t="n">
        <v>45642</v>
      </c>
      <c r="C329" s="1" t="n">
        <v>45905</v>
      </c>
      <c r="D329" t="inlineStr">
        <is>
          <t>UPPSALA LÄN</t>
        </is>
      </c>
      <c r="E329" t="inlineStr">
        <is>
          <t>ENKÖPING</t>
        </is>
      </c>
      <c r="G329" t="n">
        <v>2.1</v>
      </c>
      <c r="H329" t="n">
        <v>0</v>
      </c>
      <c r="I329" t="n">
        <v>0</v>
      </c>
      <c r="J329" t="n">
        <v>0</v>
      </c>
      <c r="K329" t="n">
        <v>0</v>
      </c>
      <c r="L329" t="n">
        <v>0</v>
      </c>
      <c r="M329" t="n">
        <v>0</v>
      </c>
      <c r="N329" t="n">
        <v>0</v>
      </c>
      <c r="O329" t="n">
        <v>0</v>
      </c>
      <c r="P329" t="n">
        <v>0</v>
      </c>
      <c r="Q329" t="n">
        <v>0</v>
      </c>
      <c r="R329" s="2" t="inlineStr"/>
    </row>
    <row r="330" ht="15" customHeight="1">
      <c r="A330" t="inlineStr">
        <is>
          <t>A 3550-2023</t>
        </is>
      </c>
      <c r="B330" s="1" t="n">
        <v>44950</v>
      </c>
      <c r="C330" s="1" t="n">
        <v>45905</v>
      </c>
      <c r="D330" t="inlineStr">
        <is>
          <t>UPPSALA LÄN</t>
        </is>
      </c>
      <c r="E330" t="inlineStr">
        <is>
          <t>ENKÖPING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1695-2025</t>
        </is>
      </c>
      <c r="B331" s="1" t="n">
        <v>45670</v>
      </c>
      <c r="C331" s="1" t="n">
        <v>45905</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59027-2024</t>
        </is>
      </c>
      <c r="B332" s="1" t="n">
        <v>45636.68755787037</v>
      </c>
      <c r="C332" s="1" t="n">
        <v>45905</v>
      </c>
      <c r="D332" t="inlineStr">
        <is>
          <t>UPPSALA LÄN</t>
        </is>
      </c>
      <c r="E332" t="inlineStr">
        <is>
          <t>ENKÖPING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32477-2025</t>
        </is>
      </c>
      <c r="B333" s="1" t="n">
        <v>45838.43098379629</v>
      </c>
      <c r="C333" s="1" t="n">
        <v>45905</v>
      </c>
      <c r="D333" t="inlineStr">
        <is>
          <t>UPPSALA LÄN</t>
        </is>
      </c>
      <c r="E333" t="inlineStr">
        <is>
          <t>ENKÖPING</t>
        </is>
      </c>
      <c r="G333" t="n">
        <v>2.7</v>
      </c>
      <c r="H333" t="n">
        <v>0</v>
      </c>
      <c r="I333" t="n">
        <v>0</v>
      </c>
      <c r="J333" t="n">
        <v>0</v>
      </c>
      <c r="K333" t="n">
        <v>0</v>
      </c>
      <c r="L333" t="n">
        <v>0</v>
      </c>
      <c r="M333" t="n">
        <v>0</v>
      </c>
      <c r="N333" t="n">
        <v>0</v>
      </c>
      <c r="O333" t="n">
        <v>0</v>
      </c>
      <c r="P333" t="n">
        <v>0</v>
      </c>
      <c r="Q333" t="n">
        <v>0</v>
      </c>
      <c r="R333" s="2" t="inlineStr"/>
    </row>
    <row r="334" ht="15" customHeight="1">
      <c r="A334" t="inlineStr">
        <is>
          <t>A 42564-2024</t>
        </is>
      </c>
      <c r="B334" s="1" t="n">
        <v>45565.63358796296</v>
      </c>
      <c r="C334" s="1" t="n">
        <v>45905</v>
      </c>
      <c r="D334" t="inlineStr">
        <is>
          <t>UPPSALA LÄN</t>
        </is>
      </c>
      <c r="E334" t="inlineStr">
        <is>
          <t>ENKÖPING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32031-2025</t>
        </is>
      </c>
      <c r="B335" s="1" t="n">
        <v>45835.41712962963</v>
      </c>
      <c r="C335" s="1" t="n">
        <v>45905</v>
      </c>
      <c r="D335" t="inlineStr">
        <is>
          <t>UPPSALA LÄN</t>
        </is>
      </c>
      <c r="E335" t="inlineStr">
        <is>
          <t>ENKÖPING</t>
        </is>
      </c>
      <c r="G335" t="n">
        <v>2.7</v>
      </c>
      <c r="H335" t="n">
        <v>0</v>
      </c>
      <c r="I335" t="n">
        <v>0</v>
      </c>
      <c r="J335" t="n">
        <v>0</v>
      </c>
      <c r="K335" t="n">
        <v>0</v>
      </c>
      <c r="L335" t="n">
        <v>0</v>
      </c>
      <c r="M335" t="n">
        <v>0</v>
      </c>
      <c r="N335" t="n">
        <v>0</v>
      </c>
      <c r="O335" t="n">
        <v>0</v>
      </c>
      <c r="P335" t="n">
        <v>0</v>
      </c>
      <c r="Q335" t="n">
        <v>0</v>
      </c>
      <c r="R335" s="2" t="inlineStr"/>
    </row>
    <row r="336" ht="15" customHeight="1">
      <c r="A336" t="inlineStr">
        <is>
          <t>A 32111-2025</t>
        </is>
      </c>
      <c r="B336" s="1" t="n">
        <v>45835</v>
      </c>
      <c r="C336" s="1" t="n">
        <v>45905</v>
      </c>
      <c r="D336" t="inlineStr">
        <is>
          <t>UPPSALA LÄN</t>
        </is>
      </c>
      <c r="E336" t="inlineStr">
        <is>
          <t>ENKÖPING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3235-2025</t>
        </is>
      </c>
      <c r="B337" s="1" t="n">
        <v>45679</v>
      </c>
      <c r="C337" s="1" t="n">
        <v>45905</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15711-2025</t>
        </is>
      </c>
      <c r="B338" s="1" t="n">
        <v>45748</v>
      </c>
      <c r="C338" s="1" t="n">
        <v>45905</v>
      </c>
      <c r="D338" t="inlineStr">
        <is>
          <t>UPPSALA LÄN</t>
        </is>
      </c>
      <c r="E338" t="inlineStr">
        <is>
          <t>ENKÖPING</t>
        </is>
      </c>
      <c r="G338" t="n">
        <v>1.3</v>
      </c>
      <c r="H338" t="n">
        <v>0</v>
      </c>
      <c r="I338" t="n">
        <v>0</v>
      </c>
      <c r="J338" t="n">
        <v>0</v>
      </c>
      <c r="K338" t="n">
        <v>0</v>
      </c>
      <c r="L338" t="n">
        <v>0</v>
      </c>
      <c r="M338" t="n">
        <v>0</v>
      </c>
      <c r="N338" t="n">
        <v>0</v>
      </c>
      <c r="O338" t="n">
        <v>0</v>
      </c>
      <c r="P338" t="n">
        <v>0</v>
      </c>
      <c r="Q338" t="n">
        <v>0</v>
      </c>
      <c r="R338" s="2" t="inlineStr"/>
    </row>
    <row r="339" ht="15" customHeight="1">
      <c r="A339" t="inlineStr">
        <is>
          <t>A 4562-2025</t>
        </is>
      </c>
      <c r="B339" s="1" t="n">
        <v>45687</v>
      </c>
      <c r="C339" s="1" t="n">
        <v>45905</v>
      </c>
      <c r="D339" t="inlineStr">
        <is>
          <t>UPPSALA LÄN</t>
        </is>
      </c>
      <c r="E339" t="inlineStr">
        <is>
          <t>ENKÖPING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6959-2025</t>
        </is>
      </c>
      <c r="B340" s="1" t="n">
        <v>45701.49315972222</v>
      </c>
      <c r="C340" s="1" t="n">
        <v>45905</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67765-2020</t>
        </is>
      </c>
      <c r="B341" s="1" t="n">
        <v>44182</v>
      </c>
      <c r="C341" s="1" t="n">
        <v>45905</v>
      </c>
      <c r="D341" t="inlineStr">
        <is>
          <t>UPPSALA LÄN</t>
        </is>
      </c>
      <c r="E341" t="inlineStr">
        <is>
          <t>ENKÖPING</t>
        </is>
      </c>
      <c r="G341" t="n">
        <v>3.6</v>
      </c>
      <c r="H341" t="n">
        <v>0</v>
      </c>
      <c r="I341" t="n">
        <v>0</v>
      </c>
      <c r="J341" t="n">
        <v>0</v>
      </c>
      <c r="K341" t="n">
        <v>0</v>
      </c>
      <c r="L341" t="n">
        <v>0</v>
      </c>
      <c r="M341" t="n">
        <v>0</v>
      </c>
      <c r="N341" t="n">
        <v>0</v>
      </c>
      <c r="O341" t="n">
        <v>0</v>
      </c>
      <c r="P341" t="n">
        <v>0</v>
      </c>
      <c r="Q341" t="n">
        <v>0</v>
      </c>
      <c r="R341" s="2" t="inlineStr"/>
    </row>
    <row r="342" ht="15" customHeight="1">
      <c r="A342" t="inlineStr">
        <is>
          <t>A 17165-2025</t>
        </is>
      </c>
      <c r="B342" s="1" t="n">
        <v>45756</v>
      </c>
      <c r="C342" s="1" t="n">
        <v>45905</v>
      </c>
      <c r="D342" t="inlineStr">
        <is>
          <t>UPPSALA LÄN</t>
        </is>
      </c>
      <c r="E342" t="inlineStr">
        <is>
          <t>ENKÖPING</t>
        </is>
      </c>
      <c r="G342" t="n">
        <v>0.9</v>
      </c>
      <c r="H342" t="n">
        <v>0</v>
      </c>
      <c r="I342" t="n">
        <v>0</v>
      </c>
      <c r="J342" t="n">
        <v>0</v>
      </c>
      <c r="K342" t="n">
        <v>0</v>
      </c>
      <c r="L342" t="n">
        <v>0</v>
      </c>
      <c r="M342" t="n">
        <v>0</v>
      </c>
      <c r="N342" t="n">
        <v>0</v>
      </c>
      <c r="O342" t="n">
        <v>0</v>
      </c>
      <c r="P342" t="n">
        <v>0</v>
      </c>
      <c r="Q342" t="n">
        <v>0</v>
      </c>
      <c r="R342" s="2" t="inlineStr"/>
    </row>
    <row r="343" ht="15" customHeight="1">
      <c r="A343" t="inlineStr">
        <is>
          <t>A 26292-2022</t>
        </is>
      </c>
      <c r="B343" s="1" t="n">
        <v>44735</v>
      </c>
      <c r="C343" s="1" t="n">
        <v>45905</v>
      </c>
      <c r="D343" t="inlineStr">
        <is>
          <t>UPPSALA LÄN</t>
        </is>
      </c>
      <c r="E343" t="inlineStr">
        <is>
          <t>ENKÖPING</t>
        </is>
      </c>
      <c r="F343" t="inlineStr">
        <is>
          <t>Kyrkan</t>
        </is>
      </c>
      <c r="G343" t="n">
        <v>4.6</v>
      </c>
      <c r="H343" t="n">
        <v>0</v>
      </c>
      <c r="I343" t="n">
        <v>0</v>
      </c>
      <c r="J343" t="n">
        <v>0</v>
      </c>
      <c r="K343" t="n">
        <v>0</v>
      </c>
      <c r="L343" t="n">
        <v>0</v>
      </c>
      <c r="M343" t="n">
        <v>0</v>
      </c>
      <c r="N343" t="n">
        <v>0</v>
      </c>
      <c r="O343" t="n">
        <v>0</v>
      </c>
      <c r="P343" t="n">
        <v>0</v>
      </c>
      <c r="Q343" t="n">
        <v>0</v>
      </c>
      <c r="R343" s="2" t="inlineStr"/>
    </row>
    <row r="344" ht="15" customHeight="1">
      <c r="A344" t="inlineStr">
        <is>
          <t>A 61207-2023</t>
        </is>
      </c>
      <c r="B344" s="1" t="n">
        <v>45264.39444444444</v>
      </c>
      <c r="C344" s="1" t="n">
        <v>45905</v>
      </c>
      <c r="D344" t="inlineStr">
        <is>
          <t>UPPSALA LÄN</t>
        </is>
      </c>
      <c r="E344" t="inlineStr">
        <is>
          <t>ENKÖPING</t>
        </is>
      </c>
      <c r="G344" t="n">
        <v>10.8</v>
      </c>
      <c r="H344" t="n">
        <v>0</v>
      </c>
      <c r="I344" t="n">
        <v>0</v>
      </c>
      <c r="J344" t="n">
        <v>0</v>
      </c>
      <c r="K344" t="n">
        <v>0</v>
      </c>
      <c r="L344" t="n">
        <v>0</v>
      </c>
      <c r="M344" t="n">
        <v>0</v>
      </c>
      <c r="N344" t="n">
        <v>0</v>
      </c>
      <c r="O344" t="n">
        <v>0</v>
      </c>
      <c r="P344" t="n">
        <v>0</v>
      </c>
      <c r="Q344" t="n">
        <v>0</v>
      </c>
      <c r="R344" s="2" t="inlineStr"/>
    </row>
    <row r="345" ht="15" customHeight="1">
      <c r="A345" t="inlineStr">
        <is>
          <t>A 15740-2025</t>
        </is>
      </c>
      <c r="B345" s="1" t="n">
        <v>45748</v>
      </c>
      <c r="C345" s="1" t="n">
        <v>45905</v>
      </c>
      <c r="D345" t="inlineStr">
        <is>
          <t>UPPSALA LÄN</t>
        </is>
      </c>
      <c r="E345" t="inlineStr">
        <is>
          <t>ENKÖPING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52299-2023</t>
        </is>
      </c>
      <c r="B346" s="1" t="n">
        <v>45224.61636574074</v>
      </c>
      <c r="C346" s="1" t="n">
        <v>45905</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25598-2021</t>
        </is>
      </c>
      <c r="B347" s="1" t="n">
        <v>44343.4558912037</v>
      </c>
      <c r="C347" s="1" t="n">
        <v>45905</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840-2025</t>
        </is>
      </c>
      <c r="B348" s="1" t="n">
        <v>45665</v>
      </c>
      <c r="C348" s="1" t="n">
        <v>45905</v>
      </c>
      <c r="D348" t="inlineStr">
        <is>
          <t>UPPSALA LÄN</t>
        </is>
      </c>
      <c r="E348" t="inlineStr">
        <is>
          <t>ENKÖPING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32081-2024</t>
        </is>
      </c>
      <c r="B349" s="1" t="n">
        <v>45511.34605324074</v>
      </c>
      <c r="C349" s="1" t="n">
        <v>45905</v>
      </c>
      <c r="D349" t="inlineStr">
        <is>
          <t>UPPSALA LÄN</t>
        </is>
      </c>
      <c r="E349" t="inlineStr">
        <is>
          <t>ENKÖPING</t>
        </is>
      </c>
      <c r="G349" t="n">
        <v>5.4</v>
      </c>
      <c r="H349" t="n">
        <v>0</v>
      </c>
      <c r="I349" t="n">
        <v>0</v>
      </c>
      <c r="J349" t="n">
        <v>0</v>
      </c>
      <c r="K349" t="n">
        <v>0</v>
      </c>
      <c r="L349" t="n">
        <v>0</v>
      </c>
      <c r="M349" t="n">
        <v>0</v>
      </c>
      <c r="N349" t="n">
        <v>0</v>
      </c>
      <c r="O349" t="n">
        <v>0</v>
      </c>
      <c r="P349" t="n">
        <v>0</v>
      </c>
      <c r="Q349" t="n">
        <v>0</v>
      </c>
      <c r="R349" s="2" t="inlineStr"/>
    </row>
    <row r="350" ht="15" customHeight="1">
      <c r="A350" t="inlineStr">
        <is>
          <t>A 10458-2022</t>
        </is>
      </c>
      <c r="B350" s="1" t="n">
        <v>44623.56711805556</v>
      </c>
      <c r="C350" s="1" t="n">
        <v>45905</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45142-2023</t>
        </is>
      </c>
      <c r="B351" s="1" t="n">
        <v>45191.4702662037</v>
      </c>
      <c r="C351" s="1" t="n">
        <v>45905</v>
      </c>
      <c r="D351" t="inlineStr">
        <is>
          <t>UPPSALA LÄN</t>
        </is>
      </c>
      <c r="E351" t="inlineStr">
        <is>
          <t>ENKÖPING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57848-2024</t>
        </is>
      </c>
      <c r="B352" s="1" t="n">
        <v>45631.40947916666</v>
      </c>
      <c r="C352" s="1" t="n">
        <v>45905</v>
      </c>
      <c r="D352" t="inlineStr">
        <is>
          <t>UPPSALA LÄN</t>
        </is>
      </c>
      <c r="E352" t="inlineStr">
        <is>
          <t>ENKÖPING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57998-2024</t>
        </is>
      </c>
      <c r="B353" s="1" t="n">
        <v>45631</v>
      </c>
      <c r="C353" s="1" t="n">
        <v>45905</v>
      </c>
      <c r="D353" t="inlineStr">
        <is>
          <t>UPPSALA LÄN</t>
        </is>
      </c>
      <c r="E353" t="inlineStr">
        <is>
          <t>ENKÖPING</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17029-2025</t>
        </is>
      </c>
      <c r="B354" s="1" t="n">
        <v>45755.57291666666</v>
      </c>
      <c r="C354" s="1" t="n">
        <v>45905</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14332-2024</t>
        </is>
      </c>
      <c r="B355" s="1" t="n">
        <v>45393</v>
      </c>
      <c r="C355" s="1" t="n">
        <v>45905</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18831-2023</t>
        </is>
      </c>
      <c r="B356" s="1" t="n">
        <v>45044.40798611111</v>
      </c>
      <c r="C356" s="1" t="n">
        <v>45905</v>
      </c>
      <c r="D356" t="inlineStr">
        <is>
          <t>UPPSALA LÄN</t>
        </is>
      </c>
      <c r="E356" t="inlineStr">
        <is>
          <t>ENKÖPING</t>
        </is>
      </c>
      <c r="G356" t="n">
        <v>4.3</v>
      </c>
      <c r="H356" t="n">
        <v>0</v>
      </c>
      <c r="I356" t="n">
        <v>0</v>
      </c>
      <c r="J356" t="n">
        <v>0</v>
      </c>
      <c r="K356" t="n">
        <v>0</v>
      </c>
      <c r="L356" t="n">
        <v>0</v>
      </c>
      <c r="M356" t="n">
        <v>0</v>
      </c>
      <c r="N356" t="n">
        <v>0</v>
      </c>
      <c r="O356" t="n">
        <v>0</v>
      </c>
      <c r="P356" t="n">
        <v>0</v>
      </c>
      <c r="Q356" t="n">
        <v>0</v>
      </c>
      <c r="R356" s="2" t="inlineStr"/>
    </row>
    <row r="357" ht="15" customHeight="1">
      <c r="A357" t="inlineStr">
        <is>
          <t>A 18994-2025</t>
        </is>
      </c>
      <c r="B357" s="1" t="n">
        <v>45764.57350694444</v>
      </c>
      <c r="C357" s="1" t="n">
        <v>45905</v>
      </c>
      <c r="D357" t="inlineStr">
        <is>
          <t>UPPSALA LÄN</t>
        </is>
      </c>
      <c r="E357" t="inlineStr">
        <is>
          <t>ENKÖPING</t>
        </is>
      </c>
      <c r="G357" t="n">
        <v>3.8</v>
      </c>
      <c r="H357" t="n">
        <v>0</v>
      </c>
      <c r="I357" t="n">
        <v>0</v>
      </c>
      <c r="J357" t="n">
        <v>0</v>
      </c>
      <c r="K357" t="n">
        <v>0</v>
      </c>
      <c r="L357" t="n">
        <v>0</v>
      </c>
      <c r="M357" t="n">
        <v>0</v>
      </c>
      <c r="N357" t="n">
        <v>0</v>
      </c>
      <c r="O357" t="n">
        <v>0</v>
      </c>
      <c r="P357" t="n">
        <v>0</v>
      </c>
      <c r="Q357" t="n">
        <v>0</v>
      </c>
      <c r="R357" s="2" t="inlineStr"/>
    </row>
    <row r="358" ht="15" customHeight="1">
      <c r="A358" t="inlineStr">
        <is>
          <t>A 49601-2024</t>
        </is>
      </c>
      <c r="B358" s="1" t="n">
        <v>45596.56288194445</v>
      </c>
      <c r="C358" s="1" t="n">
        <v>45905</v>
      </c>
      <c r="D358" t="inlineStr">
        <is>
          <t>UPPSALA LÄN</t>
        </is>
      </c>
      <c r="E358" t="inlineStr">
        <is>
          <t>ENKÖPING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20184-2023</t>
        </is>
      </c>
      <c r="B359" s="1" t="n">
        <v>45055.5670949074</v>
      </c>
      <c r="C359" s="1" t="n">
        <v>45905</v>
      </c>
      <c r="D359" t="inlineStr">
        <is>
          <t>UPPSALA LÄN</t>
        </is>
      </c>
      <c r="E359" t="inlineStr">
        <is>
          <t>ENKÖPING</t>
        </is>
      </c>
      <c r="G359" t="n">
        <v>3.2</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45905</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37296-2025</t>
        </is>
      </c>
      <c r="B361" s="1" t="n">
        <v>45876</v>
      </c>
      <c r="C361" s="1" t="n">
        <v>45905</v>
      </c>
      <c r="D361" t="inlineStr">
        <is>
          <t>UPPSALA LÄN</t>
        </is>
      </c>
      <c r="E361" t="inlineStr">
        <is>
          <t>ENKÖPING</t>
        </is>
      </c>
      <c r="G361" t="n">
        <v>9.5</v>
      </c>
      <c r="H361" t="n">
        <v>0</v>
      </c>
      <c r="I361" t="n">
        <v>0</v>
      </c>
      <c r="J361" t="n">
        <v>0</v>
      </c>
      <c r="K361" t="n">
        <v>0</v>
      </c>
      <c r="L361" t="n">
        <v>0</v>
      </c>
      <c r="M361" t="n">
        <v>0</v>
      </c>
      <c r="N361" t="n">
        <v>0</v>
      </c>
      <c r="O361" t="n">
        <v>0</v>
      </c>
      <c r="P361" t="n">
        <v>0</v>
      </c>
      <c r="Q361" t="n">
        <v>0</v>
      </c>
      <c r="R361" s="2" t="inlineStr"/>
    </row>
    <row r="362" ht="15" customHeight="1">
      <c r="A362" t="inlineStr">
        <is>
          <t>A 37319-2025</t>
        </is>
      </c>
      <c r="B362" s="1" t="n">
        <v>45876</v>
      </c>
      <c r="C362" s="1" t="n">
        <v>45905</v>
      </c>
      <c r="D362" t="inlineStr">
        <is>
          <t>UPPSALA LÄN</t>
        </is>
      </c>
      <c r="E362" t="inlineStr">
        <is>
          <t>ENKÖPING</t>
        </is>
      </c>
      <c r="G362" t="n">
        <v>9.5</v>
      </c>
      <c r="H362" t="n">
        <v>0</v>
      </c>
      <c r="I362" t="n">
        <v>0</v>
      </c>
      <c r="J362" t="n">
        <v>0</v>
      </c>
      <c r="K362" t="n">
        <v>0</v>
      </c>
      <c r="L362" t="n">
        <v>0</v>
      </c>
      <c r="M362" t="n">
        <v>0</v>
      </c>
      <c r="N362" t="n">
        <v>0</v>
      </c>
      <c r="O362" t="n">
        <v>0</v>
      </c>
      <c r="P362" t="n">
        <v>0</v>
      </c>
      <c r="Q362" t="n">
        <v>0</v>
      </c>
      <c r="R362" s="2" t="inlineStr"/>
    </row>
    <row r="363" ht="15" customHeight="1">
      <c r="A363" t="inlineStr">
        <is>
          <t>A 37498-2025</t>
        </is>
      </c>
      <c r="B363" s="1" t="n">
        <v>45877</v>
      </c>
      <c r="C363" s="1" t="n">
        <v>45905</v>
      </c>
      <c r="D363" t="inlineStr">
        <is>
          <t>UPPSALA LÄN</t>
        </is>
      </c>
      <c r="E363" t="inlineStr">
        <is>
          <t>ENKÖPING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39439-2025</t>
        </is>
      </c>
      <c r="B364" s="1" t="n">
        <v>45889</v>
      </c>
      <c r="C364" s="1" t="n">
        <v>45905</v>
      </c>
      <c r="D364" t="inlineStr">
        <is>
          <t>UPPSALA LÄN</t>
        </is>
      </c>
      <c r="E364" t="inlineStr">
        <is>
          <t>ENKÖPING</t>
        </is>
      </c>
      <c r="G364" t="n">
        <v>0.4</v>
      </c>
      <c r="H364" t="n">
        <v>0</v>
      </c>
      <c r="I364" t="n">
        <v>0</v>
      </c>
      <c r="J364" t="n">
        <v>0</v>
      </c>
      <c r="K364" t="n">
        <v>0</v>
      </c>
      <c r="L364" t="n">
        <v>0</v>
      </c>
      <c r="M364" t="n">
        <v>0</v>
      </c>
      <c r="N364" t="n">
        <v>0</v>
      </c>
      <c r="O364" t="n">
        <v>0</v>
      </c>
      <c r="P364" t="n">
        <v>0</v>
      </c>
      <c r="Q364" t="n">
        <v>0</v>
      </c>
      <c r="R364" s="2" t="inlineStr"/>
    </row>
    <row r="365" ht="15" customHeight="1">
      <c r="A365" t="inlineStr">
        <is>
          <t>A 34990-2025</t>
        </is>
      </c>
      <c r="B365" s="1" t="n">
        <v>45849.78916666667</v>
      </c>
      <c r="C365" s="1" t="n">
        <v>45905</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59602-2022</t>
        </is>
      </c>
      <c r="B366" s="1" t="n">
        <v>44907.72241898148</v>
      </c>
      <c r="C366" s="1" t="n">
        <v>45905</v>
      </c>
      <c r="D366" t="inlineStr">
        <is>
          <t>UPPSALA LÄN</t>
        </is>
      </c>
      <c r="E366" t="inlineStr">
        <is>
          <t>ENKÖPING</t>
        </is>
      </c>
      <c r="G366" t="n">
        <v>14.2</v>
      </c>
      <c r="H366" t="n">
        <v>0</v>
      </c>
      <c r="I366" t="n">
        <v>0</v>
      </c>
      <c r="J366" t="n">
        <v>0</v>
      </c>
      <c r="K366" t="n">
        <v>0</v>
      </c>
      <c r="L366" t="n">
        <v>0</v>
      </c>
      <c r="M366" t="n">
        <v>0</v>
      </c>
      <c r="N366" t="n">
        <v>0</v>
      </c>
      <c r="O366" t="n">
        <v>0</v>
      </c>
      <c r="P366" t="n">
        <v>0</v>
      </c>
      <c r="Q366" t="n">
        <v>0</v>
      </c>
      <c r="R366" s="2" t="inlineStr"/>
    </row>
    <row r="367" ht="15" customHeight="1">
      <c r="A367" t="inlineStr">
        <is>
          <t>A 42589-2022</t>
        </is>
      </c>
      <c r="B367" s="1" t="n">
        <v>44831</v>
      </c>
      <c r="C367" s="1" t="n">
        <v>45905</v>
      </c>
      <c r="D367" t="inlineStr">
        <is>
          <t>UPPSALA LÄN</t>
        </is>
      </c>
      <c r="E367" t="inlineStr">
        <is>
          <t>ENKÖPING</t>
        </is>
      </c>
      <c r="G367" t="n">
        <v>20</v>
      </c>
      <c r="H367" t="n">
        <v>0</v>
      </c>
      <c r="I367" t="n">
        <v>0</v>
      </c>
      <c r="J367" t="n">
        <v>0</v>
      </c>
      <c r="K367" t="n">
        <v>0</v>
      </c>
      <c r="L367" t="n">
        <v>0</v>
      </c>
      <c r="M367" t="n">
        <v>0</v>
      </c>
      <c r="N367" t="n">
        <v>0</v>
      </c>
      <c r="O367" t="n">
        <v>0</v>
      </c>
      <c r="P367" t="n">
        <v>0</v>
      </c>
      <c r="Q367" t="n">
        <v>0</v>
      </c>
      <c r="R367" s="2" t="inlineStr"/>
    </row>
    <row r="368" ht="15" customHeight="1">
      <c r="A368" t="inlineStr">
        <is>
          <t>A 35645-2021</t>
        </is>
      </c>
      <c r="B368" s="1" t="n">
        <v>44386.42</v>
      </c>
      <c r="C368" s="1" t="n">
        <v>45905</v>
      </c>
      <c r="D368" t="inlineStr">
        <is>
          <t>UPPSALA LÄN</t>
        </is>
      </c>
      <c r="E368" t="inlineStr">
        <is>
          <t>ENKÖPING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33581-2023</t>
        </is>
      </c>
      <c r="B369" s="1" t="n">
        <v>45131</v>
      </c>
      <c r="C369" s="1" t="n">
        <v>45905</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2968-2025</t>
        </is>
      </c>
      <c r="B370" s="1" t="n">
        <v>45678</v>
      </c>
      <c r="C370" s="1" t="n">
        <v>45905</v>
      </c>
      <c r="D370" t="inlineStr">
        <is>
          <t>UPPSALA LÄN</t>
        </is>
      </c>
      <c r="E370" t="inlineStr">
        <is>
          <t>ENKÖPING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17844-2025</t>
        </is>
      </c>
      <c r="B371" s="1" t="n">
        <v>45758.59920138889</v>
      </c>
      <c r="C371" s="1" t="n">
        <v>45905</v>
      </c>
      <c r="D371" t="inlineStr">
        <is>
          <t>UPPSALA LÄN</t>
        </is>
      </c>
      <c r="E371" t="inlineStr">
        <is>
          <t>ENKÖPING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58896-2020</t>
        </is>
      </c>
      <c r="B372" s="1" t="n">
        <v>44146</v>
      </c>
      <c r="C372" s="1" t="n">
        <v>45905</v>
      </c>
      <c r="D372" t="inlineStr">
        <is>
          <t>UPPSALA LÄN</t>
        </is>
      </c>
      <c r="E372" t="inlineStr">
        <is>
          <t>ENKÖPING</t>
        </is>
      </c>
      <c r="G372" t="n">
        <v>2.5</v>
      </c>
      <c r="H372" t="n">
        <v>0</v>
      </c>
      <c r="I372" t="n">
        <v>0</v>
      </c>
      <c r="J372" t="n">
        <v>0</v>
      </c>
      <c r="K372" t="n">
        <v>0</v>
      </c>
      <c r="L372" t="n">
        <v>0</v>
      </c>
      <c r="M372" t="n">
        <v>0</v>
      </c>
      <c r="N372" t="n">
        <v>0</v>
      </c>
      <c r="O372" t="n">
        <v>0</v>
      </c>
      <c r="P372" t="n">
        <v>0</v>
      </c>
      <c r="Q372" t="n">
        <v>0</v>
      </c>
      <c r="R372" s="2" t="inlineStr"/>
    </row>
    <row r="373" ht="15" customHeight="1">
      <c r="A373" t="inlineStr">
        <is>
          <t>A 37115-2024</t>
        </is>
      </c>
      <c r="B373" s="1" t="n">
        <v>45539</v>
      </c>
      <c r="C373" s="1" t="n">
        <v>45905</v>
      </c>
      <c r="D373" t="inlineStr">
        <is>
          <t>UPPSALA LÄN</t>
        </is>
      </c>
      <c r="E373" t="inlineStr">
        <is>
          <t>ENKÖPING</t>
        </is>
      </c>
      <c r="G373" t="n">
        <v>1.8</v>
      </c>
      <c r="H373" t="n">
        <v>0</v>
      </c>
      <c r="I373" t="n">
        <v>0</v>
      </c>
      <c r="J373" t="n">
        <v>0</v>
      </c>
      <c r="K373" t="n">
        <v>0</v>
      </c>
      <c r="L373" t="n">
        <v>0</v>
      </c>
      <c r="M373" t="n">
        <v>0</v>
      </c>
      <c r="N373" t="n">
        <v>0</v>
      </c>
      <c r="O373" t="n">
        <v>0</v>
      </c>
      <c r="P373" t="n">
        <v>0</v>
      </c>
      <c r="Q373" t="n">
        <v>0</v>
      </c>
      <c r="R373" s="2" t="inlineStr"/>
    </row>
    <row r="374" ht="15" customHeight="1">
      <c r="A374" t="inlineStr">
        <is>
          <t>A 9487-2025</t>
        </is>
      </c>
      <c r="B374" s="1" t="n">
        <v>45715.49331018519</v>
      </c>
      <c r="C374" s="1" t="n">
        <v>45905</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16176-2025</t>
        </is>
      </c>
      <c r="B375" s="1" t="n">
        <v>45750</v>
      </c>
      <c r="C375" s="1" t="n">
        <v>45905</v>
      </c>
      <c r="D375" t="inlineStr">
        <is>
          <t>UPPSALA LÄN</t>
        </is>
      </c>
      <c r="E375" t="inlineStr">
        <is>
          <t>ENKÖPING</t>
        </is>
      </c>
      <c r="G375" t="n">
        <v>3.9</v>
      </c>
      <c r="H375" t="n">
        <v>0</v>
      </c>
      <c r="I375" t="n">
        <v>0</v>
      </c>
      <c r="J375" t="n">
        <v>0</v>
      </c>
      <c r="K375" t="n">
        <v>0</v>
      </c>
      <c r="L375" t="n">
        <v>0</v>
      </c>
      <c r="M375" t="n">
        <v>0</v>
      </c>
      <c r="N375" t="n">
        <v>0</v>
      </c>
      <c r="O375" t="n">
        <v>0</v>
      </c>
      <c r="P375" t="n">
        <v>0</v>
      </c>
      <c r="Q375" t="n">
        <v>0</v>
      </c>
      <c r="R375" s="2" t="inlineStr"/>
    </row>
    <row r="376" ht="15" customHeight="1">
      <c r="A376" t="inlineStr">
        <is>
          <t>A 27837-2025</t>
        </is>
      </c>
      <c r="B376" s="1" t="n">
        <v>45817.37207175926</v>
      </c>
      <c r="C376" s="1" t="n">
        <v>45905</v>
      </c>
      <c r="D376" t="inlineStr">
        <is>
          <t>UPPSALA LÄN</t>
        </is>
      </c>
      <c r="E376" t="inlineStr">
        <is>
          <t>ENKÖPING</t>
        </is>
      </c>
      <c r="G376" t="n">
        <v>7.3</v>
      </c>
      <c r="H376" t="n">
        <v>0</v>
      </c>
      <c r="I376" t="n">
        <v>0</v>
      </c>
      <c r="J376" t="n">
        <v>0</v>
      </c>
      <c r="K376" t="n">
        <v>0</v>
      </c>
      <c r="L376" t="n">
        <v>0</v>
      </c>
      <c r="M376" t="n">
        <v>0</v>
      </c>
      <c r="N376" t="n">
        <v>0</v>
      </c>
      <c r="O376" t="n">
        <v>0</v>
      </c>
      <c r="P376" t="n">
        <v>0</v>
      </c>
      <c r="Q376" t="n">
        <v>0</v>
      </c>
      <c r="R376" s="2" t="inlineStr"/>
    </row>
    <row r="377" ht="15" customHeight="1">
      <c r="A377" t="inlineStr">
        <is>
          <t>A 39746-2025</t>
        </is>
      </c>
      <c r="B377" s="1" t="n">
        <v>45891</v>
      </c>
      <c r="C377" s="1" t="n">
        <v>45905</v>
      </c>
      <c r="D377" t="inlineStr">
        <is>
          <t>UPPSALA LÄN</t>
        </is>
      </c>
      <c r="E377" t="inlineStr">
        <is>
          <t>ENKÖPING</t>
        </is>
      </c>
      <c r="G377" t="n">
        <v>7.4</v>
      </c>
      <c r="H377" t="n">
        <v>0</v>
      </c>
      <c r="I377" t="n">
        <v>0</v>
      </c>
      <c r="J377" t="n">
        <v>0</v>
      </c>
      <c r="K377" t="n">
        <v>0</v>
      </c>
      <c r="L377" t="n">
        <v>0</v>
      </c>
      <c r="M377" t="n">
        <v>0</v>
      </c>
      <c r="N377" t="n">
        <v>0</v>
      </c>
      <c r="O377" t="n">
        <v>0</v>
      </c>
      <c r="P377" t="n">
        <v>0</v>
      </c>
      <c r="Q377" t="n">
        <v>0</v>
      </c>
      <c r="R377" s="2" t="inlineStr"/>
    </row>
    <row r="378" ht="15" customHeight="1">
      <c r="A378" t="inlineStr">
        <is>
          <t>A 37035-2023</t>
        </is>
      </c>
      <c r="B378" s="1" t="n">
        <v>45155</v>
      </c>
      <c r="C378" s="1" t="n">
        <v>45905</v>
      </c>
      <c r="D378" t="inlineStr">
        <is>
          <t>UPPSALA LÄN</t>
        </is>
      </c>
      <c r="E378" t="inlineStr">
        <is>
          <t>ENKÖPING</t>
        </is>
      </c>
      <c r="G378" t="n">
        <v>1.2</v>
      </c>
      <c r="H378" t="n">
        <v>0</v>
      </c>
      <c r="I378" t="n">
        <v>0</v>
      </c>
      <c r="J378" t="n">
        <v>0</v>
      </c>
      <c r="K378" t="n">
        <v>0</v>
      </c>
      <c r="L378" t="n">
        <v>0</v>
      </c>
      <c r="M378" t="n">
        <v>0</v>
      </c>
      <c r="N378" t="n">
        <v>0</v>
      </c>
      <c r="O378" t="n">
        <v>0</v>
      </c>
      <c r="P378" t="n">
        <v>0</v>
      </c>
      <c r="Q378" t="n">
        <v>0</v>
      </c>
      <c r="R378" s="2" t="inlineStr"/>
    </row>
    <row r="379" ht="15" customHeight="1">
      <c r="A379" t="inlineStr">
        <is>
          <t>A 29513-2025</t>
        </is>
      </c>
      <c r="B379" s="1" t="n">
        <v>45825</v>
      </c>
      <c r="C379" s="1" t="n">
        <v>45905</v>
      </c>
      <c r="D379" t="inlineStr">
        <is>
          <t>UPPSALA LÄN</t>
        </is>
      </c>
      <c r="E379" t="inlineStr">
        <is>
          <t>ENKÖPING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46186-2023</t>
        </is>
      </c>
      <c r="B380" s="1" t="n">
        <v>45196</v>
      </c>
      <c r="C380" s="1" t="n">
        <v>45905</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15162-2025</t>
        </is>
      </c>
      <c r="B381" s="1" t="n">
        <v>45744</v>
      </c>
      <c r="C381" s="1" t="n">
        <v>45905</v>
      </c>
      <c r="D381" t="inlineStr">
        <is>
          <t>UPPSALA LÄN</t>
        </is>
      </c>
      <c r="E381" t="inlineStr">
        <is>
          <t>ENKÖPING</t>
        </is>
      </c>
      <c r="G381" t="n">
        <v>4.2</v>
      </c>
      <c r="H381" t="n">
        <v>0</v>
      </c>
      <c r="I381" t="n">
        <v>0</v>
      </c>
      <c r="J381" t="n">
        <v>0</v>
      </c>
      <c r="K381" t="n">
        <v>0</v>
      </c>
      <c r="L381" t="n">
        <v>0</v>
      </c>
      <c r="M381" t="n">
        <v>0</v>
      </c>
      <c r="N381" t="n">
        <v>0</v>
      </c>
      <c r="O381" t="n">
        <v>0</v>
      </c>
      <c r="P381" t="n">
        <v>0</v>
      </c>
      <c r="Q381" t="n">
        <v>0</v>
      </c>
      <c r="R381" s="2" t="inlineStr"/>
    </row>
    <row r="382" ht="15" customHeight="1">
      <c r="A382" t="inlineStr">
        <is>
          <t>A 18299-2025</t>
        </is>
      </c>
      <c r="B382" s="1" t="n">
        <v>45762</v>
      </c>
      <c r="C382" s="1" t="n">
        <v>45905</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6242-2025</t>
        </is>
      </c>
      <c r="B383" s="1" t="n">
        <v>45697</v>
      </c>
      <c r="C383" s="1" t="n">
        <v>45905</v>
      </c>
      <c r="D383" t="inlineStr">
        <is>
          <t>UPPSALA LÄN</t>
        </is>
      </c>
      <c r="E383" t="inlineStr">
        <is>
          <t>ENKÖPING</t>
        </is>
      </c>
      <c r="G383" t="n">
        <v>17.9</v>
      </c>
      <c r="H383" t="n">
        <v>0</v>
      </c>
      <c r="I383" t="n">
        <v>0</v>
      </c>
      <c r="J383" t="n">
        <v>0</v>
      </c>
      <c r="K383" t="n">
        <v>0</v>
      </c>
      <c r="L383" t="n">
        <v>0</v>
      </c>
      <c r="M383" t="n">
        <v>0</v>
      </c>
      <c r="N383" t="n">
        <v>0</v>
      </c>
      <c r="O383" t="n">
        <v>0</v>
      </c>
      <c r="P383" t="n">
        <v>0</v>
      </c>
      <c r="Q383" t="n">
        <v>0</v>
      </c>
      <c r="R383" s="2" t="inlineStr"/>
    </row>
    <row r="384" ht="15" customHeight="1">
      <c r="A384" t="inlineStr">
        <is>
          <t>A 58062-2020</t>
        </is>
      </c>
      <c r="B384" s="1" t="n">
        <v>44144</v>
      </c>
      <c r="C384" s="1" t="n">
        <v>45905</v>
      </c>
      <c r="D384" t="inlineStr">
        <is>
          <t>UPPSALA LÄN</t>
        </is>
      </c>
      <c r="E384" t="inlineStr">
        <is>
          <t>ENKÖPING</t>
        </is>
      </c>
      <c r="G384" t="n">
        <v>2.3</v>
      </c>
      <c r="H384" t="n">
        <v>0</v>
      </c>
      <c r="I384" t="n">
        <v>0</v>
      </c>
      <c r="J384" t="n">
        <v>0</v>
      </c>
      <c r="K384" t="n">
        <v>0</v>
      </c>
      <c r="L384" t="n">
        <v>0</v>
      </c>
      <c r="M384" t="n">
        <v>0</v>
      </c>
      <c r="N384" t="n">
        <v>0</v>
      </c>
      <c r="O384" t="n">
        <v>0</v>
      </c>
      <c r="P384" t="n">
        <v>0</v>
      </c>
      <c r="Q384" t="n">
        <v>0</v>
      </c>
      <c r="R384" s="2" t="inlineStr"/>
    </row>
    <row r="385" ht="15" customHeight="1">
      <c r="A385" t="inlineStr">
        <is>
          <t>A 6144-2024</t>
        </is>
      </c>
      <c r="B385" s="1" t="n">
        <v>45337.4684837963</v>
      </c>
      <c r="C385" s="1" t="n">
        <v>45905</v>
      </c>
      <c r="D385" t="inlineStr">
        <is>
          <t>UPPSALA LÄN</t>
        </is>
      </c>
      <c r="E385" t="inlineStr">
        <is>
          <t>ENKÖPING</t>
        </is>
      </c>
      <c r="G385" t="n">
        <v>13.8</v>
      </c>
      <c r="H385" t="n">
        <v>0</v>
      </c>
      <c r="I385" t="n">
        <v>0</v>
      </c>
      <c r="J385" t="n">
        <v>0</v>
      </c>
      <c r="K385" t="n">
        <v>0</v>
      </c>
      <c r="L385" t="n">
        <v>0</v>
      </c>
      <c r="M385" t="n">
        <v>0</v>
      </c>
      <c r="N385" t="n">
        <v>0</v>
      </c>
      <c r="O385" t="n">
        <v>0</v>
      </c>
      <c r="P385" t="n">
        <v>0</v>
      </c>
      <c r="Q385" t="n">
        <v>0</v>
      </c>
      <c r="R385" s="2" t="inlineStr"/>
    </row>
    <row r="386" ht="15" customHeight="1">
      <c r="A386" t="inlineStr">
        <is>
          <t>A 67984-2021</t>
        </is>
      </c>
      <c r="B386" s="1" t="n">
        <v>44525.70237268518</v>
      </c>
      <c r="C386" s="1" t="n">
        <v>45905</v>
      </c>
      <c r="D386" t="inlineStr">
        <is>
          <t>UPPSALA LÄN</t>
        </is>
      </c>
      <c r="E386" t="inlineStr">
        <is>
          <t>ENKÖPING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41637-2025</t>
        </is>
      </c>
      <c r="B387" s="1" t="n">
        <v>45901</v>
      </c>
      <c r="C387" s="1" t="n">
        <v>45905</v>
      </c>
      <c r="D387" t="inlineStr">
        <is>
          <t>UPPSALA LÄN</t>
        </is>
      </c>
      <c r="E387" t="inlineStr">
        <is>
          <t>ENKÖPING</t>
        </is>
      </c>
      <c r="F387" t="inlineStr">
        <is>
          <t>Allmännings- och besparingsskogar</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6147-2021</t>
        </is>
      </c>
      <c r="B388" s="1" t="n">
        <v>44232</v>
      </c>
      <c r="C388" s="1" t="n">
        <v>45905</v>
      </c>
      <c r="D388" t="inlineStr">
        <is>
          <t>UPPSALA LÄN</t>
        </is>
      </c>
      <c r="E388" t="inlineStr">
        <is>
          <t>ENKÖPING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46593-2020</t>
        </is>
      </c>
      <c r="B389" s="1" t="n">
        <v>44095</v>
      </c>
      <c r="C389" s="1" t="n">
        <v>45905</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1960-2022</t>
        </is>
      </c>
      <c r="B390" s="1" t="n">
        <v>44575</v>
      </c>
      <c r="C390" s="1" t="n">
        <v>45905</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41618-2025</t>
        </is>
      </c>
      <c r="B391" s="1" t="n">
        <v>45901.70085648148</v>
      </c>
      <c r="C391" s="1" t="n">
        <v>45905</v>
      </c>
      <c r="D391" t="inlineStr">
        <is>
          <t>UPPSALA LÄN</t>
        </is>
      </c>
      <c r="E391" t="inlineStr">
        <is>
          <t>ENKÖPING</t>
        </is>
      </c>
      <c r="F391" t="inlineStr">
        <is>
          <t>Allmännings- och besparingsskogar</t>
        </is>
      </c>
      <c r="G391" t="n">
        <v>5.3</v>
      </c>
      <c r="H391" t="n">
        <v>0</v>
      </c>
      <c r="I391" t="n">
        <v>0</v>
      </c>
      <c r="J391" t="n">
        <v>0</v>
      </c>
      <c r="K391" t="n">
        <v>0</v>
      </c>
      <c r="L391" t="n">
        <v>0</v>
      </c>
      <c r="M391" t="n">
        <v>0</v>
      </c>
      <c r="N391" t="n">
        <v>0</v>
      </c>
      <c r="O391" t="n">
        <v>0</v>
      </c>
      <c r="P391" t="n">
        <v>0</v>
      </c>
      <c r="Q391" t="n">
        <v>0</v>
      </c>
      <c r="R391" s="2" t="inlineStr"/>
    </row>
    <row r="392" ht="15" customHeight="1">
      <c r="A392" t="inlineStr">
        <is>
          <t>A 38941-2025</t>
        </is>
      </c>
      <c r="B392" s="1" t="n">
        <v>45887</v>
      </c>
      <c r="C392" s="1" t="n">
        <v>45905</v>
      </c>
      <c r="D392" t="inlineStr">
        <is>
          <t>UPPSALA LÄN</t>
        </is>
      </c>
      <c r="E392" t="inlineStr">
        <is>
          <t>ENKÖPING</t>
        </is>
      </c>
      <c r="F392" t="inlineStr">
        <is>
          <t>Övriga statliga verk och myndigheter</t>
        </is>
      </c>
      <c r="G392" t="n">
        <v>0.6</v>
      </c>
      <c r="H392" t="n">
        <v>0</v>
      </c>
      <c r="I392" t="n">
        <v>0</v>
      </c>
      <c r="J392" t="n">
        <v>0</v>
      </c>
      <c r="K392" t="n">
        <v>0</v>
      </c>
      <c r="L392" t="n">
        <v>0</v>
      </c>
      <c r="M392" t="n">
        <v>0</v>
      </c>
      <c r="N392" t="n">
        <v>0</v>
      </c>
      <c r="O392" t="n">
        <v>0</v>
      </c>
      <c r="P392" t="n">
        <v>0</v>
      </c>
      <c r="Q392" t="n">
        <v>0</v>
      </c>
      <c r="R392" s="2" t="inlineStr"/>
    </row>
    <row r="393" ht="15" customHeight="1">
      <c r="A393" t="inlineStr">
        <is>
          <t>A 18028-2023</t>
        </is>
      </c>
      <c r="B393" s="1" t="n">
        <v>45040</v>
      </c>
      <c r="C393" s="1" t="n">
        <v>45905</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41616-2025</t>
        </is>
      </c>
      <c r="B394" s="1" t="n">
        <v>45901.69684027778</v>
      </c>
      <c r="C394" s="1" t="n">
        <v>45905</v>
      </c>
      <c r="D394" t="inlineStr">
        <is>
          <t>UPPSALA LÄN</t>
        </is>
      </c>
      <c r="E394" t="inlineStr">
        <is>
          <t>ENKÖPING</t>
        </is>
      </c>
      <c r="F394" t="inlineStr">
        <is>
          <t>Allmännings- och besparingsskogar</t>
        </is>
      </c>
      <c r="G394" t="n">
        <v>17.3</v>
      </c>
      <c r="H394" t="n">
        <v>0</v>
      </c>
      <c r="I394" t="n">
        <v>0</v>
      </c>
      <c r="J394" t="n">
        <v>0</v>
      </c>
      <c r="K394" t="n">
        <v>0</v>
      </c>
      <c r="L394" t="n">
        <v>0</v>
      </c>
      <c r="M394" t="n">
        <v>0</v>
      </c>
      <c r="N394" t="n">
        <v>0</v>
      </c>
      <c r="O394" t="n">
        <v>0</v>
      </c>
      <c r="P394" t="n">
        <v>0</v>
      </c>
      <c r="Q394" t="n">
        <v>0</v>
      </c>
      <c r="R394" s="2" t="inlineStr"/>
    </row>
    <row r="395" ht="15" customHeight="1">
      <c r="A395" t="inlineStr">
        <is>
          <t>A 18592-2021</t>
        </is>
      </c>
      <c r="B395" s="1" t="n">
        <v>44306</v>
      </c>
      <c r="C395" s="1" t="n">
        <v>45905</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11918-2025</t>
        </is>
      </c>
      <c r="B396" s="1" t="n">
        <v>45728.49331018519</v>
      </c>
      <c r="C396" s="1" t="n">
        <v>45905</v>
      </c>
      <c r="D396" t="inlineStr">
        <is>
          <t>UPPSALA LÄN</t>
        </is>
      </c>
      <c r="E396" t="inlineStr">
        <is>
          <t>ENKÖPING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21501-2025</t>
        </is>
      </c>
      <c r="B397" s="1" t="n">
        <v>45782</v>
      </c>
      <c r="C397" s="1" t="n">
        <v>45905</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49568-2022</t>
        </is>
      </c>
      <c r="B398" s="1" t="n">
        <v>44862.32791666667</v>
      </c>
      <c r="C398" s="1" t="n">
        <v>45905</v>
      </c>
      <c r="D398" t="inlineStr">
        <is>
          <t>UPPSALA LÄN</t>
        </is>
      </c>
      <c r="E398" t="inlineStr">
        <is>
          <t>ENKÖPING</t>
        </is>
      </c>
      <c r="G398" t="n">
        <v>0.9</v>
      </c>
      <c r="H398" t="n">
        <v>0</v>
      </c>
      <c r="I398" t="n">
        <v>0</v>
      </c>
      <c r="J398" t="n">
        <v>0</v>
      </c>
      <c r="K398" t="n">
        <v>0</v>
      </c>
      <c r="L398" t="n">
        <v>0</v>
      </c>
      <c r="M398" t="n">
        <v>0</v>
      </c>
      <c r="N398" t="n">
        <v>0</v>
      </c>
      <c r="O398" t="n">
        <v>0</v>
      </c>
      <c r="P398" t="n">
        <v>0</v>
      </c>
      <c r="Q398" t="n">
        <v>0</v>
      </c>
      <c r="R398" s="2" t="inlineStr"/>
    </row>
    <row r="399" ht="15" customHeight="1">
      <c r="A399" t="inlineStr">
        <is>
          <t>A 42459-2024</t>
        </is>
      </c>
      <c r="B399" s="1" t="n">
        <v>45565</v>
      </c>
      <c r="C399" s="1" t="n">
        <v>45905</v>
      </c>
      <c r="D399" t="inlineStr">
        <is>
          <t>UPPSALA LÄN</t>
        </is>
      </c>
      <c r="E399" t="inlineStr">
        <is>
          <t>ENKÖPING</t>
        </is>
      </c>
      <c r="G399" t="n">
        <v>3.6</v>
      </c>
      <c r="H399" t="n">
        <v>0</v>
      </c>
      <c r="I399" t="n">
        <v>0</v>
      </c>
      <c r="J399" t="n">
        <v>0</v>
      </c>
      <c r="K399" t="n">
        <v>0</v>
      </c>
      <c r="L399" t="n">
        <v>0</v>
      </c>
      <c r="M399" t="n">
        <v>0</v>
      </c>
      <c r="N399" t="n">
        <v>0</v>
      </c>
      <c r="O399" t="n">
        <v>0</v>
      </c>
      <c r="P399" t="n">
        <v>0</v>
      </c>
      <c r="Q399" t="n">
        <v>0</v>
      </c>
      <c r="R399" s="2" t="inlineStr"/>
    </row>
    <row r="400" ht="15" customHeight="1">
      <c r="A400" t="inlineStr">
        <is>
          <t>A 48864-2022</t>
        </is>
      </c>
      <c r="B400" s="1" t="n">
        <v>44859</v>
      </c>
      <c r="C400" s="1" t="n">
        <v>45905</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52169-2020</t>
        </is>
      </c>
      <c r="B401" s="1" t="n">
        <v>44117</v>
      </c>
      <c r="C401" s="1" t="n">
        <v>45905</v>
      </c>
      <c r="D401" t="inlineStr">
        <is>
          <t>UPPSALA LÄN</t>
        </is>
      </c>
      <c r="E401" t="inlineStr">
        <is>
          <t>ENKÖPING</t>
        </is>
      </c>
      <c r="F401" t="inlineStr">
        <is>
          <t>Allmännings- och besparingsskogar</t>
        </is>
      </c>
      <c r="G401" t="n">
        <v>1.5</v>
      </c>
      <c r="H401" t="n">
        <v>0</v>
      </c>
      <c r="I401" t="n">
        <v>0</v>
      </c>
      <c r="J401" t="n">
        <v>0</v>
      </c>
      <c r="K401" t="n">
        <v>0</v>
      </c>
      <c r="L401" t="n">
        <v>0</v>
      </c>
      <c r="M401" t="n">
        <v>0</v>
      </c>
      <c r="N401" t="n">
        <v>0</v>
      </c>
      <c r="O401" t="n">
        <v>0</v>
      </c>
      <c r="P401" t="n">
        <v>0</v>
      </c>
      <c r="Q401" t="n">
        <v>0</v>
      </c>
      <c r="R401" s="2" t="inlineStr"/>
    </row>
    <row r="402" ht="15" customHeight="1">
      <c r="A402" t="inlineStr">
        <is>
          <t>A 31622-2022</t>
        </is>
      </c>
      <c r="B402" s="1" t="n">
        <v>44775</v>
      </c>
      <c r="C402" s="1" t="n">
        <v>45905</v>
      </c>
      <c r="D402" t="inlineStr">
        <is>
          <t>UPPSALA LÄN</t>
        </is>
      </c>
      <c r="E402" t="inlineStr">
        <is>
          <t>ENKÖPING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43896-2022</t>
        </is>
      </c>
      <c r="B403" s="1" t="n">
        <v>44838</v>
      </c>
      <c r="C403" s="1" t="n">
        <v>45905</v>
      </c>
      <c r="D403" t="inlineStr">
        <is>
          <t>UPPSALA LÄN</t>
        </is>
      </c>
      <c r="E403" t="inlineStr">
        <is>
          <t>ENKÖPING</t>
        </is>
      </c>
      <c r="G403" t="n">
        <v>5.3</v>
      </c>
      <c r="H403" t="n">
        <v>0</v>
      </c>
      <c r="I403" t="n">
        <v>0</v>
      </c>
      <c r="J403" t="n">
        <v>0</v>
      </c>
      <c r="K403" t="n">
        <v>0</v>
      </c>
      <c r="L403" t="n">
        <v>0</v>
      </c>
      <c r="M403" t="n">
        <v>0</v>
      </c>
      <c r="N403" t="n">
        <v>0</v>
      </c>
      <c r="O403" t="n">
        <v>0</v>
      </c>
      <c r="P403" t="n">
        <v>0</v>
      </c>
      <c r="Q403" t="n">
        <v>0</v>
      </c>
      <c r="R403" s="2" t="inlineStr"/>
    </row>
    <row r="404" ht="15" customHeight="1">
      <c r="A404" t="inlineStr">
        <is>
          <t>A 20440-2025</t>
        </is>
      </c>
      <c r="B404" s="1" t="n">
        <v>45775</v>
      </c>
      <c r="C404" s="1" t="n">
        <v>45905</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25989-2025</t>
        </is>
      </c>
      <c r="B405" s="1" t="n">
        <v>45804.65050925926</v>
      </c>
      <c r="C405" s="1" t="n">
        <v>45905</v>
      </c>
      <c r="D405" t="inlineStr">
        <is>
          <t>UPPSALA LÄN</t>
        </is>
      </c>
      <c r="E405" t="inlineStr">
        <is>
          <t>ENKÖPING</t>
        </is>
      </c>
      <c r="G405" t="n">
        <v>1.2</v>
      </c>
      <c r="H405" t="n">
        <v>0</v>
      </c>
      <c r="I405" t="n">
        <v>0</v>
      </c>
      <c r="J405" t="n">
        <v>0</v>
      </c>
      <c r="K405" t="n">
        <v>0</v>
      </c>
      <c r="L405" t="n">
        <v>0</v>
      </c>
      <c r="M405" t="n">
        <v>0</v>
      </c>
      <c r="N405" t="n">
        <v>0</v>
      </c>
      <c r="O405" t="n">
        <v>0</v>
      </c>
      <c r="P405" t="n">
        <v>0</v>
      </c>
      <c r="Q405" t="n">
        <v>0</v>
      </c>
      <c r="R405" s="2" t="inlineStr"/>
    </row>
    <row r="406" ht="15" customHeight="1">
      <c r="A406" t="inlineStr">
        <is>
          <t>A 66517-2020</t>
        </is>
      </c>
      <c r="B406" s="1" t="n">
        <v>44178</v>
      </c>
      <c r="C406" s="1" t="n">
        <v>45905</v>
      </c>
      <c r="D406" t="inlineStr">
        <is>
          <t>UPPSALA LÄN</t>
        </is>
      </c>
      <c r="E406" t="inlineStr">
        <is>
          <t>ENKÖPING</t>
        </is>
      </c>
      <c r="G406" t="n">
        <v>4</v>
      </c>
      <c r="H406" t="n">
        <v>0</v>
      </c>
      <c r="I406" t="n">
        <v>0</v>
      </c>
      <c r="J406" t="n">
        <v>0</v>
      </c>
      <c r="K406" t="n">
        <v>0</v>
      </c>
      <c r="L406" t="n">
        <v>0</v>
      </c>
      <c r="M406" t="n">
        <v>0</v>
      </c>
      <c r="N406" t="n">
        <v>0</v>
      </c>
      <c r="O406" t="n">
        <v>0</v>
      </c>
      <c r="P406" t="n">
        <v>0</v>
      </c>
      <c r="Q406" t="n">
        <v>0</v>
      </c>
      <c r="R406" s="2" t="inlineStr"/>
    </row>
    <row r="407" ht="15" customHeight="1">
      <c r="A407" t="inlineStr">
        <is>
          <t>A 41737-2022</t>
        </is>
      </c>
      <c r="B407" s="1" t="n">
        <v>44827.63826388889</v>
      </c>
      <c r="C407" s="1" t="n">
        <v>45905</v>
      </c>
      <c r="D407" t="inlineStr">
        <is>
          <t>UPPSALA LÄN</t>
        </is>
      </c>
      <c r="E407" t="inlineStr">
        <is>
          <t>ENKÖPING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41765-2025</t>
        </is>
      </c>
      <c r="B408" s="1" t="n">
        <v>45902</v>
      </c>
      <c r="C408" s="1" t="n">
        <v>45905</v>
      </c>
      <c r="D408" t="inlineStr">
        <is>
          <t>UPPSALA LÄN</t>
        </is>
      </c>
      <c r="E408" t="inlineStr">
        <is>
          <t>ENKÖPING</t>
        </is>
      </c>
      <c r="G408" t="n">
        <v>2.7</v>
      </c>
      <c r="H408" t="n">
        <v>0</v>
      </c>
      <c r="I408" t="n">
        <v>0</v>
      </c>
      <c r="J408" t="n">
        <v>0</v>
      </c>
      <c r="K408" t="n">
        <v>0</v>
      </c>
      <c r="L408" t="n">
        <v>0</v>
      </c>
      <c r="M408" t="n">
        <v>0</v>
      </c>
      <c r="N408" t="n">
        <v>0</v>
      </c>
      <c r="O408" t="n">
        <v>0</v>
      </c>
      <c r="P408" t="n">
        <v>0</v>
      </c>
      <c r="Q408" t="n">
        <v>0</v>
      </c>
      <c r="R408" s="2" t="inlineStr"/>
    </row>
    <row r="409" ht="15" customHeight="1">
      <c r="A409" t="inlineStr">
        <is>
          <t>A 42029-2025</t>
        </is>
      </c>
      <c r="B409" s="1" t="n">
        <v>45903</v>
      </c>
      <c r="C409" s="1" t="n">
        <v>45905</v>
      </c>
      <c r="D409" t="inlineStr">
        <is>
          <t>UPPSALA LÄN</t>
        </is>
      </c>
      <c r="E409" t="inlineStr">
        <is>
          <t>ENKÖPING</t>
        </is>
      </c>
      <c r="G409" t="n">
        <v>1.8</v>
      </c>
      <c r="H409" t="n">
        <v>0</v>
      </c>
      <c r="I409" t="n">
        <v>0</v>
      </c>
      <c r="J409" t="n">
        <v>0</v>
      </c>
      <c r="K409" t="n">
        <v>0</v>
      </c>
      <c r="L409" t="n">
        <v>0</v>
      </c>
      <c r="M409" t="n">
        <v>0</v>
      </c>
      <c r="N409" t="n">
        <v>0</v>
      </c>
      <c r="O409" t="n">
        <v>0</v>
      </c>
      <c r="P409" t="n">
        <v>0</v>
      </c>
      <c r="Q409" t="n">
        <v>0</v>
      </c>
      <c r="R409" s="2" t="inlineStr"/>
    </row>
    <row r="410" ht="15" customHeight="1">
      <c r="A410" t="inlineStr">
        <is>
          <t>A 6356-2022</t>
        </is>
      </c>
      <c r="B410" s="1" t="n">
        <v>44600</v>
      </c>
      <c r="C410" s="1" t="n">
        <v>45905</v>
      </c>
      <c r="D410" t="inlineStr">
        <is>
          <t>UPPSALA LÄN</t>
        </is>
      </c>
      <c r="E410" t="inlineStr">
        <is>
          <t>ENKÖPING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54595-2021</t>
        </is>
      </c>
      <c r="B411" s="1" t="n">
        <v>44473.58824074074</v>
      </c>
      <c r="C411" s="1" t="n">
        <v>45905</v>
      </c>
      <c r="D411" t="inlineStr">
        <is>
          <t>UPPSALA LÄN</t>
        </is>
      </c>
      <c r="E411" t="inlineStr">
        <is>
          <t>ENKÖPING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22094-2023</t>
        </is>
      </c>
      <c r="B412" s="1" t="n">
        <v>45069</v>
      </c>
      <c r="C412" s="1" t="n">
        <v>45905</v>
      </c>
      <c r="D412" t="inlineStr">
        <is>
          <t>UPPSALA LÄN</t>
        </is>
      </c>
      <c r="E412" t="inlineStr">
        <is>
          <t>ENKÖPING</t>
        </is>
      </c>
      <c r="G412" t="n">
        <v>2.1</v>
      </c>
      <c r="H412" t="n">
        <v>0</v>
      </c>
      <c r="I412" t="n">
        <v>0</v>
      </c>
      <c r="J412" t="n">
        <v>0</v>
      </c>
      <c r="K412" t="n">
        <v>0</v>
      </c>
      <c r="L412" t="n">
        <v>0</v>
      </c>
      <c r="M412" t="n">
        <v>0</v>
      </c>
      <c r="N412" t="n">
        <v>0</v>
      </c>
      <c r="O412" t="n">
        <v>0</v>
      </c>
      <c r="P412" t="n">
        <v>0</v>
      </c>
      <c r="Q412" t="n">
        <v>0</v>
      </c>
      <c r="R412" s="2" t="inlineStr"/>
    </row>
    <row r="413" ht="15" customHeight="1">
      <c r="A413" t="inlineStr">
        <is>
          <t>A 57147-2021</t>
        </is>
      </c>
      <c r="B413" s="1" t="n">
        <v>44482</v>
      </c>
      <c r="C413" s="1" t="n">
        <v>45905</v>
      </c>
      <c r="D413" t="inlineStr">
        <is>
          <t>UPPSALA LÄN</t>
        </is>
      </c>
      <c r="E413" t="inlineStr">
        <is>
          <t>ENKÖPING</t>
        </is>
      </c>
      <c r="G413" t="n">
        <v>5.7</v>
      </c>
      <c r="H413" t="n">
        <v>0</v>
      </c>
      <c r="I413" t="n">
        <v>0</v>
      </c>
      <c r="J413" t="n">
        <v>0</v>
      </c>
      <c r="K413" t="n">
        <v>0</v>
      </c>
      <c r="L413" t="n">
        <v>0</v>
      </c>
      <c r="M413" t="n">
        <v>0</v>
      </c>
      <c r="N413" t="n">
        <v>0</v>
      </c>
      <c r="O413" t="n">
        <v>0</v>
      </c>
      <c r="P413" t="n">
        <v>0</v>
      </c>
      <c r="Q413" t="n">
        <v>0</v>
      </c>
      <c r="R413" s="2" t="inlineStr"/>
    </row>
    <row r="414" ht="15" customHeight="1">
      <c r="A414" t="inlineStr">
        <is>
          <t>A 61711-2020</t>
        </is>
      </c>
      <c r="B414" s="1" t="n">
        <v>44158</v>
      </c>
      <c r="C414" s="1" t="n">
        <v>45905</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35647-2021</t>
        </is>
      </c>
      <c r="B415" s="1" t="n">
        <v>44386</v>
      </c>
      <c r="C415" s="1" t="n">
        <v>45905</v>
      </c>
      <c r="D415" t="inlineStr">
        <is>
          <t>UPPSALA LÄN</t>
        </is>
      </c>
      <c r="E415" t="inlineStr">
        <is>
          <t>ENKÖPING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47909-2024</t>
        </is>
      </c>
      <c r="B416" s="1" t="n">
        <v>45589.31866898148</v>
      </c>
      <c r="C416" s="1" t="n">
        <v>45905</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6157-2021</t>
        </is>
      </c>
      <c r="B417" s="1" t="n">
        <v>44232</v>
      </c>
      <c r="C417" s="1" t="n">
        <v>45905</v>
      </c>
      <c r="D417" t="inlineStr">
        <is>
          <t>UPPSALA LÄN</t>
        </is>
      </c>
      <c r="E417" t="inlineStr">
        <is>
          <t>ENKÖPING</t>
        </is>
      </c>
      <c r="G417" t="n">
        <v>3.9</v>
      </c>
      <c r="H417" t="n">
        <v>0</v>
      </c>
      <c r="I417" t="n">
        <v>0</v>
      </c>
      <c r="J417" t="n">
        <v>0</v>
      </c>
      <c r="K417" t="n">
        <v>0</v>
      </c>
      <c r="L417" t="n">
        <v>0</v>
      </c>
      <c r="M417" t="n">
        <v>0</v>
      </c>
      <c r="N417" t="n">
        <v>0</v>
      </c>
      <c r="O417" t="n">
        <v>0</v>
      </c>
      <c r="P417" t="n">
        <v>0</v>
      </c>
      <c r="Q417" t="n">
        <v>0</v>
      </c>
      <c r="R417" s="2" t="inlineStr"/>
    </row>
    <row r="418" ht="15" customHeight="1">
      <c r="A418" t="inlineStr">
        <is>
          <t>A 24962-2023</t>
        </is>
      </c>
      <c r="B418" s="1" t="n">
        <v>45085.60123842592</v>
      </c>
      <c r="C418" s="1" t="n">
        <v>45905</v>
      </c>
      <c r="D418" t="inlineStr">
        <is>
          <t>UPPSALA LÄN</t>
        </is>
      </c>
      <c r="E418" t="inlineStr">
        <is>
          <t>ENKÖPING</t>
        </is>
      </c>
      <c r="G418" t="n">
        <v>2.8</v>
      </c>
      <c r="H418" t="n">
        <v>0</v>
      </c>
      <c r="I418" t="n">
        <v>0</v>
      </c>
      <c r="J418" t="n">
        <v>0</v>
      </c>
      <c r="K418" t="n">
        <v>0</v>
      </c>
      <c r="L418" t="n">
        <v>0</v>
      </c>
      <c r="M418" t="n">
        <v>0</v>
      </c>
      <c r="N418" t="n">
        <v>0</v>
      </c>
      <c r="O418" t="n">
        <v>0</v>
      </c>
      <c r="P418" t="n">
        <v>0</v>
      </c>
      <c r="Q418" t="n">
        <v>0</v>
      </c>
      <c r="R418" s="2" t="inlineStr"/>
    </row>
    <row r="419" ht="15" customHeight="1">
      <c r="A419" t="inlineStr">
        <is>
          <t>A 44131-2023</t>
        </is>
      </c>
      <c r="B419" s="1" t="n">
        <v>45188</v>
      </c>
      <c r="C419" s="1" t="n">
        <v>45905</v>
      </c>
      <c r="D419" t="inlineStr">
        <is>
          <t>UPPSALA LÄN</t>
        </is>
      </c>
      <c r="E419" t="inlineStr">
        <is>
          <t>ENKÖPING</t>
        </is>
      </c>
      <c r="G419" t="n">
        <v>0.3</v>
      </c>
      <c r="H419" t="n">
        <v>0</v>
      </c>
      <c r="I419" t="n">
        <v>0</v>
      </c>
      <c r="J419" t="n">
        <v>0</v>
      </c>
      <c r="K419" t="n">
        <v>0</v>
      </c>
      <c r="L419" t="n">
        <v>0</v>
      </c>
      <c r="M419" t="n">
        <v>0</v>
      </c>
      <c r="N419" t="n">
        <v>0</v>
      </c>
      <c r="O419" t="n">
        <v>0</v>
      </c>
      <c r="P419" t="n">
        <v>0</v>
      </c>
      <c r="Q419" t="n">
        <v>0</v>
      </c>
      <c r="R419" s="2" t="inlineStr"/>
    </row>
    <row r="420" ht="15" customHeight="1">
      <c r="A420" t="inlineStr">
        <is>
          <t>A 29482-2022</t>
        </is>
      </c>
      <c r="B420" s="1" t="n">
        <v>44753.57703703704</v>
      </c>
      <c r="C420" s="1" t="n">
        <v>45905</v>
      </c>
      <c r="D420" t="inlineStr">
        <is>
          <t>UPPSALA LÄN</t>
        </is>
      </c>
      <c r="E420" t="inlineStr">
        <is>
          <t>ENKÖPING</t>
        </is>
      </c>
      <c r="G420" t="n">
        <v>1</v>
      </c>
      <c r="H420" t="n">
        <v>0</v>
      </c>
      <c r="I420" t="n">
        <v>0</v>
      </c>
      <c r="J420" t="n">
        <v>0</v>
      </c>
      <c r="K420" t="n">
        <v>0</v>
      </c>
      <c r="L420" t="n">
        <v>0</v>
      </c>
      <c r="M420" t="n">
        <v>0</v>
      </c>
      <c r="N420" t="n">
        <v>0</v>
      </c>
      <c r="O420" t="n">
        <v>0</v>
      </c>
      <c r="P420" t="n">
        <v>0</v>
      </c>
      <c r="Q420" t="n">
        <v>0</v>
      </c>
      <c r="R420" s="2" t="inlineStr"/>
    </row>
    <row r="421" ht="15" customHeight="1">
      <c r="A421" t="inlineStr">
        <is>
          <t>A 29483-2022</t>
        </is>
      </c>
      <c r="B421" s="1" t="n">
        <v>44753.57829861111</v>
      </c>
      <c r="C421" s="1" t="n">
        <v>45905</v>
      </c>
      <c r="D421" t="inlineStr">
        <is>
          <t>UPPSALA LÄN</t>
        </is>
      </c>
      <c r="E421" t="inlineStr">
        <is>
          <t>ENKÖPING</t>
        </is>
      </c>
      <c r="G421" t="n">
        <v>3.6</v>
      </c>
      <c r="H421" t="n">
        <v>0</v>
      </c>
      <c r="I421" t="n">
        <v>0</v>
      </c>
      <c r="J421" t="n">
        <v>0</v>
      </c>
      <c r="K421" t="n">
        <v>0</v>
      </c>
      <c r="L421" t="n">
        <v>0</v>
      </c>
      <c r="M421" t="n">
        <v>0</v>
      </c>
      <c r="N421" t="n">
        <v>0</v>
      </c>
      <c r="O421" t="n">
        <v>0</v>
      </c>
      <c r="P421" t="n">
        <v>0</v>
      </c>
      <c r="Q421" t="n">
        <v>0</v>
      </c>
      <c r="R421" s="2" t="inlineStr"/>
    </row>
    <row r="422" ht="15" customHeight="1">
      <c r="A422" t="inlineStr">
        <is>
          <t>A 52005-2024</t>
        </is>
      </c>
      <c r="B422" s="1" t="n">
        <v>45607.7627662037</v>
      </c>
      <c r="C422" s="1" t="n">
        <v>45905</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37170-2021</t>
        </is>
      </c>
      <c r="B423" s="1" t="n">
        <v>44395</v>
      </c>
      <c r="C423" s="1" t="n">
        <v>45905</v>
      </c>
      <c r="D423" t="inlineStr">
        <is>
          <t>UPPSALA LÄN</t>
        </is>
      </c>
      <c r="E423" t="inlineStr">
        <is>
          <t>ENKÖPING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53343-2020</t>
        </is>
      </c>
      <c r="B424" s="1" t="n">
        <v>44123.53505787037</v>
      </c>
      <c r="C424" s="1" t="n">
        <v>45905</v>
      </c>
      <c r="D424" t="inlineStr">
        <is>
          <t>UPPSALA LÄN</t>
        </is>
      </c>
      <c r="E424" t="inlineStr">
        <is>
          <t>ENKÖPING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53496-2022</t>
        </is>
      </c>
      <c r="B425" s="1" t="n">
        <v>44879.57217592592</v>
      </c>
      <c r="C425" s="1" t="n">
        <v>45905</v>
      </c>
      <c r="D425" t="inlineStr">
        <is>
          <t>UPPSALA LÄN</t>
        </is>
      </c>
      <c r="E425" t="inlineStr">
        <is>
          <t>ENKÖPING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7870-2024</t>
        </is>
      </c>
      <c r="B426" s="1" t="n">
        <v>45350.33349537037</v>
      </c>
      <c r="C426" s="1" t="n">
        <v>45905</v>
      </c>
      <c r="D426" t="inlineStr">
        <is>
          <t>UPPSALA LÄN</t>
        </is>
      </c>
      <c r="E426" t="inlineStr">
        <is>
          <t>ENKÖPING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28243-2023</t>
        </is>
      </c>
      <c r="B427" s="1" t="n">
        <v>45099.58885416666</v>
      </c>
      <c r="C427" s="1" t="n">
        <v>45905</v>
      </c>
      <c r="D427" t="inlineStr">
        <is>
          <t>UPPSALA LÄN</t>
        </is>
      </c>
      <c r="E427" t="inlineStr">
        <is>
          <t>ENKÖPING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10829-2024</t>
        </is>
      </c>
      <c r="B428" s="1" t="n">
        <v>45369</v>
      </c>
      <c r="C428" s="1" t="n">
        <v>45905</v>
      </c>
      <c r="D428" t="inlineStr">
        <is>
          <t>UPPSALA LÄN</t>
        </is>
      </c>
      <c r="E428" t="inlineStr">
        <is>
          <t>ENKÖPING</t>
        </is>
      </c>
      <c r="G428" t="n">
        <v>2.1</v>
      </c>
      <c r="H428" t="n">
        <v>0</v>
      </c>
      <c r="I428" t="n">
        <v>0</v>
      </c>
      <c r="J428" t="n">
        <v>0</v>
      </c>
      <c r="K428" t="n">
        <v>0</v>
      </c>
      <c r="L428" t="n">
        <v>0</v>
      </c>
      <c r="M428" t="n">
        <v>0</v>
      </c>
      <c r="N428" t="n">
        <v>0</v>
      </c>
      <c r="O428" t="n">
        <v>0</v>
      </c>
      <c r="P428" t="n">
        <v>0</v>
      </c>
      <c r="Q428" t="n">
        <v>0</v>
      </c>
      <c r="R428" s="2" t="inlineStr"/>
    </row>
    <row r="429" ht="15" customHeight="1">
      <c r="A429" t="inlineStr">
        <is>
          <t>A 2161-2023</t>
        </is>
      </c>
      <c r="B429" s="1" t="n">
        <v>44941</v>
      </c>
      <c r="C429" s="1" t="n">
        <v>45905</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2165-2023</t>
        </is>
      </c>
      <c r="B430" s="1" t="n">
        <v>44941</v>
      </c>
      <c r="C430" s="1" t="n">
        <v>45905</v>
      </c>
      <c r="D430" t="inlineStr">
        <is>
          <t>UPPSALA LÄN</t>
        </is>
      </c>
      <c r="E430" t="inlineStr">
        <is>
          <t>ENKÖPING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53586-2024</t>
        </is>
      </c>
      <c r="B431" s="1" t="n">
        <v>45614</v>
      </c>
      <c r="C431" s="1" t="n">
        <v>45905</v>
      </c>
      <c r="D431" t="inlineStr">
        <is>
          <t>UPPSALA LÄN</t>
        </is>
      </c>
      <c r="E431" t="inlineStr">
        <is>
          <t>ENKÖPING</t>
        </is>
      </c>
      <c r="G431" t="n">
        <v>6.6</v>
      </c>
      <c r="H431" t="n">
        <v>0</v>
      </c>
      <c r="I431" t="n">
        <v>0</v>
      </c>
      <c r="J431" t="n">
        <v>0</v>
      </c>
      <c r="K431" t="n">
        <v>0</v>
      </c>
      <c r="L431" t="n">
        <v>0</v>
      </c>
      <c r="M431" t="n">
        <v>0</v>
      </c>
      <c r="N431" t="n">
        <v>0</v>
      </c>
      <c r="O431" t="n">
        <v>0</v>
      </c>
      <c r="P431" t="n">
        <v>0</v>
      </c>
      <c r="Q431" t="n">
        <v>0</v>
      </c>
      <c r="R431" s="2" t="inlineStr"/>
    </row>
    <row r="432" ht="15" customHeight="1">
      <c r="A432" t="inlineStr">
        <is>
          <t>A 8306-2021</t>
        </is>
      </c>
      <c r="B432" s="1" t="n">
        <v>44244</v>
      </c>
      <c r="C432" s="1" t="n">
        <v>45905</v>
      </c>
      <c r="D432" t="inlineStr">
        <is>
          <t>UPPSALA LÄN</t>
        </is>
      </c>
      <c r="E432" t="inlineStr">
        <is>
          <t>ENKÖPING</t>
        </is>
      </c>
      <c r="G432" t="n">
        <v>14.9</v>
      </c>
      <c r="H432" t="n">
        <v>0</v>
      </c>
      <c r="I432" t="n">
        <v>0</v>
      </c>
      <c r="J432" t="n">
        <v>0</v>
      </c>
      <c r="K432" t="n">
        <v>0</v>
      </c>
      <c r="L432" t="n">
        <v>0</v>
      </c>
      <c r="M432" t="n">
        <v>0</v>
      </c>
      <c r="N432" t="n">
        <v>0</v>
      </c>
      <c r="O432" t="n">
        <v>0</v>
      </c>
      <c r="P432" t="n">
        <v>0</v>
      </c>
      <c r="Q432" t="n">
        <v>0</v>
      </c>
      <c r="R432" s="2" t="inlineStr"/>
    </row>
    <row r="433" ht="15" customHeight="1">
      <c r="A433" t="inlineStr">
        <is>
          <t>A 51034-2024</t>
        </is>
      </c>
      <c r="B433" s="1" t="n">
        <v>45603.4262037037</v>
      </c>
      <c r="C433" s="1" t="n">
        <v>45905</v>
      </c>
      <c r="D433" t="inlineStr">
        <is>
          <t>UPPSALA LÄN</t>
        </is>
      </c>
      <c r="E433" t="inlineStr">
        <is>
          <t>ENKÖPING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51036-2024</t>
        </is>
      </c>
      <c r="B434" s="1" t="n">
        <v>45603.42839120371</v>
      </c>
      <c r="C434" s="1" t="n">
        <v>45905</v>
      </c>
      <c r="D434" t="inlineStr">
        <is>
          <t>UPPSALA LÄN</t>
        </is>
      </c>
      <c r="E434" t="inlineStr">
        <is>
          <t>ENKÖPING</t>
        </is>
      </c>
      <c r="G434" t="n">
        <v>2.6</v>
      </c>
      <c r="H434" t="n">
        <v>0</v>
      </c>
      <c r="I434" t="n">
        <v>0</v>
      </c>
      <c r="J434" t="n">
        <v>0</v>
      </c>
      <c r="K434" t="n">
        <v>0</v>
      </c>
      <c r="L434" t="n">
        <v>0</v>
      </c>
      <c r="M434" t="n">
        <v>0</v>
      </c>
      <c r="N434" t="n">
        <v>0</v>
      </c>
      <c r="O434" t="n">
        <v>0</v>
      </c>
      <c r="P434" t="n">
        <v>0</v>
      </c>
      <c r="Q434" t="n">
        <v>0</v>
      </c>
      <c r="R434" s="2" t="inlineStr"/>
    </row>
    <row r="435" ht="15" customHeight="1">
      <c r="A435" t="inlineStr">
        <is>
          <t>A 43492-2023</t>
        </is>
      </c>
      <c r="B435" s="1" t="n">
        <v>45181</v>
      </c>
      <c r="C435" s="1" t="n">
        <v>45905</v>
      </c>
      <c r="D435" t="inlineStr">
        <is>
          <t>UPPSALA LÄN</t>
        </is>
      </c>
      <c r="E435" t="inlineStr">
        <is>
          <t>ENKÖPING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1536-2024</t>
        </is>
      </c>
      <c r="B436" s="1" t="n">
        <v>45306</v>
      </c>
      <c r="C436" s="1" t="n">
        <v>45905</v>
      </c>
      <c r="D436" t="inlineStr">
        <is>
          <t>UPPSALA LÄN</t>
        </is>
      </c>
      <c r="E436" t="inlineStr">
        <is>
          <t>ENKÖPING</t>
        </is>
      </c>
      <c r="F436" t="inlineStr">
        <is>
          <t>Kyrkan</t>
        </is>
      </c>
      <c r="G436" t="n">
        <v>5.6</v>
      </c>
      <c r="H436" t="n">
        <v>0</v>
      </c>
      <c r="I436" t="n">
        <v>0</v>
      </c>
      <c r="J436" t="n">
        <v>0</v>
      </c>
      <c r="K436" t="n">
        <v>0</v>
      </c>
      <c r="L436" t="n">
        <v>0</v>
      </c>
      <c r="M436" t="n">
        <v>0</v>
      </c>
      <c r="N436" t="n">
        <v>0</v>
      </c>
      <c r="O436" t="n">
        <v>0</v>
      </c>
      <c r="P436" t="n">
        <v>0</v>
      </c>
      <c r="Q436" t="n">
        <v>0</v>
      </c>
      <c r="R436" s="2" t="inlineStr"/>
    </row>
    <row r="437" ht="15" customHeight="1">
      <c r="A437" t="inlineStr">
        <is>
          <t>A 2974-2025</t>
        </is>
      </c>
      <c r="B437" s="1" t="n">
        <v>45678.47168981482</v>
      </c>
      <c r="C437" s="1" t="n">
        <v>45905</v>
      </c>
      <c r="D437" t="inlineStr">
        <is>
          <t>UPPSALA LÄN</t>
        </is>
      </c>
      <c r="E437" t="inlineStr">
        <is>
          <t>ENKÖPING</t>
        </is>
      </c>
      <c r="G437" t="n">
        <v>1.6</v>
      </c>
      <c r="H437" t="n">
        <v>0</v>
      </c>
      <c r="I437" t="n">
        <v>0</v>
      </c>
      <c r="J437" t="n">
        <v>0</v>
      </c>
      <c r="K437" t="n">
        <v>0</v>
      </c>
      <c r="L437" t="n">
        <v>0</v>
      </c>
      <c r="M437" t="n">
        <v>0</v>
      </c>
      <c r="N437" t="n">
        <v>0</v>
      </c>
      <c r="O437" t="n">
        <v>0</v>
      </c>
      <c r="P437" t="n">
        <v>0</v>
      </c>
      <c r="Q437" t="n">
        <v>0</v>
      </c>
      <c r="R437" s="2" t="inlineStr"/>
    </row>
    <row r="438" ht="15" customHeight="1">
      <c r="A438" t="inlineStr">
        <is>
          <t>A 16916-2023</t>
        </is>
      </c>
      <c r="B438" s="1" t="n">
        <v>45033.58347222222</v>
      </c>
      <c r="C438" s="1" t="n">
        <v>45905</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49622-2024</t>
        </is>
      </c>
      <c r="B439" s="1" t="n">
        <v>45596.58372685185</v>
      </c>
      <c r="C439" s="1" t="n">
        <v>45905</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16920-2023</t>
        </is>
      </c>
      <c r="B440" s="1" t="n">
        <v>45033.59030092593</v>
      </c>
      <c r="C440" s="1" t="n">
        <v>45905</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2850-2025</t>
        </is>
      </c>
      <c r="B441" s="1" t="n">
        <v>45677</v>
      </c>
      <c r="C441" s="1" t="n">
        <v>45905</v>
      </c>
      <c r="D441" t="inlineStr">
        <is>
          <t>UPPSALA LÄN</t>
        </is>
      </c>
      <c r="E441" t="inlineStr">
        <is>
          <t>ENKÖPING</t>
        </is>
      </c>
      <c r="G441" t="n">
        <v>0.3</v>
      </c>
      <c r="H441" t="n">
        <v>0</v>
      </c>
      <c r="I441" t="n">
        <v>0</v>
      </c>
      <c r="J441" t="n">
        <v>0</v>
      </c>
      <c r="K441" t="n">
        <v>0</v>
      </c>
      <c r="L441" t="n">
        <v>0</v>
      </c>
      <c r="M441" t="n">
        <v>0</v>
      </c>
      <c r="N441" t="n">
        <v>0</v>
      </c>
      <c r="O441" t="n">
        <v>0</v>
      </c>
      <c r="P441" t="n">
        <v>0</v>
      </c>
      <c r="Q441" t="n">
        <v>0</v>
      </c>
      <c r="R441" s="2" t="inlineStr"/>
    </row>
    <row r="442" ht="15" customHeight="1">
      <c r="A442" t="inlineStr">
        <is>
          <t>A 13853-2023</t>
        </is>
      </c>
      <c r="B442" s="1" t="n">
        <v>45007</v>
      </c>
      <c r="C442" s="1" t="n">
        <v>45905</v>
      </c>
      <c r="D442" t="inlineStr">
        <is>
          <t>UPPSALA LÄN</t>
        </is>
      </c>
      <c r="E442" t="inlineStr">
        <is>
          <t>ENKÖPING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52388-2024</t>
        </is>
      </c>
      <c r="B443" s="1" t="n">
        <v>45609.42939814815</v>
      </c>
      <c r="C443" s="1" t="n">
        <v>45905</v>
      </c>
      <c r="D443" t="inlineStr">
        <is>
          <t>UPPSALA LÄN</t>
        </is>
      </c>
      <c r="E443" t="inlineStr">
        <is>
          <t>ENKÖPING</t>
        </is>
      </c>
      <c r="G443" t="n">
        <v>1.8</v>
      </c>
      <c r="H443" t="n">
        <v>0</v>
      </c>
      <c r="I443" t="n">
        <v>0</v>
      </c>
      <c r="J443" t="n">
        <v>0</v>
      </c>
      <c r="K443" t="n">
        <v>0</v>
      </c>
      <c r="L443" t="n">
        <v>0</v>
      </c>
      <c r="M443" t="n">
        <v>0</v>
      </c>
      <c r="N443" t="n">
        <v>0</v>
      </c>
      <c r="O443" t="n">
        <v>0</v>
      </c>
      <c r="P443" t="n">
        <v>0</v>
      </c>
      <c r="Q443" t="n">
        <v>0</v>
      </c>
      <c r="R443" s="2" t="inlineStr"/>
    </row>
    <row r="444" ht="15" customHeight="1">
      <c r="A444" t="inlineStr">
        <is>
          <t>A 12434-2021</t>
        </is>
      </c>
      <c r="B444" s="1" t="n">
        <v>44267</v>
      </c>
      <c r="C444" s="1" t="n">
        <v>45905</v>
      </c>
      <c r="D444" t="inlineStr">
        <is>
          <t>UPPSALA LÄN</t>
        </is>
      </c>
      <c r="E444" t="inlineStr">
        <is>
          <t>ENKÖPING</t>
        </is>
      </c>
      <c r="G444" t="n">
        <v>5.3</v>
      </c>
      <c r="H444" t="n">
        <v>0</v>
      </c>
      <c r="I444" t="n">
        <v>0</v>
      </c>
      <c r="J444" t="n">
        <v>0</v>
      </c>
      <c r="K444" t="n">
        <v>0</v>
      </c>
      <c r="L444" t="n">
        <v>0</v>
      </c>
      <c r="M444" t="n">
        <v>0</v>
      </c>
      <c r="N444" t="n">
        <v>0</v>
      </c>
      <c r="O444" t="n">
        <v>0</v>
      </c>
      <c r="P444" t="n">
        <v>0</v>
      </c>
      <c r="Q444" t="n">
        <v>0</v>
      </c>
      <c r="R444" s="2" t="inlineStr"/>
    </row>
    <row r="445" ht="15" customHeight="1">
      <c r="A445" t="inlineStr">
        <is>
          <t>A 1992-2022</t>
        </is>
      </c>
      <c r="B445" s="1" t="n">
        <v>44575.56153935185</v>
      </c>
      <c r="C445" s="1" t="n">
        <v>45905</v>
      </c>
      <c r="D445" t="inlineStr">
        <is>
          <t>UPPSALA LÄN</t>
        </is>
      </c>
      <c r="E445" t="inlineStr">
        <is>
          <t>ENKÖPING</t>
        </is>
      </c>
      <c r="G445" t="n">
        <v>2.8</v>
      </c>
      <c r="H445" t="n">
        <v>0</v>
      </c>
      <c r="I445" t="n">
        <v>0</v>
      </c>
      <c r="J445" t="n">
        <v>0</v>
      </c>
      <c r="K445" t="n">
        <v>0</v>
      </c>
      <c r="L445" t="n">
        <v>0</v>
      </c>
      <c r="M445" t="n">
        <v>0</v>
      </c>
      <c r="N445" t="n">
        <v>0</v>
      </c>
      <c r="O445" t="n">
        <v>0</v>
      </c>
      <c r="P445" t="n">
        <v>0</v>
      </c>
      <c r="Q445" t="n">
        <v>0</v>
      </c>
      <c r="R445" s="2" t="inlineStr"/>
    </row>
    <row r="446" ht="15" customHeight="1">
      <c r="A446" t="inlineStr">
        <is>
          <t>A 6626-2023</t>
        </is>
      </c>
      <c r="B446" s="1" t="n">
        <v>44966.55946759259</v>
      </c>
      <c r="C446" s="1" t="n">
        <v>45905</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48843-2023</t>
        </is>
      </c>
      <c r="B447" s="1" t="n">
        <v>45209</v>
      </c>
      <c r="C447" s="1" t="n">
        <v>45905</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57940-2022</t>
        </is>
      </c>
      <c r="B448" s="1" t="n">
        <v>44900</v>
      </c>
      <c r="C448" s="1" t="n">
        <v>45905</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35079-2024</t>
        </is>
      </c>
      <c r="B449" s="1" t="n">
        <v>45527.66770833333</v>
      </c>
      <c r="C449" s="1" t="n">
        <v>45905</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53595-2023</t>
        </is>
      </c>
      <c r="B450" s="1" t="n">
        <v>45223</v>
      </c>
      <c r="C450" s="1" t="n">
        <v>45905</v>
      </c>
      <c r="D450" t="inlineStr">
        <is>
          <t>UPPSALA LÄN</t>
        </is>
      </c>
      <c r="E450" t="inlineStr">
        <is>
          <t>ENKÖPING</t>
        </is>
      </c>
      <c r="G450" t="n">
        <v>2.6</v>
      </c>
      <c r="H450" t="n">
        <v>0</v>
      </c>
      <c r="I450" t="n">
        <v>0</v>
      </c>
      <c r="J450" t="n">
        <v>0</v>
      </c>
      <c r="K450" t="n">
        <v>0</v>
      </c>
      <c r="L450" t="n">
        <v>0</v>
      </c>
      <c r="M450" t="n">
        <v>0</v>
      </c>
      <c r="N450" t="n">
        <v>0</v>
      </c>
      <c r="O450" t="n">
        <v>0</v>
      </c>
      <c r="P450" t="n">
        <v>0</v>
      </c>
      <c r="Q450" t="n">
        <v>0</v>
      </c>
      <c r="R450" s="2" t="inlineStr"/>
    </row>
    <row r="451" ht="15" customHeight="1">
      <c r="A451" t="inlineStr">
        <is>
          <t>A 60533-2021</t>
        </is>
      </c>
      <c r="B451" s="1" t="n">
        <v>44496</v>
      </c>
      <c r="C451" s="1" t="n">
        <v>45905</v>
      </c>
      <c r="D451" t="inlineStr">
        <is>
          <t>UPPSALA LÄN</t>
        </is>
      </c>
      <c r="E451" t="inlineStr">
        <is>
          <t>ENKÖPING</t>
        </is>
      </c>
      <c r="G451" t="n">
        <v>2.2</v>
      </c>
      <c r="H451" t="n">
        <v>0</v>
      </c>
      <c r="I451" t="n">
        <v>0</v>
      </c>
      <c r="J451" t="n">
        <v>0</v>
      </c>
      <c r="K451" t="n">
        <v>0</v>
      </c>
      <c r="L451" t="n">
        <v>0</v>
      </c>
      <c r="M451" t="n">
        <v>0</v>
      </c>
      <c r="N451" t="n">
        <v>0</v>
      </c>
      <c r="O451" t="n">
        <v>0</v>
      </c>
      <c r="P451" t="n">
        <v>0</v>
      </c>
      <c r="Q451" t="n">
        <v>0</v>
      </c>
      <c r="R451" s="2" t="inlineStr"/>
    </row>
    <row r="452" ht="15" customHeight="1">
      <c r="A452" t="inlineStr">
        <is>
          <t>A 15757-2023</t>
        </is>
      </c>
      <c r="B452" s="1" t="n">
        <v>45021</v>
      </c>
      <c r="C452" s="1" t="n">
        <v>45905</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43230-2023</t>
        </is>
      </c>
      <c r="B453" s="1" t="n">
        <v>45183</v>
      </c>
      <c r="C453" s="1" t="n">
        <v>45905</v>
      </c>
      <c r="D453" t="inlineStr">
        <is>
          <t>UPPSALA LÄN</t>
        </is>
      </c>
      <c r="E453" t="inlineStr">
        <is>
          <t>ENKÖPING</t>
        </is>
      </c>
      <c r="G453" t="n">
        <v>2.1</v>
      </c>
      <c r="H453" t="n">
        <v>0</v>
      </c>
      <c r="I453" t="n">
        <v>0</v>
      </c>
      <c r="J453" t="n">
        <v>0</v>
      </c>
      <c r="K453" t="n">
        <v>0</v>
      </c>
      <c r="L453" t="n">
        <v>0</v>
      </c>
      <c r="M453" t="n">
        <v>0</v>
      </c>
      <c r="N453" t="n">
        <v>0</v>
      </c>
      <c r="O453" t="n">
        <v>0</v>
      </c>
      <c r="P453" t="n">
        <v>0</v>
      </c>
      <c r="Q453" t="n">
        <v>0</v>
      </c>
      <c r="R453" s="2" t="inlineStr"/>
    </row>
    <row r="454" ht="15" customHeight="1">
      <c r="A454" t="inlineStr">
        <is>
          <t>A 56886-2023</t>
        </is>
      </c>
      <c r="B454" s="1" t="n">
        <v>45239</v>
      </c>
      <c r="C454" s="1" t="n">
        <v>45905</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51011-2024</t>
        </is>
      </c>
      <c r="B455" s="1" t="n">
        <v>45603.39427083333</v>
      </c>
      <c r="C455" s="1" t="n">
        <v>45905</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12102-2024</t>
        </is>
      </c>
      <c r="B456" s="1" t="n">
        <v>45377</v>
      </c>
      <c r="C456" s="1" t="n">
        <v>45905</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58961-2024</t>
        </is>
      </c>
      <c r="B457" s="1" t="n">
        <v>45636.585</v>
      </c>
      <c r="C457" s="1" t="n">
        <v>45905</v>
      </c>
      <c r="D457" t="inlineStr">
        <is>
          <t>UPPSALA LÄN</t>
        </is>
      </c>
      <c r="E457" t="inlineStr">
        <is>
          <t>ENKÖPING</t>
        </is>
      </c>
      <c r="G457" t="n">
        <v>4</v>
      </c>
      <c r="H457" t="n">
        <v>0</v>
      </c>
      <c r="I457" t="n">
        <v>0</v>
      </c>
      <c r="J457" t="n">
        <v>0</v>
      </c>
      <c r="K457" t="n">
        <v>0</v>
      </c>
      <c r="L457" t="n">
        <v>0</v>
      </c>
      <c r="M457" t="n">
        <v>0</v>
      </c>
      <c r="N457" t="n">
        <v>0</v>
      </c>
      <c r="O457" t="n">
        <v>0</v>
      </c>
      <c r="P457" t="n">
        <v>0</v>
      </c>
      <c r="Q457" t="n">
        <v>0</v>
      </c>
      <c r="R457" s="2" t="inlineStr"/>
    </row>
    <row r="458" ht="15" customHeight="1">
      <c r="A458" t="inlineStr">
        <is>
          <t>A 45283-2022</t>
        </is>
      </c>
      <c r="B458" s="1" t="n">
        <v>44844</v>
      </c>
      <c r="C458" s="1" t="n">
        <v>45905</v>
      </c>
      <c r="D458" t="inlineStr">
        <is>
          <t>UPPSALA LÄN</t>
        </is>
      </c>
      <c r="E458" t="inlineStr">
        <is>
          <t>ENKÖPING</t>
        </is>
      </c>
      <c r="G458" t="n">
        <v>5.9</v>
      </c>
      <c r="H458" t="n">
        <v>0</v>
      </c>
      <c r="I458" t="n">
        <v>0</v>
      </c>
      <c r="J458" t="n">
        <v>0</v>
      </c>
      <c r="K458" t="n">
        <v>0</v>
      </c>
      <c r="L458" t="n">
        <v>0</v>
      </c>
      <c r="M458" t="n">
        <v>0</v>
      </c>
      <c r="N458" t="n">
        <v>0</v>
      </c>
      <c r="O458" t="n">
        <v>0</v>
      </c>
      <c r="P458" t="n">
        <v>0</v>
      </c>
      <c r="Q458" t="n">
        <v>0</v>
      </c>
      <c r="R458" s="2" t="inlineStr"/>
    </row>
    <row r="459" ht="15" customHeight="1">
      <c r="A459" t="inlineStr">
        <is>
          <t>A 845-2025</t>
        </is>
      </c>
      <c r="B459" s="1" t="n">
        <v>45665</v>
      </c>
      <c r="C459" s="1" t="n">
        <v>45905</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849-2025</t>
        </is>
      </c>
      <c r="B460" s="1" t="n">
        <v>45665</v>
      </c>
      <c r="C460" s="1" t="n">
        <v>45905</v>
      </c>
      <c r="D460" t="inlineStr">
        <is>
          <t>UPPSALA LÄN</t>
        </is>
      </c>
      <c r="E460" t="inlineStr">
        <is>
          <t>ENKÖPING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58147-2024</t>
        </is>
      </c>
      <c r="B461" s="1" t="n">
        <v>45632.4334375</v>
      </c>
      <c r="C461" s="1" t="n">
        <v>45905</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18302-2025</t>
        </is>
      </c>
      <c r="B462" s="1" t="n">
        <v>45762</v>
      </c>
      <c r="C462" s="1" t="n">
        <v>45905</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34735-2023</t>
        </is>
      </c>
      <c r="B463" s="1" t="n">
        <v>45139</v>
      </c>
      <c r="C463" s="1" t="n">
        <v>45905</v>
      </c>
      <c r="D463" t="inlineStr">
        <is>
          <t>UPPSALA LÄN</t>
        </is>
      </c>
      <c r="E463" t="inlineStr">
        <is>
          <t>ENKÖPING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30514-2021</t>
        </is>
      </c>
      <c r="B464" s="1" t="n">
        <v>44364</v>
      </c>
      <c r="C464" s="1" t="n">
        <v>45905</v>
      </c>
      <c r="D464" t="inlineStr">
        <is>
          <t>UPPSALA LÄN</t>
        </is>
      </c>
      <c r="E464" t="inlineStr">
        <is>
          <t>ENKÖPING</t>
        </is>
      </c>
      <c r="G464" t="n">
        <v>1.4</v>
      </c>
      <c r="H464" t="n">
        <v>0</v>
      </c>
      <c r="I464" t="n">
        <v>0</v>
      </c>
      <c r="J464" t="n">
        <v>0</v>
      </c>
      <c r="K464" t="n">
        <v>0</v>
      </c>
      <c r="L464" t="n">
        <v>0</v>
      </c>
      <c r="M464" t="n">
        <v>0</v>
      </c>
      <c r="N464" t="n">
        <v>0</v>
      </c>
      <c r="O464" t="n">
        <v>0</v>
      </c>
      <c r="P464" t="n">
        <v>0</v>
      </c>
      <c r="Q464" t="n">
        <v>0</v>
      </c>
      <c r="R464" s="2" t="inlineStr"/>
    </row>
    <row r="465" ht="15" customHeight="1">
      <c r="A465" t="inlineStr">
        <is>
          <t>A 57209-2024</t>
        </is>
      </c>
      <c r="B465" s="1" t="n">
        <v>45629.49311342592</v>
      </c>
      <c r="C465" s="1" t="n">
        <v>45905</v>
      </c>
      <c r="D465" t="inlineStr">
        <is>
          <t>UPPSALA LÄN</t>
        </is>
      </c>
      <c r="E465" t="inlineStr">
        <is>
          <t>ENKÖPING</t>
        </is>
      </c>
      <c r="G465" t="n">
        <v>3.2</v>
      </c>
      <c r="H465" t="n">
        <v>0</v>
      </c>
      <c r="I465" t="n">
        <v>0</v>
      </c>
      <c r="J465" t="n">
        <v>0</v>
      </c>
      <c r="K465" t="n">
        <v>0</v>
      </c>
      <c r="L465" t="n">
        <v>0</v>
      </c>
      <c r="M465" t="n">
        <v>0</v>
      </c>
      <c r="N465" t="n">
        <v>0</v>
      </c>
      <c r="O465" t="n">
        <v>0</v>
      </c>
      <c r="P465" t="n">
        <v>0</v>
      </c>
      <c r="Q465" t="n">
        <v>0</v>
      </c>
      <c r="R465" s="2" t="inlineStr"/>
    </row>
    <row r="466" ht="15" customHeight="1">
      <c r="A466" t="inlineStr">
        <is>
          <t>A 13110-2023</t>
        </is>
      </c>
      <c r="B466" s="1" t="n">
        <v>45001</v>
      </c>
      <c r="C466" s="1" t="n">
        <v>45905</v>
      </c>
      <c r="D466" t="inlineStr">
        <is>
          <t>UPPSALA LÄN</t>
        </is>
      </c>
      <c r="E466" t="inlineStr">
        <is>
          <t>ENKÖPING</t>
        </is>
      </c>
      <c r="G466" t="n">
        <v>2.5</v>
      </c>
      <c r="H466" t="n">
        <v>0</v>
      </c>
      <c r="I466" t="n">
        <v>0</v>
      </c>
      <c r="J466" t="n">
        <v>0</v>
      </c>
      <c r="K466" t="n">
        <v>0</v>
      </c>
      <c r="L466" t="n">
        <v>0</v>
      </c>
      <c r="M466" t="n">
        <v>0</v>
      </c>
      <c r="N466" t="n">
        <v>0</v>
      </c>
      <c r="O466" t="n">
        <v>0</v>
      </c>
      <c r="P466" t="n">
        <v>0</v>
      </c>
      <c r="Q466" t="n">
        <v>0</v>
      </c>
      <c r="R466" s="2" t="inlineStr"/>
    </row>
    <row r="467" ht="15" customHeight="1">
      <c r="A467" t="inlineStr">
        <is>
          <t>A 49623-2024</t>
        </is>
      </c>
      <c r="B467" s="1" t="n">
        <v>45596</v>
      </c>
      <c r="C467" s="1" t="n">
        <v>45905</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49627-2024</t>
        </is>
      </c>
      <c r="B468" s="1" t="n">
        <v>45596.59140046296</v>
      </c>
      <c r="C468" s="1" t="n">
        <v>45905</v>
      </c>
      <c r="D468" t="inlineStr">
        <is>
          <t>UPPSALA LÄN</t>
        </is>
      </c>
      <c r="E468" t="inlineStr">
        <is>
          <t>ENKÖPING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9231-2023</t>
        </is>
      </c>
      <c r="B469" s="1" t="n">
        <v>44980</v>
      </c>
      <c r="C469" s="1" t="n">
        <v>45905</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27538-2023</t>
        </is>
      </c>
      <c r="B470" s="1" t="n">
        <v>45097</v>
      </c>
      <c r="C470" s="1" t="n">
        <v>45905</v>
      </c>
      <c r="D470" t="inlineStr">
        <is>
          <t>UPPSALA LÄN</t>
        </is>
      </c>
      <c r="E470" t="inlineStr">
        <is>
          <t>ENKÖPING</t>
        </is>
      </c>
      <c r="G470" t="n">
        <v>5.8</v>
      </c>
      <c r="H470" t="n">
        <v>0</v>
      </c>
      <c r="I470" t="n">
        <v>0</v>
      </c>
      <c r="J470" t="n">
        <v>0</v>
      </c>
      <c r="K470" t="n">
        <v>0</v>
      </c>
      <c r="L470" t="n">
        <v>0</v>
      </c>
      <c r="M470" t="n">
        <v>0</v>
      </c>
      <c r="N470" t="n">
        <v>0</v>
      </c>
      <c r="O470" t="n">
        <v>0</v>
      </c>
      <c r="P470" t="n">
        <v>0</v>
      </c>
      <c r="Q470" t="n">
        <v>0</v>
      </c>
      <c r="R470" s="2" t="inlineStr"/>
    </row>
    <row r="471" ht="15" customHeight="1">
      <c r="A471" t="inlineStr">
        <is>
          <t>A 18821-2023</t>
        </is>
      </c>
      <c r="B471" s="1" t="n">
        <v>45044.3782175926</v>
      </c>
      <c r="C471" s="1" t="n">
        <v>45905</v>
      </c>
      <c r="D471" t="inlineStr">
        <is>
          <t>UPPSALA LÄN</t>
        </is>
      </c>
      <c r="E471" t="inlineStr">
        <is>
          <t>ENKÖPING</t>
        </is>
      </c>
      <c r="G471" t="n">
        <v>6</v>
      </c>
      <c r="H471" t="n">
        <v>0</v>
      </c>
      <c r="I471" t="n">
        <v>0</v>
      </c>
      <c r="J471" t="n">
        <v>0</v>
      </c>
      <c r="K471" t="n">
        <v>0</v>
      </c>
      <c r="L471" t="n">
        <v>0</v>
      </c>
      <c r="M471" t="n">
        <v>0</v>
      </c>
      <c r="N471" t="n">
        <v>0</v>
      </c>
      <c r="O471" t="n">
        <v>0</v>
      </c>
      <c r="P471" t="n">
        <v>0</v>
      </c>
      <c r="Q471" t="n">
        <v>0</v>
      </c>
      <c r="R471" s="2" t="inlineStr"/>
    </row>
    <row r="472" ht="15" customHeight="1">
      <c r="A472" t="inlineStr">
        <is>
          <t>A 52380-2024</t>
        </is>
      </c>
      <c r="B472" s="1" t="n">
        <v>45609</v>
      </c>
      <c r="C472" s="1" t="n">
        <v>45905</v>
      </c>
      <c r="D472" t="inlineStr">
        <is>
          <t>UPPSALA LÄN</t>
        </is>
      </c>
      <c r="E472" t="inlineStr">
        <is>
          <t>ENKÖPING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9041-2023</t>
        </is>
      </c>
      <c r="B473" s="1" t="n">
        <v>44979</v>
      </c>
      <c r="C473" s="1" t="n">
        <v>45905</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27786-2023</t>
        </is>
      </c>
      <c r="B474" s="1" t="n">
        <v>45098</v>
      </c>
      <c r="C474" s="1" t="n">
        <v>45905</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15942-2022</t>
        </is>
      </c>
      <c r="B475" s="1" t="n">
        <v>44664</v>
      </c>
      <c r="C475" s="1" t="n">
        <v>45905</v>
      </c>
      <c r="D475" t="inlineStr">
        <is>
          <t>UPPSALA LÄN</t>
        </is>
      </c>
      <c r="E475" t="inlineStr">
        <is>
          <t>ENKÖPING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50006-2023</t>
        </is>
      </c>
      <c r="B476" s="1" t="n">
        <v>45215</v>
      </c>
      <c r="C476" s="1" t="n">
        <v>45905</v>
      </c>
      <c r="D476" t="inlineStr">
        <is>
          <t>UPPSALA LÄN</t>
        </is>
      </c>
      <c r="E476" t="inlineStr">
        <is>
          <t>ENKÖPING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53607-2023</t>
        </is>
      </c>
      <c r="B477" s="1" t="n">
        <v>45230</v>
      </c>
      <c r="C477" s="1" t="n">
        <v>45905</v>
      </c>
      <c r="D477" t="inlineStr">
        <is>
          <t>UPPSALA LÄN</t>
        </is>
      </c>
      <c r="E477" t="inlineStr">
        <is>
          <t>ENKÖPING</t>
        </is>
      </c>
      <c r="F477" t="inlineStr">
        <is>
          <t>Allmännings- och besparingsskogar</t>
        </is>
      </c>
      <c r="G477" t="n">
        <v>6.3</v>
      </c>
      <c r="H477" t="n">
        <v>0</v>
      </c>
      <c r="I477" t="n">
        <v>0</v>
      </c>
      <c r="J477" t="n">
        <v>0</v>
      </c>
      <c r="K477" t="n">
        <v>0</v>
      </c>
      <c r="L477" t="n">
        <v>0</v>
      </c>
      <c r="M477" t="n">
        <v>0</v>
      </c>
      <c r="N477" t="n">
        <v>0</v>
      </c>
      <c r="O477" t="n">
        <v>0</v>
      </c>
      <c r="P477" t="n">
        <v>0</v>
      </c>
      <c r="Q477" t="n">
        <v>0</v>
      </c>
      <c r="R477" s="2" t="inlineStr"/>
    </row>
    <row r="478" ht="15" customHeight="1">
      <c r="A478" t="inlineStr">
        <is>
          <t>A 59497-2022</t>
        </is>
      </c>
      <c r="B478" s="1" t="n">
        <v>44907.48258101852</v>
      </c>
      <c r="C478" s="1" t="n">
        <v>45905</v>
      </c>
      <c r="D478" t="inlineStr">
        <is>
          <t>UPPSALA LÄN</t>
        </is>
      </c>
      <c r="E478" t="inlineStr">
        <is>
          <t>ENKÖPING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49614-2024</t>
        </is>
      </c>
      <c r="B479" s="1" t="n">
        <v>45596.57716435185</v>
      </c>
      <c r="C479" s="1" t="n">
        <v>45905</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49632-2024</t>
        </is>
      </c>
      <c r="B480" s="1" t="n">
        <v>45596</v>
      </c>
      <c r="C480" s="1" t="n">
        <v>45905</v>
      </c>
      <c r="D480" t="inlineStr">
        <is>
          <t>UPPSALA LÄN</t>
        </is>
      </c>
      <c r="E480" t="inlineStr">
        <is>
          <t>ENKÖPING</t>
        </is>
      </c>
      <c r="G480" t="n">
        <v>1.8</v>
      </c>
      <c r="H480" t="n">
        <v>0</v>
      </c>
      <c r="I480" t="n">
        <v>0</v>
      </c>
      <c r="J480" t="n">
        <v>0</v>
      </c>
      <c r="K480" t="n">
        <v>0</v>
      </c>
      <c r="L480" t="n">
        <v>0</v>
      </c>
      <c r="M480" t="n">
        <v>0</v>
      </c>
      <c r="N480" t="n">
        <v>0</v>
      </c>
      <c r="O480" t="n">
        <v>0</v>
      </c>
      <c r="P480" t="n">
        <v>0</v>
      </c>
      <c r="Q480" t="n">
        <v>0</v>
      </c>
      <c r="R480" s="2" t="inlineStr"/>
    </row>
    <row r="481" ht="15" customHeight="1">
      <c r="A481" t="inlineStr">
        <is>
          <t>A 51027-2024</t>
        </is>
      </c>
      <c r="B481" s="1" t="n">
        <v>45603</v>
      </c>
      <c r="C481" s="1" t="n">
        <v>45905</v>
      </c>
      <c r="D481" t="inlineStr">
        <is>
          <t>UPPSALA LÄN</t>
        </is>
      </c>
      <c r="E481" t="inlineStr">
        <is>
          <t>ENKÖPING</t>
        </is>
      </c>
      <c r="G481" t="n">
        <v>3.5</v>
      </c>
      <c r="H481" t="n">
        <v>0</v>
      </c>
      <c r="I481" t="n">
        <v>0</v>
      </c>
      <c r="J481" t="n">
        <v>0</v>
      </c>
      <c r="K481" t="n">
        <v>0</v>
      </c>
      <c r="L481" t="n">
        <v>0</v>
      </c>
      <c r="M481" t="n">
        <v>0</v>
      </c>
      <c r="N481" t="n">
        <v>0</v>
      </c>
      <c r="O481" t="n">
        <v>0</v>
      </c>
      <c r="P481" t="n">
        <v>0</v>
      </c>
      <c r="Q481" t="n">
        <v>0</v>
      </c>
      <c r="R481" s="2" t="inlineStr"/>
    </row>
    <row r="482" ht="15" customHeight="1">
      <c r="A482" t="inlineStr">
        <is>
          <t>A 51030-2024</t>
        </is>
      </c>
      <c r="B482" s="1" t="n">
        <v>45603</v>
      </c>
      <c r="C482" s="1" t="n">
        <v>45905</v>
      </c>
      <c r="D482" t="inlineStr">
        <is>
          <t>UPPSALA LÄN</t>
        </is>
      </c>
      <c r="E482" t="inlineStr">
        <is>
          <t>ENKÖPING</t>
        </is>
      </c>
      <c r="G482" t="n">
        <v>2</v>
      </c>
      <c r="H482" t="n">
        <v>0</v>
      </c>
      <c r="I482" t="n">
        <v>0</v>
      </c>
      <c r="J482" t="n">
        <v>0</v>
      </c>
      <c r="K482" t="n">
        <v>0</v>
      </c>
      <c r="L482" t="n">
        <v>0</v>
      </c>
      <c r="M482" t="n">
        <v>0</v>
      </c>
      <c r="N482" t="n">
        <v>0</v>
      </c>
      <c r="O482" t="n">
        <v>0</v>
      </c>
      <c r="P482" t="n">
        <v>0</v>
      </c>
      <c r="Q482" t="n">
        <v>0</v>
      </c>
      <c r="R482" s="2" t="inlineStr"/>
    </row>
    <row r="483">
      <c r="A483" t="inlineStr">
        <is>
          <t>A 15405-2025</t>
        </is>
      </c>
      <c r="B483" s="1" t="n">
        <v>45747.44670138889</v>
      </c>
      <c r="C483" s="1" t="n">
        <v>45905</v>
      </c>
      <c r="D483" t="inlineStr">
        <is>
          <t>UPPSALA LÄN</t>
        </is>
      </c>
      <c r="E483" t="inlineStr">
        <is>
          <t>ENKÖPING</t>
        </is>
      </c>
      <c r="G483" t="n">
        <v>1.3</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2025-09-05T08:49:22Z</dcterms:created>
  <dcterms:modified xmlns:dcterms="http://purl.org/dc/terms/" xmlns:xsi="http://www.w3.org/2001/XMLSchema-instance" xsi:type="dcterms:W3CDTF">2025-09-05T08:49:23Z</dcterms:modified>
</cp:coreProperties>
</file>