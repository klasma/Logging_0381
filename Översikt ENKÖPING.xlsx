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45831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45831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45831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45831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45831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45831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45831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45831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45831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45831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45831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45831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45831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45831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45831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45831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45831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45831</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45831</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45831</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45831</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45831</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45831</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45831</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45831</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45831</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45831</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45831</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45831</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45831</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45831</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45831</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45831</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45831</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45831</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45831</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45831</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45831</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45831</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45831</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45831</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45831</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45831</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45831</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45831</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45831</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45831</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45831</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45831</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45831</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45831</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45831</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45831</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45831</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45831</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45831</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53590-2024</t>
        </is>
      </c>
      <c r="B59" s="1" t="n">
        <v>45614</v>
      </c>
      <c r="C59" s="1" t="n">
        <v>45831</v>
      </c>
      <c r="D59" t="inlineStr">
        <is>
          <t>UPPSALA LÄN</t>
        </is>
      </c>
      <c r="E59" t="inlineStr">
        <is>
          <t>ENKÖPING</t>
        </is>
      </c>
      <c r="G59" t="n">
        <v>1</v>
      </c>
      <c r="H59" t="n">
        <v>0</v>
      </c>
      <c r="I59" t="n">
        <v>0</v>
      </c>
      <c r="J59" t="n">
        <v>1</v>
      </c>
      <c r="K59" t="n">
        <v>0</v>
      </c>
      <c r="L59" t="n">
        <v>0</v>
      </c>
      <c r="M59" t="n">
        <v>0</v>
      </c>
      <c r="N59" t="n">
        <v>0</v>
      </c>
      <c r="O59" t="n">
        <v>1</v>
      </c>
      <c r="P59" t="n">
        <v>0</v>
      </c>
      <c r="Q59" t="n">
        <v>1</v>
      </c>
      <c r="R59" s="2" t="inlineStr">
        <is>
          <t>Humlerotfjäril</t>
        </is>
      </c>
      <c r="S59">
        <f>HYPERLINK("https://klasma.github.io/Logging_0381/artfynd/A 53590-2024 artfynd.xlsx", "A 53590-2024")</f>
        <v/>
      </c>
      <c r="T59">
        <f>HYPERLINK("https://klasma.github.io/Logging_0381/kartor/A 53590-2024 karta.png", "A 53590-2024")</f>
        <v/>
      </c>
      <c r="V59">
        <f>HYPERLINK("https://klasma.github.io/Logging_0381/klagomål/A 53590-2024 FSC-klagomål.docx", "A 53590-2024")</f>
        <v/>
      </c>
      <c r="W59">
        <f>HYPERLINK("https://klasma.github.io/Logging_0381/klagomålsmail/A 53590-2024 FSC-klagomål mail.docx", "A 53590-2024")</f>
        <v/>
      </c>
      <c r="X59">
        <f>HYPERLINK("https://klasma.github.io/Logging_0381/tillsyn/A 53590-2024 tillsynsbegäran.docx", "A 53590-2024")</f>
        <v/>
      </c>
      <c r="Y59">
        <f>HYPERLINK("https://klasma.github.io/Logging_0381/tillsynsmail/A 53590-2024 tillsynsbegäran mail.docx", "A 53590-2024")</f>
        <v/>
      </c>
    </row>
    <row r="60" ht="15" customHeight="1">
      <c r="A60" t="inlineStr">
        <is>
          <t>A 60266-2024</t>
        </is>
      </c>
      <c r="B60" s="1" t="n">
        <v>45642</v>
      </c>
      <c r="C60" s="1" t="n">
        <v>45831</v>
      </c>
      <c r="D60" t="inlineStr">
        <is>
          <t>UPPSALA LÄN</t>
        </is>
      </c>
      <c r="E60" t="inlineStr">
        <is>
          <t>ENKÖPING</t>
        </is>
      </c>
      <c r="G60" t="n">
        <v>14.5</v>
      </c>
      <c r="H60" t="n">
        <v>0</v>
      </c>
      <c r="I60" t="n">
        <v>1</v>
      </c>
      <c r="J60" t="n">
        <v>0</v>
      </c>
      <c r="K60" t="n">
        <v>0</v>
      </c>
      <c r="L60" t="n">
        <v>0</v>
      </c>
      <c r="M60" t="n">
        <v>0</v>
      </c>
      <c r="N60" t="n">
        <v>0</v>
      </c>
      <c r="O60" t="n">
        <v>0</v>
      </c>
      <c r="P60" t="n">
        <v>0</v>
      </c>
      <c r="Q60" t="n">
        <v>1</v>
      </c>
      <c r="R60" s="2" t="inlineStr">
        <is>
          <t>Skarp dropptaggsvamp</t>
        </is>
      </c>
      <c r="S60">
        <f>HYPERLINK("https://klasma.github.io/Logging_0381/artfynd/A 60266-2024 artfynd.xlsx", "A 60266-2024")</f>
        <v/>
      </c>
      <c r="T60">
        <f>HYPERLINK("https://klasma.github.io/Logging_0381/kartor/A 60266-2024 karta.png", "A 60266-2024")</f>
        <v/>
      </c>
      <c r="V60">
        <f>HYPERLINK("https://klasma.github.io/Logging_0381/klagomål/A 60266-2024 FSC-klagomål.docx", "A 60266-2024")</f>
        <v/>
      </c>
      <c r="W60">
        <f>HYPERLINK("https://klasma.github.io/Logging_0381/klagomålsmail/A 60266-2024 FSC-klagomål mail.docx", "A 60266-2024")</f>
        <v/>
      </c>
      <c r="X60">
        <f>HYPERLINK("https://klasma.github.io/Logging_0381/tillsyn/A 60266-2024 tillsynsbegäran.docx", "A 60266-2024")</f>
        <v/>
      </c>
      <c r="Y60">
        <f>HYPERLINK("https://klasma.github.io/Logging_0381/tillsynsmail/A 60266-2024 tillsynsbegäran mail.docx", "A 60266-2024")</f>
        <v/>
      </c>
    </row>
    <row r="61" ht="15" customHeight="1">
      <c r="A61" t="inlineStr">
        <is>
          <t>A 4067-2025</t>
        </is>
      </c>
      <c r="B61" s="1" t="n">
        <v>45684</v>
      </c>
      <c r="C61" s="1" t="n">
        <v>45831</v>
      </c>
      <c r="D61" t="inlineStr">
        <is>
          <t>UPPSALA LÄN</t>
        </is>
      </c>
      <c r="E61" t="inlineStr">
        <is>
          <t>ENKÖPING</t>
        </is>
      </c>
      <c r="G61" t="n">
        <v>2.9</v>
      </c>
      <c r="H61" t="n">
        <v>0</v>
      </c>
      <c r="I61" t="n">
        <v>0</v>
      </c>
      <c r="J61" t="n">
        <v>1</v>
      </c>
      <c r="K61" t="n">
        <v>0</v>
      </c>
      <c r="L61" t="n">
        <v>0</v>
      </c>
      <c r="M61" t="n">
        <v>0</v>
      </c>
      <c r="N61" t="n">
        <v>0</v>
      </c>
      <c r="O61" t="n">
        <v>1</v>
      </c>
      <c r="P61" t="n">
        <v>0</v>
      </c>
      <c r="Q61" t="n">
        <v>1</v>
      </c>
      <c r="R61" s="2" t="inlineStr">
        <is>
          <t>Dofttaggsvamp</t>
        </is>
      </c>
      <c r="S61">
        <f>HYPERLINK("https://klasma.github.io/Logging_0381/artfynd/A 4067-2025 artfynd.xlsx", "A 4067-2025")</f>
        <v/>
      </c>
      <c r="T61">
        <f>HYPERLINK("https://klasma.github.io/Logging_0381/kartor/A 4067-2025 karta.png", "A 4067-2025")</f>
        <v/>
      </c>
      <c r="V61">
        <f>HYPERLINK("https://klasma.github.io/Logging_0381/klagomål/A 4067-2025 FSC-klagomål.docx", "A 4067-2025")</f>
        <v/>
      </c>
      <c r="W61">
        <f>HYPERLINK("https://klasma.github.io/Logging_0381/klagomålsmail/A 4067-2025 FSC-klagomål mail.docx", "A 4067-2025")</f>
        <v/>
      </c>
      <c r="X61">
        <f>HYPERLINK("https://klasma.github.io/Logging_0381/tillsyn/A 4067-2025 tillsynsbegäran.docx", "A 4067-2025")</f>
        <v/>
      </c>
      <c r="Y61">
        <f>HYPERLINK("https://klasma.github.io/Logging_0381/tillsynsmail/A 4067-2025 tillsynsbegäran mail.docx", "A 4067-2025")</f>
        <v/>
      </c>
    </row>
    <row r="62" ht="15" customHeight="1">
      <c r="A62" t="inlineStr">
        <is>
          <t>A 10671-2025</t>
        </is>
      </c>
      <c r="B62" s="1" t="n">
        <v>45721</v>
      </c>
      <c r="C62" s="1" t="n">
        <v>45831</v>
      </c>
      <c r="D62" t="inlineStr">
        <is>
          <t>UPPSALA LÄN</t>
        </is>
      </c>
      <c r="E62" t="inlineStr">
        <is>
          <t>ENKÖPING</t>
        </is>
      </c>
      <c r="G62" t="n">
        <v>5.1</v>
      </c>
      <c r="H62" t="n">
        <v>1</v>
      </c>
      <c r="I62" t="n">
        <v>1</v>
      </c>
      <c r="J62" t="n">
        <v>0</v>
      </c>
      <c r="K62" t="n">
        <v>0</v>
      </c>
      <c r="L62" t="n">
        <v>0</v>
      </c>
      <c r="M62" t="n">
        <v>0</v>
      </c>
      <c r="N62" t="n">
        <v>0</v>
      </c>
      <c r="O62" t="n">
        <v>0</v>
      </c>
      <c r="P62" t="n">
        <v>0</v>
      </c>
      <c r="Q62" t="n">
        <v>1</v>
      </c>
      <c r="R62" s="2" t="inlineStr">
        <is>
          <t>Korallrot</t>
        </is>
      </c>
      <c r="S62">
        <f>HYPERLINK("https://klasma.github.io/Logging_030381/artfynd/A 10671-2025 artfynd.xlsx", "A 10671-2025")</f>
        <v/>
      </c>
      <c r="T62">
        <f>HYPERLINK("https://klasma.github.io/Logging_030381/kartor/A 10671-2025 karta.png", "A 10671-2025")</f>
        <v/>
      </c>
      <c r="V62">
        <f>HYPERLINK("https://klasma.github.io/Logging_030381/klagomål/A 10671-2025 FSC-klagomål.docx", "A 10671-2025")</f>
        <v/>
      </c>
      <c r="W62">
        <f>HYPERLINK("https://klasma.github.io/Logging_030381/klagomålsmail/A 10671-2025 FSC-klagomål mail.docx", "A 10671-2025")</f>
        <v/>
      </c>
      <c r="X62">
        <f>HYPERLINK("https://klasma.github.io/Logging_030381/tillsyn/A 10671-2025 tillsynsbegäran.docx", "A 10671-2025")</f>
        <v/>
      </c>
      <c r="Y62">
        <f>HYPERLINK("https://klasma.github.io/Logging_030381/tillsynsmail/A 10671-2025 tillsynsbegäran mail.docx", "A 10671-2025")</f>
        <v/>
      </c>
    </row>
    <row r="63" ht="15" customHeight="1">
      <c r="A63" t="inlineStr">
        <is>
          <t>A 11015-2025</t>
        </is>
      </c>
      <c r="B63" s="1" t="n">
        <v>45723</v>
      </c>
      <c r="C63" s="1" t="n">
        <v>45831</v>
      </c>
      <c r="D63" t="inlineStr">
        <is>
          <t>UPPSALA LÄN</t>
        </is>
      </c>
      <c r="E63" t="inlineStr">
        <is>
          <t>ENKÖPING</t>
        </is>
      </c>
      <c r="G63" t="n">
        <v>1.3</v>
      </c>
      <c r="H63" t="n">
        <v>0</v>
      </c>
      <c r="I63" t="n">
        <v>1</v>
      </c>
      <c r="J63" t="n">
        <v>0</v>
      </c>
      <c r="K63" t="n">
        <v>0</v>
      </c>
      <c r="L63" t="n">
        <v>0</v>
      </c>
      <c r="M63" t="n">
        <v>0</v>
      </c>
      <c r="N63" t="n">
        <v>0</v>
      </c>
      <c r="O63" t="n">
        <v>0</v>
      </c>
      <c r="P63" t="n">
        <v>0</v>
      </c>
      <c r="Q63" t="n">
        <v>1</v>
      </c>
      <c r="R63" s="2" t="inlineStr">
        <is>
          <t>Svart trolldruva</t>
        </is>
      </c>
      <c r="S63">
        <f>HYPERLINK("https://klasma.github.io/Logging_030381/artfynd/A 11015-2025 artfynd.xlsx", "A 11015-2025")</f>
        <v/>
      </c>
      <c r="T63">
        <f>HYPERLINK("https://klasma.github.io/Logging_030381/kartor/A 11015-2025 karta.png", "A 11015-2025")</f>
        <v/>
      </c>
      <c r="V63">
        <f>HYPERLINK("https://klasma.github.io/Logging_030381/klagomål/A 11015-2025 FSC-klagomål.docx", "A 11015-2025")</f>
        <v/>
      </c>
      <c r="W63">
        <f>HYPERLINK("https://klasma.github.io/Logging_030381/klagomålsmail/A 11015-2025 FSC-klagomål mail.docx", "A 11015-2025")</f>
        <v/>
      </c>
      <c r="X63">
        <f>HYPERLINK("https://klasma.github.io/Logging_030381/tillsyn/A 11015-2025 tillsynsbegäran.docx", "A 11015-2025")</f>
        <v/>
      </c>
      <c r="Y63">
        <f>HYPERLINK("https://klasma.github.io/Logging_030381/tillsynsmail/A 11015-2025 tillsynsbegäran mail.docx", "A 11015-2025")</f>
        <v/>
      </c>
    </row>
    <row r="64" ht="15" customHeight="1">
      <c r="A64" t="inlineStr">
        <is>
          <t>A 11018-2025</t>
        </is>
      </c>
      <c r="B64" s="1" t="n">
        <v>45723</v>
      </c>
      <c r="C64" s="1" t="n">
        <v>45831</v>
      </c>
      <c r="D64" t="inlineStr">
        <is>
          <t>UPPSALA LÄN</t>
        </is>
      </c>
      <c r="E64" t="inlineStr">
        <is>
          <t>ENKÖPING</t>
        </is>
      </c>
      <c r="G64" t="n">
        <v>1.6</v>
      </c>
      <c r="H64" t="n">
        <v>0</v>
      </c>
      <c r="I64" t="n">
        <v>0</v>
      </c>
      <c r="J64" t="n">
        <v>0</v>
      </c>
      <c r="K64" t="n">
        <v>0</v>
      </c>
      <c r="L64" t="n">
        <v>1</v>
      </c>
      <c r="M64" t="n">
        <v>0</v>
      </c>
      <c r="N64" t="n">
        <v>0</v>
      </c>
      <c r="O64" t="n">
        <v>1</v>
      </c>
      <c r="P64" t="n">
        <v>1</v>
      </c>
      <c r="Q64" t="n">
        <v>1</v>
      </c>
      <c r="R64" s="2" t="inlineStr">
        <is>
          <t>Ask</t>
        </is>
      </c>
      <c r="S64">
        <f>HYPERLINK("https://klasma.github.io/Logging_030381/artfynd/A 11018-2025 artfynd.xlsx", "A 11018-2025")</f>
        <v/>
      </c>
      <c r="T64">
        <f>HYPERLINK("https://klasma.github.io/Logging_030381/kartor/A 11018-2025 karta.png", "A 11018-2025")</f>
        <v/>
      </c>
      <c r="V64">
        <f>HYPERLINK("https://klasma.github.io/Logging_030381/klagomål/A 11018-2025 FSC-klagomål.docx", "A 11018-2025")</f>
        <v/>
      </c>
      <c r="W64">
        <f>HYPERLINK("https://klasma.github.io/Logging_030381/klagomålsmail/A 11018-2025 FSC-klagomål mail.docx", "A 11018-2025")</f>
        <v/>
      </c>
      <c r="X64">
        <f>HYPERLINK("https://klasma.github.io/Logging_030381/tillsyn/A 11018-2025 tillsynsbegäran.docx", "A 11018-2025")</f>
        <v/>
      </c>
      <c r="Y64">
        <f>HYPERLINK("https://klasma.github.io/Logging_030381/tillsynsmail/A 11018-2025 tillsynsbegäran mail.docx", "A 11018-2025")</f>
        <v/>
      </c>
    </row>
    <row r="65" ht="15" customHeight="1">
      <c r="A65" t="inlineStr">
        <is>
          <t>A 26347-2025</t>
        </is>
      </c>
      <c r="B65" s="1" t="n">
        <v>45805</v>
      </c>
      <c r="C65" s="1" t="n">
        <v>45831</v>
      </c>
      <c r="D65" t="inlineStr">
        <is>
          <t>UPPSALA LÄN</t>
        </is>
      </c>
      <c r="E65" t="inlineStr">
        <is>
          <t>ENKÖPING</t>
        </is>
      </c>
      <c r="G65" t="n">
        <v>7.3</v>
      </c>
      <c r="H65" t="n">
        <v>1</v>
      </c>
      <c r="I65" t="n">
        <v>0</v>
      </c>
      <c r="J65" t="n">
        <v>0</v>
      </c>
      <c r="K65" t="n">
        <v>1</v>
      </c>
      <c r="L65" t="n">
        <v>0</v>
      </c>
      <c r="M65" t="n">
        <v>0</v>
      </c>
      <c r="N65" t="n">
        <v>0</v>
      </c>
      <c r="O65" t="n">
        <v>1</v>
      </c>
      <c r="P65" t="n">
        <v>1</v>
      </c>
      <c r="Q65" t="n">
        <v>1</v>
      </c>
      <c r="R65" s="2" t="inlineStr">
        <is>
          <t>Tofsvipa</t>
        </is>
      </c>
      <c r="S65">
        <f>HYPERLINK("https://klasma.github.io/Logging_030381/artfynd/A 26347-2025 artfynd.xlsx", "A 26347-2025")</f>
        <v/>
      </c>
      <c r="T65">
        <f>HYPERLINK("https://klasma.github.io/Logging_030381/kartor/A 26347-2025 karta.png", "A 26347-2025")</f>
        <v/>
      </c>
      <c r="V65">
        <f>HYPERLINK("https://klasma.github.io/Logging_030381/klagomål/A 26347-2025 FSC-klagomål.docx", "A 26347-2025")</f>
        <v/>
      </c>
      <c r="W65">
        <f>HYPERLINK("https://klasma.github.io/Logging_030381/klagomålsmail/A 26347-2025 FSC-klagomål mail.docx", "A 26347-2025")</f>
        <v/>
      </c>
      <c r="X65">
        <f>HYPERLINK("https://klasma.github.io/Logging_030381/tillsyn/A 26347-2025 tillsynsbegäran.docx", "A 26347-2025")</f>
        <v/>
      </c>
      <c r="Y65">
        <f>HYPERLINK("https://klasma.github.io/Logging_030381/tillsynsmail/A 26347-2025 tillsynsbegäran mail.docx", "A 26347-2025")</f>
        <v/>
      </c>
    </row>
    <row r="66" ht="15" customHeight="1">
      <c r="A66" t="inlineStr">
        <is>
          <t>A 27060-2025</t>
        </is>
      </c>
      <c r="B66" s="1" t="n">
        <v>45811</v>
      </c>
      <c r="C66" s="1" t="n">
        <v>45831</v>
      </c>
      <c r="D66" t="inlineStr">
        <is>
          <t>UPPSALA LÄN</t>
        </is>
      </c>
      <c r="E66" t="inlineStr">
        <is>
          <t>ENKÖPING</t>
        </is>
      </c>
      <c r="G66" t="n">
        <v>2.6</v>
      </c>
      <c r="H66" t="n">
        <v>0</v>
      </c>
      <c r="I66" t="n">
        <v>1</v>
      </c>
      <c r="J66" t="n">
        <v>0</v>
      </c>
      <c r="K66" t="n">
        <v>0</v>
      </c>
      <c r="L66" t="n">
        <v>0</v>
      </c>
      <c r="M66" t="n">
        <v>0</v>
      </c>
      <c r="N66" t="n">
        <v>0</v>
      </c>
      <c r="O66" t="n">
        <v>0</v>
      </c>
      <c r="P66" t="n">
        <v>0</v>
      </c>
      <c r="Q66" t="n">
        <v>1</v>
      </c>
      <c r="R66" s="2" t="inlineStr">
        <is>
          <t>Granbarkgnagare</t>
        </is>
      </c>
      <c r="S66">
        <f>HYPERLINK("https://klasma.github.io/Logging_030381/artfynd/A 27060-2025 artfynd.xlsx", "A 27060-2025")</f>
        <v/>
      </c>
      <c r="T66">
        <f>HYPERLINK("https://klasma.github.io/Logging_030381/kartor/A 27060-2025 karta.png", "A 27060-2025")</f>
        <v/>
      </c>
      <c r="V66">
        <f>HYPERLINK("https://klasma.github.io/Logging_030381/klagomål/A 27060-2025 FSC-klagomål.docx", "A 27060-2025")</f>
        <v/>
      </c>
      <c r="W66">
        <f>HYPERLINK("https://klasma.github.io/Logging_030381/klagomålsmail/A 27060-2025 FSC-klagomål mail.docx", "A 27060-2025")</f>
        <v/>
      </c>
      <c r="X66">
        <f>HYPERLINK("https://klasma.github.io/Logging_030381/tillsyn/A 27060-2025 tillsynsbegäran.docx", "A 27060-2025")</f>
        <v/>
      </c>
      <c r="Y66">
        <f>HYPERLINK("https://klasma.github.io/Logging_030381/tillsynsmail/A 27060-2025 tillsynsbegäran mail.docx", "A 27060-2025")</f>
        <v/>
      </c>
    </row>
    <row r="67" ht="15" customHeight="1">
      <c r="A67" t="inlineStr">
        <is>
          <t>A 29510-2025</t>
        </is>
      </c>
      <c r="B67" s="1" t="n">
        <v>45825</v>
      </c>
      <c r="C67" s="1" t="n">
        <v>45831</v>
      </c>
      <c r="D67" t="inlineStr">
        <is>
          <t>UPPSALA LÄN</t>
        </is>
      </c>
      <c r="E67" t="inlineStr">
        <is>
          <t>ENKÖPING</t>
        </is>
      </c>
      <c r="G67" t="n">
        <v>2.4</v>
      </c>
      <c r="H67" t="n">
        <v>0</v>
      </c>
      <c r="I67" t="n">
        <v>0</v>
      </c>
      <c r="J67" t="n">
        <v>0</v>
      </c>
      <c r="K67" t="n">
        <v>1</v>
      </c>
      <c r="L67" t="n">
        <v>0</v>
      </c>
      <c r="M67" t="n">
        <v>0</v>
      </c>
      <c r="N67" t="n">
        <v>0</v>
      </c>
      <c r="O67" t="n">
        <v>1</v>
      </c>
      <c r="P67" t="n">
        <v>1</v>
      </c>
      <c r="Q67" t="n">
        <v>1</v>
      </c>
      <c r="R67" s="2" t="inlineStr">
        <is>
          <t>Toppjungfrulin</t>
        </is>
      </c>
      <c r="S67">
        <f>HYPERLINK("https://klasma.github.io/Logging_030381/artfynd/A 29510-2025 artfynd.xlsx", "A 29510-2025")</f>
        <v/>
      </c>
      <c r="T67">
        <f>HYPERLINK("https://klasma.github.io/Logging_030381/kartor/A 29510-2025 karta.png", "A 29510-2025")</f>
        <v/>
      </c>
      <c r="V67">
        <f>HYPERLINK("https://klasma.github.io/Logging_030381/klagomål/A 29510-2025 FSC-klagomål.docx", "A 29510-2025")</f>
        <v/>
      </c>
      <c r="W67">
        <f>HYPERLINK("https://klasma.github.io/Logging_030381/klagomålsmail/A 29510-2025 FSC-klagomål mail.docx", "A 29510-2025")</f>
        <v/>
      </c>
      <c r="X67">
        <f>HYPERLINK("https://klasma.github.io/Logging_030381/tillsyn/A 29510-2025 tillsynsbegäran.docx", "A 29510-2025")</f>
        <v/>
      </c>
      <c r="Y67">
        <f>HYPERLINK("https://klasma.github.io/Logging_030381/tillsynsmail/A 29510-2025 tillsynsbegäran mail.docx", "A 29510-2025")</f>
        <v/>
      </c>
    </row>
    <row r="68" ht="15" customHeight="1">
      <c r="A68" t="inlineStr">
        <is>
          <t>A 18148-2019</t>
        </is>
      </c>
      <c r="B68" s="1" t="n">
        <v>43558</v>
      </c>
      <c r="C68" s="1" t="n">
        <v>45831</v>
      </c>
      <c r="D68" t="inlineStr">
        <is>
          <t>UPPSALA LÄN</t>
        </is>
      </c>
      <c r="E68" t="inlineStr">
        <is>
          <t>ENKÖPING</t>
        </is>
      </c>
      <c r="G68" t="n">
        <v>4.5</v>
      </c>
      <c r="H68" t="n">
        <v>0</v>
      </c>
      <c r="I68" t="n">
        <v>0</v>
      </c>
      <c r="J68" t="n">
        <v>0</v>
      </c>
      <c r="K68" t="n">
        <v>0</v>
      </c>
      <c r="L68" t="n">
        <v>0</v>
      </c>
      <c r="M68" t="n">
        <v>0</v>
      </c>
      <c r="N68" t="n">
        <v>0</v>
      </c>
      <c r="O68" t="n">
        <v>0</v>
      </c>
      <c r="P68" t="n">
        <v>0</v>
      </c>
      <c r="Q68" t="n">
        <v>0</v>
      </c>
      <c r="R68" s="2" t="inlineStr"/>
    </row>
    <row r="69" ht="15" customHeight="1">
      <c r="A69" t="inlineStr">
        <is>
          <t>A 22750-2019</t>
        </is>
      </c>
      <c r="B69" s="1" t="n">
        <v>43588</v>
      </c>
      <c r="C69" s="1" t="n">
        <v>45831</v>
      </c>
      <c r="D69" t="inlineStr">
        <is>
          <t>UPPSALA LÄN</t>
        </is>
      </c>
      <c r="E69" t="inlineStr">
        <is>
          <t>ENKÖPING</t>
        </is>
      </c>
      <c r="G69" t="n">
        <v>1.1</v>
      </c>
      <c r="H69" t="n">
        <v>0</v>
      </c>
      <c r="I69" t="n">
        <v>0</v>
      </c>
      <c r="J69" t="n">
        <v>0</v>
      </c>
      <c r="K69" t="n">
        <v>0</v>
      </c>
      <c r="L69" t="n">
        <v>0</v>
      </c>
      <c r="M69" t="n">
        <v>0</v>
      </c>
      <c r="N69" t="n">
        <v>0</v>
      </c>
      <c r="O69" t="n">
        <v>0</v>
      </c>
      <c r="P69" t="n">
        <v>0</v>
      </c>
      <c r="Q69" t="n">
        <v>0</v>
      </c>
      <c r="R69" s="2" t="inlineStr"/>
    </row>
    <row r="70" ht="15" customHeight="1">
      <c r="A70" t="inlineStr">
        <is>
          <t>A 23328-2019</t>
        </is>
      </c>
      <c r="B70" s="1" t="n">
        <v>43593</v>
      </c>
      <c r="C70" s="1" t="n">
        <v>45831</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26926-2019</t>
        </is>
      </c>
      <c r="B71" s="1" t="n">
        <v>43613</v>
      </c>
      <c r="C71" s="1" t="n">
        <v>45831</v>
      </c>
      <c r="D71" t="inlineStr">
        <is>
          <t>UPPSALA LÄN</t>
        </is>
      </c>
      <c r="E71" t="inlineStr">
        <is>
          <t>ENKÖPING</t>
        </is>
      </c>
      <c r="G71" t="n">
        <v>1.4</v>
      </c>
      <c r="H71" t="n">
        <v>0</v>
      </c>
      <c r="I71" t="n">
        <v>0</v>
      </c>
      <c r="J71" t="n">
        <v>0</v>
      </c>
      <c r="K71" t="n">
        <v>0</v>
      </c>
      <c r="L71" t="n">
        <v>0</v>
      </c>
      <c r="M71" t="n">
        <v>0</v>
      </c>
      <c r="N71" t="n">
        <v>0</v>
      </c>
      <c r="O71" t="n">
        <v>0</v>
      </c>
      <c r="P71" t="n">
        <v>0</v>
      </c>
      <c r="Q71" t="n">
        <v>0</v>
      </c>
      <c r="R71" s="2" t="inlineStr"/>
    </row>
    <row r="72" ht="15" customHeight="1">
      <c r="A72" t="inlineStr">
        <is>
          <t>A 28134-2019</t>
        </is>
      </c>
      <c r="B72" s="1" t="n">
        <v>43621</v>
      </c>
      <c r="C72" s="1" t="n">
        <v>45831</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30036-2019</t>
        </is>
      </c>
      <c r="B73" s="1" t="n">
        <v>43633</v>
      </c>
      <c r="C73" s="1" t="n">
        <v>45831</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29979-2019</t>
        </is>
      </c>
      <c r="B74" s="1" t="n">
        <v>43633</v>
      </c>
      <c r="C74" s="1" t="n">
        <v>45831</v>
      </c>
      <c r="D74" t="inlineStr">
        <is>
          <t>UPPSALA LÄN</t>
        </is>
      </c>
      <c r="E74" t="inlineStr">
        <is>
          <t>ENKÖPING</t>
        </is>
      </c>
      <c r="G74" t="n">
        <v>2.3</v>
      </c>
      <c r="H74" t="n">
        <v>0</v>
      </c>
      <c r="I74" t="n">
        <v>0</v>
      </c>
      <c r="J74" t="n">
        <v>0</v>
      </c>
      <c r="K74" t="n">
        <v>0</v>
      </c>
      <c r="L74" t="n">
        <v>0</v>
      </c>
      <c r="M74" t="n">
        <v>0</v>
      </c>
      <c r="N74" t="n">
        <v>0</v>
      </c>
      <c r="O74" t="n">
        <v>0</v>
      </c>
      <c r="P74" t="n">
        <v>0</v>
      </c>
      <c r="Q74" t="n">
        <v>0</v>
      </c>
      <c r="R74" s="2" t="inlineStr"/>
    </row>
    <row r="75" ht="15" customHeight="1">
      <c r="A75" t="inlineStr">
        <is>
          <t>A 31081-2019</t>
        </is>
      </c>
      <c r="B75" s="1" t="n">
        <v>43640</v>
      </c>
      <c r="C75" s="1" t="n">
        <v>45831</v>
      </c>
      <c r="D75" t="inlineStr">
        <is>
          <t>UPPSALA LÄN</t>
        </is>
      </c>
      <c r="E75" t="inlineStr">
        <is>
          <t>ENKÖPING</t>
        </is>
      </c>
      <c r="G75" t="n">
        <v>3.1</v>
      </c>
      <c r="H75" t="n">
        <v>0</v>
      </c>
      <c r="I75" t="n">
        <v>0</v>
      </c>
      <c r="J75" t="n">
        <v>0</v>
      </c>
      <c r="K75" t="n">
        <v>0</v>
      </c>
      <c r="L75" t="n">
        <v>0</v>
      </c>
      <c r="M75" t="n">
        <v>0</v>
      </c>
      <c r="N75" t="n">
        <v>0</v>
      </c>
      <c r="O75" t="n">
        <v>0</v>
      </c>
      <c r="P75" t="n">
        <v>0</v>
      </c>
      <c r="Q75" t="n">
        <v>0</v>
      </c>
      <c r="R75" s="2" t="inlineStr"/>
    </row>
    <row r="76" ht="15" customHeight="1">
      <c r="A76" t="inlineStr">
        <is>
          <t>A 31074-2019</t>
        </is>
      </c>
      <c r="B76" s="1" t="n">
        <v>43640</v>
      </c>
      <c r="C76" s="1" t="n">
        <v>45831</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32310-2019</t>
        </is>
      </c>
      <c r="B77" s="1" t="n">
        <v>43644</v>
      </c>
      <c r="C77" s="1" t="n">
        <v>45831</v>
      </c>
      <c r="D77" t="inlineStr">
        <is>
          <t>UPPSALA LÄN</t>
        </is>
      </c>
      <c r="E77" t="inlineStr">
        <is>
          <t>ENKÖPING</t>
        </is>
      </c>
      <c r="G77" t="n">
        <v>2.7</v>
      </c>
      <c r="H77" t="n">
        <v>0</v>
      </c>
      <c r="I77" t="n">
        <v>0</v>
      </c>
      <c r="J77" t="n">
        <v>0</v>
      </c>
      <c r="K77" t="n">
        <v>0</v>
      </c>
      <c r="L77" t="n">
        <v>0</v>
      </c>
      <c r="M77" t="n">
        <v>0</v>
      </c>
      <c r="N77" t="n">
        <v>0</v>
      </c>
      <c r="O77" t="n">
        <v>0</v>
      </c>
      <c r="P77" t="n">
        <v>0</v>
      </c>
      <c r="Q77" t="n">
        <v>0</v>
      </c>
      <c r="R77" s="2" t="inlineStr"/>
    </row>
    <row r="78" ht="15" customHeight="1">
      <c r="A78" t="inlineStr">
        <is>
          <t>A 32640-2019</t>
        </is>
      </c>
      <c r="B78" s="1" t="n">
        <v>43647</v>
      </c>
      <c r="C78" s="1" t="n">
        <v>45831</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33339-2019</t>
        </is>
      </c>
      <c r="B79" s="1" t="n">
        <v>43650</v>
      </c>
      <c r="C79" s="1" t="n">
        <v>45831</v>
      </c>
      <c r="D79" t="inlineStr">
        <is>
          <t>UPPSALA LÄN</t>
        </is>
      </c>
      <c r="E79" t="inlineStr">
        <is>
          <t>ENKÖPING</t>
        </is>
      </c>
      <c r="G79" t="n">
        <v>3.3</v>
      </c>
      <c r="H79" t="n">
        <v>0</v>
      </c>
      <c r="I79" t="n">
        <v>0</v>
      </c>
      <c r="J79" t="n">
        <v>0</v>
      </c>
      <c r="K79" t="n">
        <v>0</v>
      </c>
      <c r="L79" t="n">
        <v>0</v>
      </c>
      <c r="M79" t="n">
        <v>0</v>
      </c>
      <c r="N79" t="n">
        <v>0</v>
      </c>
      <c r="O79" t="n">
        <v>0</v>
      </c>
      <c r="P79" t="n">
        <v>0</v>
      </c>
      <c r="Q79" t="n">
        <v>0</v>
      </c>
      <c r="R79" s="2" t="inlineStr"/>
    </row>
    <row r="80" ht="15" customHeight="1">
      <c r="A80" t="inlineStr">
        <is>
          <t>A 35752-2019</t>
        </is>
      </c>
      <c r="B80" s="1" t="n">
        <v>43665</v>
      </c>
      <c r="C80" s="1" t="n">
        <v>45831</v>
      </c>
      <c r="D80" t="inlineStr">
        <is>
          <t>UPPSALA LÄN</t>
        </is>
      </c>
      <c r="E80" t="inlineStr">
        <is>
          <t>ENKÖPING</t>
        </is>
      </c>
      <c r="G80" t="n">
        <v>2.9</v>
      </c>
      <c r="H80" t="n">
        <v>0</v>
      </c>
      <c r="I80" t="n">
        <v>0</v>
      </c>
      <c r="J80" t="n">
        <v>0</v>
      </c>
      <c r="K80" t="n">
        <v>0</v>
      </c>
      <c r="L80" t="n">
        <v>0</v>
      </c>
      <c r="M80" t="n">
        <v>0</v>
      </c>
      <c r="N80" t="n">
        <v>0</v>
      </c>
      <c r="O80" t="n">
        <v>0</v>
      </c>
      <c r="P80" t="n">
        <v>0</v>
      </c>
      <c r="Q80" t="n">
        <v>0</v>
      </c>
      <c r="R80" s="2" t="inlineStr"/>
    </row>
    <row r="81" ht="15" customHeight="1">
      <c r="A81" t="inlineStr">
        <is>
          <t>A 36370-2019</t>
        </is>
      </c>
      <c r="B81" s="1" t="n">
        <v>43670</v>
      </c>
      <c r="C81" s="1" t="n">
        <v>45831</v>
      </c>
      <c r="D81" t="inlineStr">
        <is>
          <t>UPPSALA LÄN</t>
        </is>
      </c>
      <c r="E81" t="inlineStr">
        <is>
          <t>ENKÖPING</t>
        </is>
      </c>
      <c r="G81" t="n">
        <v>26.9</v>
      </c>
      <c r="H81" t="n">
        <v>0</v>
      </c>
      <c r="I81" t="n">
        <v>0</v>
      </c>
      <c r="J81" t="n">
        <v>0</v>
      </c>
      <c r="K81" t="n">
        <v>0</v>
      </c>
      <c r="L81" t="n">
        <v>0</v>
      </c>
      <c r="M81" t="n">
        <v>0</v>
      </c>
      <c r="N81" t="n">
        <v>0</v>
      </c>
      <c r="O81" t="n">
        <v>0</v>
      </c>
      <c r="P81" t="n">
        <v>0</v>
      </c>
      <c r="Q81" t="n">
        <v>0</v>
      </c>
      <c r="R81" s="2" t="inlineStr"/>
    </row>
    <row r="82" ht="15" customHeight="1">
      <c r="A82" t="inlineStr">
        <is>
          <t>A 36733-2019</t>
        </is>
      </c>
      <c r="B82" s="1" t="n">
        <v>43672</v>
      </c>
      <c r="C82" s="1" t="n">
        <v>45831</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37519-2019</t>
        </is>
      </c>
      <c r="B83" s="1" t="n">
        <v>43679</v>
      </c>
      <c r="C83" s="1" t="n">
        <v>45831</v>
      </c>
      <c r="D83" t="inlineStr">
        <is>
          <t>UPPSALA LÄN</t>
        </is>
      </c>
      <c r="E83" t="inlineStr">
        <is>
          <t>ENKÖPING</t>
        </is>
      </c>
      <c r="G83" t="n">
        <v>1</v>
      </c>
      <c r="H83" t="n">
        <v>0</v>
      </c>
      <c r="I83" t="n">
        <v>0</v>
      </c>
      <c r="J83" t="n">
        <v>0</v>
      </c>
      <c r="K83" t="n">
        <v>0</v>
      </c>
      <c r="L83" t="n">
        <v>0</v>
      </c>
      <c r="M83" t="n">
        <v>0</v>
      </c>
      <c r="N83" t="n">
        <v>0</v>
      </c>
      <c r="O83" t="n">
        <v>0</v>
      </c>
      <c r="P83" t="n">
        <v>0</v>
      </c>
      <c r="Q83" t="n">
        <v>0</v>
      </c>
      <c r="R83" s="2" t="inlineStr"/>
    </row>
    <row r="84" ht="15" customHeight="1">
      <c r="A84" t="inlineStr">
        <is>
          <t>A 37702-2019</t>
        </is>
      </c>
      <c r="B84" s="1" t="n">
        <v>43682</v>
      </c>
      <c r="C84" s="1" t="n">
        <v>45831</v>
      </c>
      <c r="D84" t="inlineStr">
        <is>
          <t>UPPSALA LÄN</t>
        </is>
      </c>
      <c r="E84" t="inlineStr">
        <is>
          <t>ENKÖPING</t>
        </is>
      </c>
      <c r="G84" t="n">
        <v>1.1</v>
      </c>
      <c r="H84" t="n">
        <v>0</v>
      </c>
      <c r="I84" t="n">
        <v>0</v>
      </c>
      <c r="J84" t="n">
        <v>0</v>
      </c>
      <c r="K84" t="n">
        <v>0</v>
      </c>
      <c r="L84" t="n">
        <v>0</v>
      </c>
      <c r="M84" t="n">
        <v>0</v>
      </c>
      <c r="N84" t="n">
        <v>0</v>
      </c>
      <c r="O84" t="n">
        <v>0</v>
      </c>
      <c r="P84" t="n">
        <v>0</v>
      </c>
      <c r="Q84" t="n">
        <v>0</v>
      </c>
      <c r="R84" s="2" t="inlineStr"/>
    </row>
    <row r="85" ht="15" customHeight="1">
      <c r="A85" t="inlineStr">
        <is>
          <t>A 37700-2019</t>
        </is>
      </c>
      <c r="B85" s="1" t="n">
        <v>43682</v>
      </c>
      <c r="C85" s="1" t="n">
        <v>45831</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37936-2019</t>
        </is>
      </c>
      <c r="B86" s="1" t="n">
        <v>43683</v>
      </c>
      <c r="C86" s="1" t="n">
        <v>45831</v>
      </c>
      <c r="D86" t="inlineStr">
        <is>
          <t>UPPSALA LÄN</t>
        </is>
      </c>
      <c r="E86" t="inlineStr">
        <is>
          <t>ENKÖPING</t>
        </is>
      </c>
      <c r="G86" t="n">
        <v>0.9</v>
      </c>
      <c r="H86" t="n">
        <v>0</v>
      </c>
      <c r="I86" t="n">
        <v>0</v>
      </c>
      <c r="J86" t="n">
        <v>0</v>
      </c>
      <c r="K86" t="n">
        <v>0</v>
      </c>
      <c r="L86" t="n">
        <v>0</v>
      </c>
      <c r="M86" t="n">
        <v>0</v>
      </c>
      <c r="N86" t="n">
        <v>0</v>
      </c>
      <c r="O86" t="n">
        <v>0</v>
      </c>
      <c r="P86" t="n">
        <v>0</v>
      </c>
      <c r="Q86" t="n">
        <v>0</v>
      </c>
      <c r="R86" s="2" t="inlineStr"/>
    </row>
    <row r="87" ht="15" customHeight="1">
      <c r="A87" t="inlineStr">
        <is>
          <t>A 38204-2019</t>
        </is>
      </c>
      <c r="B87" s="1" t="n">
        <v>43683</v>
      </c>
      <c r="C87" s="1" t="n">
        <v>45831</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38189-2019</t>
        </is>
      </c>
      <c r="B88" s="1" t="n">
        <v>43684</v>
      </c>
      <c r="C88" s="1" t="n">
        <v>45831</v>
      </c>
      <c r="D88" t="inlineStr">
        <is>
          <t>UPPSALA LÄN</t>
        </is>
      </c>
      <c r="E88" t="inlineStr">
        <is>
          <t>ENKÖPING</t>
        </is>
      </c>
      <c r="G88" t="n">
        <v>1.3</v>
      </c>
      <c r="H88" t="n">
        <v>0</v>
      </c>
      <c r="I88" t="n">
        <v>0</v>
      </c>
      <c r="J88" t="n">
        <v>0</v>
      </c>
      <c r="K88" t="n">
        <v>0</v>
      </c>
      <c r="L88" t="n">
        <v>0</v>
      </c>
      <c r="M88" t="n">
        <v>0</v>
      </c>
      <c r="N88" t="n">
        <v>0</v>
      </c>
      <c r="O88" t="n">
        <v>0</v>
      </c>
      <c r="P88" t="n">
        <v>0</v>
      </c>
      <c r="Q88" t="n">
        <v>0</v>
      </c>
      <c r="R88" s="2" t="inlineStr"/>
    </row>
    <row r="89" ht="15" customHeight="1">
      <c r="A89" t="inlineStr">
        <is>
          <t>A 38205-2019</t>
        </is>
      </c>
      <c r="B89" s="1" t="n">
        <v>43684</v>
      </c>
      <c r="C89" s="1" t="n">
        <v>45831</v>
      </c>
      <c r="D89" t="inlineStr">
        <is>
          <t>UPPSALA LÄN</t>
        </is>
      </c>
      <c r="E89" t="inlineStr">
        <is>
          <t>ENKÖPING</t>
        </is>
      </c>
      <c r="G89" t="n">
        <v>0.5</v>
      </c>
      <c r="H89" t="n">
        <v>0</v>
      </c>
      <c r="I89" t="n">
        <v>0</v>
      </c>
      <c r="J89" t="n">
        <v>0</v>
      </c>
      <c r="K89" t="n">
        <v>0</v>
      </c>
      <c r="L89" t="n">
        <v>0</v>
      </c>
      <c r="M89" t="n">
        <v>0</v>
      </c>
      <c r="N89" t="n">
        <v>0</v>
      </c>
      <c r="O89" t="n">
        <v>0</v>
      </c>
      <c r="P89" t="n">
        <v>0</v>
      </c>
      <c r="Q89" t="n">
        <v>0</v>
      </c>
      <c r="R89" s="2" t="inlineStr"/>
    </row>
    <row r="90" ht="15" customHeight="1">
      <c r="A90" t="inlineStr">
        <is>
          <t>A 38475-2019</t>
        </is>
      </c>
      <c r="B90" s="1" t="n">
        <v>43685</v>
      </c>
      <c r="C90" s="1" t="n">
        <v>45831</v>
      </c>
      <c r="D90" t="inlineStr">
        <is>
          <t>UPPSALA LÄN</t>
        </is>
      </c>
      <c r="E90" t="inlineStr">
        <is>
          <t>ENKÖPING</t>
        </is>
      </c>
      <c r="G90" t="n">
        <v>1.9</v>
      </c>
      <c r="H90" t="n">
        <v>0</v>
      </c>
      <c r="I90" t="n">
        <v>0</v>
      </c>
      <c r="J90" t="n">
        <v>0</v>
      </c>
      <c r="K90" t="n">
        <v>0</v>
      </c>
      <c r="L90" t="n">
        <v>0</v>
      </c>
      <c r="M90" t="n">
        <v>0</v>
      </c>
      <c r="N90" t="n">
        <v>0</v>
      </c>
      <c r="O90" t="n">
        <v>0</v>
      </c>
      <c r="P90" t="n">
        <v>0</v>
      </c>
      <c r="Q90" t="n">
        <v>0</v>
      </c>
      <c r="R90" s="2" t="inlineStr"/>
    </row>
    <row r="91" ht="15" customHeight="1">
      <c r="A91" t="inlineStr">
        <is>
          <t>A 38896-2019</t>
        </is>
      </c>
      <c r="B91" s="1" t="n">
        <v>43689</v>
      </c>
      <c r="C91" s="1" t="n">
        <v>45831</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38899-2019</t>
        </is>
      </c>
      <c r="B92" s="1" t="n">
        <v>43689</v>
      </c>
      <c r="C92" s="1" t="n">
        <v>45831</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40247-2019</t>
        </is>
      </c>
      <c r="B93" s="1" t="n">
        <v>43695</v>
      </c>
      <c r="C93" s="1" t="n">
        <v>45831</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40839-2019</t>
        </is>
      </c>
      <c r="B94" s="1" t="n">
        <v>43697</v>
      </c>
      <c r="C94" s="1" t="n">
        <v>45831</v>
      </c>
      <c r="D94" t="inlineStr">
        <is>
          <t>UPPSALA LÄN</t>
        </is>
      </c>
      <c r="E94" t="inlineStr">
        <is>
          <t>ENKÖPING</t>
        </is>
      </c>
      <c r="G94" t="n">
        <v>1.9</v>
      </c>
      <c r="H94" t="n">
        <v>0</v>
      </c>
      <c r="I94" t="n">
        <v>0</v>
      </c>
      <c r="J94" t="n">
        <v>0</v>
      </c>
      <c r="K94" t="n">
        <v>0</v>
      </c>
      <c r="L94" t="n">
        <v>0</v>
      </c>
      <c r="M94" t="n">
        <v>0</v>
      </c>
      <c r="N94" t="n">
        <v>0</v>
      </c>
      <c r="O94" t="n">
        <v>0</v>
      </c>
      <c r="P94" t="n">
        <v>0</v>
      </c>
      <c r="Q94" t="n">
        <v>0</v>
      </c>
      <c r="R94" s="2" t="inlineStr"/>
    </row>
    <row r="95" ht="15" customHeight="1">
      <c r="A95" t="inlineStr">
        <is>
          <t>A 40843-2019</t>
        </is>
      </c>
      <c r="B95" s="1" t="n">
        <v>43697</v>
      </c>
      <c r="C95" s="1" t="n">
        <v>45831</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41512-2019</t>
        </is>
      </c>
      <c r="B96" s="1" t="n">
        <v>43699</v>
      </c>
      <c r="C96" s="1" t="n">
        <v>45831</v>
      </c>
      <c r="D96" t="inlineStr">
        <is>
          <t>UPPSALA LÄN</t>
        </is>
      </c>
      <c r="E96" t="inlineStr">
        <is>
          <t>ENKÖPING</t>
        </is>
      </c>
      <c r="G96" t="n">
        <v>5.8</v>
      </c>
      <c r="H96" t="n">
        <v>0</v>
      </c>
      <c r="I96" t="n">
        <v>0</v>
      </c>
      <c r="J96" t="n">
        <v>0</v>
      </c>
      <c r="K96" t="n">
        <v>0</v>
      </c>
      <c r="L96" t="n">
        <v>0</v>
      </c>
      <c r="M96" t="n">
        <v>0</v>
      </c>
      <c r="N96" t="n">
        <v>0</v>
      </c>
      <c r="O96" t="n">
        <v>0</v>
      </c>
      <c r="P96" t="n">
        <v>0</v>
      </c>
      <c r="Q96" t="n">
        <v>0</v>
      </c>
      <c r="R96" s="2" t="inlineStr"/>
    </row>
    <row r="97" ht="15" customHeight="1">
      <c r="A97" t="inlineStr">
        <is>
          <t>A 42350-2019</t>
        </is>
      </c>
      <c r="B97" s="1" t="n">
        <v>43703</v>
      </c>
      <c r="C97" s="1" t="n">
        <v>45831</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42624-2019</t>
        </is>
      </c>
      <c r="B98" s="1" t="n">
        <v>43704</v>
      </c>
      <c r="C98" s="1" t="n">
        <v>45831</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42829-2019</t>
        </is>
      </c>
      <c r="B99" s="1" t="n">
        <v>43705</v>
      </c>
      <c r="C99" s="1" t="n">
        <v>45831</v>
      </c>
      <c r="D99" t="inlineStr">
        <is>
          <t>UPPSALA LÄN</t>
        </is>
      </c>
      <c r="E99" t="inlineStr">
        <is>
          <t>ENKÖPING</t>
        </is>
      </c>
      <c r="G99" t="n">
        <v>6.7</v>
      </c>
      <c r="H99" t="n">
        <v>0</v>
      </c>
      <c r="I99" t="n">
        <v>0</v>
      </c>
      <c r="J99" t="n">
        <v>0</v>
      </c>
      <c r="K99" t="n">
        <v>0</v>
      </c>
      <c r="L99" t="n">
        <v>0</v>
      </c>
      <c r="M99" t="n">
        <v>0</v>
      </c>
      <c r="N99" t="n">
        <v>0</v>
      </c>
      <c r="O99" t="n">
        <v>0</v>
      </c>
      <c r="P99" t="n">
        <v>0</v>
      </c>
      <c r="Q99" t="n">
        <v>0</v>
      </c>
      <c r="R99" s="2" t="inlineStr"/>
    </row>
    <row r="100" ht="15" customHeight="1">
      <c r="A100" t="inlineStr">
        <is>
          <t>A 43308-2019</t>
        </is>
      </c>
      <c r="B100" s="1" t="n">
        <v>43706</v>
      </c>
      <c r="C100" s="1" t="n">
        <v>45831</v>
      </c>
      <c r="D100" t="inlineStr">
        <is>
          <t>UPPSALA LÄN</t>
        </is>
      </c>
      <c r="E100" t="inlineStr">
        <is>
          <t>ENKÖPING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43998-2019</t>
        </is>
      </c>
      <c r="B101" s="1" t="n">
        <v>43709</v>
      </c>
      <c r="C101" s="1" t="n">
        <v>45831</v>
      </c>
      <c r="D101" t="inlineStr">
        <is>
          <t>UPPSALA LÄN</t>
        </is>
      </c>
      <c r="E101" t="inlineStr">
        <is>
          <t>ENKÖPING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43999-2019</t>
        </is>
      </c>
      <c r="B102" s="1" t="n">
        <v>43709</v>
      </c>
      <c r="C102" s="1" t="n">
        <v>45831</v>
      </c>
      <c r="D102" t="inlineStr">
        <is>
          <t>UPPSALA LÄN</t>
        </is>
      </c>
      <c r="E102" t="inlineStr">
        <is>
          <t>ENKÖPING</t>
        </is>
      </c>
      <c r="G102" t="n">
        <v>0.1</v>
      </c>
      <c r="H102" t="n">
        <v>0</v>
      </c>
      <c r="I102" t="n">
        <v>0</v>
      </c>
      <c r="J102" t="n">
        <v>0</v>
      </c>
      <c r="K102" t="n">
        <v>0</v>
      </c>
      <c r="L102" t="n">
        <v>0</v>
      </c>
      <c r="M102" t="n">
        <v>0</v>
      </c>
      <c r="N102" t="n">
        <v>0</v>
      </c>
      <c r="O102" t="n">
        <v>0</v>
      </c>
      <c r="P102" t="n">
        <v>0</v>
      </c>
      <c r="Q102" t="n">
        <v>0</v>
      </c>
      <c r="R102" s="2" t="inlineStr"/>
    </row>
    <row r="103" ht="15" customHeight="1">
      <c r="A103" t="inlineStr">
        <is>
          <t>A 44749-2019</t>
        </is>
      </c>
      <c r="B103" s="1" t="n">
        <v>43712</v>
      </c>
      <c r="C103" s="1" t="n">
        <v>45831</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45007-2019</t>
        </is>
      </c>
      <c r="B104" s="1" t="n">
        <v>43713</v>
      </c>
      <c r="C104" s="1" t="n">
        <v>45831</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45481-2019</t>
        </is>
      </c>
      <c r="B105" s="1" t="n">
        <v>43714</v>
      </c>
      <c r="C105" s="1" t="n">
        <v>45831</v>
      </c>
      <c r="D105" t="inlineStr">
        <is>
          <t>UPPSALA LÄN</t>
        </is>
      </c>
      <c r="E105" t="inlineStr">
        <is>
          <t>ENKÖPING</t>
        </is>
      </c>
      <c r="G105" t="n">
        <v>2</v>
      </c>
      <c r="H105" t="n">
        <v>0</v>
      </c>
      <c r="I105" t="n">
        <v>0</v>
      </c>
      <c r="J105" t="n">
        <v>0</v>
      </c>
      <c r="K105" t="n">
        <v>0</v>
      </c>
      <c r="L105" t="n">
        <v>0</v>
      </c>
      <c r="M105" t="n">
        <v>0</v>
      </c>
      <c r="N105" t="n">
        <v>0</v>
      </c>
      <c r="O105" t="n">
        <v>0</v>
      </c>
      <c r="P105" t="n">
        <v>0</v>
      </c>
      <c r="Q105" t="n">
        <v>0</v>
      </c>
      <c r="R105" s="2" t="inlineStr"/>
    </row>
    <row r="106" ht="15" customHeight="1">
      <c r="A106" t="inlineStr">
        <is>
          <t>A 45729-2019</t>
        </is>
      </c>
      <c r="B106" s="1" t="n">
        <v>43717</v>
      </c>
      <c r="C106" s="1" t="n">
        <v>45831</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45767-2019</t>
        </is>
      </c>
      <c r="B107" s="1" t="n">
        <v>43717</v>
      </c>
      <c r="C107" s="1" t="n">
        <v>45831</v>
      </c>
      <c r="D107" t="inlineStr">
        <is>
          <t>UPPSALA LÄN</t>
        </is>
      </c>
      <c r="E107" t="inlineStr">
        <is>
          <t>ENKÖPING</t>
        </is>
      </c>
      <c r="G107" t="n">
        <v>2.6</v>
      </c>
      <c r="H107" t="n">
        <v>0</v>
      </c>
      <c r="I107" t="n">
        <v>0</v>
      </c>
      <c r="J107" t="n">
        <v>0</v>
      </c>
      <c r="K107" t="n">
        <v>0</v>
      </c>
      <c r="L107" t="n">
        <v>0</v>
      </c>
      <c r="M107" t="n">
        <v>0</v>
      </c>
      <c r="N107" t="n">
        <v>0</v>
      </c>
      <c r="O107" t="n">
        <v>0</v>
      </c>
      <c r="P107" t="n">
        <v>0</v>
      </c>
      <c r="Q107" t="n">
        <v>0</v>
      </c>
      <c r="R107" s="2" t="inlineStr"/>
    </row>
    <row r="108" ht="15" customHeight="1">
      <c r="A108" t="inlineStr">
        <is>
          <t>A 45784-2019</t>
        </is>
      </c>
      <c r="B108" s="1" t="n">
        <v>43717</v>
      </c>
      <c r="C108" s="1" t="n">
        <v>45831</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46292-2019</t>
        </is>
      </c>
      <c r="B109" s="1" t="n">
        <v>43718</v>
      </c>
      <c r="C109" s="1" t="n">
        <v>45831</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46274-2019</t>
        </is>
      </c>
      <c r="B110" s="1" t="n">
        <v>43718</v>
      </c>
      <c r="C110" s="1" t="n">
        <v>45831</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46971-2019</t>
        </is>
      </c>
      <c r="B111" s="1" t="n">
        <v>43720</v>
      </c>
      <c r="C111" s="1" t="n">
        <v>45831</v>
      </c>
      <c r="D111" t="inlineStr">
        <is>
          <t>UPPSALA LÄN</t>
        </is>
      </c>
      <c r="E111" t="inlineStr">
        <is>
          <t>ENKÖPING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47039-2019</t>
        </is>
      </c>
      <c r="B112" s="1" t="n">
        <v>43720</v>
      </c>
      <c r="C112" s="1" t="n">
        <v>45831</v>
      </c>
      <c r="D112" t="inlineStr">
        <is>
          <t>UPPSALA LÄN</t>
        </is>
      </c>
      <c r="E112" t="inlineStr">
        <is>
          <t>ENKÖPING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47368-2019</t>
        </is>
      </c>
      <c r="B113" s="1" t="n">
        <v>43721</v>
      </c>
      <c r="C113" s="1" t="n">
        <v>45831</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47476-2019</t>
        </is>
      </c>
      <c r="B114" s="1" t="n">
        <v>43724</v>
      </c>
      <c r="C114" s="1" t="n">
        <v>45831</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48098-2019</t>
        </is>
      </c>
      <c r="B115" s="1" t="n">
        <v>43725</v>
      </c>
      <c r="C115" s="1" t="n">
        <v>45831</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48095-2019</t>
        </is>
      </c>
      <c r="B116" s="1" t="n">
        <v>43725</v>
      </c>
      <c r="C116" s="1" t="n">
        <v>45831</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48096-2019</t>
        </is>
      </c>
      <c r="B117" s="1" t="n">
        <v>43725</v>
      </c>
      <c r="C117" s="1" t="n">
        <v>45831</v>
      </c>
      <c r="D117" t="inlineStr">
        <is>
          <t>UPPSALA LÄN</t>
        </is>
      </c>
      <c r="E117" t="inlineStr">
        <is>
          <t>ENKÖPING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48515-2019</t>
        </is>
      </c>
      <c r="B118" s="1" t="n">
        <v>43727</v>
      </c>
      <c r="C118" s="1" t="n">
        <v>45831</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48511-2019</t>
        </is>
      </c>
      <c r="B119" s="1" t="n">
        <v>43727</v>
      </c>
      <c r="C119" s="1" t="n">
        <v>45831</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49856-2019</t>
        </is>
      </c>
      <c r="B120" s="1" t="n">
        <v>43733</v>
      </c>
      <c r="C120" s="1" t="n">
        <v>45831</v>
      </c>
      <c r="D120" t="inlineStr">
        <is>
          <t>UPPSALA LÄN</t>
        </is>
      </c>
      <c r="E120" t="inlineStr">
        <is>
          <t>ENKÖPING</t>
        </is>
      </c>
      <c r="G120" t="n">
        <v>9.9</v>
      </c>
      <c r="H120" t="n">
        <v>0</v>
      </c>
      <c r="I120" t="n">
        <v>0</v>
      </c>
      <c r="J120" t="n">
        <v>0</v>
      </c>
      <c r="K120" t="n">
        <v>0</v>
      </c>
      <c r="L120" t="n">
        <v>0</v>
      </c>
      <c r="M120" t="n">
        <v>0</v>
      </c>
      <c r="N120" t="n">
        <v>0</v>
      </c>
      <c r="O120" t="n">
        <v>0</v>
      </c>
      <c r="P120" t="n">
        <v>0</v>
      </c>
      <c r="Q120" t="n">
        <v>0</v>
      </c>
      <c r="R120" s="2" t="inlineStr"/>
    </row>
    <row r="121" ht="15" customHeight="1">
      <c r="A121" t="inlineStr">
        <is>
          <t>A 49941-2019</t>
        </is>
      </c>
      <c r="B121" s="1" t="n">
        <v>43733</v>
      </c>
      <c r="C121" s="1" t="n">
        <v>45831</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50893-2019</t>
        </is>
      </c>
      <c r="B122" s="1" t="n">
        <v>43738</v>
      </c>
      <c r="C122" s="1" t="n">
        <v>45831</v>
      </c>
      <c r="D122" t="inlineStr">
        <is>
          <t>UPPSALA LÄN</t>
        </is>
      </c>
      <c r="E122" t="inlineStr">
        <is>
          <t>ENKÖPING</t>
        </is>
      </c>
      <c r="G122" t="n">
        <v>4.3</v>
      </c>
      <c r="H122" t="n">
        <v>0</v>
      </c>
      <c r="I122" t="n">
        <v>0</v>
      </c>
      <c r="J122" t="n">
        <v>0</v>
      </c>
      <c r="K122" t="n">
        <v>0</v>
      </c>
      <c r="L122" t="n">
        <v>0</v>
      </c>
      <c r="M122" t="n">
        <v>0</v>
      </c>
      <c r="N122" t="n">
        <v>0</v>
      </c>
      <c r="O122" t="n">
        <v>0</v>
      </c>
      <c r="P122" t="n">
        <v>0</v>
      </c>
      <c r="Q122" t="n">
        <v>0</v>
      </c>
      <c r="R122" s="2" t="inlineStr"/>
    </row>
    <row r="123" ht="15" customHeight="1">
      <c r="A123" t="inlineStr">
        <is>
          <t>A 52516-2019</t>
        </is>
      </c>
      <c r="B123" s="1" t="n">
        <v>43738</v>
      </c>
      <c r="C123" s="1" t="n">
        <v>45831</v>
      </c>
      <c r="D123" t="inlineStr">
        <is>
          <t>UPPSALA LÄN</t>
        </is>
      </c>
      <c r="E123" t="inlineStr">
        <is>
          <t>ENKÖPING</t>
        </is>
      </c>
      <c r="G123" t="n">
        <v>1.7</v>
      </c>
      <c r="H123" t="n">
        <v>0</v>
      </c>
      <c r="I123" t="n">
        <v>0</v>
      </c>
      <c r="J123" t="n">
        <v>0</v>
      </c>
      <c r="K123" t="n">
        <v>0</v>
      </c>
      <c r="L123" t="n">
        <v>0</v>
      </c>
      <c r="M123" t="n">
        <v>0</v>
      </c>
      <c r="N123" t="n">
        <v>0</v>
      </c>
      <c r="O123" t="n">
        <v>0</v>
      </c>
      <c r="P123" t="n">
        <v>0</v>
      </c>
      <c r="Q123" t="n">
        <v>0</v>
      </c>
      <c r="R123" s="2" t="inlineStr"/>
    </row>
    <row r="124" ht="15" customHeight="1">
      <c r="A124" t="inlineStr">
        <is>
          <t>A 51782-2019</t>
        </is>
      </c>
      <c r="B124" s="1" t="n">
        <v>43741</v>
      </c>
      <c r="C124" s="1" t="n">
        <v>45831</v>
      </c>
      <c r="D124" t="inlineStr">
        <is>
          <t>UPPSALA LÄN</t>
        </is>
      </c>
      <c r="E124" t="inlineStr">
        <is>
          <t>ENKÖPING</t>
        </is>
      </c>
      <c r="G124" t="n">
        <v>2.5</v>
      </c>
      <c r="H124" t="n">
        <v>0</v>
      </c>
      <c r="I124" t="n">
        <v>0</v>
      </c>
      <c r="J124" t="n">
        <v>0</v>
      </c>
      <c r="K124" t="n">
        <v>0</v>
      </c>
      <c r="L124" t="n">
        <v>0</v>
      </c>
      <c r="M124" t="n">
        <v>0</v>
      </c>
      <c r="N124" t="n">
        <v>0</v>
      </c>
      <c r="O124" t="n">
        <v>0</v>
      </c>
      <c r="P124" t="n">
        <v>0</v>
      </c>
      <c r="Q124" t="n">
        <v>0</v>
      </c>
      <c r="R124" s="2" t="inlineStr"/>
    </row>
    <row r="125" ht="15" customHeight="1">
      <c r="A125" t="inlineStr">
        <is>
          <t>A 51802-2019</t>
        </is>
      </c>
      <c r="B125" s="1" t="n">
        <v>43741</v>
      </c>
      <c r="C125" s="1" t="n">
        <v>45831</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51836-2019</t>
        </is>
      </c>
      <c r="B126" s="1" t="n">
        <v>43741</v>
      </c>
      <c r="C126" s="1" t="n">
        <v>45831</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51805-2019</t>
        </is>
      </c>
      <c r="B127" s="1" t="n">
        <v>43741</v>
      </c>
      <c r="C127" s="1" t="n">
        <v>45831</v>
      </c>
      <c r="D127" t="inlineStr">
        <is>
          <t>UPPSALA LÄN</t>
        </is>
      </c>
      <c r="E127" t="inlineStr">
        <is>
          <t>ENKÖPING</t>
        </is>
      </c>
      <c r="G127" t="n">
        <v>2.5</v>
      </c>
      <c r="H127" t="n">
        <v>0</v>
      </c>
      <c r="I127" t="n">
        <v>0</v>
      </c>
      <c r="J127" t="n">
        <v>0</v>
      </c>
      <c r="K127" t="n">
        <v>0</v>
      </c>
      <c r="L127" t="n">
        <v>0</v>
      </c>
      <c r="M127" t="n">
        <v>0</v>
      </c>
      <c r="N127" t="n">
        <v>0</v>
      </c>
      <c r="O127" t="n">
        <v>0</v>
      </c>
      <c r="P127" t="n">
        <v>0</v>
      </c>
      <c r="Q127" t="n">
        <v>0</v>
      </c>
      <c r="R127" s="2" t="inlineStr"/>
    </row>
    <row r="128" ht="15" customHeight="1">
      <c r="A128" t="inlineStr">
        <is>
          <t>A 51905-2019</t>
        </is>
      </c>
      <c r="B128" s="1" t="n">
        <v>43741</v>
      </c>
      <c r="C128" s="1" t="n">
        <v>45831</v>
      </c>
      <c r="D128" t="inlineStr">
        <is>
          <t>UPPSALA LÄN</t>
        </is>
      </c>
      <c r="E128" t="inlineStr">
        <is>
          <t>ENKÖPING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51912-2019</t>
        </is>
      </c>
      <c r="B129" s="1" t="n">
        <v>43741</v>
      </c>
      <c r="C129" s="1" t="n">
        <v>45831</v>
      </c>
      <c r="D129" t="inlineStr">
        <is>
          <t>UPPSALA LÄN</t>
        </is>
      </c>
      <c r="E129" t="inlineStr">
        <is>
          <t>ENKÖPING</t>
        </is>
      </c>
      <c r="G129" t="n">
        <v>3</v>
      </c>
      <c r="H129" t="n">
        <v>0</v>
      </c>
      <c r="I129" t="n">
        <v>0</v>
      </c>
      <c r="J129" t="n">
        <v>0</v>
      </c>
      <c r="K129" t="n">
        <v>0</v>
      </c>
      <c r="L129" t="n">
        <v>0</v>
      </c>
      <c r="M129" t="n">
        <v>0</v>
      </c>
      <c r="N129" t="n">
        <v>0</v>
      </c>
      <c r="O129" t="n">
        <v>0</v>
      </c>
      <c r="P129" t="n">
        <v>0</v>
      </c>
      <c r="Q129" t="n">
        <v>0</v>
      </c>
      <c r="R129" s="2" t="inlineStr"/>
    </row>
    <row r="130" ht="15" customHeight="1">
      <c r="A130" t="inlineStr">
        <is>
          <t>A 52524-2019</t>
        </is>
      </c>
      <c r="B130" s="1" t="n">
        <v>43745</v>
      </c>
      <c r="C130" s="1" t="n">
        <v>45831</v>
      </c>
      <c r="D130" t="inlineStr">
        <is>
          <t>UPPSALA LÄN</t>
        </is>
      </c>
      <c r="E130" t="inlineStr">
        <is>
          <t>ENKÖPING</t>
        </is>
      </c>
      <c r="G130" t="n">
        <v>2</v>
      </c>
      <c r="H130" t="n">
        <v>0</v>
      </c>
      <c r="I130" t="n">
        <v>0</v>
      </c>
      <c r="J130" t="n">
        <v>0</v>
      </c>
      <c r="K130" t="n">
        <v>0</v>
      </c>
      <c r="L130" t="n">
        <v>0</v>
      </c>
      <c r="M130" t="n">
        <v>0</v>
      </c>
      <c r="N130" t="n">
        <v>0</v>
      </c>
      <c r="O130" t="n">
        <v>0</v>
      </c>
      <c r="P130" t="n">
        <v>0</v>
      </c>
      <c r="Q130" t="n">
        <v>0</v>
      </c>
      <c r="R130" s="2" t="inlineStr"/>
    </row>
    <row r="131" ht="15" customHeight="1">
      <c r="A131" t="inlineStr">
        <is>
          <t>A 52394-2019</t>
        </is>
      </c>
      <c r="B131" s="1" t="n">
        <v>43745</v>
      </c>
      <c r="C131" s="1" t="n">
        <v>45831</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52726-2019</t>
        </is>
      </c>
      <c r="B132" s="1" t="n">
        <v>43746</v>
      </c>
      <c r="C132" s="1" t="n">
        <v>45831</v>
      </c>
      <c r="D132" t="inlineStr">
        <is>
          <t>UPPSALA LÄN</t>
        </is>
      </c>
      <c r="E132" t="inlineStr">
        <is>
          <t>ENKÖPING</t>
        </is>
      </c>
      <c r="G132" t="n">
        <v>1.2</v>
      </c>
      <c r="H132" t="n">
        <v>0</v>
      </c>
      <c r="I132" t="n">
        <v>0</v>
      </c>
      <c r="J132" t="n">
        <v>0</v>
      </c>
      <c r="K132" t="n">
        <v>0</v>
      </c>
      <c r="L132" t="n">
        <v>0</v>
      </c>
      <c r="M132" t="n">
        <v>0</v>
      </c>
      <c r="N132" t="n">
        <v>0</v>
      </c>
      <c r="O132" t="n">
        <v>0</v>
      </c>
      <c r="P132" t="n">
        <v>0</v>
      </c>
      <c r="Q132" t="n">
        <v>0</v>
      </c>
      <c r="R132" s="2" t="inlineStr"/>
    </row>
    <row r="133" ht="15" customHeight="1">
      <c r="A133" t="inlineStr">
        <is>
          <t>A 53840-2019</t>
        </is>
      </c>
      <c r="B133" s="1" t="n">
        <v>43752</v>
      </c>
      <c r="C133" s="1" t="n">
        <v>45831</v>
      </c>
      <c r="D133" t="inlineStr">
        <is>
          <t>UPPSALA LÄN</t>
        </is>
      </c>
      <c r="E133" t="inlineStr">
        <is>
          <t>ENKÖPING</t>
        </is>
      </c>
      <c r="G133" t="n">
        <v>10.1</v>
      </c>
      <c r="H133" t="n">
        <v>0</v>
      </c>
      <c r="I133" t="n">
        <v>0</v>
      </c>
      <c r="J133" t="n">
        <v>0</v>
      </c>
      <c r="K133" t="n">
        <v>0</v>
      </c>
      <c r="L133" t="n">
        <v>0</v>
      </c>
      <c r="M133" t="n">
        <v>0</v>
      </c>
      <c r="N133" t="n">
        <v>0</v>
      </c>
      <c r="O133" t="n">
        <v>0</v>
      </c>
      <c r="P133" t="n">
        <v>0</v>
      </c>
      <c r="Q133" t="n">
        <v>0</v>
      </c>
      <c r="R133" s="2" t="inlineStr"/>
    </row>
    <row r="134" ht="15" customHeight="1">
      <c r="A134" t="inlineStr">
        <is>
          <t>A 56153-2019</t>
        </is>
      </c>
      <c r="B134" s="1" t="n">
        <v>43756</v>
      </c>
      <c r="C134" s="1" t="n">
        <v>45831</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55516-2019</t>
        </is>
      </c>
      <c r="B135" s="1" t="n">
        <v>43759</v>
      </c>
      <c r="C135" s="1" t="n">
        <v>45831</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55872-2019</t>
        </is>
      </c>
      <c r="B136" s="1" t="n">
        <v>43759</v>
      </c>
      <c r="C136" s="1" t="n">
        <v>45831</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55512-2019</t>
        </is>
      </c>
      <c r="B137" s="1" t="n">
        <v>43759</v>
      </c>
      <c r="C137" s="1" t="n">
        <v>45831</v>
      </c>
      <c r="D137" t="inlineStr">
        <is>
          <t>UPPSALA LÄN</t>
        </is>
      </c>
      <c r="E137" t="inlineStr">
        <is>
          <t>ENKÖPING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56309-2019</t>
        </is>
      </c>
      <c r="B138" s="1" t="n">
        <v>43762</v>
      </c>
      <c r="C138" s="1" t="n">
        <v>45831</v>
      </c>
      <c r="D138" t="inlineStr">
        <is>
          <t>UPPSALA LÄN</t>
        </is>
      </c>
      <c r="E138" t="inlineStr">
        <is>
          <t>ENKÖPING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56932-2019</t>
        </is>
      </c>
      <c r="B139" s="1" t="n">
        <v>43766</v>
      </c>
      <c r="C139" s="1" t="n">
        <v>45831</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56910-2019</t>
        </is>
      </c>
      <c r="B140" s="1" t="n">
        <v>43766</v>
      </c>
      <c r="C140" s="1" t="n">
        <v>45831</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57066-2019</t>
        </is>
      </c>
      <c r="B141" s="1" t="n">
        <v>43766</v>
      </c>
      <c r="C141" s="1" t="n">
        <v>45831</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56897-2019</t>
        </is>
      </c>
      <c r="B142" s="1" t="n">
        <v>43766</v>
      </c>
      <c r="C142" s="1" t="n">
        <v>45831</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57126-2019</t>
        </is>
      </c>
      <c r="B143" s="1" t="n">
        <v>43766</v>
      </c>
      <c r="C143" s="1" t="n">
        <v>45831</v>
      </c>
      <c r="D143" t="inlineStr">
        <is>
          <t>UPPSALA LÄN</t>
        </is>
      </c>
      <c r="E143" t="inlineStr">
        <is>
          <t>ENKÖPING</t>
        </is>
      </c>
      <c r="G143" t="n">
        <v>3.3</v>
      </c>
      <c r="H143" t="n">
        <v>0</v>
      </c>
      <c r="I143" t="n">
        <v>0</v>
      </c>
      <c r="J143" t="n">
        <v>0</v>
      </c>
      <c r="K143" t="n">
        <v>0</v>
      </c>
      <c r="L143" t="n">
        <v>0</v>
      </c>
      <c r="M143" t="n">
        <v>0</v>
      </c>
      <c r="N143" t="n">
        <v>0</v>
      </c>
      <c r="O143" t="n">
        <v>0</v>
      </c>
      <c r="P143" t="n">
        <v>0</v>
      </c>
      <c r="Q143" t="n">
        <v>0</v>
      </c>
      <c r="R143" s="2" t="inlineStr"/>
    </row>
    <row r="144" ht="15" customHeight="1">
      <c r="A144" t="inlineStr">
        <is>
          <t>A 57813-2019</t>
        </is>
      </c>
      <c r="B144" s="1" t="n">
        <v>43768</v>
      </c>
      <c r="C144" s="1" t="n">
        <v>45831</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57821-2019</t>
        </is>
      </c>
      <c r="B145" s="1" t="n">
        <v>43768</v>
      </c>
      <c r="C145" s="1" t="n">
        <v>45831</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57820-2019</t>
        </is>
      </c>
      <c r="B146" s="1" t="n">
        <v>43768</v>
      </c>
      <c r="C146" s="1" t="n">
        <v>45831</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58491-2019</t>
        </is>
      </c>
      <c r="B147" s="1" t="n">
        <v>43773</v>
      </c>
      <c r="C147" s="1" t="n">
        <v>45831</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58558-2019</t>
        </is>
      </c>
      <c r="B148" s="1" t="n">
        <v>43773</v>
      </c>
      <c r="C148" s="1" t="n">
        <v>45831</v>
      </c>
      <c r="D148" t="inlineStr">
        <is>
          <t>UPPSALA LÄN</t>
        </is>
      </c>
      <c r="E148" t="inlineStr">
        <is>
          <t>ENKÖPING</t>
        </is>
      </c>
      <c r="G148" t="n">
        <v>2.3</v>
      </c>
      <c r="H148" t="n">
        <v>0</v>
      </c>
      <c r="I148" t="n">
        <v>0</v>
      </c>
      <c r="J148" t="n">
        <v>0</v>
      </c>
      <c r="K148" t="n">
        <v>0</v>
      </c>
      <c r="L148" t="n">
        <v>0</v>
      </c>
      <c r="M148" t="n">
        <v>0</v>
      </c>
      <c r="N148" t="n">
        <v>0</v>
      </c>
      <c r="O148" t="n">
        <v>0</v>
      </c>
      <c r="P148" t="n">
        <v>0</v>
      </c>
      <c r="Q148" t="n">
        <v>0</v>
      </c>
      <c r="R148" s="2" t="inlineStr"/>
    </row>
    <row r="149" ht="15" customHeight="1">
      <c r="A149" t="inlineStr">
        <is>
          <t>A 60054-2019</t>
        </is>
      </c>
      <c r="B149" s="1" t="n">
        <v>43775</v>
      </c>
      <c r="C149" s="1" t="n">
        <v>45831</v>
      </c>
      <c r="D149" t="inlineStr">
        <is>
          <t>UPPSALA LÄN</t>
        </is>
      </c>
      <c r="E149" t="inlineStr">
        <is>
          <t>ENKÖPING</t>
        </is>
      </c>
      <c r="G149" t="n">
        <v>18.4</v>
      </c>
      <c r="H149" t="n">
        <v>0</v>
      </c>
      <c r="I149" t="n">
        <v>0</v>
      </c>
      <c r="J149" t="n">
        <v>0</v>
      </c>
      <c r="K149" t="n">
        <v>0</v>
      </c>
      <c r="L149" t="n">
        <v>0</v>
      </c>
      <c r="M149" t="n">
        <v>0</v>
      </c>
      <c r="N149" t="n">
        <v>0</v>
      </c>
      <c r="O149" t="n">
        <v>0</v>
      </c>
      <c r="P149" t="n">
        <v>0</v>
      </c>
      <c r="Q149" t="n">
        <v>0</v>
      </c>
      <c r="R149" s="2" t="inlineStr"/>
    </row>
    <row r="150" ht="15" customHeight="1">
      <c r="A150" t="inlineStr">
        <is>
          <t>A 59600-2019</t>
        </is>
      </c>
      <c r="B150" s="1" t="n">
        <v>43776</v>
      </c>
      <c r="C150" s="1" t="n">
        <v>45831</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60070-2019</t>
        </is>
      </c>
      <c r="B151" s="1" t="n">
        <v>43777</v>
      </c>
      <c r="C151" s="1" t="n">
        <v>45831</v>
      </c>
      <c r="D151" t="inlineStr">
        <is>
          <t>UPPSALA LÄN</t>
        </is>
      </c>
      <c r="E151" t="inlineStr">
        <is>
          <t>ENKÖPING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60062-2019</t>
        </is>
      </c>
      <c r="B152" s="1" t="n">
        <v>43777</v>
      </c>
      <c r="C152" s="1" t="n">
        <v>45831</v>
      </c>
      <c r="D152" t="inlineStr">
        <is>
          <t>UPPSALA LÄN</t>
        </is>
      </c>
      <c r="E152" t="inlineStr">
        <is>
          <t>ENKÖPING</t>
        </is>
      </c>
      <c r="G152" t="n">
        <v>6.4</v>
      </c>
      <c r="H152" t="n">
        <v>0</v>
      </c>
      <c r="I152" t="n">
        <v>0</v>
      </c>
      <c r="J152" t="n">
        <v>0</v>
      </c>
      <c r="K152" t="n">
        <v>0</v>
      </c>
      <c r="L152" t="n">
        <v>0</v>
      </c>
      <c r="M152" t="n">
        <v>0</v>
      </c>
      <c r="N152" t="n">
        <v>0</v>
      </c>
      <c r="O152" t="n">
        <v>0</v>
      </c>
      <c r="P152" t="n">
        <v>0</v>
      </c>
      <c r="Q152" t="n">
        <v>0</v>
      </c>
      <c r="R152" s="2" t="inlineStr"/>
    </row>
    <row r="153" ht="15" customHeight="1">
      <c r="A153" t="inlineStr">
        <is>
          <t>A 61005-2019</t>
        </is>
      </c>
      <c r="B153" s="1" t="n">
        <v>43782</v>
      </c>
      <c r="C153" s="1" t="n">
        <v>45831</v>
      </c>
      <c r="D153" t="inlineStr">
        <is>
          <t>UPPSALA LÄN</t>
        </is>
      </c>
      <c r="E153" t="inlineStr">
        <is>
          <t>ENKÖPING</t>
        </is>
      </c>
      <c r="G153" t="n">
        <v>11.8</v>
      </c>
      <c r="H153" t="n">
        <v>0</v>
      </c>
      <c r="I153" t="n">
        <v>0</v>
      </c>
      <c r="J153" t="n">
        <v>0</v>
      </c>
      <c r="K153" t="n">
        <v>0</v>
      </c>
      <c r="L153" t="n">
        <v>0</v>
      </c>
      <c r="M153" t="n">
        <v>0</v>
      </c>
      <c r="N153" t="n">
        <v>0</v>
      </c>
      <c r="O153" t="n">
        <v>0</v>
      </c>
      <c r="P153" t="n">
        <v>0</v>
      </c>
      <c r="Q153" t="n">
        <v>0</v>
      </c>
      <c r="R153" s="2" t="inlineStr"/>
    </row>
    <row r="154" ht="15" customHeight="1">
      <c r="A154" t="inlineStr">
        <is>
          <t>A 62868-2019</t>
        </is>
      </c>
      <c r="B154" s="1" t="n">
        <v>43790</v>
      </c>
      <c r="C154" s="1" t="n">
        <v>45831</v>
      </c>
      <c r="D154" t="inlineStr">
        <is>
          <t>UPPSALA LÄN</t>
        </is>
      </c>
      <c r="E154" t="inlineStr">
        <is>
          <t>ENKÖPING</t>
        </is>
      </c>
      <c r="G154" t="n">
        <v>0.4</v>
      </c>
      <c r="H154" t="n">
        <v>0</v>
      </c>
      <c r="I154" t="n">
        <v>0</v>
      </c>
      <c r="J154" t="n">
        <v>0</v>
      </c>
      <c r="K154" t="n">
        <v>0</v>
      </c>
      <c r="L154" t="n">
        <v>0</v>
      </c>
      <c r="M154" t="n">
        <v>0</v>
      </c>
      <c r="N154" t="n">
        <v>0</v>
      </c>
      <c r="O154" t="n">
        <v>0</v>
      </c>
      <c r="P154" t="n">
        <v>0</v>
      </c>
      <c r="Q154" t="n">
        <v>0</v>
      </c>
      <c r="R154" s="2" t="inlineStr"/>
    </row>
    <row r="155" ht="15" customHeight="1">
      <c r="A155" t="inlineStr">
        <is>
          <t>A 65182-2019</t>
        </is>
      </c>
      <c r="B155" s="1" t="n">
        <v>43802</v>
      </c>
      <c r="C155" s="1" t="n">
        <v>45831</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66556-2019</t>
        </is>
      </c>
      <c r="B156" s="1" t="n">
        <v>43803</v>
      </c>
      <c r="C156" s="1" t="n">
        <v>45831</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66298-2019</t>
        </is>
      </c>
      <c r="B157" s="1" t="n">
        <v>43808</v>
      </c>
      <c r="C157" s="1" t="n">
        <v>45831</v>
      </c>
      <c r="D157" t="inlineStr">
        <is>
          <t>UPPSALA LÄN</t>
        </is>
      </c>
      <c r="E157" t="inlineStr">
        <is>
          <t>ENKÖPING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67190-2019</t>
        </is>
      </c>
      <c r="B158" s="1" t="n">
        <v>43811</v>
      </c>
      <c r="C158" s="1" t="n">
        <v>45831</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67196-2019</t>
        </is>
      </c>
      <c r="B159" s="1" t="n">
        <v>43811</v>
      </c>
      <c r="C159" s="1" t="n">
        <v>45831</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67244-2019</t>
        </is>
      </c>
      <c r="B160" s="1" t="n">
        <v>43812</v>
      </c>
      <c r="C160" s="1" t="n">
        <v>45831</v>
      </c>
      <c r="D160" t="inlineStr">
        <is>
          <t>UPPSALA LÄN</t>
        </is>
      </c>
      <c r="E160" t="inlineStr">
        <is>
          <t>ENKÖPING</t>
        </is>
      </c>
      <c r="G160" t="n">
        <v>3.2</v>
      </c>
      <c r="H160" t="n">
        <v>0</v>
      </c>
      <c r="I160" t="n">
        <v>0</v>
      </c>
      <c r="J160" t="n">
        <v>0</v>
      </c>
      <c r="K160" t="n">
        <v>0</v>
      </c>
      <c r="L160" t="n">
        <v>0</v>
      </c>
      <c r="M160" t="n">
        <v>0</v>
      </c>
      <c r="N160" t="n">
        <v>0</v>
      </c>
      <c r="O160" t="n">
        <v>0</v>
      </c>
      <c r="P160" t="n">
        <v>0</v>
      </c>
      <c r="Q160" t="n">
        <v>0</v>
      </c>
      <c r="R160" s="2" t="inlineStr"/>
    </row>
    <row r="161" ht="15" customHeight="1">
      <c r="A161" t="inlineStr">
        <is>
          <t>A 67448-2019</t>
        </is>
      </c>
      <c r="B161" s="1" t="n">
        <v>43812</v>
      </c>
      <c r="C161" s="1" t="n">
        <v>45831</v>
      </c>
      <c r="D161" t="inlineStr">
        <is>
          <t>UPPSALA LÄN</t>
        </is>
      </c>
      <c r="E161" t="inlineStr">
        <is>
          <t>ENKÖPING</t>
        </is>
      </c>
      <c r="F161" t="inlineStr">
        <is>
          <t>Allmännings- och besparingsskogar</t>
        </is>
      </c>
      <c r="G161" t="n">
        <v>15.1</v>
      </c>
      <c r="H161" t="n">
        <v>0</v>
      </c>
      <c r="I161" t="n">
        <v>0</v>
      </c>
      <c r="J161" t="n">
        <v>0</v>
      </c>
      <c r="K161" t="n">
        <v>0</v>
      </c>
      <c r="L161" t="n">
        <v>0</v>
      </c>
      <c r="M161" t="n">
        <v>0</v>
      </c>
      <c r="N161" t="n">
        <v>0</v>
      </c>
      <c r="O161" t="n">
        <v>0</v>
      </c>
      <c r="P161" t="n">
        <v>0</v>
      </c>
      <c r="Q161" t="n">
        <v>0</v>
      </c>
      <c r="R161" s="2" t="inlineStr"/>
    </row>
    <row r="162" ht="15" customHeight="1">
      <c r="A162" t="inlineStr">
        <is>
          <t>A 68186-2019</t>
        </is>
      </c>
      <c r="B162" s="1" t="n">
        <v>43817</v>
      </c>
      <c r="C162" s="1" t="n">
        <v>45831</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68188-2019</t>
        </is>
      </c>
      <c r="B163" s="1" t="n">
        <v>43817</v>
      </c>
      <c r="C163" s="1" t="n">
        <v>45831</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69015-2019</t>
        </is>
      </c>
      <c r="B164" s="1" t="n">
        <v>43826</v>
      </c>
      <c r="C164" s="1" t="n">
        <v>45831</v>
      </c>
      <c r="D164" t="inlineStr">
        <is>
          <t>UPPSALA LÄN</t>
        </is>
      </c>
      <c r="E164" t="inlineStr">
        <is>
          <t>ENKÖPING</t>
        </is>
      </c>
      <c r="G164" t="n">
        <v>15.7</v>
      </c>
      <c r="H164" t="n">
        <v>0</v>
      </c>
      <c r="I164" t="n">
        <v>0</v>
      </c>
      <c r="J164" t="n">
        <v>0</v>
      </c>
      <c r="K164" t="n">
        <v>0</v>
      </c>
      <c r="L164" t="n">
        <v>0</v>
      </c>
      <c r="M164" t="n">
        <v>0</v>
      </c>
      <c r="N164" t="n">
        <v>0</v>
      </c>
      <c r="O164" t="n">
        <v>0</v>
      </c>
      <c r="P164" t="n">
        <v>0</v>
      </c>
      <c r="Q164" t="n">
        <v>0</v>
      </c>
      <c r="R164" s="2" t="inlineStr"/>
    </row>
    <row r="165" ht="15" customHeight="1">
      <c r="A165" t="inlineStr">
        <is>
          <t>A 69029-2019</t>
        </is>
      </c>
      <c r="B165" s="1" t="n">
        <v>43826</v>
      </c>
      <c r="C165" s="1" t="n">
        <v>45831</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69016-2019</t>
        </is>
      </c>
      <c r="B166" s="1" t="n">
        <v>43826</v>
      </c>
      <c r="C166" s="1" t="n">
        <v>45831</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69020-2019</t>
        </is>
      </c>
      <c r="B167" s="1" t="n">
        <v>43826</v>
      </c>
      <c r="C167" s="1" t="n">
        <v>45831</v>
      </c>
      <c r="D167" t="inlineStr">
        <is>
          <t>UPPSALA LÄN</t>
        </is>
      </c>
      <c r="E167" t="inlineStr">
        <is>
          <t>ENKÖPING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38-2020</t>
        </is>
      </c>
      <c r="B168" s="1" t="n">
        <v>43832</v>
      </c>
      <c r="C168" s="1" t="n">
        <v>45831</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499-2020</t>
        </is>
      </c>
      <c r="B169" s="1" t="n">
        <v>43837</v>
      </c>
      <c r="C169" s="1" t="n">
        <v>45831</v>
      </c>
      <c r="D169" t="inlineStr">
        <is>
          <t>UPPSALA LÄN</t>
        </is>
      </c>
      <c r="E169" t="inlineStr">
        <is>
          <t>ENKÖPING</t>
        </is>
      </c>
      <c r="G169" t="n">
        <v>4.9</v>
      </c>
      <c r="H169" t="n">
        <v>0</v>
      </c>
      <c r="I169" t="n">
        <v>0</v>
      </c>
      <c r="J169" t="n">
        <v>0</v>
      </c>
      <c r="K169" t="n">
        <v>0</v>
      </c>
      <c r="L169" t="n">
        <v>0</v>
      </c>
      <c r="M169" t="n">
        <v>0</v>
      </c>
      <c r="N169" t="n">
        <v>0</v>
      </c>
      <c r="O169" t="n">
        <v>0</v>
      </c>
      <c r="P169" t="n">
        <v>0</v>
      </c>
      <c r="Q169" t="n">
        <v>0</v>
      </c>
      <c r="R169" s="2" t="inlineStr"/>
    </row>
    <row r="170" ht="15" customHeight="1">
      <c r="A170" t="inlineStr">
        <is>
          <t>A 724-2020</t>
        </is>
      </c>
      <c r="B170" s="1" t="n">
        <v>43838</v>
      </c>
      <c r="C170" s="1" t="n">
        <v>45831</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892-2020</t>
        </is>
      </c>
      <c r="B171" s="1" t="n">
        <v>43839</v>
      </c>
      <c r="C171" s="1" t="n">
        <v>45831</v>
      </c>
      <c r="D171" t="inlineStr">
        <is>
          <t>UPPSALA LÄN</t>
        </is>
      </c>
      <c r="E171" t="inlineStr">
        <is>
          <t>ENKÖPING</t>
        </is>
      </c>
      <c r="G171" t="n">
        <v>2.1</v>
      </c>
      <c r="H171" t="n">
        <v>0</v>
      </c>
      <c r="I171" t="n">
        <v>0</v>
      </c>
      <c r="J171" t="n">
        <v>0</v>
      </c>
      <c r="K171" t="n">
        <v>0</v>
      </c>
      <c r="L171" t="n">
        <v>0</v>
      </c>
      <c r="M171" t="n">
        <v>0</v>
      </c>
      <c r="N171" t="n">
        <v>0</v>
      </c>
      <c r="O171" t="n">
        <v>0</v>
      </c>
      <c r="P171" t="n">
        <v>0</v>
      </c>
      <c r="Q171" t="n">
        <v>0</v>
      </c>
      <c r="R171" s="2" t="inlineStr"/>
    </row>
    <row r="172" ht="15" customHeight="1">
      <c r="A172" t="inlineStr">
        <is>
          <t>A 1348-2020</t>
        </is>
      </c>
      <c r="B172" s="1" t="n">
        <v>43843</v>
      </c>
      <c r="C172" s="1" t="n">
        <v>45831</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2182-2020</t>
        </is>
      </c>
      <c r="B173" s="1" t="n">
        <v>43846</v>
      </c>
      <c r="C173" s="1" t="n">
        <v>45831</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2205-2020</t>
        </is>
      </c>
      <c r="B174" s="1" t="n">
        <v>43846</v>
      </c>
      <c r="C174" s="1" t="n">
        <v>45831</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2177-2020</t>
        </is>
      </c>
      <c r="B175" s="1" t="n">
        <v>43846</v>
      </c>
      <c r="C175" s="1" t="n">
        <v>45831</v>
      </c>
      <c r="D175" t="inlineStr">
        <is>
          <t>UPPSALA LÄN</t>
        </is>
      </c>
      <c r="E175" t="inlineStr">
        <is>
          <t>ENKÖPING</t>
        </is>
      </c>
      <c r="F175" t="inlineStr">
        <is>
          <t>Övriga statliga verk och myndigheter</t>
        </is>
      </c>
      <c r="G175" t="n">
        <v>10.2</v>
      </c>
      <c r="H175" t="n">
        <v>0</v>
      </c>
      <c r="I175" t="n">
        <v>0</v>
      </c>
      <c r="J175" t="n">
        <v>0</v>
      </c>
      <c r="K175" t="n">
        <v>0</v>
      </c>
      <c r="L175" t="n">
        <v>0</v>
      </c>
      <c r="M175" t="n">
        <v>0</v>
      </c>
      <c r="N175" t="n">
        <v>0</v>
      </c>
      <c r="O175" t="n">
        <v>0</v>
      </c>
      <c r="P175" t="n">
        <v>0</v>
      </c>
      <c r="Q175" t="n">
        <v>0</v>
      </c>
      <c r="R175" s="2" t="inlineStr"/>
    </row>
    <row r="176" ht="15" customHeight="1">
      <c r="A176" t="inlineStr">
        <is>
          <t>A 2220-2020</t>
        </is>
      </c>
      <c r="B176" s="1" t="n">
        <v>43846</v>
      </c>
      <c r="C176" s="1" t="n">
        <v>45831</v>
      </c>
      <c r="D176" t="inlineStr">
        <is>
          <t>UPPSALA LÄN</t>
        </is>
      </c>
      <c r="E176" t="inlineStr">
        <is>
          <t>ENKÖPING</t>
        </is>
      </c>
      <c r="F176" t="inlineStr">
        <is>
          <t>Övriga statliga verk och myndigheter</t>
        </is>
      </c>
      <c r="G176" t="n">
        <v>11.8</v>
      </c>
      <c r="H176" t="n">
        <v>0</v>
      </c>
      <c r="I176" t="n">
        <v>0</v>
      </c>
      <c r="J176" t="n">
        <v>0</v>
      </c>
      <c r="K176" t="n">
        <v>0</v>
      </c>
      <c r="L176" t="n">
        <v>0</v>
      </c>
      <c r="M176" t="n">
        <v>0</v>
      </c>
      <c r="N176" t="n">
        <v>0</v>
      </c>
      <c r="O176" t="n">
        <v>0</v>
      </c>
      <c r="P176" t="n">
        <v>0</v>
      </c>
      <c r="Q176" t="n">
        <v>0</v>
      </c>
      <c r="R176" s="2" t="inlineStr"/>
    </row>
    <row r="177" ht="15" customHeight="1">
      <c r="A177" t="inlineStr">
        <is>
          <t>A 2186-2020</t>
        </is>
      </c>
      <c r="B177" s="1" t="n">
        <v>43846</v>
      </c>
      <c r="C177" s="1" t="n">
        <v>45831</v>
      </c>
      <c r="D177" t="inlineStr">
        <is>
          <t>UPPSALA LÄN</t>
        </is>
      </c>
      <c r="E177" t="inlineStr">
        <is>
          <t>ENKÖPING</t>
        </is>
      </c>
      <c r="F177" t="inlineStr">
        <is>
          <t>Övriga statliga verk och myndigheter</t>
        </is>
      </c>
      <c r="G177" t="n">
        <v>12.3</v>
      </c>
      <c r="H177" t="n">
        <v>0</v>
      </c>
      <c r="I177" t="n">
        <v>0</v>
      </c>
      <c r="J177" t="n">
        <v>0</v>
      </c>
      <c r="K177" t="n">
        <v>0</v>
      </c>
      <c r="L177" t="n">
        <v>0</v>
      </c>
      <c r="M177" t="n">
        <v>0</v>
      </c>
      <c r="N177" t="n">
        <v>0</v>
      </c>
      <c r="O177" t="n">
        <v>0</v>
      </c>
      <c r="P177" t="n">
        <v>0</v>
      </c>
      <c r="Q177" t="n">
        <v>0</v>
      </c>
      <c r="R177" s="2" t="inlineStr"/>
    </row>
    <row r="178" ht="15" customHeight="1">
      <c r="A178" t="inlineStr">
        <is>
          <t>A 2225-2020</t>
        </is>
      </c>
      <c r="B178" s="1" t="n">
        <v>43846</v>
      </c>
      <c r="C178" s="1" t="n">
        <v>45831</v>
      </c>
      <c r="D178" t="inlineStr">
        <is>
          <t>UPPSALA LÄN</t>
        </is>
      </c>
      <c r="E178" t="inlineStr">
        <is>
          <t>ENKÖPING</t>
        </is>
      </c>
      <c r="F178" t="inlineStr">
        <is>
          <t>Övriga statliga verk och myndigheter</t>
        </is>
      </c>
      <c r="G178" t="n">
        <v>5.2</v>
      </c>
      <c r="H178" t="n">
        <v>0</v>
      </c>
      <c r="I178" t="n">
        <v>0</v>
      </c>
      <c r="J178" t="n">
        <v>0</v>
      </c>
      <c r="K178" t="n">
        <v>0</v>
      </c>
      <c r="L178" t="n">
        <v>0</v>
      </c>
      <c r="M178" t="n">
        <v>0</v>
      </c>
      <c r="N178" t="n">
        <v>0</v>
      </c>
      <c r="O178" t="n">
        <v>0</v>
      </c>
      <c r="P178" t="n">
        <v>0</v>
      </c>
      <c r="Q178" t="n">
        <v>0</v>
      </c>
      <c r="R178" s="2" t="inlineStr"/>
    </row>
    <row r="179" ht="15" customHeight="1">
      <c r="A179" t="inlineStr">
        <is>
          <t>A 2217-2020</t>
        </is>
      </c>
      <c r="B179" s="1" t="n">
        <v>43846</v>
      </c>
      <c r="C179" s="1" t="n">
        <v>45831</v>
      </c>
      <c r="D179" t="inlineStr">
        <is>
          <t>UPPSALA LÄN</t>
        </is>
      </c>
      <c r="E179" t="inlineStr">
        <is>
          <t>ENKÖPING</t>
        </is>
      </c>
      <c r="F179" t="inlineStr">
        <is>
          <t>Övriga statliga verk och myndigheter</t>
        </is>
      </c>
      <c r="G179" t="n">
        <v>7.7</v>
      </c>
      <c r="H179" t="n">
        <v>0</v>
      </c>
      <c r="I179" t="n">
        <v>0</v>
      </c>
      <c r="J179" t="n">
        <v>0</v>
      </c>
      <c r="K179" t="n">
        <v>0</v>
      </c>
      <c r="L179" t="n">
        <v>0</v>
      </c>
      <c r="M179" t="n">
        <v>0</v>
      </c>
      <c r="N179" t="n">
        <v>0</v>
      </c>
      <c r="O179" t="n">
        <v>0</v>
      </c>
      <c r="P179" t="n">
        <v>0</v>
      </c>
      <c r="Q179" t="n">
        <v>0</v>
      </c>
      <c r="R179" s="2" t="inlineStr"/>
    </row>
    <row r="180" ht="15" customHeight="1">
      <c r="A180" t="inlineStr">
        <is>
          <t>A 2222-2020</t>
        </is>
      </c>
      <c r="B180" s="1" t="n">
        <v>43846</v>
      </c>
      <c r="C180" s="1" t="n">
        <v>45831</v>
      </c>
      <c r="D180" t="inlineStr">
        <is>
          <t>UPPSALA LÄN</t>
        </is>
      </c>
      <c r="E180" t="inlineStr">
        <is>
          <t>ENKÖPING</t>
        </is>
      </c>
      <c r="F180" t="inlineStr">
        <is>
          <t>Övriga statliga verk och myndigheter</t>
        </is>
      </c>
      <c r="G180" t="n">
        <v>3.3</v>
      </c>
      <c r="H180" t="n">
        <v>0</v>
      </c>
      <c r="I180" t="n">
        <v>0</v>
      </c>
      <c r="J180" t="n">
        <v>0</v>
      </c>
      <c r="K180" t="n">
        <v>0</v>
      </c>
      <c r="L180" t="n">
        <v>0</v>
      </c>
      <c r="M180" t="n">
        <v>0</v>
      </c>
      <c r="N180" t="n">
        <v>0</v>
      </c>
      <c r="O180" t="n">
        <v>0</v>
      </c>
      <c r="P180" t="n">
        <v>0</v>
      </c>
      <c r="Q180" t="n">
        <v>0</v>
      </c>
      <c r="R180" s="2" t="inlineStr"/>
    </row>
    <row r="181" ht="15" customHeight="1">
      <c r="A181" t="inlineStr">
        <is>
          <t>A 4073-2020</t>
        </is>
      </c>
      <c r="B181" s="1" t="n">
        <v>43857</v>
      </c>
      <c r="C181" s="1" t="n">
        <v>45831</v>
      </c>
      <c r="D181" t="inlineStr">
        <is>
          <t>UPPSALA LÄN</t>
        </is>
      </c>
      <c r="E181" t="inlineStr">
        <is>
          <t>ENKÖPING</t>
        </is>
      </c>
      <c r="G181" t="n">
        <v>2.4</v>
      </c>
      <c r="H181" t="n">
        <v>0</v>
      </c>
      <c r="I181" t="n">
        <v>0</v>
      </c>
      <c r="J181" t="n">
        <v>0</v>
      </c>
      <c r="K181" t="n">
        <v>0</v>
      </c>
      <c r="L181" t="n">
        <v>0</v>
      </c>
      <c r="M181" t="n">
        <v>0</v>
      </c>
      <c r="N181" t="n">
        <v>0</v>
      </c>
      <c r="O181" t="n">
        <v>0</v>
      </c>
      <c r="P181" t="n">
        <v>0</v>
      </c>
      <c r="Q181" t="n">
        <v>0</v>
      </c>
      <c r="R181" s="2" t="inlineStr"/>
    </row>
    <row r="182" ht="15" customHeight="1">
      <c r="A182" t="inlineStr">
        <is>
          <t>A 5032-2020</t>
        </is>
      </c>
      <c r="B182" s="1" t="n">
        <v>43859</v>
      </c>
      <c r="C182" s="1" t="n">
        <v>45831</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5345-2020</t>
        </is>
      </c>
      <c r="B183" s="1" t="n">
        <v>43860</v>
      </c>
      <c r="C183" s="1" t="n">
        <v>45831</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5178-2020</t>
        </is>
      </c>
      <c r="B184" s="1" t="n">
        <v>43860</v>
      </c>
      <c r="C184" s="1" t="n">
        <v>45831</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6045-2020</t>
        </is>
      </c>
      <c r="B185" s="1" t="n">
        <v>43865</v>
      </c>
      <c r="C185" s="1" t="n">
        <v>45831</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6320-2020</t>
        </is>
      </c>
      <c r="B186" s="1" t="n">
        <v>43866</v>
      </c>
      <c r="C186" s="1" t="n">
        <v>45831</v>
      </c>
      <c r="D186" t="inlineStr">
        <is>
          <t>UPPSALA LÄN</t>
        </is>
      </c>
      <c r="E186" t="inlineStr">
        <is>
          <t>ENKÖPING</t>
        </is>
      </c>
      <c r="F186" t="inlineStr">
        <is>
          <t>Övriga statliga verk och myndigheter</t>
        </is>
      </c>
      <c r="G186" t="n">
        <v>1.6</v>
      </c>
      <c r="H186" t="n">
        <v>0</v>
      </c>
      <c r="I186" t="n">
        <v>0</v>
      </c>
      <c r="J186" t="n">
        <v>0</v>
      </c>
      <c r="K186" t="n">
        <v>0</v>
      </c>
      <c r="L186" t="n">
        <v>0</v>
      </c>
      <c r="M186" t="n">
        <v>0</v>
      </c>
      <c r="N186" t="n">
        <v>0</v>
      </c>
      <c r="O186" t="n">
        <v>0</v>
      </c>
      <c r="P186" t="n">
        <v>0</v>
      </c>
      <c r="Q186" t="n">
        <v>0</v>
      </c>
      <c r="R186" s="2" t="inlineStr"/>
    </row>
    <row r="187" ht="15" customHeight="1">
      <c r="A187" t="inlineStr">
        <is>
          <t>A 6345-2020</t>
        </is>
      </c>
      <c r="B187" s="1" t="n">
        <v>43866</v>
      </c>
      <c r="C187" s="1" t="n">
        <v>45831</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6700-2020</t>
        </is>
      </c>
      <c r="B188" s="1" t="n">
        <v>43866</v>
      </c>
      <c r="C188" s="1" t="n">
        <v>45831</v>
      </c>
      <c r="D188" t="inlineStr">
        <is>
          <t>UPPSALA LÄN</t>
        </is>
      </c>
      <c r="E188" t="inlineStr">
        <is>
          <t>ENKÖPING</t>
        </is>
      </c>
      <c r="G188" t="n">
        <v>2.6</v>
      </c>
      <c r="H188" t="n">
        <v>0</v>
      </c>
      <c r="I188" t="n">
        <v>0</v>
      </c>
      <c r="J188" t="n">
        <v>0</v>
      </c>
      <c r="K188" t="n">
        <v>0</v>
      </c>
      <c r="L188" t="n">
        <v>0</v>
      </c>
      <c r="M188" t="n">
        <v>0</v>
      </c>
      <c r="N188" t="n">
        <v>0</v>
      </c>
      <c r="O188" t="n">
        <v>0</v>
      </c>
      <c r="P188" t="n">
        <v>0</v>
      </c>
      <c r="Q188" t="n">
        <v>0</v>
      </c>
      <c r="R188" s="2" t="inlineStr"/>
    </row>
    <row r="189" ht="15" customHeight="1">
      <c r="A189" t="inlineStr">
        <is>
          <t>A 6434-2020</t>
        </is>
      </c>
      <c r="B189" s="1" t="n">
        <v>43866</v>
      </c>
      <c r="C189" s="1" t="n">
        <v>45831</v>
      </c>
      <c r="D189" t="inlineStr">
        <is>
          <t>UPPSALA LÄN</t>
        </is>
      </c>
      <c r="E189" t="inlineStr">
        <is>
          <t>ENKÖPING</t>
        </is>
      </c>
      <c r="G189" t="n">
        <v>8.4</v>
      </c>
      <c r="H189" t="n">
        <v>0</v>
      </c>
      <c r="I189" t="n">
        <v>0</v>
      </c>
      <c r="J189" t="n">
        <v>0</v>
      </c>
      <c r="K189" t="n">
        <v>0</v>
      </c>
      <c r="L189" t="n">
        <v>0</v>
      </c>
      <c r="M189" t="n">
        <v>0</v>
      </c>
      <c r="N189" t="n">
        <v>0</v>
      </c>
      <c r="O189" t="n">
        <v>0</v>
      </c>
      <c r="P189" t="n">
        <v>0</v>
      </c>
      <c r="Q189" t="n">
        <v>0</v>
      </c>
      <c r="R189" s="2" t="inlineStr"/>
    </row>
    <row r="190" ht="15" customHeight="1">
      <c r="A190" t="inlineStr">
        <is>
          <t>A 6990-2020</t>
        </is>
      </c>
      <c r="B190" s="1" t="n">
        <v>43868</v>
      </c>
      <c r="C190" s="1" t="n">
        <v>45831</v>
      </c>
      <c r="D190" t="inlineStr">
        <is>
          <t>UPPSALA LÄN</t>
        </is>
      </c>
      <c r="E190" t="inlineStr">
        <is>
          <t>ENKÖPING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8185-2020</t>
        </is>
      </c>
      <c r="B191" s="1" t="n">
        <v>43874</v>
      </c>
      <c r="C191" s="1" t="n">
        <v>45831</v>
      </c>
      <c r="D191" t="inlineStr">
        <is>
          <t>UPPSALA LÄN</t>
        </is>
      </c>
      <c r="E191" t="inlineStr">
        <is>
          <t>ENKÖPING</t>
        </is>
      </c>
      <c r="G191" t="n">
        <v>4.7</v>
      </c>
      <c r="H191" t="n">
        <v>0</v>
      </c>
      <c r="I191" t="n">
        <v>0</v>
      </c>
      <c r="J191" t="n">
        <v>0</v>
      </c>
      <c r="K191" t="n">
        <v>0</v>
      </c>
      <c r="L191" t="n">
        <v>0</v>
      </c>
      <c r="M191" t="n">
        <v>0</v>
      </c>
      <c r="N191" t="n">
        <v>0</v>
      </c>
      <c r="O191" t="n">
        <v>0</v>
      </c>
      <c r="P191" t="n">
        <v>0</v>
      </c>
      <c r="Q191" t="n">
        <v>0</v>
      </c>
      <c r="R191" s="2" t="inlineStr"/>
    </row>
    <row r="192" ht="15" customHeight="1">
      <c r="A192" t="inlineStr">
        <is>
          <t>A 8320-2020</t>
        </is>
      </c>
      <c r="B192" s="1" t="n">
        <v>43875</v>
      </c>
      <c r="C192" s="1" t="n">
        <v>45831</v>
      </c>
      <c r="D192" t="inlineStr">
        <is>
          <t>UPPSALA LÄN</t>
        </is>
      </c>
      <c r="E192" t="inlineStr">
        <is>
          <t>ENKÖPING</t>
        </is>
      </c>
      <c r="G192" t="n">
        <v>6.1</v>
      </c>
      <c r="H192" t="n">
        <v>0</v>
      </c>
      <c r="I192" t="n">
        <v>0</v>
      </c>
      <c r="J192" t="n">
        <v>0</v>
      </c>
      <c r="K192" t="n">
        <v>0</v>
      </c>
      <c r="L192" t="n">
        <v>0</v>
      </c>
      <c r="M192" t="n">
        <v>0</v>
      </c>
      <c r="N192" t="n">
        <v>0</v>
      </c>
      <c r="O192" t="n">
        <v>0</v>
      </c>
      <c r="P192" t="n">
        <v>0</v>
      </c>
      <c r="Q192" t="n">
        <v>0</v>
      </c>
      <c r="R192" s="2" t="inlineStr"/>
    </row>
    <row r="193" ht="15" customHeight="1">
      <c r="A193" t="inlineStr">
        <is>
          <t>A 8344-2020</t>
        </is>
      </c>
      <c r="B193" s="1" t="n">
        <v>43875</v>
      </c>
      <c r="C193" s="1" t="n">
        <v>45831</v>
      </c>
      <c r="D193" t="inlineStr">
        <is>
          <t>UPPSALA LÄN</t>
        </is>
      </c>
      <c r="E193" t="inlineStr">
        <is>
          <t>ENKÖPING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8692-2020</t>
        </is>
      </c>
      <c r="B194" s="1" t="n">
        <v>43878</v>
      </c>
      <c r="C194" s="1" t="n">
        <v>45831</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8700-2020</t>
        </is>
      </c>
      <c r="B195" s="1" t="n">
        <v>43878</v>
      </c>
      <c r="C195" s="1" t="n">
        <v>45831</v>
      </c>
      <c r="D195" t="inlineStr">
        <is>
          <t>UPPSALA LÄN</t>
        </is>
      </c>
      <c r="E195" t="inlineStr">
        <is>
          <t>ENKÖPING</t>
        </is>
      </c>
      <c r="F195" t="inlineStr">
        <is>
          <t>Kyrkan</t>
        </is>
      </c>
      <c r="G195" t="n">
        <v>1.5</v>
      </c>
      <c r="H195" t="n">
        <v>0</v>
      </c>
      <c r="I195" t="n">
        <v>0</v>
      </c>
      <c r="J195" t="n">
        <v>0</v>
      </c>
      <c r="K195" t="n">
        <v>0</v>
      </c>
      <c r="L195" t="n">
        <v>0</v>
      </c>
      <c r="M195" t="n">
        <v>0</v>
      </c>
      <c r="N195" t="n">
        <v>0</v>
      </c>
      <c r="O195" t="n">
        <v>0</v>
      </c>
      <c r="P195" t="n">
        <v>0</v>
      </c>
      <c r="Q195" t="n">
        <v>0</v>
      </c>
      <c r="R195" s="2" t="inlineStr"/>
    </row>
    <row r="196" ht="15" customHeight="1">
      <c r="A196" t="inlineStr">
        <is>
          <t>A 9122-2020</t>
        </is>
      </c>
      <c r="B196" s="1" t="n">
        <v>43879</v>
      </c>
      <c r="C196" s="1" t="n">
        <v>45831</v>
      </c>
      <c r="D196" t="inlineStr">
        <is>
          <t>UPPSALA LÄN</t>
        </is>
      </c>
      <c r="E196" t="inlineStr">
        <is>
          <t>ENKÖPING</t>
        </is>
      </c>
      <c r="G196" t="n">
        <v>0.9</v>
      </c>
      <c r="H196" t="n">
        <v>0</v>
      </c>
      <c r="I196" t="n">
        <v>0</v>
      </c>
      <c r="J196" t="n">
        <v>0</v>
      </c>
      <c r="K196" t="n">
        <v>0</v>
      </c>
      <c r="L196" t="n">
        <v>0</v>
      </c>
      <c r="M196" t="n">
        <v>0</v>
      </c>
      <c r="N196" t="n">
        <v>0</v>
      </c>
      <c r="O196" t="n">
        <v>0</v>
      </c>
      <c r="P196" t="n">
        <v>0</v>
      </c>
      <c r="Q196" t="n">
        <v>0</v>
      </c>
      <c r="R196" s="2" t="inlineStr"/>
    </row>
    <row r="197" ht="15" customHeight="1">
      <c r="A197" t="inlineStr">
        <is>
          <t>A 9351-2020</t>
        </is>
      </c>
      <c r="B197" s="1" t="n">
        <v>43880</v>
      </c>
      <c r="C197" s="1" t="n">
        <v>45831</v>
      </c>
      <c r="D197" t="inlineStr">
        <is>
          <t>UPPSALA LÄN</t>
        </is>
      </c>
      <c r="E197" t="inlineStr">
        <is>
          <t>ENKÖPING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9380-2020</t>
        </is>
      </c>
      <c r="B198" s="1" t="n">
        <v>43880</v>
      </c>
      <c r="C198" s="1" t="n">
        <v>45831</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10795-2020</t>
        </is>
      </c>
      <c r="B199" s="1" t="n">
        <v>43888</v>
      </c>
      <c r="C199" s="1" t="n">
        <v>45831</v>
      </c>
      <c r="D199" t="inlineStr">
        <is>
          <t>UPPSALA LÄN</t>
        </is>
      </c>
      <c r="E199" t="inlineStr">
        <is>
          <t>ENKÖPING</t>
        </is>
      </c>
      <c r="G199" t="n">
        <v>1.9</v>
      </c>
      <c r="H199" t="n">
        <v>0</v>
      </c>
      <c r="I199" t="n">
        <v>0</v>
      </c>
      <c r="J199" t="n">
        <v>0</v>
      </c>
      <c r="K199" t="n">
        <v>0</v>
      </c>
      <c r="L199" t="n">
        <v>0</v>
      </c>
      <c r="M199" t="n">
        <v>0</v>
      </c>
      <c r="N199" t="n">
        <v>0</v>
      </c>
      <c r="O199" t="n">
        <v>0</v>
      </c>
      <c r="P199" t="n">
        <v>0</v>
      </c>
      <c r="Q199" t="n">
        <v>0</v>
      </c>
      <c r="R199" s="2" t="inlineStr"/>
    </row>
    <row r="200" ht="15" customHeight="1">
      <c r="A200" t="inlineStr">
        <is>
          <t>A 11060-2020</t>
        </is>
      </c>
      <c r="B200" s="1" t="n">
        <v>43889</v>
      </c>
      <c r="C200" s="1" t="n">
        <v>45831</v>
      </c>
      <c r="D200" t="inlineStr">
        <is>
          <t>UPPSALA LÄN</t>
        </is>
      </c>
      <c r="E200" t="inlineStr">
        <is>
          <t>ENKÖPING</t>
        </is>
      </c>
      <c r="G200" t="n">
        <v>22.7</v>
      </c>
      <c r="H200" t="n">
        <v>0</v>
      </c>
      <c r="I200" t="n">
        <v>0</v>
      </c>
      <c r="J200" t="n">
        <v>0</v>
      </c>
      <c r="K200" t="n">
        <v>0</v>
      </c>
      <c r="L200" t="n">
        <v>0</v>
      </c>
      <c r="M200" t="n">
        <v>0</v>
      </c>
      <c r="N200" t="n">
        <v>0</v>
      </c>
      <c r="O200" t="n">
        <v>0</v>
      </c>
      <c r="P200" t="n">
        <v>0</v>
      </c>
      <c r="Q200" t="n">
        <v>0</v>
      </c>
      <c r="R200" s="2" t="inlineStr"/>
    </row>
    <row r="201" ht="15" customHeight="1">
      <c r="A201" t="inlineStr">
        <is>
          <t>A 11228-2020</t>
        </is>
      </c>
      <c r="B201" s="1" t="n">
        <v>43892</v>
      </c>
      <c r="C201" s="1" t="n">
        <v>45831</v>
      </c>
      <c r="D201" t="inlineStr">
        <is>
          <t>UPPSALA LÄN</t>
        </is>
      </c>
      <c r="E201" t="inlineStr">
        <is>
          <t>ENKÖPING</t>
        </is>
      </c>
      <c r="G201" t="n">
        <v>3.1</v>
      </c>
      <c r="H201" t="n">
        <v>0</v>
      </c>
      <c r="I201" t="n">
        <v>0</v>
      </c>
      <c r="J201" t="n">
        <v>0</v>
      </c>
      <c r="K201" t="n">
        <v>0</v>
      </c>
      <c r="L201" t="n">
        <v>0</v>
      </c>
      <c r="M201" t="n">
        <v>0</v>
      </c>
      <c r="N201" t="n">
        <v>0</v>
      </c>
      <c r="O201" t="n">
        <v>0</v>
      </c>
      <c r="P201" t="n">
        <v>0</v>
      </c>
      <c r="Q201" t="n">
        <v>0</v>
      </c>
      <c r="R201" s="2" t="inlineStr"/>
    </row>
    <row r="202" ht="15" customHeight="1">
      <c r="A202" t="inlineStr">
        <is>
          <t>A 12272-2020</t>
        </is>
      </c>
      <c r="B202" s="1" t="n">
        <v>43895</v>
      </c>
      <c r="C202" s="1" t="n">
        <v>45831</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16320-2020</t>
        </is>
      </c>
      <c r="B203" s="1" t="n">
        <v>43917</v>
      </c>
      <c r="C203" s="1" t="n">
        <v>45831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17888-2020</t>
        </is>
      </c>
      <c r="B204" s="1" t="n">
        <v>43924</v>
      </c>
      <c r="C204" s="1" t="n">
        <v>45831</v>
      </c>
      <c r="D204" t="inlineStr">
        <is>
          <t>UPPSALA LÄN</t>
        </is>
      </c>
      <c r="E204" t="inlineStr">
        <is>
          <t>ENKÖPING</t>
        </is>
      </c>
      <c r="G204" t="n">
        <v>1.4</v>
      </c>
      <c r="H204" t="n">
        <v>0</v>
      </c>
      <c r="I204" t="n">
        <v>0</v>
      </c>
      <c r="J204" t="n">
        <v>0</v>
      </c>
      <c r="K204" t="n">
        <v>0</v>
      </c>
      <c r="L204" t="n">
        <v>0</v>
      </c>
      <c r="M204" t="n">
        <v>0</v>
      </c>
      <c r="N204" t="n">
        <v>0</v>
      </c>
      <c r="O204" t="n">
        <v>0</v>
      </c>
      <c r="P204" t="n">
        <v>0</v>
      </c>
      <c r="Q204" t="n">
        <v>0</v>
      </c>
      <c r="R204" s="2" t="inlineStr"/>
    </row>
    <row r="205" ht="15" customHeight="1">
      <c r="A205" t="inlineStr">
        <is>
          <t>A 18101-2020</t>
        </is>
      </c>
      <c r="B205" s="1" t="n">
        <v>43927</v>
      </c>
      <c r="C205" s="1" t="n">
        <v>45831</v>
      </c>
      <c r="D205" t="inlineStr">
        <is>
          <t>UPPSALA LÄN</t>
        </is>
      </c>
      <c r="E205" t="inlineStr">
        <is>
          <t>ENKÖPING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18097-2020</t>
        </is>
      </c>
      <c r="B206" s="1" t="n">
        <v>43927</v>
      </c>
      <c r="C206" s="1" t="n">
        <v>45831</v>
      </c>
      <c r="D206" t="inlineStr">
        <is>
          <t>UPPSALA LÄN</t>
        </is>
      </c>
      <c r="E206" t="inlineStr">
        <is>
          <t>ENKÖPING</t>
        </is>
      </c>
      <c r="G206" t="n">
        <v>4.6</v>
      </c>
      <c r="H206" t="n">
        <v>0</v>
      </c>
      <c r="I206" t="n">
        <v>0</v>
      </c>
      <c r="J206" t="n">
        <v>0</v>
      </c>
      <c r="K206" t="n">
        <v>0</v>
      </c>
      <c r="L206" t="n">
        <v>0</v>
      </c>
      <c r="M206" t="n">
        <v>0</v>
      </c>
      <c r="N206" t="n">
        <v>0</v>
      </c>
      <c r="O206" t="n">
        <v>0</v>
      </c>
      <c r="P206" t="n">
        <v>0</v>
      </c>
      <c r="Q206" t="n">
        <v>0</v>
      </c>
      <c r="R206" s="2" t="inlineStr"/>
    </row>
    <row r="207" ht="15" customHeight="1">
      <c r="A207" t="inlineStr">
        <is>
          <t>A 18489-2020</t>
        </is>
      </c>
      <c r="B207" s="1" t="n">
        <v>43929</v>
      </c>
      <c r="C207" s="1" t="n">
        <v>45831</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18486-2020</t>
        </is>
      </c>
      <c r="B208" s="1" t="n">
        <v>43929</v>
      </c>
      <c r="C208" s="1" t="n">
        <v>45831</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19499-2020</t>
        </is>
      </c>
      <c r="B209" s="1" t="n">
        <v>43938</v>
      </c>
      <c r="C209" s="1" t="n">
        <v>45831</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19463-2020</t>
        </is>
      </c>
      <c r="B210" s="1" t="n">
        <v>43938</v>
      </c>
      <c r="C210" s="1" t="n">
        <v>45831</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20286-2020</t>
        </is>
      </c>
      <c r="B211" s="1" t="n">
        <v>43945</v>
      </c>
      <c r="C211" s="1" t="n">
        <v>45831</v>
      </c>
      <c r="D211" t="inlineStr">
        <is>
          <t>UPPSALA LÄN</t>
        </is>
      </c>
      <c r="E211" t="inlineStr">
        <is>
          <t>ENKÖPING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20552-2020</t>
        </is>
      </c>
      <c r="B212" s="1" t="n">
        <v>43948</v>
      </c>
      <c r="C212" s="1" t="n">
        <v>45831</v>
      </c>
      <c r="D212" t="inlineStr">
        <is>
          <t>UPPSALA LÄN</t>
        </is>
      </c>
      <c r="E212" t="inlineStr">
        <is>
          <t>ENKÖPING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21573-2020</t>
        </is>
      </c>
      <c r="B213" s="1" t="n">
        <v>43956</v>
      </c>
      <c r="C213" s="1" t="n">
        <v>45831</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21651-2020</t>
        </is>
      </c>
      <c r="B214" s="1" t="n">
        <v>43957</v>
      </c>
      <c r="C214" s="1" t="n">
        <v>45831</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21666-2020</t>
        </is>
      </c>
      <c r="B215" s="1" t="n">
        <v>43957</v>
      </c>
      <c r="C215" s="1" t="n">
        <v>45831</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21896-2020</t>
        </is>
      </c>
      <c r="B216" s="1" t="n">
        <v>43958</v>
      </c>
      <c r="C216" s="1" t="n">
        <v>45831</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22772-2020</t>
        </is>
      </c>
      <c r="B217" s="1" t="n">
        <v>43964</v>
      </c>
      <c r="C217" s="1" t="n">
        <v>45831</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22816-2020</t>
        </is>
      </c>
      <c r="B218" s="1" t="n">
        <v>43964</v>
      </c>
      <c r="C218" s="1" t="n">
        <v>45831</v>
      </c>
      <c r="D218" t="inlineStr">
        <is>
          <t>UPPSALA LÄN</t>
        </is>
      </c>
      <c r="E218" t="inlineStr">
        <is>
          <t>ENKÖPING</t>
        </is>
      </c>
      <c r="G218" t="n">
        <v>3.3</v>
      </c>
      <c r="H218" t="n">
        <v>0</v>
      </c>
      <c r="I218" t="n">
        <v>0</v>
      </c>
      <c r="J218" t="n">
        <v>0</v>
      </c>
      <c r="K218" t="n">
        <v>0</v>
      </c>
      <c r="L218" t="n">
        <v>0</v>
      </c>
      <c r="M218" t="n">
        <v>0</v>
      </c>
      <c r="N218" t="n">
        <v>0</v>
      </c>
      <c r="O218" t="n">
        <v>0</v>
      </c>
      <c r="P218" t="n">
        <v>0</v>
      </c>
      <c r="Q218" t="n">
        <v>0</v>
      </c>
      <c r="R218" s="2" t="inlineStr"/>
    </row>
    <row r="219" ht="15" customHeight="1">
      <c r="A219" t="inlineStr">
        <is>
          <t>A 22970-2020</t>
        </is>
      </c>
      <c r="B219" s="1" t="n">
        <v>43965</v>
      </c>
      <c r="C219" s="1" t="n">
        <v>45831</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23782-2020</t>
        </is>
      </c>
      <c r="B220" s="1" t="n">
        <v>43970</v>
      </c>
      <c r="C220" s="1" t="n">
        <v>45831</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23809-2020</t>
        </is>
      </c>
      <c r="B221" s="1" t="n">
        <v>43970</v>
      </c>
      <c r="C221" s="1" t="n">
        <v>45831</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23808-2020</t>
        </is>
      </c>
      <c r="B222" s="1" t="n">
        <v>43970</v>
      </c>
      <c r="C222" s="1" t="n">
        <v>45831</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24476-2020</t>
        </is>
      </c>
      <c r="B223" s="1" t="n">
        <v>43977</v>
      </c>
      <c r="C223" s="1" t="n">
        <v>45831</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24496-2020</t>
        </is>
      </c>
      <c r="B224" s="1" t="n">
        <v>43977</v>
      </c>
      <c r="C224" s="1" t="n">
        <v>45831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25081-2020</t>
        </is>
      </c>
      <c r="B225" s="1" t="n">
        <v>43979</v>
      </c>
      <c r="C225" s="1" t="n">
        <v>45831</v>
      </c>
      <c r="D225" t="inlineStr">
        <is>
          <t>UPPSALA LÄN</t>
        </is>
      </c>
      <c r="E225" t="inlineStr">
        <is>
          <t>ENKÖPING</t>
        </is>
      </c>
      <c r="G225" t="n">
        <v>5.5</v>
      </c>
      <c r="H225" t="n">
        <v>0</v>
      </c>
      <c r="I225" t="n">
        <v>0</v>
      </c>
      <c r="J225" t="n">
        <v>0</v>
      </c>
      <c r="K225" t="n">
        <v>0</v>
      </c>
      <c r="L225" t="n">
        <v>0</v>
      </c>
      <c r="M225" t="n">
        <v>0</v>
      </c>
      <c r="N225" t="n">
        <v>0</v>
      </c>
      <c r="O225" t="n">
        <v>0</v>
      </c>
      <c r="P225" t="n">
        <v>0</v>
      </c>
      <c r="Q225" t="n">
        <v>0</v>
      </c>
      <c r="R225" s="2" t="inlineStr"/>
    </row>
    <row r="226" ht="15" customHeight="1">
      <c r="A226" t="inlineStr">
        <is>
          <t>A 25895-2020</t>
        </is>
      </c>
      <c r="B226" s="1" t="n">
        <v>43984</v>
      </c>
      <c r="C226" s="1" t="n">
        <v>45831</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26032-2020</t>
        </is>
      </c>
      <c r="B227" s="1" t="n">
        <v>43985</v>
      </c>
      <c r="C227" s="1" t="n">
        <v>45831</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26151-2020</t>
        </is>
      </c>
      <c r="B228" s="1" t="n">
        <v>43985</v>
      </c>
      <c r="C228" s="1" t="n">
        <v>45831</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26860-2020</t>
        </is>
      </c>
      <c r="B229" s="1" t="n">
        <v>43990</v>
      </c>
      <c r="C229" s="1" t="n">
        <v>45831</v>
      </c>
      <c r="D229" t="inlineStr">
        <is>
          <t>UPPSALA LÄN</t>
        </is>
      </c>
      <c r="E229" t="inlineStr">
        <is>
          <t>ENKÖPING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28799-2020</t>
        </is>
      </c>
      <c r="B230" s="1" t="n">
        <v>44000</v>
      </c>
      <c r="C230" s="1" t="n">
        <v>45831</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28801-2020</t>
        </is>
      </c>
      <c r="B231" s="1" t="n">
        <v>44000</v>
      </c>
      <c r="C231" s="1" t="n">
        <v>45831</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29934-2020</t>
        </is>
      </c>
      <c r="B232" s="1" t="n">
        <v>44006</v>
      </c>
      <c r="C232" s="1" t="n">
        <v>45831</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29948-2020</t>
        </is>
      </c>
      <c r="B233" s="1" t="n">
        <v>44006</v>
      </c>
      <c r="C233" s="1" t="n">
        <v>45831</v>
      </c>
      <c r="D233" t="inlineStr">
        <is>
          <t>UPPSALA LÄN</t>
        </is>
      </c>
      <c r="E233" t="inlineStr">
        <is>
          <t>ENKÖPING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30280-2020</t>
        </is>
      </c>
      <c r="B234" s="1" t="n">
        <v>44007</v>
      </c>
      <c r="C234" s="1" t="n">
        <v>45831</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30571-2020</t>
        </is>
      </c>
      <c r="B235" s="1" t="n">
        <v>44008</v>
      </c>
      <c r="C235" s="1" t="n">
        <v>45831</v>
      </c>
      <c r="D235" t="inlineStr">
        <is>
          <t>UPPSALA LÄN</t>
        </is>
      </c>
      <c r="E235" t="inlineStr">
        <is>
          <t>ENKÖPING</t>
        </is>
      </c>
      <c r="G235" t="n">
        <v>8.9</v>
      </c>
      <c r="H235" t="n">
        <v>0</v>
      </c>
      <c r="I235" t="n">
        <v>0</v>
      </c>
      <c r="J235" t="n">
        <v>0</v>
      </c>
      <c r="K235" t="n">
        <v>0</v>
      </c>
      <c r="L235" t="n">
        <v>0</v>
      </c>
      <c r="M235" t="n">
        <v>0</v>
      </c>
      <c r="N235" t="n">
        <v>0</v>
      </c>
      <c r="O235" t="n">
        <v>0</v>
      </c>
      <c r="P235" t="n">
        <v>0</v>
      </c>
      <c r="Q235" t="n">
        <v>0</v>
      </c>
      <c r="R235" s="2" t="inlineStr"/>
    </row>
    <row r="236" ht="15" customHeight="1">
      <c r="A236" t="inlineStr">
        <is>
          <t>A 31472-2020</t>
        </is>
      </c>
      <c r="B236" s="1" t="n">
        <v>44013</v>
      </c>
      <c r="C236" s="1" t="n">
        <v>45831</v>
      </c>
      <c r="D236" t="inlineStr">
        <is>
          <t>UPPSALA LÄN</t>
        </is>
      </c>
      <c r="E236" t="inlineStr">
        <is>
          <t>ENKÖPING</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31473-2020</t>
        </is>
      </c>
      <c r="B237" s="1" t="n">
        <v>44013</v>
      </c>
      <c r="C237" s="1" t="n">
        <v>45831</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32209-2020</t>
        </is>
      </c>
      <c r="B238" s="1" t="n">
        <v>44015</v>
      </c>
      <c r="C238" s="1" t="n">
        <v>45831</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32047-2020</t>
        </is>
      </c>
      <c r="B239" s="1" t="n">
        <v>44015</v>
      </c>
      <c r="C239" s="1" t="n">
        <v>45831</v>
      </c>
      <c r="D239" t="inlineStr">
        <is>
          <t>UPPSALA LÄN</t>
        </is>
      </c>
      <c r="E239" t="inlineStr">
        <is>
          <t>ENKÖPING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32454-2020</t>
        </is>
      </c>
      <c r="B240" s="1" t="n">
        <v>44018</v>
      </c>
      <c r="C240" s="1" t="n">
        <v>45831</v>
      </c>
      <c r="D240" t="inlineStr">
        <is>
          <t>UPPSALA LÄN</t>
        </is>
      </c>
      <c r="E240" t="inlineStr">
        <is>
          <t>ENKÖPING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32497-2020</t>
        </is>
      </c>
      <c r="B241" s="1" t="n">
        <v>44018</v>
      </c>
      <c r="C241" s="1" t="n">
        <v>45831</v>
      </c>
      <c r="D241" t="inlineStr">
        <is>
          <t>UPPSALA LÄN</t>
        </is>
      </c>
      <c r="E241" t="inlineStr">
        <is>
          <t>ENKÖPING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33585-2020</t>
        </is>
      </c>
      <c r="B242" s="1" t="n">
        <v>44022</v>
      </c>
      <c r="C242" s="1" t="n">
        <v>45831</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37738-2020</t>
        </is>
      </c>
      <c r="B243" s="1" t="n">
        <v>44056</v>
      </c>
      <c r="C243" s="1" t="n">
        <v>45831</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39935-2020</t>
        </is>
      </c>
      <c r="B244" s="1" t="n">
        <v>44067</v>
      </c>
      <c r="C244" s="1" t="n">
        <v>45831</v>
      </c>
      <c r="D244" t="inlineStr">
        <is>
          <t>UPPSALA LÄN</t>
        </is>
      </c>
      <c r="E244" t="inlineStr">
        <is>
          <t>ENKÖPING</t>
        </is>
      </c>
      <c r="G244" t="n">
        <v>4.2</v>
      </c>
      <c r="H244" t="n">
        <v>0</v>
      </c>
      <c r="I244" t="n">
        <v>0</v>
      </c>
      <c r="J244" t="n">
        <v>0</v>
      </c>
      <c r="K244" t="n">
        <v>0</v>
      </c>
      <c r="L244" t="n">
        <v>0</v>
      </c>
      <c r="M244" t="n">
        <v>0</v>
      </c>
      <c r="N244" t="n">
        <v>0</v>
      </c>
      <c r="O244" t="n">
        <v>0</v>
      </c>
      <c r="P244" t="n">
        <v>0</v>
      </c>
      <c r="Q244" t="n">
        <v>0</v>
      </c>
      <c r="R244" s="2" t="inlineStr"/>
    </row>
    <row r="245" ht="15" customHeight="1">
      <c r="A245" t="inlineStr">
        <is>
          <t>A 45378-2020</t>
        </is>
      </c>
      <c r="B245" s="1" t="n">
        <v>44089</v>
      </c>
      <c r="C245" s="1" t="n">
        <v>45831</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46593-2020</t>
        </is>
      </c>
      <c r="B246" s="1" t="n">
        <v>44095</v>
      </c>
      <c r="C246" s="1" t="n">
        <v>45831</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48362-2020</t>
        </is>
      </c>
      <c r="B247" s="1" t="n">
        <v>44102</v>
      </c>
      <c r="C247" s="1" t="n">
        <v>45831</v>
      </c>
      <c r="D247" t="inlineStr">
        <is>
          <t>UPPSALA LÄN</t>
        </is>
      </c>
      <c r="E247" t="inlineStr">
        <is>
          <t>ENKÖPING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48484-2020</t>
        </is>
      </c>
      <c r="B248" s="1" t="n">
        <v>44103</v>
      </c>
      <c r="C248" s="1" t="n">
        <v>45831</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51400-2020</t>
        </is>
      </c>
      <c r="B249" s="1" t="n">
        <v>44106</v>
      </c>
      <c r="C249" s="1" t="n">
        <v>45831</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51092-2020</t>
        </is>
      </c>
      <c r="B250" s="1" t="n">
        <v>44112</v>
      </c>
      <c r="C250" s="1" t="n">
        <v>45831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51091-2020</t>
        </is>
      </c>
      <c r="B251" s="1" t="n">
        <v>44112</v>
      </c>
      <c r="C251" s="1" t="n">
        <v>45831</v>
      </c>
      <c r="D251" t="inlineStr">
        <is>
          <t>UPPSALA LÄN</t>
        </is>
      </c>
      <c r="E251" t="inlineStr">
        <is>
          <t>ENKÖPING</t>
        </is>
      </c>
      <c r="G251" t="n">
        <v>3.6</v>
      </c>
      <c r="H251" t="n">
        <v>0</v>
      </c>
      <c r="I251" t="n">
        <v>0</v>
      </c>
      <c r="J251" t="n">
        <v>0</v>
      </c>
      <c r="K251" t="n">
        <v>0</v>
      </c>
      <c r="L251" t="n">
        <v>0</v>
      </c>
      <c r="M251" t="n">
        <v>0</v>
      </c>
      <c r="N251" t="n">
        <v>0</v>
      </c>
      <c r="O251" t="n">
        <v>0</v>
      </c>
      <c r="P251" t="n">
        <v>0</v>
      </c>
      <c r="Q251" t="n">
        <v>0</v>
      </c>
      <c r="R251" s="2" t="inlineStr"/>
    </row>
    <row r="252" ht="15" customHeight="1">
      <c r="A252" t="inlineStr">
        <is>
          <t>A 52308-2020</t>
        </is>
      </c>
      <c r="B252" s="1" t="n">
        <v>44117</v>
      </c>
      <c r="C252" s="1" t="n">
        <v>45831</v>
      </c>
      <c r="D252" t="inlineStr">
        <is>
          <t>UPPSALA LÄN</t>
        </is>
      </c>
      <c r="E252" t="inlineStr">
        <is>
          <t>ENKÖPING</t>
        </is>
      </c>
      <c r="G252" t="n">
        <v>0.3</v>
      </c>
      <c r="H252" t="n">
        <v>0</v>
      </c>
      <c r="I252" t="n">
        <v>0</v>
      </c>
      <c r="J252" t="n">
        <v>0</v>
      </c>
      <c r="K252" t="n">
        <v>0</v>
      </c>
      <c r="L252" t="n">
        <v>0</v>
      </c>
      <c r="M252" t="n">
        <v>0</v>
      </c>
      <c r="N252" t="n">
        <v>0</v>
      </c>
      <c r="O252" t="n">
        <v>0</v>
      </c>
      <c r="P252" t="n">
        <v>0</v>
      </c>
      <c r="Q252" t="n">
        <v>0</v>
      </c>
      <c r="R252" s="2" t="inlineStr"/>
    </row>
    <row r="253" ht="15" customHeight="1">
      <c r="A253" t="inlineStr">
        <is>
          <t>A 52102-2020</t>
        </is>
      </c>
      <c r="B253" s="1" t="n">
        <v>44117</v>
      </c>
      <c r="C253" s="1" t="n">
        <v>45831</v>
      </c>
      <c r="D253" t="inlineStr">
        <is>
          <t>UPPSALA LÄN</t>
        </is>
      </c>
      <c r="E253" t="inlineStr">
        <is>
          <t>ENKÖPING</t>
        </is>
      </c>
      <c r="F253" t="inlineStr">
        <is>
          <t>Allmännings- och besparingsskogar</t>
        </is>
      </c>
      <c r="G253" t="n">
        <v>1.1</v>
      </c>
      <c r="H253" t="n">
        <v>0</v>
      </c>
      <c r="I253" t="n">
        <v>0</v>
      </c>
      <c r="J253" t="n">
        <v>0</v>
      </c>
      <c r="K253" t="n">
        <v>0</v>
      </c>
      <c r="L253" t="n">
        <v>0</v>
      </c>
      <c r="M253" t="n">
        <v>0</v>
      </c>
      <c r="N253" t="n">
        <v>0</v>
      </c>
      <c r="O253" t="n">
        <v>0</v>
      </c>
      <c r="P253" t="n">
        <v>0</v>
      </c>
      <c r="Q253" t="n">
        <v>0</v>
      </c>
      <c r="R253" s="2" t="inlineStr"/>
    </row>
    <row r="254" ht="15" customHeight="1">
      <c r="A254" t="inlineStr">
        <is>
          <t>A 52169-2020</t>
        </is>
      </c>
      <c r="B254" s="1" t="n">
        <v>44117</v>
      </c>
      <c r="C254" s="1" t="n">
        <v>45831</v>
      </c>
      <c r="D254" t="inlineStr">
        <is>
          <t>UPPSALA LÄN</t>
        </is>
      </c>
      <c r="E254" t="inlineStr">
        <is>
          <t>ENKÖPING</t>
        </is>
      </c>
      <c r="F254" t="inlineStr">
        <is>
          <t>Allmännings- och besparingsskogar</t>
        </is>
      </c>
      <c r="G254" t="n">
        <v>1.5</v>
      </c>
      <c r="H254" t="n">
        <v>0</v>
      </c>
      <c r="I254" t="n">
        <v>0</v>
      </c>
      <c r="J254" t="n">
        <v>0</v>
      </c>
      <c r="K254" t="n">
        <v>0</v>
      </c>
      <c r="L254" t="n">
        <v>0</v>
      </c>
      <c r="M254" t="n">
        <v>0</v>
      </c>
      <c r="N254" t="n">
        <v>0</v>
      </c>
      <c r="O254" t="n">
        <v>0</v>
      </c>
      <c r="P254" t="n">
        <v>0</v>
      </c>
      <c r="Q254" t="n">
        <v>0</v>
      </c>
      <c r="R254" s="2" t="inlineStr"/>
    </row>
    <row r="255" ht="15" customHeight="1">
      <c r="A255" t="inlineStr">
        <is>
          <t>A 52223-2020</t>
        </is>
      </c>
      <c r="B255" s="1" t="n">
        <v>44117</v>
      </c>
      <c r="C255" s="1" t="n">
        <v>45831</v>
      </c>
      <c r="D255" t="inlineStr">
        <is>
          <t>UPPSALA LÄN</t>
        </is>
      </c>
      <c r="E255" t="inlineStr">
        <is>
          <t>ENKÖPING</t>
        </is>
      </c>
      <c r="G255" t="n">
        <v>5.8</v>
      </c>
      <c r="H255" t="n">
        <v>0</v>
      </c>
      <c r="I255" t="n">
        <v>0</v>
      </c>
      <c r="J255" t="n">
        <v>0</v>
      </c>
      <c r="K255" t="n">
        <v>0</v>
      </c>
      <c r="L255" t="n">
        <v>0</v>
      </c>
      <c r="M255" t="n">
        <v>0</v>
      </c>
      <c r="N255" t="n">
        <v>0</v>
      </c>
      <c r="O255" t="n">
        <v>0</v>
      </c>
      <c r="P255" t="n">
        <v>0</v>
      </c>
      <c r="Q255" t="n">
        <v>0</v>
      </c>
      <c r="R255" s="2" t="inlineStr"/>
    </row>
    <row r="256" ht="15" customHeight="1">
      <c r="A256" t="inlineStr">
        <is>
          <t>A 52464-2020</t>
        </is>
      </c>
      <c r="B256" s="1" t="n">
        <v>44118</v>
      </c>
      <c r="C256" s="1" t="n">
        <v>45831</v>
      </c>
      <c r="D256" t="inlineStr">
        <is>
          <t>UPPSALA LÄN</t>
        </is>
      </c>
      <c r="E256" t="inlineStr">
        <is>
          <t>ENKÖPING</t>
        </is>
      </c>
      <c r="G256" t="n">
        <v>4.6</v>
      </c>
      <c r="H256" t="n">
        <v>0</v>
      </c>
      <c r="I256" t="n">
        <v>0</v>
      </c>
      <c r="J256" t="n">
        <v>0</v>
      </c>
      <c r="K256" t="n">
        <v>0</v>
      </c>
      <c r="L256" t="n">
        <v>0</v>
      </c>
      <c r="M256" t="n">
        <v>0</v>
      </c>
      <c r="N256" t="n">
        <v>0</v>
      </c>
      <c r="O256" t="n">
        <v>0</v>
      </c>
      <c r="P256" t="n">
        <v>0</v>
      </c>
      <c r="Q256" t="n">
        <v>0</v>
      </c>
      <c r="R256" s="2" t="inlineStr"/>
    </row>
    <row r="257" ht="15" customHeight="1">
      <c r="A257" t="inlineStr">
        <is>
          <t>A 53149-2020</t>
        </is>
      </c>
      <c r="B257" s="1" t="n">
        <v>44120</v>
      </c>
      <c r="C257" s="1" t="n">
        <v>45831</v>
      </c>
      <c r="D257" t="inlineStr">
        <is>
          <t>UPPSALA LÄN</t>
        </is>
      </c>
      <c r="E257" t="inlineStr">
        <is>
          <t>ENKÖPING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53338-2020</t>
        </is>
      </c>
      <c r="B258" s="1" t="n">
        <v>44123</v>
      </c>
      <c r="C258" s="1" t="n">
        <v>45831</v>
      </c>
      <c r="D258" t="inlineStr">
        <is>
          <t>UPPSALA LÄN</t>
        </is>
      </c>
      <c r="E258" t="inlineStr">
        <is>
          <t>ENKÖPING</t>
        </is>
      </c>
      <c r="G258" t="n">
        <v>12.1</v>
      </c>
      <c r="H258" t="n">
        <v>0</v>
      </c>
      <c r="I258" t="n">
        <v>0</v>
      </c>
      <c r="J258" t="n">
        <v>0</v>
      </c>
      <c r="K258" t="n">
        <v>0</v>
      </c>
      <c r="L258" t="n">
        <v>0</v>
      </c>
      <c r="M258" t="n">
        <v>0</v>
      </c>
      <c r="N258" t="n">
        <v>0</v>
      </c>
      <c r="O258" t="n">
        <v>0</v>
      </c>
      <c r="P258" t="n">
        <v>0</v>
      </c>
      <c r="Q258" t="n">
        <v>0</v>
      </c>
      <c r="R258" s="2" t="inlineStr"/>
    </row>
    <row r="259" ht="15" customHeight="1">
      <c r="A259" t="inlineStr">
        <is>
          <t>A 53352-2020</t>
        </is>
      </c>
      <c r="B259" s="1" t="n">
        <v>44123</v>
      </c>
      <c r="C259" s="1" t="n">
        <v>45831</v>
      </c>
      <c r="D259" t="inlineStr">
        <is>
          <t>UPPSALA LÄN</t>
        </is>
      </c>
      <c r="E259" t="inlineStr">
        <is>
          <t>ENKÖPING</t>
        </is>
      </c>
      <c r="G259" t="n">
        <v>2.9</v>
      </c>
      <c r="H259" t="n">
        <v>0</v>
      </c>
      <c r="I259" t="n">
        <v>0</v>
      </c>
      <c r="J259" t="n">
        <v>0</v>
      </c>
      <c r="K259" t="n">
        <v>0</v>
      </c>
      <c r="L259" t="n">
        <v>0</v>
      </c>
      <c r="M259" t="n">
        <v>0</v>
      </c>
      <c r="N259" t="n">
        <v>0</v>
      </c>
      <c r="O259" t="n">
        <v>0</v>
      </c>
      <c r="P259" t="n">
        <v>0</v>
      </c>
      <c r="Q259" t="n">
        <v>0</v>
      </c>
      <c r="R259" s="2" t="inlineStr"/>
    </row>
    <row r="260" ht="15" customHeight="1">
      <c r="A260" t="inlineStr">
        <is>
          <t>A 53343-2020</t>
        </is>
      </c>
      <c r="B260" s="1" t="n">
        <v>44123</v>
      </c>
      <c r="C260" s="1" t="n">
        <v>45831</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53337-2020</t>
        </is>
      </c>
      <c r="B261" s="1" t="n">
        <v>44123</v>
      </c>
      <c r="C261" s="1" t="n">
        <v>45831</v>
      </c>
      <c r="D261" t="inlineStr">
        <is>
          <t>UPPSALA LÄN</t>
        </is>
      </c>
      <c r="E261" t="inlineStr">
        <is>
          <t>ENKÖPING</t>
        </is>
      </c>
      <c r="G261" t="n">
        <v>6.4</v>
      </c>
      <c r="H261" t="n">
        <v>0</v>
      </c>
      <c r="I261" t="n">
        <v>0</v>
      </c>
      <c r="J261" t="n">
        <v>0</v>
      </c>
      <c r="K261" t="n">
        <v>0</v>
      </c>
      <c r="L261" t="n">
        <v>0</v>
      </c>
      <c r="M261" t="n">
        <v>0</v>
      </c>
      <c r="N261" t="n">
        <v>0</v>
      </c>
      <c r="O261" t="n">
        <v>0</v>
      </c>
      <c r="P261" t="n">
        <v>0</v>
      </c>
      <c r="Q261" t="n">
        <v>0</v>
      </c>
      <c r="R261" s="2" t="inlineStr"/>
    </row>
    <row r="262" ht="15" customHeight="1">
      <c r="A262" t="inlineStr">
        <is>
          <t>A 53344-2020</t>
        </is>
      </c>
      <c r="B262" s="1" t="n">
        <v>44123</v>
      </c>
      <c r="C262" s="1" t="n">
        <v>45831</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55051-2020</t>
        </is>
      </c>
      <c r="B263" s="1" t="n">
        <v>44130</v>
      </c>
      <c r="C263" s="1" t="n">
        <v>45831</v>
      </c>
      <c r="D263" t="inlineStr">
        <is>
          <t>UPPSALA LÄN</t>
        </is>
      </c>
      <c r="E263" t="inlineStr">
        <is>
          <t>ENKÖPING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56919-2020</t>
        </is>
      </c>
      <c r="B264" s="1" t="n">
        <v>44138</v>
      </c>
      <c r="C264" s="1" t="n">
        <v>45831</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57802-2020</t>
        </is>
      </c>
      <c r="B265" s="1" t="n">
        <v>44141</v>
      </c>
      <c r="C265" s="1" t="n">
        <v>45831</v>
      </c>
      <c r="D265" t="inlineStr">
        <is>
          <t>UPPSALA LÄN</t>
        </is>
      </c>
      <c r="E265" t="inlineStr">
        <is>
          <t>ENKÖPING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58062-2020</t>
        </is>
      </c>
      <c r="B266" s="1" t="n">
        <v>44144</v>
      </c>
      <c r="C266" s="1" t="n">
        <v>45831</v>
      </c>
      <c r="D266" t="inlineStr">
        <is>
          <t>UPPSALA LÄN</t>
        </is>
      </c>
      <c r="E266" t="inlineStr">
        <is>
          <t>ENKÖPING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58896-2020</t>
        </is>
      </c>
      <c r="B267" s="1" t="n">
        <v>44146</v>
      </c>
      <c r="C267" s="1" t="n">
        <v>45831</v>
      </c>
      <c r="D267" t="inlineStr">
        <is>
          <t>UPPSALA LÄN</t>
        </is>
      </c>
      <c r="E267" t="inlineStr">
        <is>
          <t>ENKÖPING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58798-2020</t>
        </is>
      </c>
      <c r="B268" s="1" t="n">
        <v>44146</v>
      </c>
      <c r="C268" s="1" t="n">
        <v>45831</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59132-2020</t>
        </is>
      </c>
      <c r="B269" s="1" t="n">
        <v>44147</v>
      </c>
      <c r="C269" s="1" t="n">
        <v>45831</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59441-2020</t>
        </is>
      </c>
      <c r="B270" s="1" t="n">
        <v>44148</v>
      </c>
      <c r="C270" s="1" t="n">
        <v>45831</v>
      </c>
      <c r="D270" t="inlineStr">
        <is>
          <t>UPPSALA LÄN</t>
        </is>
      </c>
      <c r="E270" t="inlineStr">
        <is>
          <t>ENKÖPING</t>
        </is>
      </c>
      <c r="G270" t="n">
        <v>4.8</v>
      </c>
      <c r="H270" t="n">
        <v>0</v>
      </c>
      <c r="I270" t="n">
        <v>0</v>
      </c>
      <c r="J270" t="n">
        <v>0</v>
      </c>
      <c r="K270" t="n">
        <v>0</v>
      </c>
      <c r="L270" t="n">
        <v>0</v>
      </c>
      <c r="M270" t="n">
        <v>0</v>
      </c>
      <c r="N270" t="n">
        <v>0</v>
      </c>
      <c r="O270" t="n">
        <v>0</v>
      </c>
      <c r="P270" t="n">
        <v>0</v>
      </c>
      <c r="Q270" t="n">
        <v>0</v>
      </c>
      <c r="R270" s="2" t="inlineStr"/>
    </row>
    <row r="271" ht="15" customHeight="1">
      <c r="A271" t="inlineStr">
        <is>
          <t>A 59428-2020</t>
        </is>
      </c>
      <c r="B271" s="1" t="n">
        <v>44148</v>
      </c>
      <c r="C271" s="1" t="n">
        <v>45831</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60138-2020</t>
        </is>
      </c>
      <c r="B272" s="1" t="n">
        <v>44151</v>
      </c>
      <c r="C272" s="1" t="n">
        <v>45831</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61711-2020</t>
        </is>
      </c>
      <c r="B273" s="1" t="n">
        <v>44158</v>
      </c>
      <c r="C273" s="1" t="n">
        <v>45831</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63715-2020</t>
        </is>
      </c>
      <c r="B274" s="1" t="n">
        <v>44166</v>
      </c>
      <c r="C274" s="1" t="n">
        <v>45831</v>
      </c>
      <c r="D274" t="inlineStr">
        <is>
          <t>UPPSALA LÄN</t>
        </is>
      </c>
      <c r="E274" t="inlineStr">
        <is>
          <t>ENKÖPING</t>
        </is>
      </c>
      <c r="F274" t="inlineStr">
        <is>
          <t>Övriga statliga verk och myndigheter</t>
        </is>
      </c>
      <c r="G274" t="n">
        <v>5.9</v>
      </c>
      <c r="H274" t="n">
        <v>0</v>
      </c>
      <c r="I274" t="n">
        <v>0</v>
      </c>
      <c r="J274" t="n">
        <v>0</v>
      </c>
      <c r="K274" t="n">
        <v>0</v>
      </c>
      <c r="L274" t="n">
        <v>0</v>
      </c>
      <c r="M274" t="n">
        <v>0</v>
      </c>
      <c r="N274" t="n">
        <v>0</v>
      </c>
      <c r="O274" t="n">
        <v>0</v>
      </c>
      <c r="P274" t="n">
        <v>0</v>
      </c>
      <c r="Q274" t="n">
        <v>0</v>
      </c>
      <c r="R274" s="2" t="inlineStr"/>
    </row>
    <row r="275" ht="15" customHeight="1">
      <c r="A275" t="inlineStr">
        <is>
          <t>A 66517-2020</t>
        </is>
      </c>
      <c r="B275" s="1" t="n">
        <v>44178</v>
      </c>
      <c r="C275" s="1" t="n">
        <v>45831</v>
      </c>
      <c r="D275" t="inlineStr">
        <is>
          <t>UPPSALA LÄN</t>
        </is>
      </c>
      <c r="E275" t="inlineStr">
        <is>
          <t>ENKÖPING</t>
        </is>
      </c>
      <c r="G275" t="n">
        <v>4</v>
      </c>
      <c r="H275" t="n">
        <v>0</v>
      </c>
      <c r="I275" t="n">
        <v>0</v>
      </c>
      <c r="J275" t="n">
        <v>0</v>
      </c>
      <c r="K275" t="n">
        <v>0</v>
      </c>
      <c r="L275" t="n">
        <v>0</v>
      </c>
      <c r="M275" t="n">
        <v>0</v>
      </c>
      <c r="N275" t="n">
        <v>0</v>
      </c>
      <c r="O275" t="n">
        <v>0</v>
      </c>
      <c r="P275" t="n">
        <v>0</v>
      </c>
      <c r="Q275" t="n">
        <v>0</v>
      </c>
      <c r="R275" s="2" t="inlineStr"/>
    </row>
    <row r="276" ht="15" customHeight="1">
      <c r="A276" t="inlineStr">
        <is>
          <t>A 67765-2020</t>
        </is>
      </c>
      <c r="B276" s="1" t="n">
        <v>44182</v>
      </c>
      <c r="C276" s="1" t="n">
        <v>45831</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67713-2020</t>
        </is>
      </c>
      <c r="B277" s="1" t="n">
        <v>44182</v>
      </c>
      <c r="C277" s="1" t="n">
        <v>45831</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69567-2020</t>
        </is>
      </c>
      <c r="B278" s="1" t="n">
        <v>44194</v>
      </c>
      <c r="C278" s="1" t="n">
        <v>45831</v>
      </c>
      <c r="D278" t="inlineStr">
        <is>
          <t>UPPSALA LÄN</t>
        </is>
      </c>
      <c r="E278" t="inlineStr">
        <is>
          <t>ENKÖPING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3903-2021</t>
        </is>
      </c>
      <c r="B279" s="1" t="n">
        <v>44217</v>
      </c>
      <c r="C279" s="1" t="n">
        <v>45831</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4203-2021</t>
        </is>
      </c>
      <c r="B280" s="1" t="n">
        <v>44223</v>
      </c>
      <c r="C280" s="1" t="n">
        <v>45831</v>
      </c>
      <c r="D280" t="inlineStr">
        <is>
          <t>UPPSALA LÄN</t>
        </is>
      </c>
      <c r="E280" t="inlineStr">
        <is>
          <t>ENKÖPING</t>
        </is>
      </c>
      <c r="G280" t="n">
        <v>11.6</v>
      </c>
      <c r="H280" t="n">
        <v>0</v>
      </c>
      <c r="I280" t="n">
        <v>0</v>
      </c>
      <c r="J280" t="n">
        <v>0</v>
      </c>
      <c r="K280" t="n">
        <v>0</v>
      </c>
      <c r="L280" t="n">
        <v>0</v>
      </c>
      <c r="M280" t="n">
        <v>0</v>
      </c>
      <c r="N280" t="n">
        <v>0</v>
      </c>
      <c r="O280" t="n">
        <v>0</v>
      </c>
      <c r="P280" t="n">
        <v>0</v>
      </c>
      <c r="Q280" t="n">
        <v>0</v>
      </c>
      <c r="R280" s="2" t="inlineStr"/>
    </row>
    <row r="281" ht="15" customHeight="1">
      <c r="A281" t="inlineStr">
        <is>
          <t>A 4775-2021</t>
        </is>
      </c>
      <c r="B281" s="1" t="n">
        <v>44225</v>
      </c>
      <c r="C281" s="1" t="n">
        <v>45831</v>
      </c>
      <c r="D281" t="inlineStr">
        <is>
          <t>UPPSALA LÄN</t>
        </is>
      </c>
      <c r="E281" t="inlineStr">
        <is>
          <t>ENKÖPING</t>
        </is>
      </c>
      <c r="F281" t="inlineStr">
        <is>
          <t>Allmännings- och besparingsskogar</t>
        </is>
      </c>
      <c r="G281" t="n">
        <v>3.5</v>
      </c>
      <c r="H281" t="n">
        <v>0</v>
      </c>
      <c r="I281" t="n">
        <v>0</v>
      </c>
      <c r="J281" t="n">
        <v>0</v>
      </c>
      <c r="K281" t="n">
        <v>0</v>
      </c>
      <c r="L281" t="n">
        <v>0</v>
      </c>
      <c r="M281" t="n">
        <v>0</v>
      </c>
      <c r="N281" t="n">
        <v>0</v>
      </c>
      <c r="O281" t="n">
        <v>0</v>
      </c>
      <c r="P281" t="n">
        <v>0</v>
      </c>
      <c r="Q281" t="n">
        <v>0</v>
      </c>
      <c r="R281" s="2" t="inlineStr"/>
    </row>
    <row r="282" ht="15" customHeight="1">
      <c r="A282" t="inlineStr">
        <is>
          <t>A 6157-2021</t>
        </is>
      </c>
      <c r="B282" s="1" t="n">
        <v>44232</v>
      </c>
      <c r="C282" s="1" t="n">
        <v>45831</v>
      </c>
      <c r="D282" t="inlineStr">
        <is>
          <t>UPPSALA LÄN</t>
        </is>
      </c>
      <c r="E282" t="inlineStr">
        <is>
          <t>ENKÖPING</t>
        </is>
      </c>
      <c r="G282" t="n">
        <v>3.9</v>
      </c>
      <c r="H282" t="n">
        <v>0</v>
      </c>
      <c r="I282" t="n">
        <v>0</v>
      </c>
      <c r="J282" t="n">
        <v>0</v>
      </c>
      <c r="K282" t="n">
        <v>0</v>
      </c>
      <c r="L282" t="n">
        <v>0</v>
      </c>
      <c r="M282" t="n">
        <v>0</v>
      </c>
      <c r="N282" t="n">
        <v>0</v>
      </c>
      <c r="O282" t="n">
        <v>0</v>
      </c>
      <c r="P282" t="n">
        <v>0</v>
      </c>
      <c r="Q282" t="n">
        <v>0</v>
      </c>
      <c r="R282" s="2" t="inlineStr"/>
    </row>
    <row r="283" ht="15" customHeight="1">
      <c r="A283" t="inlineStr">
        <is>
          <t>A 6147-2021</t>
        </is>
      </c>
      <c r="B283" s="1" t="n">
        <v>44232</v>
      </c>
      <c r="C283" s="1" t="n">
        <v>45831</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6298-2021</t>
        </is>
      </c>
      <c r="B284" s="1" t="n">
        <v>44235</v>
      </c>
      <c r="C284" s="1" t="n">
        <v>45831</v>
      </c>
      <c r="D284" t="inlineStr">
        <is>
          <t>UPPSALA LÄN</t>
        </is>
      </c>
      <c r="E284" t="inlineStr">
        <is>
          <t>ENKÖPING</t>
        </is>
      </c>
      <c r="G284" t="n">
        <v>1.4</v>
      </c>
      <c r="H284" t="n">
        <v>0</v>
      </c>
      <c r="I284" t="n">
        <v>0</v>
      </c>
      <c r="J284" t="n">
        <v>0</v>
      </c>
      <c r="K284" t="n">
        <v>0</v>
      </c>
      <c r="L284" t="n">
        <v>0</v>
      </c>
      <c r="M284" t="n">
        <v>0</v>
      </c>
      <c r="N284" t="n">
        <v>0</v>
      </c>
      <c r="O284" t="n">
        <v>0</v>
      </c>
      <c r="P284" t="n">
        <v>0</v>
      </c>
      <c r="Q284" t="n">
        <v>0</v>
      </c>
      <c r="R284" s="2" t="inlineStr"/>
    </row>
    <row r="285" ht="15" customHeight="1">
      <c r="A285" t="inlineStr">
        <is>
          <t>A 8306-2021</t>
        </is>
      </c>
      <c r="B285" s="1" t="n">
        <v>44244</v>
      </c>
      <c r="C285" s="1" t="n">
        <v>45831</v>
      </c>
      <c r="D285" t="inlineStr">
        <is>
          <t>UPPSALA LÄN</t>
        </is>
      </c>
      <c r="E285" t="inlineStr">
        <is>
          <t>ENKÖPING</t>
        </is>
      </c>
      <c r="G285" t="n">
        <v>14.9</v>
      </c>
      <c r="H285" t="n">
        <v>0</v>
      </c>
      <c r="I285" t="n">
        <v>0</v>
      </c>
      <c r="J285" t="n">
        <v>0</v>
      </c>
      <c r="K285" t="n">
        <v>0</v>
      </c>
      <c r="L285" t="n">
        <v>0</v>
      </c>
      <c r="M285" t="n">
        <v>0</v>
      </c>
      <c r="N285" t="n">
        <v>0</v>
      </c>
      <c r="O285" t="n">
        <v>0</v>
      </c>
      <c r="P285" t="n">
        <v>0</v>
      </c>
      <c r="Q285" t="n">
        <v>0</v>
      </c>
      <c r="R285" s="2" t="inlineStr"/>
    </row>
    <row r="286" ht="15" customHeight="1">
      <c r="A286" t="inlineStr">
        <is>
          <t>A 10989-2021</t>
        </is>
      </c>
      <c r="B286" s="1" t="n">
        <v>44260</v>
      </c>
      <c r="C286" s="1" t="n">
        <v>45831</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11688-2021</t>
        </is>
      </c>
      <c r="B287" s="1" t="n">
        <v>44264</v>
      </c>
      <c r="C287" s="1" t="n">
        <v>45831</v>
      </c>
      <c r="D287" t="inlineStr">
        <is>
          <t>UPPSALA LÄN</t>
        </is>
      </c>
      <c r="E287" t="inlineStr">
        <is>
          <t>ENKÖPING</t>
        </is>
      </c>
      <c r="G287" t="n">
        <v>4.7</v>
      </c>
      <c r="H287" t="n">
        <v>0</v>
      </c>
      <c r="I287" t="n">
        <v>0</v>
      </c>
      <c r="J287" t="n">
        <v>0</v>
      </c>
      <c r="K287" t="n">
        <v>0</v>
      </c>
      <c r="L287" t="n">
        <v>0</v>
      </c>
      <c r="M287" t="n">
        <v>0</v>
      </c>
      <c r="N287" t="n">
        <v>0</v>
      </c>
      <c r="O287" t="n">
        <v>0</v>
      </c>
      <c r="P287" t="n">
        <v>0</v>
      </c>
      <c r="Q287" t="n">
        <v>0</v>
      </c>
      <c r="R287" s="2" t="inlineStr"/>
    </row>
    <row r="288" ht="15" customHeight="1">
      <c r="A288" t="inlineStr">
        <is>
          <t>A 12434-2021</t>
        </is>
      </c>
      <c r="B288" s="1" t="n">
        <v>44267</v>
      </c>
      <c r="C288" s="1" t="n">
        <v>45831</v>
      </c>
      <c r="D288" t="inlineStr">
        <is>
          <t>UPPSALA LÄN</t>
        </is>
      </c>
      <c r="E288" t="inlineStr">
        <is>
          <t>ENKÖPING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12538-2021</t>
        </is>
      </c>
      <c r="B289" s="1" t="n">
        <v>44269</v>
      </c>
      <c r="C289" s="1" t="n">
        <v>45831</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12572-2021</t>
        </is>
      </c>
      <c r="B290" s="1" t="n">
        <v>44270</v>
      </c>
      <c r="C290" s="1" t="n">
        <v>45831</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12729-2021</t>
        </is>
      </c>
      <c r="B291" s="1" t="n">
        <v>44270</v>
      </c>
      <c r="C291" s="1" t="n">
        <v>45831</v>
      </c>
      <c r="D291" t="inlineStr">
        <is>
          <t>UPPSALA LÄN</t>
        </is>
      </c>
      <c r="E291" t="inlineStr">
        <is>
          <t>ENKÖPING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12727-2021</t>
        </is>
      </c>
      <c r="B292" s="1" t="n">
        <v>44270</v>
      </c>
      <c r="C292" s="1" t="n">
        <v>45831</v>
      </c>
      <c r="D292" t="inlineStr">
        <is>
          <t>UPPSALA LÄN</t>
        </is>
      </c>
      <c r="E292" t="inlineStr">
        <is>
          <t>ENKÖPING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12732-2021</t>
        </is>
      </c>
      <c r="B293" s="1" t="n">
        <v>44270</v>
      </c>
      <c r="C293" s="1" t="n">
        <v>45831</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13201-2021</t>
        </is>
      </c>
      <c r="B294" s="1" t="n">
        <v>44272</v>
      </c>
      <c r="C294" s="1" t="n">
        <v>45831</v>
      </c>
      <c r="D294" t="inlineStr">
        <is>
          <t>UPPSALA LÄN</t>
        </is>
      </c>
      <c r="E294" t="inlineStr">
        <is>
          <t>ENKÖPING</t>
        </is>
      </c>
      <c r="G294" t="n">
        <v>0.1</v>
      </c>
      <c r="H294" t="n">
        <v>0</v>
      </c>
      <c r="I294" t="n">
        <v>0</v>
      </c>
      <c r="J294" t="n">
        <v>0</v>
      </c>
      <c r="K294" t="n">
        <v>0</v>
      </c>
      <c r="L294" t="n">
        <v>0</v>
      </c>
      <c r="M294" t="n">
        <v>0</v>
      </c>
      <c r="N294" t="n">
        <v>0</v>
      </c>
      <c r="O294" t="n">
        <v>0</v>
      </c>
      <c r="P294" t="n">
        <v>0</v>
      </c>
      <c r="Q294" t="n">
        <v>0</v>
      </c>
      <c r="R294" s="2" t="inlineStr"/>
    </row>
    <row r="295" ht="15" customHeight="1">
      <c r="A295" t="inlineStr">
        <is>
          <t>A 13813-2021</t>
        </is>
      </c>
      <c r="B295" s="1" t="n">
        <v>44276</v>
      </c>
      <c r="C295" s="1" t="n">
        <v>45831</v>
      </c>
      <c r="D295" t="inlineStr">
        <is>
          <t>UPPSALA LÄN</t>
        </is>
      </c>
      <c r="E295" t="inlineStr">
        <is>
          <t>ENKÖPING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13816-2021</t>
        </is>
      </c>
      <c r="B296" s="1" t="n">
        <v>44276</v>
      </c>
      <c r="C296" s="1" t="n">
        <v>45831</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14840-2021</t>
        </is>
      </c>
      <c r="B297" s="1" t="n">
        <v>44280</v>
      </c>
      <c r="C297" s="1" t="n">
        <v>45831</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14841-2021</t>
        </is>
      </c>
      <c r="B298" s="1" t="n">
        <v>44280</v>
      </c>
      <c r="C298" s="1" t="n">
        <v>45831</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14839-2021</t>
        </is>
      </c>
      <c r="B299" s="1" t="n">
        <v>44280</v>
      </c>
      <c r="C299" s="1" t="n">
        <v>45831</v>
      </c>
      <c r="D299" t="inlineStr">
        <is>
          <t>UPPSALA LÄN</t>
        </is>
      </c>
      <c r="E299" t="inlineStr">
        <is>
          <t>ENKÖPING</t>
        </is>
      </c>
      <c r="G299" t="n">
        <v>11.4</v>
      </c>
      <c r="H299" t="n">
        <v>0</v>
      </c>
      <c r="I299" t="n">
        <v>0</v>
      </c>
      <c r="J299" t="n">
        <v>0</v>
      </c>
      <c r="K299" t="n">
        <v>0</v>
      </c>
      <c r="L299" t="n">
        <v>0</v>
      </c>
      <c r="M299" t="n">
        <v>0</v>
      </c>
      <c r="N299" t="n">
        <v>0</v>
      </c>
      <c r="O299" t="n">
        <v>0</v>
      </c>
      <c r="P299" t="n">
        <v>0</v>
      </c>
      <c r="Q299" t="n">
        <v>0</v>
      </c>
      <c r="R299" s="2" t="inlineStr"/>
    </row>
    <row r="300" ht="15" customHeight="1">
      <c r="A300" t="inlineStr">
        <is>
          <t>A 15298-2021</t>
        </is>
      </c>
      <c r="B300" s="1" t="n">
        <v>44284</v>
      </c>
      <c r="C300" s="1" t="n">
        <v>45831</v>
      </c>
      <c r="D300" t="inlineStr">
        <is>
          <t>UPPSALA LÄN</t>
        </is>
      </c>
      <c r="E300" t="inlineStr">
        <is>
          <t>ENKÖPING</t>
        </is>
      </c>
      <c r="G300" t="n">
        <v>6</v>
      </c>
      <c r="H300" t="n">
        <v>0</v>
      </c>
      <c r="I300" t="n">
        <v>0</v>
      </c>
      <c r="J300" t="n">
        <v>0</v>
      </c>
      <c r="K300" t="n">
        <v>0</v>
      </c>
      <c r="L300" t="n">
        <v>0</v>
      </c>
      <c r="M300" t="n">
        <v>0</v>
      </c>
      <c r="N300" t="n">
        <v>0</v>
      </c>
      <c r="O300" t="n">
        <v>0</v>
      </c>
      <c r="P300" t="n">
        <v>0</v>
      </c>
      <c r="Q300" t="n">
        <v>0</v>
      </c>
      <c r="R300" s="2" t="inlineStr"/>
    </row>
    <row r="301" ht="15" customHeight="1">
      <c r="A301" t="inlineStr">
        <is>
          <t>A 15997-2021</t>
        </is>
      </c>
      <c r="B301" s="1" t="n">
        <v>44287</v>
      </c>
      <c r="C301" s="1" t="n">
        <v>45831</v>
      </c>
      <c r="D301" t="inlineStr">
        <is>
          <t>UPPSALA LÄN</t>
        </is>
      </c>
      <c r="E301" t="inlineStr">
        <is>
          <t>ENKÖPING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16309-2021</t>
        </is>
      </c>
      <c r="B302" s="1" t="n">
        <v>44292</v>
      </c>
      <c r="C302" s="1" t="n">
        <v>45831</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16498-2021</t>
        </is>
      </c>
      <c r="B303" s="1" t="n">
        <v>44293</v>
      </c>
      <c r="C303" s="1" t="n">
        <v>45831</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16683-2021</t>
        </is>
      </c>
      <c r="B304" s="1" t="n">
        <v>44294</v>
      </c>
      <c r="C304" s="1" t="n">
        <v>45831</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17264-2021</t>
        </is>
      </c>
      <c r="B305" s="1" t="n">
        <v>44298</v>
      </c>
      <c r="C305" s="1" t="n">
        <v>45831</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17268-2021</t>
        </is>
      </c>
      <c r="B306" s="1" t="n">
        <v>44298</v>
      </c>
      <c r="C306" s="1" t="n">
        <v>45831</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18328-2021</t>
        </is>
      </c>
      <c r="B307" s="1" t="n">
        <v>44305</v>
      </c>
      <c r="C307" s="1" t="n">
        <v>45831</v>
      </c>
      <c r="D307" t="inlineStr">
        <is>
          <t>UPPSALA LÄN</t>
        </is>
      </c>
      <c r="E307" t="inlineStr">
        <is>
          <t>ENKÖPING</t>
        </is>
      </c>
      <c r="G307" t="n">
        <v>9.4</v>
      </c>
      <c r="H307" t="n">
        <v>0</v>
      </c>
      <c r="I307" t="n">
        <v>0</v>
      </c>
      <c r="J307" t="n">
        <v>0</v>
      </c>
      <c r="K307" t="n">
        <v>0</v>
      </c>
      <c r="L307" t="n">
        <v>0</v>
      </c>
      <c r="M307" t="n">
        <v>0</v>
      </c>
      <c r="N307" t="n">
        <v>0</v>
      </c>
      <c r="O307" t="n">
        <v>0</v>
      </c>
      <c r="P307" t="n">
        <v>0</v>
      </c>
      <c r="Q307" t="n">
        <v>0</v>
      </c>
      <c r="R307" s="2" t="inlineStr"/>
    </row>
    <row r="308" ht="15" customHeight="1">
      <c r="A308" t="inlineStr">
        <is>
          <t>A 18584-2021</t>
        </is>
      </c>
      <c r="B308" s="1" t="n">
        <v>44306</v>
      </c>
      <c r="C308" s="1" t="n">
        <v>45831</v>
      </c>
      <c r="D308" t="inlineStr">
        <is>
          <t>UPPSALA LÄN</t>
        </is>
      </c>
      <c r="E308" t="inlineStr">
        <is>
          <t>ENKÖPING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18592-2021</t>
        </is>
      </c>
      <c r="B309" s="1" t="n">
        <v>44306</v>
      </c>
      <c r="C309" s="1" t="n">
        <v>45831</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18583-2021</t>
        </is>
      </c>
      <c r="B310" s="1" t="n">
        <v>44306</v>
      </c>
      <c r="C310" s="1" t="n">
        <v>45831</v>
      </c>
      <c r="D310" t="inlineStr">
        <is>
          <t>UPPSALA LÄN</t>
        </is>
      </c>
      <c r="E310" t="inlineStr">
        <is>
          <t>ENKÖPING</t>
        </is>
      </c>
      <c r="G310" t="n">
        <v>0.4</v>
      </c>
      <c r="H310" t="n">
        <v>0</v>
      </c>
      <c r="I310" t="n">
        <v>0</v>
      </c>
      <c r="J310" t="n">
        <v>0</v>
      </c>
      <c r="K310" t="n">
        <v>0</v>
      </c>
      <c r="L310" t="n">
        <v>0</v>
      </c>
      <c r="M310" t="n">
        <v>0</v>
      </c>
      <c r="N310" t="n">
        <v>0</v>
      </c>
      <c r="O310" t="n">
        <v>0</v>
      </c>
      <c r="P310" t="n">
        <v>0</v>
      </c>
      <c r="Q310" t="n">
        <v>0</v>
      </c>
      <c r="R310" s="2" t="inlineStr"/>
    </row>
    <row r="311" ht="15" customHeight="1">
      <c r="A311" t="inlineStr">
        <is>
          <t>A 19630-2021</t>
        </is>
      </c>
      <c r="B311" s="1" t="n">
        <v>44312</v>
      </c>
      <c r="C311" s="1" t="n">
        <v>45831</v>
      </c>
      <c r="D311" t="inlineStr">
        <is>
          <t>UPPSALA LÄN</t>
        </is>
      </c>
      <c r="E311" t="inlineStr">
        <is>
          <t>ENKÖPING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20067-2021</t>
        </is>
      </c>
      <c r="B312" s="1" t="n">
        <v>44314</v>
      </c>
      <c r="C312" s="1" t="n">
        <v>45831</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22057-2021</t>
        </is>
      </c>
      <c r="B313" s="1" t="n">
        <v>44323</v>
      </c>
      <c r="C313" s="1" t="n">
        <v>45831</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22058-2021</t>
        </is>
      </c>
      <c r="B314" s="1" t="n">
        <v>44323</v>
      </c>
      <c r="C314" s="1" t="n">
        <v>45831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24399-2021</t>
        </is>
      </c>
      <c r="B315" s="1" t="n">
        <v>44337</v>
      </c>
      <c r="C315" s="1" t="n">
        <v>45831</v>
      </c>
      <c r="D315" t="inlineStr">
        <is>
          <t>UPPSALA LÄN</t>
        </is>
      </c>
      <c r="E315" t="inlineStr">
        <is>
          <t>ENKÖPING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25598-2021</t>
        </is>
      </c>
      <c r="B316" s="1" t="n">
        <v>44343</v>
      </c>
      <c r="C316" s="1" t="n">
        <v>45831</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27676-2021</t>
        </is>
      </c>
      <c r="B317" s="1" t="n">
        <v>44353</v>
      </c>
      <c r="C317" s="1" t="n">
        <v>45831</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28368-2021</t>
        </is>
      </c>
      <c r="B318" s="1" t="n">
        <v>44356</v>
      </c>
      <c r="C318" s="1" t="n">
        <v>45831</v>
      </c>
      <c r="D318" t="inlineStr">
        <is>
          <t>UPPSALA LÄN</t>
        </is>
      </c>
      <c r="E318" t="inlineStr">
        <is>
          <t>ENKÖPING</t>
        </is>
      </c>
      <c r="G318" t="n">
        <v>3.2</v>
      </c>
      <c r="H318" t="n">
        <v>0</v>
      </c>
      <c r="I318" t="n">
        <v>0</v>
      </c>
      <c r="J318" t="n">
        <v>0</v>
      </c>
      <c r="K318" t="n">
        <v>0</v>
      </c>
      <c r="L318" t="n">
        <v>0</v>
      </c>
      <c r="M318" t="n">
        <v>0</v>
      </c>
      <c r="N318" t="n">
        <v>0</v>
      </c>
      <c r="O318" t="n">
        <v>0</v>
      </c>
      <c r="P318" t="n">
        <v>0</v>
      </c>
      <c r="Q318" t="n">
        <v>0</v>
      </c>
      <c r="R318" s="2" t="inlineStr"/>
    </row>
    <row r="319" ht="15" customHeight="1">
      <c r="A319" t="inlineStr">
        <is>
          <t>A 28795-2021</t>
        </is>
      </c>
      <c r="B319" s="1" t="n">
        <v>44357</v>
      </c>
      <c r="C319" s="1" t="n">
        <v>45831</v>
      </c>
      <c r="D319" t="inlineStr">
        <is>
          <t>UPPSALA LÄN</t>
        </is>
      </c>
      <c r="E319" t="inlineStr">
        <is>
          <t>ENKÖPING</t>
        </is>
      </c>
      <c r="F319" t="inlineStr">
        <is>
          <t>Allmännings- och besparingsskogar</t>
        </is>
      </c>
      <c r="G319" t="n">
        <v>2.8</v>
      </c>
      <c r="H319" t="n">
        <v>0</v>
      </c>
      <c r="I319" t="n">
        <v>0</v>
      </c>
      <c r="J319" t="n">
        <v>0</v>
      </c>
      <c r="K319" t="n">
        <v>0</v>
      </c>
      <c r="L319" t="n">
        <v>0</v>
      </c>
      <c r="M319" t="n">
        <v>0</v>
      </c>
      <c r="N319" t="n">
        <v>0</v>
      </c>
      <c r="O319" t="n">
        <v>0</v>
      </c>
      <c r="P319" t="n">
        <v>0</v>
      </c>
      <c r="Q319" t="n">
        <v>0</v>
      </c>
      <c r="R319" s="2" t="inlineStr"/>
    </row>
    <row r="320" ht="15" customHeight="1">
      <c r="A320" t="inlineStr">
        <is>
          <t>A 29983-2021</t>
        </is>
      </c>
      <c r="B320" s="1" t="n">
        <v>44363</v>
      </c>
      <c r="C320" s="1" t="n">
        <v>45831</v>
      </c>
      <c r="D320" t="inlineStr">
        <is>
          <t>UPPSALA LÄN</t>
        </is>
      </c>
      <c r="E320" t="inlineStr">
        <is>
          <t>ENKÖPING</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30514-2021</t>
        </is>
      </c>
      <c r="B321" s="1" t="n">
        <v>44364</v>
      </c>
      <c r="C321" s="1" t="n">
        <v>45831</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31112-2021</t>
        </is>
      </c>
      <c r="B322" s="1" t="n">
        <v>44368</v>
      </c>
      <c r="C322" s="1" t="n">
        <v>45831</v>
      </c>
      <c r="D322" t="inlineStr">
        <is>
          <t>UPPSALA LÄN</t>
        </is>
      </c>
      <c r="E322" t="inlineStr">
        <is>
          <t>ENKÖPING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31965-2021</t>
        </is>
      </c>
      <c r="B323" s="1" t="n">
        <v>44370</v>
      </c>
      <c r="C323" s="1" t="n">
        <v>45831</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34124-2021</t>
        </is>
      </c>
      <c r="B324" s="1" t="n">
        <v>44379</v>
      </c>
      <c r="C324" s="1" t="n">
        <v>45831</v>
      </c>
      <c r="D324" t="inlineStr">
        <is>
          <t>UPPSALA LÄN</t>
        </is>
      </c>
      <c r="E324" t="inlineStr">
        <is>
          <t>ENKÖPING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35645-2021</t>
        </is>
      </c>
      <c r="B325" s="1" t="n">
        <v>44386</v>
      </c>
      <c r="C325" s="1" t="n">
        <v>45831</v>
      </c>
      <c r="D325" t="inlineStr">
        <is>
          <t>UPPSALA LÄN</t>
        </is>
      </c>
      <c r="E325" t="inlineStr">
        <is>
          <t>ENKÖPING</t>
        </is>
      </c>
      <c r="G325" t="n">
        <v>2.7</v>
      </c>
      <c r="H325" t="n">
        <v>0</v>
      </c>
      <c r="I325" t="n">
        <v>0</v>
      </c>
      <c r="J325" t="n">
        <v>0</v>
      </c>
      <c r="K325" t="n">
        <v>0</v>
      </c>
      <c r="L325" t="n">
        <v>0</v>
      </c>
      <c r="M325" t="n">
        <v>0</v>
      </c>
      <c r="N325" t="n">
        <v>0</v>
      </c>
      <c r="O325" t="n">
        <v>0</v>
      </c>
      <c r="P325" t="n">
        <v>0</v>
      </c>
      <c r="Q325" t="n">
        <v>0</v>
      </c>
      <c r="R325" s="2" t="inlineStr"/>
    </row>
    <row r="326" ht="15" customHeight="1">
      <c r="A326" t="inlineStr">
        <is>
          <t>A 35643-2021</t>
        </is>
      </c>
      <c r="B326" s="1" t="n">
        <v>44386</v>
      </c>
      <c r="C326" s="1" t="n">
        <v>45831</v>
      </c>
      <c r="D326" t="inlineStr">
        <is>
          <t>UPPSALA LÄN</t>
        </is>
      </c>
      <c r="E326" t="inlineStr">
        <is>
          <t>ENKÖPING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35638-2021</t>
        </is>
      </c>
      <c r="B327" s="1" t="n">
        <v>44386</v>
      </c>
      <c r="C327" s="1" t="n">
        <v>45831</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35647-2021</t>
        </is>
      </c>
      <c r="B328" s="1" t="n">
        <v>44386</v>
      </c>
      <c r="C328" s="1" t="n">
        <v>45831</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35641-2021</t>
        </is>
      </c>
      <c r="B329" s="1" t="n">
        <v>44386</v>
      </c>
      <c r="C329" s="1" t="n">
        <v>45831</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35632-2021</t>
        </is>
      </c>
      <c r="B330" s="1" t="n">
        <v>44386</v>
      </c>
      <c r="C330" s="1" t="n">
        <v>45831</v>
      </c>
      <c r="D330" t="inlineStr">
        <is>
          <t>UPPSALA LÄN</t>
        </is>
      </c>
      <c r="E330" t="inlineStr">
        <is>
          <t>ENKÖPING</t>
        </is>
      </c>
      <c r="G330" t="n">
        <v>3.1</v>
      </c>
      <c r="H330" t="n">
        <v>0</v>
      </c>
      <c r="I330" t="n">
        <v>0</v>
      </c>
      <c r="J330" t="n">
        <v>0</v>
      </c>
      <c r="K330" t="n">
        <v>0</v>
      </c>
      <c r="L330" t="n">
        <v>0</v>
      </c>
      <c r="M330" t="n">
        <v>0</v>
      </c>
      <c r="N330" t="n">
        <v>0</v>
      </c>
      <c r="O330" t="n">
        <v>0</v>
      </c>
      <c r="P330" t="n">
        <v>0</v>
      </c>
      <c r="Q330" t="n">
        <v>0</v>
      </c>
      <c r="R330" s="2" t="inlineStr"/>
    </row>
    <row r="331" ht="15" customHeight="1">
      <c r="A331" t="inlineStr">
        <is>
          <t>A 37170-2021</t>
        </is>
      </c>
      <c r="B331" s="1" t="n">
        <v>44395</v>
      </c>
      <c r="C331" s="1" t="n">
        <v>45831</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37563-2021</t>
        </is>
      </c>
      <c r="B332" s="1" t="n">
        <v>44399</v>
      </c>
      <c r="C332" s="1" t="n">
        <v>45831</v>
      </c>
      <c r="D332" t="inlineStr">
        <is>
          <t>UPPSALA LÄN</t>
        </is>
      </c>
      <c r="E332" t="inlineStr">
        <is>
          <t>ENKÖPING</t>
        </is>
      </c>
      <c r="G332" t="n">
        <v>5.1</v>
      </c>
      <c r="H332" t="n">
        <v>0</v>
      </c>
      <c r="I332" t="n">
        <v>0</v>
      </c>
      <c r="J332" t="n">
        <v>0</v>
      </c>
      <c r="K332" t="n">
        <v>0</v>
      </c>
      <c r="L332" t="n">
        <v>0</v>
      </c>
      <c r="M332" t="n">
        <v>0</v>
      </c>
      <c r="N332" t="n">
        <v>0</v>
      </c>
      <c r="O332" t="n">
        <v>0</v>
      </c>
      <c r="P332" t="n">
        <v>0</v>
      </c>
      <c r="Q332" t="n">
        <v>0</v>
      </c>
      <c r="R332" s="2" t="inlineStr"/>
    </row>
    <row r="333" ht="15" customHeight="1">
      <c r="A333" t="inlineStr">
        <is>
          <t>A 37570-2021</t>
        </is>
      </c>
      <c r="B333" s="1" t="n">
        <v>44399</v>
      </c>
      <c r="C333" s="1" t="n">
        <v>45831</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37573-2021</t>
        </is>
      </c>
      <c r="B334" s="1" t="n">
        <v>44399</v>
      </c>
      <c r="C334" s="1" t="n">
        <v>45831</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37568-2021</t>
        </is>
      </c>
      <c r="B335" s="1" t="n">
        <v>44399</v>
      </c>
      <c r="C335" s="1" t="n">
        <v>45831</v>
      </c>
      <c r="D335" t="inlineStr">
        <is>
          <t>UPPSALA LÄN</t>
        </is>
      </c>
      <c r="E335" t="inlineStr">
        <is>
          <t>ENKÖPING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37564-2021</t>
        </is>
      </c>
      <c r="B336" s="1" t="n">
        <v>44399</v>
      </c>
      <c r="C336" s="1" t="n">
        <v>45831</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37571-2021</t>
        </is>
      </c>
      <c r="B337" s="1" t="n">
        <v>44399</v>
      </c>
      <c r="C337" s="1" t="n">
        <v>45831</v>
      </c>
      <c r="D337" t="inlineStr">
        <is>
          <t>UPPSALA LÄN</t>
        </is>
      </c>
      <c r="E337" t="inlineStr">
        <is>
          <t>ENKÖPING</t>
        </is>
      </c>
      <c r="G337" t="n">
        <v>4.6</v>
      </c>
      <c r="H337" t="n">
        <v>0</v>
      </c>
      <c r="I337" t="n">
        <v>0</v>
      </c>
      <c r="J337" t="n">
        <v>0</v>
      </c>
      <c r="K337" t="n">
        <v>0</v>
      </c>
      <c r="L337" t="n">
        <v>0</v>
      </c>
      <c r="M337" t="n">
        <v>0</v>
      </c>
      <c r="N337" t="n">
        <v>0</v>
      </c>
      <c r="O337" t="n">
        <v>0</v>
      </c>
      <c r="P337" t="n">
        <v>0</v>
      </c>
      <c r="Q337" t="n">
        <v>0</v>
      </c>
      <c r="R337" s="2" t="inlineStr"/>
    </row>
    <row r="338" ht="15" customHeight="1">
      <c r="A338" t="inlineStr">
        <is>
          <t>A 42021-2021</t>
        </is>
      </c>
      <c r="B338" s="1" t="n">
        <v>44426</v>
      </c>
      <c r="C338" s="1" t="n">
        <v>45831</v>
      </c>
      <c r="D338" t="inlineStr">
        <is>
          <t>UPPSALA LÄN</t>
        </is>
      </c>
      <c r="E338" t="inlineStr">
        <is>
          <t>ENKÖPING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42029-2021</t>
        </is>
      </c>
      <c r="B339" s="1" t="n">
        <v>44426</v>
      </c>
      <c r="C339" s="1" t="n">
        <v>45831</v>
      </c>
      <c r="D339" t="inlineStr">
        <is>
          <t>UPPSALA LÄN</t>
        </is>
      </c>
      <c r="E339" t="inlineStr">
        <is>
          <t>ENKÖPING</t>
        </is>
      </c>
      <c r="G339" t="n">
        <v>5.3</v>
      </c>
      <c r="H339" t="n">
        <v>0</v>
      </c>
      <c r="I339" t="n">
        <v>0</v>
      </c>
      <c r="J339" t="n">
        <v>0</v>
      </c>
      <c r="K339" t="n">
        <v>0</v>
      </c>
      <c r="L339" t="n">
        <v>0</v>
      </c>
      <c r="M339" t="n">
        <v>0</v>
      </c>
      <c r="N339" t="n">
        <v>0</v>
      </c>
      <c r="O339" t="n">
        <v>0</v>
      </c>
      <c r="P339" t="n">
        <v>0</v>
      </c>
      <c r="Q339" t="n">
        <v>0</v>
      </c>
      <c r="R339" s="2" t="inlineStr"/>
    </row>
    <row r="340" ht="15" customHeight="1">
      <c r="A340" t="inlineStr">
        <is>
          <t>A 43016-2021</t>
        </is>
      </c>
      <c r="B340" s="1" t="n">
        <v>44431</v>
      </c>
      <c r="C340" s="1" t="n">
        <v>45831</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44727-2021</t>
        </is>
      </c>
      <c r="B341" s="1" t="n">
        <v>44438</v>
      </c>
      <c r="C341" s="1" t="n">
        <v>45831</v>
      </c>
      <c r="D341" t="inlineStr">
        <is>
          <t>UPPSALA LÄN</t>
        </is>
      </c>
      <c r="E341" t="inlineStr">
        <is>
          <t>ENKÖPING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47106-2021</t>
        </is>
      </c>
      <c r="B342" s="1" t="n">
        <v>44446</v>
      </c>
      <c r="C342" s="1" t="n">
        <v>45831</v>
      </c>
      <c r="D342" t="inlineStr">
        <is>
          <t>UPPSALA LÄN</t>
        </is>
      </c>
      <c r="E342" t="inlineStr">
        <is>
          <t>ENKÖPING</t>
        </is>
      </c>
      <c r="G342" t="n">
        <v>7.6</v>
      </c>
      <c r="H342" t="n">
        <v>0</v>
      </c>
      <c r="I342" t="n">
        <v>0</v>
      </c>
      <c r="J342" t="n">
        <v>0</v>
      </c>
      <c r="K342" t="n">
        <v>0</v>
      </c>
      <c r="L342" t="n">
        <v>0</v>
      </c>
      <c r="M342" t="n">
        <v>0</v>
      </c>
      <c r="N342" t="n">
        <v>0</v>
      </c>
      <c r="O342" t="n">
        <v>0</v>
      </c>
      <c r="P342" t="n">
        <v>0</v>
      </c>
      <c r="Q342" t="n">
        <v>0</v>
      </c>
      <c r="R342" s="2" t="inlineStr"/>
    </row>
    <row r="343" ht="15" customHeight="1">
      <c r="A343" t="inlineStr">
        <is>
          <t>A 48981-2021</t>
        </is>
      </c>
      <c r="B343" s="1" t="n">
        <v>44453</v>
      </c>
      <c r="C343" s="1" t="n">
        <v>45831</v>
      </c>
      <c r="D343" t="inlineStr">
        <is>
          <t>UPPSALA LÄN</t>
        </is>
      </c>
      <c r="E343" t="inlineStr">
        <is>
          <t>ENKÖPING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49375-2021</t>
        </is>
      </c>
      <c r="B344" s="1" t="n">
        <v>44454</v>
      </c>
      <c r="C344" s="1" t="n">
        <v>45831</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49525-2021</t>
        </is>
      </c>
      <c r="B345" s="1" t="n">
        <v>44455</v>
      </c>
      <c r="C345" s="1" t="n">
        <v>45831</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50893-2021</t>
        </is>
      </c>
      <c r="B346" s="1" t="n">
        <v>44460</v>
      </c>
      <c r="C346" s="1" t="n">
        <v>45831</v>
      </c>
      <c r="D346" t="inlineStr">
        <is>
          <t>UPPSALA LÄN</t>
        </is>
      </c>
      <c r="E346" t="inlineStr">
        <is>
          <t>ENKÖPING</t>
        </is>
      </c>
      <c r="G346" t="n">
        <v>7.3</v>
      </c>
      <c r="H346" t="n">
        <v>0</v>
      </c>
      <c r="I346" t="n">
        <v>0</v>
      </c>
      <c r="J346" t="n">
        <v>0</v>
      </c>
      <c r="K346" t="n">
        <v>0</v>
      </c>
      <c r="L346" t="n">
        <v>0</v>
      </c>
      <c r="M346" t="n">
        <v>0</v>
      </c>
      <c r="N346" t="n">
        <v>0</v>
      </c>
      <c r="O346" t="n">
        <v>0</v>
      </c>
      <c r="P346" t="n">
        <v>0</v>
      </c>
      <c r="Q346" t="n">
        <v>0</v>
      </c>
      <c r="R346" s="2" t="inlineStr"/>
    </row>
    <row r="347" ht="15" customHeight="1">
      <c r="A347" t="inlineStr">
        <is>
          <t>A 52014-2021</t>
        </is>
      </c>
      <c r="B347" s="1" t="n">
        <v>44463</v>
      </c>
      <c r="C347" s="1" t="n">
        <v>45831</v>
      </c>
      <c r="D347" t="inlineStr">
        <is>
          <t>UPPSALA LÄN</t>
        </is>
      </c>
      <c r="E347" t="inlineStr">
        <is>
          <t>ENKÖPING</t>
        </is>
      </c>
      <c r="G347" t="n">
        <v>5.8</v>
      </c>
      <c r="H347" t="n">
        <v>0</v>
      </c>
      <c r="I347" t="n">
        <v>0</v>
      </c>
      <c r="J347" t="n">
        <v>0</v>
      </c>
      <c r="K347" t="n">
        <v>0</v>
      </c>
      <c r="L347" t="n">
        <v>0</v>
      </c>
      <c r="M347" t="n">
        <v>0</v>
      </c>
      <c r="N347" t="n">
        <v>0</v>
      </c>
      <c r="O347" t="n">
        <v>0</v>
      </c>
      <c r="P347" t="n">
        <v>0</v>
      </c>
      <c r="Q347" t="n">
        <v>0</v>
      </c>
      <c r="R347" s="2" t="inlineStr"/>
    </row>
    <row r="348" ht="15" customHeight="1">
      <c r="A348" t="inlineStr">
        <is>
          <t>A 54433-2021</t>
        </is>
      </c>
      <c r="B348" s="1" t="n">
        <v>44473</v>
      </c>
      <c r="C348" s="1" t="n">
        <v>45831</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54595-2021</t>
        </is>
      </c>
      <c r="B349" s="1" t="n">
        <v>44473</v>
      </c>
      <c r="C349" s="1" t="n">
        <v>45831</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55582-2021</t>
        </is>
      </c>
      <c r="B350" s="1" t="n">
        <v>44475</v>
      </c>
      <c r="C350" s="1" t="n">
        <v>45831</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56163-2021</t>
        </is>
      </c>
      <c r="B351" s="1" t="n">
        <v>44477</v>
      </c>
      <c r="C351" s="1" t="n">
        <v>45831</v>
      </c>
      <c r="D351" t="inlineStr">
        <is>
          <t>UPPSALA LÄN</t>
        </is>
      </c>
      <c r="E351" t="inlineStr">
        <is>
          <t>ENKÖPING</t>
        </is>
      </c>
      <c r="F351" t="inlineStr">
        <is>
          <t>Allmännings- och besparingsskogar</t>
        </is>
      </c>
      <c r="G351" t="n">
        <v>0.6</v>
      </c>
      <c r="H351" t="n">
        <v>0</v>
      </c>
      <c r="I351" t="n">
        <v>0</v>
      </c>
      <c r="J351" t="n">
        <v>0</v>
      </c>
      <c r="K351" t="n">
        <v>0</v>
      </c>
      <c r="L351" t="n">
        <v>0</v>
      </c>
      <c r="M351" t="n">
        <v>0</v>
      </c>
      <c r="N351" t="n">
        <v>0</v>
      </c>
      <c r="O351" t="n">
        <v>0</v>
      </c>
      <c r="P351" t="n">
        <v>0</v>
      </c>
      <c r="Q351" t="n">
        <v>0</v>
      </c>
      <c r="R351" s="2" t="inlineStr"/>
    </row>
    <row r="352" ht="15" customHeight="1">
      <c r="A352" t="inlineStr">
        <is>
          <t>A 56176-2021</t>
        </is>
      </c>
      <c r="B352" s="1" t="n">
        <v>44477</v>
      </c>
      <c r="C352" s="1" t="n">
        <v>45831</v>
      </c>
      <c r="D352" t="inlineStr">
        <is>
          <t>UPPSALA LÄN</t>
        </is>
      </c>
      <c r="E352" t="inlineStr">
        <is>
          <t>ENKÖPING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57043-2021</t>
        </is>
      </c>
      <c r="B353" s="1" t="n">
        <v>44482</v>
      </c>
      <c r="C353" s="1" t="n">
        <v>45831</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57055-2021</t>
        </is>
      </c>
      <c r="B354" s="1" t="n">
        <v>44482</v>
      </c>
      <c r="C354" s="1" t="n">
        <v>45831</v>
      </c>
      <c r="D354" t="inlineStr">
        <is>
          <t>UPPSALA LÄN</t>
        </is>
      </c>
      <c r="E354" t="inlineStr">
        <is>
          <t>ENKÖPING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57066-2021</t>
        </is>
      </c>
      <c r="B355" s="1" t="n">
        <v>44482</v>
      </c>
      <c r="C355" s="1" t="n">
        <v>45831</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57078-2021</t>
        </is>
      </c>
      <c r="B356" s="1" t="n">
        <v>44482</v>
      </c>
      <c r="C356" s="1" t="n">
        <v>45831</v>
      </c>
      <c r="D356" t="inlineStr">
        <is>
          <t>UPPSALA LÄN</t>
        </is>
      </c>
      <c r="E356" t="inlineStr">
        <is>
          <t>ENKÖPING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57142-2021</t>
        </is>
      </c>
      <c r="B357" s="1" t="n">
        <v>44482</v>
      </c>
      <c r="C357" s="1" t="n">
        <v>45831</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57153-2021</t>
        </is>
      </c>
      <c r="B358" s="1" t="n">
        <v>44482</v>
      </c>
      <c r="C358" s="1" t="n">
        <v>45831</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57147-2021</t>
        </is>
      </c>
      <c r="B359" s="1" t="n">
        <v>44482</v>
      </c>
      <c r="C359" s="1" t="n">
        <v>45831</v>
      </c>
      <c r="D359" t="inlineStr">
        <is>
          <t>UPPSALA LÄN</t>
        </is>
      </c>
      <c r="E359" t="inlineStr">
        <is>
          <t>ENKÖPING</t>
        </is>
      </c>
      <c r="G359" t="n">
        <v>5.7</v>
      </c>
      <c r="H359" t="n">
        <v>0</v>
      </c>
      <c r="I359" t="n">
        <v>0</v>
      </c>
      <c r="J359" t="n">
        <v>0</v>
      </c>
      <c r="K359" t="n">
        <v>0</v>
      </c>
      <c r="L359" t="n">
        <v>0</v>
      </c>
      <c r="M359" t="n">
        <v>0</v>
      </c>
      <c r="N359" t="n">
        <v>0</v>
      </c>
      <c r="O359" t="n">
        <v>0</v>
      </c>
      <c r="P359" t="n">
        <v>0</v>
      </c>
      <c r="Q359" t="n">
        <v>0</v>
      </c>
      <c r="R359" s="2" t="inlineStr"/>
    </row>
    <row r="360" ht="15" customHeight="1">
      <c r="A360" t="inlineStr">
        <is>
          <t>A 57152-2021</t>
        </is>
      </c>
      <c r="B360" s="1" t="n">
        <v>44482</v>
      </c>
      <c r="C360" s="1" t="n">
        <v>45831</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59121-2021</t>
        </is>
      </c>
      <c r="B361" s="1" t="n">
        <v>44490</v>
      </c>
      <c r="C361" s="1" t="n">
        <v>45831</v>
      </c>
      <c r="D361" t="inlineStr">
        <is>
          <t>UPPSALA LÄN</t>
        </is>
      </c>
      <c r="E361" t="inlineStr">
        <is>
          <t>ENKÖPING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60533-2021</t>
        </is>
      </c>
      <c r="B362" s="1" t="n">
        <v>44496</v>
      </c>
      <c r="C362" s="1" t="n">
        <v>45831</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60874-2021</t>
        </is>
      </c>
      <c r="B363" s="1" t="n">
        <v>44497</v>
      </c>
      <c r="C363" s="1" t="n">
        <v>45831</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61076-2021</t>
        </is>
      </c>
      <c r="B364" s="1" t="n">
        <v>44497</v>
      </c>
      <c r="C364" s="1" t="n">
        <v>45831</v>
      </c>
      <c r="D364" t="inlineStr">
        <is>
          <t>UPPSALA LÄN</t>
        </is>
      </c>
      <c r="E364" t="inlineStr">
        <is>
          <t>ENKÖPING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61553-2021</t>
        </is>
      </c>
      <c r="B365" s="1" t="n">
        <v>44501</v>
      </c>
      <c r="C365" s="1" t="n">
        <v>45831</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61952-2021</t>
        </is>
      </c>
      <c r="B366" s="1" t="n">
        <v>44502</v>
      </c>
      <c r="C366" s="1" t="n">
        <v>45831</v>
      </c>
      <c r="D366" t="inlineStr">
        <is>
          <t>UPPSALA LÄN</t>
        </is>
      </c>
      <c r="E366" t="inlineStr">
        <is>
          <t>ENKÖPING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62046-2021</t>
        </is>
      </c>
      <c r="B367" s="1" t="n">
        <v>44502</v>
      </c>
      <c r="C367" s="1" t="n">
        <v>45831</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63310-2021</t>
        </is>
      </c>
      <c r="B368" s="1" t="n">
        <v>44508</v>
      </c>
      <c r="C368" s="1" t="n">
        <v>45831</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63400-2021</t>
        </is>
      </c>
      <c r="B369" s="1" t="n">
        <v>44508</v>
      </c>
      <c r="C369" s="1" t="n">
        <v>45831</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63405-2021</t>
        </is>
      </c>
      <c r="B370" s="1" t="n">
        <v>44508</v>
      </c>
      <c r="C370" s="1" t="n">
        <v>45831</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67982-2021</t>
        </is>
      </c>
      <c r="B371" s="1" t="n">
        <v>44525</v>
      </c>
      <c r="C371" s="1" t="n">
        <v>45831</v>
      </c>
      <c r="D371" t="inlineStr">
        <is>
          <t>UPPSALA LÄN</t>
        </is>
      </c>
      <c r="E371" t="inlineStr">
        <is>
          <t>ENKÖPING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67984-2021</t>
        </is>
      </c>
      <c r="B372" s="1" t="n">
        <v>44525</v>
      </c>
      <c r="C372" s="1" t="n">
        <v>45831</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68118-2021</t>
        </is>
      </c>
      <c r="B373" s="1" t="n">
        <v>44526</v>
      </c>
      <c r="C373" s="1" t="n">
        <v>45831</v>
      </c>
      <c r="D373" t="inlineStr">
        <is>
          <t>UPPSALA LÄN</t>
        </is>
      </c>
      <c r="E373" t="inlineStr">
        <is>
          <t>ENKÖPING</t>
        </is>
      </c>
      <c r="G373" t="n">
        <v>4.7</v>
      </c>
      <c r="H373" t="n">
        <v>0</v>
      </c>
      <c r="I373" t="n">
        <v>0</v>
      </c>
      <c r="J373" t="n">
        <v>0</v>
      </c>
      <c r="K373" t="n">
        <v>0</v>
      </c>
      <c r="L373" t="n">
        <v>0</v>
      </c>
      <c r="M373" t="n">
        <v>0</v>
      </c>
      <c r="N373" t="n">
        <v>0</v>
      </c>
      <c r="O373" t="n">
        <v>0</v>
      </c>
      <c r="P373" t="n">
        <v>0</v>
      </c>
      <c r="Q373" t="n">
        <v>0</v>
      </c>
      <c r="R373" s="2" t="inlineStr"/>
    </row>
    <row r="374" ht="15" customHeight="1">
      <c r="A374" t="inlineStr">
        <is>
          <t>A 68127-2021</t>
        </is>
      </c>
      <c r="B374" s="1" t="n">
        <v>44526</v>
      </c>
      <c r="C374" s="1" t="n">
        <v>45831</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68107-2021</t>
        </is>
      </c>
      <c r="B375" s="1" t="n">
        <v>44526</v>
      </c>
      <c r="C375" s="1" t="n">
        <v>45831</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68130-2021</t>
        </is>
      </c>
      <c r="B376" s="1" t="n">
        <v>44526</v>
      </c>
      <c r="C376" s="1" t="n">
        <v>45831</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68123-2021</t>
        </is>
      </c>
      <c r="B377" s="1" t="n">
        <v>44526</v>
      </c>
      <c r="C377" s="1" t="n">
        <v>45831</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69344-2021</t>
        </is>
      </c>
      <c r="B378" s="1" t="n">
        <v>44531</v>
      </c>
      <c r="C378" s="1" t="n">
        <v>45831</v>
      </c>
      <c r="D378" t="inlineStr">
        <is>
          <t>UPPSALA LÄN</t>
        </is>
      </c>
      <c r="E378" t="inlineStr">
        <is>
          <t>ENKÖPING</t>
        </is>
      </c>
      <c r="G378" t="n">
        <v>2.9</v>
      </c>
      <c r="H378" t="n">
        <v>0</v>
      </c>
      <c r="I378" t="n">
        <v>0</v>
      </c>
      <c r="J378" t="n">
        <v>0</v>
      </c>
      <c r="K378" t="n">
        <v>0</v>
      </c>
      <c r="L378" t="n">
        <v>0</v>
      </c>
      <c r="M378" t="n">
        <v>0</v>
      </c>
      <c r="N378" t="n">
        <v>0</v>
      </c>
      <c r="O378" t="n">
        <v>0</v>
      </c>
      <c r="P378" t="n">
        <v>0</v>
      </c>
      <c r="Q378" t="n">
        <v>0</v>
      </c>
      <c r="R378" s="2" t="inlineStr"/>
    </row>
    <row r="379" ht="15" customHeight="1">
      <c r="A379" t="inlineStr">
        <is>
          <t>A 69791-2021</t>
        </is>
      </c>
      <c r="B379" s="1" t="n">
        <v>44532</v>
      </c>
      <c r="C379" s="1" t="n">
        <v>45831</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69794-2021</t>
        </is>
      </c>
      <c r="B380" s="1" t="n">
        <v>44532</v>
      </c>
      <c r="C380" s="1" t="n">
        <v>45831</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69879-2021</t>
        </is>
      </c>
      <c r="B381" s="1" t="n">
        <v>44532</v>
      </c>
      <c r="C381" s="1" t="n">
        <v>45831</v>
      </c>
      <c r="D381" t="inlineStr">
        <is>
          <t>UPPSALA LÄN</t>
        </is>
      </c>
      <c r="E381" t="inlineStr">
        <is>
          <t>ENKÖPING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71641-2021</t>
        </is>
      </c>
      <c r="B382" s="1" t="n">
        <v>44543</v>
      </c>
      <c r="C382" s="1" t="n">
        <v>45831</v>
      </c>
      <c r="D382" t="inlineStr">
        <is>
          <t>UPPSALA LÄN</t>
        </is>
      </c>
      <c r="E382" t="inlineStr">
        <is>
          <t>ENKÖPING</t>
        </is>
      </c>
      <c r="G382" t="n">
        <v>3</v>
      </c>
      <c r="H382" t="n">
        <v>0</v>
      </c>
      <c r="I382" t="n">
        <v>0</v>
      </c>
      <c r="J382" t="n">
        <v>0</v>
      </c>
      <c r="K382" t="n">
        <v>0</v>
      </c>
      <c r="L382" t="n">
        <v>0</v>
      </c>
      <c r="M382" t="n">
        <v>0</v>
      </c>
      <c r="N382" t="n">
        <v>0</v>
      </c>
      <c r="O382" t="n">
        <v>0</v>
      </c>
      <c r="P382" t="n">
        <v>0</v>
      </c>
      <c r="Q382" t="n">
        <v>0</v>
      </c>
      <c r="R382" s="2" t="inlineStr"/>
    </row>
    <row r="383" ht="15" customHeight="1">
      <c r="A383" t="inlineStr">
        <is>
          <t>A 72628-2021</t>
        </is>
      </c>
      <c r="B383" s="1" t="n">
        <v>44546</v>
      </c>
      <c r="C383" s="1" t="n">
        <v>45831</v>
      </c>
      <c r="D383" t="inlineStr">
        <is>
          <t>UPPSALA LÄN</t>
        </is>
      </c>
      <c r="E383" t="inlineStr">
        <is>
          <t>ENKÖPING</t>
        </is>
      </c>
      <c r="F383" t="inlineStr">
        <is>
          <t>Allmännings- och besparingsskogar</t>
        </is>
      </c>
      <c r="G383" t="n">
        <v>7.1</v>
      </c>
      <c r="H383" t="n">
        <v>0</v>
      </c>
      <c r="I383" t="n">
        <v>0</v>
      </c>
      <c r="J383" t="n">
        <v>0</v>
      </c>
      <c r="K383" t="n">
        <v>0</v>
      </c>
      <c r="L383" t="n">
        <v>0</v>
      </c>
      <c r="M383" t="n">
        <v>0</v>
      </c>
      <c r="N383" t="n">
        <v>0</v>
      </c>
      <c r="O383" t="n">
        <v>0</v>
      </c>
      <c r="P383" t="n">
        <v>0</v>
      </c>
      <c r="Q383" t="n">
        <v>0</v>
      </c>
      <c r="R383" s="2" t="inlineStr"/>
    </row>
    <row r="384" ht="15" customHeight="1">
      <c r="A384" t="inlineStr">
        <is>
          <t>A 72840-2021</t>
        </is>
      </c>
      <c r="B384" s="1" t="n">
        <v>44547</v>
      </c>
      <c r="C384" s="1" t="n">
        <v>45831</v>
      </c>
      <c r="D384" t="inlineStr">
        <is>
          <t>UPPSALA LÄN</t>
        </is>
      </c>
      <c r="E384" t="inlineStr">
        <is>
          <t>ENKÖPING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74090-2021</t>
        </is>
      </c>
      <c r="B385" s="1" t="n">
        <v>44557</v>
      </c>
      <c r="C385" s="1" t="n">
        <v>45831</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498-2022</t>
        </is>
      </c>
      <c r="B386" s="1" t="n">
        <v>44566</v>
      </c>
      <c r="C386" s="1" t="n">
        <v>45831</v>
      </c>
      <c r="D386" t="inlineStr">
        <is>
          <t>UPPSALA LÄN</t>
        </is>
      </c>
      <c r="E386" t="inlineStr">
        <is>
          <t>ENKÖPING</t>
        </is>
      </c>
      <c r="F386" t="inlineStr">
        <is>
          <t>Övriga statliga verk och myndigheter</t>
        </is>
      </c>
      <c r="G386" t="n">
        <v>11.1</v>
      </c>
      <c r="H386" t="n">
        <v>0</v>
      </c>
      <c r="I386" t="n">
        <v>0</v>
      </c>
      <c r="J386" t="n">
        <v>0</v>
      </c>
      <c r="K386" t="n">
        <v>0</v>
      </c>
      <c r="L386" t="n">
        <v>0</v>
      </c>
      <c r="M386" t="n">
        <v>0</v>
      </c>
      <c r="N386" t="n">
        <v>0</v>
      </c>
      <c r="O386" t="n">
        <v>0</v>
      </c>
      <c r="P386" t="n">
        <v>0</v>
      </c>
      <c r="Q386" t="n">
        <v>0</v>
      </c>
      <c r="R386" s="2" t="inlineStr"/>
    </row>
    <row r="387" ht="15" customHeight="1">
      <c r="A387" t="inlineStr">
        <is>
          <t>A 671-2022</t>
        </is>
      </c>
      <c r="B387" s="1" t="n">
        <v>44568</v>
      </c>
      <c r="C387" s="1" t="n">
        <v>45831</v>
      </c>
      <c r="D387" t="inlineStr">
        <is>
          <t>UPPSALA LÄN</t>
        </is>
      </c>
      <c r="E387" t="inlineStr">
        <is>
          <t>ENKÖPING</t>
        </is>
      </c>
      <c r="G387" t="n">
        <v>3.5</v>
      </c>
      <c r="H387" t="n">
        <v>0</v>
      </c>
      <c r="I387" t="n">
        <v>0</v>
      </c>
      <c r="J387" t="n">
        <v>0</v>
      </c>
      <c r="K387" t="n">
        <v>0</v>
      </c>
      <c r="L387" t="n">
        <v>0</v>
      </c>
      <c r="M387" t="n">
        <v>0</v>
      </c>
      <c r="N387" t="n">
        <v>0</v>
      </c>
      <c r="O387" t="n">
        <v>0</v>
      </c>
      <c r="P387" t="n">
        <v>0</v>
      </c>
      <c r="Q387" t="n">
        <v>0</v>
      </c>
      <c r="R387" s="2" t="inlineStr"/>
    </row>
    <row r="388" ht="15" customHeight="1">
      <c r="A388" t="inlineStr">
        <is>
          <t>A 1971-2022</t>
        </is>
      </c>
      <c r="B388" s="1" t="n">
        <v>44575</v>
      </c>
      <c r="C388" s="1" t="n">
        <v>45831</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1962-2022</t>
        </is>
      </c>
      <c r="B389" s="1" t="n">
        <v>44575</v>
      </c>
      <c r="C389" s="1" t="n">
        <v>45831</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1979-2022</t>
        </is>
      </c>
      <c r="B390" s="1" t="n">
        <v>44575</v>
      </c>
      <c r="C390" s="1" t="n">
        <v>45831</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1992-2022</t>
        </is>
      </c>
      <c r="B391" s="1" t="n">
        <v>44575</v>
      </c>
      <c r="C391" s="1" t="n">
        <v>45831</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1960-2022</t>
        </is>
      </c>
      <c r="B392" s="1" t="n">
        <v>44575</v>
      </c>
      <c r="C392" s="1" t="n">
        <v>45831</v>
      </c>
      <c r="D392" t="inlineStr">
        <is>
          <t>UPPSALA LÄN</t>
        </is>
      </c>
      <c r="E392" t="inlineStr">
        <is>
          <t>ENKÖPING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1965-2022</t>
        </is>
      </c>
      <c r="B393" s="1" t="n">
        <v>44575</v>
      </c>
      <c r="C393" s="1" t="n">
        <v>45831</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2680-2022</t>
        </is>
      </c>
      <c r="B394" s="1" t="n">
        <v>44580</v>
      </c>
      <c r="C394" s="1" t="n">
        <v>45831</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3861-2022</t>
        </is>
      </c>
      <c r="B395" s="1" t="n">
        <v>44587</v>
      </c>
      <c r="C395" s="1" t="n">
        <v>45831</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4170-2022</t>
        </is>
      </c>
      <c r="B396" s="1" t="n">
        <v>44588</v>
      </c>
      <c r="C396" s="1" t="n">
        <v>45831</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5188-2022</t>
        </is>
      </c>
      <c r="B397" s="1" t="n">
        <v>44594</v>
      </c>
      <c r="C397" s="1" t="n">
        <v>45831</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5526-2022</t>
        </is>
      </c>
      <c r="B398" s="1" t="n">
        <v>44595</v>
      </c>
      <c r="C398" s="1" t="n">
        <v>45831</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6356-2022</t>
        </is>
      </c>
      <c r="B399" s="1" t="n">
        <v>44600</v>
      </c>
      <c r="C399" s="1" t="n">
        <v>45831</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7090-2022</t>
        </is>
      </c>
      <c r="B400" s="1" t="n">
        <v>44603</v>
      </c>
      <c r="C400" s="1" t="n">
        <v>45831</v>
      </c>
      <c r="D400" t="inlineStr">
        <is>
          <t>UPPSALA LÄN</t>
        </is>
      </c>
      <c r="E400" t="inlineStr">
        <is>
          <t>ENKÖPING</t>
        </is>
      </c>
      <c r="G400" t="n">
        <v>2.8</v>
      </c>
      <c r="H400" t="n">
        <v>0</v>
      </c>
      <c r="I400" t="n">
        <v>0</v>
      </c>
      <c r="J400" t="n">
        <v>0</v>
      </c>
      <c r="K400" t="n">
        <v>0</v>
      </c>
      <c r="L400" t="n">
        <v>0</v>
      </c>
      <c r="M400" t="n">
        <v>0</v>
      </c>
      <c r="N400" t="n">
        <v>0</v>
      </c>
      <c r="O400" t="n">
        <v>0</v>
      </c>
      <c r="P400" t="n">
        <v>0</v>
      </c>
      <c r="Q400" t="n">
        <v>0</v>
      </c>
      <c r="R400" s="2" t="inlineStr"/>
    </row>
    <row r="401" ht="15" customHeight="1">
      <c r="A401" t="inlineStr">
        <is>
          <t>A 7284-2022</t>
        </is>
      </c>
      <c r="B401" s="1" t="n">
        <v>44606</v>
      </c>
      <c r="C401" s="1" t="n">
        <v>45831</v>
      </c>
      <c r="D401" t="inlineStr">
        <is>
          <t>UPPSALA LÄN</t>
        </is>
      </c>
      <c r="E401" t="inlineStr">
        <is>
          <t>ENKÖPING</t>
        </is>
      </c>
      <c r="G401" t="n">
        <v>6.4</v>
      </c>
      <c r="H401" t="n">
        <v>0</v>
      </c>
      <c r="I401" t="n">
        <v>0</v>
      </c>
      <c r="J401" t="n">
        <v>0</v>
      </c>
      <c r="K401" t="n">
        <v>0</v>
      </c>
      <c r="L401" t="n">
        <v>0</v>
      </c>
      <c r="M401" t="n">
        <v>0</v>
      </c>
      <c r="N401" t="n">
        <v>0</v>
      </c>
      <c r="O401" t="n">
        <v>0</v>
      </c>
      <c r="P401" t="n">
        <v>0</v>
      </c>
      <c r="Q401" t="n">
        <v>0</v>
      </c>
      <c r="R401" s="2" t="inlineStr"/>
    </row>
    <row r="402" ht="15" customHeight="1">
      <c r="A402" t="inlineStr">
        <is>
          <t>A 7463-2022</t>
        </is>
      </c>
      <c r="B402" s="1" t="n">
        <v>44607</v>
      </c>
      <c r="C402" s="1" t="n">
        <v>45831</v>
      </c>
      <c r="D402" t="inlineStr">
        <is>
          <t>UPPSALA LÄN</t>
        </is>
      </c>
      <c r="E402" t="inlineStr">
        <is>
          <t>ENKÖPING</t>
        </is>
      </c>
      <c r="F402" t="inlineStr">
        <is>
          <t>Övriga statliga verk och myndigheter</t>
        </is>
      </c>
      <c r="G402" t="n">
        <v>2.1</v>
      </c>
      <c r="H402" t="n">
        <v>0</v>
      </c>
      <c r="I402" t="n">
        <v>0</v>
      </c>
      <c r="J402" t="n">
        <v>0</v>
      </c>
      <c r="K402" t="n">
        <v>0</v>
      </c>
      <c r="L402" t="n">
        <v>0</v>
      </c>
      <c r="M402" t="n">
        <v>0</v>
      </c>
      <c r="N402" t="n">
        <v>0</v>
      </c>
      <c r="O402" t="n">
        <v>0</v>
      </c>
      <c r="P402" t="n">
        <v>0</v>
      </c>
      <c r="Q402" t="n">
        <v>0</v>
      </c>
      <c r="R402" s="2" t="inlineStr"/>
    </row>
    <row r="403" ht="15" customHeight="1">
      <c r="A403" t="inlineStr">
        <is>
          <t>A 8020-2022</t>
        </is>
      </c>
      <c r="B403" s="1" t="n">
        <v>44609</v>
      </c>
      <c r="C403" s="1" t="n">
        <v>45831</v>
      </c>
      <c r="D403" t="inlineStr">
        <is>
          <t>UPPSALA LÄN</t>
        </is>
      </c>
      <c r="E403" t="inlineStr">
        <is>
          <t>ENKÖPING</t>
        </is>
      </c>
      <c r="G403" t="n">
        <v>6</v>
      </c>
      <c r="H403" t="n">
        <v>0</v>
      </c>
      <c r="I403" t="n">
        <v>0</v>
      </c>
      <c r="J403" t="n">
        <v>0</v>
      </c>
      <c r="K403" t="n">
        <v>0</v>
      </c>
      <c r="L403" t="n">
        <v>0</v>
      </c>
      <c r="M403" t="n">
        <v>0</v>
      </c>
      <c r="N403" t="n">
        <v>0</v>
      </c>
      <c r="O403" t="n">
        <v>0</v>
      </c>
      <c r="P403" t="n">
        <v>0</v>
      </c>
      <c r="Q403" t="n">
        <v>0</v>
      </c>
      <c r="R403" s="2" t="inlineStr"/>
    </row>
    <row r="404" ht="15" customHeight="1">
      <c r="A404" t="inlineStr">
        <is>
          <t>A 8152-2022</t>
        </is>
      </c>
      <c r="B404" s="1" t="n">
        <v>44609</v>
      </c>
      <c r="C404" s="1" t="n">
        <v>45831</v>
      </c>
      <c r="D404" t="inlineStr">
        <is>
          <t>UPPSALA LÄN</t>
        </is>
      </c>
      <c r="E404" t="inlineStr">
        <is>
          <t>ENKÖPING</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10202-2022</t>
        </is>
      </c>
      <c r="B405" s="1" t="n">
        <v>44622</v>
      </c>
      <c r="C405" s="1" t="n">
        <v>45831</v>
      </c>
      <c r="D405" t="inlineStr">
        <is>
          <t>UPPSALA LÄN</t>
        </is>
      </c>
      <c r="E405" t="inlineStr">
        <is>
          <t>ENKÖPING</t>
        </is>
      </c>
      <c r="G405" t="n">
        <v>5.6</v>
      </c>
      <c r="H405" t="n">
        <v>0</v>
      </c>
      <c r="I405" t="n">
        <v>0</v>
      </c>
      <c r="J405" t="n">
        <v>0</v>
      </c>
      <c r="K405" t="n">
        <v>0</v>
      </c>
      <c r="L405" t="n">
        <v>0</v>
      </c>
      <c r="M405" t="n">
        <v>0</v>
      </c>
      <c r="N405" t="n">
        <v>0</v>
      </c>
      <c r="O405" t="n">
        <v>0</v>
      </c>
      <c r="P405" t="n">
        <v>0</v>
      </c>
      <c r="Q405" t="n">
        <v>0</v>
      </c>
      <c r="R405" s="2" t="inlineStr"/>
    </row>
    <row r="406" ht="15" customHeight="1">
      <c r="A406" t="inlineStr">
        <is>
          <t>A 10207-2022</t>
        </is>
      </c>
      <c r="B406" s="1" t="n">
        <v>44622</v>
      </c>
      <c r="C406" s="1" t="n">
        <v>45831</v>
      </c>
      <c r="D406" t="inlineStr">
        <is>
          <t>UPPSALA LÄN</t>
        </is>
      </c>
      <c r="E406" t="inlineStr">
        <is>
          <t>ENKÖPING</t>
        </is>
      </c>
      <c r="G406" t="n">
        <v>4.9</v>
      </c>
      <c r="H406" t="n">
        <v>0</v>
      </c>
      <c r="I406" t="n">
        <v>0</v>
      </c>
      <c r="J406" t="n">
        <v>0</v>
      </c>
      <c r="K406" t="n">
        <v>0</v>
      </c>
      <c r="L406" t="n">
        <v>0</v>
      </c>
      <c r="M406" t="n">
        <v>0</v>
      </c>
      <c r="N406" t="n">
        <v>0</v>
      </c>
      <c r="O406" t="n">
        <v>0</v>
      </c>
      <c r="P406" t="n">
        <v>0</v>
      </c>
      <c r="Q406" t="n">
        <v>0</v>
      </c>
      <c r="R406" s="2" t="inlineStr"/>
    </row>
    <row r="407" ht="15" customHeight="1">
      <c r="A407" t="inlineStr">
        <is>
          <t>A 10458-2022</t>
        </is>
      </c>
      <c r="B407" s="1" t="n">
        <v>44623</v>
      </c>
      <c r="C407" s="1" t="n">
        <v>45831</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10465-2022</t>
        </is>
      </c>
      <c r="B408" s="1" t="n">
        <v>44623</v>
      </c>
      <c r="C408" s="1" t="n">
        <v>45831</v>
      </c>
      <c r="D408" t="inlineStr">
        <is>
          <t>UPPSALA LÄN</t>
        </is>
      </c>
      <c r="E408" t="inlineStr">
        <is>
          <t>ENKÖPING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14531-2022</t>
        </is>
      </c>
      <c r="B409" s="1" t="n">
        <v>44655</v>
      </c>
      <c r="C409" s="1" t="n">
        <v>45831</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15021-2022</t>
        </is>
      </c>
      <c r="B410" s="1" t="n">
        <v>44657</v>
      </c>
      <c r="C410" s="1" t="n">
        <v>45831</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15924-2022</t>
        </is>
      </c>
      <c r="B411" s="1" t="n">
        <v>44664</v>
      </c>
      <c r="C411" s="1" t="n">
        <v>45831</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15942-2022</t>
        </is>
      </c>
      <c r="B412" s="1" t="n">
        <v>44664</v>
      </c>
      <c r="C412" s="1" t="n">
        <v>45831</v>
      </c>
      <c r="D412" t="inlineStr">
        <is>
          <t>UPPSALA LÄN</t>
        </is>
      </c>
      <c r="E412" t="inlineStr">
        <is>
          <t>ENKÖPING</t>
        </is>
      </c>
      <c r="G412" t="n">
        <v>6.6</v>
      </c>
      <c r="H412" t="n">
        <v>0</v>
      </c>
      <c r="I412" t="n">
        <v>0</v>
      </c>
      <c r="J412" t="n">
        <v>0</v>
      </c>
      <c r="K412" t="n">
        <v>0</v>
      </c>
      <c r="L412" t="n">
        <v>0</v>
      </c>
      <c r="M412" t="n">
        <v>0</v>
      </c>
      <c r="N412" t="n">
        <v>0</v>
      </c>
      <c r="O412" t="n">
        <v>0</v>
      </c>
      <c r="P412" t="n">
        <v>0</v>
      </c>
      <c r="Q412" t="n">
        <v>0</v>
      </c>
      <c r="R412" s="2" t="inlineStr"/>
    </row>
    <row r="413" ht="15" customHeight="1">
      <c r="A413" t="inlineStr">
        <is>
          <t>A 15943-2022</t>
        </is>
      </c>
      <c r="B413" s="1" t="n">
        <v>44664</v>
      </c>
      <c r="C413" s="1" t="n">
        <v>45831</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15939-2022</t>
        </is>
      </c>
      <c r="B414" s="1" t="n">
        <v>44664</v>
      </c>
      <c r="C414" s="1" t="n">
        <v>45831</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16916-2022</t>
        </is>
      </c>
      <c r="B415" s="1" t="n">
        <v>44676</v>
      </c>
      <c r="C415" s="1" t="n">
        <v>45831</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16967-2022</t>
        </is>
      </c>
      <c r="B416" s="1" t="n">
        <v>44676</v>
      </c>
      <c r="C416" s="1" t="n">
        <v>45831</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17298-2022</t>
        </is>
      </c>
      <c r="B417" s="1" t="n">
        <v>44678</v>
      </c>
      <c r="C417" s="1" t="n">
        <v>45831</v>
      </c>
      <c r="D417" t="inlineStr">
        <is>
          <t>UPPSALA LÄN</t>
        </is>
      </c>
      <c r="E417" t="inlineStr">
        <is>
          <t>ENKÖPING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17465-2022</t>
        </is>
      </c>
      <c r="B418" s="1" t="n">
        <v>44679</v>
      </c>
      <c r="C418" s="1" t="n">
        <v>45831</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17467-2022</t>
        </is>
      </c>
      <c r="B419" s="1" t="n">
        <v>44679</v>
      </c>
      <c r="C419" s="1" t="n">
        <v>45831</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17453-2022</t>
        </is>
      </c>
      <c r="B420" s="1" t="n">
        <v>44679</v>
      </c>
      <c r="C420" s="1" t="n">
        <v>45831</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17719-2022</t>
        </is>
      </c>
      <c r="B421" s="1" t="n">
        <v>44680</v>
      </c>
      <c r="C421" s="1" t="n">
        <v>45831</v>
      </c>
      <c r="D421" t="inlineStr">
        <is>
          <t>UPPSALA LÄN</t>
        </is>
      </c>
      <c r="E421" t="inlineStr">
        <is>
          <t>ENKÖPING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17704-2022</t>
        </is>
      </c>
      <c r="B422" s="1" t="n">
        <v>44680</v>
      </c>
      <c r="C422" s="1" t="n">
        <v>45831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18785-2022</t>
        </is>
      </c>
      <c r="B423" s="1" t="n">
        <v>44687</v>
      </c>
      <c r="C423" s="1" t="n">
        <v>45831</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19487-2022</t>
        </is>
      </c>
      <c r="B424" s="1" t="n">
        <v>44693</v>
      </c>
      <c r="C424" s="1" t="n">
        <v>45831</v>
      </c>
      <c r="D424" t="inlineStr">
        <is>
          <t>UPPSALA LÄN</t>
        </is>
      </c>
      <c r="E424" t="inlineStr">
        <is>
          <t>ENKÖPING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19488-2022</t>
        </is>
      </c>
      <c r="B425" s="1" t="n">
        <v>44693</v>
      </c>
      <c r="C425" s="1" t="n">
        <v>45831</v>
      </c>
      <c r="D425" t="inlineStr">
        <is>
          <t>UPPSALA LÄN</t>
        </is>
      </c>
      <c r="E425" t="inlineStr">
        <is>
          <t>ENKÖPING</t>
        </is>
      </c>
      <c r="G425" t="n">
        <v>7.8</v>
      </c>
      <c r="H425" t="n">
        <v>0</v>
      </c>
      <c r="I425" t="n">
        <v>0</v>
      </c>
      <c r="J425" t="n">
        <v>0</v>
      </c>
      <c r="K425" t="n">
        <v>0</v>
      </c>
      <c r="L425" t="n">
        <v>0</v>
      </c>
      <c r="M425" t="n">
        <v>0</v>
      </c>
      <c r="N425" t="n">
        <v>0</v>
      </c>
      <c r="O425" t="n">
        <v>0</v>
      </c>
      <c r="P425" t="n">
        <v>0</v>
      </c>
      <c r="Q425" t="n">
        <v>0</v>
      </c>
      <c r="R425" s="2" t="inlineStr"/>
    </row>
    <row r="426" ht="15" customHeight="1">
      <c r="A426" t="inlineStr">
        <is>
          <t>A 19731-2022</t>
        </is>
      </c>
      <c r="B426" s="1" t="n">
        <v>44694</v>
      </c>
      <c r="C426" s="1" t="n">
        <v>45831</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19965-2022</t>
        </is>
      </c>
      <c r="B427" s="1" t="n">
        <v>44697</v>
      </c>
      <c r="C427" s="1" t="n">
        <v>45831</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20321-2022</t>
        </is>
      </c>
      <c r="B428" s="1" t="n">
        <v>44699</v>
      </c>
      <c r="C428" s="1" t="n">
        <v>45831</v>
      </c>
      <c r="D428" t="inlineStr">
        <is>
          <t>UPPSALA LÄN</t>
        </is>
      </c>
      <c r="E428" t="inlineStr">
        <is>
          <t>ENKÖPING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23307-2022</t>
        </is>
      </c>
      <c r="B429" s="1" t="n">
        <v>44720</v>
      </c>
      <c r="C429" s="1" t="n">
        <v>45831</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24141-2022</t>
        </is>
      </c>
      <c r="B430" s="1" t="n">
        <v>44725</v>
      </c>
      <c r="C430" s="1" t="n">
        <v>45831</v>
      </c>
      <c r="D430" t="inlineStr">
        <is>
          <t>UPPSALA LÄN</t>
        </is>
      </c>
      <c r="E430" t="inlineStr">
        <is>
          <t>ENKÖPING</t>
        </is>
      </c>
      <c r="G430" t="n">
        <v>5.2</v>
      </c>
      <c r="H430" t="n">
        <v>0</v>
      </c>
      <c r="I430" t="n">
        <v>0</v>
      </c>
      <c r="J430" t="n">
        <v>0</v>
      </c>
      <c r="K430" t="n">
        <v>0</v>
      </c>
      <c r="L430" t="n">
        <v>0</v>
      </c>
      <c r="M430" t="n">
        <v>0</v>
      </c>
      <c r="N430" t="n">
        <v>0</v>
      </c>
      <c r="O430" t="n">
        <v>0</v>
      </c>
      <c r="P430" t="n">
        <v>0</v>
      </c>
      <c r="Q430" t="n">
        <v>0</v>
      </c>
      <c r="R430" s="2" t="inlineStr"/>
    </row>
    <row r="431" ht="15" customHeight="1">
      <c r="A431" t="inlineStr">
        <is>
          <t>A 24815-2022</t>
        </is>
      </c>
      <c r="B431" s="1" t="n">
        <v>44728</v>
      </c>
      <c r="C431" s="1" t="n">
        <v>45831</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24883-2022</t>
        </is>
      </c>
      <c r="B432" s="1" t="n">
        <v>44728</v>
      </c>
      <c r="C432" s="1" t="n">
        <v>45831</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26292-2022</t>
        </is>
      </c>
      <c r="B433" s="1" t="n">
        <v>44735</v>
      </c>
      <c r="C433" s="1" t="n">
        <v>45831</v>
      </c>
      <c r="D433" t="inlineStr">
        <is>
          <t>UPPSALA LÄN</t>
        </is>
      </c>
      <c r="E433" t="inlineStr">
        <is>
          <t>ENKÖPING</t>
        </is>
      </c>
      <c r="F433" t="inlineStr">
        <is>
          <t>Kyrkan</t>
        </is>
      </c>
      <c r="G433" t="n">
        <v>4.6</v>
      </c>
      <c r="H433" t="n">
        <v>0</v>
      </c>
      <c r="I433" t="n">
        <v>0</v>
      </c>
      <c r="J433" t="n">
        <v>0</v>
      </c>
      <c r="K433" t="n">
        <v>0</v>
      </c>
      <c r="L433" t="n">
        <v>0</v>
      </c>
      <c r="M433" t="n">
        <v>0</v>
      </c>
      <c r="N433" t="n">
        <v>0</v>
      </c>
      <c r="O433" t="n">
        <v>0</v>
      </c>
      <c r="P433" t="n">
        <v>0</v>
      </c>
      <c r="Q433" t="n">
        <v>0</v>
      </c>
      <c r="R433" s="2" t="inlineStr"/>
    </row>
    <row r="434" ht="15" customHeight="1">
      <c r="A434" t="inlineStr">
        <is>
          <t>A 26319-2022</t>
        </is>
      </c>
      <c r="B434" s="1" t="n">
        <v>44735</v>
      </c>
      <c r="C434" s="1" t="n">
        <v>45831</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29479-2022</t>
        </is>
      </c>
      <c r="B435" s="1" t="n">
        <v>44753</v>
      </c>
      <c r="C435" s="1" t="n">
        <v>45831</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29484-2022</t>
        </is>
      </c>
      <c r="B436" s="1" t="n">
        <v>44753</v>
      </c>
      <c r="C436" s="1" t="n">
        <v>45831</v>
      </c>
      <c r="D436" t="inlineStr">
        <is>
          <t>UPPSALA LÄN</t>
        </is>
      </c>
      <c r="E436" t="inlineStr">
        <is>
          <t>ENKÖPING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29435-2022</t>
        </is>
      </c>
      <c r="B437" s="1" t="n">
        <v>44753</v>
      </c>
      <c r="C437" s="1" t="n">
        <v>45831</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29483-2022</t>
        </is>
      </c>
      <c r="B438" s="1" t="n">
        <v>44753</v>
      </c>
      <c r="C438" s="1" t="n">
        <v>45831</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29475-2022</t>
        </is>
      </c>
      <c r="B439" s="1" t="n">
        <v>44753</v>
      </c>
      <c r="C439" s="1" t="n">
        <v>45831</v>
      </c>
      <c r="D439" t="inlineStr">
        <is>
          <t>UPPSALA LÄN</t>
        </is>
      </c>
      <c r="E439" t="inlineStr">
        <is>
          <t>ENKÖPING</t>
        </is>
      </c>
      <c r="G439" t="n">
        <v>6.9</v>
      </c>
      <c r="H439" t="n">
        <v>0</v>
      </c>
      <c r="I439" t="n">
        <v>0</v>
      </c>
      <c r="J439" t="n">
        <v>0</v>
      </c>
      <c r="K439" t="n">
        <v>0</v>
      </c>
      <c r="L439" t="n">
        <v>0</v>
      </c>
      <c r="M439" t="n">
        <v>0</v>
      </c>
      <c r="N439" t="n">
        <v>0</v>
      </c>
      <c r="O439" t="n">
        <v>0</v>
      </c>
      <c r="P439" t="n">
        <v>0</v>
      </c>
      <c r="Q439" t="n">
        <v>0</v>
      </c>
      <c r="R439" s="2" t="inlineStr"/>
    </row>
    <row r="440" ht="15" customHeight="1">
      <c r="A440" t="inlineStr">
        <is>
          <t>A 29425-2022</t>
        </is>
      </c>
      <c r="B440" s="1" t="n">
        <v>44753</v>
      </c>
      <c r="C440" s="1" t="n">
        <v>45831</v>
      </c>
      <c r="D440" t="inlineStr">
        <is>
          <t>UPPSALA LÄN</t>
        </is>
      </c>
      <c r="E440" t="inlineStr">
        <is>
          <t>ENKÖPING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29433-2022</t>
        </is>
      </c>
      <c r="B441" s="1" t="n">
        <v>44753</v>
      </c>
      <c r="C441" s="1" t="n">
        <v>45831</v>
      </c>
      <c r="D441" t="inlineStr">
        <is>
          <t>UPPSALA LÄN</t>
        </is>
      </c>
      <c r="E441" t="inlineStr">
        <is>
          <t>ENKÖPING</t>
        </is>
      </c>
      <c r="G441" t="n">
        <v>4.3</v>
      </c>
      <c r="H441" t="n">
        <v>0</v>
      </c>
      <c r="I441" t="n">
        <v>0</v>
      </c>
      <c r="J441" t="n">
        <v>0</v>
      </c>
      <c r="K441" t="n">
        <v>0</v>
      </c>
      <c r="L441" t="n">
        <v>0</v>
      </c>
      <c r="M441" t="n">
        <v>0</v>
      </c>
      <c r="N441" t="n">
        <v>0</v>
      </c>
      <c r="O441" t="n">
        <v>0</v>
      </c>
      <c r="P441" t="n">
        <v>0</v>
      </c>
      <c r="Q441" t="n">
        <v>0</v>
      </c>
      <c r="R441" s="2" t="inlineStr"/>
    </row>
    <row r="442" ht="15" customHeight="1">
      <c r="A442" t="inlineStr">
        <is>
          <t>A 29482-2022</t>
        </is>
      </c>
      <c r="B442" s="1" t="n">
        <v>44753</v>
      </c>
      <c r="C442" s="1" t="n">
        <v>45831</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30437-2022</t>
        </is>
      </c>
      <c r="B443" s="1" t="n">
        <v>44761</v>
      </c>
      <c r="C443" s="1" t="n">
        <v>45831</v>
      </c>
      <c r="D443" t="inlineStr">
        <is>
          <t>UPPSALA LÄN</t>
        </is>
      </c>
      <c r="E443" t="inlineStr">
        <is>
          <t>ENKÖPING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30634-2022</t>
        </is>
      </c>
      <c r="B444" s="1" t="n">
        <v>44763</v>
      </c>
      <c r="C444" s="1" t="n">
        <v>45831</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31013-2022</t>
        </is>
      </c>
      <c r="B445" s="1" t="n">
        <v>44768</v>
      </c>
      <c r="C445" s="1" t="n">
        <v>45831</v>
      </c>
      <c r="D445" t="inlineStr">
        <is>
          <t>UPPSALA LÄN</t>
        </is>
      </c>
      <c r="E445" t="inlineStr">
        <is>
          <t>ENKÖPING</t>
        </is>
      </c>
      <c r="F445" t="inlineStr">
        <is>
          <t>Allmännings- och besparingsskogar</t>
        </is>
      </c>
      <c r="G445" t="n">
        <v>0.5</v>
      </c>
      <c r="H445" t="n">
        <v>0</v>
      </c>
      <c r="I445" t="n">
        <v>0</v>
      </c>
      <c r="J445" t="n">
        <v>0</v>
      </c>
      <c r="K445" t="n">
        <v>0</v>
      </c>
      <c r="L445" t="n">
        <v>0</v>
      </c>
      <c r="M445" t="n">
        <v>0</v>
      </c>
      <c r="N445" t="n">
        <v>0</v>
      </c>
      <c r="O445" t="n">
        <v>0</v>
      </c>
      <c r="P445" t="n">
        <v>0</v>
      </c>
      <c r="Q445" t="n">
        <v>0</v>
      </c>
      <c r="R445" s="2" t="inlineStr"/>
    </row>
    <row r="446" ht="15" customHeight="1">
      <c r="A446" t="inlineStr">
        <is>
          <t>A 31622-2022</t>
        </is>
      </c>
      <c r="B446" s="1" t="n">
        <v>44775</v>
      </c>
      <c r="C446" s="1" t="n">
        <v>45831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33619-2022</t>
        </is>
      </c>
      <c r="B447" s="1" t="n">
        <v>44789</v>
      </c>
      <c r="C447" s="1" t="n">
        <v>45831</v>
      </c>
      <c r="D447" t="inlineStr">
        <is>
          <t>UPPSALA LÄN</t>
        </is>
      </c>
      <c r="E447" t="inlineStr">
        <is>
          <t>ENKÖPING</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33821-2022</t>
        </is>
      </c>
      <c r="B448" s="1" t="n">
        <v>44790</v>
      </c>
      <c r="C448" s="1" t="n">
        <v>45831</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34617-2022</t>
        </is>
      </c>
      <c r="B449" s="1" t="n">
        <v>44795</v>
      </c>
      <c r="C449" s="1" t="n">
        <v>45831</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37410-2022</t>
        </is>
      </c>
      <c r="B450" s="1" t="n">
        <v>44809</v>
      </c>
      <c r="C450" s="1" t="n">
        <v>45831</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37414-2022</t>
        </is>
      </c>
      <c r="B451" s="1" t="n">
        <v>44809</v>
      </c>
      <c r="C451" s="1" t="n">
        <v>45831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38005-2022</t>
        </is>
      </c>
      <c r="B452" s="1" t="n">
        <v>44810</v>
      </c>
      <c r="C452" s="1" t="n">
        <v>45831</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38775-2022</t>
        </is>
      </c>
      <c r="B453" s="1" t="n">
        <v>44816</v>
      </c>
      <c r="C453" s="1" t="n">
        <v>45831</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39751-2022</t>
        </is>
      </c>
      <c r="B454" s="1" t="n">
        <v>44819</v>
      </c>
      <c r="C454" s="1" t="n">
        <v>45831</v>
      </c>
      <c r="D454" t="inlineStr">
        <is>
          <t>UPPSALA LÄN</t>
        </is>
      </c>
      <c r="E454" t="inlineStr">
        <is>
          <t>ENKÖPING</t>
        </is>
      </c>
      <c r="G454" t="n">
        <v>7.6</v>
      </c>
      <c r="H454" t="n">
        <v>0</v>
      </c>
      <c r="I454" t="n">
        <v>0</v>
      </c>
      <c r="J454" t="n">
        <v>0</v>
      </c>
      <c r="K454" t="n">
        <v>0</v>
      </c>
      <c r="L454" t="n">
        <v>0</v>
      </c>
      <c r="M454" t="n">
        <v>0</v>
      </c>
      <c r="N454" t="n">
        <v>0</v>
      </c>
      <c r="O454" t="n">
        <v>0</v>
      </c>
      <c r="P454" t="n">
        <v>0</v>
      </c>
      <c r="Q454" t="n">
        <v>0</v>
      </c>
      <c r="R454" s="2" t="inlineStr"/>
    </row>
    <row r="455" ht="15" customHeight="1">
      <c r="A455" t="inlineStr">
        <is>
          <t>A 39922-2022</t>
        </is>
      </c>
      <c r="B455" s="1" t="n">
        <v>44819</v>
      </c>
      <c r="C455" s="1" t="n">
        <v>45831</v>
      </c>
      <c r="D455" t="inlineStr">
        <is>
          <t>UPPSALA LÄN</t>
        </is>
      </c>
      <c r="E455" t="inlineStr">
        <is>
          <t>ENKÖPING</t>
        </is>
      </c>
      <c r="G455" t="n">
        <v>1.7</v>
      </c>
      <c r="H455" t="n">
        <v>0</v>
      </c>
      <c r="I455" t="n">
        <v>0</v>
      </c>
      <c r="J455" t="n">
        <v>0</v>
      </c>
      <c r="K455" t="n">
        <v>0</v>
      </c>
      <c r="L455" t="n">
        <v>0</v>
      </c>
      <c r="M455" t="n">
        <v>0</v>
      </c>
      <c r="N455" t="n">
        <v>0</v>
      </c>
      <c r="O455" t="n">
        <v>0</v>
      </c>
      <c r="P455" t="n">
        <v>0</v>
      </c>
      <c r="Q455" t="n">
        <v>0</v>
      </c>
      <c r="R455" s="2" t="inlineStr"/>
    </row>
    <row r="456" ht="15" customHeight="1">
      <c r="A456" t="inlineStr">
        <is>
          <t>A 40773-2022</t>
        </is>
      </c>
      <c r="B456" s="1" t="n">
        <v>44824</v>
      </c>
      <c r="C456" s="1" t="n">
        <v>45831</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40812-2022</t>
        </is>
      </c>
      <c r="B457" s="1" t="n">
        <v>44824</v>
      </c>
      <c r="C457" s="1" t="n">
        <v>45831</v>
      </c>
      <c r="D457" t="inlineStr">
        <is>
          <t>UPPSALA LÄN</t>
        </is>
      </c>
      <c r="E457" t="inlineStr">
        <is>
          <t>ENKÖPING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41736-2022</t>
        </is>
      </c>
      <c r="B458" s="1" t="n">
        <v>44827</v>
      </c>
      <c r="C458" s="1" t="n">
        <v>45831</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41737-2022</t>
        </is>
      </c>
      <c r="B459" s="1" t="n">
        <v>44827</v>
      </c>
      <c r="C459" s="1" t="n">
        <v>45831</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41753-2022</t>
        </is>
      </c>
      <c r="B460" s="1" t="n">
        <v>44827</v>
      </c>
      <c r="C460" s="1" t="n">
        <v>45831</v>
      </c>
      <c r="D460" t="inlineStr">
        <is>
          <t>UPPSALA LÄN</t>
        </is>
      </c>
      <c r="E460" t="inlineStr">
        <is>
          <t>ENKÖPING</t>
        </is>
      </c>
      <c r="G460" t="n">
        <v>3</v>
      </c>
      <c r="H460" t="n">
        <v>0</v>
      </c>
      <c r="I460" t="n">
        <v>0</v>
      </c>
      <c r="J460" t="n">
        <v>0</v>
      </c>
      <c r="K460" t="n">
        <v>0</v>
      </c>
      <c r="L460" t="n">
        <v>0</v>
      </c>
      <c r="M460" t="n">
        <v>0</v>
      </c>
      <c r="N460" t="n">
        <v>0</v>
      </c>
      <c r="O460" t="n">
        <v>0</v>
      </c>
      <c r="P460" t="n">
        <v>0</v>
      </c>
      <c r="Q460" t="n">
        <v>0</v>
      </c>
      <c r="R460" s="2" t="inlineStr"/>
    </row>
    <row r="461" ht="15" customHeight="1">
      <c r="A461" t="inlineStr">
        <is>
          <t>A 42589-2022</t>
        </is>
      </c>
      <c r="B461" s="1" t="n">
        <v>44831</v>
      </c>
      <c r="C461" s="1" t="n">
        <v>45831</v>
      </c>
      <c r="D461" t="inlineStr">
        <is>
          <t>UPPSALA LÄN</t>
        </is>
      </c>
      <c r="E461" t="inlineStr">
        <is>
          <t>ENKÖPING</t>
        </is>
      </c>
      <c r="G461" t="n">
        <v>20</v>
      </c>
      <c r="H461" t="n">
        <v>0</v>
      </c>
      <c r="I461" t="n">
        <v>0</v>
      </c>
      <c r="J461" t="n">
        <v>0</v>
      </c>
      <c r="K461" t="n">
        <v>0</v>
      </c>
      <c r="L461" t="n">
        <v>0</v>
      </c>
      <c r="M461" t="n">
        <v>0</v>
      </c>
      <c r="N461" t="n">
        <v>0</v>
      </c>
      <c r="O461" t="n">
        <v>0</v>
      </c>
      <c r="P461" t="n">
        <v>0</v>
      </c>
      <c r="Q461" t="n">
        <v>0</v>
      </c>
      <c r="R461" s="2" t="inlineStr"/>
    </row>
    <row r="462" ht="15" customHeight="1">
      <c r="A462" t="inlineStr">
        <is>
          <t>A 42592-2022</t>
        </is>
      </c>
      <c r="B462" s="1" t="n">
        <v>44831</v>
      </c>
      <c r="C462" s="1" t="n">
        <v>45831</v>
      </c>
      <c r="D462" t="inlineStr">
        <is>
          <t>UPPSALA LÄN</t>
        </is>
      </c>
      <c r="E462" t="inlineStr">
        <is>
          <t>ENKÖPING</t>
        </is>
      </c>
      <c r="G462" t="n">
        <v>4.5</v>
      </c>
      <c r="H462" t="n">
        <v>0</v>
      </c>
      <c r="I462" t="n">
        <v>0</v>
      </c>
      <c r="J462" t="n">
        <v>0</v>
      </c>
      <c r="K462" t="n">
        <v>0</v>
      </c>
      <c r="L462" t="n">
        <v>0</v>
      </c>
      <c r="M462" t="n">
        <v>0</v>
      </c>
      <c r="N462" t="n">
        <v>0</v>
      </c>
      <c r="O462" t="n">
        <v>0</v>
      </c>
      <c r="P462" t="n">
        <v>0</v>
      </c>
      <c r="Q462" t="n">
        <v>0</v>
      </c>
      <c r="R462" s="2" t="inlineStr"/>
    </row>
    <row r="463" ht="15" customHeight="1">
      <c r="A463" t="inlineStr">
        <is>
          <t>A 43896-2022</t>
        </is>
      </c>
      <c r="B463" s="1" t="n">
        <v>44838</v>
      </c>
      <c r="C463" s="1" t="n">
        <v>45831</v>
      </c>
      <c r="D463" t="inlineStr">
        <is>
          <t>UPPSALA LÄN</t>
        </is>
      </c>
      <c r="E463" t="inlineStr">
        <is>
          <t>ENKÖPING</t>
        </is>
      </c>
      <c r="G463" t="n">
        <v>5.3</v>
      </c>
      <c r="H463" t="n">
        <v>0</v>
      </c>
      <c r="I463" t="n">
        <v>0</v>
      </c>
      <c r="J463" t="n">
        <v>0</v>
      </c>
      <c r="K463" t="n">
        <v>0</v>
      </c>
      <c r="L463" t="n">
        <v>0</v>
      </c>
      <c r="M463" t="n">
        <v>0</v>
      </c>
      <c r="N463" t="n">
        <v>0</v>
      </c>
      <c r="O463" t="n">
        <v>0</v>
      </c>
      <c r="P463" t="n">
        <v>0</v>
      </c>
      <c r="Q463" t="n">
        <v>0</v>
      </c>
      <c r="R463" s="2" t="inlineStr"/>
    </row>
    <row r="464" ht="15" customHeight="1">
      <c r="A464" t="inlineStr">
        <is>
          <t>A 45362-2022</t>
        </is>
      </c>
      <c r="B464" s="1" t="n">
        <v>44844</v>
      </c>
      <c r="C464" s="1" t="n">
        <v>45831</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45283-2022</t>
        </is>
      </c>
      <c r="B465" s="1" t="n">
        <v>44844</v>
      </c>
      <c r="C465" s="1" t="n">
        <v>45831</v>
      </c>
      <c r="D465" t="inlineStr">
        <is>
          <t>UPPSALA LÄN</t>
        </is>
      </c>
      <c r="E465" t="inlineStr">
        <is>
          <t>ENKÖPING</t>
        </is>
      </c>
      <c r="G465" t="n">
        <v>5.9</v>
      </c>
      <c r="H465" t="n">
        <v>0</v>
      </c>
      <c r="I465" t="n">
        <v>0</v>
      </c>
      <c r="J465" t="n">
        <v>0</v>
      </c>
      <c r="K465" t="n">
        <v>0</v>
      </c>
      <c r="L465" t="n">
        <v>0</v>
      </c>
      <c r="M465" t="n">
        <v>0</v>
      </c>
      <c r="N465" t="n">
        <v>0</v>
      </c>
      <c r="O465" t="n">
        <v>0</v>
      </c>
      <c r="P465" t="n">
        <v>0</v>
      </c>
      <c r="Q465" t="n">
        <v>0</v>
      </c>
      <c r="R465" s="2" t="inlineStr"/>
    </row>
    <row r="466" ht="15" customHeight="1">
      <c r="A466" t="inlineStr">
        <is>
          <t>A 45852-2022</t>
        </is>
      </c>
      <c r="B466" s="1" t="n">
        <v>44846</v>
      </c>
      <c r="C466" s="1" t="n">
        <v>45831</v>
      </c>
      <c r="D466" t="inlineStr">
        <is>
          <t>UPPSALA LÄN</t>
        </is>
      </c>
      <c r="E466" t="inlineStr">
        <is>
          <t>ENKÖPING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46749-2022</t>
        </is>
      </c>
      <c r="B467" s="1" t="n">
        <v>44851</v>
      </c>
      <c r="C467" s="1" t="n">
        <v>45831</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47431-2022</t>
        </is>
      </c>
      <c r="B468" s="1" t="n">
        <v>44853</v>
      </c>
      <c r="C468" s="1" t="n">
        <v>45831</v>
      </c>
      <c r="D468" t="inlineStr">
        <is>
          <t>UPPSALA LÄN</t>
        </is>
      </c>
      <c r="E468" t="inlineStr">
        <is>
          <t>ENKÖPING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47516-2022</t>
        </is>
      </c>
      <c r="B469" s="1" t="n">
        <v>44853</v>
      </c>
      <c r="C469" s="1" t="n">
        <v>45831</v>
      </c>
      <c r="D469" t="inlineStr">
        <is>
          <t>UPPSALA LÄN</t>
        </is>
      </c>
      <c r="E469" t="inlineStr">
        <is>
          <t>ENKÖPING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48230-2022</t>
        </is>
      </c>
      <c r="B470" s="1" t="n">
        <v>44858</v>
      </c>
      <c r="C470" s="1" t="n">
        <v>45831</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48233-2022</t>
        </is>
      </c>
      <c r="B471" s="1" t="n">
        <v>44858</v>
      </c>
      <c r="C471" s="1" t="n">
        <v>45831</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48864-2022</t>
        </is>
      </c>
      <c r="B472" s="1" t="n">
        <v>44859</v>
      </c>
      <c r="C472" s="1" t="n">
        <v>45831</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49557-2022</t>
        </is>
      </c>
      <c r="B473" s="1" t="n">
        <v>44862</v>
      </c>
      <c r="C473" s="1" t="n">
        <v>45831</v>
      </c>
      <c r="D473" t="inlineStr">
        <is>
          <t>UPPSALA LÄN</t>
        </is>
      </c>
      <c r="E473" t="inlineStr">
        <is>
          <t>ENKÖPING</t>
        </is>
      </c>
      <c r="G473" t="n">
        <v>2.9</v>
      </c>
      <c r="H473" t="n">
        <v>0</v>
      </c>
      <c r="I473" t="n">
        <v>0</v>
      </c>
      <c r="J473" t="n">
        <v>0</v>
      </c>
      <c r="K473" t="n">
        <v>0</v>
      </c>
      <c r="L473" t="n">
        <v>0</v>
      </c>
      <c r="M473" t="n">
        <v>0</v>
      </c>
      <c r="N473" t="n">
        <v>0</v>
      </c>
      <c r="O473" t="n">
        <v>0</v>
      </c>
      <c r="P473" t="n">
        <v>0</v>
      </c>
      <c r="Q473" t="n">
        <v>0</v>
      </c>
      <c r="R473" s="2" t="inlineStr"/>
    </row>
    <row r="474" ht="15" customHeight="1">
      <c r="A474" t="inlineStr">
        <is>
          <t>A 49562-2022</t>
        </is>
      </c>
      <c r="B474" s="1" t="n">
        <v>44862</v>
      </c>
      <c r="C474" s="1" t="n">
        <v>45831</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49560-2022</t>
        </is>
      </c>
      <c r="B475" s="1" t="n">
        <v>44862</v>
      </c>
      <c r="C475" s="1" t="n">
        <v>45831</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49568-2022</t>
        </is>
      </c>
      <c r="B476" s="1" t="n">
        <v>44862</v>
      </c>
      <c r="C476" s="1" t="n">
        <v>45831</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50747-2022</t>
        </is>
      </c>
      <c r="B477" s="1" t="n">
        <v>44867</v>
      </c>
      <c r="C477" s="1" t="n">
        <v>45831</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51524-2022</t>
        </is>
      </c>
      <c r="B478" s="1" t="n">
        <v>44869</v>
      </c>
      <c r="C478" s="1" t="n">
        <v>45831</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51932-2022</t>
        </is>
      </c>
      <c r="B479" s="1" t="n">
        <v>44872</v>
      </c>
      <c r="C479" s="1" t="n">
        <v>45831</v>
      </c>
      <c r="D479" t="inlineStr">
        <is>
          <t>UPPSALA LÄN</t>
        </is>
      </c>
      <c r="E479" t="inlineStr">
        <is>
          <t>ENKÖPING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52895-2022</t>
        </is>
      </c>
      <c r="B480" s="1" t="n">
        <v>44875</v>
      </c>
      <c r="C480" s="1" t="n">
        <v>45831</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52893-2022</t>
        </is>
      </c>
      <c r="B481" s="1" t="n">
        <v>44875</v>
      </c>
      <c r="C481" s="1" t="n">
        <v>45831</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52889-2022</t>
        </is>
      </c>
      <c r="B482" s="1" t="n">
        <v>44875</v>
      </c>
      <c r="C482" s="1" t="n">
        <v>45831</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52896-2022</t>
        </is>
      </c>
      <c r="B483" s="1" t="n">
        <v>44875</v>
      </c>
      <c r="C483" s="1" t="n">
        <v>45831</v>
      </c>
      <c r="D483" t="inlineStr">
        <is>
          <t>UPPSALA LÄN</t>
        </is>
      </c>
      <c r="E483" t="inlineStr">
        <is>
          <t>ENKÖPING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53496-2022</t>
        </is>
      </c>
      <c r="B484" s="1" t="n">
        <v>44879</v>
      </c>
      <c r="C484" s="1" t="n">
        <v>45831</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56526-2022</t>
        </is>
      </c>
      <c r="B485" s="1" t="n">
        <v>44893</v>
      </c>
      <c r="C485" s="1" t="n">
        <v>45831</v>
      </c>
      <c r="D485" t="inlineStr">
        <is>
          <t>UPPSALA LÄN</t>
        </is>
      </c>
      <c r="E485" t="inlineStr">
        <is>
          <t>ENKÖPING</t>
        </is>
      </c>
      <c r="G485" t="n">
        <v>3.8</v>
      </c>
      <c r="H485" t="n">
        <v>0</v>
      </c>
      <c r="I485" t="n">
        <v>0</v>
      </c>
      <c r="J485" t="n">
        <v>0</v>
      </c>
      <c r="K485" t="n">
        <v>0</v>
      </c>
      <c r="L485" t="n">
        <v>0</v>
      </c>
      <c r="M485" t="n">
        <v>0</v>
      </c>
      <c r="N485" t="n">
        <v>0</v>
      </c>
      <c r="O485" t="n">
        <v>0</v>
      </c>
      <c r="P485" t="n">
        <v>0</v>
      </c>
      <c r="Q485" t="n">
        <v>0</v>
      </c>
      <c r="R485" s="2" t="inlineStr"/>
    </row>
    <row r="486" ht="15" customHeight="1">
      <c r="A486" t="inlineStr">
        <is>
          <t>A 57563-2022</t>
        </is>
      </c>
      <c r="B486" s="1" t="n">
        <v>44896</v>
      </c>
      <c r="C486" s="1" t="n">
        <v>45831</v>
      </c>
      <c r="D486" t="inlineStr">
        <is>
          <t>UPPSALA LÄN</t>
        </is>
      </c>
      <c r="E486" t="inlineStr">
        <is>
          <t>ENKÖPING</t>
        </is>
      </c>
      <c r="G486" t="n">
        <v>3.2</v>
      </c>
      <c r="H486" t="n">
        <v>0</v>
      </c>
      <c r="I486" t="n">
        <v>0</v>
      </c>
      <c r="J486" t="n">
        <v>0</v>
      </c>
      <c r="K486" t="n">
        <v>0</v>
      </c>
      <c r="L486" t="n">
        <v>0</v>
      </c>
      <c r="M486" t="n">
        <v>0</v>
      </c>
      <c r="N486" t="n">
        <v>0</v>
      </c>
      <c r="O486" t="n">
        <v>0</v>
      </c>
      <c r="P486" t="n">
        <v>0</v>
      </c>
      <c r="Q486" t="n">
        <v>0</v>
      </c>
      <c r="R486" s="2" t="inlineStr"/>
    </row>
    <row r="487" ht="15" customHeight="1">
      <c r="A487" t="inlineStr">
        <is>
          <t>A 57940-2022</t>
        </is>
      </c>
      <c r="B487" s="1" t="n">
        <v>44900</v>
      </c>
      <c r="C487" s="1" t="n">
        <v>45831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58384-2022</t>
        </is>
      </c>
      <c r="B488" s="1" t="n">
        <v>44901</v>
      </c>
      <c r="C488" s="1" t="n">
        <v>45831</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59190-2022</t>
        </is>
      </c>
      <c r="B489" s="1" t="n">
        <v>44904</v>
      </c>
      <c r="C489" s="1" t="n">
        <v>45831</v>
      </c>
      <c r="D489" t="inlineStr">
        <is>
          <t>UPPSALA LÄN</t>
        </is>
      </c>
      <c r="E489" t="inlineStr">
        <is>
          <t>ENKÖPING</t>
        </is>
      </c>
      <c r="G489" t="n">
        <v>2.3</v>
      </c>
      <c r="H489" t="n">
        <v>0</v>
      </c>
      <c r="I489" t="n">
        <v>0</v>
      </c>
      <c r="J489" t="n">
        <v>0</v>
      </c>
      <c r="K489" t="n">
        <v>0</v>
      </c>
      <c r="L489" t="n">
        <v>0</v>
      </c>
      <c r="M489" t="n">
        <v>0</v>
      </c>
      <c r="N489" t="n">
        <v>0</v>
      </c>
      <c r="O489" t="n">
        <v>0</v>
      </c>
      <c r="P489" t="n">
        <v>0</v>
      </c>
      <c r="Q489" t="n">
        <v>0</v>
      </c>
      <c r="R489" s="2" t="inlineStr"/>
    </row>
    <row r="490" ht="15" customHeight="1">
      <c r="A490" t="inlineStr">
        <is>
          <t>A 59200-2022</t>
        </is>
      </c>
      <c r="B490" s="1" t="n">
        <v>44904</v>
      </c>
      <c r="C490" s="1" t="n">
        <v>45831</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59337-2022</t>
        </is>
      </c>
      <c r="B491" s="1" t="n">
        <v>44904</v>
      </c>
      <c r="C491" s="1" t="n">
        <v>45831</v>
      </c>
      <c r="D491" t="inlineStr">
        <is>
          <t>UPPSALA LÄN</t>
        </is>
      </c>
      <c r="E491" t="inlineStr">
        <is>
          <t>ENKÖPING</t>
        </is>
      </c>
      <c r="G491" t="n">
        <v>8.4</v>
      </c>
      <c r="H491" t="n">
        <v>0</v>
      </c>
      <c r="I491" t="n">
        <v>0</v>
      </c>
      <c r="J491" t="n">
        <v>0</v>
      </c>
      <c r="K491" t="n">
        <v>0</v>
      </c>
      <c r="L491" t="n">
        <v>0</v>
      </c>
      <c r="M491" t="n">
        <v>0</v>
      </c>
      <c r="N491" t="n">
        <v>0</v>
      </c>
      <c r="O491" t="n">
        <v>0</v>
      </c>
      <c r="P491" t="n">
        <v>0</v>
      </c>
      <c r="Q491" t="n">
        <v>0</v>
      </c>
      <c r="R491" s="2" t="inlineStr"/>
    </row>
    <row r="492" ht="15" customHeight="1">
      <c r="A492" t="inlineStr">
        <is>
          <t>A 59203-2022</t>
        </is>
      </c>
      <c r="B492" s="1" t="n">
        <v>44904</v>
      </c>
      <c r="C492" s="1" t="n">
        <v>45831</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59344-2022</t>
        </is>
      </c>
      <c r="B493" s="1" t="n">
        <v>44904</v>
      </c>
      <c r="C493" s="1" t="n">
        <v>45831</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59345-2022</t>
        </is>
      </c>
      <c r="B494" s="1" t="n">
        <v>44904</v>
      </c>
      <c r="C494" s="1" t="n">
        <v>45831</v>
      </c>
      <c r="D494" t="inlineStr">
        <is>
          <t>UPPSALA LÄN</t>
        </is>
      </c>
      <c r="E494" t="inlineStr">
        <is>
          <t>ENKÖPING</t>
        </is>
      </c>
      <c r="G494" t="n">
        <v>4.9</v>
      </c>
      <c r="H494" t="n">
        <v>0</v>
      </c>
      <c r="I494" t="n">
        <v>0</v>
      </c>
      <c r="J494" t="n">
        <v>0</v>
      </c>
      <c r="K494" t="n">
        <v>0</v>
      </c>
      <c r="L494" t="n">
        <v>0</v>
      </c>
      <c r="M494" t="n">
        <v>0</v>
      </c>
      <c r="N494" t="n">
        <v>0</v>
      </c>
      <c r="O494" t="n">
        <v>0</v>
      </c>
      <c r="P494" t="n">
        <v>0</v>
      </c>
      <c r="Q494" t="n">
        <v>0</v>
      </c>
      <c r="R494" s="2" t="inlineStr"/>
    </row>
    <row r="495" ht="15" customHeight="1">
      <c r="A495" t="inlineStr">
        <is>
          <t>A 59609-2022</t>
        </is>
      </c>
      <c r="B495" s="1" t="n">
        <v>44907</v>
      </c>
      <c r="C495" s="1" t="n">
        <v>45831</v>
      </c>
      <c r="D495" t="inlineStr">
        <is>
          <t>UPPSALA LÄN</t>
        </is>
      </c>
      <c r="E495" t="inlineStr">
        <is>
          <t>ENKÖPING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59608-2022</t>
        </is>
      </c>
      <c r="B496" s="1" t="n">
        <v>44907</v>
      </c>
      <c r="C496" s="1" t="n">
        <v>45831</v>
      </c>
      <c r="D496" t="inlineStr">
        <is>
          <t>UPPSALA LÄN</t>
        </is>
      </c>
      <c r="E496" t="inlineStr">
        <is>
          <t>ENKÖPING</t>
        </is>
      </c>
      <c r="G496" t="n">
        <v>2.8</v>
      </c>
      <c r="H496" t="n">
        <v>0</v>
      </c>
      <c r="I496" t="n">
        <v>0</v>
      </c>
      <c r="J496" t="n">
        <v>0</v>
      </c>
      <c r="K496" t="n">
        <v>0</v>
      </c>
      <c r="L496" t="n">
        <v>0</v>
      </c>
      <c r="M496" t="n">
        <v>0</v>
      </c>
      <c r="N496" t="n">
        <v>0</v>
      </c>
      <c r="O496" t="n">
        <v>0</v>
      </c>
      <c r="P496" t="n">
        <v>0</v>
      </c>
      <c r="Q496" t="n">
        <v>0</v>
      </c>
      <c r="R496" s="2" t="inlineStr"/>
    </row>
    <row r="497" ht="15" customHeight="1">
      <c r="A497" t="inlineStr">
        <is>
          <t>A 59602-2022</t>
        </is>
      </c>
      <c r="B497" s="1" t="n">
        <v>44907</v>
      </c>
      <c r="C497" s="1" t="n">
        <v>45831</v>
      </c>
      <c r="D497" t="inlineStr">
        <is>
          <t>UPPSALA LÄN</t>
        </is>
      </c>
      <c r="E497" t="inlineStr">
        <is>
          <t>ENKÖPING</t>
        </is>
      </c>
      <c r="G497" t="n">
        <v>14.2</v>
      </c>
      <c r="H497" t="n">
        <v>0</v>
      </c>
      <c r="I497" t="n">
        <v>0</v>
      </c>
      <c r="J497" t="n">
        <v>0</v>
      </c>
      <c r="K497" t="n">
        <v>0</v>
      </c>
      <c r="L497" t="n">
        <v>0</v>
      </c>
      <c r="M497" t="n">
        <v>0</v>
      </c>
      <c r="N497" t="n">
        <v>0</v>
      </c>
      <c r="O497" t="n">
        <v>0</v>
      </c>
      <c r="P497" t="n">
        <v>0</v>
      </c>
      <c r="Q497" t="n">
        <v>0</v>
      </c>
      <c r="R497" s="2" t="inlineStr"/>
    </row>
    <row r="498" ht="15" customHeight="1">
      <c r="A498" t="inlineStr">
        <is>
          <t>A 59610-2022</t>
        </is>
      </c>
      <c r="B498" s="1" t="n">
        <v>44907</v>
      </c>
      <c r="C498" s="1" t="n">
        <v>45831</v>
      </c>
      <c r="D498" t="inlineStr">
        <is>
          <t>UPPSALA LÄN</t>
        </is>
      </c>
      <c r="E498" t="inlineStr">
        <is>
          <t>ENKÖPING</t>
        </is>
      </c>
      <c r="G498" t="n">
        <v>3.6</v>
      </c>
      <c r="H498" t="n">
        <v>0</v>
      </c>
      <c r="I498" t="n">
        <v>0</v>
      </c>
      <c r="J498" t="n">
        <v>0</v>
      </c>
      <c r="K498" t="n">
        <v>0</v>
      </c>
      <c r="L498" t="n">
        <v>0</v>
      </c>
      <c r="M498" t="n">
        <v>0</v>
      </c>
      <c r="N498" t="n">
        <v>0</v>
      </c>
      <c r="O498" t="n">
        <v>0</v>
      </c>
      <c r="P498" t="n">
        <v>0</v>
      </c>
      <c r="Q498" t="n">
        <v>0</v>
      </c>
      <c r="R498" s="2" t="inlineStr"/>
    </row>
    <row r="499" ht="15" customHeight="1">
      <c r="A499" t="inlineStr">
        <is>
          <t>A 60132-2022</t>
        </is>
      </c>
      <c r="B499" s="1" t="n">
        <v>44909</v>
      </c>
      <c r="C499" s="1" t="n">
        <v>45831</v>
      </c>
      <c r="D499" t="inlineStr">
        <is>
          <t>UPPSALA LÄN</t>
        </is>
      </c>
      <c r="E499" t="inlineStr">
        <is>
          <t>ENKÖPING</t>
        </is>
      </c>
      <c r="F499" t="inlineStr">
        <is>
          <t>Allmännings- och besparingsskogar</t>
        </is>
      </c>
      <c r="G499" t="n">
        <v>5.4</v>
      </c>
      <c r="H499" t="n">
        <v>0</v>
      </c>
      <c r="I499" t="n">
        <v>0</v>
      </c>
      <c r="J499" t="n">
        <v>0</v>
      </c>
      <c r="K499" t="n">
        <v>0</v>
      </c>
      <c r="L499" t="n">
        <v>0</v>
      </c>
      <c r="M499" t="n">
        <v>0</v>
      </c>
      <c r="N499" t="n">
        <v>0</v>
      </c>
      <c r="O499" t="n">
        <v>0</v>
      </c>
      <c r="P499" t="n">
        <v>0</v>
      </c>
      <c r="Q499" t="n">
        <v>0</v>
      </c>
      <c r="R499" s="2" t="inlineStr"/>
    </row>
    <row r="500" ht="15" customHeight="1">
      <c r="A500" t="inlineStr">
        <is>
          <t>A 60289-2022</t>
        </is>
      </c>
      <c r="B500" s="1" t="n">
        <v>44910</v>
      </c>
      <c r="C500" s="1" t="n">
        <v>45831</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60350-2022</t>
        </is>
      </c>
      <c r="B501" s="1" t="n">
        <v>44910</v>
      </c>
      <c r="C501" s="1" t="n">
        <v>45831</v>
      </c>
      <c r="D501" t="inlineStr">
        <is>
          <t>UPPSALA LÄN</t>
        </is>
      </c>
      <c r="E501" t="inlineStr">
        <is>
          <t>ENKÖPING</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60478-2022</t>
        </is>
      </c>
      <c r="B502" s="1" t="n">
        <v>44911</v>
      </c>
      <c r="C502" s="1" t="n">
        <v>45831</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61125-2022</t>
        </is>
      </c>
      <c r="B503" s="1" t="n">
        <v>44915</v>
      </c>
      <c r="C503" s="1" t="n">
        <v>45831</v>
      </c>
      <c r="D503" t="inlineStr">
        <is>
          <t>UPPSALA LÄN</t>
        </is>
      </c>
      <c r="E503" t="inlineStr">
        <is>
          <t>ENKÖPING</t>
        </is>
      </c>
      <c r="G503" t="n">
        <v>2.2</v>
      </c>
      <c r="H503" t="n">
        <v>0</v>
      </c>
      <c r="I503" t="n">
        <v>0</v>
      </c>
      <c r="J503" t="n">
        <v>0</v>
      </c>
      <c r="K503" t="n">
        <v>0</v>
      </c>
      <c r="L503" t="n">
        <v>0</v>
      </c>
      <c r="M503" t="n">
        <v>0</v>
      </c>
      <c r="N503" t="n">
        <v>0</v>
      </c>
      <c r="O503" t="n">
        <v>0</v>
      </c>
      <c r="P503" t="n">
        <v>0</v>
      </c>
      <c r="Q503" t="n">
        <v>0</v>
      </c>
      <c r="R503" s="2" t="inlineStr"/>
    </row>
    <row r="504" ht="15" customHeight="1">
      <c r="A504" t="inlineStr">
        <is>
          <t>A 61181-2022</t>
        </is>
      </c>
      <c r="B504" s="1" t="n">
        <v>44915</v>
      </c>
      <c r="C504" s="1" t="n">
        <v>45831</v>
      </c>
      <c r="D504" t="inlineStr">
        <is>
          <t>UPPSALA LÄN</t>
        </is>
      </c>
      <c r="E504" t="inlineStr">
        <is>
          <t>ENKÖPING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61106-2022</t>
        </is>
      </c>
      <c r="B505" s="1" t="n">
        <v>44915</v>
      </c>
      <c r="C505" s="1" t="n">
        <v>45831</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61800-2022</t>
        </is>
      </c>
      <c r="B506" s="1" t="n">
        <v>44917</v>
      </c>
      <c r="C506" s="1" t="n">
        <v>45831</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62716-2022</t>
        </is>
      </c>
      <c r="B507" s="1" t="n">
        <v>44917</v>
      </c>
      <c r="C507" s="1" t="n">
        <v>45831</v>
      </c>
      <c r="D507" t="inlineStr">
        <is>
          <t>UPPSALA LÄN</t>
        </is>
      </c>
      <c r="E507" t="inlineStr">
        <is>
          <t>ENKÖPING</t>
        </is>
      </c>
      <c r="G507" t="n">
        <v>4.3</v>
      </c>
      <c r="H507" t="n">
        <v>0</v>
      </c>
      <c r="I507" t="n">
        <v>0</v>
      </c>
      <c r="J507" t="n">
        <v>0</v>
      </c>
      <c r="K507" t="n">
        <v>0</v>
      </c>
      <c r="L507" t="n">
        <v>0</v>
      </c>
      <c r="M507" t="n">
        <v>0</v>
      </c>
      <c r="N507" t="n">
        <v>0</v>
      </c>
      <c r="O507" t="n">
        <v>0</v>
      </c>
      <c r="P507" t="n">
        <v>0</v>
      </c>
      <c r="Q507" t="n">
        <v>0</v>
      </c>
      <c r="R507" s="2" t="inlineStr"/>
    </row>
    <row r="508" ht="15" customHeight="1">
      <c r="A508" t="inlineStr">
        <is>
          <t>A 62423-2022</t>
        </is>
      </c>
      <c r="B508" s="1" t="n">
        <v>44924</v>
      </c>
      <c r="C508" s="1" t="n">
        <v>45831</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62419-2022</t>
        </is>
      </c>
      <c r="B509" s="1" t="n">
        <v>44924</v>
      </c>
      <c r="C509" s="1" t="n">
        <v>45831</v>
      </c>
      <c r="D509" t="inlineStr">
        <is>
          <t>UPPSALA LÄN</t>
        </is>
      </c>
      <c r="E509" t="inlineStr">
        <is>
          <t>ENKÖPING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799-2023</t>
        </is>
      </c>
      <c r="B510" s="1" t="n">
        <v>44931</v>
      </c>
      <c r="C510" s="1" t="n">
        <v>45831</v>
      </c>
      <c r="D510" t="inlineStr">
        <is>
          <t>UPPSALA LÄN</t>
        </is>
      </c>
      <c r="E510" t="inlineStr">
        <is>
          <t>ENKÖPING</t>
        </is>
      </c>
      <c r="G510" t="n">
        <v>3.1</v>
      </c>
      <c r="H510" t="n">
        <v>0</v>
      </c>
      <c r="I510" t="n">
        <v>0</v>
      </c>
      <c r="J510" t="n">
        <v>0</v>
      </c>
      <c r="K510" t="n">
        <v>0</v>
      </c>
      <c r="L510" t="n">
        <v>0</v>
      </c>
      <c r="M510" t="n">
        <v>0</v>
      </c>
      <c r="N510" t="n">
        <v>0</v>
      </c>
      <c r="O510" t="n">
        <v>0</v>
      </c>
      <c r="P510" t="n">
        <v>0</v>
      </c>
      <c r="Q510" t="n">
        <v>0</v>
      </c>
      <c r="R510" s="2" t="inlineStr"/>
    </row>
    <row r="511" ht="15" customHeight="1">
      <c r="A511" t="inlineStr">
        <is>
          <t>A 1587-2023</t>
        </is>
      </c>
      <c r="B511" s="1" t="n">
        <v>44937</v>
      </c>
      <c r="C511" s="1" t="n">
        <v>45831</v>
      </c>
      <c r="D511" t="inlineStr">
        <is>
          <t>UPPSALA LÄN</t>
        </is>
      </c>
      <c r="E511" t="inlineStr">
        <is>
          <t>ENKÖPING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1593-2023</t>
        </is>
      </c>
      <c r="B512" s="1" t="n">
        <v>44937</v>
      </c>
      <c r="C512" s="1" t="n">
        <v>45831</v>
      </c>
      <c r="D512" t="inlineStr">
        <is>
          <t>UPPSALA LÄN</t>
        </is>
      </c>
      <c r="E512" t="inlineStr">
        <is>
          <t>ENKÖPING</t>
        </is>
      </c>
      <c r="G512" t="n">
        <v>2</v>
      </c>
      <c r="H512" t="n">
        <v>0</v>
      </c>
      <c r="I512" t="n">
        <v>0</v>
      </c>
      <c r="J512" t="n">
        <v>0</v>
      </c>
      <c r="K512" t="n">
        <v>0</v>
      </c>
      <c r="L512" t="n">
        <v>0</v>
      </c>
      <c r="M512" t="n">
        <v>0</v>
      </c>
      <c r="N512" t="n">
        <v>0</v>
      </c>
      <c r="O512" t="n">
        <v>0</v>
      </c>
      <c r="P512" t="n">
        <v>0</v>
      </c>
      <c r="Q512" t="n">
        <v>0</v>
      </c>
      <c r="R512" s="2" t="inlineStr"/>
    </row>
    <row r="513" ht="15" customHeight="1">
      <c r="A513" t="inlineStr">
        <is>
          <t>A 2161-2023</t>
        </is>
      </c>
      <c r="B513" s="1" t="n">
        <v>44941</v>
      </c>
      <c r="C513" s="1" t="n">
        <v>45831</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2165-2023</t>
        </is>
      </c>
      <c r="B514" s="1" t="n">
        <v>44941</v>
      </c>
      <c r="C514" s="1" t="n">
        <v>45831</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2162-2023</t>
        </is>
      </c>
      <c r="B515" s="1" t="n">
        <v>44941</v>
      </c>
      <c r="C515" s="1" t="n">
        <v>45831</v>
      </c>
      <c r="D515" t="inlineStr">
        <is>
          <t>UPPSALA LÄN</t>
        </is>
      </c>
      <c r="E515" t="inlineStr">
        <is>
          <t>ENKÖPING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2164-2023</t>
        </is>
      </c>
      <c r="B516" s="1" t="n">
        <v>44941</v>
      </c>
      <c r="C516" s="1" t="n">
        <v>45831</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3550-2023</t>
        </is>
      </c>
      <c r="B517" s="1" t="n">
        <v>44950</v>
      </c>
      <c r="C517" s="1" t="n">
        <v>45831</v>
      </c>
      <c r="D517" t="inlineStr">
        <is>
          <t>UPPSALA LÄN</t>
        </is>
      </c>
      <c r="E517" t="inlineStr">
        <is>
          <t>ENKÖPING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4901-2023</t>
        </is>
      </c>
      <c r="B518" s="1" t="n">
        <v>44958</v>
      </c>
      <c r="C518" s="1" t="n">
        <v>45831</v>
      </c>
      <c r="D518" t="inlineStr">
        <is>
          <t>UPPSALA LÄN</t>
        </is>
      </c>
      <c r="E518" t="inlineStr">
        <is>
          <t>ENKÖPING</t>
        </is>
      </c>
      <c r="G518" t="n">
        <v>4.6</v>
      </c>
      <c r="H518" t="n">
        <v>0</v>
      </c>
      <c r="I518" t="n">
        <v>0</v>
      </c>
      <c r="J518" t="n">
        <v>0</v>
      </c>
      <c r="K518" t="n">
        <v>0</v>
      </c>
      <c r="L518" t="n">
        <v>0</v>
      </c>
      <c r="M518" t="n">
        <v>0</v>
      </c>
      <c r="N518" t="n">
        <v>0</v>
      </c>
      <c r="O518" t="n">
        <v>0</v>
      </c>
      <c r="P518" t="n">
        <v>0</v>
      </c>
      <c r="Q518" t="n">
        <v>0</v>
      </c>
      <c r="R518" s="2" t="inlineStr"/>
    </row>
    <row r="519" ht="15" customHeight="1">
      <c r="A519" t="inlineStr">
        <is>
          <t>A 5892-2023</t>
        </is>
      </c>
      <c r="B519" s="1" t="n">
        <v>44963</v>
      </c>
      <c r="C519" s="1" t="n">
        <v>45831</v>
      </c>
      <c r="D519" t="inlineStr">
        <is>
          <t>UPPSALA LÄN</t>
        </is>
      </c>
      <c r="E519" t="inlineStr">
        <is>
          <t>ENKÖPING</t>
        </is>
      </c>
      <c r="G519" t="n">
        <v>5.5</v>
      </c>
      <c r="H519" t="n">
        <v>0</v>
      </c>
      <c r="I519" t="n">
        <v>0</v>
      </c>
      <c r="J519" t="n">
        <v>0</v>
      </c>
      <c r="K519" t="n">
        <v>0</v>
      </c>
      <c r="L519" t="n">
        <v>0</v>
      </c>
      <c r="M519" t="n">
        <v>0</v>
      </c>
      <c r="N519" t="n">
        <v>0</v>
      </c>
      <c r="O519" t="n">
        <v>0</v>
      </c>
      <c r="P519" t="n">
        <v>0</v>
      </c>
      <c r="Q519" t="n">
        <v>0</v>
      </c>
      <c r="R519" s="2" t="inlineStr"/>
    </row>
    <row r="520" ht="15" customHeight="1">
      <c r="A520" t="inlineStr">
        <is>
          <t>A 6172-2023</t>
        </is>
      </c>
      <c r="B520" s="1" t="n">
        <v>44964</v>
      </c>
      <c r="C520" s="1" t="n">
        <v>45831</v>
      </c>
      <c r="D520" t="inlineStr">
        <is>
          <t>UPPSALA LÄN</t>
        </is>
      </c>
      <c r="E520" t="inlineStr">
        <is>
          <t>ENKÖPING</t>
        </is>
      </c>
      <c r="G520" t="n">
        <v>2.6</v>
      </c>
      <c r="H520" t="n">
        <v>0</v>
      </c>
      <c r="I520" t="n">
        <v>0</v>
      </c>
      <c r="J520" t="n">
        <v>0</v>
      </c>
      <c r="K520" t="n">
        <v>0</v>
      </c>
      <c r="L520" t="n">
        <v>0</v>
      </c>
      <c r="M520" t="n">
        <v>0</v>
      </c>
      <c r="N520" t="n">
        <v>0</v>
      </c>
      <c r="O520" t="n">
        <v>0</v>
      </c>
      <c r="P520" t="n">
        <v>0</v>
      </c>
      <c r="Q520" t="n">
        <v>0</v>
      </c>
      <c r="R520" s="2" t="inlineStr"/>
    </row>
    <row r="521" ht="15" customHeight="1">
      <c r="A521" t="inlineStr">
        <is>
          <t>A 6620-2023</t>
        </is>
      </c>
      <c r="B521" s="1" t="n">
        <v>44966</v>
      </c>
      <c r="C521" s="1" t="n">
        <v>45831</v>
      </c>
      <c r="D521" t="inlineStr">
        <is>
          <t>UPPSALA LÄN</t>
        </is>
      </c>
      <c r="E521" t="inlineStr">
        <is>
          <t>ENKÖPING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6623-2023</t>
        </is>
      </c>
      <c r="B522" s="1" t="n">
        <v>44966</v>
      </c>
      <c r="C522" s="1" t="n">
        <v>45831</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6624-2023</t>
        </is>
      </c>
      <c r="B523" s="1" t="n">
        <v>44966</v>
      </c>
      <c r="C523" s="1" t="n">
        <v>45831</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6626-2023</t>
        </is>
      </c>
      <c r="B524" s="1" t="n">
        <v>44966</v>
      </c>
      <c r="C524" s="1" t="n">
        <v>45831</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9957-2023</t>
        </is>
      </c>
      <c r="B525" s="1" t="n">
        <v>44978</v>
      </c>
      <c r="C525" s="1" t="n">
        <v>45831</v>
      </c>
      <c r="D525" t="inlineStr">
        <is>
          <t>UPPSALA LÄN</t>
        </is>
      </c>
      <c r="E525" t="inlineStr">
        <is>
          <t>ENKÖPING</t>
        </is>
      </c>
      <c r="G525" t="n">
        <v>5.9</v>
      </c>
      <c r="H525" t="n">
        <v>0</v>
      </c>
      <c r="I525" t="n">
        <v>0</v>
      </c>
      <c r="J525" t="n">
        <v>0</v>
      </c>
      <c r="K525" t="n">
        <v>0</v>
      </c>
      <c r="L525" t="n">
        <v>0</v>
      </c>
      <c r="M525" t="n">
        <v>0</v>
      </c>
      <c r="N525" t="n">
        <v>0</v>
      </c>
      <c r="O525" t="n">
        <v>0</v>
      </c>
      <c r="P525" t="n">
        <v>0</v>
      </c>
      <c r="Q525" t="n">
        <v>0</v>
      </c>
      <c r="R525" s="2" t="inlineStr"/>
    </row>
    <row r="526" ht="15" customHeight="1">
      <c r="A526" t="inlineStr">
        <is>
          <t>A 9958-2023</t>
        </is>
      </c>
      <c r="B526" s="1" t="n">
        <v>44978</v>
      </c>
      <c r="C526" s="1" t="n">
        <v>45831</v>
      </c>
      <c r="D526" t="inlineStr">
        <is>
          <t>UPPSALA LÄN</t>
        </is>
      </c>
      <c r="E526" t="inlineStr">
        <is>
          <t>ENKÖPING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9041-2023</t>
        </is>
      </c>
      <c r="B527" s="1" t="n">
        <v>44979</v>
      </c>
      <c r="C527" s="1" t="n">
        <v>45831</v>
      </c>
      <c r="D527" t="inlineStr">
        <is>
          <t>UPPSALA LÄN</t>
        </is>
      </c>
      <c r="E527" t="inlineStr">
        <is>
          <t>ENKÖPING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9231-2023</t>
        </is>
      </c>
      <c r="B528" s="1" t="n">
        <v>44980</v>
      </c>
      <c r="C528" s="1" t="n">
        <v>45831</v>
      </c>
      <c r="D528" t="inlineStr">
        <is>
          <t>UPPSALA LÄN</t>
        </is>
      </c>
      <c r="E528" t="inlineStr">
        <is>
          <t>ENKÖPING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11005-2023</t>
        </is>
      </c>
      <c r="B529" s="1" t="n">
        <v>44991</v>
      </c>
      <c r="C529" s="1" t="n">
        <v>45831</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12360-2023</t>
        </is>
      </c>
      <c r="B530" s="1" t="n">
        <v>44999</v>
      </c>
      <c r="C530" s="1" t="n">
        <v>45831</v>
      </c>
      <c r="D530" t="inlineStr">
        <is>
          <t>UPPSALA LÄN</t>
        </is>
      </c>
      <c r="E530" t="inlineStr">
        <is>
          <t>ENKÖPING</t>
        </is>
      </c>
      <c r="G530" t="n">
        <v>6.3</v>
      </c>
      <c r="H530" t="n">
        <v>0</v>
      </c>
      <c r="I530" t="n">
        <v>0</v>
      </c>
      <c r="J530" t="n">
        <v>0</v>
      </c>
      <c r="K530" t="n">
        <v>0</v>
      </c>
      <c r="L530" t="n">
        <v>0</v>
      </c>
      <c r="M530" t="n">
        <v>0</v>
      </c>
      <c r="N530" t="n">
        <v>0</v>
      </c>
      <c r="O530" t="n">
        <v>0</v>
      </c>
      <c r="P530" t="n">
        <v>0</v>
      </c>
      <c r="Q530" t="n">
        <v>0</v>
      </c>
      <c r="R530" s="2" t="inlineStr"/>
    </row>
    <row r="531" ht="15" customHeight="1">
      <c r="A531" t="inlineStr">
        <is>
          <t>A 13140-2023</t>
        </is>
      </c>
      <c r="B531" s="1" t="n">
        <v>45001</v>
      </c>
      <c r="C531" s="1" t="n">
        <v>45831</v>
      </c>
      <c r="D531" t="inlineStr">
        <is>
          <t>UPPSALA LÄN</t>
        </is>
      </c>
      <c r="E531" t="inlineStr">
        <is>
          <t>ENKÖPING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13099-2023</t>
        </is>
      </c>
      <c r="B532" s="1" t="n">
        <v>45001</v>
      </c>
      <c r="C532" s="1" t="n">
        <v>45831</v>
      </c>
      <c r="D532" t="inlineStr">
        <is>
          <t>UPPSALA LÄN</t>
        </is>
      </c>
      <c r="E532" t="inlineStr">
        <is>
          <t>ENKÖPING</t>
        </is>
      </c>
      <c r="G532" t="n">
        <v>10.5</v>
      </c>
      <c r="H532" t="n">
        <v>0</v>
      </c>
      <c r="I532" t="n">
        <v>0</v>
      </c>
      <c r="J532" t="n">
        <v>0</v>
      </c>
      <c r="K532" t="n">
        <v>0</v>
      </c>
      <c r="L532" t="n">
        <v>0</v>
      </c>
      <c r="M532" t="n">
        <v>0</v>
      </c>
      <c r="N532" t="n">
        <v>0</v>
      </c>
      <c r="O532" t="n">
        <v>0</v>
      </c>
      <c r="P532" t="n">
        <v>0</v>
      </c>
      <c r="Q532" t="n">
        <v>0</v>
      </c>
      <c r="R532" s="2" t="inlineStr"/>
    </row>
    <row r="533" ht="15" customHeight="1">
      <c r="A533" t="inlineStr">
        <is>
          <t>A 13110-2023</t>
        </is>
      </c>
      <c r="B533" s="1" t="n">
        <v>45001</v>
      </c>
      <c r="C533" s="1" t="n">
        <v>45831</v>
      </c>
      <c r="D533" t="inlineStr">
        <is>
          <t>UPPSALA LÄN</t>
        </is>
      </c>
      <c r="E533" t="inlineStr">
        <is>
          <t>ENKÖPING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13836-2023</t>
        </is>
      </c>
      <c r="B534" s="1" t="n">
        <v>45007</v>
      </c>
      <c r="C534" s="1" t="n">
        <v>45831</v>
      </c>
      <c r="D534" t="inlineStr">
        <is>
          <t>UPPSALA LÄN</t>
        </is>
      </c>
      <c r="E534" t="inlineStr">
        <is>
          <t>ENKÖPING</t>
        </is>
      </c>
      <c r="G534" t="n">
        <v>4.2</v>
      </c>
      <c r="H534" t="n">
        <v>0</v>
      </c>
      <c r="I534" t="n">
        <v>0</v>
      </c>
      <c r="J534" t="n">
        <v>0</v>
      </c>
      <c r="K534" t="n">
        <v>0</v>
      </c>
      <c r="L534" t="n">
        <v>0</v>
      </c>
      <c r="M534" t="n">
        <v>0</v>
      </c>
      <c r="N534" t="n">
        <v>0</v>
      </c>
      <c r="O534" t="n">
        <v>0</v>
      </c>
      <c r="P534" t="n">
        <v>0</v>
      </c>
      <c r="Q534" t="n">
        <v>0</v>
      </c>
      <c r="R534" s="2" t="inlineStr"/>
    </row>
    <row r="535" ht="15" customHeight="1">
      <c r="A535" t="inlineStr">
        <is>
          <t>A 13853-2023</t>
        </is>
      </c>
      <c r="B535" s="1" t="n">
        <v>45007</v>
      </c>
      <c r="C535" s="1" t="n">
        <v>45831</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13867-2023</t>
        </is>
      </c>
      <c r="B536" s="1" t="n">
        <v>45007</v>
      </c>
      <c r="C536" s="1" t="n">
        <v>45831</v>
      </c>
      <c r="D536" t="inlineStr">
        <is>
          <t>UPPSALA LÄN</t>
        </is>
      </c>
      <c r="E536" t="inlineStr">
        <is>
          <t>ENKÖPING</t>
        </is>
      </c>
      <c r="G536" t="n">
        <v>2</v>
      </c>
      <c r="H536" t="n">
        <v>0</v>
      </c>
      <c r="I536" t="n">
        <v>0</v>
      </c>
      <c r="J536" t="n">
        <v>0</v>
      </c>
      <c r="K536" t="n">
        <v>0</v>
      </c>
      <c r="L536" t="n">
        <v>0</v>
      </c>
      <c r="M536" t="n">
        <v>0</v>
      </c>
      <c r="N536" t="n">
        <v>0</v>
      </c>
      <c r="O536" t="n">
        <v>0</v>
      </c>
      <c r="P536" t="n">
        <v>0</v>
      </c>
      <c r="Q536" t="n">
        <v>0</v>
      </c>
      <c r="R536" s="2" t="inlineStr"/>
    </row>
    <row r="537" ht="15" customHeight="1">
      <c r="A537" t="inlineStr">
        <is>
          <t>A 14004-2023</t>
        </is>
      </c>
      <c r="B537" s="1" t="n">
        <v>45008</v>
      </c>
      <c r="C537" s="1" t="n">
        <v>45831</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14402-2023</t>
        </is>
      </c>
      <c r="B538" s="1" t="n">
        <v>45012</v>
      </c>
      <c r="C538" s="1" t="n">
        <v>45831</v>
      </c>
      <c r="D538" t="inlineStr">
        <is>
          <t>UPPSALA LÄN</t>
        </is>
      </c>
      <c r="E538" t="inlineStr">
        <is>
          <t>ENKÖPING</t>
        </is>
      </c>
      <c r="G538" t="n">
        <v>9.5</v>
      </c>
      <c r="H538" t="n">
        <v>0</v>
      </c>
      <c r="I538" t="n">
        <v>0</v>
      </c>
      <c r="J538" t="n">
        <v>0</v>
      </c>
      <c r="K538" t="n">
        <v>0</v>
      </c>
      <c r="L538" t="n">
        <v>0</v>
      </c>
      <c r="M538" t="n">
        <v>0</v>
      </c>
      <c r="N538" t="n">
        <v>0</v>
      </c>
      <c r="O538" t="n">
        <v>0</v>
      </c>
      <c r="P538" t="n">
        <v>0</v>
      </c>
      <c r="Q538" t="n">
        <v>0</v>
      </c>
      <c r="R538" s="2" t="inlineStr"/>
    </row>
    <row r="539" ht="15" customHeight="1">
      <c r="A539" t="inlineStr">
        <is>
          <t>A 15320-2023</t>
        </is>
      </c>
      <c r="B539" s="1" t="n">
        <v>45019</v>
      </c>
      <c r="C539" s="1" t="n">
        <v>45831</v>
      </c>
      <c r="D539" t="inlineStr">
        <is>
          <t>UPPSALA LÄN</t>
        </is>
      </c>
      <c r="E539" t="inlineStr">
        <is>
          <t>ENKÖPING</t>
        </is>
      </c>
      <c r="G539" t="n">
        <v>8</v>
      </c>
      <c r="H539" t="n">
        <v>0</v>
      </c>
      <c r="I539" t="n">
        <v>0</v>
      </c>
      <c r="J539" t="n">
        <v>0</v>
      </c>
      <c r="K539" t="n">
        <v>0</v>
      </c>
      <c r="L539" t="n">
        <v>0</v>
      </c>
      <c r="M539" t="n">
        <v>0</v>
      </c>
      <c r="N539" t="n">
        <v>0</v>
      </c>
      <c r="O539" t="n">
        <v>0</v>
      </c>
      <c r="P539" t="n">
        <v>0</v>
      </c>
      <c r="Q539" t="n">
        <v>0</v>
      </c>
      <c r="R539" s="2" t="inlineStr"/>
    </row>
    <row r="540" ht="15" customHeight="1">
      <c r="A540" t="inlineStr">
        <is>
          <t>A 15757-2023</t>
        </is>
      </c>
      <c r="B540" s="1" t="n">
        <v>45021</v>
      </c>
      <c r="C540" s="1" t="n">
        <v>45831</v>
      </c>
      <c r="D540" t="inlineStr">
        <is>
          <t>UPPSALA LÄN</t>
        </is>
      </c>
      <c r="E540" t="inlineStr">
        <is>
          <t>ENKÖPING</t>
        </is>
      </c>
      <c r="G540" t="n">
        <v>3</v>
      </c>
      <c r="H540" t="n">
        <v>0</v>
      </c>
      <c r="I540" t="n">
        <v>0</v>
      </c>
      <c r="J540" t="n">
        <v>0</v>
      </c>
      <c r="K540" t="n">
        <v>0</v>
      </c>
      <c r="L540" t="n">
        <v>0</v>
      </c>
      <c r="M540" t="n">
        <v>0</v>
      </c>
      <c r="N540" t="n">
        <v>0</v>
      </c>
      <c r="O540" t="n">
        <v>0</v>
      </c>
      <c r="P540" t="n">
        <v>0</v>
      </c>
      <c r="Q540" t="n">
        <v>0</v>
      </c>
      <c r="R540" s="2" t="inlineStr"/>
    </row>
    <row r="541" ht="15" customHeight="1">
      <c r="A541" t="inlineStr">
        <is>
          <t>A 16320-2023</t>
        </is>
      </c>
      <c r="B541" s="1" t="n">
        <v>45028</v>
      </c>
      <c r="C541" s="1" t="n">
        <v>45831</v>
      </c>
      <c r="D541" t="inlineStr">
        <is>
          <t>UPPSALA LÄN</t>
        </is>
      </c>
      <c r="E541" t="inlineStr">
        <is>
          <t>ENKÖPING</t>
        </is>
      </c>
      <c r="G541" t="n">
        <v>5.2</v>
      </c>
      <c r="H541" t="n">
        <v>0</v>
      </c>
      <c r="I541" t="n">
        <v>0</v>
      </c>
      <c r="J541" t="n">
        <v>0</v>
      </c>
      <c r="K541" t="n">
        <v>0</v>
      </c>
      <c r="L541" t="n">
        <v>0</v>
      </c>
      <c r="M541" t="n">
        <v>0</v>
      </c>
      <c r="N541" t="n">
        <v>0</v>
      </c>
      <c r="O541" t="n">
        <v>0</v>
      </c>
      <c r="P541" t="n">
        <v>0</v>
      </c>
      <c r="Q541" t="n">
        <v>0</v>
      </c>
      <c r="R541" s="2" t="inlineStr"/>
    </row>
    <row r="542" ht="15" customHeight="1">
      <c r="A542" t="inlineStr">
        <is>
          <t>A 16905-2023</t>
        </is>
      </c>
      <c r="B542" s="1" t="n">
        <v>45033</v>
      </c>
      <c r="C542" s="1" t="n">
        <v>45831</v>
      </c>
      <c r="D542" t="inlineStr">
        <is>
          <t>UPPSALA LÄN</t>
        </is>
      </c>
      <c r="E542" t="inlineStr">
        <is>
          <t>ENKÖPING</t>
        </is>
      </c>
      <c r="G542" t="n">
        <v>3.6</v>
      </c>
      <c r="H542" t="n">
        <v>0</v>
      </c>
      <c r="I542" t="n">
        <v>0</v>
      </c>
      <c r="J542" t="n">
        <v>0</v>
      </c>
      <c r="K542" t="n">
        <v>0</v>
      </c>
      <c r="L542" t="n">
        <v>0</v>
      </c>
      <c r="M542" t="n">
        <v>0</v>
      </c>
      <c r="N542" t="n">
        <v>0</v>
      </c>
      <c r="O542" t="n">
        <v>0</v>
      </c>
      <c r="P542" t="n">
        <v>0</v>
      </c>
      <c r="Q542" t="n">
        <v>0</v>
      </c>
      <c r="R542" s="2" t="inlineStr"/>
    </row>
    <row r="543" ht="15" customHeight="1">
      <c r="A543" t="inlineStr">
        <is>
          <t>A 16916-2023</t>
        </is>
      </c>
      <c r="B543" s="1" t="n">
        <v>45033</v>
      </c>
      <c r="C543" s="1" t="n">
        <v>45831</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16920-2023</t>
        </is>
      </c>
      <c r="B544" s="1" t="n">
        <v>45033</v>
      </c>
      <c r="C544" s="1" t="n">
        <v>45831</v>
      </c>
      <c r="D544" t="inlineStr">
        <is>
          <t>UPPSALA LÄN</t>
        </is>
      </c>
      <c r="E544" t="inlineStr">
        <is>
          <t>ENKÖPING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17254-2023</t>
        </is>
      </c>
      <c r="B545" s="1" t="n">
        <v>45034</v>
      </c>
      <c r="C545" s="1" t="n">
        <v>45831</v>
      </c>
      <c r="D545" t="inlineStr">
        <is>
          <t>UPPSALA LÄN</t>
        </is>
      </c>
      <c r="E545" t="inlineStr">
        <is>
          <t>ENKÖPING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17511-2023</t>
        </is>
      </c>
      <c r="B546" s="1" t="n">
        <v>45034</v>
      </c>
      <c r="C546" s="1" t="n">
        <v>45831</v>
      </c>
      <c r="D546" t="inlineStr">
        <is>
          <t>UPPSALA LÄN</t>
        </is>
      </c>
      <c r="E546" t="inlineStr">
        <is>
          <t>ENKÖPING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17373-2023</t>
        </is>
      </c>
      <c r="B547" s="1" t="n">
        <v>45035</v>
      </c>
      <c r="C547" s="1" t="n">
        <v>45831</v>
      </c>
      <c r="D547" t="inlineStr">
        <is>
          <t>UPPSALA LÄN</t>
        </is>
      </c>
      <c r="E547" t="inlineStr">
        <is>
          <t>ENKÖPING</t>
        </is>
      </c>
      <c r="G547" t="n">
        <v>3.1</v>
      </c>
      <c r="H547" t="n">
        <v>0</v>
      </c>
      <c r="I547" t="n">
        <v>0</v>
      </c>
      <c r="J547" t="n">
        <v>0</v>
      </c>
      <c r="K547" t="n">
        <v>0</v>
      </c>
      <c r="L547" t="n">
        <v>0</v>
      </c>
      <c r="M547" t="n">
        <v>0</v>
      </c>
      <c r="N547" t="n">
        <v>0</v>
      </c>
      <c r="O547" t="n">
        <v>0</v>
      </c>
      <c r="P547" t="n">
        <v>0</v>
      </c>
      <c r="Q547" t="n">
        <v>0</v>
      </c>
      <c r="R547" s="2" t="inlineStr"/>
    </row>
    <row r="548" ht="15" customHeight="1">
      <c r="A548" t="inlineStr">
        <is>
          <t>A 17729-2023</t>
        </is>
      </c>
      <c r="B548" s="1" t="n">
        <v>45037</v>
      </c>
      <c r="C548" s="1" t="n">
        <v>45831</v>
      </c>
      <c r="D548" t="inlineStr">
        <is>
          <t>UPPSALA LÄN</t>
        </is>
      </c>
      <c r="E548" t="inlineStr">
        <is>
          <t>ENKÖPING</t>
        </is>
      </c>
      <c r="G548" t="n">
        <v>10.2</v>
      </c>
      <c r="H548" t="n">
        <v>0</v>
      </c>
      <c r="I548" t="n">
        <v>0</v>
      </c>
      <c r="J548" t="n">
        <v>0</v>
      </c>
      <c r="K548" t="n">
        <v>0</v>
      </c>
      <c r="L548" t="n">
        <v>0</v>
      </c>
      <c r="M548" t="n">
        <v>0</v>
      </c>
      <c r="N548" t="n">
        <v>0</v>
      </c>
      <c r="O548" t="n">
        <v>0</v>
      </c>
      <c r="P548" t="n">
        <v>0</v>
      </c>
      <c r="Q548" t="n">
        <v>0</v>
      </c>
      <c r="R548" s="2" t="inlineStr"/>
    </row>
    <row r="549" ht="15" customHeight="1">
      <c r="A549" t="inlineStr">
        <is>
          <t>A 17813-2023</t>
        </is>
      </c>
      <c r="B549" s="1" t="n">
        <v>45037</v>
      </c>
      <c r="C549" s="1" t="n">
        <v>45831</v>
      </c>
      <c r="D549" t="inlineStr">
        <is>
          <t>UPPSALA LÄN</t>
        </is>
      </c>
      <c r="E549" t="inlineStr">
        <is>
          <t>ENKÖPING</t>
        </is>
      </c>
      <c r="G549" t="n">
        <v>1.9</v>
      </c>
      <c r="H549" t="n">
        <v>0</v>
      </c>
      <c r="I549" t="n">
        <v>0</v>
      </c>
      <c r="J549" t="n">
        <v>0</v>
      </c>
      <c r="K549" t="n">
        <v>0</v>
      </c>
      <c r="L549" t="n">
        <v>0</v>
      </c>
      <c r="M549" t="n">
        <v>0</v>
      </c>
      <c r="N549" t="n">
        <v>0</v>
      </c>
      <c r="O549" t="n">
        <v>0</v>
      </c>
      <c r="P549" t="n">
        <v>0</v>
      </c>
      <c r="Q549" t="n">
        <v>0</v>
      </c>
      <c r="R549" s="2" t="inlineStr"/>
    </row>
    <row r="550" ht="15" customHeight="1">
      <c r="A550" t="inlineStr">
        <is>
          <t>A 18030-2023</t>
        </is>
      </c>
      <c r="B550" s="1" t="n">
        <v>45040</v>
      </c>
      <c r="C550" s="1" t="n">
        <v>45831</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18696-2023</t>
        </is>
      </c>
      <c r="B551" s="1" t="n">
        <v>45043</v>
      </c>
      <c r="C551" s="1" t="n">
        <v>45831</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18821-2023</t>
        </is>
      </c>
      <c r="B552" s="1" t="n">
        <v>45044</v>
      </c>
      <c r="C552" s="1" t="n">
        <v>45831</v>
      </c>
      <c r="D552" t="inlineStr">
        <is>
          <t>UPPSALA LÄN</t>
        </is>
      </c>
      <c r="E552" t="inlineStr">
        <is>
          <t>ENKÖPING</t>
        </is>
      </c>
      <c r="G552" t="n">
        <v>6</v>
      </c>
      <c r="H552" t="n">
        <v>0</v>
      </c>
      <c r="I552" t="n">
        <v>0</v>
      </c>
      <c r="J552" t="n">
        <v>0</v>
      </c>
      <c r="K552" t="n">
        <v>0</v>
      </c>
      <c r="L552" t="n">
        <v>0</v>
      </c>
      <c r="M552" t="n">
        <v>0</v>
      </c>
      <c r="N552" t="n">
        <v>0</v>
      </c>
      <c r="O552" t="n">
        <v>0</v>
      </c>
      <c r="P552" t="n">
        <v>0</v>
      </c>
      <c r="Q552" t="n">
        <v>0</v>
      </c>
      <c r="R552" s="2" t="inlineStr"/>
    </row>
    <row r="553" ht="15" customHeight="1">
      <c r="A553" t="inlineStr">
        <is>
          <t>A 18831-2023</t>
        </is>
      </c>
      <c r="B553" s="1" t="n">
        <v>45044</v>
      </c>
      <c r="C553" s="1" t="n">
        <v>45831</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19298-2023</t>
        </is>
      </c>
      <c r="B554" s="1" t="n">
        <v>45048</v>
      </c>
      <c r="C554" s="1" t="n">
        <v>45831</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19301-2023</t>
        </is>
      </c>
      <c r="B555" s="1" t="n">
        <v>45048</v>
      </c>
      <c r="C555" s="1" t="n">
        <v>45831</v>
      </c>
      <c r="D555" t="inlineStr">
        <is>
          <t>UPPSALA LÄN</t>
        </is>
      </c>
      <c r="E555" t="inlineStr">
        <is>
          <t>ENKÖPING</t>
        </is>
      </c>
      <c r="G555" t="n">
        <v>1.8</v>
      </c>
      <c r="H555" t="n">
        <v>0</v>
      </c>
      <c r="I555" t="n">
        <v>0</v>
      </c>
      <c r="J555" t="n">
        <v>0</v>
      </c>
      <c r="K555" t="n">
        <v>0</v>
      </c>
      <c r="L555" t="n">
        <v>0</v>
      </c>
      <c r="M555" t="n">
        <v>0</v>
      </c>
      <c r="N555" t="n">
        <v>0</v>
      </c>
      <c r="O555" t="n">
        <v>0</v>
      </c>
      <c r="P555" t="n">
        <v>0</v>
      </c>
      <c r="Q555" t="n">
        <v>0</v>
      </c>
      <c r="R555" s="2" t="inlineStr"/>
    </row>
    <row r="556" ht="15" customHeight="1">
      <c r="A556" t="inlineStr">
        <is>
          <t>A 19415-2023</t>
        </is>
      </c>
      <c r="B556" s="1" t="n">
        <v>45049</v>
      </c>
      <c r="C556" s="1" t="n">
        <v>45831</v>
      </c>
      <c r="D556" t="inlineStr">
        <is>
          <t>UPPSALA LÄN</t>
        </is>
      </c>
      <c r="E556" t="inlineStr">
        <is>
          <t>ENKÖPING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20431-2023</t>
        </is>
      </c>
      <c r="B557" s="1" t="n">
        <v>45054</v>
      </c>
      <c r="C557" s="1" t="n">
        <v>45831</v>
      </c>
      <c r="D557" t="inlineStr">
        <is>
          <t>UPPSALA LÄN</t>
        </is>
      </c>
      <c r="E557" t="inlineStr">
        <is>
          <t>ENKÖPING</t>
        </is>
      </c>
      <c r="F557" t="inlineStr">
        <is>
          <t>Övriga statliga verk och myndigheter</t>
        </is>
      </c>
      <c r="G557" t="n">
        <v>3.3</v>
      </c>
      <c r="H557" t="n">
        <v>0</v>
      </c>
      <c r="I557" t="n">
        <v>0</v>
      </c>
      <c r="J557" t="n">
        <v>0</v>
      </c>
      <c r="K557" t="n">
        <v>0</v>
      </c>
      <c r="L557" t="n">
        <v>0</v>
      </c>
      <c r="M557" t="n">
        <v>0</v>
      </c>
      <c r="N557" t="n">
        <v>0</v>
      </c>
      <c r="O557" t="n">
        <v>0</v>
      </c>
      <c r="P557" t="n">
        <v>0</v>
      </c>
      <c r="Q557" t="n">
        <v>0</v>
      </c>
      <c r="R557" s="2" t="inlineStr"/>
    </row>
    <row r="558" ht="15" customHeight="1">
      <c r="A558" t="inlineStr">
        <is>
          <t>A 20179-2023</t>
        </is>
      </c>
      <c r="B558" s="1" t="n">
        <v>45055</v>
      </c>
      <c r="C558" s="1" t="n">
        <v>45831</v>
      </c>
      <c r="D558" t="inlineStr">
        <is>
          <t>UPPSALA LÄN</t>
        </is>
      </c>
      <c r="E558" t="inlineStr">
        <is>
          <t>ENKÖPING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20184-2023</t>
        </is>
      </c>
      <c r="B559" s="1" t="n">
        <v>45055</v>
      </c>
      <c r="C559" s="1" t="n">
        <v>45831</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20188-2023</t>
        </is>
      </c>
      <c r="B560" s="1" t="n">
        <v>45055</v>
      </c>
      <c r="C560" s="1" t="n">
        <v>45831</v>
      </c>
      <c r="D560" t="inlineStr">
        <is>
          <t>UPPSALA LÄN</t>
        </is>
      </c>
      <c r="E560" t="inlineStr">
        <is>
          <t>ENKÖPING</t>
        </is>
      </c>
      <c r="G560" t="n">
        <v>4.9</v>
      </c>
      <c r="H560" t="n">
        <v>0</v>
      </c>
      <c r="I560" t="n">
        <v>0</v>
      </c>
      <c r="J560" t="n">
        <v>0</v>
      </c>
      <c r="K560" t="n">
        <v>0</v>
      </c>
      <c r="L560" t="n">
        <v>0</v>
      </c>
      <c r="M560" t="n">
        <v>0</v>
      </c>
      <c r="N560" t="n">
        <v>0</v>
      </c>
      <c r="O560" t="n">
        <v>0</v>
      </c>
      <c r="P560" t="n">
        <v>0</v>
      </c>
      <c r="Q560" t="n">
        <v>0</v>
      </c>
      <c r="R560" s="2" t="inlineStr"/>
    </row>
    <row r="561" ht="15" customHeight="1">
      <c r="A561" t="inlineStr">
        <is>
          <t>A 20201-2023</t>
        </is>
      </c>
      <c r="B561" s="1" t="n">
        <v>45055</v>
      </c>
      <c r="C561" s="1" t="n">
        <v>45831</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20181-2023</t>
        </is>
      </c>
      <c r="B562" s="1" t="n">
        <v>45055</v>
      </c>
      <c r="C562" s="1" t="n">
        <v>45831</v>
      </c>
      <c r="D562" t="inlineStr">
        <is>
          <t>UPPSALA LÄN</t>
        </is>
      </c>
      <c r="E562" t="inlineStr">
        <is>
          <t>ENKÖPING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20186-2023</t>
        </is>
      </c>
      <c r="B563" s="1" t="n">
        <v>45055</v>
      </c>
      <c r="C563" s="1" t="n">
        <v>45831</v>
      </c>
      <c r="D563" t="inlineStr">
        <is>
          <t>UPPSALA LÄN</t>
        </is>
      </c>
      <c r="E563" t="inlineStr">
        <is>
          <t>ENKÖPING</t>
        </is>
      </c>
      <c r="G563" t="n">
        <v>4.3</v>
      </c>
      <c r="H563" t="n">
        <v>0</v>
      </c>
      <c r="I563" t="n">
        <v>0</v>
      </c>
      <c r="J563" t="n">
        <v>0</v>
      </c>
      <c r="K563" t="n">
        <v>0</v>
      </c>
      <c r="L563" t="n">
        <v>0</v>
      </c>
      <c r="M563" t="n">
        <v>0</v>
      </c>
      <c r="N563" t="n">
        <v>0</v>
      </c>
      <c r="O563" t="n">
        <v>0</v>
      </c>
      <c r="P563" t="n">
        <v>0</v>
      </c>
      <c r="Q563" t="n">
        <v>0</v>
      </c>
      <c r="R563" s="2" t="inlineStr"/>
    </row>
    <row r="564" ht="15" customHeight="1">
      <c r="A564" t="inlineStr">
        <is>
          <t>A 20199-2023</t>
        </is>
      </c>
      <c r="B564" s="1" t="n">
        <v>45055</v>
      </c>
      <c r="C564" s="1" t="n">
        <v>45831</v>
      </c>
      <c r="D564" t="inlineStr">
        <is>
          <t>UPPSALA LÄN</t>
        </is>
      </c>
      <c r="E564" t="inlineStr">
        <is>
          <t>ENKÖPING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20261-2023</t>
        </is>
      </c>
      <c r="B565" s="1" t="n">
        <v>45055</v>
      </c>
      <c r="C565" s="1" t="n">
        <v>45831</v>
      </c>
      <c r="D565" t="inlineStr">
        <is>
          <t>UPPSALA LÄN</t>
        </is>
      </c>
      <c r="E565" t="inlineStr">
        <is>
          <t>ENKÖPING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20396-2023</t>
        </is>
      </c>
      <c r="B566" s="1" t="n">
        <v>45056</v>
      </c>
      <c r="C566" s="1" t="n">
        <v>45831</v>
      </c>
      <c r="D566" t="inlineStr">
        <is>
          <t>UPPSALA LÄN</t>
        </is>
      </c>
      <c r="E566" t="inlineStr">
        <is>
          <t>ENKÖPING</t>
        </is>
      </c>
      <c r="G566" t="n">
        <v>3.2</v>
      </c>
      <c r="H566" t="n">
        <v>0</v>
      </c>
      <c r="I566" t="n">
        <v>0</v>
      </c>
      <c r="J566" t="n">
        <v>0</v>
      </c>
      <c r="K566" t="n">
        <v>0</v>
      </c>
      <c r="L566" t="n">
        <v>0</v>
      </c>
      <c r="M566" t="n">
        <v>0</v>
      </c>
      <c r="N566" t="n">
        <v>0</v>
      </c>
      <c r="O566" t="n">
        <v>0</v>
      </c>
      <c r="P566" t="n">
        <v>0</v>
      </c>
      <c r="Q566" t="n">
        <v>0</v>
      </c>
      <c r="R566" s="2" t="inlineStr"/>
    </row>
    <row r="567" ht="15" customHeight="1">
      <c r="A567" t="inlineStr">
        <is>
          <t>A 20845-2023</t>
        </is>
      </c>
      <c r="B567" s="1" t="n">
        <v>45056</v>
      </c>
      <c r="C567" s="1" t="n">
        <v>45831</v>
      </c>
      <c r="D567" t="inlineStr">
        <is>
          <t>UPPSALA LÄN</t>
        </is>
      </c>
      <c r="E567" t="inlineStr">
        <is>
          <t>ENKÖPING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20897-2023</t>
        </is>
      </c>
      <c r="B568" s="1" t="n">
        <v>45059</v>
      </c>
      <c r="C568" s="1" t="n">
        <v>45831</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21020-2023</t>
        </is>
      </c>
      <c r="B569" s="1" t="n">
        <v>45061</v>
      </c>
      <c r="C569" s="1" t="n">
        <v>45831</v>
      </c>
      <c r="D569" t="inlineStr">
        <is>
          <t>UPPSALA LÄN</t>
        </is>
      </c>
      <c r="E569" t="inlineStr">
        <is>
          <t>ENKÖPING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21017-2023</t>
        </is>
      </c>
      <c r="B570" s="1" t="n">
        <v>45061</v>
      </c>
      <c r="C570" s="1" t="n">
        <v>45831</v>
      </c>
      <c r="D570" t="inlineStr">
        <is>
          <t>UPPSALA LÄN</t>
        </is>
      </c>
      <c r="E570" t="inlineStr">
        <is>
          <t>ENKÖPING</t>
        </is>
      </c>
      <c r="G570" t="n">
        <v>4.8</v>
      </c>
      <c r="H570" t="n">
        <v>0</v>
      </c>
      <c r="I570" t="n">
        <v>0</v>
      </c>
      <c r="J570" t="n">
        <v>0</v>
      </c>
      <c r="K570" t="n">
        <v>0</v>
      </c>
      <c r="L570" t="n">
        <v>0</v>
      </c>
      <c r="M570" t="n">
        <v>0</v>
      </c>
      <c r="N570" t="n">
        <v>0</v>
      </c>
      <c r="O570" t="n">
        <v>0</v>
      </c>
      <c r="P570" t="n">
        <v>0</v>
      </c>
      <c r="Q570" t="n">
        <v>0</v>
      </c>
      <c r="R570" s="2" t="inlineStr"/>
    </row>
    <row r="571" ht="15" customHeight="1">
      <c r="A571" t="inlineStr">
        <is>
          <t>A 21620-2023</t>
        </is>
      </c>
      <c r="B571" s="1" t="n">
        <v>45063</v>
      </c>
      <c r="C571" s="1" t="n">
        <v>45831</v>
      </c>
      <c r="D571" t="inlineStr">
        <is>
          <t>UPPSALA LÄN</t>
        </is>
      </c>
      <c r="E571" t="inlineStr">
        <is>
          <t>ENKÖPING</t>
        </is>
      </c>
      <c r="F571" t="inlineStr">
        <is>
          <t>Allmännings- och besparingsskogar</t>
        </is>
      </c>
      <c r="G571" t="n">
        <v>1.1</v>
      </c>
      <c r="H571" t="n">
        <v>0</v>
      </c>
      <c r="I571" t="n">
        <v>0</v>
      </c>
      <c r="J571" t="n">
        <v>0</v>
      </c>
      <c r="K571" t="n">
        <v>0</v>
      </c>
      <c r="L571" t="n">
        <v>0</v>
      </c>
      <c r="M571" t="n">
        <v>0</v>
      </c>
      <c r="N571" t="n">
        <v>0</v>
      </c>
      <c r="O571" t="n">
        <v>0</v>
      </c>
      <c r="P571" t="n">
        <v>0</v>
      </c>
      <c r="Q571" t="n">
        <v>0</v>
      </c>
      <c r="R571" s="2" t="inlineStr"/>
    </row>
    <row r="572" ht="15" customHeight="1">
      <c r="A572" t="inlineStr">
        <is>
          <t>A 21612-2023</t>
        </is>
      </c>
      <c r="B572" s="1" t="n">
        <v>45063</v>
      </c>
      <c r="C572" s="1" t="n">
        <v>45831</v>
      </c>
      <c r="D572" t="inlineStr">
        <is>
          <t>UPPSALA LÄN</t>
        </is>
      </c>
      <c r="E572" t="inlineStr">
        <is>
          <t>ENKÖPING</t>
        </is>
      </c>
      <c r="F572" t="inlineStr">
        <is>
          <t>Allmännings- och besparingsskogar</t>
        </is>
      </c>
      <c r="G572" t="n">
        <v>1</v>
      </c>
      <c r="H572" t="n">
        <v>0</v>
      </c>
      <c r="I572" t="n">
        <v>0</v>
      </c>
      <c r="J572" t="n">
        <v>0</v>
      </c>
      <c r="K572" t="n">
        <v>0</v>
      </c>
      <c r="L572" t="n">
        <v>0</v>
      </c>
      <c r="M572" t="n">
        <v>0</v>
      </c>
      <c r="N572" t="n">
        <v>0</v>
      </c>
      <c r="O572" t="n">
        <v>0</v>
      </c>
      <c r="P572" t="n">
        <v>0</v>
      </c>
      <c r="Q572" t="n">
        <v>0</v>
      </c>
      <c r="R572" s="2" t="inlineStr"/>
    </row>
    <row r="573" ht="15" customHeight="1">
      <c r="A573" t="inlineStr">
        <is>
          <t>A 22094-2023</t>
        </is>
      </c>
      <c r="B573" s="1" t="n">
        <v>45069</v>
      </c>
      <c r="C573" s="1" t="n">
        <v>45831</v>
      </c>
      <c r="D573" t="inlineStr">
        <is>
          <t>UPPSALA LÄN</t>
        </is>
      </c>
      <c r="E573" t="inlineStr">
        <is>
          <t>ENKÖPING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25333-2023</t>
        </is>
      </c>
      <c r="B574" s="1" t="n">
        <v>45083</v>
      </c>
      <c r="C574" s="1" t="n">
        <v>45831</v>
      </c>
      <c r="D574" t="inlineStr">
        <is>
          <t>UPPSALA LÄN</t>
        </is>
      </c>
      <c r="E574" t="inlineStr">
        <is>
          <t>ENKÖPING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25334-2023</t>
        </is>
      </c>
      <c r="B575" s="1" t="n">
        <v>45083</v>
      </c>
      <c r="C575" s="1" t="n">
        <v>45831</v>
      </c>
      <c r="D575" t="inlineStr">
        <is>
          <t>UPPSALA LÄN</t>
        </is>
      </c>
      <c r="E575" t="inlineStr">
        <is>
          <t>ENKÖPING</t>
        </is>
      </c>
      <c r="G575" t="n">
        <v>0.2</v>
      </c>
      <c r="H575" t="n">
        <v>0</v>
      </c>
      <c r="I575" t="n">
        <v>0</v>
      </c>
      <c r="J575" t="n">
        <v>0</v>
      </c>
      <c r="K575" t="n">
        <v>0</v>
      </c>
      <c r="L575" t="n">
        <v>0</v>
      </c>
      <c r="M575" t="n">
        <v>0</v>
      </c>
      <c r="N575" t="n">
        <v>0</v>
      </c>
      <c r="O575" t="n">
        <v>0</v>
      </c>
      <c r="P575" t="n">
        <v>0</v>
      </c>
      <c r="Q575" t="n">
        <v>0</v>
      </c>
      <c r="R575" s="2" t="inlineStr"/>
    </row>
    <row r="576" ht="15" customHeight="1">
      <c r="A576" t="inlineStr">
        <is>
          <t>A 24962-2023</t>
        </is>
      </c>
      <c r="B576" s="1" t="n">
        <v>45085</v>
      </c>
      <c r="C576" s="1" t="n">
        <v>45831</v>
      </c>
      <c r="D576" t="inlineStr">
        <is>
          <t>UPPSALA LÄN</t>
        </is>
      </c>
      <c r="E576" t="inlineStr">
        <is>
          <t>ENKÖPING</t>
        </is>
      </c>
      <c r="G576" t="n">
        <v>2.8</v>
      </c>
      <c r="H576" t="n">
        <v>0</v>
      </c>
      <c r="I576" t="n">
        <v>0</v>
      </c>
      <c r="J576" t="n">
        <v>0</v>
      </c>
      <c r="K576" t="n">
        <v>0</v>
      </c>
      <c r="L576" t="n">
        <v>0</v>
      </c>
      <c r="M576" t="n">
        <v>0</v>
      </c>
      <c r="N576" t="n">
        <v>0</v>
      </c>
      <c r="O576" t="n">
        <v>0</v>
      </c>
      <c r="P576" t="n">
        <v>0</v>
      </c>
      <c r="Q576" t="n">
        <v>0</v>
      </c>
      <c r="R576" s="2" t="inlineStr"/>
    </row>
    <row r="577" ht="15" customHeight="1">
      <c r="A577" t="inlineStr">
        <is>
          <t>A 24960-2023</t>
        </is>
      </c>
      <c r="B577" s="1" t="n">
        <v>45085</v>
      </c>
      <c r="C577" s="1" t="n">
        <v>45831</v>
      </c>
      <c r="D577" t="inlineStr">
        <is>
          <t>UPPSALA LÄN</t>
        </is>
      </c>
      <c r="E577" t="inlineStr">
        <is>
          <t>ENKÖPING</t>
        </is>
      </c>
      <c r="G577" t="n">
        <v>2.1</v>
      </c>
      <c r="H577" t="n">
        <v>0</v>
      </c>
      <c r="I577" t="n">
        <v>0</v>
      </c>
      <c r="J577" t="n">
        <v>0</v>
      </c>
      <c r="K577" t="n">
        <v>0</v>
      </c>
      <c r="L577" t="n">
        <v>0</v>
      </c>
      <c r="M577" t="n">
        <v>0</v>
      </c>
      <c r="N577" t="n">
        <v>0</v>
      </c>
      <c r="O577" t="n">
        <v>0</v>
      </c>
      <c r="P577" t="n">
        <v>0</v>
      </c>
      <c r="Q577" t="n">
        <v>0</v>
      </c>
      <c r="R577" s="2" t="inlineStr"/>
    </row>
    <row r="578" ht="15" customHeight="1">
      <c r="A578" t="inlineStr">
        <is>
          <t>A 24974-2023</t>
        </is>
      </c>
      <c r="B578" s="1" t="n">
        <v>45085</v>
      </c>
      <c r="C578" s="1" t="n">
        <v>45831</v>
      </c>
      <c r="D578" t="inlineStr">
        <is>
          <t>UPPSALA LÄN</t>
        </is>
      </c>
      <c r="E578" t="inlineStr">
        <is>
          <t>ENKÖPING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24978-2023</t>
        </is>
      </c>
      <c r="B579" s="1" t="n">
        <v>45085</v>
      </c>
      <c r="C579" s="1" t="n">
        <v>45831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26577-2023</t>
        </is>
      </c>
      <c r="B580" s="1" t="n">
        <v>45092</v>
      </c>
      <c r="C580" s="1" t="n">
        <v>45831</v>
      </c>
      <c r="D580" t="inlineStr">
        <is>
          <t>UPPSALA LÄN</t>
        </is>
      </c>
      <c r="E580" t="inlineStr">
        <is>
          <t>ENKÖPING</t>
        </is>
      </c>
      <c r="G580" t="n">
        <v>2</v>
      </c>
      <c r="H580" t="n">
        <v>0</v>
      </c>
      <c r="I580" t="n">
        <v>0</v>
      </c>
      <c r="J580" t="n">
        <v>0</v>
      </c>
      <c r="K580" t="n">
        <v>0</v>
      </c>
      <c r="L580" t="n">
        <v>0</v>
      </c>
      <c r="M580" t="n">
        <v>0</v>
      </c>
      <c r="N580" t="n">
        <v>0</v>
      </c>
      <c r="O580" t="n">
        <v>0</v>
      </c>
      <c r="P580" t="n">
        <v>0</v>
      </c>
      <c r="Q580" t="n">
        <v>0</v>
      </c>
      <c r="R580" s="2" t="inlineStr"/>
    </row>
    <row r="581" ht="15" customHeight="1">
      <c r="A581" t="inlineStr">
        <is>
          <t>A 27178-2023</t>
        </is>
      </c>
      <c r="B581" s="1" t="n">
        <v>45096</v>
      </c>
      <c r="C581" s="1" t="n">
        <v>45831</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27538-2023</t>
        </is>
      </c>
      <c r="B582" s="1" t="n">
        <v>45097</v>
      </c>
      <c r="C582" s="1" t="n">
        <v>45831</v>
      </c>
      <c r="D582" t="inlineStr">
        <is>
          <t>UPPSALA LÄN</t>
        </is>
      </c>
      <c r="E582" t="inlineStr">
        <is>
          <t>ENKÖPING</t>
        </is>
      </c>
      <c r="G582" t="n">
        <v>5.8</v>
      </c>
      <c r="H582" t="n">
        <v>0</v>
      </c>
      <c r="I582" t="n">
        <v>0</v>
      </c>
      <c r="J582" t="n">
        <v>0</v>
      </c>
      <c r="K582" t="n">
        <v>0</v>
      </c>
      <c r="L582" t="n">
        <v>0</v>
      </c>
      <c r="M582" t="n">
        <v>0</v>
      </c>
      <c r="N582" t="n">
        <v>0</v>
      </c>
      <c r="O582" t="n">
        <v>0</v>
      </c>
      <c r="P582" t="n">
        <v>0</v>
      </c>
      <c r="Q582" t="n">
        <v>0</v>
      </c>
      <c r="R582" s="2" t="inlineStr"/>
    </row>
    <row r="583" ht="15" customHeight="1">
      <c r="A583" t="inlineStr">
        <is>
          <t>A 27730-2023</t>
        </is>
      </c>
      <c r="B583" s="1" t="n">
        <v>45097</v>
      </c>
      <c r="C583" s="1" t="n">
        <v>45831</v>
      </c>
      <c r="D583" t="inlineStr">
        <is>
          <t>UPPSALA LÄN</t>
        </is>
      </c>
      <c r="E583" t="inlineStr">
        <is>
          <t>ENKÖPING</t>
        </is>
      </c>
      <c r="G583" t="n">
        <v>1.3</v>
      </c>
      <c r="H583" t="n">
        <v>0</v>
      </c>
      <c r="I583" t="n">
        <v>0</v>
      </c>
      <c r="J583" t="n">
        <v>0</v>
      </c>
      <c r="K583" t="n">
        <v>0</v>
      </c>
      <c r="L583" t="n">
        <v>0</v>
      </c>
      <c r="M583" t="n">
        <v>0</v>
      </c>
      <c r="N583" t="n">
        <v>0</v>
      </c>
      <c r="O583" t="n">
        <v>0</v>
      </c>
      <c r="P583" t="n">
        <v>0</v>
      </c>
      <c r="Q583" t="n">
        <v>0</v>
      </c>
      <c r="R583" s="2" t="inlineStr"/>
    </row>
    <row r="584" ht="15" customHeight="1">
      <c r="A584" t="inlineStr">
        <is>
          <t>A 27805-2023</t>
        </is>
      </c>
      <c r="B584" s="1" t="n">
        <v>45098</v>
      </c>
      <c r="C584" s="1" t="n">
        <v>45831</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27839-2023</t>
        </is>
      </c>
      <c r="B585" s="1" t="n">
        <v>45098</v>
      </c>
      <c r="C585" s="1" t="n">
        <v>45831</v>
      </c>
      <c r="D585" t="inlineStr">
        <is>
          <t>UPPSALA LÄN</t>
        </is>
      </c>
      <c r="E585" t="inlineStr">
        <is>
          <t>ENKÖPING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27786-2023</t>
        </is>
      </c>
      <c r="B586" s="1" t="n">
        <v>45098</v>
      </c>
      <c r="C586" s="1" t="n">
        <v>45831</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27855-2023</t>
        </is>
      </c>
      <c r="B587" s="1" t="n">
        <v>45098</v>
      </c>
      <c r="C587" s="1" t="n">
        <v>45831</v>
      </c>
      <c r="D587" t="inlineStr">
        <is>
          <t>UPPSALA LÄN</t>
        </is>
      </c>
      <c r="E587" t="inlineStr">
        <is>
          <t>ENKÖPING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27928-2023</t>
        </is>
      </c>
      <c r="B588" s="1" t="n">
        <v>45098</v>
      </c>
      <c r="C588" s="1" t="n">
        <v>45831</v>
      </c>
      <c r="D588" t="inlineStr">
        <is>
          <t>UPPSALA LÄN</t>
        </is>
      </c>
      <c r="E588" t="inlineStr">
        <is>
          <t>ENKÖPING</t>
        </is>
      </c>
      <c r="G588" t="n">
        <v>11.5</v>
      </c>
      <c r="H588" t="n">
        <v>0</v>
      </c>
      <c r="I588" t="n">
        <v>0</v>
      </c>
      <c r="J588" t="n">
        <v>0</v>
      </c>
      <c r="K588" t="n">
        <v>0</v>
      </c>
      <c r="L588" t="n">
        <v>0</v>
      </c>
      <c r="M588" t="n">
        <v>0</v>
      </c>
      <c r="N588" t="n">
        <v>0</v>
      </c>
      <c r="O588" t="n">
        <v>0</v>
      </c>
      <c r="P588" t="n">
        <v>0</v>
      </c>
      <c r="Q588" t="n">
        <v>0</v>
      </c>
      <c r="R588" s="2" t="inlineStr"/>
    </row>
    <row r="589" ht="15" customHeight="1">
      <c r="A589" t="inlineStr">
        <is>
          <t>A 28243-2023</t>
        </is>
      </c>
      <c r="B589" s="1" t="n">
        <v>45099</v>
      </c>
      <c r="C589" s="1" t="n">
        <v>45831</v>
      </c>
      <c r="D589" t="inlineStr">
        <is>
          <t>UPPSALA LÄN</t>
        </is>
      </c>
      <c r="E589" t="inlineStr">
        <is>
          <t>ENKÖPING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29917-2023</t>
        </is>
      </c>
      <c r="B590" s="1" t="n">
        <v>45099</v>
      </c>
      <c r="C590" s="1" t="n">
        <v>45831</v>
      </c>
      <c r="D590" t="inlineStr">
        <is>
          <t>UPPSALA LÄN</t>
        </is>
      </c>
      <c r="E590" t="inlineStr">
        <is>
          <t>ENKÖPING</t>
        </is>
      </c>
      <c r="G590" t="n">
        <v>3.2</v>
      </c>
      <c r="H590" t="n">
        <v>0</v>
      </c>
      <c r="I590" t="n">
        <v>0</v>
      </c>
      <c r="J590" t="n">
        <v>0</v>
      </c>
      <c r="K590" t="n">
        <v>0</v>
      </c>
      <c r="L590" t="n">
        <v>0</v>
      </c>
      <c r="M590" t="n">
        <v>0</v>
      </c>
      <c r="N590" t="n">
        <v>0</v>
      </c>
      <c r="O590" t="n">
        <v>0</v>
      </c>
      <c r="P590" t="n">
        <v>0</v>
      </c>
      <c r="Q590" t="n">
        <v>0</v>
      </c>
      <c r="R590" s="2" t="inlineStr"/>
    </row>
    <row r="591" ht="15" customHeight="1">
      <c r="A591" t="inlineStr">
        <is>
          <t>A 29918-2023</t>
        </is>
      </c>
      <c r="B591" s="1" t="n">
        <v>45099</v>
      </c>
      <c r="C591" s="1" t="n">
        <v>45831</v>
      </c>
      <c r="D591" t="inlineStr">
        <is>
          <t>UPPSALA LÄN</t>
        </is>
      </c>
      <c r="E591" t="inlineStr">
        <is>
          <t>ENKÖPING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31573-2023</t>
        </is>
      </c>
      <c r="B592" s="1" t="n">
        <v>45104</v>
      </c>
      <c r="C592" s="1" t="n">
        <v>45831</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30950-2023</t>
        </is>
      </c>
      <c r="B593" s="1" t="n">
        <v>45113</v>
      </c>
      <c r="C593" s="1" t="n">
        <v>45831</v>
      </c>
      <c r="D593" t="inlineStr">
        <is>
          <t>UPPSALA LÄN</t>
        </is>
      </c>
      <c r="E593" t="inlineStr">
        <is>
          <t>ENKÖPING</t>
        </is>
      </c>
      <c r="G593" t="n">
        <v>6.8</v>
      </c>
      <c r="H593" t="n">
        <v>0</v>
      </c>
      <c r="I593" t="n">
        <v>0</v>
      </c>
      <c r="J593" t="n">
        <v>0</v>
      </c>
      <c r="K593" t="n">
        <v>0</v>
      </c>
      <c r="L593" t="n">
        <v>0</v>
      </c>
      <c r="M593" t="n">
        <v>0</v>
      </c>
      <c r="N593" t="n">
        <v>0</v>
      </c>
      <c r="O593" t="n">
        <v>0</v>
      </c>
      <c r="P593" t="n">
        <v>0</v>
      </c>
      <c r="Q593" t="n">
        <v>0</v>
      </c>
      <c r="R593" s="2" t="inlineStr"/>
    </row>
    <row r="594" ht="15" customHeight="1">
      <c r="A594" t="inlineStr">
        <is>
          <t>A 31163-2023</t>
        </is>
      </c>
      <c r="B594" s="1" t="n">
        <v>45113</v>
      </c>
      <c r="C594" s="1" t="n">
        <v>45831</v>
      </c>
      <c r="D594" t="inlineStr">
        <is>
          <t>UPPSALA LÄN</t>
        </is>
      </c>
      <c r="E594" t="inlineStr">
        <is>
          <t>ENKÖPING</t>
        </is>
      </c>
      <c r="G594" t="n">
        <v>5.6</v>
      </c>
      <c r="H594" t="n">
        <v>0</v>
      </c>
      <c r="I594" t="n">
        <v>0</v>
      </c>
      <c r="J594" t="n">
        <v>0</v>
      </c>
      <c r="K594" t="n">
        <v>0</v>
      </c>
      <c r="L594" t="n">
        <v>0</v>
      </c>
      <c r="M594" t="n">
        <v>0</v>
      </c>
      <c r="N594" t="n">
        <v>0</v>
      </c>
      <c r="O594" t="n">
        <v>0</v>
      </c>
      <c r="P594" t="n">
        <v>0</v>
      </c>
      <c r="Q594" t="n">
        <v>0</v>
      </c>
      <c r="R594" s="2" t="inlineStr"/>
    </row>
    <row r="595" ht="15" customHeight="1">
      <c r="A595" t="inlineStr">
        <is>
          <t>A 31557-2023</t>
        </is>
      </c>
      <c r="B595" s="1" t="n">
        <v>45117</v>
      </c>
      <c r="C595" s="1" t="n">
        <v>45831</v>
      </c>
      <c r="D595" t="inlineStr">
        <is>
          <t>UPPSALA LÄN</t>
        </is>
      </c>
      <c r="E595" t="inlineStr">
        <is>
          <t>ENKÖPING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31559-2023</t>
        </is>
      </c>
      <c r="B596" s="1" t="n">
        <v>45117</v>
      </c>
      <c r="C596" s="1" t="n">
        <v>45831</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31604-2023</t>
        </is>
      </c>
      <c r="B597" s="1" t="n">
        <v>45117</v>
      </c>
      <c r="C597" s="1" t="n">
        <v>45831</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31636-2023</t>
        </is>
      </c>
      <c r="B598" s="1" t="n">
        <v>45117</v>
      </c>
      <c r="C598" s="1" t="n">
        <v>45831</v>
      </c>
      <c r="D598" t="inlineStr">
        <is>
          <t>UPPSALA LÄN</t>
        </is>
      </c>
      <c r="E598" t="inlineStr">
        <is>
          <t>ENKÖPING</t>
        </is>
      </c>
      <c r="G598" t="n">
        <v>22.1</v>
      </c>
      <c r="H598" t="n">
        <v>0</v>
      </c>
      <c r="I598" t="n">
        <v>0</v>
      </c>
      <c r="J598" t="n">
        <v>0</v>
      </c>
      <c r="K598" t="n">
        <v>0</v>
      </c>
      <c r="L598" t="n">
        <v>0</v>
      </c>
      <c r="M598" t="n">
        <v>0</v>
      </c>
      <c r="N598" t="n">
        <v>0</v>
      </c>
      <c r="O598" t="n">
        <v>0</v>
      </c>
      <c r="P598" t="n">
        <v>0</v>
      </c>
      <c r="Q598" t="n">
        <v>0</v>
      </c>
      <c r="R598" s="2" t="inlineStr"/>
    </row>
    <row r="599" ht="15" customHeight="1">
      <c r="A599" t="inlineStr">
        <is>
          <t>A 31642-2023</t>
        </is>
      </c>
      <c r="B599" s="1" t="n">
        <v>45117</v>
      </c>
      <c r="C599" s="1" t="n">
        <v>45831</v>
      </c>
      <c r="D599" t="inlineStr">
        <is>
          <t>UPPSALA LÄN</t>
        </is>
      </c>
      <c r="E599" t="inlineStr">
        <is>
          <t>ENKÖPING</t>
        </is>
      </c>
      <c r="G599" t="n">
        <v>3.9</v>
      </c>
      <c r="H599" t="n">
        <v>0</v>
      </c>
      <c r="I599" t="n">
        <v>0</v>
      </c>
      <c r="J599" t="n">
        <v>0</v>
      </c>
      <c r="K599" t="n">
        <v>0</v>
      </c>
      <c r="L599" t="n">
        <v>0</v>
      </c>
      <c r="M599" t="n">
        <v>0</v>
      </c>
      <c r="N599" t="n">
        <v>0</v>
      </c>
      <c r="O599" t="n">
        <v>0</v>
      </c>
      <c r="P599" t="n">
        <v>0</v>
      </c>
      <c r="Q599" t="n">
        <v>0</v>
      </c>
      <c r="R599" s="2" t="inlineStr"/>
    </row>
    <row r="600" ht="15" customHeight="1">
      <c r="A600" t="inlineStr">
        <is>
          <t>A 31648-2023</t>
        </is>
      </c>
      <c r="B600" s="1" t="n">
        <v>45117</v>
      </c>
      <c r="C600" s="1" t="n">
        <v>45831</v>
      </c>
      <c r="D600" t="inlineStr">
        <is>
          <t>UPPSALA LÄN</t>
        </is>
      </c>
      <c r="E600" t="inlineStr">
        <is>
          <t>ENKÖPING</t>
        </is>
      </c>
      <c r="G600" t="n">
        <v>12.9</v>
      </c>
      <c r="H600" t="n">
        <v>0</v>
      </c>
      <c r="I600" t="n">
        <v>0</v>
      </c>
      <c r="J600" t="n">
        <v>0</v>
      </c>
      <c r="K600" t="n">
        <v>0</v>
      </c>
      <c r="L600" t="n">
        <v>0</v>
      </c>
      <c r="M600" t="n">
        <v>0</v>
      </c>
      <c r="N600" t="n">
        <v>0</v>
      </c>
      <c r="O600" t="n">
        <v>0</v>
      </c>
      <c r="P600" t="n">
        <v>0</v>
      </c>
      <c r="Q600" t="n">
        <v>0</v>
      </c>
      <c r="R600" s="2" t="inlineStr"/>
    </row>
    <row r="601" ht="15" customHeight="1">
      <c r="A601" t="inlineStr">
        <is>
          <t>A 33581-2023</t>
        </is>
      </c>
      <c r="B601" s="1" t="n">
        <v>45131</v>
      </c>
      <c r="C601" s="1" t="n">
        <v>45831</v>
      </c>
      <c r="D601" t="inlineStr">
        <is>
          <t>UPPSALA LÄN</t>
        </is>
      </c>
      <c r="E601" t="inlineStr">
        <is>
          <t>ENKÖPING</t>
        </is>
      </c>
      <c r="G601" t="n">
        <v>3.5</v>
      </c>
      <c r="H601" t="n">
        <v>0</v>
      </c>
      <c r="I601" t="n">
        <v>0</v>
      </c>
      <c r="J601" t="n">
        <v>0</v>
      </c>
      <c r="K601" t="n">
        <v>0</v>
      </c>
      <c r="L601" t="n">
        <v>0</v>
      </c>
      <c r="M601" t="n">
        <v>0</v>
      </c>
      <c r="N601" t="n">
        <v>0</v>
      </c>
      <c r="O601" t="n">
        <v>0</v>
      </c>
      <c r="P601" t="n">
        <v>0</v>
      </c>
      <c r="Q601" t="n">
        <v>0</v>
      </c>
      <c r="R601" s="2" t="inlineStr"/>
    </row>
    <row r="602" ht="15" customHeight="1">
      <c r="A602" t="inlineStr">
        <is>
          <t>A 34735-2023</t>
        </is>
      </c>
      <c r="B602" s="1" t="n">
        <v>45139</v>
      </c>
      <c r="C602" s="1" t="n">
        <v>45831</v>
      </c>
      <c r="D602" t="inlineStr">
        <is>
          <t>UPPSALA LÄN</t>
        </is>
      </c>
      <c r="E602" t="inlineStr">
        <is>
          <t>ENKÖPING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34743-2023</t>
        </is>
      </c>
      <c r="B603" s="1" t="n">
        <v>45141</v>
      </c>
      <c r="C603" s="1" t="n">
        <v>45831</v>
      </c>
      <c r="D603" t="inlineStr">
        <is>
          <t>UPPSALA LÄN</t>
        </is>
      </c>
      <c r="E603" t="inlineStr">
        <is>
          <t>ENKÖPING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34961-2023</t>
        </is>
      </c>
      <c r="B604" s="1" t="n">
        <v>45142</v>
      </c>
      <c r="C604" s="1" t="n">
        <v>45831</v>
      </c>
      <c r="D604" t="inlineStr">
        <is>
          <t>UPPSALA LÄN</t>
        </is>
      </c>
      <c r="E604" t="inlineStr">
        <is>
          <t>ENKÖPING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34960-2023</t>
        </is>
      </c>
      <c r="B605" s="1" t="n">
        <v>45142</v>
      </c>
      <c r="C605" s="1" t="n">
        <v>45831</v>
      </c>
      <c r="D605" t="inlineStr">
        <is>
          <t>UPPSALA LÄN</t>
        </is>
      </c>
      <c r="E605" t="inlineStr">
        <is>
          <t>ENKÖPING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35367-2023</t>
        </is>
      </c>
      <c r="B606" s="1" t="n">
        <v>45146</v>
      </c>
      <c r="C606" s="1" t="n">
        <v>45831</v>
      </c>
      <c r="D606" t="inlineStr">
        <is>
          <t>UPPSALA LÄN</t>
        </is>
      </c>
      <c r="E606" t="inlineStr">
        <is>
          <t>ENKÖPING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35684-2023</t>
        </is>
      </c>
      <c r="B607" s="1" t="n">
        <v>45147</v>
      </c>
      <c r="C607" s="1" t="n">
        <v>45831</v>
      </c>
      <c r="D607" t="inlineStr">
        <is>
          <t>UPPSALA LÄN</t>
        </is>
      </c>
      <c r="E607" t="inlineStr">
        <is>
          <t>ENKÖPING</t>
        </is>
      </c>
      <c r="G607" t="n">
        <v>2.2</v>
      </c>
      <c r="H607" t="n">
        <v>0</v>
      </c>
      <c r="I607" t="n">
        <v>0</v>
      </c>
      <c r="J607" t="n">
        <v>0</v>
      </c>
      <c r="K607" t="n">
        <v>0</v>
      </c>
      <c r="L607" t="n">
        <v>0</v>
      </c>
      <c r="M607" t="n">
        <v>0</v>
      </c>
      <c r="N607" t="n">
        <v>0</v>
      </c>
      <c r="O607" t="n">
        <v>0</v>
      </c>
      <c r="P607" t="n">
        <v>0</v>
      </c>
      <c r="Q607" t="n">
        <v>0</v>
      </c>
      <c r="R607" s="2" t="inlineStr"/>
    </row>
    <row r="608" ht="15" customHeight="1">
      <c r="A608" t="inlineStr">
        <is>
          <t>A 37032-2023</t>
        </is>
      </c>
      <c r="B608" s="1" t="n">
        <v>45155</v>
      </c>
      <c r="C608" s="1" t="n">
        <v>45831</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37035-2023</t>
        </is>
      </c>
      <c r="B609" s="1" t="n">
        <v>45155</v>
      </c>
      <c r="C609" s="1" t="n">
        <v>45831</v>
      </c>
      <c r="D609" t="inlineStr">
        <is>
          <t>UPPSALA LÄN</t>
        </is>
      </c>
      <c r="E609" t="inlineStr">
        <is>
          <t>ENKÖPING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37350-2023</t>
        </is>
      </c>
      <c r="B610" s="1" t="n">
        <v>45156</v>
      </c>
      <c r="C610" s="1" t="n">
        <v>45831</v>
      </c>
      <c r="D610" t="inlineStr">
        <is>
          <t>UPPSALA LÄN</t>
        </is>
      </c>
      <c r="E610" t="inlineStr">
        <is>
          <t>ENKÖPING</t>
        </is>
      </c>
      <c r="G610" t="n">
        <v>3.4</v>
      </c>
      <c r="H610" t="n">
        <v>0</v>
      </c>
      <c r="I610" t="n">
        <v>0</v>
      </c>
      <c r="J610" t="n">
        <v>0</v>
      </c>
      <c r="K610" t="n">
        <v>0</v>
      </c>
      <c r="L610" t="n">
        <v>0</v>
      </c>
      <c r="M610" t="n">
        <v>0</v>
      </c>
      <c r="N610" t="n">
        <v>0</v>
      </c>
      <c r="O610" t="n">
        <v>0</v>
      </c>
      <c r="P610" t="n">
        <v>0</v>
      </c>
      <c r="Q610" t="n">
        <v>0</v>
      </c>
      <c r="R610" s="2" t="inlineStr"/>
    </row>
    <row r="611" ht="15" customHeight="1">
      <c r="A611" t="inlineStr">
        <is>
          <t>A 37353-2023</t>
        </is>
      </c>
      <c r="B611" s="1" t="n">
        <v>45156</v>
      </c>
      <c r="C611" s="1" t="n">
        <v>45831</v>
      </c>
      <c r="D611" t="inlineStr">
        <is>
          <t>UPPSALA LÄN</t>
        </is>
      </c>
      <c r="E611" t="inlineStr">
        <is>
          <t>ENKÖPING</t>
        </is>
      </c>
      <c r="G611" t="n">
        <v>5.8</v>
      </c>
      <c r="H611" t="n">
        <v>0</v>
      </c>
      <c r="I611" t="n">
        <v>0</v>
      </c>
      <c r="J611" t="n">
        <v>0</v>
      </c>
      <c r="K611" t="n">
        <v>0</v>
      </c>
      <c r="L611" t="n">
        <v>0</v>
      </c>
      <c r="M611" t="n">
        <v>0</v>
      </c>
      <c r="N611" t="n">
        <v>0</v>
      </c>
      <c r="O611" t="n">
        <v>0</v>
      </c>
      <c r="P611" t="n">
        <v>0</v>
      </c>
      <c r="Q611" t="n">
        <v>0</v>
      </c>
      <c r="R611" s="2" t="inlineStr"/>
    </row>
    <row r="612" ht="15" customHeight="1">
      <c r="A612" t="inlineStr">
        <is>
          <t>A 37347-2023</t>
        </is>
      </c>
      <c r="B612" s="1" t="n">
        <v>45156</v>
      </c>
      <c r="C612" s="1" t="n">
        <v>45831</v>
      </c>
      <c r="D612" t="inlineStr">
        <is>
          <t>UPPSALA LÄN</t>
        </is>
      </c>
      <c r="E612" t="inlineStr">
        <is>
          <t>ENKÖPING</t>
        </is>
      </c>
      <c r="G612" t="n">
        <v>3.7</v>
      </c>
      <c r="H612" t="n">
        <v>0</v>
      </c>
      <c r="I612" t="n">
        <v>0</v>
      </c>
      <c r="J612" t="n">
        <v>0</v>
      </c>
      <c r="K612" t="n">
        <v>0</v>
      </c>
      <c r="L612" t="n">
        <v>0</v>
      </c>
      <c r="M612" t="n">
        <v>0</v>
      </c>
      <c r="N612" t="n">
        <v>0</v>
      </c>
      <c r="O612" t="n">
        <v>0</v>
      </c>
      <c r="P612" t="n">
        <v>0</v>
      </c>
      <c r="Q612" t="n">
        <v>0</v>
      </c>
      <c r="R612" s="2" t="inlineStr"/>
    </row>
    <row r="613" ht="15" customHeight="1">
      <c r="A613" t="inlineStr">
        <is>
          <t>A 37866-2023</t>
        </is>
      </c>
      <c r="B613" s="1" t="n">
        <v>45160</v>
      </c>
      <c r="C613" s="1" t="n">
        <v>45831</v>
      </c>
      <c r="D613" t="inlineStr">
        <is>
          <t>UPPSALA LÄN</t>
        </is>
      </c>
      <c r="E613" t="inlineStr">
        <is>
          <t>ENKÖPING</t>
        </is>
      </c>
      <c r="G613" t="n">
        <v>7.2</v>
      </c>
      <c r="H613" t="n">
        <v>0</v>
      </c>
      <c r="I613" t="n">
        <v>0</v>
      </c>
      <c r="J613" t="n">
        <v>0</v>
      </c>
      <c r="K613" t="n">
        <v>0</v>
      </c>
      <c r="L613" t="n">
        <v>0</v>
      </c>
      <c r="M613" t="n">
        <v>0</v>
      </c>
      <c r="N613" t="n">
        <v>0</v>
      </c>
      <c r="O613" t="n">
        <v>0</v>
      </c>
      <c r="P613" t="n">
        <v>0</v>
      </c>
      <c r="Q613" t="n">
        <v>0</v>
      </c>
      <c r="R613" s="2" t="inlineStr"/>
    </row>
    <row r="614" ht="15" customHeight="1">
      <c r="A614" t="inlineStr">
        <is>
          <t>A 37870-2023</t>
        </is>
      </c>
      <c r="B614" s="1" t="n">
        <v>45160</v>
      </c>
      <c r="C614" s="1" t="n">
        <v>45831</v>
      </c>
      <c r="D614" t="inlineStr">
        <is>
          <t>UPPSALA LÄN</t>
        </is>
      </c>
      <c r="E614" t="inlineStr">
        <is>
          <t>ENKÖPING</t>
        </is>
      </c>
      <c r="G614" t="n">
        <v>3.5</v>
      </c>
      <c r="H614" t="n">
        <v>0</v>
      </c>
      <c r="I614" t="n">
        <v>0</v>
      </c>
      <c r="J614" t="n">
        <v>0</v>
      </c>
      <c r="K614" t="n">
        <v>0</v>
      </c>
      <c r="L614" t="n">
        <v>0</v>
      </c>
      <c r="M614" t="n">
        <v>0</v>
      </c>
      <c r="N614" t="n">
        <v>0</v>
      </c>
      <c r="O614" t="n">
        <v>0</v>
      </c>
      <c r="P614" t="n">
        <v>0</v>
      </c>
      <c r="Q614" t="n">
        <v>0</v>
      </c>
      <c r="R614" s="2" t="inlineStr"/>
    </row>
    <row r="615" ht="15" customHeight="1">
      <c r="A615" t="inlineStr">
        <is>
          <t>A 39624-2023</t>
        </is>
      </c>
      <c r="B615" s="1" t="n">
        <v>45164</v>
      </c>
      <c r="C615" s="1" t="n">
        <v>45831</v>
      </c>
      <c r="D615" t="inlineStr">
        <is>
          <t>UPPSALA LÄN</t>
        </is>
      </c>
      <c r="E615" t="inlineStr">
        <is>
          <t>ENKÖPING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40306-2023</t>
        </is>
      </c>
      <c r="B616" s="1" t="n">
        <v>45169</v>
      </c>
      <c r="C616" s="1" t="n">
        <v>45831</v>
      </c>
      <c r="D616" t="inlineStr">
        <is>
          <t>UPPSALA LÄN</t>
        </is>
      </c>
      <c r="E616" t="inlineStr">
        <is>
          <t>ENKÖPING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41478-2023</t>
        </is>
      </c>
      <c r="B617" s="1" t="n">
        <v>45173</v>
      </c>
      <c r="C617" s="1" t="n">
        <v>45831</v>
      </c>
      <c r="D617" t="inlineStr">
        <is>
          <t>UPPSALA LÄN</t>
        </is>
      </c>
      <c r="E617" t="inlineStr">
        <is>
          <t>ENKÖPING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41549-2023</t>
        </is>
      </c>
      <c r="B618" s="1" t="n">
        <v>45173</v>
      </c>
      <c r="C618" s="1" t="n">
        <v>45831</v>
      </c>
      <c r="D618" t="inlineStr">
        <is>
          <t>UPPSALA LÄN</t>
        </is>
      </c>
      <c r="E618" t="inlineStr">
        <is>
          <t>ENKÖPING</t>
        </is>
      </c>
      <c r="G618" t="n">
        <v>4.5</v>
      </c>
      <c r="H618" t="n">
        <v>0</v>
      </c>
      <c r="I618" t="n">
        <v>0</v>
      </c>
      <c r="J618" t="n">
        <v>0</v>
      </c>
      <c r="K618" t="n">
        <v>0</v>
      </c>
      <c r="L618" t="n">
        <v>0</v>
      </c>
      <c r="M618" t="n">
        <v>0</v>
      </c>
      <c r="N618" t="n">
        <v>0</v>
      </c>
      <c r="O618" t="n">
        <v>0</v>
      </c>
      <c r="P618" t="n">
        <v>0</v>
      </c>
      <c r="Q618" t="n">
        <v>0</v>
      </c>
      <c r="R618" s="2" t="inlineStr"/>
    </row>
    <row r="619" ht="15" customHeight="1">
      <c r="A619" t="inlineStr">
        <is>
          <t>A 41945-2023</t>
        </is>
      </c>
      <c r="B619" s="1" t="n">
        <v>45177</v>
      </c>
      <c r="C619" s="1" t="n">
        <v>45831</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43494-2023</t>
        </is>
      </c>
      <c r="B620" s="1" t="n">
        <v>45181</v>
      </c>
      <c r="C620" s="1" t="n">
        <v>45831</v>
      </c>
      <c r="D620" t="inlineStr">
        <is>
          <t>UPPSALA LÄN</t>
        </is>
      </c>
      <c r="E620" t="inlineStr">
        <is>
          <t>ENKÖPING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43510-2023</t>
        </is>
      </c>
      <c r="B621" s="1" t="n">
        <v>45181</v>
      </c>
      <c r="C621" s="1" t="n">
        <v>45831</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43506-2023</t>
        </is>
      </c>
      <c r="B622" s="1" t="n">
        <v>45181</v>
      </c>
      <c r="C622" s="1" t="n">
        <v>45831</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43488-2023</t>
        </is>
      </c>
      <c r="B623" s="1" t="n">
        <v>45181</v>
      </c>
      <c r="C623" s="1" t="n">
        <v>45831</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43492-2023</t>
        </is>
      </c>
      <c r="B624" s="1" t="n">
        <v>45181</v>
      </c>
      <c r="C624" s="1" t="n">
        <v>45831</v>
      </c>
      <c r="D624" t="inlineStr">
        <is>
          <t>UPPSALA LÄN</t>
        </is>
      </c>
      <c r="E624" t="inlineStr">
        <is>
          <t>ENKÖPING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43499-2023</t>
        </is>
      </c>
      <c r="B625" s="1" t="n">
        <v>45181</v>
      </c>
      <c r="C625" s="1" t="n">
        <v>45831</v>
      </c>
      <c r="D625" t="inlineStr">
        <is>
          <t>UPPSALA LÄN</t>
        </is>
      </c>
      <c r="E625" t="inlineStr">
        <is>
          <t>ENKÖPING</t>
        </is>
      </c>
      <c r="G625" t="n">
        <v>7.3</v>
      </c>
      <c r="H625" t="n">
        <v>0</v>
      </c>
      <c r="I625" t="n">
        <v>0</v>
      </c>
      <c r="J625" t="n">
        <v>0</v>
      </c>
      <c r="K625" t="n">
        <v>0</v>
      </c>
      <c r="L625" t="n">
        <v>0</v>
      </c>
      <c r="M625" t="n">
        <v>0</v>
      </c>
      <c r="N625" t="n">
        <v>0</v>
      </c>
      <c r="O625" t="n">
        <v>0</v>
      </c>
      <c r="P625" t="n">
        <v>0</v>
      </c>
      <c r="Q625" t="n">
        <v>0</v>
      </c>
      <c r="R625" s="2" t="inlineStr"/>
    </row>
    <row r="626" ht="15" customHeight="1">
      <c r="A626" t="inlineStr">
        <is>
          <t>A 43230-2023</t>
        </is>
      </c>
      <c r="B626" s="1" t="n">
        <v>45183</v>
      </c>
      <c r="C626" s="1" t="n">
        <v>45831</v>
      </c>
      <c r="D626" t="inlineStr">
        <is>
          <t>UPPSALA LÄN</t>
        </is>
      </c>
      <c r="E626" t="inlineStr">
        <is>
          <t>ENKÖPING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44131-2023</t>
        </is>
      </c>
      <c r="B627" s="1" t="n">
        <v>45188</v>
      </c>
      <c r="C627" s="1" t="n">
        <v>45831</v>
      </c>
      <c r="D627" t="inlineStr">
        <is>
          <t>UPPSALA LÄN</t>
        </is>
      </c>
      <c r="E627" t="inlineStr">
        <is>
          <t>ENKÖPING</t>
        </is>
      </c>
      <c r="G627" t="n">
        <v>0.3</v>
      </c>
      <c r="H627" t="n">
        <v>0</v>
      </c>
      <c r="I627" t="n">
        <v>0</v>
      </c>
      <c r="J627" t="n">
        <v>0</v>
      </c>
      <c r="K627" t="n">
        <v>0</v>
      </c>
      <c r="L627" t="n">
        <v>0</v>
      </c>
      <c r="M627" t="n">
        <v>0</v>
      </c>
      <c r="N627" t="n">
        <v>0</v>
      </c>
      <c r="O627" t="n">
        <v>0</v>
      </c>
      <c r="P627" t="n">
        <v>0</v>
      </c>
      <c r="Q627" t="n">
        <v>0</v>
      </c>
      <c r="R627" s="2" t="inlineStr"/>
    </row>
    <row r="628" ht="15" customHeight="1">
      <c r="A628" t="inlineStr">
        <is>
          <t>A 44326-2023</t>
        </is>
      </c>
      <c r="B628" s="1" t="n">
        <v>45188</v>
      </c>
      <c r="C628" s="1" t="n">
        <v>45831</v>
      </c>
      <c r="D628" t="inlineStr">
        <is>
          <t>UPPSALA LÄN</t>
        </is>
      </c>
      <c r="E628" t="inlineStr">
        <is>
          <t>ENKÖPING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46103-2023</t>
        </is>
      </c>
      <c r="B629" s="1" t="n">
        <v>45190</v>
      </c>
      <c r="C629" s="1" t="n">
        <v>45831</v>
      </c>
      <c r="D629" t="inlineStr">
        <is>
          <t>UPPSALA LÄN</t>
        </is>
      </c>
      <c r="E629" t="inlineStr">
        <is>
          <t>ENKÖPING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45058-2023</t>
        </is>
      </c>
      <c r="B630" s="1" t="n">
        <v>45191</v>
      </c>
      <c r="C630" s="1" t="n">
        <v>45831</v>
      </c>
      <c r="D630" t="inlineStr">
        <is>
          <t>UPPSALA LÄN</t>
        </is>
      </c>
      <c r="E630" t="inlineStr">
        <is>
          <t>ENKÖPING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45142-2023</t>
        </is>
      </c>
      <c r="B631" s="1" t="n">
        <v>45191</v>
      </c>
      <c r="C631" s="1" t="n">
        <v>45831</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45095-2023</t>
        </is>
      </c>
      <c r="B632" s="1" t="n">
        <v>45191</v>
      </c>
      <c r="C632" s="1" t="n">
        <v>45831</v>
      </c>
      <c r="D632" t="inlineStr">
        <is>
          <t>UPPSALA LÄN</t>
        </is>
      </c>
      <c r="E632" t="inlineStr">
        <is>
          <t>ENKÖPING</t>
        </is>
      </c>
      <c r="G632" t="n">
        <v>4.1</v>
      </c>
      <c r="H632" t="n">
        <v>0</v>
      </c>
      <c r="I632" t="n">
        <v>0</v>
      </c>
      <c r="J632" t="n">
        <v>0</v>
      </c>
      <c r="K632" t="n">
        <v>0</v>
      </c>
      <c r="L632" t="n">
        <v>0</v>
      </c>
      <c r="M632" t="n">
        <v>0</v>
      </c>
      <c r="N632" t="n">
        <v>0</v>
      </c>
      <c r="O632" t="n">
        <v>0</v>
      </c>
      <c r="P632" t="n">
        <v>0</v>
      </c>
      <c r="Q632" t="n">
        <v>0</v>
      </c>
      <c r="R632" s="2" t="inlineStr"/>
    </row>
    <row r="633" ht="15" customHeight="1">
      <c r="A633" t="inlineStr">
        <is>
          <t>A 45208-2023</t>
        </is>
      </c>
      <c r="B633" s="1" t="n">
        <v>45191</v>
      </c>
      <c r="C633" s="1" t="n">
        <v>45831</v>
      </c>
      <c r="D633" t="inlineStr">
        <is>
          <t>UPPSALA LÄN</t>
        </is>
      </c>
      <c r="E633" t="inlineStr">
        <is>
          <t>ENKÖPING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46186-2023</t>
        </is>
      </c>
      <c r="B634" s="1" t="n">
        <v>45196</v>
      </c>
      <c r="C634" s="1" t="n">
        <v>45831</v>
      </c>
      <c r="D634" t="inlineStr">
        <is>
          <t>UPPSALA LÄN</t>
        </is>
      </c>
      <c r="E634" t="inlineStr">
        <is>
          <t>ENKÖPING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47428-2023</t>
        </is>
      </c>
      <c r="B635" s="1" t="n">
        <v>45202</v>
      </c>
      <c r="C635" s="1" t="n">
        <v>45831</v>
      </c>
      <c r="D635" t="inlineStr">
        <is>
          <t>UPPSALA LÄN</t>
        </is>
      </c>
      <c r="E635" t="inlineStr">
        <is>
          <t>ENKÖPING</t>
        </is>
      </c>
      <c r="G635" t="n">
        <v>3</v>
      </c>
      <c r="H635" t="n">
        <v>0</v>
      </c>
      <c r="I635" t="n">
        <v>0</v>
      </c>
      <c r="J635" t="n">
        <v>0</v>
      </c>
      <c r="K635" t="n">
        <v>0</v>
      </c>
      <c r="L635" t="n">
        <v>0</v>
      </c>
      <c r="M635" t="n">
        <v>0</v>
      </c>
      <c r="N635" t="n">
        <v>0</v>
      </c>
      <c r="O635" t="n">
        <v>0</v>
      </c>
      <c r="P635" t="n">
        <v>0</v>
      </c>
      <c r="Q635" t="n">
        <v>0</v>
      </c>
      <c r="R635" s="2" t="inlineStr"/>
    </row>
    <row r="636" ht="15" customHeight="1">
      <c r="A636" t="inlineStr">
        <is>
          <t>A 47553-2023</t>
        </is>
      </c>
      <c r="B636" s="1" t="n">
        <v>45203</v>
      </c>
      <c r="C636" s="1" t="n">
        <v>45831</v>
      </c>
      <c r="D636" t="inlineStr">
        <is>
          <t>UPPSALA LÄN</t>
        </is>
      </c>
      <c r="E636" t="inlineStr">
        <is>
          <t>ENKÖPING</t>
        </is>
      </c>
      <c r="G636" t="n">
        <v>13.3</v>
      </c>
      <c r="H636" t="n">
        <v>0</v>
      </c>
      <c r="I636" t="n">
        <v>0</v>
      </c>
      <c r="J636" t="n">
        <v>0</v>
      </c>
      <c r="K636" t="n">
        <v>0</v>
      </c>
      <c r="L636" t="n">
        <v>0</v>
      </c>
      <c r="M636" t="n">
        <v>0</v>
      </c>
      <c r="N636" t="n">
        <v>0</v>
      </c>
      <c r="O636" t="n">
        <v>0</v>
      </c>
      <c r="P636" t="n">
        <v>0</v>
      </c>
      <c r="Q636" t="n">
        <v>0</v>
      </c>
      <c r="R636" s="2" t="inlineStr"/>
    </row>
    <row r="637" ht="15" customHeight="1">
      <c r="A637" t="inlineStr">
        <is>
          <t>A 48843-2023</t>
        </is>
      </c>
      <c r="B637" s="1" t="n">
        <v>45209</v>
      </c>
      <c r="C637" s="1" t="n">
        <v>45831</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50006-2023</t>
        </is>
      </c>
      <c r="B638" s="1" t="n">
        <v>45215</v>
      </c>
      <c r="C638" s="1" t="n">
        <v>45831</v>
      </c>
      <c r="D638" t="inlineStr">
        <is>
          <t>UPPSALA LÄN</t>
        </is>
      </c>
      <c r="E638" t="inlineStr">
        <is>
          <t>ENKÖPING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50419-2023</t>
        </is>
      </c>
      <c r="B639" s="1" t="n">
        <v>45216</v>
      </c>
      <c r="C639" s="1" t="n">
        <v>45831</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51120-2023</t>
        </is>
      </c>
      <c r="B640" s="1" t="n">
        <v>45219</v>
      </c>
      <c r="C640" s="1" t="n">
        <v>45831</v>
      </c>
      <c r="D640" t="inlineStr">
        <is>
          <t>UPPSALA LÄN</t>
        </is>
      </c>
      <c r="E640" t="inlineStr">
        <is>
          <t>ENKÖPING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51313-2023</t>
        </is>
      </c>
      <c r="B641" s="1" t="n">
        <v>45219</v>
      </c>
      <c r="C641" s="1" t="n">
        <v>45831</v>
      </c>
      <c r="D641" t="inlineStr">
        <is>
          <t>UPPSALA LÄN</t>
        </is>
      </c>
      <c r="E641" t="inlineStr">
        <is>
          <t>ENKÖPING</t>
        </is>
      </c>
      <c r="F641" t="inlineStr">
        <is>
          <t>Allmännings- och besparingsskogar</t>
        </is>
      </c>
      <c r="G641" t="n">
        <v>7.7</v>
      </c>
      <c r="H641" t="n">
        <v>0</v>
      </c>
      <c r="I641" t="n">
        <v>0</v>
      </c>
      <c r="J641" t="n">
        <v>0</v>
      </c>
      <c r="K641" t="n">
        <v>0</v>
      </c>
      <c r="L641" t="n">
        <v>0</v>
      </c>
      <c r="M641" t="n">
        <v>0</v>
      </c>
      <c r="N641" t="n">
        <v>0</v>
      </c>
      <c r="O641" t="n">
        <v>0</v>
      </c>
      <c r="P641" t="n">
        <v>0</v>
      </c>
      <c r="Q641" t="n">
        <v>0</v>
      </c>
      <c r="R641" s="2" t="inlineStr"/>
    </row>
    <row r="642" ht="15" customHeight="1">
      <c r="A642" t="inlineStr">
        <is>
          <t>A 51688-2023</t>
        </is>
      </c>
      <c r="B642" s="1" t="n">
        <v>45222</v>
      </c>
      <c r="C642" s="1" t="n">
        <v>45831</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51835-2023</t>
        </is>
      </c>
      <c r="B643" s="1" t="n">
        <v>45223</v>
      </c>
      <c r="C643" s="1" t="n">
        <v>45831</v>
      </c>
      <c r="D643" t="inlineStr">
        <is>
          <t>UPPSALA LÄN</t>
        </is>
      </c>
      <c r="E643" t="inlineStr">
        <is>
          <t>ENKÖPING</t>
        </is>
      </c>
      <c r="G643" t="n">
        <v>4.7</v>
      </c>
      <c r="H643" t="n">
        <v>0</v>
      </c>
      <c r="I643" t="n">
        <v>0</v>
      </c>
      <c r="J643" t="n">
        <v>0</v>
      </c>
      <c r="K643" t="n">
        <v>0</v>
      </c>
      <c r="L643" t="n">
        <v>0</v>
      </c>
      <c r="M643" t="n">
        <v>0</v>
      </c>
      <c r="N643" t="n">
        <v>0</v>
      </c>
      <c r="O643" t="n">
        <v>0</v>
      </c>
      <c r="P643" t="n">
        <v>0</v>
      </c>
      <c r="Q643" t="n">
        <v>0</v>
      </c>
      <c r="R643" s="2" t="inlineStr"/>
    </row>
    <row r="644" ht="15" customHeight="1">
      <c r="A644" t="inlineStr">
        <is>
          <t>A 53595-2023</t>
        </is>
      </c>
      <c r="B644" s="1" t="n">
        <v>45223</v>
      </c>
      <c r="C644" s="1" t="n">
        <v>45831</v>
      </c>
      <c r="D644" t="inlineStr">
        <is>
          <t>UPPSALA LÄN</t>
        </is>
      </c>
      <c r="E644" t="inlineStr">
        <is>
          <t>ENKÖPING</t>
        </is>
      </c>
      <c r="G644" t="n">
        <v>2.6</v>
      </c>
      <c r="H644" t="n">
        <v>0</v>
      </c>
      <c r="I644" t="n">
        <v>0</v>
      </c>
      <c r="J644" t="n">
        <v>0</v>
      </c>
      <c r="K644" t="n">
        <v>0</v>
      </c>
      <c r="L644" t="n">
        <v>0</v>
      </c>
      <c r="M644" t="n">
        <v>0</v>
      </c>
      <c r="N644" t="n">
        <v>0</v>
      </c>
      <c r="O644" t="n">
        <v>0</v>
      </c>
      <c r="P644" t="n">
        <v>0</v>
      </c>
      <c r="Q644" t="n">
        <v>0</v>
      </c>
      <c r="R644" s="2" t="inlineStr"/>
    </row>
    <row r="645" ht="15" customHeight="1">
      <c r="A645" t="inlineStr">
        <is>
          <t>A 52299-2023</t>
        </is>
      </c>
      <c r="B645" s="1" t="n">
        <v>45224</v>
      </c>
      <c r="C645" s="1" t="n">
        <v>45831</v>
      </c>
      <c r="D645" t="inlineStr">
        <is>
          <t>UPPSALA LÄN</t>
        </is>
      </c>
      <c r="E645" t="inlineStr">
        <is>
          <t>ENKÖPING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52366-2023</t>
        </is>
      </c>
      <c r="B646" s="1" t="n">
        <v>45224</v>
      </c>
      <c r="C646" s="1" t="n">
        <v>45831</v>
      </c>
      <c r="D646" t="inlineStr">
        <is>
          <t>UPPSALA LÄN</t>
        </is>
      </c>
      <c r="E646" t="inlineStr">
        <is>
          <t>ENKÖPING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54356-2023</t>
        </is>
      </c>
      <c r="B647" s="1" t="n">
        <v>45225</v>
      </c>
      <c r="C647" s="1" t="n">
        <v>45831</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54357-2023</t>
        </is>
      </c>
      <c r="B648" s="1" t="n">
        <v>45225</v>
      </c>
      <c r="C648" s="1" t="n">
        <v>45831</v>
      </c>
      <c r="D648" t="inlineStr">
        <is>
          <t>UPPSALA LÄN</t>
        </is>
      </c>
      <c r="E648" t="inlineStr">
        <is>
          <t>ENKÖPING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53208-2023</t>
        </is>
      </c>
      <c r="B649" s="1" t="n">
        <v>45226</v>
      </c>
      <c r="C649" s="1" t="n">
        <v>45831</v>
      </c>
      <c r="D649" t="inlineStr">
        <is>
          <t>UPPSALA LÄN</t>
        </is>
      </c>
      <c r="E649" t="inlineStr">
        <is>
          <t>ENKÖPING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53333-2023</t>
        </is>
      </c>
      <c r="B650" s="1" t="n">
        <v>45229</v>
      </c>
      <c r="C650" s="1" t="n">
        <v>45831</v>
      </c>
      <c r="D650" t="inlineStr">
        <is>
          <t>UPPSALA LÄN</t>
        </is>
      </c>
      <c r="E650" t="inlineStr">
        <is>
          <t>ENKÖPING</t>
        </is>
      </c>
      <c r="G650" t="n">
        <v>3.6</v>
      </c>
      <c r="H650" t="n">
        <v>0</v>
      </c>
      <c r="I650" t="n">
        <v>0</v>
      </c>
      <c r="J650" t="n">
        <v>0</v>
      </c>
      <c r="K650" t="n">
        <v>0</v>
      </c>
      <c r="L650" t="n">
        <v>0</v>
      </c>
      <c r="M650" t="n">
        <v>0</v>
      </c>
      <c r="N650" t="n">
        <v>0</v>
      </c>
      <c r="O650" t="n">
        <v>0</v>
      </c>
      <c r="P650" t="n">
        <v>0</v>
      </c>
      <c r="Q650" t="n">
        <v>0</v>
      </c>
      <c r="R650" s="2" t="inlineStr"/>
    </row>
    <row r="651" ht="15" customHeight="1">
      <c r="A651" t="inlineStr">
        <is>
          <t>A 53338-2023</t>
        </is>
      </c>
      <c r="B651" s="1" t="n">
        <v>45229</v>
      </c>
      <c r="C651" s="1" t="n">
        <v>45831</v>
      </c>
      <c r="D651" t="inlineStr">
        <is>
          <t>UPPSALA LÄN</t>
        </is>
      </c>
      <c r="E651" t="inlineStr">
        <is>
          <t>ENKÖPING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53607-2023</t>
        </is>
      </c>
      <c r="B652" s="1" t="n">
        <v>45230</v>
      </c>
      <c r="C652" s="1" t="n">
        <v>45831</v>
      </c>
      <c r="D652" t="inlineStr">
        <is>
          <t>UPPSALA LÄN</t>
        </is>
      </c>
      <c r="E652" t="inlineStr">
        <is>
          <t>ENKÖPING</t>
        </is>
      </c>
      <c r="F652" t="inlineStr">
        <is>
          <t>Allmännings- och besparingsskogar</t>
        </is>
      </c>
      <c r="G652" t="n">
        <v>6.3</v>
      </c>
      <c r="H652" t="n">
        <v>0</v>
      </c>
      <c r="I652" t="n">
        <v>0</v>
      </c>
      <c r="J652" t="n">
        <v>0</v>
      </c>
      <c r="K652" t="n">
        <v>0</v>
      </c>
      <c r="L652" t="n">
        <v>0</v>
      </c>
      <c r="M652" t="n">
        <v>0</v>
      </c>
      <c r="N652" t="n">
        <v>0</v>
      </c>
      <c r="O652" t="n">
        <v>0</v>
      </c>
      <c r="P652" t="n">
        <v>0</v>
      </c>
      <c r="Q652" t="n">
        <v>0</v>
      </c>
      <c r="R652" s="2" t="inlineStr"/>
    </row>
    <row r="653" ht="15" customHeight="1">
      <c r="A653" t="inlineStr">
        <is>
          <t>A 54208-2023</t>
        </is>
      </c>
      <c r="B653" s="1" t="n">
        <v>45232</v>
      </c>
      <c r="C653" s="1" t="n">
        <v>45831</v>
      </c>
      <c r="D653" t="inlineStr">
        <is>
          <t>UPPSALA LÄN</t>
        </is>
      </c>
      <c r="E653" t="inlineStr">
        <is>
          <t>ENKÖPING</t>
        </is>
      </c>
      <c r="G653" t="n">
        <v>4.3</v>
      </c>
      <c r="H653" t="n">
        <v>0</v>
      </c>
      <c r="I653" t="n">
        <v>0</v>
      </c>
      <c r="J653" t="n">
        <v>0</v>
      </c>
      <c r="K653" t="n">
        <v>0</v>
      </c>
      <c r="L653" t="n">
        <v>0</v>
      </c>
      <c r="M653" t="n">
        <v>0</v>
      </c>
      <c r="N653" t="n">
        <v>0</v>
      </c>
      <c r="O653" t="n">
        <v>0</v>
      </c>
      <c r="P653" t="n">
        <v>0</v>
      </c>
      <c r="Q653" t="n">
        <v>0</v>
      </c>
      <c r="R653" s="2" t="inlineStr"/>
    </row>
    <row r="654" ht="15" customHeight="1">
      <c r="A654" t="inlineStr">
        <is>
          <t>A 54224-2023</t>
        </is>
      </c>
      <c r="B654" s="1" t="n">
        <v>45232</v>
      </c>
      <c r="C654" s="1" t="n">
        <v>45831</v>
      </c>
      <c r="D654" t="inlineStr">
        <is>
          <t>UPPSALA LÄN</t>
        </is>
      </c>
      <c r="E654" t="inlineStr">
        <is>
          <t>ENKÖPING</t>
        </is>
      </c>
      <c r="G654" t="n">
        <v>5.4</v>
      </c>
      <c r="H654" t="n">
        <v>0</v>
      </c>
      <c r="I654" t="n">
        <v>0</v>
      </c>
      <c r="J654" t="n">
        <v>0</v>
      </c>
      <c r="K654" t="n">
        <v>0</v>
      </c>
      <c r="L654" t="n">
        <v>0</v>
      </c>
      <c r="M654" t="n">
        <v>0</v>
      </c>
      <c r="N654" t="n">
        <v>0</v>
      </c>
      <c r="O654" t="n">
        <v>0</v>
      </c>
      <c r="P654" t="n">
        <v>0</v>
      </c>
      <c r="Q654" t="n">
        <v>0</v>
      </c>
      <c r="R654" s="2" t="inlineStr"/>
    </row>
    <row r="655" ht="15" customHeight="1">
      <c r="A655" t="inlineStr">
        <is>
          <t>A 55609-2023</t>
        </is>
      </c>
      <c r="B655" s="1" t="n">
        <v>45238</v>
      </c>
      <c r="C655" s="1" t="n">
        <v>45831</v>
      </c>
      <c r="D655" t="inlineStr">
        <is>
          <t>UPPSALA LÄN</t>
        </is>
      </c>
      <c r="E655" t="inlineStr">
        <is>
          <t>ENKÖPING</t>
        </is>
      </c>
      <c r="F655" t="inlineStr">
        <is>
          <t>Allmännings- och besparingsskogar</t>
        </is>
      </c>
      <c r="G655" t="n">
        <v>13.3</v>
      </c>
      <c r="H655" t="n">
        <v>0</v>
      </c>
      <c r="I655" t="n">
        <v>0</v>
      </c>
      <c r="J655" t="n">
        <v>0</v>
      </c>
      <c r="K655" t="n">
        <v>0</v>
      </c>
      <c r="L655" t="n">
        <v>0</v>
      </c>
      <c r="M655" t="n">
        <v>0</v>
      </c>
      <c r="N655" t="n">
        <v>0</v>
      </c>
      <c r="O655" t="n">
        <v>0</v>
      </c>
      <c r="P655" t="n">
        <v>0</v>
      </c>
      <c r="Q655" t="n">
        <v>0</v>
      </c>
      <c r="R655" s="2" t="inlineStr"/>
    </row>
    <row r="656" ht="15" customHeight="1">
      <c r="A656" t="inlineStr">
        <is>
          <t>A 56886-2023</t>
        </is>
      </c>
      <c r="B656" s="1" t="n">
        <v>45239</v>
      </c>
      <c r="C656" s="1" t="n">
        <v>45831</v>
      </c>
      <c r="D656" t="inlineStr">
        <is>
          <t>UPPSALA LÄN</t>
        </is>
      </c>
      <c r="E656" t="inlineStr">
        <is>
          <t>ENKÖPING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57018-2023</t>
        </is>
      </c>
      <c r="B657" s="1" t="n">
        <v>45244</v>
      </c>
      <c r="C657" s="1" t="n">
        <v>45831</v>
      </c>
      <c r="D657" t="inlineStr">
        <is>
          <t>UPPSALA LÄN</t>
        </is>
      </c>
      <c r="E657" t="inlineStr">
        <is>
          <t>ENKÖPING</t>
        </is>
      </c>
      <c r="G657" t="n">
        <v>3.9</v>
      </c>
      <c r="H657" t="n">
        <v>0</v>
      </c>
      <c r="I657" t="n">
        <v>0</v>
      </c>
      <c r="J657" t="n">
        <v>0</v>
      </c>
      <c r="K657" t="n">
        <v>0</v>
      </c>
      <c r="L657" t="n">
        <v>0</v>
      </c>
      <c r="M657" t="n">
        <v>0</v>
      </c>
      <c r="N657" t="n">
        <v>0</v>
      </c>
      <c r="O657" t="n">
        <v>0</v>
      </c>
      <c r="P657" t="n">
        <v>0</v>
      </c>
      <c r="Q657" t="n">
        <v>0</v>
      </c>
      <c r="R657" s="2" t="inlineStr"/>
    </row>
    <row r="658" ht="15" customHeight="1">
      <c r="A658" t="inlineStr">
        <is>
          <t>A 57662-2023</t>
        </is>
      </c>
      <c r="B658" s="1" t="n">
        <v>45246</v>
      </c>
      <c r="C658" s="1" t="n">
        <v>45831</v>
      </c>
      <c r="D658" t="inlineStr">
        <is>
          <t>UPPSALA LÄN</t>
        </is>
      </c>
      <c r="E658" t="inlineStr">
        <is>
          <t>ENKÖPING</t>
        </is>
      </c>
      <c r="G658" t="n">
        <v>10.9</v>
      </c>
      <c r="H658" t="n">
        <v>0</v>
      </c>
      <c r="I658" t="n">
        <v>0</v>
      </c>
      <c r="J658" t="n">
        <v>0</v>
      </c>
      <c r="K658" t="n">
        <v>0</v>
      </c>
      <c r="L658" t="n">
        <v>0</v>
      </c>
      <c r="M658" t="n">
        <v>0</v>
      </c>
      <c r="N658" t="n">
        <v>0</v>
      </c>
      <c r="O658" t="n">
        <v>0</v>
      </c>
      <c r="P658" t="n">
        <v>0</v>
      </c>
      <c r="Q658" t="n">
        <v>0</v>
      </c>
      <c r="R658" s="2" t="inlineStr"/>
    </row>
    <row r="659" ht="15" customHeight="1">
      <c r="A659" t="inlineStr">
        <is>
          <t>A 58114-2023</t>
        </is>
      </c>
      <c r="B659" s="1" t="n">
        <v>45249</v>
      </c>
      <c r="C659" s="1" t="n">
        <v>45831</v>
      </c>
      <c r="D659" t="inlineStr">
        <is>
          <t>UPPSALA LÄN</t>
        </is>
      </c>
      <c r="E659" t="inlineStr">
        <is>
          <t>ENKÖPING</t>
        </is>
      </c>
      <c r="G659" t="n">
        <v>15.4</v>
      </c>
      <c r="H659" t="n">
        <v>0</v>
      </c>
      <c r="I659" t="n">
        <v>0</v>
      </c>
      <c r="J659" t="n">
        <v>0</v>
      </c>
      <c r="K659" t="n">
        <v>0</v>
      </c>
      <c r="L659" t="n">
        <v>0</v>
      </c>
      <c r="M659" t="n">
        <v>0</v>
      </c>
      <c r="N659" t="n">
        <v>0</v>
      </c>
      <c r="O659" t="n">
        <v>0</v>
      </c>
      <c r="P659" t="n">
        <v>0</v>
      </c>
      <c r="Q659" t="n">
        <v>0</v>
      </c>
      <c r="R659" s="2" t="inlineStr"/>
    </row>
    <row r="660" ht="15" customHeight="1">
      <c r="A660" t="inlineStr">
        <is>
          <t>A 59866-2023</t>
        </is>
      </c>
      <c r="B660" s="1" t="n">
        <v>45257</v>
      </c>
      <c r="C660" s="1" t="n">
        <v>45831</v>
      </c>
      <c r="D660" t="inlineStr">
        <is>
          <t>UPPSALA LÄN</t>
        </is>
      </c>
      <c r="E660" t="inlineStr">
        <is>
          <t>ENKÖPING</t>
        </is>
      </c>
      <c r="G660" t="n">
        <v>3.5</v>
      </c>
      <c r="H660" t="n">
        <v>0</v>
      </c>
      <c r="I660" t="n">
        <v>0</v>
      </c>
      <c r="J660" t="n">
        <v>0</v>
      </c>
      <c r="K660" t="n">
        <v>0</v>
      </c>
      <c r="L660" t="n">
        <v>0</v>
      </c>
      <c r="M660" t="n">
        <v>0</v>
      </c>
      <c r="N660" t="n">
        <v>0</v>
      </c>
      <c r="O660" t="n">
        <v>0</v>
      </c>
      <c r="P660" t="n">
        <v>0</v>
      </c>
      <c r="Q660" t="n">
        <v>0</v>
      </c>
      <c r="R660" s="2" t="inlineStr"/>
    </row>
    <row r="661" ht="15" customHeight="1">
      <c r="A661" t="inlineStr">
        <is>
          <t>A 60200-2023</t>
        </is>
      </c>
      <c r="B661" s="1" t="n">
        <v>45258</v>
      </c>
      <c r="C661" s="1" t="n">
        <v>45831</v>
      </c>
      <c r="D661" t="inlineStr">
        <is>
          <t>UPPSALA LÄN</t>
        </is>
      </c>
      <c r="E661" t="inlineStr">
        <is>
          <t>ENKÖPING</t>
        </is>
      </c>
      <c r="F661" t="inlineStr">
        <is>
          <t>Allmännings- och besparingsskogar</t>
        </is>
      </c>
      <c r="G661" t="n">
        <v>9.4</v>
      </c>
      <c r="H661" t="n">
        <v>0</v>
      </c>
      <c r="I661" t="n">
        <v>0</v>
      </c>
      <c r="J661" t="n">
        <v>0</v>
      </c>
      <c r="K661" t="n">
        <v>0</v>
      </c>
      <c r="L661" t="n">
        <v>0</v>
      </c>
      <c r="M661" t="n">
        <v>0</v>
      </c>
      <c r="N661" t="n">
        <v>0</v>
      </c>
      <c r="O661" t="n">
        <v>0</v>
      </c>
      <c r="P661" t="n">
        <v>0</v>
      </c>
      <c r="Q661" t="n">
        <v>0</v>
      </c>
      <c r="R661" s="2" t="inlineStr"/>
    </row>
    <row r="662" ht="15" customHeight="1">
      <c r="A662" t="inlineStr">
        <is>
          <t>A 60641-2023</t>
        </is>
      </c>
      <c r="B662" s="1" t="n">
        <v>45260</v>
      </c>
      <c r="C662" s="1" t="n">
        <v>45831</v>
      </c>
      <c r="D662" t="inlineStr">
        <is>
          <t>UPPSALA LÄN</t>
        </is>
      </c>
      <c r="E662" t="inlineStr">
        <is>
          <t>ENKÖPING</t>
        </is>
      </c>
      <c r="G662" t="n">
        <v>13.1</v>
      </c>
      <c r="H662" t="n">
        <v>0</v>
      </c>
      <c r="I662" t="n">
        <v>0</v>
      </c>
      <c r="J662" t="n">
        <v>0</v>
      </c>
      <c r="K662" t="n">
        <v>0</v>
      </c>
      <c r="L662" t="n">
        <v>0</v>
      </c>
      <c r="M662" t="n">
        <v>0</v>
      </c>
      <c r="N662" t="n">
        <v>0</v>
      </c>
      <c r="O662" t="n">
        <v>0</v>
      </c>
      <c r="P662" t="n">
        <v>0</v>
      </c>
      <c r="Q662" t="n">
        <v>0</v>
      </c>
      <c r="R662" s="2" t="inlineStr"/>
    </row>
    <row r="663" ht="15" customHeight="1">
      <c r="A663" t="inlineStr">
        <is>
          <t>A 61040-2023</t>
        </is>
      </c>
      <c r="B663" s="1" t="n">
        <v>45260</v>
      </c>
      <c r="C663" s="1" t="n">
        <v>45831</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60874-2023</t>
        </is>
      </c>
      <c r="B664" s="1" t="n">
        <v>45261</v>
      </c>
      <c r="C664" s="1" t="n">
        <v>45831</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61207-2023</t>
        </is>
      </c>
      <c r="B665" s="1" t="n">
        <v>45264</v>
      </c>
      <c r="C665" s="1" t="n">
        <v>45831</v>
      </c>
      <c r="D665" t="inlineStr">
        <is>
          <t>UPPSALA LÄN</t>
        </is>
      </c>
      <c r="E665" t="inlineStr">
        <is>
          <t>ENKÖPING</t>
        </is>
      </c>
      <c r="G665" t="n">
        <v>10.8</v>
      </c>
      <c r="H665" t="n">
        <v>0</v>
      </c>
      <c r="I665" t="n">
        <v>0</v>
      </c>
      <c r="J665" t="n">
        <v>0</v>
      </c>
      <c r="K665" t="n">
        <v>0</v>
      </c>
      <c r="L665" t="n">
        <v>0</v>
      </c>
      <c r="M665" t="n">
        <v>0</v>
      </c>
      <c r="N665" t="n">
        <v>0</v>
      </c>
      <c r="O665" t="n">
        <v>0</v>
      </c>
      <c r="P665" t="n">
        <v>0</v>
      </c>
      <c r="Q665" t="n">
        <v>0</v>
      </c>
      <c r="R665" s="2" t="inlineStr"/>
    </row>
    <row r="666" ht="15" customHeight="1">
      <c r="A666" t="inlineStr">
        <is>
          <t>A 61710-2023</t>
        </is>
      </c>
      <c r="B666" s="1" t="n">
        <v>45265</v>
      </c>
      <c r="C666" s="1" t="n">
        <v>45831</v>
      </c>
      <c r="D666" t="inlineStr">
        <is>
          <t>UPPSALA LÄN</t>
        </is>
      </c>
      <c r="E666" t="inlineStr">
        <is>
          <t>ENKÖPING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62158-2023</t>
        </is>
      </c>
      <c r="B667" s="1" t="n">
        <v>45267</v>
      </c>
      <c r="C667" s="1" t="n">
        <v>45831</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62265-2023</t>
        </is>
      </c>
      <c r="B668" s="1" t="n">
        <v>45267</v>
      </c>
      <c r="C668" s="1" t="n">
        <v>45831</v>
      </c>
      <c r="D668" t="inlineStr">
        <is>
          <t>UPPSALA LÄN</t>
        </is>
      </c>
      <c r="E668" t="inlineStr">
        <is>
          <t>ENKÖPING</t>
        </is>
      </c>
      <c r="G668" t="n">
        <v>4.5</v>
      </c>
      <c r="H668" t="n">
        <v>0</v>
      </c>
      <c r="I668" t="n">
        <v>0</v>
      </c>
      <c r="J668" t="n">
        <v>0</v>
      </c>
      <c r="K668" t="n">
        <v>0</v>
      </c>
      <c r="L668" t="n">
        <v>0</v>
      </c>
      <c r="M668" t="n">
        <v>0</v>
      </c>
      <c r="N668" t="n">
        <v>0</v>
      </c>
      <c r="O668" t="n">
        <v>0</v>
      </c>
      <c r="P668" t="n">
        <v>0</v>
      </c>
      <c r="Q668" t="n">
        <v>0</v>
      </c>
      <c r="R668" s="2" t="inlineStr"/>
    </row>
    <row r="669" ht="15" customHeight="1">
      <c r="A669" t="inlineStr">
        <is>
          <t>A 63431-2023</t>
        </is>
      </c>
      <c r="B669" s="1" t="n">
        <v>45274</v>
      </c>
      <c r="C669" s="1" t="n">
        <v>45831</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63404-2023</t>
        </is>
      </c>
      <c r="B670" s="1" t="n">
        <v>45274</v>
      </c>
      <c r="C670" s="1" t="n">
        <v>45831</v>
      </c>
      <c r="D670" t="inlineStr">
        <is>
          <t>UPPSALA LÄN</t>
        </is>
      </c>
      <c r="E670" t="inlineStr">
        <is>
          <t>ENKÖPING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63402-2023</t>
        </is>
      </c>
      <c r="B671" s="1" t="n">
        <v>45274</v>
      </c>
      <c r="C671" s="1" t="n">
        <v>45831</v>
      </c>
      <c r="D671" t="inlineStr">
        <is>
          <t>UPPSALA LÄN</t>
        </is>
      </c>
      <c r="E671" t="inlineStr">
        <is>
          <t>ENKÖPING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63406-2023</t>
        </is>
      </c>
      <c r="B672" s="1" t="n">
        <v>45274</v>
      </c>
      <c r="C672" s="1" t="n">
        <v>45831</v>
      </c>
      <c r="D672" t="inlineStr">
        <is>
          <t>UPPSALA LÄN</t>
        </is>
      </c>
      <c r="E672" t="inlineStr">
        <is>
          <t>ENKÖPING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64800-2023</t>
        </is>
      </c>
      <c r="B673" s="1" t="n">
        <v>45282</v>
      </c>
      <c r="C673" s="1" t="n">
        <v>45831</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351-2024</t>
        </is>
      </c>
      <c r="B674" s="1" t="n">
        <v>45295</v>
      </c>
      <c r="C674" s="1" t="n">
        <v>45831</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352-2024</t>
        </is>
      </c>
      <c r="B675" s="1" t="n">
        <v>45295</v>
      </c>
      <c r="C675" s="1" t="n">
        <v>45831</v>
      </c>
      <c r="D675" t="inlineStr">
        <is>
          <t>UPPSALA LÄN</t>
        </is>
      </c>
      <c r="E675" t="inlineStr">
        <is>
          <t>ENKÖPING</t>
        </is>
      </c>
      <c r="G675" t="n">
        <v>3.9</v>
      </c>
      <c r="H675" t="n">
        <v>0</v>
      </c>
      <c r="I675" t="n">
        <v>0</v>
      </c>
      <c r="J675" t="n">
        <v>0</v>
      </c>
      <c r="K675" t="n">
        <v>0</v>
      </c>
      <c r="L675" t="n">
        <v>0</v>
      </c>
      <c r="M675" t="n">
        <v>0</v>
      </c>
      <c r="N675" t="n">
        <v>0</v>
      </c>
      <c r="O675" t="n">
        <v>0</v>
      </c>
      <c r="P675" t="n">
        <v>0</v>
      </c>
      <c r="Q675" t="n">
        <v>0</v>
      </c>
      <c r="R675" s="2" t="inlineStr"/>
    </row>
    <row r="676" ht="15" customHeight="1">
      <c r="A676" t="inlineStr">
        <is>
          <t>A 353-2024</t>
        </is>
      </c>
      <c r="B676" s="1" t="n">
        <v>45295</v>
      </c>
      <c r="C676" s="1" t="n">
        <v>45831</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422-2024</t>
        </is>
      </c>
      <c r="B677" s="1" t="n">
        <v>45296</v>
      </c>
      <c r="C677" s="1" t="n">
        <v>45831</v>
      </c>
      <c r="D677" t="inlineStr">
        <is>
          <t>UPPSALA LÄN</t>
        </is>
      </c>
      <c r="E677" t="inlineStr">
        <is>
          <t>ENKÖPING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420-2024</t>
        </is>
      </c>
      <c r="B678" s="1" t="n">
        <v>45296</v>
      </c>
      <c r="C678" s="1" t="n">
        <v>45831</v>
      </c>
      <c r="D678" t="inlineStr">
        <is>
          <t>UPPSALA LÄN</t>
        </is>
      </c>
      <c r="E678" t="inlineStr">
        <is>
          <t>ENKÖPING</t>
        </is>
      </c>
      <c r="G678" t="n">
        <v>2.8</v>
      </c>
      <c r="H678" t="n">
        <v>0</v>
      </c>
      <c r="I678" t="n">
        <v>0</v>
      </c>
      <c r="J678" t="n">
        <v>0</v>
      </c>
      <c r="K678" t="n">
        <v>0</v>
      </c>
      <c r="L678" t="n">
        <v>0</v>
      </c>
      <c r="M678" t="n">
        <v>0</v>
      </c>
      <c r="N678" t="n">
        <v>0</v>
      </c>
      <c r="O678" t="n">
        <v>0</v>
      </c>
      <c r="P678" t="n">
        <v>0</v>
      </c>
      <c r="Q678" t="n">
        <v>0</v>
      </c>
      <c r="R678" s="2" t="inlineStr"/>
    </row>
    <row r="679" ht="15" customHeight="1">
      <c r="A679" t="inlineStr">
        <is>
          <t>A 582-2024</t>
        </is>
      </c>
      <c r="B679" s="1" t="n">
        <v>45299</v>
      </c>
      <c r="C679" s="1" t="n">
        <v>45831</v>
      </c>
      <c r="D679" t="inlineStr">
        <is>
          <t>UPPSALA LÄN</t>
        </is>
      </c>
      <c r="E679" t="inlineStr">
        <is>
          <t>ENKÖPING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580-2024</t>
        </is>
      </c>
      <c r="B680" s="1" t="n">
        <v>45299</v>
      </c>
      <c r="C680" s="1" t="n">
        <v>45831</v>
      </c>
      <c r="D680" t="inlineStr">
        <is>
          <t>UPPSALA LÄN</t>
        </is>
      </c>
      <c r="E680" t="inlineStr">
        <is>
          <t>ENKÖPING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1536-2024</t>
        </is>
      </c>
      <c r="B681" s="1" t="n">
        <v>45306</v>
      </c>
      <c r="C681" s="1" t="n">
        <v>45831</v>
      </c>
      <c r="D681" t="inlineStr">
        <is>
          <t>UPPSALA LÄN</t>
        </is>
      </c>
      <c r="E681" t="inlineStr">
        <is>
          <t>ENKÖPING</t>
        </is>
      </c>
      <c r="F681" t="inlineStr">
        <is>
          <t>Kyrkan</t>
        </is>
      </c>
      <c r="G681" t="n">
        <v>5.6</v>
      </c>
      <c r="H681" t="n">
        <v>0</v>
      </c>
      <c r="I681" t="n">
        <v>0</v>
      </c>
      <c r="J681" t="n">
        <v>0</v>
      </c>
      <c r="K681" t="n">
        <v>0</v>
      </c>
      <c r="L681" t="n">
        <v>0</v>
      </c>
      <c r="M681" t="n">
        <v>0</v>
      </c>
      <c r="N681" t="n">
        <v>0</v>
      </c>
      <c r="O681" t="n">
        <v>0</v>
      </c>
      <c r="P681" t="n">
        <v>0</v>
      </c>
      <c r="Q681" t="n">
        <v>0</v>
      </c>
      <c r="R681" s="2" t="inlineStr"/>
    </row>
    <row r="682" ht="15" customHeight="1">
      <c r="A682" t="inlineStr">
        <is>
          <t>A 1651-2024</t>
        </is>
      </c>
      <c r="B682" s="1" t="n">
        <v>45306</v>
      </c>
      <c r="C682" s="1" t="n">
        <v>45831</v>
      </c>
      <c r="D682" t="inlineStr">
        <is>
          <t>UPPSALA LÄN</t>
        </is>
      </c>
      <c r="E682" t="inlineStr">
        <is>
          <t>ENKÖPING</t>
        </is>
      </c>
      <c r="G682" t="n">
        <v>10.2</v>
      </c>
      <c r="H682" t="n">
        <v>0</v>
      </c>
      <c r="I682" t="n">
        <v>0</v>
      </c>
      <c r="J682" t="n">
        <v>0</v>
      </c>
      <c r="K682" t="n">
        <v>0</v>
      </c>
      <c r="L682" t="n">
        <v>0</v>
      </c>
      <c r="M682" t="n">
        <v>0</v>
      </c>
      <c r="N682" t="n">
        <v>0</v>
      </c>
      <c r="O682" t="n">
        <v>0</v>
      </c>
      <c r="P682" t="n">
        <v>0</v>
      </c>
      <c r="Q682" t="n">
        <v>0</v>
      </c>
      <c r="R682" s="2" t="inlineStr"/>
    </row>
    <row r="683" ht="15" customHeight="1">
      <c r="A683" t="inlineStr">
        <is>
          <t>A 2221-2024</t>
        </is>
      </c>
      <c r="B683" s="1" t="n">
        <v>45309</v>
      </c>
      <c r="C683" s="1" t="n">
        <v>45831</v>
      </c>
      <c r="D683" t="inlineStr">
        <is>
          <t>UPPSALA LÄN</t>
        </is>
      </c>
      <c r="E683" t="inlineStr">
        <is>
          <t>ENKÖPING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2322-2024</t>
        </is>
      </c>
      <c r="B684" s="1" t="n">
        <v>45309</v>
      </c>
      <c r="C684" s="1" t="n">
        <v>45831</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2456-2024</t>
        </is>
      </c>
      <c r="B685" s="1" t="n">
        <v>45312</v>
      </c>
      <c r="C685" s="1" t="n">
        <v>45831</v>
      </c>
      <c r="D685" t="inlineStr">
        <is>
          <t>UPPSALA LÄN</t>
        </is>
      </c>
      <c r="E685" t="inlineStr">
        <is>
          <t>ENKÖPING</t>
        </is>
      </c>
      <c r="G685" t="n">
        <v>2.6</v>
      </c>
      <c r="H685" t="n">
        <v>0</v>
      </c>
      <c r="I685" t="n">
        <v>0</v>
      </c>
      <c r="J685" t="n">
        <v>0</v>
      </c>
      <c r="K685" t="n">
        <v>0</v>
      </c>
      <c r="L685" t="n">
        <v>0</v>
      </c>
      <c r="M685" t="n">
        <v>0</v>
      </c>
      <c r="N685" t="n">
        <v>0</v>
      </c>
      <c r="O685" t="n">
        <v>0</v>
      </c>
      <c r="P685" t="n">
        <v>0</v>
      </c>
      <c r="Q685" t="n">
        <v>0</v>
      </c>
      <c r="R685" s="2" t="inlineStr"/>
    </row>
    <row r="686" ht="15" customHeight="1">
      <c r="A686" t="inlineStr">
        <is>
          <t>A 2983-2024</t>
        </is>
      </c>
      <c r="B686" s="1" t="n">
        <v>45315</v>
      </c>
      <c r="C686" s="1" t="n">
        <v>45831</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3051-2024</t>
        </is>
      </c>
      <c r="B687" s="1" t="n">
        <v>45316</v>
      </c>
      <c r="C687" s="1" t="n">
        <v>45831</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3130-2024</t>
        </is>
      </c>
      <c r="B688" s="1" t="n">
        <v>45316</v>
      </c>
      <c r="C688" s="1" t="n">
        <v>45831</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3977-2024</t>
        </is>
      </c>
      <c r="B689" s="1" t="n">
        <v>45322</v>
      </c>
      <c r="C689" s="1" t="n">
        <v>45831</v>
      </c>
      <c r="D689" t="inlineStr">
        <is>
          <t>UPPSALA LÄN</t>
        </is>
      </c>
      <c r="E689" t="inlineStr">
        <is>
          <t>ENKÖPING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4044-2024</t>
        </is>
      </c>
      <c r="B690" s="1" t="n">
        <v>45323</v>
      </c>
      <c r="C690" s="1" t="n">
        <v>45831</v>
      </c>
      <c r="D690" t="inlineStr">
        <is>
          <t>UPPSALA LÄN</t>
        </is>
      </c>
      <c r="E690" t="inlineStr">
        <is>
          <t>ENKÖPING</t>
        </is>
      </c>
      <c r="G690" t="n">
        <v>2.1</v>
      </c>
      <c r="H690" t="n">
        <v>0</v>
      </c>
      <c r="I690" t="n">
        <v>0</v>
      </c>
      <c r="J690" t="n">
        <v>0</v>
      </c>
      <c r="K690" t="n">
        <v>0</v>
      </c>
      <c r="L690" t="n">
        <v>0</v>
      </c>
      <c r="M690" t="n">
        <v>0</v>
      </c>
      <c r="N690" t="n">
        <v>0</v>
      </c>
      <c r="O690" t="n">
        <v>0</v>
      </c>
      <c r="P690" t="n">
        <v>0</v>
      </c>
      <c r="Q690" t="n">
        <v>0</v>
      </c>
      <c r="R690" s="2" t="inlineStr"/>
    </row>
    <row r="691" ht="15" customHeight="1">
      <c r="A691" t="inlineStr">
        <is>
          <t>A 5211-2024</t>
        </is>
      </c>
      <c r="B691" s="1" t="n">
        <v>45330</v>
      </c>
      <c r="C691" s="1" t="n">
        <v>45831</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5521-2024</t>
        </is>
      </c>
      <c r="B692" s="1" t="n">
        <v>45334</v>
      </c>
      <c r="C692" s="1" t="n">
        <v>45831</v>
      </c>
      <c r="D692" t="inlineStr">
        <is>
          <t>UPPSALA LÄN</t>
        </is>
      </c>
      <c r="E692" t="inlineStr">
        <is>
          <t>ENKÖPING</t>
        </is>
      </c>
      <c r="G692" t="n">
        <v>8.4</v>
      </c>
      <c r="H692" t="n">
        <v>0</v>
      </c>
      <c r="I692" t="n">
        <v>0</v>
      </c>
      <c r="J692" t="n">
        <v>0</v>
      </c>
      <c r="K692" t="n">
        <v>0</v>
      </c>
      <c r="L692" t="n">
        <v>0</v>
      </c>
      <c r="M692" t="n">
        <v>0</v>
      </c>
      <c r="N692" t="n">
        <v>0</v>
      </c>
      <c r="O692" t="n">
        <v>0</v>
      </c>
      <c r="P692" t="n">
        <v>0</v>
      </c>
      <c r="Q692" t="n">
        <v>0</v>
      </c>
      <c r="R692" s="2" t="inlineStr"/>
    </row>
    <row r="693" ht="15" customHeight="1">
      <c r="A693" t="inlineStr">
        <is>
          <t>A 6247-2024</t>
        </is>
      </c>
      <c r="B693" s="1" t="n">
        <v>45337</v>
      </c>
      <c r="C693" s="1" t="n">
        <v>45831</v>
      </c>
      <c r="D693" t="inlineStr">
        <is>
          <t>UPPSALA LÄN</t>
        </is>
      </c>
      <c r="E693" t="inlineStr">
        <is>
          <t>ENKÖPING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6144-2024</t>
        </is>
      </c>
      <c r="B694" s="1" t="n">
        <v>45337</v>
      </c>
      <c r="C694" s="1" t="n">
        <v>45831</v>
      </c>
      <c r="D694" t="inlineStr">
        <is>
          <t>UPPSALA LÄN</t>
        </is>
      </c>
      <c r="E694" t="inlineStr">
        <is>
          <t>ENKÖPING</t>
        </is>
      </c>
      <c r="G694" t="n">
        <v>13.8</v>
      </c>
      <c r="H694" t="n">
        <v>0</v>
      </c>
      <c r="I694" t="n">
        <v>0</v>
      </c>
      <c r="J694" t="n">
        <v>0</v>
      </c>
      <c r="K694" t="n">
        <v>0</v>
      </c>
      <c r="L694" t="n">
        <v>0</v>
      </c>
      <c r="M694" t="n">
        <v>0</v>
      </c>
      <c r="N694" t="n">
        <v>0</v>
      </c>
      <c r="O694" t="n">
        <v>0</v>
      </c>
      <c r="P694" t="n">
        <v>0</v>
      </c>
      <c r="Q694" t="n">
        <v>0</v>
      </c>
      <c r="R694" s="2" t="inlineStr"/>
    </row>
    <row r="695" ht="15" customHeight="1">
      <c r="A695" t="inlineStr">
        <is>
          <t>A 7868-2024</t>
        </is>
      </c>
      <c r="B695" s="1" t="n">
        <v>45350</v>
      </c>
      <c r="C695" s="1" t="n">
        <v>45831</v>
      </c>
      <c r="D695" t="inlineStr">
        <is>
          <t>UPPSALA LÄN</t>
        </is>
      </c>
      <c r="E695" t="inlineStr">
        <is>
          <t>ENKÖPING</t>
        </is>
      </c>
      <c r="G695" t="n">
        <v>0.3</v>
      </c>
      <c r="H695" t="n">
        <v>0</v>
      </c>
      <c r="I695" t="n">
        <v>0</v>
      </c>
      <c r="J695" t="n">
        <v>0</v>
      </c>
      <c r="K695" t="n">
        <v>0</v>
      </c>
      <c r="L695" t="n">
        <v>0</v>
      </c>
      <c r="M695" t="n">
        <v>0</v>
      </c>
      <c r="N695" t="n">
        <v>0</v>
      </c>
      <c r="O695" t="n">
        <v>0</v>
      </c>
      <c r="P695" t="n">
        <v>0</v>
      </c>
      <c r="Q695" t="n">
        <v>0</v>
      </c>
      <c r="R695" s="2" t="inlineStr"/>
    </row>
    <row r="696" ht="15" customHeight="1">
      <c r="A696" t="inlineStr">
        <is>
          <t>A 7866-2024</t>
        </is>
      </c>
      <c r="B696" s="1" t="n">
        <v>45350</v>
      </c>
      <c r="C696" s="1" t="n">
        <v>45831</v>
      </c>
      <c r="D696" t="inlineStr">
        <is>
          <t>UPPSALA LÄN</t>
        </is>
      </c>
      <c r="E696" t="inlineStr">
        <is>
          <t>ENKÖPING</t>
        </is>
      </c>
      <c r="G696" t="n">
        <v>3.5</v>
      </c>
      <c r="H696" t="n">
        <v>0</v>
      </c>
      <c r="I696" t="n">
        <v>0</v>
      </c>
      <c r="J696" t="n">
        <v>0</v>
      </c>
      <c r="K696" t="n">
        <v>0</v>
      </c>
      <c r="L696" t="n">
        <v>0</v>
      </c>
      <c r="M696" t="n">
        <v>0</v>
      </c>
      <c r="N696" t="n">
        <v>0</v>
      </c>
      <c r="O696" t="n">
        <v>0</v>
      </c>
      <c r="P696" t="n">
        <v>0</v>
      </c>
      <c r="Q696" t="n">
        <v>0</v>
      </c>
      <c r="R696" s="2" t="inlineStr"/>
    </row>
    <row r="697" ht="15" customHeight="1">
      <c r="A697" t="inlineStr">
        <is>
          <t>A 7870-2024</t>
        </is>
      </c>
      <c r="B697" s="1" t="n">
        <v>45350</v>
      </c>
      <c r="C697" s="1" t="n">
        <v>45831</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8103-2024</t>
        </is>
      </c>
      <c r="B698" s="1" t="n">
        <v>45351</v>
      </c>
      <c r="C698" s="1" t="n">
        <v>45831</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8217-2024</t>
        </is>
      </c>
      <c r="B699" s="1" t="n">
        <v>45351</v>
      </c>
      <c r="C699" s="1" t="n">
        <v>45831</v>
      </c>
      <c r="D699" t="inlineStr">
        <is>
          <t>UPPSALA LÄN</t>
        </is>
      </c>
      <c r="E699" t="inlineStr">
        <is>
          <t>ENKÖPING</t>
        </is>
      </c>
      <c r="G699" t="n">
        <v>3.1</v>
      </c>
      <c r="H699" t="n">
        <v>0</v>
      </c>
      <c r="I699" t="n">
        <v>0</v>
      </c>
      <c r="J699" t="n">
        <v>0</v>
      </c>
      <c r="K699" t="n">
        <v>0</v>
      </c>
      <c r="L699" t="n">
        <v>0</v>
      </c>
      <c r="M699" t="n">
        <v>0</v>
      </c>
      <c r="N699" t="n">
        <v>0</v>
      </c>
      <c r="O699" t="n">
        <v>0</v>
      </c>
      <c r="P699" t="n">
        <v>0</v>
      </c>
      <c r="Q699" t="n">
        <v>0</v>
      </c>
      <c r="R699" s="2" t="inlineStr"/>
    </row>
    <row r="700" ht="15" customHeight="1">
      <c r="A700" t="inlineStr">
        <is>
          <t>A 9185-2024</t>
        </is>
      </c>
      <c r="B700" s="1" t="n">
        <v>45358</v>
      </c>
      <c r="C700" s="1" t="n">
        <v>45831</v>
      </c>
      <c r="D700" t="inlineStr">
        <is>
          <t>UPPSALA LÄN</t>
        </is>
      </c>
      <c r="E700" t="inlineStr">
        <is>
          <t>ENKÖPING</t>
        </is>
      </c>
      <c r="G700" t="n">
        <v>4.4</v>
      </c>
      <c r="H700" t="n">
        <v>0</v>
      </c>
      <c r="I700" t="n">
        <v>0</v>
      </c>
      <c r="J700" t="n">
        <v>0</v>
      </c>
      <c r="K700" t="n">
        <v>0</v>
      </c>
      <c r="L700" t="n">
        <v>0</v>
      </c>
      <c r="M700" t="n">
        <v>0</v>
      </c>
      <c r="N700" t="n">
        <v>0</v>
      </c>
      <c r="O700" t="n">
        <v>0</v>
      </c>
      <c r="P700" t="n">
        <v>0</v>
      </c>
      <c r="Q700" t="n">
        <v>0</v>
      </c>
      <c r="R700" s="2" t="inlineStr"/>
    </row>
    <row r="701" ht="15" customHeight="1">
      <c r="A701" t="inlineStr">
        <is>
          <t>A 9174-2024</t>
        </is>
      </c>
      <c r="B701" s="1" t="n">
        <v>45358</v>
      </c>
      <c r="C701" s="1" t="n">
        <v>45831</v>
      </c>
      <c r="D701" t="inlineStr">
        <is>
          <t>UPPSALA LÄN</t>
        </is>
      </c>
      <c r="E701" t="inlineStr">
        <is>
          <t>ENKÖPING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9171-2024</t>
        </is>
      </c>
      <c r="B702" s="1" t="n">
        <v>45358</v>
      </c>
      <c r="C702" s="1" t="n">
        <v>45831</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9175-2024</t>
        </is>
      </c>
      <c r="B703" s="1" t="n">
        <v>45358</v>
      </c>
      <c r="C703" s="1" t="n">
        <v>45831</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9192-2024</t>
        </is>
      </c>
      <c r="B704" s="1" t="n">
        <v>45358</v>
      </c>
      <c r="C704" s="1" t="n">
        <v>45831</v>
      </c>
      <c r="D704" t="inlineStr">
        <is>
          <t>UPPSALA LÄN</t>
        </is>
      </c>
      <c r="E704" t="inlineStr">
        <is>
          <t>ENKÖPING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9667-2024</t>
        </is>
      </c>
      <c r="B705" s="1" t="n">
        <v>45362</v>
      </c>
      <c r="C705" s="1" t="n">
        <v>45831</v>
      </c>
      <c r="D705" t="inlineStr">
        <is>
          <t>UPPSALA LÄN</t>
        </is>
      </c>
      <c r="E705" t="inlineStr">
        <is>
          <t>ENKÖPING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10829-2024</t>
        </is>
      </c>
      <c r="B706" s="1" t="n">
        <v>45369</v>
      </c>
      <c r="C706" s="1" t="n">
        <v>45831</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10756-2024</t>
        </is>
      </c>
      <c r="B707" s="1" t="n">
        <v>45369</v>
      </c>
      <c r="C707" s="1" t="n">
        <v>45831</v>
      </c>
      <c r="D707" t="inlineStr">
        <is>
          <t>UPPSALA LÄN</t>
        </is>
      </c>
      <c r="E707" t="inlineStr">
        <is>
          <t>ENKÖPING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10752-2024</t>
        </is>
      </c>
      <c r="B708" s="1" t="n">
        <v>45369</v>
      </c>
      <c r="C708" s="1" t="n">
        <v>45831</v>
      </c>
      <c r="D708" t="inlineStr">
        <is>
          <t>UPPSALA LÄN</t>
        </is>
      </c>
      <c r="E708" t="inlineStr">
        <is>
          <t>ENKÖPING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10832-2024</t>
        </is>
      </c>
      <c r="B709" s="1" t="n">
        <v>45369</v>
      </c>
      <c r="C709" s="1" t="n">
        <v>45831</v>
      </c>
      <c r="D709" t="inlineStr">
        <is>
          <t>UPPSALA LÄN</t>
        </is>
      </c>
      <c r="E709" t="inlineStr">
        <is>
          <t>ENKÖPING</t>
        </is>
      </c>
      <c r="G709" t="n">
        <v>7.3</v>
      </c>
      <c r="H709" t="n">
        <v>0</v>
      </c>
      <c r="I709" t="n">
        <v>0</v>
      </c>
      <c r="J709" t="n">
        <v>0</v>
      </c>
      <c r="K709" t="n">
        <v>0</v>
      </c>
      <c r="L709" t="n">
        <v>0</v>
      </c>
      <c r="M709" t="n">
        <v>0</v>
      </c>
      <c r="N709" t="n">
        <v>0</v>
      </c>
      <c r="O709" t="n">
        <v>0</v>
      </c>
      <c r="P709" t="n">
        <v>0</v>
      </c>
      <c r="Q709" t="n">
        <v>0</v>
      </c>
      <c r="R709" s="2" t="inlineStr"/>
    </row>
    <row r="710" ht="15" customHeight="1">
      <c r="A710" t="inlineStr">
        <is>
          <t>A 10831-2024</t>
        </is>
      </c>
      <c r="B710" s="1" t="n">
        <v>45369</v>
      </c>
      <c r="C710" s="1" t="n">
        <v>45831</v>
      </c>
      <c r="D710" t="inlineStr">
        <is>
          <t>UPPSALA LÄN</t>
        </is>
      </c>
      <c r="E710" t="inlineStr">
        <is>
          <t>ENKÖPING</t>
        </is>
      </c>
      <c r="G710" t="n">
        <v>2.9</v>
      </c>
      <c r="H710" t="n">
        <v>0</v>
      </c>
      <c r="I710" t="n">
        <v>0</v>
      </c>
      <c r="J710" t="n">
        <v>0</v>
      </c>
      <c r="K710" t="n">
        <v>0</v>
      </c>
      <c r="L710" t="n">
        <v>0</v>
      </c>
      <c r="M710" t="n">
        <v>0</v>
      </c>
      <c r="N710" t="n">
        <v>0</v>
      </c>
      <c r="O710" t="n">
        <v>0</v>
      </c>
      <c r="P710" t="n">
        <v>0</v>
      </c>
      <c r="Q710" t="n">
        <v>0</v>
      </c>
      <c r="R710" s="2" t="inlineStr"/>
    </row>
    <row r="711" ht="15" customHeight="1">
      <c r="A711" t="inlineStr">
        <is>
          <t>A 11503-2024</t>
        </is>
      </c>
      <c r="B711" s="1" t="n">
        <v>45372</v>
      </c>
      <c r="C711" s="1" t="n">
        <v>45831</v>
      </c>
      <c r="D711" t="inlineStr">
        <is>
          <t>UPPSALA LÄN</t>
        </is>
      </c>
      <c r="E711" t="inlineStr">
        <is>
          <t>ENKÖPING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11908-2024</t>
        </is>
      </c>
      <c r="B712" s="1" t="n">
        <v>45376</v>
      </c>
      <c r="C712" s="1" t="n">
        <v>45831</v>
      </c>
      <c r="D712" t="inlineStr">
        <is>
          <t>UPPSALA LÄN</t>
        </is>
      </c>
      <c r="E712" t="inlineStr">
        <is>
          <t>ENKÖPING</t>
        </is>
      </c>
      <c r="G712" t="n">
        <v>7.9</v>
      </c>
      <c r="H712" t="n">
        <v>0</v>
      </c>
      <c r="I712" t="n">
        <v>0</v>
      </c>
      <c r="J712" t="n">
        <v>0</v>
      </c>
      <c r="K712" t="n">
        <v>0</v>
      </c>
      <c r="L712" t="n">
        <v>0</v>
      </c>
      <c r="M712" t="n">
        <v>0</v>
      </c>
      <c r="N712" t="n">
        <v>0</v>
      </c>
      <c r="O712" t="n">
        <v>0</v>
      </c>
      <c r="P712" t="n">
        <v>0</v>
      </c>
      <c r="Q712" t="n">
        <v>0</v>
      </c>
      <c r="R712" s="2" t="inlineStr"/>
    </row>
    <row r="713" ht="15" customHeight="1">
      <c r="A713" t="inlineStr">
        <is>
          <t>A 12020-2024</t>
        </is>
      </c>
      <c r="B713" s="1" t="n">
        <v>45377</v>
      </c>
      <c r="C713" s="1" t="n">
        <v>45831</v>
      </c>
      <c r="D713" t="inlineStr">
        <is>
          <t>UPPSALA LÄN</t>
        </is>
      </c>
      <c r="E713" t="inlineStr">
        <is>
          <t>ENKÖPING</t>
        </is>
      </c>
      <c r="G713" t="n">
        <v>2</v>
      </c>
      <c r="H713" t="n">
        <v>0</v>
      </c>
      <c r="I713" t="n">
        <v>0</v>
      </c>
      <c r="J713" t="n">
        <v>0</v>
      </c>
      <c r="K713" t="n">
        <v>0</v>
      </c>
      <c r="L713" t="n">
        <v>0</v>
      </c>
      <c r="M713" t="n">
        <v>0</v>
      </c>
      <c r="N713" t="n">
        <v>0</v>
      </c>
      <c r="O713" t="n">
        <v>0</v>
      </c>
      <c r="P713" t="n">
        <v>0</v>
      </c>
      <c r="Q713" t="n">
        <v>0</v>
      </c>
      <c r="R713" s="2" t="inlineStr"/>
    </row>
    <row r="714" ht="15" customHeight="1">
      <c r="A714" t="inlineStr">
        <is>
          <t>A 12102-2024</t>
        </is>
      </c>
      <c r="B714" s="1" t="n">
        <v>45377</v>
      </c>
      <c r="C714" s="1" t="n">
        <v>45831</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12751-2024</t>
        </is>
      </c>
      <c r="B715" s="1" t="n">
        <v>45384</v>
      </c>
      <c r="C715" s="1" t="n">
        <v>45831</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12958-2024</t>
        </is>
      </c>
      <c r="B716" s="1" t="n">
        <v>45385</v>
      </c>
      <c r="C716" s="1" t="n">
        <v>45831</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13247-2024</t>
        </is>
      </c>
      <c r="B717" s="1" t="n">
        <v>45386</v>
      </c>
      <c r="C717" s="1" t="n">
        <v>45831</v>
      </c>
      <c r="D717" t="inlineStr">
        <is>
          <t>UPPSALA LÄN</t>
        </is>
      </c>
      <c r="E717" t="inlineStr">
        <is>
          <t>ENKÖPING</t>
        </is>
      </c>
      <c r="G717" t="n">
        <v>2.3</v>
      </c>
      <c r="H717" t="n">
        <v>0</v>
      </c>
      <c r="I717" t="n">
        <v>0</v>
      </c>
      <c r="J717" t="n">
        <v>0</v>
      </c>
      <c r="K717" t="n">
        <v>0</v>
      </c>
      <c r="L717" t="n">
        <v>0</v>
      </c>
      <c r="M717" t="n">
        <v>0</v>
      </c>
      <c r="N717" t="n">
        <v>0</v>
      </c>
      <c r="O717" t="n">
        <v>0</v>
      </c>
      <c r="P717" t="n">
        <v>0</v>
      </c>
      <c r="Q717" t="n">
        <v>0</v>
      </c>
      <c r="R717" s="2" t="inlineStr"/>
    </row>
    <row r="718" ht="15" customHeight="1">
      <c r="A718" t="inlineStr">
        <is>
          <t>A 13168-2024</t>
        </is>
      </c>
      <c r="B718" s="1" t="n">
        <v>45386</v>
      </c>
      <c r="C718" s="1" t="n">
        <v>45831</v>
      </c>
      <c r="D718" t="inlineStr">
        <is>
          <t>UPPSALA LÄN</t>
        </is>
      </c>
      <c r="E718" t="inlineStr">
        <is>
          <t>ENKÖPING</t>
        </is>
      </c>
      <c r="G718" t="n">
        <v>3.5</v>
      </c>
      <c r="H718" t="n">
        <v>0</v>
      </c>
      <c r="I718" t="n">
        <v>0</v>
      </c>
      <c r="J718" t="n">
        <v>0</v>
      </c>
      <c r="K718" t="n">
        <v>0</v>
      </c>
      <c r="L718" t="n">
        <v>0</v>
      </c>
      <c r="M718" t="n">
        <v>0</v>
      </c>
      <c r="N718" t="n">
        <v>0</v>
      </c>
      <c r="O718" t="n">
        <v>0</v>
      </c>
      <c r="P718" t="n">
        <v>0</v>
      </c>
      <c r="Q718" t="n">
        <v>0</v>
      </c>
      <c r="R718" s="2" t="inlineStr"/>
    </row>
    <row r="719" ht="15" customHeight="1">
      <c r="A719" t="inlineStr">
        <is>
          <t>A 13530-2024</t>
        </is>
      </c>
      <c r="B719" s="1" t="n">
        <v>45387</v>
      </c>
      <c r="C719" s="1" t="n">
        <v>45831</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13528-2024</t>
        </is>
      </c>
      <c r="B720" s="1" t="n">
        <v>45387</v>
      </c>
      <c r="C720" s="1" t="n">
        <v>45831</v>
      </c>
      <c r="D720" t="inlineStr">
        <is>
          <t>UPPSALA LÄN</t>
        </is>
      </c>
      <c r="E720" t="inlineStr">
        <is>
          <t>ENKÖPING</t>
        </is>
      </c>
      <c r="G720" t="n">
        <v>5.7</v>
      </c>
      <c r="H720" t="n">
        <v>0</v>
      </c>
      <c r="I720" t="n">
        <v>0</v>
      </c>
      <c r="J720" t="n">
        <v>0</v>
      </c>
      <c r="K720" t="n">
        <v>0</v>
      </c>
      <c r="L720" t="n">
        <v>0</v>
      </c>
      <c r="M720" t="n">
        <v>0</v>
      </c>
      <c r="N720" t="n">
        <v>0</v>
      </c>
      <c r="O720" t="n">
        <v>0</v>
      </c>
      <c r="P720" t="n">
        <v>0</v>
      </c>
      <c r="Q720" t="n">
        <v>0</v>
      </c>
      <c r="R720" s="2" t="inlineStr"/>
    </row>
    <row r="721" ht="15" customHeight="1">
      <c r="A721" t="inlineStr">
        <is>
          <t>A 14334-2024</t>
        </is>
      </c>
      <c r="B721" s="1" t="n">
        <v>45393</v>
      </c>
      <c r="C721" s="1" t="n">
        <v>45831</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14332-2024</t>
        </is>
      </c>
      <c r="B722" s="1" t="n">
        <v>45393</v>
      </c>
      <c r="C722" s="1" t="n">
        <v>45831</v>
      </c>
      <c r="D722" t="inlineStr">
        <is>
          <t>UPPSALA LÄN</t>
        </is>
      </c>
      <c r="E722" t="inlineStr">
        <is>
          <t>ENKÖPING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15823-2024</t>
        </is>
      </c>
      <c r="B723" s="1" t="n">
        <v>45404</v>
      </c>
      <c r="C723" s="1" t="n">
        <v>45831</v>
      </c>
      <c r="D723" t="inlineStr">
        <is>
          <t>UPPSALA LÄN</t>
        </is>
      </c>
      <c r="E723" t="inlineStr">
        <is>
          <t>ENKÖPING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15816-2024</t>
        </is>
      </c>
      <c r="B724" s="1" t="n">
        <v>45404</v>
      </c>
      <c r="C724" s="1" t="n">
        <v>45831</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15824-2024</t>
        </is>
      </c>
      <c r="B725" s="1" t="n">
        <v>45404</v>
      </c>
      <c r="C725" s="1" t="n">
        <v>45831</v>
      </c>
      <c r="D725" t="inlineStr">
        <is>
          <t>UPPSALA LÄN</t>
        </is>
      </c>
      <c r="E725" t="inlineStr">
        <is>
          <t>ENKÖPING</t>
        </is>
      </c>
      <c r="G725" t="n">
        <v>1.5</v>
      </c>
      <c r="H725" t="n">
        <v>0</v>
      </c>
      <c r="I725" t="n">
        <v>0</v>
      </c>
      <c r="J725" t="n">
        <v>0</v>
      </c>
      <c r="K725" t="n">
        <v>0</v>
      </c>
      <c r="L725" t="n">
        <v>0</v>
      </c>
      <c r="M725" t="n">
        <v>0</v>
      </c>
      <c r="N725" t="n">
        <v>0</v>
      </c>
      <c r="O725" t="n">
        <v>0</v>
      </c>
      <c r="P725" t="n">
        <v>0</v>
      </c>
      <c r="Q725" t="n">
        <v>0</v>
      </c>
      <c r="R725" s="2" t="inlineStr"/>
    </row>
    <row r="726" ht="15" customHeight="1">
      <c r="A726" t="inlineStr">
        <is>
          <t>A 15814-2024</t>
        </is>
      </c>
      <c r="B726" s="1" t="n">
        <v>45404</v>
      </c>
      <c r="C726" s="1" t="n">
        <v>45831</v>
      </c>
      <c r="D726" t="inlineStr">
        <is>
          <t>UPPSALA LÄN</t>
        </is>
      </c>
      <c r="E726" t="inlineStr">
        <is>
          <t>ENKÖPING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15826-2024</t>
        </is>
      </c>
      <c r="B727" s="1" t="n">
        <v>45404</v>
      </c>
      <c r="C727" s="1" t="n">
        <v>45831</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15813-2024</t>
        </is>
      </c>
      <c r="B728" s="1" t="n">
        <v>45404</v>
      </c>
      <c r="C728" s="1" t="n">
        <v>45831</v>
      </c>
      <c r="D728" t="inlineStr">
        <is>
          <t>UPPSALA LÄN</t>
        </is>
      </c>
      <c r="E728" t="inlineStr">
        <is>
          <t>ENKÖPING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15878-2024</t>
        </is>
      </c>
      <c r="B729" s="1" t="n">
        <v>45405</v>
      </c>
      <c r="C729" s="1" t="n">
        <v>45831</v>
      </c>
      <c r="D729" t="inlineStr">
        <is>
          <t>UPPSALA LÄN</t>
        </is>
      </c>
      <c r="E729" t="inlineStr">
        <is>
          <t>ENKÖPING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15893-2024</t>
        </is>
      </c>
      <c r="B730" s="1" t="n">
        <v>45405</v>
      </c>
      <c r="C730" s="1" t="n">
        <v>45831</v>
      </c>
      <c r="D730" t="inlineStr">
        <is>
          <t>UPPSALA LÄN</t>
        </is>
      </c>
      <c r="E730" t="inlineStr">
        <is>
          <t>ENKÖPING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19147-2024</t>
        </is>
      </c>
      <c r="B731" s="1" t="n">
        <v>45428</v>
      </c>
      <c r="C731" s="1" t="n">
        <v>45831</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19378-2024</t>
        </is>
      </c>
      <c r="B732" s="1" t="n">
        <v>45429</v>
      </c>
      <c r="C732" s="1" t="n">
        <v>45831</v>
      </c>
      <c r="D732" t="inlineStr">
        <is>
          <t>UPPSALA LÄN</t>
        </is>
      </c>
      <c r="E732" t="inlineStr">
        <is>
          <t>ENKÖPING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19376-2024</t>
        </is>
      </c>
      <c r="B733" s="1" t="n">
        <v>45429</v>
      </c>
      <c r="C733" s="1" t="n">
        <v>45831</v>
      </c>
      <c r="D733" t="inlineStr">
        <is>
          <t>UPPSALA LÄN</t>
        </is>
      </c>
      <c r="E733" t="inlineStr">
        <is>
          <t>ENKÖPING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20112-2024</t>
        </is>
      </c>
      <c r="B734" s="1" t="n">
        <v>45434</v>
      </c>
      <c r="C734" s="1" t="n">
        <v>45831</v>
      </c>
      <c r="D734" t="inlineStr">
        <is>
          <t>UPPSALA LÄN</t>
        </is>
      </c>
      <c r="E734" t="inlineStr">
        <is>
          <t>ENKÖPING</t>
        </is>
      </c>
      <c r="G734" t="n">
        <v>1.8</v>
      </c>
      <c r="H734" t="n">
        <v>0</v>
      </c>
      <c r="I734" t="n">
        <v>0</v>
      </c>
      <c r="J734" t="n">
        <v>0</v>
      </c>
      <c r="K734" t="n">
        <v>0</v>
      </c>
      <c r="L734" t="n">
        <v>0</v>
      </c>
      <c r="M734" t="n">
        <v>0</v>
      </c>
      <c r="N734" t="n">
        <v>0</v>
      </c>
      <c r="O734" t="n">
        <v>0</v>
      </c>
      <c r="P734" t="n">
        <v>0</v>
      </c>
      <c r="Q734" t="n">
        <v>0</v>
      </c>
      <c r="R734" s="2" t="inlineStr"/>
    </row>
    <row r="735" ht="15" customHeight="1">
      <c r="A735" t="inlineStr">
        <is>
          <t>A 20105-2024</t>
        </is>
      </c>
      <c r="B735" s="1" t="n">
        <v>45434</v>
      </c>
      <c r="C735" s="1" t="n">
        <v>45831</v>
      </c>
      <c r="D735" t="inlineStr">
        <is>
          <t>UPPSALA LÄN</t>
        </is>
      </c>
      <c r="E735" t="inlineStr">
        <is>
          <t>ENKÖPING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21435-2024</t>
        </is>
      </c>
      <c r="B736" s="1" t="n">
        <v>45441</v>
      </c>
      <c r="C736" s="1" t="n">
        <v>45831</v>
      </c>
      <c r="D736" t="inlineStr">
        <is>
          <t>UPPSALA LÄN</t>
        </is>
      </c>
      <c r="E736" t="inlineStr">
        <is>
          <t>ENKÖPING</t>
        </is>
      </c>
      <c r="G736" t="n">
        <v>2.6</v>
      </c>
      <c r="H736" t="n">
        <v>0</v>
      </c>
      <c r="I736" t="n">
        <v>0</v>
      </c>
      <c r="J736" t="n">
        <v>0</v>
      </c>
      <c r="K736" t="n">
        <v>0</v>
      </c>
      <c r="L736" t="n">
        <v>0</v>
      </c>
      <c r="M736" t="n">
        <v>0</v>
      </c>
      <c r="N736" t="n">
        <v>0</v>
      </c>
      <c r="O736" t="n">
        <v>0</v>
      </c>
      <c r="P736" t="n">
        <v>0</v>
      </c>
      <c r="Q736" t="n">
        <v>0</v>
      </c>
      <c r="R736" s="2" t="inlineStr"/>
    </row>
    <row r="737" ht="15" customHeight="1">
      <c r="A737" t="inlineStr">
        <is>
          <t>A 22912-2024</t>
        </is>
      </c>
      <c r="B737" s="1" t="n">
        <v>45448</v>
      </c>
      <c r="C737" s="1" t="n">
        <v>45831</v>
      </c>
      <c r="D737" t="inlineStr">
        <is>
          <t>UPPSALA LÄN</t>
        </is>
      </c>
      <c r="E737" t="inlineStr">
        <is>
          <t>ENKÖPING</t>
        </is>
      </c>
      <c r="G737" t="n">
        <v>2.8</v>
      </c>
      <c r="H737" t="n">
        <v>0</v>
      </c>
      <c r="I737" t="n">
        <v>0</v>
      </c>
      <c r="J737" t="n">
        <v>0</v>
      </c>
      <c r="K737" t="n">
        <v>0</v>
      </c>
      <c r="L737" t="n">
        <v>0</v>
      </c>
      <c r="M737" t="n">
        <v>0</v>
      </c>
      <c r="N737" t="n">
        <v>0</v>
      </c>
      <c r="O737" t="n">
        <v>0</v>
      </c>
      <c r="P737" t="n">
        <v>0</v>
      </c>
      <c r="Q737" t="n">
        <v>0</v>
      </c>
      <c r="R737" s="2" t="inlineStr"/>
    </row>
    <row r="738" ht="15" customHeight="1">
      <c r="A738" t="inlineStr">
        <is>
          <t>A 23301-2024</t>
        </is>
      </c>
      <c r="B738" s="1" t="n">
        <v>45453</v>
      </c>
      <c r="C738" s="1" t="n">
        <v>45831</v>
      </c>
      <c r="D738" t="inlineStr">
        <is>
          <t>UPPSALA LÄN</t>
        </is>
      </c>
      <c r="E738" t="inlineStr">
        <is>
          <t>ENKÖPING</t>
        </is>
      </c>
      <c r="G738" t="n">
        <v>4.3</v>
      </c>
      <c r="H738" t="n">
        <v>0</v>
      </c>
      <c r="I738" t="n">
        <v>0</v>
      </c>
      <c r="J738" t="n">
        <v>0</v>
      </c>
      <c r="K738" t="n">
        <v>0</v>
      </c>
      <c r="L738" t="n">
        <v>0</v>
      </c>
      <c r="M738" t="n">
        <v>0</v>
      </c>
      <c r="N738" t="n">
        <v>0</v>
      </c>
      <c r="O738" t="n">
        <v>0</v>
      </c>
      <c r="P738" t="n">
        <v>0</v>
      </c>
      <c r="Q738" t="n">
        <v>0</v>
      </c>
      <c r="R738" s="2" t="inlineStr"/>
    </row>
    <row r="739" ht="15" customHeight="1">
      <c r="A739" t="inlineStr">
        <is>
          <t>A 23264-2024</t>
        </is>
      </c>
      <c r="B739" s="1" t="n">
        <v>45453</v>
      </c>
      <c r="C739" s="1" t="n">
        <v>45831</v>
      </c>
      <c r="D739" t="inlineStr">
        <is>
          <t>UPPSALA LÄN</t>
        </is>
      </c>
      <c r="E739" t="inlineStr">
        <is>
          <t>ENKÖPING</t>
        </is>
      </c>
      <c r="G739" t="n">
        <v>9.4</v>
      </c>
      <c r="H739" t="n">
        <v>0</v>
      </c>
      <c r="I739" t="n">
        <v>0</v>
      </c>
      <c r="J739" t="n">
        <v>0</v>
      </c>
      <c r="K739" t="n">
        <v>0</v>
      </c>
      <c r="L739" t="n">
        <v>0</v>
      </c>
      <c r="M739" t="n">
        <v>0</v>
      </c>
      <c r="N739" t="n">
        <v>0</v>
      </c>
      <c r="O739" t="n">
        <v>0</v>
      </c>
      <c r="P739" t="n">
        <v>0</v>
      </c>
      <c r="Q739" t="n">
        <v>0</v>
      </c>
      <c r="R739" s="2" t="inlineStr"/>
    </row>
    <row r="740" ht="15" customHeight="1">
      <c r="A740" t="inlineStr">
        <is>
          <t>A 24306-2024</t>
        </is>
      </c>
      <c r="B740" s="1" t="n">
        <v>45457</v>
      </c>
      <c r="C740" s="1" t="n">
        <v>45831</v>
      </c>
      <c r="D740" t="inlineStr">
        <is>
          <t>UPPSALA LÄN</t>
        </is>
      </c>
      <c r="E740" t="inlineStr">
        <is>
          <t>ENKÖPING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24259-2024</t>
        </is>
      </c>
      <c r="B741" s="1" t="n">
        <v>45457</v>
      </c>
      <c r="C741" s="1" t="n">
        <v>45831</v>
      </c>
      <c r="D741" t="inlineStr">
        <is>
          <t>UPPSALA LÄN</t>
        </is>
      </c>
      <c r="E741" t="inlineStr">
        <is>
          <t>ENKÖPING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24291-2024</t>
        </is>
      </c>
      <c r="B742" s="1" t="n">
        <v>45457</v>
      </c>
      <c r="C742" s="1" t="n">
        <v>45831</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24411-2024</t>
        </is>
      </c>
      <c r="B743" s="1" t="n">
        <v>45457</v>
      </c>
      <c r="C743" s="1" t="n">
        <v>45831</v>
      </c>
      <c r="D743" t="inlineStr">
        <is>
          <t>UPPSALA LÄN</t>
        </is>
      </c>
      <c r="E743" t="inlineStr">
        <is>
          <t>ENKÖPING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25607-2024</t>
        </is>
      </c>
      <c r="B744" s="1" t="n">
        <v>45463</v>
      </c>
      <c r="C744" s="1" t="n">
        <v>45831</v>
      </c>
      <c r="D744" t="inlineStr">
        <is>
          <t>UPPSALA LÄN</t>
        </is>
      </c>
      <c r="E744" t="inlineStr">
        <is>
          <t>ENKÖPING</t>
        </is>
      </c>
      <c r="G744" t="n">
        <v>6.3</v>
      </c>
      <c r="H744" t="n">
        <v>0</v>
      </c>
      <c r="I744" t="n">
        <v>0</v>
      </c>
      <c r="J744" t="n">
        <v>0</v>
      </c>
      <c r="K744" t="n">
        <v>0</v>
      </c>
      <c r="L744" t="n">
        <v>0</v>
      </c>
      <c r="M744" t="n">
        <v>0</v>
      </c>
      <c r="N744" t="n">
        <v>0</v>
      </c>
      <c r="O744" t="n">
        <v>0</v>
      </c>
      <c r="P744" t="n">
        <v>0</v>
      </c>
      <c r="Q744" t="n">
        <v>0</v>
      </c>
      <c r="R744" s="2" t="inlineStr"/>
    </row>
    <row r="745" ht="15" customHeight="1">
      <c r="A745" t="inlineStr">
        <is>
          <t>A 25595-2024</t>
        </is>
      </c>
      <c r="B745" s="1" t="n">
        <v>45463</v>
      </c>
      <c r="C745" s="1" t="n">
        <v>45831</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25601-2024</t>
        </is>
      </c>
      <c r="B746" s="1" t="n">
        <v>45463</v>
      </c>
      <c r="C746" s="1" t="n">
        <v>45831</v>
      </c>
      <c r="D746" t="inlineStr">
        <is>
          <t>UPPSALA LÄN</t>
        </is>
      </c>
      <c r="E746" t="inlineStr">
        <is>
          <t>ENKÖPING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25930-2024</t>
        </is>
      </c>
      <c r="B747" s="1" t="n">
        <v>45467</v>
      </c>
      <c r="C747" s="1" t="n">
        <v>45831</v>
      </c>
      <c r="D747" t="inlineStr">
        <is>
          <t>UPPSALA LÄN</t>
        </is>
      </c>
      <c r="E747" t="inlineStr">
        <is>
          <t>ENKÖPING</t>
        </is>
      </c>
      <c r="G747" t="n">
        <v>5.7</v>
      </c>
      <c r="H747" t="n">
        <v>0</v>
      </c>
      <c r="I747" t="n">
        <v>0</v>
      </c>
      <c r="J747" t="n">
        <v>0</v>
      </c>
      <c r="K747" t="n">
        <v>0</v>
      </c>
      <c r="L747" t="n">
        <v>0</v>
      </c>
      <c r="M747" t="n">
        <v>0</v>
      </c>
      <c r="N747" t="n">
        <v>0</v>
      </c>
      <c r="O747" t="n">
        <v>0</v>
      </c>
      <c r="P747" t="n">
        <v>0</v>
      </c>
      <c r="Q747" t="n">
        <v>0</v>
      </c>
      <c r="R747" s="2" t="inlineStr"/>
    </row>
    <row r="748" ht="15" customHeight="1">
      <c r="A748" t="inlineStr">
        <is>
          <t>A 27172-2024</t>
        </is>
      </c>
      <c r="B748" s="1" t="n">
        <v>45471</v>
      </c>
      <c r="C748" s="1" t="n">
        <v>45831</v>
      </c>
      <c r="D748" t="inlineStr">
        <is>
          <t>UPPSALA LÄN</t>
        </is>
      </c>
      <c r="E748" t="inlineStr">
        <is>
          <t>ENKÖPING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27998-2024</t>
        </is>
      </c>
      <c r="B749" s="1" t="n">
        <v>45476</v>
      </c>
      <c r="C749" s="1" t="n">
        <v>45831</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27983-2024</t>
        </is>
      </c>
      <c r="B750" s="1" t="n">
        <v>45476</v>
      </c>
      <c r="C750" s="1" t="n">
        <v>45831</v>
      </c>
      <c r="D750" t="inlineStr">
        <is>
          <t>UPPSALA LÄN</t>
        </is>
      </c>
      <c r="E750" t="inlineStr">
        <is>
          <t>ENKÖPING</t>
        </is>
      </c>
      <c r="G750" t="n">
        <v>3.2</v>
      </c>
      <c r="H750" t="n">
        <v>0</v>
      </c>
      <c r="I750" t="n">
        <v>0</v>
      </c>
      <c r="J750" t="n">
        <v>0</v>
      </c>
      <c r="K750" t="n">
        <v>0</v>
      </c>
      <c r="L750" t="n">
        <v>0</v>
      </c>
      <c r="M750" t="n">
        <v>0</v>
      </c>
      <c r="N750" t="n">
        <v>0</v>
      </c>
      <c r="O750" t="n">
        <v>0</v>
      </c>
      <c r="P750" t="n">
        <v>0</v>
      </c>
      <c r="Q750" t="n">
        <v>0</v>
      </c>
      <c r="R750" s="2" t="inlineStr"/>
    </row>
    <row r="751" ht="15" customHeight="1">
      <c r="A751" t="inlineStr">
        <is>
          <t>A 27993-2024</t>
        </is>
      </c>
      <c r="B751" s="1" t="n">
        <v>45476</v>
      </c>
      <c r="C751" s="1" t="n">
        <v>45831</v>
      </c>
      <c r="D751" t="inlineStr">
        <is>
          <t>UPPSALA LÄN</t>
        </is>
      </c>
      <c r="E751" t="inlineStr">
        <is>
          <t>ENKÖPING</t>
        </is>
      </c>
      <c r="G751" t="n">
        <v>3.3</v>
      </c>
      <c r="H751" t="n">
        <v>0</v>
      </c>
      <c r="I751" t="n">
        <v>0</v>
      </c>
      <c r="J751" t="n">
        <v>0</v>
      </c>
      <c r="K751" t="n">
        <v>0</v>
      </c>
      <c r="L751" t="n">
        <v>0</v>
      </c>
      <c r="M751" t="n">
        <v>0</v>
      </c>
      <c r="N751" t="n">
        <v>0</v>
      </c>
      <c r="O751" t="n">
        <v>0</v>
      </c>
      <c r="P751" t="n">
        <v>0</v>
      </c>
      <c r="Q751" t="n">
        <v>0</v>
      </c>
      <c r="R751" s="2" t="inlineStr"/>
    </row>
    <row r="752" ht="15" customHeight="1">
      <c r="A752" t="inlineStr">
        <is>
          <t>A 28325-2024</t>
        </is>
      </c>
      <c r="B752" s="1" t="n">
        <v>45477</v>
      </c>
      <c r="C752" s="1" t="n">
        <v>45831</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28518-2024</t>
        </is>
      </c>
      <c r="B753" s="1" t="n">
        <v>45477</v>
      </c>
      <c r="C753" s="1" t="n">
        <v>45831</v>
      </c>
      <c r="D753" t="inlineStr">
        <is>
          <t>UPPSALA LÄN</t>
        </is>
      </c>
      <c r="E753" t="inlineStr">
        <is>
          <t>ENKÖPING</t>
        </is>
      </c>
      <c r="G753" t="n">
        <v>3.4</v>
      </c>
      <c r="H753" t="n">
        <v>0</v>
      </c>
      <c r="I753" t="n">
        <v>0</v>
      </c>
      <c r="J753" t="n">
        <v>0</v>
      </c>
      <c r="K753" t="n">
        <v>0</v>
      </c>
      <c r="L753" t="n">
        <v>0</v>
      </c>
      <c r="M753" t="n">
        <v>0</v>
      </c>
      <c r="N753" t="n">
        <v>0</v>
      </c>
      <c r="O753" t="n">
        <v>0</v>
      </c>
      <c r="P753" t="n">
        <v>0</v>
      </c>
      <c r="Q753" t="n">
        <v>0</v>
      </c>
      <c r="R753" s="2" t="inlineStr"/>
    </row>
    <row r="754" ht="15" customHeight="1">
      <c r="A754" t="inlineStr">
        <is>
          <t>A 28318-2024</t>
        </is>
      </c>
      <c r="B754" s="1" t="n">
        <v>45477</v>
      </c>
      <c r="C754" s="1" t="n">
        <v>45831</v>
      </c>
      <c r="D754" t="inlineStr">
        <is>
          <t>UPPSALA LÄN</t>
        </is>
      </c>
      <c r="E754" t="inlineStr">
        <is>
          <t>ENKÖPING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28515-2024</t>
        </is>
      </c>
      <c r="B755" s="1" t="n">
        <v>45477</v>
      </c>
      <c r="C755" s="1" t="n">
        <v>45831</v>
      </c>
      <c r="D755" t="inlineStr">
        <is>
          <t>UPPSALA LÄN</t>
        </is>
      </c>
      <c r="E755" t="inlineStr">
        <is>
          <t>ENKÖPING</t>
        </is>
      </c>
      <c r="G755" t="n">
        <v>5.9</v>
      </c>
      <c r="H755" t="n">
        <v>0</v>
      </c>
      <c r="I755" t="n">
        <v>0</v>
      </c>
      <c r="J755" t="n">
        <v>0</v>
      </c>
      <c r="K755" t="n">
        <v>0</v>
      </c>
      <c r="L755" t="n">
        <v>0</v>
      </c>
      <c r="M755" t="n">
        <v>0</v>
      </c>
      <c r="N755" t="n">
        <v>0</v>
      </c>
      <c r="O755" t="n">
        <v>0</v>
      </c>
      <c r="P755" t="n">
        <v>0</v>
      </c>
      <c r="Q755" t="n">
        <v>0</v>
      </c>
      <c r="R755" s="2" t="inlineStr"/>
    </row>
    <row r="756" ht="15" customHeight="1">
      <c r="A756" t="inlineStr">
        <is>
          <t>A 28848-2024</t>
        </is>
      </c>
      <c r="B756" s="1" t="n">
        <v>45478</v>
      </c>
      <c r="C756" s="1" t="n">
        <v>45831</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30092-2024</t>
        </is>
      </c>
      <c r="B757" s="1" t="n">
        <v>45489</v>
      </c>
      <c r="C757" s="1" t="n">
        <v>45831</v>
      </c>
      <c r="D757" t="inlineStr">
        <is>
          <t>UPPSALA LÄN</t>
        </is>
      </c>
      <c r="E757" t="inlineStr">
        <is>
          <t>ENKÖPING</t>
        </is>
      </c>
      <c r="G757" t="n">
        <v>2.3</v>
      </c>
      <c r="H757" t="n">
        <v>0</v>
      </c>
      <c r="I757" t="n">
        <v>0</v>
      </c>
      <c r="J757" t="n">
        <v>0</v>
      </c>
      <c r="K757" t="n">
        <v>0</v>
      </c>
      <c r="L757" t="n">
        <v>0</v>
      </c>
      <c r="M757" t="n">
        <v>0</v>
      </c>
      <c r="N757" t="n">
        <v>0</v>
      </c>
      <c r="O757" t="n">
        <v>0</v>
      </c>
      <c r="P757" t="n">
        <v>0</v>
      </c>
      <c r="Q757" t="n">
        <v>0</v>
      </c>
      <c r="R757" s="2" t="inlineStr"/>
    </row>
    <row r="758" ht="15" customHeight="1">
      <c r="A758" t="inlineStr">
        <is>
          <t>A 30109-2024</t>
        </is>
      </c>
      <c r="B758" s="1" t="n">
        <v>45489</v>
      </c>
      <c r="C758" s="1" t="n">
        <v>45831</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30098-2024</t>
        </is>
      </c>
      <c r="B759" s="1" t="n">
        <v>45489</v>
      </c>
      <c r="C759" s="1" t="n">
        <v>45831</v>
      </c>
      <c r="D759" t="inlineStr">
        <is>
          <t>UPPSALA LÄN</t>
        </is>
      </c>
      <c r="E759" t="inlineStr">
        <is>
          <t>ENKÖPING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30087-2024</t>
        </is>
      </c>
      <c r="B760" s="1" t="n">
        <v>45489</v>
      </c>
      <c r="C760" s="1" t="n">
        <v>45831</v>
      </c>
      <c r="D760" t="inlineStr">
        <is>
          <t>UPPSALA LÄN</t>
        </is>
      </c>
      <c r="E760" t="inlineStr">
        <is>
          <t>ENKÖPING</t>
        </is>
      </c>
      <c r="G760" t="n">
        <v>1.4</v>
      </c>
      <c r="H760" t="n">
        <v>0</v>
      </c>
      <c r="I760" t="n">
        <v>0</v>
      </c>
      <c r="J760" t="n">
        <v>0</v>
      </c>
      <c r="K760" t="n">
        <v>0</v>
      </c>
      <c r="L760" t="n">
        <v>0</v>
      </c>
      <c r="M760" t="n">
        <v>0</v>
      </c>
      <c r="N760" t="n">
        <v>0</v>
      </c>
      <c r="O760" t="n">
        <v>0</v>
      </c>
      <c r="P760" t="n">
        <v>0</v>
      </c>
      <c r="Q760" t="n">
        <v>0</v>
      </c>
      <c r="R760" s="2" t="inlineStr"/>
    </row>
    <row r="761" ht="15" customHeight="1">
      <c r="A761" t="inlineStr">
        <is>
          <t>A 30394-2024</t>
        </is>
      </c>
      <c r="B761" s="1" t="n">
        <v>45491</v>
      </c>
      <c r="C761" s="1" t="n">
        <v>45831</v>
      </c>
      <c r="D761" t="inlineStr">
        <is>
          <t>UPPSALA LÄN</t>
        </is>
      </c>
      <c r="E761" t="inlineStr">
        <is>
          <t>ENKÖPING</t>
        </is>
      </c>
      <c r="G761" t="n">
        <v>4.8</v>
      </c>
      <c r="H761" t="n">
        <v>0</v>
      </c>
      <c r="I761" t="n">
        <v>0</v>
      </c>
      <c r="J761" t="n">
        <v>0</v>
      </c>
      <c r="K761" t="n">
        <v>0</v>
      </c>
      <c r="L761" t="n">
        <v>0</v>
      </c>
      <c r="M761" t="n">
        <v>0</v>
      </c>
      <c r="N761" t="n">
        <v>0</v>
      </c>
      <c r="O761" t="n">
        <v>0</v>
      </c>
      <c r="P761" t="n">
        <v>0</v>
      </c>
      <c r="Q761" t="n">
        <v>0</v>
      </c>
      <c r="R761" s="2" t="inlineStr"/>
    </row>
    <row r="762" ht="15" customHeight="1">
      <c r="A762" t="inlineStr">
        <is>
          <t>A 31241-2024</t>
        </is>
      </c>
      <c r="B762" s="1" t="n">
        <v>45503</v>
      </c>
      <c r="C762" s="1" t="n">
        <v>45831</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31252-2024</t>
        </is>
      </c>
      <c r="B763" s="1" t="n">
        <v>45503</v>
      </c>
      <c r="C763" s="1" t="n">
        <v>45831</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31240-2024</t>
        </is>
      </c>
      <c r="B764" s="1" t="n">
        <v>45503</v>
      </c>
      <c r="C764" s="1" t="n">
        <v>45831</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31253-2024</t>
        </is>
      </c>
      <c r="B765" s="1" t="n">
        <v>45503</v>
      </c>
      <c r="C765" s="1" t="n">
        <v>45831</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32028-2024</t>
        </is>
      </c>
      <c r="B766" s="1" t="n">
        <v>45510</v>
      </c>
      <c r="C766" s="1" t="n">
        <v>45831</v>
      </c>
      <c r="D766" t="inlineStr">
        <is>
          <t>UPPSALA LÄN</t>
        </is>
      </c>
      <c r="E766" t="inlineStr">
        <is>
          <t>ENKÖPING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32083-2024</t>
        </is>
      </c>
      <c r="B767" s="1" t="n">
        <v>45511</v>
      </c>
      <c r="C767" s="1" t="n">
        <v>45831</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32086-2024</t>
        </is>
      </c>
      <c r="B768" s="1" t="n">
        <v>45511</v>
      </c>
      <c r="C768" s="1" t="n">
        <v>45831</v>
      </c>
      <c r="D768" t="inlineStr">
        <is>
          <t>UPPSALA LÄN</t>
        </is>
      </c>
      <c r="E768" t="inlineStr">
        <is>
          <t>ENKÖPING</t>
        </is>
      </c>
      <c r="G768" t="n">
        <v>2.6</v>
      </c>
      <c r="H768" t="n">
        <v>0</v>
      </c>
      <c r="I768" t="n">
        <v>0</v>
      </c>
      <c r="J768" t="n">
        <v>0</v>
      </c>
      <c r="K768" t="n">
        <v>0</v>
      </c>
      <c r="L768" t="n">
        <v>0</v>
      </c>
      <c r="M768" t="n">
        <v>0</v>
      </c>
      <c r="N768" t="n">
        <v>0</v>
      </c>
      <c r="O768" t="n">
        <v>0</v>
      </c>
      <c r="P768" t="n">
        <v>0</v>
      </c>
      <c r="Q768" t="n">
        <v>0</v>
      </c>
      <c r="R768" s="2" t="inlineStr"/>
    </row>
    <row r="769" ht="15" customHeight="1">
      <c r="A769" t="inlineStr">
        <is>
          <t>A 32080-2024</t>
        </is>
      </c>
      <c r="B769" s="1" t="n">
        <v>45511</v>
      </c>
      <c r="C769" s="1" t="n">
        <v>45831</v>
      </c>
      <c r="D769" t="inlineStr">
        <is>
          <t>UPPSALA LÄN</t>
        </is>
      </c>
      <c r="E769" t="inlineStr">
        <is>
          <t>ENKÖPING</t>
        </is>
      </c>
      <c r="G769" t="n">
        <v>2.9</v>
      </c>
      <c r="H769" t="n">
        <v>0</v>
      </c>
      <c r="I769" t="n">
        <v>0</v>
      </c>
      <c r="J769" t="n">
        <v>0</v>
      </c>
      <c r="K769" t="n">
        <v>0</v>
      </c>
      <c r="L769" t="n">
        <v>0</v>
      </c>
      <c r="M769" t="n">
        <v>0</v>
      </c>
      <c r="N769" t="n">
        <v>0</v>
      </c>
      <c r="O769" t="n">
        <v>0</v>
      </c>
      <c r="P769" t="n">
        <v>0</v>
      </c>
      <c r="Q769" t="n">
        <v>0</v>
      </c>
      <c r="R769" s="2" t="inlineStr"/>
    </row>
    <row r="770" ht="15" customHeight="1">
      <c r="A770" t="inlineStr">
        <is>
          <t>A 32085-2024</t>
        </is>
      </c>
      <c r="B770" s="1" t="n">
        <v>45511</v>
      </c>
      <c r="C770" s="1" t="n">
        <v>45831</v>
      </c>
      <c r="D770" t="inlineStr">
        <is>
          <t>UPPSALA LÄN</t>
        </is>
      </c>
      <c r="E770" t="inlineStr">
        <is>
          <t>ENKÖPING</t>
        </is>
      </c>
      <c r="G770" t="n">
        <v>7.1</v>
      </c>
      <c r="H770" t="n">
        <v>0</v>
      </c>
      <c r="I770" t="n">
        <v>0</v>
      </c>
      <c r="J770" t="n">
        <v>0</v>
      </c>
      <c r="K770" t="n">
        <v>0</v>
      </c>
      <c r="L770" t="n">
        <v>0</v>
      </c>
      <c r="M770" t="n">
        <v>0</v>
      </c>
      <c r="N770" t="n">
        <v>0</v>
      </c>
      <c r="O770" t="n">
        <v>0</v>
      </c>
      <c r="P770" t="n">
        <v>0</v>
      </c>
      <c r="Q770" t="n">
        <v>0</v>
      </c>
      <c r="R770" s="2" t="inlineStr"/>
    </row>
    <row r="771" ht="15" customHeight="1">
      <c r="A771" t="inlineStr">
        <is>
          <t>A 32081-2024</t>
        </is>
      </c>
      <c r="B771" s="1" t="n">
        <v>45511</v>
      </c>
      <c r="C771" s="1" t="n">
        <v>45831</v>
      </c>
      <c r="D771" t="inlineStr">
        <is>
          <t>UPPSALA LÄN</t>
        </is>
      </c>
      <c r="E771" t="inlineStr">
        <is>
          <t>ENKÖPING</t>
        </is>
      </c>
      <c r="G771" t="n">
        <v>5.4</v>
      </c>
      <c r="H771" t="n">
        <v>0</v>
      </c>
      <c r="I771" t="n">
        <v>0</v>
      </c>
      <c r="J771" t="n">
        <v>0</v>
      </c>
      <c r="K771" t="n">
        <v>0</v>
      </c>
      <c r="L771" t="n">
        <v>0</v>
      </c>
      <c r="M771" t="n">
        <v>0</v>
      </c>
      <c r="N771" t="n">
        <v>0</v>
      </c>
      <c r="O771" t="n">
        <v>0</v>
      </c>
      <c r="P771" t="n">
        <v>0</v>
      </c>
      <c r="Q771" t="n">
        <v>0</v>
      </c>
      <c r="R771" s="2" t="inlineStr"/>
    </row>
    <row r="772" ht="15" customHeight="1">
      <c r="A772" t="inlineStr">
        <is>
          <t>A 33349-2024</t>
        </is>
      </c>
      <c r="B772" s="1" t="n">
        <v>45519</v>
      </c>
      <c r="C772" s="1" t="n">
        <v>45831</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33343-2024</t>
        </is>
      </c>
      <c r="B773" s="1" t="n">
        <v>45519</v>
      </c>
      <c r="C773" s="1" t="n">
        <v>45831</v>
      </c>
      <c r="D773" t="inlineStr">
        <is>
          <t>UPPSALA LÄN</t>
        </is>
      </c>
      <c r="E773" t="inlineStr">
        <is>
          <t>ENKÖPING</t>
        </is>
      </c>
      <c r="G773" t="n">
        <v>2</v>
      </c>
      <c r="H773" t="n">
        <v>0</v>
      </c>
      <c r="I773" t="n">
        <v>0</v>
      </c>
      <c r="J773" t="n">
        <v>0</v>
      </c>
      <c r="K773" t="n">
        <v>0</v>
      </c>
      <c r="L773" t="n">
        <v>0</v>
      </c>
      <c r="M773" t="n">
        <v>0</v>
      </c>
      <c r="N773" t="n">
        <v>0</v>
      </c>
      <c r="O773" t="n">
        <v>0</v>
      </c>
      <c r="P773" t="n">
        <v>0</v>
      </c>
      <c r="Q773" t="n">
        <v>0</v>
      </c>
      <c r="R773" s="2" t="inlineStr"/>
    </row>
    <row r="774" ht="15" customHeight="1">
      <c r="A774" t="inlineStr">
        <is>
          <t>A 33448-2024</t>
        </is>
      </c>
      <c r="B774" s="1" t="n">
        <v>45519</v>
      </c>
      <c r="C774" s="1" t="n">
        <v>45831</v>
      </c>
      <c r="D774" t="inlineStr">
        <is>
          <t>UPPSALA LÄN</t>
        </is>
      </c>
      <c r="E774" t="inlineStr">
        <is>
          <t>ENKÖPING</t>
        </is>
      </c>
      <c r="G774" t="n">
        <v>6.1</v>
      </c>
      <c r="H774" t="n">
        <v>0</v>
      </c>
      <c r="I774" t="n">
        <v>0</v>
      </c>
      <c r="J774" t="n">
        <v>0</v>
      </c>
      <c r="K774" t="n">
        <v>0</v>
      </c>
      <c r="L774" t="n">
        <v>0</v>
      </c>
      <c r="M774" t="n">
        <v>0</v>
      </c>
      <c r="N774" t="n">
        <v>0</v>
      </c>
      <c r="O774" t="n">
        <v>0</v>
      </c>
      <c r="P774" t="n">
        <v>0</v>
      </c>
      <c r="Q774" t="n">
        <v>0</v>
      </c>
      <c r="R774" s="2" t="inlineStr"/>
    </row>
    <row r="775" ht="15" customHeight="1">
      <c r="A775" t="inlineStr">
        <is>
          <t>A 33665-2024</t>
        </is>
      </c>
      <c r="B775" s="1" t="n">
        <v>45520</v>
      </c>
      <c r="C775" s="1" t="n">
        <v>45831</v>
      </c>
      <c r="D775" t="inlineStr">
        <is>
          <t>UPPSALA LÄN</t>
        </is>
      </c>
      <c r="E775" t="inlineStr">
        <is>
          <t>ENKÖPING</t>
        </is>
      </c>
      <c r="G775" t="n">
        <v>0.7</v>
      </c>
      <c r="H775" t="n">
        <v>0</v>
      </c>
      <c r="I775" t="n">
        <v>0</v>
      </c>
      <c r="J775" t="n">
        <v>0</v>
      </c>
      <c r="K775" t="n">
        <v>0</v>
      </c>
      <c r="L775" t="n">
        <v>0</v>
      </c>
      <c r="M775" t="n">
        <v>0</v>
      </c>
      <c r="N775" t="n">
        <v>0</v>
      </c>
      <c r="O775" t="n">
        <v>0</v>
      </c>
      <c r="P775" t="n">
        <v>0</v>
      </c>
      <c r="Q775" t="n">
        <v>0</v>
      </c>
      <c r="R775" s="2" t="inlineStr"/>
    </row>
    <row r="776" ht="15" customHeight="1">
      <c r="A776" t="inlineStr">
        <is>
          <t>A 33669-2024</t>
        </is>
      </c>
      <c r="B776" s="1" t="n">
        <v>45520</v>
      </c>
      <c r="C776" s="1" t="n">
        <v>45831</v>
      </c>
      <c r="D776" t="inlineStr">
        <is>
          <t>UPPSALA LÄN</t>
        </is>
      </c>
      <c r="E776" t="inlineStr">
        <is>
          <t>ENKÖPING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33663-2024</t>
        </is>
      </c>
      <c r="B777" s="1" t="n">
        <v>45520</v>
      </c>
      <c r="C777" s="1" t="n">
        <v>45831</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33670-2024</t>
        </is>
      </c>
      <c r="B778" s="1" t="n">
        <v>45520</v>
      </c>
      <c r="C778" s="1" t="n">
        <v>45831</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33956-2024</t>
        </is>
      </c>
      <c r="B779" s="1" t="n">
        <v>45523</v>
      </c>
      <c r="C779" s="1" t="n">
        <v>45831</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33951-2024</t>
        </is>
      </c>
      <c r="B780" s="1" t="n">
        <v>45523</v>
      </c>
      <c r="C780" s="1" t="n">
        <v>45831</v>
      </c>
      <c r="D780" t="inlineStr">
        <is>
          <t>UPPSALA LÄN</t>
        </is>
      </c>
      <c r="E780" t="inlineStr">
        <is>
          <t>ENKÖPING</t>
        </is>
      </c>
      <c r="G780" t="n">
        <v>3.5</v>
      </c>
      <c r="H780" t="n">
        <v>0</v>
      </c>
      <c r="I780" t="n">
        <v>0</v>
      </c>
      <c r="J780" t="n">
        <v>0</v>
      </c>
      <c r="K780" t="n">
        <v>0</v>
      </c>
      <c r="L780" t="n">
        <v>0</v>
      </c>
      <c r="M780" t="n">
        <v>0</v>
      </c>
      <c r="N780" t="n">
        <v>0</v>
      </c>
      <c r="O780" t="n">
        <v>0</v>
      </c>
      <c r="P780" t="n">
        <v>0</v>
      </c>
      <c r="Q780" t="n">
        <v>0</v>
      </c>
      <c r="R780" s="2" t="inlineStr"/>
    </row>
    <row r="781" ht="15" customHeight="1">
      <c r="A781" t="inlineStr">
        <is>
          <t>A 33955-2024</t>
        </is>
      </c>
      <c r="B781" s="1" t="n">
        <v>45523</v>
      </c>
      <c r="C781" s="1" t="n">
        <v>45831</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34060-2024</t>
        </is>
      </c>
      <c r="B782" s="1" t="n">
        <v>45523</v>
      </c>
      <c r="C782" s="1" t="n">
        <v>45831</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34805-2024</t>
        </is>
      </c>
      <c r="B783" s="1" t="n">
        <v>45526</v>
      </c>
      <c r="C783" s="1" t="n">
        <v>45831</v>
      </c>
      <c r="D783" t="inlineStr">
        <is>
          <t>UPPSALA LÄN</t>
        </is>
      </c>
      <c r="E783" t="inlineStr">
        <is>
          <t>ENKÖPING</t>
        </is>
      </c>
      <c r="G783" t="n">
        <v>3.6</v>
      </c>
      <c r="H783" t="n">
        <v>0</v>
      </c>
      <c r="I783" t="n">
        <v>0</v>
      </c>
      <c r="J783" t="n">
        <v>0</v>
      </c>
      <c r="K783" t="n">
        <v>0</v>
      </c>
      <c r="L783" t="n">
        <v>0</v>
      </c>
      <c r="M783" t="n">
        <v>0</v>
      </c>
      <c r="N783" t="n">
        <v>0</v>
      </c>
      <c r="O783" t="n">
        <v>0</v>
      </c>
      <c r="P783" t="n">
        <v>0</v>
      </c>
      <c r="Q783" t="n">
        <v>0</v>
      </c>
      <c r="R783" s="2" t="inlineStr"/>
    </row>
    <row r="784" ht="15" customHeight="1">
      <c r="A784" t="inlineStr">
        <is>
          <t>A 35052-2024</t>
        </is>
      </c>
      <c r="B784" s="1" t="n">
        <v>45527</v>
      </c>
      <c r="C784" s="1" t="n">
        <v>45831</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35056-2024</t>
        </is>
      </c>
      <c r="B785" s="1" t="n">
        <v>45527</v>
      </c>
      <c r="C785" s="1" t="n">
        <v>45831</v>
      </c>
      <c r="D785" t="inlineStr">
        <is>
          <t>UPPSALA LÄN</t>
        </is>
      </c>
      <c r="E785" t="inlineStr">
        <is>
          <t>ENKÖPING</t>
        </is>
      </c>
      <c r="G785" t="n">
        <v>0.9</v>
      </c>
      <c r="H785" t="n">
        <v>0</v>
      </c>
      <c r="I785" t="n">
        <v>0</v>
      </c>
      <c r="J785" t="n">
        <v>0</v>
      </c>
      <c r="K785" t="n">
        <v>0</v>
      </c>
      <c r="L785" t="n">
        <v>0</v>
      </c>
      <c r="M785" t="n">
        <v>0</v>
      </c>
      <c r="N785" t="n">
        <v>0</v>
      </c>
      <c r="O785" t="n">
        <v>0</v>
      </c>
      <c r="P785" t="n">
        <v>0</v>
      </c>
      <c r="Q785" t="n">
        <v>0</v>
      </c>
      <c r="R785" s="2" t="inlineStr"/>
    </row>
    <row r="786" ht="15" customHeight="1">
      <c r="A786" t="inlineStr">
        <is>
          <t>A 35064-2024</t>
        </is>
      </c>
      <c r="B786" s="1" t="n">
        <v>45527</v>
      </c>
      <c r="C786" s="1" t="n">
        <v>45831</v>
      </c>
      <c r="D786" t="inlineStr">
        <is>
          <t>UPPSALA LÄN</t>
        </is>
      </c>
      <c r="E786" t="inlineStr">
        <is>
          <t>ENKÖPING</t>
        </is>
      </c>
      <c r="G786" t="n">
        <v>2.4</v>
      </c>
      <c r="H786" t="n">
        <v>0</v>
      </c>
      <c r="I786" t="n">
        <v>0</v>
      </c>
      <c r="J786" t="n">
        <v>0</v>
      </c>
      <c r="K786" t="n">
        <v>0</v>
      </c>
      <c r="L786" t="n">
        <v>0</v>
      </c>
      <c r="M786" t="n">
        <v>0</v>
      </c>
      <c r="N786" t="n">
        <v>0</v>
      </c>
      <c r="O786" t="n">
        <v>0</v>
      </c>
      <c r="P786" t="n">
        <v>0</v>
      </c>
      <c r="Q786" t="n">
        <v>0</v>
      </c>
      <c r="R786" s="2" t="inlineStr"/>
    </row>
    <row r="787" ht="15" customHeight="1">
      <c r="A787" t="inlineStr">
        <is>
          <t>A 35072-2024</t>
        </is>
      </c>
      <c r="B787" s="1" t="n">
        <v>45527</v>
      </c>
      <c r="C787" s="1" t="n">
        <v>45831</v>
      </c>
      <c r="D787" t="inlineStr">
        <is>
          <t>UPPSALA LÄN</t>
        </is>
      </c>
      <c r="E787" t="inlineStr">
        <is>
          <t>ENKÖPING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35067-2024</t>
        </is>
      </c>
      <c r="B788" s="1" t="n">
        <v>45527</v>
      </c>
      <c r="C788" s="1" t="n">
        <v>45831</v>
      </c>
      <c r="D788" t="inlineStr">
        <is>
          <t>UPPSALA LÄN</t>
        </is>
      </c>
      <c r="E788" t="inlineStr">
        <is>
          <t>ENKÖPING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35079-2024</t>
        </is>
      </c>
      <c r="B789" s="1" t="n">
        <v>45527</v>
      </c>
      <c r="C789" s="1" t="n">
        <v>45831</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35680-2024</t>
        </is>
      </c>
      <c r="B790" s="1" t="n">
        <v>45532</v>
      </c>
      <c r="C790" s="1" t="n">
        <v>45831</v>
      </c>
      <c r="D790" t="inlineStr">
        <is>
          <t>UPPSALA LÄN</t>
        </is>
      </c>
      <c r="E790" t="inlineStr">
        <is>
          <t>ENKÖPING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36007-2024</t>
        </is>
      </c>
      <c r="B791" s="1" t="n">
        <v>45533</v>
      </c>
      <c r="C791" s="1" t="n">
        <v>45831</v>
      </c>
      <c r="D791" t="inlineStr">
        <is>
          <t>UPPSALA LÄN</t>
        </is>
      </c>
      <c r="E791" t="inlineStr">
        <is>
          <t>ENKÖPING</t>
        </is>
      </c>
      <c r="G791" t="n">
        <v>3.1</v>
      </c>
      <c r="H791" t="n">
        <v>0</v>
      </c>
      <c r="I791" t="n">
        <v>0</v>
      </c>
      <c r="J791" t="n">
        <v>0</v>
      </c>
      <c r="K791" t="n">
        <v>0</v>
      </c>
      <c r="L791" t="n">
        <v>0</v>
      </c>
      <c r="M791" t="n">
        <v>0</v>
      </c>
      <c r="N791" t="n">
        <v>0</v>
      </c>
      <c r="O791" t="n">
        <v>0</v>
      </c>
      <c r="P791" t="n">
        <v>0</v>
      </c>
      <c r="Q791" t="n">
        <v>0</v>
      </c>
      <c r="R791" s="2" t="inlineStr"/>
    </row>
    <row r="792" ht="15" customHeight="1">
      <c r="A792" t="inlineStr">
        <is>
          <t>A 37115-2024</t>
        </is>
      </c>
      <c r="B792" s="1" t="n">
        <v>45539</v>
      </c>
      <c r="C792" s="1" t="n">
        <v>45831</v>
      </c>
      <c r="D792" t="inlineStr">
        <is>
          <t>UPPSALA LÄN</t>
        </is>
      </c>
      <c r="E792" t="inlineStr">
        <is>
          <t>ENKÖPING</t>
        </is>
      </c>
      <c r="G792" t="n">
        <v>1.8</v>
      </c>
      <c r="H792" t="n">
        <v>0</v>
      </c>
      <c r="I792" t="n">
        <v>0</v>
      </c>
      <c r="J792" t="n">
        <v>0</v>
      </c>
      <c r="K792" t="n">
        <v>0</v>
      </c>
      <c r="L792" t="n">
        <v>0</v>
      </c>
      <c r="M792" t="n">
        <v>0</v>
      </c>
      <c r="N792" t="n">
        <v>0</v>
      </c>
      <c r="O792" t="n">
        <v>0</v>
      </c>
      <c r="P792" t="n">
        <v>0</v>
      </c>
      <c r="Q792" t="n">
        <v>0</v>
      </c>
      <c r="R792" s="2" t="inlineStr"/>
    </row>
    <row r="793" ht="15" customHeight="1">
      <c r="A793" t="inlineStr">
        <is>
          <t>A 37465-2024</t>
        </is>
      </c>
      <c r="B793" s="1" t="n">
        <v>45540</v>
      </c>
      <c r="C793" s="1" t="n">
        <v>45831</v>
      </c>
      <c r="D793" t="inlineStr">
        <is>
          <t>UPPSALA LÄN</t>
        </is>
      </c>
      <c r="E793" t="inlineStr">
        <is>
          <t>ENKÖPING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37466-2024</t>
        </is>
      </c>
      <c r="B794" s="1" t="n">
        <v>45540</v>
      </c>
      <c r="C794" s="1" t="n">
        <v>45831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37704-2024</t>
        </is>
      </c>
      <c r="B795" s="1" t="n">
        <v>45541</v>
      </c>
      <c r="C795" s="1" t="n">
        <v>45831</v>
      </c>
      <c r="D795" t="inlineStr">
        <is>
          <t>UPPSALA LÄN</t>
        </is>
      </c>
      <c r="E795" t="inlineStr">
        <is>
          <t>ENKÖPING</t>
        </is>
      </c>
      <c r="G795" t="n">
        <v>4.7</v>
      </c>
      <c r="H795" t="n">
        <v>0</v>
      </c>
      <c r="I795" t="n">
        <v>0</v>
      </c>
      <c r="J795" t="n">
        <v>0</v>
      </c>
      <c r="K795" t="n">
        <v>0</v>
      </c>
      <c r="L795" t="n">
        <v>0</v>
      </c>
      <c r="M795" t="n">
        <v>0</v>
      </c>
      <c r="N795" t="n">
        <v>0</v>
      </c>
      <c r="O795" t="n">
        <v>0</v>
      </c>
      <c r="P795" t="n">
        <v>0</v>
      </c>
      <c r="Q795" t="n">
        <v>0</v>
      </c>
      <c r="R795" s="2" t="inlineStr"/>
    </row>
    <row r="796" ht="15" customHeight="1">
      <c r="A796" t="inlineStr">
        <is>
          <t>A 39009-2024</t>
        </is>
      </c>
      <c r="B796" s="1" t="n">
        <v>45548</v>
      </c>
      <c r="C796" s="1" t="n">
        <v>45831</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39115-2024</t>
        </is>
      </c>
      <c r="B797" s="1" t="n">
        <v>45548</v>
      </c>
      <c r="C797" s="1" t="n">
        <v>45831</v>
      </c>
      <c r="D797" t="inlineStr">
        <is>
          <t>UPPSALA LÄN</t>
        </is>
      </c>
      <c r="E797" t="inlineStr">
        <is>
          <t>ENKÖPING</t>
        </is>
      </c>
      <c r="G797" t="n">
        <v>1.3</v>
      </c>
      <c r="H797" t="n">
        <v>0</v>
      </c>
      <c r="I797" t="n">
        <v>0</v>
      </c>
      <c r="J797" t="n">
        <v>0</v>
      </c>
      <c r="K797" t="n">
        <v>0</v>
      </c>
      <c r="L797" t="n">
        <v>0</v>
      </c>
      <c r="M797" t="n">
        <v>0</v>
      </c>
      <c r="N797" t="n">
        <v>0</v>
      </c>
      <c r="O797" t="n">
        <v>0</v>
      </c>
      <c r="P797" t="n">
        <v>0</v>
      </c>
      <c r="Q797" t="n">
        <v>0</v>
      </c>
      <c r="R797" s="2" t="inlineStr"/>
    </row>
    <row r="798" ht="15" customHeight="1">
      <c r="A798" t="inlineStr">
        <is>
          <t>A 39858-2024</t>
        </is>
      </c>
      <c r="B798" s="1" t="n">
        <v>45553</v>
      </c>
      <c r="C798" s="1" t="n">
        <v>45831</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40217-2024</t>
        </is>
      </c>
      <c r="B799" s="1" t="n">
        <v>45554</v>
      </c>
      <c r="C799" s="1" t="n">
        <v>45831</v>
      </c>
      <c r="D799" t="inlineStr">
        <is>
          <t>UPPSALA LÄN</t>
        </is>
      </c>
      <c r="E799" t="inlineStr">
        <is>
          <t>ENKÖPING</t>
        </is>
      </c>
      <c r="G799" t="n">
        <v>4</v>
      </c>
      <c r="H799" t="n">
        <v>0</v>
      </c>
      <c r="I799" t="n">
        <v>0</v>
      </c>
      <c r="J799" t="n">
        <v>0</v>
      </c>
      <c r="K799" t="n">
        <v>0</v>
      </c>
      <c r="L799" t="n">
        <v>0</v>
      </c>
      <c r="M799" t="n">
        <v>0</v>
      </c>
      <c r="N799" t="n">
        <v>0</v>
      </c>
      <c r="O799" t="n">
        <v>0</v>
      </c>
      <c r="P799" t="n">
        <v>0</v>
      </c>
      <c r="Q799" t="n">
        <v>0</v>
      </c>
      <c r="R799" s="2" t="inlineStr"/>
    </row>
    <row r="800" ht="15" customHeight="1">
      <c r="A800" t="inlineStr">
        <is>
          <t>A 40223-2024</t>
        </is>
      </c>
      <c r="B800" s="1" t="n">
        <v>45554</v>
      </c>
      <c r="C800" s="1" t="n">
        <v>45831</v>
      </c>
      <c r="D800" t="inlineStr">
        <is>
          <t>UPPSALA LÄN</t>
        </is>
      </c>
      <c r="E800" t="inlineStr">
        <is>
          <t>ENKÖPING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40202-2024</t>
        </is>
      </c>
      <c r="B801" s="1" t="n">
        <v>45554</v>
      </c>
      <c r="C801" s="1" t="n">
        <v>45831</v>
      </c>
      <c r="D801" t="inlineStr">
        <is>
          <t>UPPSALA LÄN</t>
        </is>
      </c>
      <c r="E801" t="inlineStr">
        <is>
          <t>ENKÖPING</t>
        </is>
      </c>
      <c r="G801" t="n">
        <v>6.2</v>
      </c>
      <c r="H801" t="n">
        <v>0</v>
      </c>
      <c r="I801" t="n">
        <v>0</v>
      </c>
      <c r="J801" t="n">
        <v>0</v>
      </c>
      <c r="K801" t="n">
        <v>0</v>
      </c>
      <c r="L801" t="n">
        <v>0</v>
      </c>
      <c r="M801" t="n">
        <v>0</v>
      </c>
      <c r="N801" t="n">
        <v>0</v>
      </c>
      <c r="O801" t="n">
        <v>0</v>
      </c>
      <c r="P801" t="n">
        <v>0</v>
      </c>
      <c r="Q801" t="n">
        <v>0</v>
      </c>
      <c r="R801" s="2" t="inlineStr"/>
    </row>
    <row r="802" ht="15" customHeight="1">
      <c r="A802" t="inlineStr">
        <is>
          <t>A 41828-2024</t>
        </is>
      </c>
      <c r="B802" s="1" t="n">
        <v>45561</v>
      </c>
      <c r="C802" s="1" t="n">
        <v>45831</v>
      </c>
      <c r="D802" t="inlineStr">
        <is>
          <t>UPPSALA LÄN</t>
        </is>
      </c>
      <c r="E802" t="inlineStr">
        <is>
          <t>ENKÖPING</t>
        </is>
      </c>
      <c r="G802" t="n">
        <v>2.5</v>
      </c>
      <c r="H802" t="n">
        <v>0</v>
      </c>
      <c r="I802" t="n">
        <v>0</v>
      </c>
      <c r="J802" t="n">
        <v>0</v>
      </c>
      <c r="K802" t="n">
        <v>0</v>
      </c>
      <c r="L802" t="n">
        <v>0</v>
      </c>
      <c r="M802" t="n">
        <v>0</v>
      </c>
      <c r="N802" t="n">
        <v>0</v>
      </c>
      <c r="O802" t="n">
        <v>0</v>
      </c>
      <c r="P802" t="n">
        <v>0</v>
      </c>
      <c r="Q802" t="n">
        <v>0</v>
      </c>
      <c r="R802" s="2" t="inlineStr"/>
    </row>
    <row r="803" ht="15" customHeight="1">
      <c r="A803" t="inlineStr">
        <is>
          <t>A 41856-2024</t>
        </is>
      </c>
      <c r="B803" s="1" t="n">
        <v>45561</v>
      </c>
      <c r="C803" s="1" t="n">
        <v>45831</v>
      </c>
      <c r="D803" t="inlineStr">
        <is>
          <t>UPPSALA LÄN</t>
        </is>
      </c>
      <c r="E803" t="inlineStr">
        <is>
          <t>ENKÖPING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41826-2024</t>
        </is>
      </c>
      <c r="B804" s="1" t="n">
        <v>45561</v>
      </c>
      <c r="C804" s="1" t="n">
        <v>45831</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41850-2024</t>
        </is>
      </c>
      <c r="B805" s="1" t="n">
        <v>45561</v>
      </c>
      <c r="C805" s="1" t="n">
        <v>45831</v>
      </c>
      <c r="D805" t="inlineStr">
        <is>
          <t>UPPSALA LÄN</t>
        </is>
      </c>
      <c r="E805" t="inlineStr">
        <is>
          <t>ENKÖPING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42564-2024</t>
        </is>
      </c>
      <c r="B806" s="1" t="n">
        <v>45565</v>
      </c>
      <c r="C806" s="1" t="n">
        <v>45831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42459-2024</t>
        </is>
      </c>
      <c r="B807" s="1" t="n">
        <v>45565</v>
      </c>
      <c r="C807" s="1" t="n">
        <v>45831</v>
      </c>
      <c r="D807" t="inlineStr">
        <is>
          <t>UPPSALA LÄN</t>
        </is>
      </c>
      <c r="E807" t="inlineStr">
        <is>
          <t>ENKÖPING</t>
        </is>
      </c>
      <c r="G807" t="n">
        <v>3.6</v>
      </c>
      <c r="H807" t="n">
        <v>0</v>
      </c>
      <c r="I807" t="n">
        <v>0</v>
      </c>
      <c r="J807" t="n">
        <v>0</v>
      </c>
      <c r="K807" t="n">
        <v>0</v>
      </c>
      <c r="L807" t="n">
        <v>0</v>
      </c>
      <c r="M807" t="n">
        <v>0</v>
      </c>
      <c r="N807" t="n">
        <v>0</v>
      </c>
      <c r="O807" t="n">
        <v>0</v>
      </c>
      <c r="P807" t="n">
        <v>0</v>
      </c>
      <c r="Q807" t="n">
        <v>0</v>
      </c>
      <c r="R807" s="2" t="inlineStr"/>
    </row>
    <row r="808" ht="15" customHeight="1">
      <c r="A808" t="inlineStr">
        <is>
          <t>A 43205-2024</t>
        </is>
      </c>
      <c r="B808" s="1" t="n">
        <v>45567</v>
      </c>
      <c r="C808" s="1" t="n">
        <v>45831</v>
      </c>
      <c r="D808" t="inlineStr">
        <is>
          <t>UPPSALA LÄN</t>
        </is>
      </c>
      <c r="E808" t="inlineStr">
        <is>
          <t>ENKÖPING</t>
        </is>
      </c>
      <c r="G808" t="n">
        <v>4.8</v>
      </c>
      <c r="H808" t="n">
        <v>0</v>
      </c>
      <c r="I808" t="n">
        <v>0</v>
      </c>
      <c r="J808" t="n">
        <v>0</v>
      </c>
      <c r="K808" t="n">
        <v>0</v>
      </c>
      <c r="L808" t="n">
        <v>0</v>
      </c>
      <c r="M808" t="n">
        <v>0</v>
      </c>
      <c r="N808" t="n">
        <v>0</v>
      </c>
      <c r="O808" t="n">
        <v>0</v>
      </c>
      <c r="P808" t="n">
        <v>0</v>
      </c>
      <c r="Q808" t="n">
        <v>0</v>
      </c>
      <c r="R808" s="2" t="inlineStr"/>
    </row>
    <row r="809" ht="15" customHeight="1">
      <c r="A809" t="inlineStr">
        <is>
          <t>A 43697-2024</t>
        </is>
      </c>
      <c r="B809" s="1" t="n">
        <v>45569</v>
      </c>
      <c r="C809" s="1" t="n">
        <v>45831</v>
      </c>
      <c r="D809" t="inlineStr">
        <is>
          <t>UPPSALA LÄN</t>
        </is>
      </c>
      <c r="E809" t="inlineStr">
        <is>
          <t>ENKÖPING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43691-2024</t>
        </is>
      </c>
      <c r="B810" s="1" t="n">
        <v>45569</v>
      </c>
      <c r="C810" s="1" t="n">
        <v>45831</v>
      </c>
      <c r="D810" t="inlineStr">
        <is>
          <t>UPPSALA LÄN</t>
        </is>
      </c>
      <c r="E810" t="inlineStr">
        <is>
          <t>ENKÖPING</t>
        </is>
      </c>
      <c r="G810" t="n">
        <v>1.8</v>
      </c>
      <c r="H810" t="n">
        <v>0</v>
      </c>
      <c r="I810" t="n">
        <v>0</v>
      </c>
      <c r="J810" t="n">
        <v>0</v>
      </c>
      <c r="K810" t="n">
        <v>0</v>
      </c>
      <c r="L810" t="n">
        <v>0</v>
      </c>
      <c r="M810" t="n">
        <v>0</v>
      </c>
      <c r="N810" t="n">
        <v>0</v>
      </c>
      <c r="O810" t="n">
        <v>0</v>
      </c>
      <c r="P810" t="n">
        <v>0</v>
      </c>
      <c r="Q810" t="n">
        <v>0</v>
      </c>
      <c r="R810" s="2" t="inlineStr"/>
    </row>
    <row r="811" ht="15" customHeight="1">
      <c r="A811" t="inlineStr">
        <is>
          <t>A 44024-2024</t>
        </is>
      </c>
      <c r="B811" s="1" t="n">
        <v>45572</v>
      </c>
      <c r="C811" s="1" t="n">
        <v>45831</v>
      </c>
      <c r="D811" t="inlineStr">
        <is>
          <t>UPPSALA LÄN</t>
        </is>
      </c>
      <c r="E811" t="inlineStr">
        <is>
          <t>ENKÖPING</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44074-2024</t>
        </is>
      </c>
      <c r="B812" s="1" t="n">
        <v>45572</v>
      </c>
      <c r="C812" s="1" t="n">
        <v>45831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44115-2024</t>
        </is>
      </c>
      <c r="B813" s="1" t="n">
        <v>45572</v>
      </c>
      <c r="C813" s="1" t="n">
        <v>45831</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44055-2024</t>
        </is>
      </c>
      <c r="B814" s="1" t="n">
        <v>45572</v>
      </c>
      <c r="C814" s="1" t="n">
        <v>45831</v>
      </c>
      <c r="D814" t="inlineStr">
        <is>
          <t>UPPSALA LÄN</t>
        </is>
      </c>
      <c r="E814" t="inlineStr">
        <is>
          <t>ENKÖPING</t>
        </is>
      </c>
      <c r="G814" t="n">
        <v>2.6</v>
      </c>
      <c r="H814" t="n">
        <v>0</v>
      </c>
      <c r="I814" t="n">
        <v>0</v>
      </c>
      <c r="J814" t="n">
        <v>0</v>
      </c>
      <c r="K814" t="n">
        <v>0</v>
      </c>
      <c r="L814" t="n">
        <v>0</v>
      </c>
      <c r="M814" t="n">
        <v>0</v>
      </c>
      <c r="N814" t="n">
        <v>0</v>
      </c>
      <c r="O814" t="n">
        <v>0</v>
      </c>
      <c r="P814" t="n">
        <v>0</v>
      </c>
      <c r="Q814" t="n">
        <v>0</v>
      </c>
      <c r="R814" s="2" t="inlineStr"/>
    </row>
    <row r="815" ht="15" customHeight="1">
      <c r="A815" t="inlineStr">
        <is>
          <t>A 44067-2024</t>
        </is>
      </c>
      <c r="B815" s="1" t="n">
        <v>45572</v>
      </c>
      <c r="C815" s="1" t="n">
        <v>45831</v>
      </c>
      <c r="D815" t="inlineStr">
        <is>
          <t>UPPSALA LÄN</t>
        </is>
      </c>
      <c r="E815" t="inlineStr">
        <is>
          <t>ENKÖPING</t>
        </is>
      </c>
      <c r="G815" t="n">
        <v>2.9</v>
      </c>
      <c r="H815" t="n">
        <v>0</v>
      </c>
      <c r="I815" t="n">
        <v>0</v>
      </c>
      <c r="J815" t="n">
        <v>0</v>
      </c>
      <c r="K815" t="n">
        <v>0</v>
      </c>
      <c r="L815" t="n">
        <v>0</v>
      </c>
      <c r="M815" t="n">
        <v>0</v>
      </c>
      <c r="N815" t="n">
        <v>0</v>
      </c>
      <c r="O815" t="n">
        <v>0</v>
      </c>
      <c r="P815" t="n">
        <v>0</v>
      </c>
      <c r="Q815" t="n">
        <v>0</v>
      </c>
      <c r="R815" s="2" t="inlineStr"/>
    </row>
    <row r="816" ht="15" customHeight="1">
      <c r="A816" t="inlineStr">
        <is>
          <t>A 44084-2024</t>
        </is>
      </c>
      <c r="B816" s="1" t="n">
        <v>45572</v>
      </c>
      <c r="C816" s="1" t="n">
        <v>45831</v>
      </c>
      <c r="D816" t="inlineStr">
        <is>
          <t>UPPSALA LÄN</t>
        </is>
      </c>
      <c r="E816" t="inlineStr">
        <is>
          <t>ENKÖPING</t>
        </is>
      </c>
      <c r="G816" t="n">
        <v>1.2</v>
      </c>
      <c r="H816" t="n">
        <v>0</v>
      </c>
      <c r="I816" t="n">
        <v>0</v>
      </c>
      <c r="J816" t="n">
        <v>0</v>
      </c>
      <c r="K816" t="n">
        <v>0</v>
      </c>
      <c r="L816" t="n">
        <v>0</v>
      </c>
      <c r="M816" t="n">
        <v>0</v>
      </c>
      <c r="N816" t="n">
        <v>0</v>
      </c>
      <c r="O816" t="n">
        <v>0</v>
      </c>
      <c r="P816" t="n">
        <v>0</v>
      </c>
      <c r="Q816" t="n">
        <v>0</v>
      </c>
      <c r="R816" s="2" t="inlineStr"/>
    </row>
    <row r="817" ht="15" customHeight="1">
      <c r="A817" t="inlineStr">
        <is>
          <t>A 45155-2024</t>
        </is>
      </c>
      <c r="B817" s="1" t="n">
        <v>45575</v>
      </c>
      <c r="C817" s="1" t="n">
        <v>45831</v>
      </c>
      <c r="D817" t="inlineStr">
        <is>
          <t>UPPSALA LÄN</t>
        </is>
      </c>
      <c r="E817" t="inlineStr">
        <is>
          <t>ENKÖPING</t>
        </is>
      </c>
      <c r="G817" t="n">
        <v>3.9</v>
      </c>
      <c r="H817" t="n">
        <v>0</v>
      </c>
      <c r="I817" t="n">
        <v>0</v>
      </c>
      <c r="J817" t="n">
        <v>0</v>
      </c>
      <c r="K817" t="n">
        <v>0</v>
      </c>
      <c r="L817" t="n">
        <v>0</v>
      </c>
      <c r="M817" t="n">
        <v>0</v>
      </c>
      <c r="N817" t="n">
        <v>0</v>
      </c>
      <c r="O817" t="n">
        <v>0</v>
      </c>
      <c r="P817" t="n">
        <v>0</v>
      </c>
      <c r="Q817" t="n">
        <v>0</v>
      </c>
      <c r="R817" s="2" t="inlineStr"/>
    </row>
    <row r="818" ht="15" customHeight="1">
      <c r="A818" t="inlineStr">
        <is>
          <t>A 45064-2024</t>
        </is>
      </c>
      <c r="B818" s="1" t="n">
        <v>45575</v>
      </c>
      <c r="C818" s="1" t="n">
        <v>45831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45615-2024</t>
        </is>
      </c>
      <c r="B819" s="1" t="n">
        <v>45579</v>
      </c>
      <c r="C819" s="1" t="n">
        <v>45831</v>
      </c>
      <c r="D819" t="inlineStr">
        <is>
          <t>UPPSALA LÄN</t>
        </is>
      </c>
      <c r="E819" t="inlineStr">
        <is>
          <t>ENKÖPING</t>
        </is>
      </c>
      <c r="G819" t="n">
        <v>3.2</v>
      </c>
      <c r="H819" t="n">
        <v>0</v>
      </c>
      <c r="I819" t="n">
        <v>0</v>
      </c>
      <c r="J819" t="n">
        <v>0</v>
      </c>
      <c r="K819" t="n">
        <v>0</v>
      </c>
      <c r="L819" t="n">
        <v>0</v>
      </c>
      <c r="M819" t="n">
        <v>0</v>
      </c>
      <c r="N819" t="n">
        <v>0</v>
      </c>
      <c r="O819" t="n">
        <v>0</v>
      </c>
      <c r="P819" t="n">
        <v>0</v>
      </c>
      <c r="Q819" t="n">
        <v>0</v>
      </c>
      <c r="R819" s="2" t="inlineStr"/>
    </row>
    <row r="820" ht="15" customHeight="1">
      <c r="A820" t="inlineStr">
        <is>
          <t>A 45996-2024</t>
        </is>
      </c>
      <c r="B820" s="1" t="n">
        <v>45580</v>
      </c>
      <c r="C820" s="1" t="n">
        <v>45831</v>
      </c>
      <c r="D820" t="inlineStr">
        <is>
          <t>UPPSALA LÄN</t>
        </is>
      </c>
      <c r="E820" t="inlineStr">
        <is>
          <t>ENKÖPING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45956-2024</t>
        </is>
      </c>
      <c r="B821" s="1" t="n">
        <v>45580</v>
      </c>
      <c r="C821" s="1" t="n">
        <v>45831</v>
      </c>
      <c r="D821" t="inlineStr">
        <is>
          <t>UPPSALA LÄN</t>
        </is>
      </c>
      <c r="E821" t="inlineStr">
        <is>
          <t>ENKÖPING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47101-2024</t>
        </is>
      </c>
      <c r="B822" s="1" t="n">
        <v>45586</v>
      </c>
      <c r="C822" s="1" t="n">
        <v>45831</v>
      </c>
      <c r="D822" t="inlineStr">
        <is>
          <t>UPPSALA LÄN</t>
        </is>
      </c>
      <c r="E822" t="inlineStr">
        <is>
          <t>ENKÖPING</t>
        </is>
      </c>
      <c r="G822" t="n">
        <v>1.3</v>
      </c>
      <c r="H822" t="n">
        <v>0</v>
      </c>
      <c r="I822" t="n">
        <v>0</v>
      </c>
      <c r="J822" t="n">
        <v>0</v>
      </c>
      <c r="K822" t="n">
        <v>0</v>
      </c>
      <c r="L822" t="n">
        <v>0</v>
      </c>
      <c r="M822" t="n">
        <v>0</v>
      </c>
      <c r="N822" t="n">
        <v>0</v>
      </c>
      <c r="O822" t="n">
        <v>0</v>
      </c>
      <c r="P822" t="n">
        <v>0</v>
      </c>
      <c r="Q822" t="n">
        <v>0</v>
      </c>
      <c r="R822" s="2" t="inlineStr"/>
    </row>
    <row r="823" ht="15" customHeight="1">
      <c r="A823" t="inlineStr">
        <is>
          <t>A 47681-2024</t>
        </is>
      </c>
      <c r="B823" s="1" t="n">
        <v>45588</v>
      </c>
      <c r="C823" s="1" t="n">
        <v>45831</v>
      </c>
      <c r="D823" t="inlineStr">
        <is>
          <t>UPPSALA LÄN</t>
        </is>
      </c>
      <c r="E823" t="inlineStr">
        <is>
          <t>ENKÖPING</t>
        </is>
      </c>
      <c r="G823" t="n">
        <v>4.2</v>
      </c>
      <c r="H823" t="n">
        <v>0</v>
      </c>
      <c r="I823" t="n">
        <v>0</v>
      </c>
      <c r="J823" t="n">
        <v>0</v>
      </c>
      <c r="K823" t="n">
        <v>0</v>
      </c>
      <c r="L823" t="n">
        <v>0</v>
      </c>
      <c r="M823" t="n">
        <v>0</v>
      </c>
      <c r="N823" t="n">
        <v>0</v>
      </c>
      <c r="O823" t="n">
        <v>0</v>
      </c>
      <c r="P823" t="n">
        <v>0</v>
      </c>
      <c r="Q823" t="n">
        <v>0</v>
      </c>
      <c r="R823" s="2" t="inlineStr"/>
    </row>
    <row r="824" ht="15" customHeight="1">
      <c r="A824" t="inlineStr">
        <is>
          <t>A 48060-2024</t>
        </is>
      </c>
      <c r="B824" s="1" t="n">
        <v>45589</v>
      </c>
      <c r="C824" s="1" t="n">
        <v>45831</v>
      </c>
      <c r="D824" t="inlineStr">
        <is>
          <t>UPPSALA LÄN</t>
        </is>
      </c>
      <c r="E824" t="inlineStr">
        <is>
          <t>ENKÖPING</t>
        </is>
      </c>
      <c r="G824" t="n">
        <v>1.7</v>
      </c>
      <c r="H824" t="n">
        <v>0</v>
      </c>
      <c r="I824" t="n">
        <v>0</v>
      </c>
      <c r="J824" t="n">
        <v>0</v>
      </c>
      <c r="K824" t="n">
        <v>0</v>
      </c>
      <c r="L824" t="n">
        <v>0</v>
      </c>
      <c r="M824" t="n">
        <v>0</v>
      </c>
      <c r="N824" t="n">
        <v>0</v>
      </c>
      <c r="O824" t="n">
        <v>0</v>
      </c>
      <c r="P824" t="n">
        <v>0</v>
      </c>
      <c r="Q824" t="n">
        <v>0</v>
      </c>
      <c r="R824" s="2" t="inlineStr"/>
    </row>
    <row r="825" ht="15" customHeight="1">
      <c r="A825" t="inlineStr">
        <is>
          <t>A 47909-2024</t>
        </is>
      </c>
      <c r="B825" s="1" t="n">
        <v>45589</v>
      </c>
      <c r="C825" s="1" t="n">
        <v>45831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48450-2024</t>
        </is>
      </c>
      <c r="B826" s="1" t="n">
        <v>45590</v>
      </c>
      <c r="C826" s="1" t="n">
        <v>45831</v>
      </c>
      <c r="D826" t="inlineStr">
        <is>
          <t>UPPSALA LÄN</t>
        </is>
      </c>
      <c r="E826" t="inlineStr">
        <is>
          <t>ENKÖPING</t>
        </is>
      </c>
      <c r="F826" t="inlineStr">
        <is>
          <t>Allmännings- och besparingsskogar</t>
        </is>
      </c>
      <c r="G826" t="n">
        <v>7.8</v>
      </c>
      <c r="H826" t="n">
        <v>0</v>
      </c>
      <c r="I826" t="n">
        <v>0</v>
      </c>
      <c r="J826" t="n">
        <v>0</v>
      </c>
      <c r="K826" t="n">
        <v>0</v>
      </c>
      <c r="L826" t="n">
        <v>0</v>
      </c>
      <c r="M826" t="n">
        <v>0</v>
      </c>
      <c r="N826" t="n">
        <v>0</v>
      </c>
      <c r="O826" t="n">
        <v>0</v>
      </c>
      <c r="P826" t="n">
        <v>0</v>
      </c>
      <c r="Q826" t="n">
        <v>0</v>
      </c>
      <c r="R826" s="2" t="inlineStr"/>
    </row>
    <row r="827" ht="15" customHeight="1">
      <c r="A827" t="inlineStr">
        <is>
          <t>A 48447-2024</t>
        </is>
      </c>
      <c r="B827" s="1" t="n">
        <v>45590</v>
      </c>
      <c r="C827" s="1" t="n">
        <v>45831</v>
      </c>
      <c r="D827" t="inlineStr">
        <is>
          <t>UPPSALA LÄN</t>
        </is>
      </c>
      <c r="E827" t="inlineStr">
        <is>
          <t>ENKÖPING</t>
        </is>
      </c>
      <c r="F827" t="inlineStr">
        <is>
          <t>Allmännings- och besparingsskogar</t>
        </is>
      </c>
      <c r="G827" t="n">
        <v>3.7</v>
      </c>
      <c r="H827" t="n">
        <v>0</v>
      </c>
      <c r="I827" t="n">
        <v>0</v>
      </c>
      <c r="J827" t="n">
        <v>0</v>
      </c>
      <c r="K827" t="n">
        <v>0</v>
      </c>
      <c r="L827" t="n">
        <v>0</v>
      </c>
      <c r="M827" t="n">
        <v>0</v>
      </c>
      <c r="N827" t="n">
        <v>0</v>
      </c>
      <c r="O827" t="n">
        <v>0</v>
      </c>
      <c r="P827" t="n">
        <v>0</v>
      </c>
      <c r="Q827" t="n">
        <v>0</v>
      </c>
      <c r="R827" s="2" t="inlineStr"/>
    </row>
    <row r="828" ht="15" customHeight="1">
      <c r="A828" t="inlineStr">
        <is>
          <t>A 49063-2024</t>
        </is>
      </c>
      <c r="B828" s="1" t="n">
        <v>45594</v>
      </c>
      <c r="C828" s="1" t="n">
        <v>45831</v>
      </c>
      <c r="D828" t="inlineStr">
        <is>
          <t>UPPSALA LÄN</t>
        </is>
      </c>
      <c r="E828" t="inlineStr">
        <is>
          <t>ENKÖPING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49340-2024</t>
        </is>
      </c>
      <c r="B829" s="1" t="n">
        <v>45595</v>
      </c>
      <c r="C829" s="1" t="n">
        <v>45831</v>
      </c>
      <c r="D829" t="inlineStr">
        <is>
          <t>UPPSALA LÄN</t>
        </is>
      </c>
      <c r="E829" t="inlineStr">
        <is>
          <t>ENKÖPING</t>
        </is>
      </c>
      <c r="G829" t="n">
        <v>2.8</v>
      </c>
      <c r="H829" t="n">
        <v>0</v>
      </c>
      <c r="I829" t="n">
        <v>0</v>
      </c>
      <c r="J829" t="n">
        <v>0</v>
      </c>
      <c r="K829" t="n">
        <v>0</v>
      </c>
      <c r="L829" t="n">
        <v>0</v>
      </c>
      <c r="M829" t="n">
        <v>0</v>
      </c>
      <c r="N829" t="n">
        <v>0</v>
      </c>
      <c r="O829" t="n">
        <v>0</v>
      </c>
      <c r="P829" t="n">
        <v>0</v>
      </c>
      <c r="Q829" t="n">
        <v>0</v>
      </c>
      <c r="R829" s="2" t="inlineStr"/>
    </row>
    <row r="830" ht="15" customHeight="1">
      <c r="A830" t="inlineStr">
        <is>
          <t>A 49601-2024</t>
        </is>
      </c>
      <c r="B830" s="1" t="n">
        <v>45596</v>
      </c>
      <c r="C830" s="1" t="n">
        <v>45831</v>
      </c>
      <c r="D830" t="inlineStr">
        <is>
          <t>UPPSALA LÄN</t>
        </is>
      </c>
      <c r="E830" t="inlineStr">
        <is>
          <t>ENKÖPING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49614-2024</t>
        </is>
      </c>
      <c r="B831" s="1" t="n">
        <v>45596</v>
      </c>
      <c r="C831" s="1" t="n">
        <v>45831</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49623-2024</t>
        </is>
      </c>
      <c r="B832" s="1" t="n">
        <v>45596</v>
      </c>
      <c r="C832" s="1" t="n">
        <v>45831</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49627-2024</t>
        </is>
      </c>
      <c r="B833" s="1" t="n">
        <v>45596</v>
      </c>
      <c r="C833" s="1" t="n">
        <v>45831</v>
      </c>
      <c r="D833" t="inlineStr">
        <is>
          <t>UPPSALA LÄN</t>
        </is>
      </c>
      <c r="E833" t="inlineStr">
        <is>
          <t>ENKÖPING</t>
        </is>
      </c>
      <c r="G833" t="n">
        <v>0.4</v>
      </c>
      <c r="H833" t="n">
        <v>0</v>
      </c>
      <c r="I833" t="n">
        <v>0</v>
      </c>
      <c r="J833" t="n">
        <v>0</v>
      </c>
      <c r="K833" t="n">
        <v>0</v>
      </c>
      <c r="L833" t="n">
        <v>0</v>
      </c>
      <c r="M833" t="n">
        <v>0</v>
      </c>
      <c r="N833" t="n">
        <v>0</v>
      </c>
      <c r="O833" t="n">
        <v>0</v>
      </c>
      <c r="P833" t="n">
        <v>0</v>
      </c>
      <c r="Q833" t="n">
        <v>0</v>
      </c>
      <c r="R833" s="2" t="inlineStr"/>
    </row>
    <row r="834" ht="15" customHeight="1">
      <c r="A834" t="inlineStr">
        <is>
          <t>A 49632-2024</t>
        </is>
      </c>
      <c r="B834" s="1" t="n">
        <v>45596</v>
      </c>
      <c r="C834" s="1" t="n">
        <v>45831</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49597-2024</t>
        </is>
      </c>
      <c r="B835" s="1" t="n">
        <v>45596</v>
      </c>
      <c r="C835" s="1" t="n">
        <v>45831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49613-2024</t>
        </is>
      </c>
      <c r="B836" s="1" t="n">
        <v>45596</v>
      </c>
      <c r="C836" s="1" t="n">
        <v>45831</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49622-2024</t>
        </is>
      </c>
      <c r="B837" s="1" t="n">
        <v>45596</v>
      </c>
      <c r="C837" s="1" t="n">
        <v>45831</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49617-2024</t>
        </is>
      </c>
      <c r="B838" s="1" t="n">
        <v>45596</v>
      </c>
      <c r="C838" s="1" t="n">
        <v>45831</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49625-2024</t>
        </is>
      </c>
      <c r="B839" s="1" t="n">
        <v>45596</v>
      </c>
      <c r="C839" s="1" t="n">
        <v>45831</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49637-2024</t>
        </is>
      </c>
      <c r="B840" s="1" t="n">
        <v>45596</v>
      </c>
      <c r="C840" s="1" t="n">
        <v>45831</v>
      </c>
      <c r="D840" t="inlineStr">
        <is>
          <t>UPPSALA LÄN</t>
        </is>
      </c>
      <c r="E840" t="inlineStr">
        <is>
          <t>ENKÖPING</t>
        </is>
      </c>
      <c r="G840" t="n">
        <v>4.9</v>
      </c>
      <c r="H840" t="n">
        <v>0</v>
      </c>
      <c r="I840" t="n">
        <v>0</v>
      </c>
      <c r="J840" t="n">
        <v>0</v>
      </c>
      <c r="K840" t="n">
        <v>0</v>
      </c>
      <c r="L840" t="n">
        <v>0</v>
      </c>
      <c r="M840" t="n">
        <v>0</v>
      </c>
      <c r="N840" t="n">
        <v>0</v>
      </c>
      <c r="O840" t="n">
        <v>0</v>
      </c>
      <c r="P840" t="n">
        <v>0</v>
      </c>
      <c r="Q840" t="n">
        <v>0</v>
      </c>
      <c r="R840" s="2" t="inlineStr"/>
    </row>
    <row r="841" ht="15" customHeight="1">
      <c r="A841" t="inlineStr">
        <is>
          <t>A 50394-2024</t>
        </is>
      </c>
      <c r="B841" s="1" t="n">
        <v>45600</v>
      </c>
      <c r="C841" s="1" t="n">
        <v>45831</v>
      </c>
      <c r="D841" t="inlineStr">
        <is>
          <t>UPPSALA LÄN</t>
        </is>
      </c>
      <c r="E841" t="inlineStr">
        <is>
          <t>ENKÖPING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50248-2024</t>
        </is>
      </c>
      <c r="B842" s="1" t="n">
        <v>45600</v>
      </c>
      <c r="C842" s="1" t="n">
        <v>45831</v>
      </c>
      <c r="D842" t="inlineStr">
        <is>
          <t>UPPSALA LÄN</t>
        </is>
      </c>
      <c r="E842" t="inlineStr">
        <is>
          <t>ENKÖPING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50247-2024</t>
        </is>
      </c>
      <c r="B843" s="1" t="n">
        <v>45600</v>
      </c>
      <c r="C843" s="1" t="n">
        <v>45831</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51010-2024</t>
        </is>
      </c>
      <c r="B844" s="1" t="n">
        <v>45603</v>
      </c>
      <c r="C844" s="1" t="n">
        <v>45831</v>
      </c>
      <c r="D844" t="inlineStr">
        <is>
          <t>UPPSALA LÄN</t>
        </is>
      </c>
      <c r="E844" t="inlineStr">
        <is>
          <t>ENKÖPING</t>
        </is>
      </c>
      <c r="G844" t="n">
        <v>1.7</v>
      </c>
      <c r="H844" t="n">
        <v>0</v>
      </c>
      <c r="I844" t="n">
        <v>0</v>
      </c>
      <c r="J844" t="n">
        <v>0</v>
      </c>
      <c r="K844" t="n">
        <v>0</v>
      </c>
      <c r="L844" t="n">
        <v>0</v>
      </c>
      <c r="M844" t="n">
        <v>0</v>
      </c>
      <c r="N844" t="n">
        <v>0</v>
      </c>
      <c r="O844" t="n">
        <v>0</v>
      </c>
      <c r="P844" t="n">
        <v>0</v>
      </c>
      <c r="Q844" t="n">
        <v>0</v>
      </c>
      <c r="R844" s="2" t="inlineStr"/>
    </row>
    <row r="845" ht="15" customHeight="1">
      <c r="A845" t="inlineStr">
        <is>
          <t>A 51030-2024</t>
        </is>
      </c>
      <c r="B845" s="1" t="n">
        <v>45603</v>
      </c>
      <c r="C845" s="1" t="n">
        <v>45831</v>
      </c>
      <c r="D845" t="inlineStr">
        <is>
          <t>UPPSALA LÄN</t>
        </is>
      </c>
      <c r="E845" t="inlineStr">
        <is>
          <t>ENKÖPING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51034-2024</t>
        </is>
      </c>
      <c r="B846" s="1" t="n">
        <v>45603</v>
      </c>
      <c r="C846" s="1" t="n">
        <v>45831</v>
      </c>
      <c r="D846" t="inlineStr">
        <is>
          <t>UPPSALA LÄN</t>
        </is>
      </c>
      <c r="E846" t="inlineStr">
        <is>
          <t>ENKÖPING</t>
        </is>
      </c>
      <c r="G846" t="n">
        <v>1.3</v>
      </c>
      <c r="H846" t="n">
        <v>0</v>
      </c>
      <c r="I846" t="n">
        <v>0</v>
      </c>
      <c r="J846" t="n">
        <v>0</v>
      </c>
      <c r="K846" t="n">
        <v>0</v>
      </c>
      <c r="L846" t="n">
        <v>0</v>
      </c>
      <c r="M846" t="n">
        <v>0</v>
      </c>
      <c r="N846" t="n">
        <v>0</v>
      </c>
      <c r="O846" t="n">
        <v>0</v>
      </c>
      <c r="P846" t="n">
        <v>0</v>
      </c>
      <c r="Q846" t="n">
        <v>0</v>
      </c>
      <c r="R846" s="2" t="inlineStr"/>
    </row>
    <row r="847" ht="15" customHeight="1">
      <c r="A847" t="inlineStr">
        <is>
          <t>A 51042-2024</t>
        </is>
      </c>
      <c r="B847" s="1" t="n">
        <v>45603</v>
      </c>
      <c r="C847" s="1" t="n">
        <v>45831</v>
      </c>
      <c r="D847" t="inlineStr">
        <is>
          <t>UPPSALA LÄN</t>
        </is>
      </c>
      <c r="E847" t="inlineStr">
        <is>
          <t>ENKÖPING</t>
        </is>
      </c>
      <c r="G847" t="n">
        <v>4.6</v>
      </c>
      <c r="H847" t="n">
        <v>0</v>
      </c>
      <c r="I847" t="n">
        <v>0</v>
      </c>
      <c r="J847" t="n">
        <v>0</v>
      </c>
      <c r="K847" t="n">
        <v>0</v>
      </c>
      <c r="L847" t="n">
        <v>0</v>
      </c>
      <c r="M847" t="n">
        <v>0</v>
      </c>
      <c r="N847" t="n">
        <v>0</v>
      </c>
      <c r="O847" t="n">
        <v>0</v>
      </c>
      <c r="P847" t="n">
        <v>0</v>
      </c>
      <c r="Q847" t="n">
        <v>0</v>
      </c>
      <c r="R847" s="2" t="inlineStr"/>
    </row>
    <row r="848" ht="15" customHeight="1">
      <c r="A848" t="inlineStr">
        <is>
          <t>A 51011-2024</t>
        </is>
      </c>
      <c r="B848" s="1" t="n">
        <v>45603</v>
      </c>
      <c r="C848" s="1" t="n">
        <v>45831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51027-2024</t>
        </is>
      </c>
      <c r="B849" s="1" t="n">
        <v>45603</v>
      </c>
      <c r="C849" s="1" t="n">
        <v>45831</v>
      </c>
      <c r="D849" t="inlineStr">
        <is>
          <t>UPPSALA LÄN</t>
        </is>
      </c>
      <c r="E849" t="inlineStr">
        <is>
          <t>ENKÖPING</t>
        </is>
      </c>
      <c r="G849" t="n">
        <v>3.5</v>
      </c>
      <c r="H849" t="n">
        <v>0</v>
      </c>
      <c r="I849" t="n">
        <v>0</v>
      </c>
      <c r="J849" t="n">
        <v>0</v>
      </c>
      <c r="K849" t="n">
        <v>0</v>
      </c>
      <c r="L849" t="n">
        <v>0</v>
      </c>
      <c r="M849" t="n">
        <v>0</v>
      </c>
      <c r="N849" t="n">
        <v>0</v>
      </c>
      <c r="O849" t="n">
        <v>0</v>
      </c>
      <c r="P849" t="n">
        <v>0</v>
      </c>
      <c r="Q849" t="n">
        <v>0</v>
      </c>
      <c r="R849" s="2" t="inlineStr"/>
    </row>
    <row r="850" ht="15" customHeight="1">
      <c r="A850" t="inlineStr">
        <is>
          <t>A 51008-2024</t>
        </is>
      </c>
      <c r="B850" s="1" t="n">
        <v>45603</v>
      </c>
      <c r="C850" s="1" t="n">
        <v>45831</v>
      </c>
      <c r="D850" t="inlineStr">
        <is>
          <t>UPPSALA LÄN</t>
        </is>
      </c>
      <c r="E850" t="inlineStr">
        <is>
          <t>ENKÖPING</t>
        </is>
      </c>
      <c r="G850" t="n">
        <v>2.4</v>
      </c>
      <c r="H850" t="n">
        <v>0</v>
      </c>
      <c r="I850" t="n">
        <v>0</v>
      </c>
      <c r="J850" t="n">
        <v>0</v>
      </c>
      <c r="K850" t="n">
        <v>0</v>
      </c>
      <c r="L850" t="n">
        <v>0</v>
      </c>
      <c r="M850" t="n">
        <v>0</v>
      </c>
      <c r="N850" t="n">
        <v>0</v>
      </c>
      <c r="O850" t="n">
        <v>0</v>
      </c>
      <c r="P850" t="n">
        <v>0</v>
      </c>
      <c r="Q850" t="n">
        <v>0</v>
      </c>
      <c r="R850" s="2" t="inlineStr"/>
    </row>
    <row r="851" ht="15" customHeight="1">
      <c r="A851" t="inlineStr">
        <is>
          <t>A 51012-2024</t>
        </is>
      </c>
      <c r="B851" s="1" t="n">
        <v>45603</v>
      </c>
      <c r="C851" s="1" t="n">
        <v>45831</v>
      </c>
      <c r="D851" t="inlineStr">
        <is>
          <t>UPPSALA LÄN</t>
        </is>
      </c>
      <c r="E851" t="inlineStr">
        <is>
          <t>ENKÖPING</t>
        </is>
      </c>
      <c r="G851" t="n">
        <v>2.7</v>
      </c>
      <c r="H851" t="n">
        <v>0</v>
      </c>
      <c r="I851" t="n">
        <v>0</v>
      </c>
      <c r="J851" t="n">
        <v>0</v>
      </c>
      <c r="K851" t="n">
        <v>0</v>
      </c>
      <c r="L851" t="n">
        <v>0</v>
      </c>
      <c r="M851" t="n">
        <v>0</v>
      </c>
      <c r="N851" t="n">
        <v>0</v>
      </c>
      <c r="O851" t="n">
        <v>0</v>
      </c>
      <c r="P851" t="n">
        <v>0</v>
      </c>
      <c r="Q851" t="n">
        <v>0</v>
      </c>
      <c r="R851" s="2" t="inlineStr"/>
    </row>
    <row r="852" ht="15" customHeight="1">
      <c r="A852" t="inlineStr">
        <is>
          <t>A 51036-2024</t>
        </is>
      </c>
      <c r="B852" s="1" t="n">
        <v>45603</v>
      </c>
      <c r="C852" s="1" t="n">
        <v>45831</v>
      </c>
      <c r="D852" t="inlineStr">
        <is>
          <t>UPPSALA LÄN</t>
        </is>
      </c>
      <c r="E852" t="inlineStr">
        <is>
          <t>ENKÖPING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51037-2024</t>
        </is>
      </c>
      <c r="B853" s="1" t="n">
        <v>45603</v>
      </c>
      <c r="C853" s="1" t="n">
        <v>45831</v>
      </c>
      <c r="D853" t="inlineStr">
        <is>
          <t>UPPSALA LÄN</t>
        </is>
      </c>
      <c r="E853" t="inlineStr">
        <is>
          <t>ENKÖPING</t>
        </is>
      </c>
      <c r="G853" t="n">
        <v>5.7</v>
      </c>
      <c r="H853" t="n">
        <v>0</v>
      </c>
      <c r="I853" t="n">
        <v>0</v>
      </c>
      <c r="J853" t="n">
        <v>0</v>
      </c>
      <c r="K853" t="n">
        <v>0</v>
      </c>
      <c r="L853" t="n">
        <v>0</v>
      </c>
      <c r="M853" t="n">
        <v>0</v>
      </c>
      <c r="N853" t="n">
        <v>0</v>
      </c>
      <c r="O853" t="n">
        <v>0</v>
      </c>
      <c r="P853" t="n">
        <v>0</v>
      </c>
      <c r="Q853" t="n">
        <v>0</v>
      </c>
      <c r="R853" s="2" t="inlineStr"/>
    </row>
    <row r="854" ht="15" customHeight="1">
      <c r="A854" t="inlineStr">
        <is>
          <t>A 52005-2024</t>
        </is>
      </c>
      <c r="B854" s="1" t="n">
        <v>45607</v>
      </c>
      <c r="C854" s="1" t="n">
        <v>45831</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52219-2024</t>
        </is>
      </c>
      <c r="B855" s="1" t="n">
        <v>45608</v>
      </c>
      <c r="C855" s="1" t="n">
        <v>45831</v>
      </c>
      <c r="D855" t="inlineStr">
        <is>
          <t>UPPSALA LÄN</t>
        </is>
      </c>
      <c r="E855" t="inlineStr">
        <is>
          <t>ENKÖPING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52388-2024</t>
        </is>
      </c>
      <c r="B856" s="1" t="n">
        <v>45609</v>
      </c>
      <c r="C856" s="1" t="n">
        <v>45831</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52380-2024</t>
        </is>
      </c>
      <c r="B857" s="1" t="n">
        <v>45609</v>
      </c>
      <c r="C857" s="1" t="n">
        <v>45831</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53587-2024</t>
        </is>
      </c>
      <c r="B858" s="1" t="n">
        <v>45614</v>
      </c>
      <c r="C858" s="1" t="n">
        <v>45831</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53586-2024</t>
        </is>
      </c>
      <c r="B859" s="1" t="n">
        <v>45614</v>
      </c>
      <c r="C859" s="1" t="n">
        <v>45831</v>
      </c>
      <c r="D859" t="inlineStr">
        <is>
          <t>UPPSALA LÄN</t>
        </is>
      </c>
      <c r="E859" t="inlineStr">
        <is>
          <t>ENKÖPING</t>
        </is>
      </c>
      <c r="G859" t="n">
        <v>6.6</v>
      </c>
      <c r="H859" t="n">
        <v>0</v>
      </c>
      <c r="I859" t="n">
        <v>0</v>
      </c>
      <c r="J859" t="n">
        <v>0</v>
      </c>
      <c r="K859" t="n">
        <v>0</v>
      </c>
      <c r="L859" t="n">
        <v>0</v>
      </c>
      <c r="M859" t="n">
        <v>0</v>
      </c>
      <c r="N859" t="n">
        <v>0</v>
      </c>
      <c r="O859" t="n">
        <v>0</v>
      </c>
      <c r="P859" t="n">
        <v>0</v>
      </c>
      <c r="Q859" t="n">
        <v>0</v>
      </c>
      <c r="R859" s="2" t="inlineStr"/>
    </row>
    <row r="860" ht="15" customHeight="1">
      <c r="A860" t="inlineStr">
        <is>
          <t>A 53557-2024</t>
        </is>
      </c>
      <c r="B860" s="1" t="n">
        <v>45614</v>
      </c>
      <c r="C860" s="1" t="n">
        <v>45831</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53348-2024</t>
        </is>
      </c>
      <c r="B861" s="1" t="n">
        <v>45614</v>
      </c>
      <c r="C861" s="1" t="n">
        <v>45831</v>
      </c>
      <c r="D861" t="inlineStr">
        <is>
          <t>UPPSALA LÄN</t>
        </is>
      </c>
      <c r="E861" t="inlineStr">
        <is>
          <t>ENKÖPING</t>
        </is>
      </c>
      <c r="G861" t="n">
        <v>6.2</v>
      </c>
      <c r="H861" t="n">
        <v>0</v>
      </c>
      <c r="I861" t="n">
        <v>0</v>
      </c>
      <c r="J861" t="n">
        <v>0</v>
      </c>
      <c r="K861" t="n">
        <v>0</v>
      </c>
      <c r="L861" t="n">
        <v>0</v>
      </c>
      <c r="M861" t="n">
        <v>0</v>
      </c>
      <c r="N861" t="n">
        <v>0</v>
      </c>
      <c r="O861" t="n">
        <v>0</v>
      </c>
      <c r="P861" t="n">
        <v>0</v>
      </c>
      <c r="Q861" t="n">
        <v>0</v>
      </c>
      <c r="R861" s="2" t="inlineStr"/>
    </row>
    <row r="862" ht="15" customHeight="1">
      <c r="A862" t="inlineStr">
        <is>
          <t>A 54010-2024</t>
        </is>
      </c>
      <c r="B862" s="1" t="n">
        <v>45616</v>
      </c>
      <c r="C862" s="1" t="n">
        <v>45831</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54588-2024</t>
        </is>
      </c>
      <c r="B863" s="1" t="n">
        <v>45617</v>
      </c>
      <c r="C863" s="1" t="n">
        <v>45831</v>
      </c>
      <c r="D863" t="inlineStr">
        <is>
          <t>UPPSALA LÄN</t>
        </is>
      </c>
      <c r="E863" t="inlineStr">
        <is>
          <t>ENKÖPING</t>
        </is>
      </c>
      <c r="G863" t="n">
        <v>3.7</v>
      </c>
      <c r="H863" t="n">
        <v>0</v>
      </c>
      <c r="I863" t="n">
        <v>0</v>
      </c>
      <c r="J863" t="n">
        <v>0</v>
      </c>
      <c r="K863" t="n">
        <v>0</v>
      </c>
      <c r="L863" t="n">
        <v>0</v>
      </c>
      <c r="M863" t="n">
        <v>0</v>
      </c>
      <c r="N863" t="n">
        <v>0</v>
      </c>
      <c r="O863" t="n">
        <v>0</v>
      </c>
      <c r="P863" t="n">
        <v>0</v>
      </c>
      <c r="Q863" t="n">
        <v>0</v>
      </c>
      <c r="R863" s="2" t="inlineStr"/>
    </row>
    <row r="864" ht="15" customHeight="1">
      <c r="A864" t="inlineStr">
        <is>
          <t>A 54776-2024</t>
        </is>
      </c>
      <c r="B864" s="1" t="n">
        <v>45618</v>
      </c>
      <c r="C864" s="1" t="n">
        <v>45831</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55863-2024</t>
        </is>
      </c>
      <c r="B865" s="1" t="n">
        <v>45623</v>
      </c>
      <c r="C865" s="1" t="n">
        <v>45831</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55876-2024</t>
        </is>
      </c>
      <c r="B866" s="1" t="n">
        <v>45623</v>
      </c>
      <c r="C866" s="1" t="n">
        <v>45831</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55862-2024</t>
        </is>
      </c>
      <c r="B867" s="1" t="n">
        <v>45623</v>
      </c>
      <c r="C867" s="1" t="n">
        <v>45831</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56225-2024</t>
        </is>
      </c>
      <c r="B868" s="1" t="n">
        <v>45624</v>
      </c>
      <c r="C868" s="1" t="n">
        <v>45831</v>
      </c>
      <c r="D868" t="inlineStr">
        <is>
          <t>UPPSALA LÄN</t>
        </is>
      </c>
      <c r="E868" t="inlineStr">
        <is>
          <t>ENKÖPING</t>
        </is>
      </c>
      <c r="G868" t="n">
        <v>11.7</v>
      </c>
      <c r="H868" t="n">
        <v>0</v>
      </c>
      <c r="I868" t="n">
        <v>0</v>
      </c>
      <c r="J868" t="n">
        <v>0</v>
      </c>
      <c r="K868" t="n">
        <v>0</v>
      </c>
      <c r="L868" t="n">
        <v>0</v>
      </c>
      <c r="M868" t="n">
        <v>0</v>
      </c>
      <c r="N868" t="n">
        <v>0</v>
      </c>
      <c r="O868" t="n">
        <v>0</v>
      </c>
      <c r="P868" t="n">
        <v>0</v>
      </c>
      <c r="Q868" t="n">
        <v>0</v>
      </c>
      <c r="R868" s="2" t="inlineStr"/>
    </row>
    <row r="869" ht="15" customHeight="1">
      <c r="A869" t="inlineStr">
        <is>
          <t>A 56837-2024</t>
        </is>
      </c>
      <c r="B869" s="1" t="n">
        <v>45628</v>
      </c>
      <c r="C869" s="1" t="n">
        <v>45831</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56713-2024</t>
        </is>
      </c>
      <c r="B870" s="1" t="n">
        <v>45628</v>
      </c>
      <c r="C870" s="1" t="n">
        <v>45831</v>
      </c>
      <c r="D870" t="inlineStr">
        <is>
          <t>UPPSALA LÄN</t>
        </is>
      </c>
      <c r="E870" t="inlineStr">
        <is>
          <t>ENKÖPING</t>
        </is>
      </c>
      <c r="G870" t="n">
        <v>1.7</v>
      </c>
      <c r="H870" t="n">
        <v>0</v>
      </c>
      <c r="I870" t="n">
        <v>0</v>
      </c>
      <c r="J870" t="n">
        <v>0</v>
      </c>
      <c r="K870" t="n">
        <v>0</v>
      </c>
      <c r="L870" t="n">
        <v>0</v>
      </c>
      <c r="M870" t="n">
        <v>0</v>
      </c>
      <c r="N870" t="n">
        <v>0</v>
      </c>
      <c r="O870" t="n">
        <v>0</v>
      </c>
      <c r="P870" t="n">
        <v>0</v>
      </c>
      <c r="Q870" t="n">
        <v>0</v>
      </c>
      <c r="R870" s="2" t="inlineStr"/>
    </row>
    <row r="871" ht="15" customHeight="1">
      <c r="A871" t="inlineStr">
        <is>
          <t>A 57209-2024</t>
        </is>
      </c>
      <c r="B871" s="1" t="n">
        <v>45629</v>
      </c>
      <c r="C871" s="1" t="n">
        <v>45831</v>
      </c>
      <c r="D871" t="inlineStr">
        <is>
          <t>UPPSALA LÄN</t>
        </is>
      </c>
      <c r="E871" t="inlineStr">
        <is>
          <t>ENKÖPING</t>
        </is>
      </c>
      <c r="G871" t="n">
        <v>3.2</v>
      </c>
      <c r="H871" t="n">
        <v>0</v>
      </c>
      <c r="I871" t="n">
        <v>0</v>
      </c>
      <c r="J871" t="n">
        <v>0</v>
      </c>
      <c r="K871" t="n">
        <v>0</v>
      </c>
      <c r="L871" t="n">
        <v>0</v>
      </c>
      <c r="M871" t="n">
        <v>0</v>
      </c>
      <c r="N871" t="n">
        <v>0</v>
      </c>
      <c r="O871" t="n">
        <v>0</v>
      </c>
      <c r="P871" t="n">
        <v>0</v>
      </c>
      <c r="Q871" t="n">
        <v>0</v>
      </c>
      <c r="R871" s="2" t="inlineStr"/>
    </row>
    <row r="872" ht="15" customHeight="1">
      <c r="A872" t="inlineStr">
        <is>
          <t>A 57215-2024</t>
        </is>
      </c>
      <c r="B872" s="1" t="n">
        <v>45629</v>
      </c>
      <c r="C872" s="1" t="n">
        <v>45831</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57335-2024</t>
        </is>
      </c>
      <c r="B873" s="1" t="n">
        <v>45629</v>
      </c>
      <c r="C873" s="1" t="n">
        <v>45831</v>
      </c>
      <c r="D873" t="inlineStr">
        <is>
          <t>UPPSALA LÄN</t>
        </is>
      </c>
      <c r="E873" t="inlineStr">
        <is>
          <t>ENKÖPING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57214-2024</t>
        </is>
      </c>
      <c r="B874" s="1" t="n">
        <v>45629</v>
      </c>
      <c r="C874" s="1" t="n">
        <v>45831</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57218-2024</t>
        </is>
      </c>
      <c r="B875" s="1" t="n">
        <v>45629</v>
      </c>
      <c r="C875" s="1" t="n">
        <v>45831</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57415-2024</t>
        </is>
      </c>
      <c r="B876" s="1" t="n">
        <v>45629</v>
      </c>
      <c r="C876" s="1" t="n">
        <v>45831</v>
      </c>
      <c r="D876" t="inlineStr">
        <is>
          <t>UPPSALA LÄN</t>
        </is>
      </c>
      <c r="E876" t="inlineStr">
        <is>
          <t>ENKÖPING</t>
        </is>
      </c>
      <c r="F876" t="inlineStr">
        <is>
          <t>Allmännings- och besparingsskogar</t>
        </is>
      </c>
      <c r="G876" t="n">
        <v>11.8</v>
      </c>
      <c r="H876" t="n">
        <v>0</v>
      </c>
      <c r="I876" t="n">
        <v>0</v>
      </c>
      <c r="J876" t="n">
        <v>0</v>
      </c>
      <c r="K876" t="n">
        <v>0</v>
      </c>
      <c r="L876" t="n">
        <v>0</v>
      </c>
      <c r="M876" t="n">
        <v>0</v>
      </c>
      <c r="N876" t="n">
        <v>0</v>
      </c>
      <c r="O876" t="n">
        <v>0</v>
      </c>
      <c r="P876" t="n">
        <v>0</v>
      </c>
      <c r="Q876" t="n">
        <v>0</v>
      </c>
      <c r="R876" s="2" t="inlineStr"/>
    </row>
    <row r="877" ht="15" customHeight="1">
      <c r="A877" t="inlineStr">
        <is>
          <t>A 57328-2024</t>
        </is>
      </c>
      <c r="B877" s="1" t="n">
        <v>45629</v>
      </c>
      <c r="C877" s="1" t="n">
        <v>45831</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57833-2024</t>
        </is>
      </c>
      <c r="B878" s="1" t="n">
        <v>45631</v>
      </c>
      <c r="C878" s="1" t="n">
        <v>45831</v>
      </c>
      <c r="D878" t="inlineStr">
        <is>
          <t>UPPSALA LÄN</t>
        </is>
      </c>
      <c r="E878" t="inlineStr">
        <is>
          <t>ENKÖPING</t>
        </is>
      </c>
      <c r="G878" t="n">
        <v>2.8</v>
      </c>
      <c r="H878" t="n">
        <v>0</v>
      </c>
      <c r="I878" t="n">
        <v>0</v>
      </c>
      <c r="J878" t="n">
        <v>0</v>
      </c>
      <c r="K878" t="n">
        <v>0</v>
      </c>
      <c r="L878" t="n">
        <v>0</v>
      </c>
      <c r="M878" t="n">
        <v>0</v>
      </c>
      <c r="N878" t="n">
        <v>0</v>
      </c>
      <c r="O878" t="n">
        <v>0</v>
      </c>
      <c r="P878" t="n">
        <v>0</v>
      </c>
      <c r="Q878" t="n">
        <v>0</v>
      </c>
      <c r="R878" s="2" t="inlineStr"/>
    </row>
    <row r="879" ht="15" customHeight="1">
      <c r="A879" t="inlineStr">
        <is>
          <t>A 57831-2024</t>
        </is>
      </c>
      <c r="B879" s="1" t="n">
        <v>45631</v>
      </c>
      <c r="C879" s="1" t="n">
        <v>45831</v>
      </c>
      <c r="D879" t="inlineStr">
        <is>
          <t>UPPSALA LÄN</t>
        </is>
      </c>
      <c r="E879" t="inlineStr">
        <is>
          <t>ENKÖPING</t>
        </is>
      </c>
      <c r="G879" t="n">
        <v>7.2</v>
      </c>
      <c r="H879" t="n">
        <v>0</v>
      </c>
      <c r="I879" t="n">
        <v>0</v>
      </c>
      <c r="J879" t="n">
        <v>0</v>
      </c>
      <c r="K879" t="n">
        <v>0</v>
      </c>
      <c r="L879" t="n">
        <v>0</v>
      </c>
      <c r="M879" t="n">
        <v>0</v>
      </c>
      <c r="N879" t="n">
        <v>0</v>
      </c>
      <c r="O879" t="n">
        <v>0</v>
      </c>
      <c r="P879" t="n">
        <v>0</v>
      </c>
      <c r="Q879" t="n">
        <v>0</v>
      </c>
      <c r="R879" s="2" t="inlineStr"/>
    </row>
    <row r="880" ht="15" customHeight="1">
      <c r="A880" t="inlineStr">
        <is>
          <t>A 57835-2024</t>
        </is>
      </c>
      <c r="B880" s="1" t="n">
        <v>45631</v>
      </c>
      <c r="C880" s="1" t="n">
        <v>45831</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57848-2024</t>
        </is>
      </c>
      <c r="B881" s="1" t="n">
        <v>45631</v>
      </c>
      <c r="C881" s="1" t="n">
        <v>45831</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57937-2024</t>
        </is>
      </c>
      <c r="B882" s="1" t="n">
        <v>45631</v>
      </c>
      <c r="C882" s="1" t="n">
        <v>45831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57841-2024</t>
        </is>
      </c>
      <c r="B883" s="1" t="n">
        <v>45631</v>
      </c>
      <c r="C883" s="1" t="n">
        <v>45831</v>
      </c>
      <c r="D883" t="inlineStr">
        <is>
          <t>UPPSALA LÄN</t>
        </is>
      </c>
      <c r="E883" t="inlineStr">
        <is>
          <t>ENKÖPING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57998-2024</t>
        </is>
      </c>
      <c r="B884" s="1" t="n">
        <v>45631</v>
      </c>
      <c r="C884" s="1" t="n">
        <v>45831</v>
      </c>
      <c r="D884" t="inlineStr">
        <is>
          <t>UPPSALA LÄN</t>
        </is>
      </c>
      <c r="E884" t="inlineStr">
        <is>
          <t>ENKÖPING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58092-2024</t>
        </is>
      </c>
      <c r="B885" s="1" t="n">
        <v>45632</v>
      </c>
      <c r="C885" s="1" t="n">
        <v>45831</v>
      </c>
      <c r="D885" t="inlineStr">
        <is>
          <t>UPPSALA LÄN</t>
        </is>
      </c>
      <c r="E885" t="inlineStr">
        <is>
          <t>ENKÖPING</t>
        </is>
      </c>
      <c r="G885" t="n">
        <v>4.8</v>
      </c>
      <c r="H885" t="n">
        <v>0</v>
      </c>
      <c r="I885" t="n">
        <v>0</v>
      </c>
      <c r="J885" t="n">
        <v>0</v>
      </c>
      <c r="K885" t="n">
        <v>0</v>
      </c>
      <c r="L885" t="n">
        <v>0</v>
      </c>
      <c r="M885" t="n">
        <v>0</v>
      </c>
      <c r="N885" t="n">
        <v>0</v>
      </c>
      <c r="O885" t="n">
        <v>0</v>
      </c>
      <c r="P885" t="n">
        <v>0</v>
      </c>
      <c r="Q885" t="n">
        <v>0</v>
      </c>
      <c r="R885" s="2" t="inlineStr"/>
    </row>
    <row r="886" ht="15" customHeight="1">
      <c r="A886" t="inlineStr">
        <is>
          <t>A 58147-2024</t>
        </is>
      </c>
      <c r="B886" s="1" t="n">
        <v>45632</v>
      </c>
      <c r="C886" s="1" t="n">
        <v>45831</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58961-2024</t>
        </is>
      </c>
      <c r="B887" s="1" t="n">
        <v>45636</v>
      </c>
      <c r="C887" s="1" t="n">
        <v>45831</v>
      </c>
      <c r="D887" t="inlineStr">
        <is>
          <t>UPPSALA LÄN</t>
        </is>
      </c>
      <c r="E887" t="inlineStr">
        <is>
          <t>ENKÖPING</t>
        </is>
      </c>
      <c r="G887" t="n">
        <v>4</v>
      </c>
      <c r="H887" t="n">
        <v>0</v>
      </c>
      <c r="I887" t="n">
        <v>0</v>
      </c>
      <c r="J887" t="n">
        <v>0</v>
      </c>
      <c r="K887" t="n">
        <v>0</v>
      </c>
      <c r="L887" t="n">
        <v>0</v>
      </c>
      <c r="M887" t="n">
        <v>0</v>
      </c>
      <c r="N887" t="n">
        <v>0</v>
      </c>
      <c r="O887" t="n">
        <v>0</v>
      </c>
      <c r="P887" t="n">
        <v>0</v>
      </c>
      <c r="Q887" t="n">
        <v>0</v>
      </c>
      <c r="R887" s="2" t="inlineStr"/>
    </row>
    <row r="888" ht="15" customHeight="1">
      <c r="A888" t="inlineStr">
        <is>
          <t>A 59027-2024</t>
        </is>
      </c>
      <c r="B888" s="1" t="n">
        <v>45636</v>
      </c>
      <c r="C888" s="1" t="n">
        <v>45831</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59570-2024</t>
        </is>
      </c>
      <c r="B889" s="1" t="n">
        <v>45638</v>
      </c>
      <c r="C889" s="1" t="n">
        <v>45831</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59602-2024</t>
        </is>
      </c>
      <c r="B890" s="1" t="n">
        <v>45638</v>
      </c>
      <c r="C890" s="1" t="n">
        <v>45831</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60125-2024</t>
        </is>
      </c>
      <c r="B891" s="1" t="n">
        <v>45642</v>
      </c>
      <c r="C891" s="1" t="n">
        <v>45831</v>
      </c>
      <c r="D891" t="inlineStr">
        <is>
          <t>UPPSALA LÄN</t>
        </is>
      </c>
      <c r="E891" t="inlineStr">
        <is>
          <t>ENKÖPING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60538-2024</t>
        </is>
      </c>
      <c r="B892" s="1" t="n">
        <v>45643</v>
      </c>
      <c r="C892" s="1" t="n">
        <v>45831</v>
      </c>
      <c r="D892" t="inlineStr">
        <is>
          <t>UPPSALA LÄN</t>
        </is>
      </c>
      <c r="E892" t="inlineStr">
        <is>
          <t>ENKÖPING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60519-2024</t>
        </is>
      </c>
      <c r="B893" s="1" t="n">
        <v>45643</v>
      </c>
      <c r="C893" s="1" t="n">
        <v>45831</v>
      </c>
      <c r="D893" t="inlineStr">
        <is>
          <t>UPPSALA LÄN</t>
        </is>
      </c>
      <c r="E893" t="inlineStr">
        <is>
          <t>ENKÖPING</t>
        </is>
      </c>
      <c r="G893" t="n">
        <v>3.7</v>
      </c>
      <c r="H893" t="n">
        <v>0</v>
      </c>
      <c r="I893" t="n">
        <v>0</v>
      </c>
      <c r="J893" t="n">
        <v>0</v>
      </c>
      <c r="K893" t="n">
        <v>0</v>
      </c>
      <c r="L893" t="n">
        <v>0</v>
      </c>
      <c r="M893" t="n">
        <v>0</v>
      </c>
      <c r="N893" t="n">
        <v>0</v>
      </c>
      <c r="O893" t="n">
        <v>0</v>
      </c>
      <c r="P893" t="n">
        <v>0</v>
      </c>
      <c r="Q893" t="n">
        <v>0</v>
      </c>
      <c r="R893" s="2" t="inlineStr"/>
    </row>
    <row r="894" ht="15" customHeight="1">
      <c r="A894" t="inlineStr">
        <is>
          <t>A 60539-2024</t>
        </is>
      </c>
      <c r="B894" s="1" t="n">
        <v>45643</v>
      </c>
      <c r="C894" s="1" t="n">
        <v>45831</v>
      </c>
      <c r="D894" t="inlineStr">
        <is>
          <t>UPPSALA LÄN</t>
        </is>
      </c>
      <c r="E894" t="inlineStr">
        <is>
          <t>ENKÖPING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192-2025</t>
        </is>
      </c>
      <c r="B895" s="1" t="n">
        <v>45649</v>
      </c>
      <c r="C895" s="1" t="n">
        <v>45831</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314-2025</t>
        </is>
      </c>
      <c r="B896" s="1" t="n">
        <v>45656</v>
      </c>
      <c r="C896" s="1" t="n">
        <v>45831</v>
      </c>
      <c r="D896" t="inlineStr">
        <is>
          <t>UPPSALA LÄN</t>
        </is>
      </c>
      <c r="E896" t="inlineStr">
        <is>
          <t>ENKÖPING</t>
        </is>
      </c>
      <c r="G896" t="n">
        <v>9</v>
      </c>
      <c r="H896" t="n">
        <v>0</v>
      </c>
      <c r="I896" t="n">
        <v>0</v>
      </c>
      <c r="J896" t="n">
        <v>0</v>
      </c>
      <c r="K896" t="n">
        <v>0</v>
      </c>
      <c r="L896" t="n">
        <v>0</v>
      </c>
      <c r="M896" t="n">
        <v>0</v>
      </c>
      <c r="N896" t="n">
        <v>0</v>
      </c>
      <c r="O896" t="n">
        <v>0</v>
      </c>
      <c r="P896" t="n">
        <v>0</v>
      </c>
      <c r="Q896" t="n">
        <v>0</v>
      </c>
      <c r="R896" s="2" t="inlineStr"/>
    </row>
    <row r="897" ht="15" customHeight="1">
      <c r="A897" t="inlineStr">
        <is>
          <t>A 819-2025</t>
        </is>
      </c>
      <c r="B897" s="1" t="n">
        <v>45665</v>
      </c>
      <c r="C897" s="1" t="n">
        <v>45831</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845-2025</t>
        </is>
      </c>
      <c r="B898" s="1" t="n">
        <v>45665</v>
      </c>
      <c r="C898" s="1" t="n">
        <v>45831</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849-2025</t>
        </is>
      </c>
      <c r="B899" s="1" t="n">
        <v>45665</v>
      </c>
      <c r="C899" s="1" t="n">
        <v>45831</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840-2025</t>
        </is>
      </c>
      <c r="B900" s="1" t="n">
        <v>45665</v>
      </c>
      <c r="C900" s="1" t="n">
        <v>45831</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1695-2025</t>
        </is>
      </c>
      <c r="B901" s="1" t="n">
        <v>45670</v>
      </c>
      <c r="C901" s="1" t="n">
        <v>45831</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1656-2025</t>
        </is>
      </c>
      <c r="B902" s="1" t="n">
        <v>45670</v>
      </c>
      <c r="C902" s="1" t="n">
        <v>45831</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2850-2025</t>
        </is>
      </c>
      <c r="B903" s="1" t="n">
        <v>45677</v>
      </c>
      <c r="C903" s="1" t="n">
        <v>45831</v>
      </c>
      <c r="D903" t="inlineStr">
        <is>
          <t>UPPSALA LÄN</t>
        </is>
      </c>
      <c r="E903" t="inlineStr">
        <is>
          <t>ENKÖPING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2833-2025</t>
        </is>
      </c>
      <c r="B904" s="1" t="n">
        <v>45677</v>
      </c>
      <c r="C904" s="1" t="n">
        <v>45831</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2974-2025</t>
        </is>
      </c>
      <c r="B905" s="1" t="n">
        <v>45678</v>
      </c>
      <c r="C905" s="1" t="n">
        <v>45831</v>
      </c>
      <c r="D905" t="inlineStr">
        <is>
          <t>UPPSALA LÄN</t>
        </is>
      </c>
      <c r="E905" t="inlineStr">
        <is>
          <t>ENKÖPING</t>
        </is>
      </c>
      <c r="G905" t="n">
        <v>1.6</v>
      </c>
      <c r="H905" t="n">
        <v>0</v>
      </c>
      <c r="I905" t="n">
        <v>0</v>
      </c>
      <c r="J905" t="n">
        <v>0</v>
      </c>
      <c r="K905" t="n">
        <v>0</v>
      </c>
      <c r="L905" t="n">
        <v>0</v>
      </c>
      <c r="M905" t="n">
        <v>0</v>
      </c>
      <c r="N905" t="n">
        <v>0</v>
      </c>
      <c r="O905" t="n">
        <v>0</v>
      </c>
      <c r="P905" t="n">
        <v>0</v>
      </c>
      <c r="Q905" t="n">
        <v>0</v>
      </c>
      <c r="R905" s="2" t="inlineStr"/>
    </row>
    <row r="906" ht="15" customHeight="1">
      <c r="A906" t="inlineStr">
        <is>
          <t>A 2968-2025</t>
        </is>
      </c>
      <c r="B906" s="1" t="n">
        <v>45678</v>
      </c>
      <c r="C906" s="1" t="n">
        <v>45831</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3301-2025</t>
        </is>
      </c>
      <c r="B907" s="1" t="n">
        <v>45679</v>
      </c>
      <c r="C907" s="1" t="n">
        <v>45831</v>
      </c>
      <c r="D907" t="inlineStr">
        <is>
          <t>UPPSALA LÄN</t>
        </is>
      </c>
      <c r="E907" t="inlineStr">
        <is>
          <t>ENKÖPING</t>
        </is>
      </c>
      <c r="G907" t="n">
        <v>20.9</v>
      </c>
      <c r="H907" t="n">
        <v>0</v>
      </c>
      <c r="I907" t="n">
        <v>0</v>
      </c>
      <c r="J907" t="n">
        <v>0</v>
      </c>
      <c r="K907" t="n">
        <v>0</v>
      </c>
      <c r="L907" t="n">
        <v>0</v>
      </c>
      <c r="M907" t="n">
        <v>0</v>
      </c>
      <c r="N907" t="n">
        <v>0</v>
      </c>
      <c r="O907" t="n">
        <v>0</v>
      </c>
      <c r="P907" t="n">
        <v>0</v>
      </c>
      <c r="Q907" t="n">
        <v>0</v>
      </c>
      <c r="R907" s="2" t="inlineStr"/>
    </row>
    <row r="908" ht="15" customHeight="1">
      <c r="A908" t="inlineStr">
        <is>
          <t>A 3235-2025</t>
        </is>
      </c>
      <c r="B908" s="1" t="n">
        <v>45679</v>
      </c>
      <c r="C908" s="1" t="n">
        <v>45831</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3197-2025</t>
        </is>
      </c>
      <c r="B909" s="1" t="n">
        <v>45679</v>
      </c>
      <c r="C909" s="1" t="n">
        <v>45831</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3300-2025</t>
        </is>
      </c>
      <c r="B910" s="1" t="n">
        <v>45679</v>
      </c>
      <c r="C910" s="1" t="n">
        <v>45831</v>
      </c>
      <c r="D910" t="inlineStr">
        <is>
          <t>UPPSALA LÄN</t>
        </is>
      </c>
      <c r="E910" t="inlineStr">
        <is>
          <t>ENKÖPING</t>
        </is>
      </c>
      <c r="G910" t="n">
        <v>8.9</v>
      </c>
      <c r="H910" t="n">
        <v>0</v>
      </c>
      <c r="I910" t="n">
        <v>0</v>
      </c>
      <c r="J910" t="n">
        <v>0</v>
      </c>
      <c r="K910" t="n">
        <v>0</v>
      </c>
      <c r="L910" t="n">
        <v>0</v>
      </c>
      <c r="M910" t="n">
        <v>0</v>
      </c>
      <c r="N910" t="n">
        <v>0</v>
      </c>
      <c r="O910" t="n">
        <v>0</v>
      </c>
      <c r="P910" t="n">
        <v>0</v>
      </c>
      <c r="Q910" t="n">
        <v>0</v>
      </c>
      <c r="R910" s="2" t="inlineStr"/>
    </row>
    <row r="911" ht="15" customHeight="1">
      <c r="A911" t="inlineStr">
        <is>
          <t>A 3499-2025</t>
        </is>
      </c>
      <c r="B911" s="1" t="n">
        <v>45680</v>
      </c>
      <c r="C911" s="1" t="n">
        <v>45831</v>
      </c>
      <c r="D911" t="inlineStr">
        <is>
          <t>UPPSALA LÄN</t>
        </is>
      </c>
      <c r="E911" t="inlineStr">
        <is>
          <t>ENKÖPING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3400-2025</t>
        </is>
      </c>
      <c r="B912" s="1" t="n">
        <v>45680</v>
      </c>
      <c r="C912" s="1" t="n">
        <v>45831</v>
      </c>
      <c r="D912" t="inlineStr">
        <is>
          <t>UPPSALA LÄN</t>
        </is>
      </c>
      <c r="E912" t="inlineStr">
        <is>
          <t>ENKÖPING</t>
        </is>
      </c>
      <c r="G912" t="n">
        <v>5.3</v>
      </c>
      <c r="H912" t="n">
        <v>0</v>
      </c>
      <c r="I912" t="n">
        <v>0</v>
      </c>
      <c r="J912" t="n">
        <v>0</v>
      </c>
      <c r="K912" t="n">
        <v>0</v>
      </c>
      <c r="L912" t="n">
        <v>0</v>
      </c>
      <c r="M912" t="n">
        <v>0</v>
      </c>
      <c r="N912" t="n">
        <v>0</v>
      </c>
      <c r="O912" t="n">
        <v>0</v>
      </c>
      <c r="P912" t="n">
        <v>0</v>
      </c>
      <c r="Q912" t="n">
        <v>0</v>
      </c>
      <c r="R912" s="2" t="inlineStr"/>
    </row>
    <row r="913" ht="15" customHeight="1">
      <c r="A913" t="inlineStr">
        <is>
          <t>A 4562-2025</t>
        </is>
      </c>
      <c r="B913" s="1" t="n">
        <v>45687</v>
      </c>
      <c r="C913" s="1" t="n">
        <v>45831</v>
      </c>
      <c r="D913" t="inlineStr">
        <is>
          <t>UPPSALA LÄN</t>
        </is>
      </c>
      <c r="E913" t="inlineStr">
        <is>
          <t>ENKÖPING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5013-2025</t>
        </is>
      </c>
      <c r="B914" s="1" t="n">
        <v>45691</v>
      </c>
      <c r="C914" s="1" t="n">
        <v>45831</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5712-2025</t>
        </is>
      </c>
      <c r="B915" s="1" t="n">
        <v>45694</v>
      </c>
      <c r="C915" s="1" t="n">
        <v>45831</v>
      </c>
      <c r="D915" t="inlineStr">
        <is>
          <t>UPPSALA LÄN</t>
        </is>
      </c>
      <c r="E915" t="inlineStr">
        <is>
          <t>ENKÖPING</t>
        </is>
      </c>
      <c r="G915" t="n">
        <v>5.1</v>
      </c>
      <c r="H915" t="n">
        <v>0</v>
      </c>
      <c r="I915" t="n">
        <v>0</v>
      </c>
      <c r="J915" t="n">
        <v>0</v>
      </c>
      <c r="K915" t="n">
        <v>0</v>
      </c>
      <c r="L915" t="n">
        <v>0</v>
      </c>
      <c r="M915" t="n">
        <v>0</v>
      </c>
      <c r="N915" t="n">
        <v>0</v>
      </c>
      <c r="O915" t="n">
        <v>0</v>
      </c>
      <c r="P915" t="n">
        <v>0</v>
      </c>
      <c r="Q915" t="n">
        <v>0</v>
      </c>
      <c r="R915" s="2" t="inlineStr"/>
    </row>
    <row r="916" ht="15" customHeight="1">
      <c r="A916" t="inlineStr">
        <is>
          <t>A 5749-2025</t>
        </is>
      </c>
      <c r="B916" s="1" t="n">
        <v>45694</v>
      </c>
      <c r="C916" s="1" t="n">
        <v>45831</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5699-2025</t>
        </is>
      </c>
      <c r="B917" s="1" t="n">
        <v>45694</v>
      </c>
      <c r="C917" s="1" t="n">
        <v>45831</v>
      </c>
      <c r="D917" t="inlineStr">
        <is>
          <t>UPPSALA LÄN</t>
        </is>
      </c>
      <c r="E917" t="inlineStr">
        <is>
          <t>ENKÖPING</t>
        </is>
      </c>
      <c r="G917" t="n">
        <v>1.9</v>
      </c>
      <c r="H917" t="n">
        <v>0</v>
      </c>
      <c r="I917" t="n">
        <v>0</v>
      </c>
      <c r="J917" t="n">
        <v>0</v>
      </c>
      <c r="K917" t="n">
        <v>0</v>
      </c>
      <c r="L917" t="n">
        <v>0</v>
      </c>
      <c r="M917" t="n">
        <v>0</v>
      </c>
      <c r="N917" t="n">
        <v>0</v>
      </c>
      <c r="O917" t="n">
        <v>0</v>
      </c>
      <c r="P917" t="n">
        <v>0</v>
      </c>
      <c r="Q917" t="n">
        <v>0</v>
      </c>
      <c r="R917" s="2" t="inlineStr"/>
    </row>
    <row r="918" ht="15" customHeight="1">
      <c r="A918" t="inlineStr">
        <is>
          <t>A 6242-2025</t>
        </is>
      </c>
      <c r="B918" s="1" t="n">
        <v>45697</v>
      </c>
      <c r="C918" s="1" t="n">
        <v>45831</v>
      </c>
      <c r="D918" t="inlineStr">
        <is>
          <t>UPPSALA LÄN</t>
        </is>
      </c>
      <c r="E918" t="inlineStr">
        <is>
          <t>ENKÖPING</t>
        </is>
      </c>
      <c r="G918" t="n">
        <v>17.9</v>
      </c>
      <c r="H918" t="n">
        <v>0</v>
      </c>
      <c r="I918" t="n">
        <v>0</v>
      </c>
      <c r="J918" t="n">
        <v>0</v>
      </c>
      <c r="K918" t="n">
        <v>0</v>
      </c>
      <c r="L918" t="n">
        <v>0</v>
      </c>
      <c r="M918" t="n">
        <v>0</v>
      </c>
      <c r="N918" t="n">
        <v>0</v>
      </c>
      <c r="O918" t="n">
        <v>0</v>
      </c>
      <c r="P918" t="n">
        <v>0</v>
      </c>
      <c r="Q918" t="n">
        <v>0</v>
      </c>
      <c r="R918" s="2" t="inlineStr"/>
    </row>
    <row r="919" ht="15" customHeight="1">
      <c r="A919" t="inlineStr">
        <is>
          <t>A 6959-2025</t>
        </is>
      </c>
      <c r="B919" s="1" t="n">
        <v>45701</v>
      </c>
      <c r="C919" s="1" t="n">
        <v>45831</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6981-2025</t>
        </is>
      </c>
      <c r="B920" s="1" t="n">
        <v>45701</v>
      </c>
      <c r="C920" s="1" t="n">
        <v>45831</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8137-2025</t>
        </is>
      </c>
      <c r="B921" s="1" t="n">
        <v>45707</v>
      </c>
      <c r="C921" s="1" t="n">
        <v>45831</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8136-2025</t>
        </is>
      </c>
      <c r="B922" s="1" t="n">
        <v>45707</v>
      </c>
      <c r="C922" s="1" t="n">
        <v>45831</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8537-2025</t>
        </is>
      </c>
      <c r="B923" s="1" t="n">
        <v>45709</v>
      </c>
      <c r="C923" s="1" t="n">
        <v>45831</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9487-2025</t>
        </is>
      </c>
      <c r="B924" s="1" t="n">
        <v>45715</v>
      </c>
      <c r="C924" s="1" t="n">
        <v>45831</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9493-2025</t>
        </is>
      </c>
      <c r="B925" s="1" t="n">
        <v>45715</v>
      </c>
      <c r="C925" s="1" t="n">
        <v>45831</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9490-2025</t>
        </is>
      </c>
      <c r="B926" s="1" t="n">
        <v>45715</v>
      </c>
      <c r="C926" s="1" t="n">
        <v>45831</v>
      </c>
      <c r="D926" t="inlineStr">
        <is>
          <t>UPPSALA LÄN</t>
        </is>
      </c>
      <c r="E926" t="inlineStr">
        <is>
          <t>ENKÖPING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9660-2025</t>
        </is>
      </c>
      <c r="B927" s="1" t="n">
        <v>45716</v>
      </c>
      <c r="C927" s="1" t="n">
        <v>45831</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9656-2025</t>
        </is>
      </c>
      <c r="B928" s="1" t="n">
        <v>45716</v>
      </c>
      <c r="C928" s="1" t="n">
        <v>45831</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9662-2025</t>
        </is>
      </c>
      <c r="B929" s="1" t="n">
        <v>45716</v>
      </c>
      <c r="C929" s="1" t="n">
        <v>45831</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9658-2025</t>
        </is>
      </c>
      <c r="B930" s="1" t="n">
        <v>45716</v>
      </c>
      <c r="C930" s="1" t="n">
        <v>45831</v>
      </c>
      <c r="D930" t="inlineStr">
        <is>
          <t>UPPSALA LÄN</t>
        </is>
      </c>
      <c r="E930" t="inlineStr">
        <is>
          <t>ENKÖPING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10212-2025</t>
        </is>
      </c>
      <c r="B931" s="1" t="n">
        <v>45719</v>
      </c>
      <c r="C931" s="1" t="n">
        <v>45831</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45831</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10409-2025</t>
        </is>
      </c>
      <c r="B933" s="1" t="n">
        <v>45720</v>
      </c>
      <c r="C933" s="1" t="n">
        <v>45831</v>
      </c>
      <c r="D933" t="inlineStr">
        <is>
          <t>UPPSALA LÄN</t>
        </is>
      </c>
      <c r="E933" t="inlineStr">
        <is>
          <t>ENKÖPING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10670-2025</t>
        </is>
      </c>
      <c r="B934" s="1" t="n">
        <v>45721</v>
      </c>
      <c r="C934" s="1" t="n">
        <v>45831</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11380-2025</t>
        </is>
      </c>
      <c r="B935" s="1" t="n">
        <v>45726</v>
      </c>
      <c r="C935" s="1" t="n">
        <v>45831</v>
      </c>
      <c r="D935" t="inlineStr">
        <is>
          <t>UPPSALA LÄN</t>
        </is>
      </c>
      <c r="E935" t="inlineStr">
        <is>
          <t>ENKÖPING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11604-2025</t>
        </is>
      </c>
      <c r="B936" s="1" t="n">
        <v>45727</v>
      </c>
      <c r="C936" s="1" t="n">
        <v>45831</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11627-2025</t>
        </is>
      </c>
      <c r="B937" s="1" t="n">
        <v>45727</v>
      </c>
      <c r="C937" s="1" t="n">
        <v>45831</v>
      </c>
      <c r="D937" t="inlineStr">
        <is>
          <t>UPPSALA LÄN</t>
        </is>
      </c>
      <c r="E937" t="inlineStr">
        <is>
          <t>ENKÖPING</t>
        </is>
      </c>
      <c r="G937" t="n">
        <v>5.5</v>
      </c>
      <c r="H937" t="n">
        <v>0</v>
      </c>
      <c r="I937" t="n">
        <v>0</v>
      </c>
      <c r="J937" t="n">
        <v>0</v>
      </c>
      <c r="K937" t="n">
        <v>0</v>
      </c>
      <c r="L937" t="n">
        <v>0</v>
      </c>
      <c r="M937" t="n">
        <v>0</v>
      </c>
      <c r="N937" t="n">
        <v>0</v>
      </c>
      <c r="O937" t="n">
        <v>0</v>
      </c>
      <c r="P937" t="n">
        <v>0</v>
      </c>
      <c r="Q937" t="n">
        <v>0</v>
      </c>
      <c r="R937" s="2" t="inlineStr"/>
    </row>
    <row r="938" ht="15" customHeight="1">
      <c r="A938" t="inlineStr">
        <is>
          <t>A 11918-2025</t>
        </is>
      </c>
      <c r="B938" s="1" t="n">
        <v>45728</v>
      </c>
      <c r="C938" s="1" t="n">
        <v>45831</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12755-2025</t>
        </is>
      </c>
      <c r="B939" s="1" t="n">
        <v>45733</v>
      </c>
      <c r="C939" s="1" t="n">
        <v>45831</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12754-2025</t>
        </is>
      </c>
      <c r="B940" s="1" t="n">
        <v>45733</v>
      </c>
      <c r="C940" s="1" t="n">
        <v>45831</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12878-2025</t>
        </is>
      </c>
      <c r="B941" s="1" t="n">
        <v>45733</v>
      </c>
      <c r="C941" s="1" t="n">
        <v>45831</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v>
      </c>
      <c r="C942" s="1" t="n">
        <v>45831</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14083-2025</t>
        </is>
      </c>
      <c r="B943" s="1" t="n">
        <v>45740</v>
      </c>
      <c r="C943" s="1" t="n">
        <v>45831</v>
      </c>
      <c r="D943" t="inlineStr">
        <is>
          <t>UPPSALA LÄN</t>
        </is>
      </c>
      <c r="E943" t="inlineStr">
        <is>
          <t>ENKÖPING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14104-2025</t>
        </is>
      </c>
      <c r="B944" s="1" t="n">
        <v>45740</v>
      </c>
      <c r="C944" s="1" t="n">
        <v>45831</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14517-2025</t>
        </is>
      </c>
      <c r="B945" s="1" t="n">
        <v>45741</v>
      </c>
      <c r="C945" s="1" t="n">
        <v>45831</v>
      </c>
      <c r="D945" t="inlineStr">
        <is>
          <t>UPPSALA LÄN</t>
        </is>
      </c>
      <c r="E945" t="inlineStr">
        <is>
          <t>ENKÖPING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14518-2025</t>
        </is>
      </c>
      <c r="B946" s="1" t="n">
        <v>45741</v>
      </c>
      <c r="C946" s="1" t="n">
        <v>45831</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14519-2025</t>
        </is>
      </c>
      <c r="B947" s="1" t="n">
        <v>45741</v>
      </c>
      <c r="C947" s="1" t="n">
        <v>45831</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15162-2025</t>
        </is>
      </c>
      <c r="B948" s="1" t="n">
        <v>45744</v>
      </c>
      <c r="C948" s="1" t="n">
        <v>45831</v>
      </c>
      <c r="D948" t="inlineStr">
        <is>
          <t>UPPSALA LÄN</t>
        </is>
      </c>
      <c r="E948" t="inlineStr">
        <is>
          <t>ENKÖPING</t>
        </is>
      </c>
      <c r="G948" t="n">
        <v>4.2</v>
      </c>
      <c r="H948" t="n">
        <v>0</v>
      </c>
      <c r="I948" t="n">
        <v>0</v>
      </c>
      <c r="J948" t="n">
        <v>0</v>
      </c>
      <c r="K948" t="n">
        <v>0</v>
      </c>
      <c r="L948" t="n">
        <v>0</v>
      </c>
      <c r="M948" t="n">
        <v>0</v>
      </c>
      <c r="N948" t="n">
        <v>0</v>
      </c>
      <c r="O948" t="n">
        <v>0</v>
      </c>
      <c r="P948" t="n">
        <v>0</v>
      </c>
      <c r="Q948" t="n">
        <v>0</v>
      </c>
      <c r="R948" s="2" t="inlineStr"/>
    </row>
    <row r="949" ht="15" customHeight="1">
      <c r="A949" t="inlineStr">
        <is>
          <t>A 15409-2025</t>
        </is>
      </c>
      <c r="B949" s="1" t="n">
        <v>45747</v>
      </c>
      <c r="C949" s="1" t="n">
        <v>45831</v>
      </c>
      <c r="D949" t="inlineStr">
        <is>
          <t>UPPSALA LÄN</t>
        </is>
      </c>
      <c r="E949" t="inlineStr">
        <is>
          <t>ENKÖPING</t>
        </is>
      </c>
      <c r="G949" t="n">
        <v>2.5</v>
      </c>
      <c r="H949" t="n">
        <v>0</v>
      </c>
      <c r="I949" t="n">
        <v>0</v>
      </c>
      <c r="J949" t="n">
        <v>0</v>
      </c>
      <c r="K949" t="n">
        <v>0</v>
      </c>
      <c r="L949" t="n">
        <v>0</v>
      </c>
      <c r="M949" t="n">
        <v>0</v>
      </c>
      <c r="N949" t="n">
        <v>0</v>
      </c>
      <c r="O949" t="n">
        <v>0</v>
      </c>
      <c r="P949" t="n">
        <v>0</v>
      </c>
      <c r="Q949" t="n">
        <v>0</v>
      </c>
      <c r="R949" s="2" t="inlineStr"/>
    </row>
    <row r="950" ht="15" customHeight="1">
      <c r="A950" t="inlineStr">
        <is>
          <t>A 15405-2025</t>
        </is>
      </c>
      <c r="B950" s="1" t="n">
        <v>45747</v>
      </c>
      <c r="C950" s="1" t="n">
        <v>45831</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15764-2025</t>
        </is>
      </c>
      <c r="B951" s="1" t="n">
        <v>45748</v>
      </c>
      <c r="C951" s="1" t="n">
        <v>45831</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15711-2025</t>
        </is>
      </c>
      <c r="B952" s="1" t="n">
        <v>45748</v>
      </c>
      <c r="C952" s="1" t="n">
        <v>45831</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15740-2025</t>
        </is>
      </c>
      <c r="B953" s="1" t="n">
        <v>45748</v>
      </c>
      <c r="C953" s="1" t="n">
        <v>45831</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16176-2025</t>
        </is>
      </c>
      <c r="B954" s="1" t="n">
        <v>45750</v>
      </c>
      <c r="C954" s="1" t="n">
        <v>45831</v>
      </c>
      <c r="D954" t="inlineStr">
        <is>
          <t>UPPSALA LÄN</t>
        </is>
      </c>
      <c r="E954" t="inlineStr">
        <is>
          <t>ENKÖPING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16521-2025</t>
        </is>
      </c>
      <c r="B955" s="1" t="n">
        <v>45751</v>
      </c>
      <c r="C955" s="1" t="n">
        <v>45831</v>
      </c>
      <c r="D955" t="inlineStr">
        <is>
          <t>UPPSALA LÄN</t>
        </is>
      </c>
      <c r="E955" t="inlineStr">
        <is>
          <t>ENKÖPING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17029-2025</t>
        </is>
      </c>
      <c r="B956" s="1" t="n">
        <v>45755</v>
      </c>
      <c r="C956" s="1" t="n">
        <v>45831</v>
      </c>
      <c r="D956" t="inlineStr">
        <is>
          <t>UPPSALA LÄN</t>
        </is>
      </c>
      <c r="E956" t="inlineStr">
        <is>
          <t>ENKÖPING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17038-2025</t>
        </is>
      </c>
      <c r="B957" s="1" t="n">
        <v>45755</v>
      </c>
      <c r="C957" s="1" t="n">
        <v>45831</v>
      </c>
      <c r="D957" t="inlineStr">
        <is>
          <t>UPPSALA LÄN</t>
        </is>
      </c>
      <c r="E957" t="inlineStr">
        <is>
          <t>ENKÖPING</t>
        </is>
      </c>
      <c r="G957" t="n">
        <v>4.8</v>
      </c>
      <c r="H957" t="n">
        <v>0</v>
      </c>
      <c r="I957" t="n">
        <v>0</v>
      </c>
      <c r="J957" t="n">
        <v>0</v>
      </c>
      <c r="K957" t="n">
        <v>0</v>
      </c>
      <c r="L957" t="n">
        <v>0</v>
      </c>
      <c r="M957" t="n">
        <v>0</v>
      </c>
      <c r="N957" t="n">
        <v>0</v>
      </c>
      <c r="O957" t="n">
        <v>0</v>
      </c>
      <c r="P957" t="n">
        <v>0</v>
      </c>
      <c r="Q957" t="n">
        <v>0</v>
      </c>
      <c r="R957" s="2" t="inlineStr"/>
    </row>
    <row r="958" ht="15" customHeight="1">
      <c r="A958" t="inlineStr">
        <is>
          <t>A 17165-2025</t>
        </is>
      </c>
      <c r="B958" s="1" t="n">
        <v>45756</v>
      </c>
      <c r="C958" s="1" t="n">
        <v>45831</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17844-2025</t>
        </is>
      </c>
      <c r="B959" s="1" t="n">
        <v>45758</v>
      </c>
      <c r="C959" s="1" t="n">
        <v>45831</v>
      </c>
      <c r="D959" t="inlineStr">
        <is>
          <t>UPPSALA LÄN</t>
        </is>
      </c>
      <c r="E959" t="inlineStr">
        <is>
          <t>ENKÖPING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v>
      </c>
      <c r="C960" s="1" t="n">
        <v>45831</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18038-2025</t>
        </is>
      </c>
      <c r="B961" s="1" t="n">
        <v>45761</v>
      </c>
      <c r="C961" s="1" t="n">
        <v>45831</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17979-2025</t>
        </is>
      </c>
      <c r="B962" s="1" t="n">
        <v>45761</v>
      </c>
      <c r="C962" s="1" t="n">
        <v>45831</v>
      </c>
      <c r="D962" t="inlineStr">
        <is>
          <t>UPPSALA LÄN</t>
        </is>
      </c>
      <c r="E962" t="inlineStr">
        <is>
          <t>ENKÖPING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18299-2025</t>
        </is>
      </c>
      <c r="B963" s="1" t="n">
        <v>45762</v>
      </c>
      <c r="C963" s="1" t="n">
        <v>45831</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18259-2025</t>
        </is>
      </c>
      <c r="B964" s="1" t="n">
        <v>45762</v>
      </c>
      <c r="C964" s="1" t="n">
        <v>45831</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18302-2025</t>
        </is>
      </c>
      <c r="B965" s="1" t="n">
        <v>45762</v>
      </c>
      <c r="C965" s="1" t="n">
        <v>45831</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18986-2025</t>
        </is>
      </c>
      <c r="B966" s="1" t="n">
        <v>45764</v>
      </c>
      <c r="C966" s="1" t="n">
        <v>45831</v>
      </c>
      <c r="D966" t="inlineStr">
        <is>
          <t>UPPSALA LÄN</t>
        </is>
      </c>
      <c r="E966" t="inlineStr">
        <is>
          <t>ENKÖPING</t>
        </is>
      </c>
      <c r="G966" t="n">
        <v>6.9</v>
      </c>
      <c r="H966" t="n">
        <v>0</v>
      </c>
      <c r="I966" t="n">
        <v>0</v>
      </c>
      <c r="J966" t="n">
        <v>0</v>
      </c>
      <c r="K966" t="n">
        <v>0</v>
      </c>
      <c r="L966" t="n">
        <v>0</v>
      </c>
      <c r="M966" t="n">
        <v>0</v>
      </c>
      <c r="N966" t="n">
        <v>0</v>
      </c>
      <c r="O966" t="n">
        <v>0</v>
      </c>
      <c r="P966" t="n">
        <v>0</v>
      </c>
      <c r="Q966" t="n">
        <v>0</v>
      </c>
      <c r="R966" s="2" t="inlineStr"/>
    </row>
    <row r="967" ht="15" customHeight="1">
      <c r="A967" t="inlineStr">
        <is>
          <t>A 18994-2025</t>
        </is>
      </c>
      <c r="B967" s="1" t="n">
        <v>45764</v>
      </c>
      <c r="C967" s="1" t="n">
        <v>45831</v>
      </c>
      <c r="D967" t="inlineStr">
        <is>
          <t>UPPSALA LÄN</t>
        </is>
      </c>
      <c r="E967" t="inlineStr">
        <is>
          <t>ENKÖPING</t>
        </is>
      </c>
      <c r="G967" t="n">
        <v>3.8</v>
      </c>
      <c r="H967" t="n">
        <v>0</v>
      </c>
      <c r="I967" t="n">
        <v>0</v>
      </c>
      <c r="J967" t="n">
        <v>0</v>
      </c>
      <c r="K967" t="n">
        <v>0</v>
      </c>
      <c r="L967" t="n">
        <v>0</v>
      </c>
      <c r="M967" t="n">
        <v>0</v>
      </c>
      <c r="N967" t="n">
        <v>0</v>
      </c>
      <c r="O967" t="n">
        <v>0</v>
      </c>
      <c r="P967" t="n">
        <v>0</v>
      </c>
      <c r="Q967" t="n">
        <v>0</v>
      </c>
      <c r="R967" s="2" t="inlineStr"/>
    </row>
    <row r="968" ht="15" customHeight="1">
      <c r="A968" t="inlineStr">
        <is>
          <t>A 19014-2025</t>
        </is>
      </c>
      <c r="B968" s="1" t="n">
        <v>45764</v>
      </c>
      <c r="C968" s="1" t="n">
        <v>45831</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19013-2025</t>
        </is>
      </c>
      <c r="B969" s="1" t="n">
        <v>45764</v>
      </c>
      <c r="C969" s="1" t="n">
        <v>45831</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20440-2025</t>
        </is>
      </c>
      <c r="B970" s="1" t="n">
        <v>45775</v>
      </c>
      <c r="C970" s="1" t="n">
        <v>45831</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21501-2025</t>
        </is>
      </c>
      <c r="B971" s="1" t="n">
        <v>45782</v>
      </c>
      <c r="C971" s="1" t="n">
        <v>45831</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21970-2025</t>
        </is>
      </c>
      <c r="B972" s="1" t="n">
        <v>45784</v>
      </c>
      <c r="C972" s="1" t="n">
        <v>45831</v>
      </c>
      <c r="D972" t="inlineStr">
        <is>
          <t>UPPSALA LÄN</t>
        </is>
      </c>
      <c r="E972" t="inlineStr">
        <is>
          <t>ENKÖPING</t>
        </is>
      </c>
      <c r="G972" t="n">
        <v>5.3</v>
      </c>
      <c r="H972" t="n">
        <v>0</v>
      </c>
      <c r="I972" t="n">
        <v>0</v>
      </c>
      <c r="J972" t="n">
        <v>0</v>
      </c>
      <c r="K972" t="n">
        <v>0</v>
      </c>
      <c r="L972" t="n">
        <v>0</v>
      </c>
      <c r="M972" t="n">
        <v>0</v>
      </c>
      <c r="N972" t="n">
        <v>0</v>
      </c>
      <c r="O972" t="n">
        <v>0</v>
      </c>
      <c r="P972" t="n">
        <v>0</v>
      </c>
      <c r="Q972" t="n">
        <v>0</v>
      </c>
      <c r="R972" s="2" t="inlineStr"/>
    </row>
    <row r="973" ht="15" customHeight="1">
      <c r="A973" t="inlineStr">
        <is>
          <t>A 22156-2025</t>
        </is>
      </c>
      <c r="B973" s="1" t="n">
        <v>45785</v>
      </c>
      <c r="C973" s="1" t="n">
        <v>45831</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22149-2025</t>
        </is>
      </c>
      <c r="B974" s="1" t="n">
        <v>45785</v>
      </c>
      <c r="C974" s="1" t="n">
        <v>45831</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22150-2025</t>
        </is>
      </c>
      <c r="B975" s="1" t="n">
        <v>45785</v>
      </c>
      <c r="C975" s="1" t="n">
        <v>45831</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22729-2025</t>
        </is>
      </c>
      <c r="B976" s="1" t="n">
        <v>45789</v>
      </c>
      <c r="C976" s="1" t="n">
        <v>45831</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45831</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45831</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45831</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45831</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22795-2025</t>
        </is>
      </c>
      <c r="B981" s="1" t="n">
        <v>45789</v>
      </c>
      <c r="C981" s="1" t="n">
        <v>45831</v>
      </c>
      <c r="D981" t="inlineStr">
        <is>
          <t>UPPSALA LÄN</t>
        </is>
      </c>
      <c r="E981" t="inlineStr">
        <is>
          <t>ENKÖPING</t>
        </is>
      </c>
      <c r="G981" t="n">
        <v>10.4</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45831</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45831</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22680-2025</t>
        </is>
      </c>
      <c r="B984" s="1" t="n">
        <v>45789</v>
      </c>
      <c r="C984" s="1" t="n">
        <v>45831</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45831</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22677-2025</t>
        </is>
      </c>
      <c r="B986" s="1" t="n">
        <v>45789</v>
      </c>
      <c r="C986" s="1" t="n">
        <v>45831</v>
      </c>
      <c r="D986" t="inlineStr">
        <is>
          <t>UPPSALA LÄN</t>
        </is>
      </c>
      <c r="E986" t="inlineStr">
        <is>
          <t>ENKÖPING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45831</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22725-2025</t>
        </is>
      </c>
      <c r="B988" s="1" t="n">
        <v>45789</v>
      </c>
      <c r="C988" s="1" t="n">
        <v>45831</v>
      </c>
      <c r="D988" t="inlineStr">
        <is>
          <t>UPPSALA LÄN</t>
        </is>
      </c>
      <c r="E988" t="inlineStr">
        <is>
          <t>ENKÖPING</t>
        </is>
      </c>
      <c r="G988" t="n">
        <v>4.8</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45831</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23020-2025</t>
        </is>
      </c>
      <c r="B990" s="1" t="n">
        <v>45790</v>
      </c>
      <c r="C990" s="1" t="n">
        <v>45831</v>
      </c>
      <c r="D990" t="inlineStr">
        <is>
          <t>UPPSALA LÄN</t>
        </is>
      </c>
      <c r="E990" t="inlineStr">
        <is>
          <t>ENKÖPING</t>
        </is>
      </c>
      <c r="G990" t="n">
        <v>5.2</v>
      </c>
      <c r="H990" t="n">
        <v>0</v>
      </c>
      <c r="I990" t="n">
        <v>0</v>
      </c>
      <c r="J990" t="n">
        <v>0</v>
      </c>
      <c r="K990" t="n">
        <v>0</v>
      </c>
      <c r="L990" t="n">
        <v>0</v>
      </c>
      <c r="M990" t="n">
        <v>0</v>
      </c>
      <c r="N990" t="n">
        <v>0</v>
      </c>
      <c r="O990" t="n">
        <v>0</v>
      </c>
      <c r="P990" t="n">
        <v>0</v>
      </c>
      <c r="Q990" t="n">
        <v>0</v>
      </c>
      <c r="R990" s="2" t="inlineStr"/>
    </row>
    <row r="991" ht="15" customHeight="1">
      <c r="A991" t="inlineStr">
        <is>
          <t>A 26005-2025</t>
        </is>
      </c>
      <c r="B991" s="1" t="n">
        <v>45804</v>
      </c>
      <c r="C991" s="1" t="n">
        <v>45831</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26022-2025</t>
        </is>
      </c>
      <c r="B992" s="1" t="n">
        <v>45804</v>
      </c>
      <c r="C992" s="1" t="n">
        <v>45831</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25847-2025</t>
        </is>
      </c>
      <c r="B993" s="1" t="n">
        <v>45804</v>
      </c>
      <c r="C993" s="1" t="n">
        <v>45831</v>
      </c>
      <c r="D993" t="inlineStr">
        <is>
          <t>UPPSALA LÄN</t>
        </is>
      </c>
      <c r="E993" t="inlineStr">
        <is>
          <t>ENKÖPING</t>
        </is>
      </c>
      <c r="G993" t="n">
        <v>3.6</v>
      </c>
      <c r="H993" t="n">
        <v>0</v>
      </c>
      <c r="I993" t="n">
        <v>0</v>
      </c>
      <c r="J993" t="n">
        <v>0</v>
      </c>
      <c r="K993" t="n">
        <v>0</v>
      </c>
      <c r="L993" t="n">
        <v>0</v>
      </c>
      <c r="M993" t="n">
        <v>0</v>
      </c>
      <c r="N993" t="n">
        <v>0</v>
      </c>
      <c r="O993" t="n">
        <v>0</v>
      </c>
      <c r="P993" t="n">
        <v>0</v>
      </c>
      <c r="Q993" t="n">
        <v>0</v>
      </c>
      <c r="R993" s="2" t="inlineStr"/>
    </row>
    <row r="994" ht="15" customHeight="1">
      <c r="A994" t="inlineStr">
        <is>
          <t>A 25990-2025</t>
        </is>
      </c>
      <c r="B994" s="1" t="n">
        <v>45804</v>
      </c>
      <c r="C994" s="1" t="n">
        <v>45831</v>
      </c>
      <c r="D994" t="inlineStr">
        <is>
          <t>UPPSALA LÄN</t>
        </is>
      </c>
      <c r="E994" t="inlineStr">
        <is>
          <t>ENKÖPING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26011-2025</t>
        </is>
      </c>
      <c r="B995" s="1" t="n">
        <v>45804</v>
      </c>
      <c r="C995" s="1" t="n">
        <v>45831</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26017-2025</t>
        </is>
      </c>
      <c r="B996" s="1" t="n">
        <v>45804</v>
      </c>
      <c r="C996" s="1" t="n">
        <v>45831</v>
      </c>
      <c r="D996" t="inlineStr">
        <is>
          <t>UPPSALA LÄN</t>
        </is>
      </c>
      <c r="E996" t="inlineStr">
        <is>
          <t>ENKÖPING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25988-2025</t>
        </is>
      </c>
      <c r="B997" s="1" t="n">
        <v>45804</v>
      </c>
      <c r="C997" s="1" t="n">
        <v>45831</v>
      </c>
      <c r="D997" t="inlineStr">
        <is>
          <t>UPPSALA LÄN</t>
        </is>
      </c>
      <c r="E997" t="inlineStr">
        <is>
          <t>ENKÖPING</t>
        </is>
      </c>
      <c r="G997" t="n">
        <v>4.7</v>
      </c>
      <c r="H997" t="n">
        <v>0</v>
      </c>
      <c r="I997" t="n">
        <v>0</v>
      </c>
      <c r="J997" t="n">
        <v>0</v>
      </c>
      <c r="K997" t="n">
        <v>0</v>
      </c>
      <c r="L997" t="n">
        <v>0</v>
      </c>
      <c r="M997" t="n">
        <v>0</v>
      </c>
      <c r="N997" t="n">
        <v>0</v>
      </c>
      <c r="O997" t="n">
        <v>0</v>
      </c>
      <c r="P997" t="n">
        <v>0</v>
      </c>
      <c r="Q997" t="n">
        <v>0</v>
      </c>
      <c r="R997" s="2" t="inlineStr"/>
    </row>
    <row r="998" ht="15" customHeight="1">
      <c r="A998" t="inlineStr">
        <is>
          <t>A 26030-2025</t>
        </is>
      </c>
      <c r="B998" s="1" t="n">
        <v>45804</v>
      </c>
      <c r="C998" s="1" t="n">
        <v>45831</v>
      </c>
      <c r="D998" t="inlineStr">
        <is>
          <t>UPPSALA LÄN</t>
        </is>
      </c>
      <c r="E998" t="inlineStr">
        <is>
          <t>ENKÖPING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26031-2025</t>
        </is>
      </c>
      <c r="B999" s="1" t="n">
        <v>45804</v>
      </c>
      <c r="C999" s="1" t="n">
        <v>45831</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26024-2025</t>
        </is>
      </c>
      <c r="B1000" s="1" t="n">
        <v>45804</v>
      </c>
      <c r="C1000" s="1" t="n">
        <v>45831</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26042-2025</t>
        </is>
      </c>
      <c r="B1001" s="1" t="n">
        <v>45804</v>
      </c>
      <c r="C1001" s="1" t="n">
        <v>45831</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26047-2025</t>
        </is>
      </c>
      <c r="B1002" s="1" t="n">
        <v>45804</v>
      </c>
      <c r="C1002" s="1" t="n">
        <v>45831</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25989-2025</t>
        </is>
      </c>
      <c r="B1003" s="1" t="n">
        <v>45804</v>
      </c>
      <c r="C1003" s="1" t="n">
        <v>45831</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26026-2025</t>
        </is>
      </c>
      <c r="B1004" s="1" t="n">
        <v>45804</v>
      </c>
      <c r="C1004" s="1" t="n">
        <v>45831</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26041-2025</t>
        </is>
      </c>
      <c r="B1005" s="1" t="n">
        <v>45804</v>
      </c>
      <c r="C1005" s="1" t="n">
        <v>45831</v>
      </c>
      <c r="D1005" t="inlineStr">
        <is>
          <t>UPPSALA LÄN</t>
        </is>
      </c>
      <c r="E1005" t="inlineStr">
        <is>
          <t>ENKÖPING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27837-2025</t>
        </is>
      </c>
      <c r="B1006" s="1" t="n">
        <v>45817</v>
      </c>
      <c r="C1006" s="1" t="n">
        <v>45831</v>
      </c>
      <c r="D1006" t="inlineStr">
        <is>
          <t>UPPSALA LÄN</t>
        </is>
      </c>
      <c r="E1006" t="inlineStr">
        <is>
          <t>ENKÖPING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45831</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28758-2025</t>
        </is>
      </c>
      <c r="B1008" s="1" t="n">
        <v>45820</v>
      </c>
      <c r="C1008" s="1" t="n">
        <v>45831</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45831</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28855-2025</t>
        </is>
      </c>
      <c r="B1010" s="1" t="n">
        <v>45820</v>
      </c>
      <c r="C1010" s="1" t="n">
        <v>45831</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29093-2025</t>
        </is>
      </c>
      <c r="B1011" s="1" t="n">
        <v>45821</v>
      </c>
      <c r="C1011" s="1" t="n">
        <v>45831</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29477-2025</t>
        </is>
      </c>
      <c r="B1012" s="1" t="n">
        <v>45824</v>
      </c>
      <c r="C1012" s="1" t="n">
        <v>45831</v>
      </c>
      <c r="D1012" t="inlineStr">
        <is>
          <t>UPPSALA LÄN</t>
        </is>
      </c>
      <c r="E1012" t="inlineStr">
        <is>
          <t>ENKÖPING</t>
        </is>
      </c>
      <c r="G1012" t="n">
        <v>13.4</v>
      </c>
      <c r="H1012" t="n">
        <v>0</v>
      </c>
      <c r="I1012" t="n">
        <v>0</v>
      </c>
      <c r="J1012" t="n">
        <v>0</v>
      </c>
      <c r="K1012" t="n">
        <v>0</v>
      </c>
      <c r="L1012" t="n">
        <v>0</v>
      </c>
      <c r="M1012" t="n">
        <v>0</v>
      </c>
      <c r="N1012" t="n">
        <v>0</v>
      </c>
      <c r="O1012" t="n">
        <v>0</v>
      </c>
      <c r="P1012" t="n">
        <v>0</v>
      </c>
      <c r="Q1012" t="n">
        <v>0</v>
      </c>
      <c r="R1012" s="2" t="inlineStr"/>
    </row>
    <row r="1013">
      <c r="A1013" t="inlineStr">
        <is>
          <t>A 29513-2025</t>
        </is>
      </c>
      <c r="B1013" s="1" t="n">
        <v>45825</v>
      </c>
      <c r="C1013" s="1" t="n">
        <v>45831</v>
      </c>
      <c r="D1013" t="inlineStr">
        <is>
          <t>UPPSALA LÄN</t>
        </is>
      </c>
      <c r="E1013" t="inlineStr">
        <is>
          <t>ENKÖPING</t>
        </is>
      </c>
      <c r="G1013" t="n">
        <v>2.6</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2025-06-23T19:22:36Z</dcterms:created>
  <dcterms:modified xmlns:dcterms="http://purl.org/dc/terms/" xmlns:xsi="http://www.w3.org/2001/XMLSchema-instance" xsi:type="dcterms:W3CDTF">2025-06-23T19:22:37Z</dcterms:modified>
</cp:coreProperties>
</file>