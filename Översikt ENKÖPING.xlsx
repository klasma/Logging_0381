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46084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46084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46084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46084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46084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46084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46084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46084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46084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46084</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46084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46084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21970-2025</t>
        </is>
      </c>
      <c r="B14" s="1" t="n">
        <v>45784.63335648148</v>
      </c>
      <c r="C14" s="1" t="n">
        <v>46084</v>
      </c>
      <c r="D14" t="inlineStr">
        <is>
          <t>UPPSALA LÄN</t>
        </is>
      </c>
      <c r="E14" t="inlineStr">
        <is>
          <t>ENKÖPING</t>
        </is>
      </c>
      <c r="G14" t="n">
        <v>5.3</v>
      </c>
      <c r="H14" t="n">
        <v>1</v>
      </c>
      <c r="I14" t="n">
        <v>0</v>
      </c>
      <c r="J14" t="n">
        <v>1</v>
      </c>
      <c r="K14" t="n">
        <v>0</v>
      </c>
      <c r="L14" t="n">
        <v>0</v>
      </c>
      <c r="M14" t="n">
        <v>0</v>
      </c>
      <c r="N14" t="n">
        <v>0</v>
      </c>
      <c r="O14" t="n">
        <v>1</v>
      </c>
      <c r="P14" t="n">
        <v>0</v>
      </c>
      <c r="Q14" t="n">
        <v>2</v>
      </c>
      <c r="R14" s="2" t="inlineStr">
        <is>
          <t>Flattoppad klubbsvamp
Blåsippa</t>
        </is>
      </c>
      <c r="S14">
        <f>HYPERLINK("https://klasma.github.io/Logging_0381/artfynd/A 21970-2025 artfynd.xlsx", "A 21970-2025")</f>
        <v/>
      </c>
      <c r="T14">
        <f>HYPERLINK("https://klasma.github.io/Logging_0381/kartor/A 21970-2025 karta.png", "A 21970-2025")</f>
        <v/>
      </c>
      <c r="V14">
        <f>HYPERLINK("https://klasma.github.io/Logging_0381/klagomål/A 21970-2025 FSC-klagomål.docx", "A 21970-2025")</f>
        <v/>
      </c>
      <c r="W14">
        <f>HYPERLINK("https://klasma.github.io/Logging_0381/klagomålsmail/A 21970-2025 FSC-klagomål mail.docx", "A 21970-2025")</f>
        <v/>
      </c>
      <c r="X14">
        <f>HYPERLINK("https://klasma.github.io/Logging_0381/tillsyn/A 21970-2025 tillsynsbegäran.docx", "A 21970-2025")</f>
        <v/>
      </c>
      <c r="Y14">
        <f>HYPERLINK("https://klasma.github.io/Logging_0381/tillsynsmail/A 21970-2025 tillsynsbegäran mail.docx", "A 21970-2025")</f>
        <v/>
      </c>
    </row>
    <row r="15" ht="15" customHeight="1">
      <c r="A15" t="inlineStr">
        <is>
          <t>A 52092-2022</t>
        </is>
      </c>
      <c r="B15" s="1" t="n">
        <v>44873</v>
      </c>
      <c r="C15" s="1" t="n">
        <v>46084</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46084</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46084</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425-2024</t>
        </is>
      </c>
      <c r="B18" s="1" t="n">
        <v>45296</v>
      </c>
      <c r="C18" s="1" t="n">
        <v>46084</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50105-2023</t>
        </is>
      </c>
      <c r="B19" s="1" t="n">
        <v>45215</v>
      </c>
      <c r="C19" s="1" t="n">
        <v>46084</v>
      </c>
      <c r="D19" t="inlineStr">
        <is>
          <t>UPPSALA LÄN</t>
        </is>
      </c>
      <c r="E19" t="inlineStr">
        <is>
          <t>ENKÖPING</t>
        </is>
      </c>
      <c r="G19" t="n">
        <v>8.5</v>
      </c>
      <c r="H19" t="n">
        <v>0</v>
      </c>
      <c r="I19" t="n">
        <v>0</v>
      </c>
      <c r="J19" t="n">
        <v>1</v>
      </c>
      <c r="K19" t="n">
        <v>1</v>
      </c>
      <c r="L19" t="n">
        <v>0</v>
      </c>
      <c r="M19" t="n">
        <v>0</v>
      </c>
      <c r="N19" t="n">
        <v>0</v>
      </c>
      <c r="O19" t="n">
        <v>2</v>
      </c>
      <c r="P19" t="n">
        <v>1</v>
      </c>
      <c r="Q19" t="n">
        <v>2</v>
      </c>
      <c r="R19" s="2" t="inlineStr">
        <is>
          <t>Smalskaftslav
Ullticka</t>
        </is>
      </c>
      <c r="S19">
        <f>HYPERLINK("https://klasma.github.io/Logging_0381/artfynd/A 50105-2023 artfynd.xlsx", "A 50105-2023")</f>
        <v/>
      </c>
      <c r="T19">
        <f>HYPERLINK("https://klasma.github.io/Logging_0381/kartor/A 50105-2023 karta.png", "A 50105-2023")</f>
        <v/>
      </c>
      <c r="V19">
        <f>HYPERLINK("https://klasma.github.io/Logging_0381/klagomål/A 50105-2023 FSC-klagomål.docx", "A 50105-2023")</f>
        <v/>
      </c>
      <c r="W19">
        <f>HYPERLINK("https://klasma.github.io/Logging_0381/klagomålsmail/A 50105-2023 FSC-klagomål mail.docx", "A 50105-2023")</f>
        <v/>
      </c>
      <c r="X19">
        <f>HYPERLINK("https://klasma.github.io/Logging_0381/tillsyn/A 50105-2023 tillsynsbegäran.docx", "A 50105-2023")</f>
        <v/>
      </c>
      <c r="Y19">
        <f>HYPERLINK("https://klasma.github.io/Logging_0381/tillsynsmail/A 50105-2023 tillsynsbegäran mail.docx", "A 50105-2023")</f>
        <v/>
      </c>
    </row>
    <row r="20" ht="15" customHeight="1">
      <c r="A20" t="inlineStr">
        <is>
          <t>A 36523-2021</t>
        </is>
      </c>
      <c r="B20" s="1" t="n">
        <v>44391</v>
      </c>
      <c r="C20" s="1" t="n">
        <v>46084</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46084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46084</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28900-2024</t>
        </is>
      </c>
      <c r="B23" s="1" t="n">
        <v>45480</v>
      </c>
      <c r="C23" s="1" t="n">
        <v>46084</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46749-2024</t>
        </is>
      </c>
      <c r="B24" s="1" t="n">
        <v>45583.48347222222</v>
      </c>
      <c r="C24" s="1" t="n">
        <v>46084</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Tallkötticka</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26347-2025</t>
        </is>
      </c>
      <c r="B25" s="1" t="n">
        <v>45805.7403125</v>
      </c>
      <c r="C25" s="1" t="n">
        <v>46084</v>
      </c>
      <c r="D25" t="inlineStr">
        <is>
          <t>UPPSALA LÄN</t>
        </is>
      </c>
      <c r="E25" t="inlineStr">
        <is>
          <t>ENKÖPING</t>
        </is>
      </c>
      <c r="G25" t="n">
        <v>7.3</v>
      </c>
      <c r="H25" t="n">
        <v>1</v>
      </c>
      <c r="I25" t="n">
        <v>0</v>
      </c>
      <c r="J25" t="n">
        <v>0</v>
      </c>
      <c r="K25" t="n">
        <v>1</v>
      </c>
      <c r="L25" t="n">
        <v>0</v>
      </c>
      <c r="M25" t="n">
        <v>0</v>
      </c>
      <c r="N25" t="n">
        <v>0</v>
      </c>
      <c r="O25" t="n">
        <v>1</v>
      </c>
      <c r="P25" t="n">
        <v>1</v>
      </c>
      <c r="Q25" t="n">
        <v>1</v>
      </c>
      <c r="R25" s="2" t="inlineStr">
        <is>
          <t>Tofsvipa</t>
        </is>
      </c>
      <c r="S25">
        <f>HYPERLINK("https://klasma.github.io/Logging_0381/artfynd/A 26347-2025 artfynd.xlsx", "A 26347-2025")</f>
        <v/>
      </c>
      <c r="T25">
        <f>HYPERLINK("https://klasma.github.io/Logging_0381/kartor/A 26347-2025 karta.png", "A 26347-2025")</f>
        <v/>
      </c>
      <c r="V25">
        <f>HYPERLINK("https://klasma.github.io/Logging_0381/klagomål/A 26347-2025 FSC-klagomål.docx", "A 26347-2025")</f>
        <v/>
      </c>
      <c r="W25">
        <f>HYPERLINK("https://klasma.github.io/Logging_0381/klagomålsmail/A 26347-2025 FSC-klagomål mail.docx", "A 26347-2025")</f>
        <v/>
      </c>
      <c r="X25">
        <f>HYPERLINK("https://klasma.github.io/Logging_0381/tillsyn/A 26347-2025 tillsynsbegäran.docx", "A 26347-2025")</f>
        <v/>
      </c>
      <c r="Y25">
        <f>HYPERLINK("https://klasma.github.io/Logging_0381/tillsynsmail/A 26347-2025 tillsynsbegäran mail.docx", "A 26347-2025")</f>
        <v/>
      </c>
    </row>
    <row r="26" ht="15" customHeight="1">
      <c r="A26" t="inlineStr">
        <is>
          <t>A 45116-2023</t>
        </is>
      </c>
      <c r="B26" s="1" t="n">
        <v>45191</v>
      </c>
      <c r="C26" s="1" t="n">
        <v>46084</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27060-2025</t>
        </is>
      </c>
      <c r="B27" s="1" t="n">
        <v>45811.63590277778</v>
      </c>
      <c r="C27" s="1" t="n">
        <v>46084</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29510-2025</t>
        </is>
      </c>
      <c r="B28" s="1" t="n">
        <v>45825</v>
      </c>
      <c r="C28" s="1" t="n">
        <v>46084</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17942-2024</t>
        </is>
      </c>
      <c r="B29" s="1" t="n">
        <v>45419</v>
      </c>
      <c r="C29" s="1" t="n">
        <v>46084</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52439-2025</t>
        </is>
      </c>
      <c r="B30" s="1" t="n">
        <v>45954.40697916667</v>
      </c>
      <c r="C30" s="1" t="n">
        <v>46084</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23961-2022</t>
        </is>
      </c>
      <c r="B31" s="1" t="n">
        <v>44722</v>
      </c>
      <c r="C31" s="1" t="n">
        <v>46084</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4166-2026</t>
        </is>
      </c>
      <c r="B32" s="1" t="n">
        <v>46044.66402777778</v>
      </c>
      <c r="C32" s="1" t="n">
        <v>46084</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33339-2024</t>
        </is>
      </c>
      <c r="B33" s="1" t="n">
        <v>45519</v>
      </c>
      <c r="C33" s="1" t="n">
        <v>46084</v>
      </c>
      <c r="D33" t="inlineStr">
        <is>
          <t>UPPSALA LÄN</t>
        </is>
      </c>
      <c r="E33" t="inlineStr">
        <is>
          <t>ENKÖPING</t>
        </is>
      </c>
      <c r="G33" t="n">
        <v>2.3</v>
      </c>
      <c r="H33" t="n">
        <v>0</v>
      </c>
      <c r="I33" t="n">
        <v>0</v>
      </c>
      <c r="J33" t="n">
        <v>1</v>
      </c>
      <c r="K33" t="n">
        <v>0</v>
      </c>
      <c r="L33" t="n">
        <v>0</v>
      </c>
      <c r="M33" t="n">
        <v>0</v>
      </c>
      <c r="N33" t="n">
        <v>0</v>
      </c>
      <c r="O33" t="n">
        <v>1</v>
      </c>
      <c r="P33" t="n">
        <v>0</v>
      </c>
      <c r="Q33" t="n">
        <v>1</v>
      </c>
      <c r="R33" s="2" t="inlineStr">
        <is>
          <t>Ullticka</t>
        </is>
      </c>
      <c r="S33">
        <f>HYPERLINK("https://klasma.github.io/Logging_0381/artfynd/A 33339-2024 artfynd.xlsx", "A 33339-2024")</f>
        <v/>
      </c>
      <c r="T33">
        <f>HYPERLINK("https://klasma.github.io/Logging_0381/kartor/A 33339-2024 karta.png", "A 33339-2024")</f>
        <v/>
      </c>
      <c r="V33">
        <f>HYPERLINK("https://klasma.github.io/Logging_0381/klagomål/A 33339-2024 FSC-klagomål.docx", "A 33339-2024")</f>
        <v/>
      </c>
      <c r="W33">
        <f>HYPERLINK("https://klasma.github.io/Logging_0381/klagomålsmail/A 33339-2024 FSC-klagomål mail.docx", "A 33339-2024")</f>
        <v/>
      </c>
      <c r="X33">
        <f>HYPERLINK("https://klasma.github.io/Logging_0381/tillsyn/A 33339-2024 tillsynsbegäran.docx", "A 33339-2024")</f>
        <v/>
      </c>
      <c r="Y33">
        <f>HYPERLINK("https://klasma.github.io/Logging_0381/tillsynsmail/A 33339-2024 tillsynsbegäran mail.docx", "A 33339-2024")</f>
        <v/>
      </c>
    </row>
    <row r="34" ht="15" customHeight="1">
      <c r="A34" t="inlineStr">
        <is>
          <t>A 1524-2023</t>
        </is>
      </c>
      <c r="B34" s="1" t="n">
        <v>44935</v>
      </c>
      <c r="C34" s="1" t="n">
        <v>46084</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Skogsduva</t>
        </is>
      </c>
      <c r="S34">
        <f>HYPERLINK("https://klasma.github.io/Logging_0381/artfynd/A 1524-2023 artfynd.xlsx", "A 1524-2023")</f>
        <v/>
      </c>
      <c r="T34">
        <f>HYPERLINK("https://klasma.github.io/Logging_0381/kartor/A 1524-2023 karta.png", "A 1524-2023")</f>
        <v/>
      </c>
      <c r="V34">
        <f>HYPERLINK("https://klasma.github.io/Logging_0381/klagomål/A 1524-2023 FSC-klagomål.docx", "A 1524-2023")</f>
        <v/>
      </c>
      <c r="W34">
        <f>HYPERLINK("https://klasma.github.io/Logging_0381/klagomålsmail/A 1524-2023 FSC-klagomål mail.docx", "A 1524-2023")</f>
        <v/>
      </c>
      <c r="X34">
        <f>HYPERLINK("https://klasma.github.io/Logging_0381/tillsyn/A 1524-2023 tillsynsbegäran.docx", "A 1524-2023")</f>
        <v/>
      </c>
      <c r="Y34">
        <f>HYPERLINK("https://klasma.github.io/Logging_0381/tillsynsmail/A 1524-2023 tillsynsbegäran mail.docx", "A 1524-2023")</f>
        <v/>
      </c>
      <c r="Z34">
        <f>HYPERLINK("https://klasma.github.io/Logging_0381/fåglar/A 1524-2023 prioriterade fågelarter.docx", "A 1524-2023")</f>
        <v/>
      </c>
    </row>
    <row r="35" ht="15" customHeight="1">
      <c r="A35" t="inlineStr">
        <is>
          <t>A 16683-2021</t>
        </is>
      </c>
      <c r="B35" s="1" t="n">
        <v>44294.58495370371</v>
      </c>
      <c r="C35" s="1" t="n">
        <v>46084</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46084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46084</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46084</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10989-2021</t>
        </is>
      </c>
      <c r="B39" s="1" t="n">
        <v>44260</v>
      </c>
      <c r="C39" s="1" t="n">
        <v>46084</v>
      </c>
      <c r="D39" t="inlineStr">
        <is>
          <t>UPPSALA LÄN</t>
        </is>
      </c>
      <c r="E39" t="inlineStr">
        <is>
          <t>ENKÖPING</t>
        </is>
      </c>
      <c r="G39" t="n">
        <v>3.5</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46084</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15298-2021</t>
        </is>
      </c>
      <c r="B41" s="1" t="n">
        <v>44284</v>
      </c>
      <c r="C41" s="1" t="n">
        <v>46084</v>
      </c>
      <c r="D41" t="inlineStr">
        <is>
          <t>UPPSALA LÄN</t>
        </is>
      </c>
      <c r="E41" t="inlineStr">
        <is>
          <t>ENKÖPING</t>
        </is>
      </c>
      <c r="G41" t="n">
        <v>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46084</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37570-2021</t>
        </is>
      </c>
      <c r="B43" s="1" t="n">
        <v>44399</v>
      </c>
      <c r="C43" s="1" t="n">
        <v>46084</v>
      </c>
      <c r="D43" t="inlineStr">
        <is>
          <t>UPPSALA LÄN</t>
        </is>
      </c>
      <c r="E43" t="inlineStr">
        <is>
          <t>ENKÖPING</t>
        </is>
      </c>
      <c r="G43" t="n">
        <v>0.4</v>
      </c>
      <c r="H43" t="n">
        <v>0</v>
      </c>
      <c r="I43" t="n">
        <v>0</v>
      </c>
      <c r="J43" t="n">
        <v>0</v>
      </c>
      <c r="K43" t="n">
        <v>0</v>
      </c>
      <c r="L43" t="n">
        <v>0</v>
      </c>
      <c r="M43" t="n">
        <v>0</v>
      </c>
      <c r="N43" t="n">
        <v>0</v>
      </c>
      <c r="O43" t="n">
        <v>0</v>
      </c>
      <c r="P43" t="n">
        <v>0</v>
      </c>
      <c r="Q43" t="n">
        <v>0</v>
      </c>
      <c r="R43" s="2" t="inlineStr"/>
    </row>
    <row r="44" ht="15" customHeight="1">
      <c r="A44" t="inlineStr">
        <is>
          <t>A 37571-2021</t>
        </is>
      </c>
      <c r="B44" s="1" t="n">
        <v>44399.58929398148</v>
      </c>
      <c r="C44" s="1" t="n">
        <v>46084</v>
      </c>
      <c r="D44" t="inlineStr">
        <is>
          <t>UPPSALA LÄN</t>
        </is>
      </c>
      <c r="E44" t="inlineStr">
        <is>
          <t>ENKÖPING</t>
        </is>
      </c>
      <c r="G44" t="n">
        <v>4.6</v>
      </c>
      <c r="H44" t="n">
        <v>0</v>
      </c>
      <c r="I44" t="n">
        <v>0</v>
      </c>
      <c r="J44" t="n">
        <v>0</v>
      </c>
      <c r="K44" t="n">
        <v>0</v>
      </c>
      <c r="L44" t="n">
        <v>0</v>
      </c>
      <c r="M44" t="n">
        <v>0</v>
      </c>
      <c r="N44" t="n">
        <v>0</v>
      </c>
      <c r="O44" t="n">
        <v>0</v>
      </c>
      <c r="P44" t="n">
        <v>0</v>
      </c>
      <c r="Q44" t="n">
        <v>0</v>
      </c>
      <c r="R44" s="2" t="inlineStr"/>
    </row>
    <row r="45" ht="15" customHeight="1">
      <c r="A45" t="inlineStr">
        <is>
          <t>A 57066-2021</t>
        </is>
      </c>
      <c r="B45" s="1" t="n">
        <v>44482.5663425926</v>
      </c>
      <c r="C45" s="1" t="n">
        <v>46084</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14840-2021</t>
        </is>
      </c>
      <c r="B46" s="1" t="n">
        <v>44280</v>
      </c>
      <c r="C46" s="1" t="n">
        <v>46084</v>
      </c>
      <c r="D46" t="inlineStr">
        <is>
          <t>UPPSALA LÄN</t>
        </is>
      </c>
      <c r="E46" t="inlineStr">
        <is>
          <t>ENKÖPING</t>
        </is>
      </c>
      <c r="G46" t="n">
        <v>16</v>
      </c>
      <c r="H46" t="n">
        <v>0</v>
      </c>
      <c r="I46" t="n">
        <v>0</v>
      </c>
      <c r="J46" t="n">
        <v>0</v>
      </c>
      <c r="K46" t="n">
        <v>0</v>
      </c>
      <c r="L46" t="n">
        <v>0</v>
      </c>
      <c r="M46" t="n">
        <v>0</v>
      </c>
      <c r="N46" t="n">
        <v>0</v>
      </c>
      <c r="O46" t="n">
        <v>0</v>
      </c>
      <c r="P46" t="n">
        <v>0</v>
      </c>
      <c r="Q46" t="n">
        <v>0</v>
      </c>
      <c r="R46" s="2" t="inlineStr"/>
    </row>
    <row r="47" ht="15" customHeight="1">
      <c r="A47" t="inlineStr">
        <is>
          <t>A 14841-2021</t>
        </is>
      </c>
      <c r="B47" s="1" t="n">
        <v>44280</v>
      </c>
      <c r="C47" s="1" t="n">
        <v>46084</v>
      </c>
      <c r="D47" t="inlineStr">
        <is>
          <t>UPPSALA LÄN</t>
        </is>
      </c>
      <c r="E47" t="inlineStr">
        <is>
          <t>ENKÖPING</t>
        </is>
      </c>
      <c r="G47" t="n">
        <v>0.7</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46084</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46084</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46084</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46084</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46084</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46084</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46084</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46084</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46084</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46084</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39922-2022</t>
        </is>
      </c>
      <c r="B58" s="1" t="n">
        <v>44819</v>
      </c>
      <c r="C58" s="1" t="n">
        <v>46084</v>
      </c>
      <c r="D58" t="inlineStr">
        <is>
          <t>UPPSALA LÄN</t>
        </is>
      </c>
      <c r="E58" t="inlineStr">
        <is>
          <t>ENKÖPING</t>
        </is>
      </c>
      <c r="G58" t="n">
        <v>1.7</v>
      </c>
      <c r="H58" t="n">
        <v>0</v>
      </c>
      <c r="I58" t="n">
        <v>0</v>
      </c>
      <c r="J58" t="n">
        <v>0</v>
      </c>
      <c r="K58" t="n">
        <v>0</v>
      </c>
      <c r="L58" t="n">
        <v>0</v>
      </c>
      <c r="M58" t="n">
        <v>0</v>
      </c>
      <c r="N58" t="n">
        <v>0</v>
      </c>
      <c r="O58" t="n">
        <v>0</v>
      </c>
      <c r="P58" t="n">
        <v>0</v>
      </c>
      <c r="Q58" t="n">
        <v>0</v>
      </c>
      <c r="R58" s="2" t="inlineStr"/>
    </row>
    <row r="59" ht="15" customHeight="1">
      <c r="A59" t="inlineStr">
        <is>
          <t>A 41736-2022</t>
        </is>
      </c>
      <c r="B59" s="1" t="n">
        <v>44827</v>
      </c>
      <c r="C59" s="1" t="n">
        <v>46084</v>
      </c>
      <c r="D59" t="inlineStr">
        <is>
          <t>UPPSALA LÄN</t>
        </is>
      </c>
      <c r="E59" t="inlineStr">
        <is>
          <t>ENKÖPING</t>
        </is>
      </c>
      <c r="G59" t="n">
        <v>0.9</v>
      </c>
      <c r="H59" t="n">
        <v>0</v>
      </c>
      <c r="I59" t="n">
        <v>0</v>
      </c>
      <c r="J59" t="n">
        <v>0</v>
      </c>
      <c r="K59" t="n">
        <v>0</v>
      </c>
      <c r="L59" t="n">
        <v>0</v>
      </c>
      <c r="M59" t="n">
        <v>0</v>
      </c>
      <c r="N59" t="n">
        <v>0</v>
      </c>
      <c r="O59" t="n">
        <v>0</v>
      </c>
      <c r="P59" t="n">
        <v>0</v>
      </c>
      <c r="Q59" t="n">
        <v>0</v>
      </c>
      <c r="R59" s="2" t="inlineStr"/>
    </row>
    <row r="60" ht="15" customHeight="1">
      <c r="A60" t="inlineStr">
        <is>
          <t>A 3861-2022</t>
        </is>
      </c>
      <c r="B60" s="1" t="n">
        <v>44587</v>
      </c>
      <c r="C60" s="1" t="n">
        <v>46084</v>
      </c>
      <c r="D60" t="inlineStr">
        <is>
          <t>UPPSALA LÄN</t>
        </is>
      </c>
      <c r="E60" t="inlineStr">
        <is>
          <t>ENKÖPING</t>
        </is>
      </c>
      <c r="G60" t="n">
        <v>0.5</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46084</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46084</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1965-2022</t>
        </is>
      </c>
      <c r="B63" s="1" t="n">
        <v>44575</v>
      </c>
      <c r="C63" s="1" t="n">
        <v>46084</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48230-2022</t>
        </is>
      </c>
      <c r="B64" s="1" t="n">
        <v>44858.45100694444</v>
      </c>
      <c r="C64" s="1" t="n">
        <v>46084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14531-2022</t>
        </is>
      </c>
      <c r="B65" s="1" t="n">
        <v>44655</v>
      </c>
      <c r="C65" s="1" t="n">
        <v>46084</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48233-2022</t>
        </is>
      </c>
      <c r="B66" s="1" t="n">
        <v>44858.45300925926</v>
      </c>
      <c r="C66" s="1" t="n">
        <v>46084</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46084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46084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46084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46084</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46084</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46084</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46084</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46084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46084</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46084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46084</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46084</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46084</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46084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46084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46084</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46084</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46084</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46084</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46084</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46084</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46084</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46084</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46084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46084</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46084</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42021-2021</t>
        </is>
      </c>
      <c r="B93" s="1" t="n">
        <v>44426</v>
      </c>
      <c r="C93" s="1" t="n">
        <v>46084</v>
      </c>
      <c r="D93" t="inlineStr">
        <is>
          <t>UPPSALA LÄN</t>
        </is>
      </c>
      <c r="E93" t="inlineStr">
        <is>
          <t>ENKÖPING</t>
        </is>
      </c>
      <c r="G93" t="n">
        <v>2.2</v>
      </c>
      <c r="H93" t="n">
        <v>0</v>
      </c>
      <c r="I93" t="n">
        <v>0</v>
      </c>
      <c r="J93" t="n">
        <v>0</v>
      </c>
      <c r="K93" t="n">
        <v>0</v>
      </c>
      <c r="L93" t="n">
        <v>0</v>
      </c>
      <c r="M93" t="n">
        <v>0</v>
      </c>
      <c r="N93" t="n">
        <v>0</v>
      </c>
      <c r="O93" t="n">
        <v>0</v>
      </c>
      <c r="P93" t="n">
        <v>0</v>
      </c>
      <c r="Q93" t="n">
        <v>0</v>
      </c>
      <c r="R93" s="2" t="inlineStr"/>
    </row>
    <row r="94" ht="15" customHeight="1">
      <c r="A94" t="inlineStr">
        <is>
          <t>A 17467-2022</t>
        </is>
      </c>
      <c r="B94" s="1" t="n">
        <v>44679</v>
      </c>
      <c r="C94" s="1" t="n">
        <v>46084</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46084</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31013-2022</t>
        </is>
      </c>
      <c r="B96" s="1" t="n">
        <v>44768</v>
      </c>
      <c r="C96" s="1" t="n">
        <v>46084</v>
      </c>
      <c r="D96" t="inlineStr">
        <is>
          <t>UPPSALA LÄN</t>
        </is>
      </c>
      <c r="E96" t="inlineStr">
        <is>
          <t>ENKÖPING</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19630-2021</t>
        </is>
      </c>
      <c r="B97" s="1" t="n">
        <v>44312.61876157407</v>
      </c>
      <c r="C97" s="1" t="n">
        <v>46084</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42029-2021</t>
        </is>
      </c>
      <c r="B98" s="1" t="n">
        <v>44426</v>
      </c>
      <c r="C98" s="1" t="n">
        <v>46084</v>
      </c>
      <c r="D98" t="inlineStr">
        <is>
          <t>UPPSALA LÄN</t>
        </is>
      </c>
      <c r="E98" t="inlineStr">
        <is>
          <t>ENKÖPING</t>
        </is>
      </c>
      <c r="G98" t="n">
        <v>5.3</v>
      </c>
      <c r="H98" t="n">
        <v>0</v>
      </c>
      <c r="I98" t="n">
        <v>0</v>
      </c>
      <c r="J98" t="n">
        <v>0</v>
      </c>
      <c r="K98" t="n">
        <v>0</v>
      </c>
      <c r="L98" t="n">
        <v>0</v>
      </c>
      <c r="M98" t="n">
        <v>0</v>
      </c>
      <c r="N98" t="n">
        <v>0</v>
      </c>
      <c r="O98" t="n">
        <v>0</v>
      </c>
      <c r="P98" t="n">
        <v>0</v>
      </c>
      <c r="Q98" t="n">
        <v>0</v>
      </c>
      <c r="R98" s="2" t="inlineStr"/>
    </row>
    <row r="99" ht="15" customHeight="1">
      <c r="A99" t="inlineStr">
        <is>
          <t>A 59121-2021</t>
        </is>
      </c>
      <c r="B99" s="1" t="n">
        <v>44490</v>
      </c>
      <c r="C99" s="1" t="n">
        <v>46084</v>
      </c>
      <c r="D99" t="inlineStr">
        <is>
          <t>UPPSALA LÄN</t>
        </is>
      </c>
      <c r="E99" t="inlineStr">
        <is>
          <t>ENKÖPING</t>
        </is>
      </c>
      <c r="G99" t="n">
        <v>2.4</v>
      </c>
      <c r="H99" t="n">
        <v>0</v>
      </c>
      <c r="I99" t="n">
        <v>0</v>
      </c>
      <c r="J99" t="n">
        <v>0</v>
      </c>
      <c r="K99" t="n">
        <v>0</v>
      </c>
      <c r="L99" t="n">
        <v>0</v>
      </c>
      <c r="M99" t="n">
        <v>0</v>
      </c>
      <c r="N99" t="n">
        <v>0</v>
      </c>
      <c r="O99" t="n">
        <v>0</v>
      </c>
      <c r="P99" t="n">
        <v>0</v>
      </c>
      <c r="Q99" t="n">
        <v>0</v>
      </c>
      <c r="R99" s="2" t="inlineStr"/>
    </row>
    <row r="100" ht="15" customHeight="1">
      <c r="A100" t="inlineStr">
        <is>
          <t>A 68127-2021</t>
        </is>
      </c>
      <c r="B100" s="1" t="n">
        <v>44526.39513888889</v>
      </c>
      <c r="C100" s="1" t="n">
        <v>46084</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24815-2022</t>
        </is>
      </c>
      <c r="B101" s="1" t="n">
        <v>44728</v>
      </c>
      <c r="C101" s="1" t="n">
        <v>46084</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57078-2021</t>
        </is>
      </c>
      <c r="B102" s="1" t="n">
        <v>44482.57855324074</v>
      </c>
      <c r="C102" s="1" t="n">
        <v>46084</v>
      </c>
      <c r="D102" t="inlineStr">
        <is>
          <t>UPPSALA LÄN</t>
        </is>
      </c>
      <c r="E102" t="inlineStr">
        <is>
          <t>ENKÖPING</t>
        </is>
      </c>
      <c r="G102" t="n">
        <v>3</v>
      </c>
      <c r="H102" t="n">
        <v>0</v>
      </c>
      <c r="I102" t="n">
        <v>0</v>
      </c>
      <c r="J102" t="n">
        <v>0</v>
      </c>
      <c r="K102" t="n">
        <v>0</v>
      </c>
      <c r="L102" t="n">
        <v>0</v>
      </c>
      <c r="M102" t="n">
        <v>0</v>
      </c>
      <c r="N102" t="n">
        <v>0</v>
      </c>
      <c r="O102" t="n">
        <v>0</v>
      </c>
      <c r="P102" t="n">
        <v>0</v>
      </c>
      <c r="Q102" t="n">
        <v>0</v>
      </c>
      <c r="R102" s="2" t="inlineStr"/>
    </row>
    <row r="103" ht="15" customHeight="1">
      <c r="A103" t="inlineStr">
        <is>
          <t>A 1971-2022</t>
        </is>
      </c>
      <c r="B103" s="1" t="n">
        <v>44575</v>
      </c>
      <c r="C103" s="1" t="n">
        <v>46084</v>
      </c>
      <c r="D103" t="inlineStr">
        <is>
          <t>UPPSALA LÄN</t>
        </is>
      </c>
      <c r="E103" t="inlineStr">
        <is>
          <t>ENKÖPING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20067-2021</t>
        </is>
      </c>
      <c r="B104" s="1" t="n">
        <v>44314</v>
      </c>
      <c r="C104" s="1" t="n">
        <v>46084</v>
      </c>
      <c r="D104" t="inlineStr">
        <is>
          <t>UPPSALA LÄN</t>
        </is>
      </c>
      <c r="E104" t="inlineStr">
        <is>
          <t>ENKÖPING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15924-2022</t>
        </is>
      </c>
      <c r="B105" s="1" t="n">
        <v>44664</v>
      </c>
      <c r="C105" s="1" t="n">
        <v>46084</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15943-2022</t>
        </is>
      </c>
      <c r="B106" s="1" t="n">
        <v>44664.66428240741</v>
      </c>
      <c r="C106" s="1" t="n">
        <v>46084</v>
      </c>
      <c r="D106" t="inlineStr">
        <is>
          <t>UPPSALA LÄN</t>
        </is>
      </c>
      <c r="E106" t="inlineStr">
        <is>
          <t>ENKÖPING</t>
        </is>
      </c>
      <c r="G106" t="n">
        <v>0.6</v>
      </c>
      <c r="H106" t="n">
        <v>0</v>
      </c>
      <c r="I106" t="n">
        <v>0</v>
      </c>
      <c r="J106" t="n">
        <v>0</v>
      </c>
      <c r="K106" t="n">
        <v>0</v>
      </c>
      <c r="L106" t="n">
        <v>0</v>
      </c>
      <c r="M106" t="n">
        <v>0</v>
      </c>
      <c r="N106" t="n">
        <v>0</v>
      </c>
      <c r="O106" t="n">
        <v>0</v>
      </c>
      <c r="P106" t="n">
        <v>0</v>
      </c>
      <c r="Q106" t="n">
        <v>0</v>
      </c>
      <c r="R106" s="2" t="inlineStr"/>
    </row>
    <row r="107" ht="15" customHeight="1">
      <c r="A107" t="inlineStr">
        <is>
          <t>A 47106-2021</t>
        </is>
      </c>
      <c r="B107" s="1" t="n">
        <v>44446</v>
      </c>
      <c r="C107" s="1" t="n">
        <v>46084</v>
      </c>
      <c r="D107" t="inlineStr">
        <is>
          <t>UPPSALA LÄN</t>
        </is>
      </c>
      <c r="E107" t="inlineStr">
        <is>
          <t>ENKÖPING</t>
        </is>
      </c>
      <c r="G107" t="n">
        <v>7.6</v>
      </c>
      <c r="H107" t="n">
        <v>0</v>
      </c>
      <c r="I107" t="n">
        <v>0</v>
      </c>
      <c r="J107" t="n">
        <v>0</v>
      </c>
      <c r="K107" t="n">
        <v>0</v>
      </c>
      <c r="L107" t="n">
        <v>0</v>
      </c>
      <c r="M107" t="n">
        <v>0</v>
      </c>
      <c r="N107" t="n">
        <v>0</v>
      </c>
      <c r="O107" t="n">
        <v>0</v>
      </c>
      <c r="P107" t="n">
        <v>0</v>
      </c>
      <c r="Q107" t="n">
        <v>0</v>
      </c>
      <c r="R107" s="2" t="inlineStr"/>
    </row>
    <row r="108" ht="15" customHeight="1">
      <c r="A108" t="inlineStr">
        <is>
          <t>A 19731-2022</t>
        </is>
      </c>
      <c r="B108" s="1" t="n">
        <v>44694</v>
      </c>
      <c r="C108" s="1" t="n">
        <v>46084</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59497-2022</t>
        </is>
      </c>
      <c r="B109" s="1" t="n">
        <v>44907.48258101852</v>
      </c>
      <c r="C109" s="1" t="n">
        <v>46084</v>
      </c>
      <c r="D109" t="inlineStr">
        <is>
          <t>UPPSALA LÄN</t>
        </is>
      </c>
      <c r="E109" t="inlineStr">
        <is>
          <t>ENKÖPING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9041-2023</t>
        </is>
      </c>
      <c r="B110" s="1" t="n">
        <v>44979</v>
      </c>
      <c r="C110" s="1" t="n">
        <v>46084</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57043-2021</t>
        </is>
      </c>
      <c r="B111" s="1" t="n">
        <v>44482.53399305556</v>
      </c>
      <c r="C111" s="1" t="n">
        <v>46084</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12755-2025</t>
        </is>
      </c>
      <c r="B112" s="1" t="n">
        <v>45733.56541666666</v>
      </c>
      <c r="C112" s="1" t="n">
        <v>46084</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59027-2024</t>
        </is>
      </c>
      <c r="B113" s="1" t="n">
        <v>45636.68755787037</v>
      </c>
      <c r="C113" s="1" t="n">
        <v>46084</v>
      </c>
      <c r="D113" t="inlineStr">
        <is>
          <t>UPPSALA LÄN</t>
        </is>
      </c>
      <c r="E113" t="inlineStr">
        <is>
          <t>ENKÖPING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44131-2023</t>
        </is>
      </c>
      <c r="B114" s="1" t="n">
        <v>45188</v>
      </c>
      <c r="C114" s="1" t="n">
        <v>46084</v>
      </c>
      <c r="D114" t="inlineStr">
        <is>
          <t>UPPSALA LÄN</t>
        </is>
      </c>
      <c r="E114" t="inlineStr">
        <is>
          <t>ENKÖPING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60533-2021</t>
        </is>
      </c>
      <c r="B115" s="1" t="n">
        <v>44496</v>
      </c>
      <c r="C115" s="1" t="n">
        <v>46084</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49063-2024</t>
        </is>
      </c>
      <c r="B116" s="1" t="n">
        <v>45594.59869212963</v>
      </c>
      <c r="C116" s="1" t="n">
        <v>46084</v>
      </c>
      <c r="D116" t="inlineStr">
        <is>
          <t>UPPSALA LÄN</t>
        </is>
      </c>
      <c r="E116" t="inlineStr">
        <is>
          <t>ENKÖPING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53587-2024</t>
        </is>
      </c>
      <c r="B117" s="1" t="n">
        <v>45614.66953703704</v>
      </c>
      <c r="C117" s="1" t="n">
        <v>46084</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35052-2024</t>
        </is>
      </c>
      <c r="B118" s="1" t="n">
        <v>45527.6516087963</v>
      </c>
      <c r="C118" s="1" t="n">
        <v>46084</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11503-2024</t>
        </is>
      </c>
      <c r="B119" s="1" t="n">
        <v>45372.68020833333</v>
      </c>
      <c r="C119" s="1" t="n">
        <v>46084</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51008-2024</t>
        </is>
      </c>
      <c r="B120" s="1" t="n">
        <v>45603.39041666667</v>
      </c>
      <c r="C120" s="1" t="n">
        <v>46084</v>
      </c>
      <c r="D120" t="inlineStr">
        <is>
          <t>UPPSALA LÄN</t>
        </is>
      </c>
      <c r="E120" t="inlineStr">
        <is>
          <t>ENKÖPING</t>
        </is>
      </c>
      <c r="G120" t="n">
        <v>2.4</v>
      </c>
      <c r="H120" t="n">
        <v>0</v>
      </c>
      <c r="I120" t="n">
        <v>0</v>
      </c>
      <c r="J120" t="n">
        <v>0</v>
      </c>
      <c r="K120" t="n">
        <v>0</v>
      </c>
      <c r="L120" t="n">
        <v>0</v>
      </c>
      <c r="M120" t="n">
        <v>0</v>
      </c>
      <c r="N120" t="n">
        <v>0</v>
      </c>
      <c r="O120" t="n">
        <v>0</v>
      </c>
      <c r="P120" t="n">
        <v>0</v>
      </c>
      <c r="Q120" t="n">
        <v>0</v>
      </c>
      <c r="R120" s="2" t="inlineStr"/>
    </row>
    <row r="121" ht="15" customHeight="1">
      <c r="A121" t="inlineStr">
        <is>
          <t>A 39115-2024</t>
        </is>
      </c>
      <c r="B121" s="1" t="n">
        <v>45548</v>
      </c>
      <c r="C121" s="1" t="n">
        <v>46084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25334-2023</t>
        </is>
      </c>
      <c r="B122" s="1" t="n">
        <v>45083</v>
      </c>
      <c r="C122" s="1" t="n">
        <v>46084</v>
      </c>
      <c r="D122" t="inlineStr">
        <is>
          <t>UPPSALA LÄN</t>
        </is>
      </c>
      <c r="E122" t="inlineStr">
        <is>
          <t>ENKÖPING</t>
        </is>
      </c>
      <c r="G122" t="n">
        <v>0.2</v>
      </c>
      <c r="H122" t="n">
        <v>0</v>
      </c>
      <c r="I122" t="n">
        <v>0</v>
      </c>
      <c r="J122" t="n">
        <v>0</v>
      </c>
      <c r="K122" t="n">
        <v>0</v>
      </c>
      <c r="L122" t="n">
        <v>0</v>
      </c>
      <c r="M122" t="n">
        <v>0</v>
      </c>
      <c r="N122" t="n">
        <v>0</v>
      </c>
      <c r="O122" t="n">
        <v>0</v>
      </c>
      <c r="P122" t="n">
        <v>0</v>
      </c>
      <c r="Q122" t="n">
        <v>0</v>
      </c>
      <c r="R122" s="2" t="inlineStr"/>
    </row>
    <row r="123" ht="15" customHeight="1">
      <c r="A123" t="inlineStr">
        <is>
          <t>A 13853-2023</t>
        </is>
      </c>
      <c r="B123" s="1" t="n">
        <v>45007</v>
      </c>
      <c r="C123" s="1" t="n">
        <v>46084</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56837-2024</t>
        </is>
      </c>
      <c r="B124" s="1" t="n">
        <v>45628</v>
      </c>
      <c r="C124" s="1" t="n">
        <v>46084</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18821-2023</t>
        </is>
      </c>
      <c r="B125" s="1" t="n">
        <v>45044.3782175926</v>
      </c>
      <c r="C125" s="1" t="n">
        <v>46084</v>
      </c>
      <c r="D125" t="inlineStr">
        <is>
          <t>UPPSALA LÄN</t>
        </is>
      </c>
      <c r="E125" t="inlineStr">
        <is>
          <t>ENKÖPING</t>
        </is>
      </c>
      <c r="G125" t="n">
        <v>6</v>
      </c>
      <c r="H125" t="n">
        <v>0</v>
      </c>
      <c r="I125" t="n">
        <v>0</v>
      </c>
      <c r="J125" t="n">
        <v>0</v>
      </c>
      <c r="K125" t="n">
        <v>0</v>
      </c>
      <c r="L125" t="n">
        <v>0</v>
      </c>
      <c r="M125" t="n">
        <v>0</v>
      </c>
      <c r="N125" t="n">
        <v>0</v>
      </c>
      <c r="O125" t="n">
        <v>0</v>
      </c>
      <c r="P125" t="n">
        <v>0</v>
      </c>
      <c r="Q125" t="n">
        <v>0</v>
      </c>
      <c r="R125" s="2" t="inlineStr"/>
    </row>
    <row r="126" ht="15" customHeight="1">
      <c r="A126" t="inlineStr">
        <is>
          <t>A 21017-2023</t>
        </is>
      </c>
      <c r="B126" s="1" t="n">
        <v>45061</v>
      </c>
      <c r="C126" s="1" t="n">
        <v>46084</v>
      </c>
      <c r="D126" t="inlineStr">
        <is>
          <t>UPPSALA LÄN</t>
        </is>
      </c>
      <c r="E126" t="inlineStr">
        <is>
          <t>ENKÖPING</t>
        </is>
      </c>
      <c r="G126" t="n">
        <v>4.8</v>
      </c>
      <c r="H126" t="n">
        <v>0</v>
      </c>
      <c r="I126" t="n">
        <v>0</v>
      </c>
      <c r="J126" t="n">
        <v>0</v>
      </c>
      <c r="K126" t="n">
        <v>0</v>
      </c>
      <c r="L126" t="n">
        <v>0</v>
      </c>
      <c r="M126" t="n">
        <v>0</v>
      </c>
      <c r="N126" t="n">
        <v>0</v>
      </c>
      <c r="O126" t="n">
        <v>0</v>
      </c>
      <c r="P126" t="n">
        <v>0</v>
      </c>
      <c r="Q126" t="n">
        <v>0</v>
      </c>
      <c r="R126" s="2" t="inlineStr"/>
    </row>
    <row r="127" ht="15" customHeight="1">
      <c r="A127" t="inlineStr">
        <is>
          <t>A 50747-2022</t>
        </is>
      </c>
      <c r="B127" s="1" t="n">
        <v>44867.40162037037</v>
      </c>
      <c r="C127" s="1" t="n">
        <v>46084</v>
      </c>
      <c r="D127" t="inlineStr">
        <is>
          <t>UPPSALA LÄN</t>
        </is>
      </c>
      <c r="E127" t="inlineStr">
        <is>
          <t>ENKÖPING</t>
        </is>
      </c>
      <c r="G127" t="n">
        <v>1.5</v>
      </c>
      <c r="H127" t="n">
        <v>0</v>
      </c>
      <c r="I127" t="n">
        <v>0</v>
      </c>
      <c r="J127" t="n">
        <v>0</v>
      </c>
      <c r="K127" t="n">
        <v>0</v>
      </c>
      <c r="L127" t="n">
        <v>0</v>
      </c>
      <c r="M127" t="n">
        <v>0</v>
      </c>
      <c r="N127" t="n">
        <v>0</v>
      </c>
      <c r="O127" t="n">
        <v>0</v>
      </c>
      <c r="P127" t="n">
        <v>0</v>
      </c>
      <c r="Q127" t="n">
        <v>0</v>
      </c>
      <c r="R127" s="2" t="inlineStr"/>
    </row>
    <row r="128" ht="15" customHeight="1">
      <c r="A128" t="inlineStr">
        <is>
          <t>A 17657-2025</t>
        </is>
      </c>
      <c r="B128" s="1" t="n">
        <v>45758.35006944444</v>
      </c>
      <c r="C128" s="1" t="n">
        <v>46084</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49568-2022</t>
        </is>
      </c>
      <c r="B129" s="1" t="n">
        <v>44862.32791666667</v>
      </c>
      <c r="C129" s="1" t="n">
        <v>46084</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22156-2025</t>
        </is>
      </c>
      <c r="B130" s="1" t="n">
        <v>45785.57512731481</v>
      </c>
      <c r="C130" s="1" t="n">
        <v>46084</v>
      </c>
      <c r="D130" t="inlineStr">
        <is>
          <t>UPPSALA LÄN</t>
        </is>
      </c>
      <c r="E130" t="inlineStr">
        <is>
          <t>ENKÖPING</t>
        </is>
      </c>
      <c r="G130" t="n">
        <v>0.9</v>
      </c>
      <c r="H130" t="n">
        <v>0</v>
      </c>
      <c r="I130" t="n">
        <v>0</v>
      </c>
      <c r="J130" t="n">
        <v>0</v>
      </c>
      <c r="K130" t="n">
        <v>0</v>
      </c>
      <c r="L130" t="n">
        <v>0</v>
      </c>
      <c r="M130" t="n">
        <v>0</v>
      </c>
      <c r="N130" t="n">
        <v>0</v>
      </c>
      <c r="O130" t="n">
        <v>0</v>
      </c>
      <c r="P130" t="n">
        <v>0</v>
      </c>
      <c r="Q130" t="n">
        <v>0</v>
      </c>
      <c r="R130" s="2" t="inlineStr"/>
    </row>
    <row r="131" ht="15" customHeight="1">
      <c r="A131" t="inlineStr">
        <is>
          <t>A 22150-2025</t>
        </is>
      </c>
      <c r="B131" s="1" t="n">
        <v>45785.56398148148</v>
      </c>
      <c r="C131" s="1" t="n">
        <v>46084</v>
      </c>
      <c r="D131" t="inlineStr">
        <is>
          <t>UPPSALA LÄN</t>
        </is>
      </c>
      <c r="E131" t="inlineStr">
        <is>
          <t>ENKÖPING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57335-2024</t>
        </is>
      </c>
      <c r="B132" s="1" t="n">
        <v>45629.63302083333</v>
      </c>
      <c r="C132" s="1" t="n">
        <v>46084</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30087-2024</t>
        </is>
      </c>
      <c r="B133" s="1" t="n">
        <v>45489.39447916667</v>
      </c>
      <c r="C133" s="1" t="n">
        <v>46084</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54776-2024</t>
        </is>
      </c>
      <c r="B134" s="1" t="n">
        <v>45618</v>
      </c>
      <c r="C134" s="1" t="n">
        <v>46084</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22729-2025</t>
        </is>
      </c>
      <c r="B135" s="1" t="n">
        <v>45789.57790509259</v>
      </c>
      <c r="C135" s="1" t="n">
        <v>46084</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14518-2025</t>
        </is>
      </c>
      <c r="B136" s="1" t="n">
        <v>45741</v>
      </c>
      <c r="C136" s="1" t="n">
        <v>46084</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22677-2025</t>
        </is>
      </c>
      <c r="B137" s="1" t="n">
        <v>45789.49515046296</v>
      </c>
      <c r="C137" s="1" t="n">
        <v>46084</v>
      </c>
      <c r="D137" t="inlineStr">
        <is>
          <t>UPPSALA LÄN</t>
        </is>
      </c>
      <c r="E137" t="inlineStr">
        <is>
          <t>ENKÖPING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22679-2025</t>
        </is>
      </c>
      <c r="B138" s="1" t="n">
        <v>45789.49747685185</v>
      </c>
      <c r="C138" s="1" t="n">
        <v>46084</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22770-2025</t>
        </is>
      </c>
      <c r="B139" s="1" t="n">
        <v>45789.63454861111</v>
      </c>
      <c r="C139" s="1" t="n">
        <v>46084</v>
      </c>
      <c r="D139" t="inlineStr">
        <is>
          <t>UPPSALA LÄN</t>
        </is>
      </c>
      <c r="E139" t="inlineStr">
        <is>
          <t>ENKÖPING</t>
        </is>
      </c>
      <c r="G139" t="n">
        <v>4.5</v>
      </c>
      <c r="H139" t="n">
        <v>0</v>
      </c>
      <c r="I139" t="n">
        <v>0</v>
      </c>
      <c r="J139" t="n">
        <v>0</v>
      </c>
      <c r="K139" t="n">
        <v>0</v>
      </c>
      <c r="L139" t="n">
        <v>0</v>
      </c>
      <c r="M139" t="n">
        <v>0</v>
      </c>
      <c r="N139" t="n">
        <v>0</v>
      </c>
      <c r="O139" t="n">
        <v>0</v>
      </c>
      <c r="P139" t="n">
        <v>0</v>
      </c>
      <c r="Q139" t="n">
        <v>0</v>
      </c>
      <c r="R139" s="2" t="inlineStr"/>
    </row>
    <row r="140" ht="15" customHeight="1">
      <c r="A140" t="inlineStr">
        <is>
          <t>A 22800-2025</t>
        </is>
      </c>
      <c r="B140" s="1" t="n">
        <v>45789.6669212963</v>
      </c>
      <c r="C140" s="1" t="n">
        <v>46084</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57835-2024</t>
        </is>
      </c>
      <c r="B141" s="1" t="n">
        <v>45631.39947916667</v>
      </c>
      <c r="C141" s="1" t="n">
        <v>46084</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53208-2023</t>
        </is>
      </c>
      <c r="B142" s="1" t="n">
        <v>45226</v>
      </c>
      <c r="C142" s="1" t="n">
        <v>46084</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6981-2025</t>
        </is>
      </c>
      <c r="B143" s="1" t="n">
        <v>45701</v>
      </c>
      <c r="C143" s="1" t="n">
        <v>46084</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22786-2025</t>
        </is>
      </c>
      <c r="B144" s="1" t="n">
        <v>45789.64643518518</v>
      </c>
      <c r="C144" s="1" t="n">
        <v>46084</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19013-2025</t>
        </is>
      </c>
      <c r="B145" s="1" t="n">
        <v>45764.59533564815</v>
      </c>
      <c r="C145" s="1" t="n">
        <v>46084</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68123-2021</t>
        </is>
      </c>
      <c r="B146" s="1" t="n">
        <v>44526.39126157408</v>
      </c>
      <c r="C146" s="1" t="n">
        <v>46084</v>
      </c>
      <c r="D146" t="inlineStr">
        <is>
          <t>UPPSALA LÄN</t>
        </is>
      </c>
      <c r="E146" t="inlineStr">
        <is>
          <t>ENKÖPING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22680-2025</t>
        </is>
      </c>
      <c r="B147" s="1" t="n">
        <v>45789.5005787037</v>
      </c>
      <c r="C147" s="1" t="n">
        <v>46084</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22802-2025</t>
        </is>
      </c>
      <c r="B148" s="1" t="n">
        <v>45789.6686574074</v>
      </c>
      <c r="C148" s="1" t="n">
        <v>46084</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56176-2021</t>
        </is>
      </c>
      <c r="B149" s="1" t="n">
        <v>44477</v>
      </c>
      <c r="C149" s="1" t="n">
        <v>46084</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47681-2024</t>
        </is>
      </c>
      <c r="B150" s="1" t="n">
        <v>45588</v>
      </c>
      <c r="C150" s="1" t="n">
        <v>46084</v>
      </c>
      <c r="D150" t="inlineStr">
        <is>
          <t>UPPSALA LÄN</t>
        </is>
      </c>
      <c r="E150" t="inlineStr">
        <is>
          <t>ENKÖPING</t>
        </is>
      </c>
      <c r="G150" t="n">
        <v>4.2</v>
      </c>
      <c r="H150" t="n">
        <v>0</v>
      </c>
      <c r="I150" t="n">
        <v>0</v>
      </c>
      <c r="J150" t="n">
        <v>0</v>
      </c>
      <c r="K150" t="n">
        <v>0</v>
      </c>
      <c r="L150" t="n">
        <v>0</v>
      </c>
      <c r="M150" t="n">
        <v>0</v>
      </c>
      <c r="N150" t="n">
        <v>0</v>
      </c>
      <c r="O150" t="n">
        <v>0</v>
      </c>
      <c r="P150" t="n">
        <v>0</v>
      </c>
      <c r="Q150" t="n">
        <v>0</v>
      </c>
      <c r="R150" s="2" t="inlineStr"/>
    </row>
    <row r="151" ht="15" customHeight="1">
      <c r="A151" t="inlineStr">
        <is>
          <t>A 22793-2025</t>
        </is>
      </c>
      <c r="B151" s="1" t="n">
        <v>45789.65693287037</v>
      </c>
      <c r="C151" s="1" t="n">
        <v>46084</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22795-2025</t>
        </is>
      </c>
      <c r="B152" s="1" t="n">
        <v>45789.65944444444</v>
      </c>
      <c r="C152" s="1" t="n">
        <v>46084</v>
      </c>
      <c r="D152" t="inlineStr">
        <is>
          <t>UPPSALA LÄN</t>
        </is>
      </c>
      <c r="E152" t="inlineStr">
        <is>
          <t>ENKÖPING</t>
        </is>
      </c>
      <c r="G152" t="n">
        <v>10.4</v>
      </c>
      <c r="H152" t="n">
        <v>0</v>
      </c>
      <c r="I152" t="n">
        <v>0</v>
      </c>
      <c r="J152" t="n">
        <v>0</v>
      </c>
      <c r="K152" t="n">
        <v>0</v>
      </c>
      <c r="L152" t="n">
        <v>0</v>
      </c>
      <c r="M152" t="n">
        <v>0</v>
      </c>
      <c r="N152" t="n">
        <v>0</v>
      </c>
      <c r="O152" t="n">
        <v>0</v>
      </c>
      <c r="P152" t="n">
        <v>0</v>
      </c>
      <c r="Q152" t="n">
        <v>0</v>
      </c>
      <c r="R152" s="2" t="inlineStr"/>
    </row>
    <row r="153" ht="15" customHeight="1">
      <c r="A153" t="inlineStr">
        <is>
          <t>A 22725-2025</t>
        </is>
      </c>
      <c r="B153" s="1" t="n">
        <v>45789.57371527778</v>
      </c>
      <c r="C153" s="1" t="n">
        <v>46084</v>
      </c>
      <c r="D153" t="inlineStr">
        <is>
          <t>UPPSALA LÄN</t>
        </is>
      </c>
      <c r="E153" t="inlineStr">
        <is>
          <t>ENKÖPING</t>
        </is>
      </c>
      <c r="G153" t="n">
        <v>4.8</v>
      </c>
      <c r="H153" t="n">
        <v>0</v>
      </c>
      <c r="I153" t="n">
        <v>0</v>
      </c>
      <c r="J153" t="n">
        <v>0</v>
      </c>
      <c r="K153" t="n">
        <v>0</v>
      </c>
      <c r="L153" t="n">
        <v>0</v>
      </c>
      <c r="M153" t="n">
        <v>0</v>
      </c>
      <c r="N153" t="n">
        <v>0</v>
      </c>
      <c r="O153" t="n">
        <v>0</v>
      </c>
      <c r="P153" t="n">
        <v>0</v>
      </c>
      <c r="Q153" t="n">
        <v>0</v>
      </c>
      <c r="R153" s="2" t="inlineStr"/>
    </row>
    <row r="154" ht="15" customHeight="1">
      <c r="A154" t="inlineStr">
        <is>
          <t>A 2164-2023</t>
        </is>
      </c>
      <c r="B154" s="1" t="n">
        <v>44941</v>
      </c>
      <c r="C154" s="1" t="n">
        <v>46084</v>
      </c>
      <c r="D154" t="inlineStr">
        <is>
          <t>UPPSALA LÄN</t>
        </is>
      </c>
      <c r="E154" t="inlineStr">
        <is>
          <t>ENKÖPING</t>
        </is>
      </c>
      <c r="G154" t="n">
        <v>2.5</v>
      </c>
      <c r="H154" t="n">
        <v>0</v>
      </c>
      <c r="I154" t="n">
        <v>0</v>
      </c>
      <c r="J154" t="n">
        <v>0</v>
      </c>
      <c r="K154" t="n">
        <v>0</v>
      </c>
      <c r="L154" t="n">
        <v>0</v>
      </c>
      <c r="M154" t="n">
        <v>0</v>
      </c>
      <c r="N154" t="n">
        <v>0</v>
      </c>
      <c r="O154" t="n">
        <v>0</v>
      </c>
      <c r="P154" t="n">
        <v>0</v>
      </c>
      <c r="Q154" t="n">
        <v>0</v>
      </c>
      <c r="R154" s="2" t="inlineStr"/>
    </row>
    <row r="155" ht="15" customHeight="1">
      <c r="A155" t="inlineStr">
        <is>
          <t>A 53496-2022</t>
        </is>
      </c>
      <c r="B155" s="1" t="n">
        <v>44879.57217592592</v>
      </c>
      <c r="C155" s="1" t="n">
        <v>46084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69344-2021</t>
        </is>
      </c>
      <c r="B156" s="1" t="n">
        <v>44531</v>
      </c>
      <c r="C156" s="1" t="n">
        <v>46084</v>
      </c>
      <c r="D156" t="inlineStr">
        <is>
          <t>UPPSALA LÄN</t>
        </is>
      </c>
      <c r="E156" t="inlineStr">
        <is>
          <t>ENKÖPING</t>
        </is>
      </c>
      <c r="G156" t="n">
        <v>2.9</v>
      </c>
      <c r="H156" t="n">
        <v>0</v>
      </c>
      <c r="I156" t="n">
        <v>0</v>
      </c>
      <c r="J156" t="n">
        <v>0</v>
      </c>
      <c r="K156" t="n">
        <v>0</v>
      </c>
      <c r="L156" t="n">
        <v>0</v>
      </c>
      <c r="M156" t="n">
        <v>0</v>
      </c>
      <c r="N156" t="n">
        <v>0</v>
      </c>
      <c r="O156" t="n">
        <v>0</v>
      </c>
      <c r="P156" t="n">
        <v>0</v>
      </c>
      <c r="Q156" t="n">
        <v>0</v>
      </c>
      <c r="R156" s="2" t="inlineStr"/>
    </row>
    <row r="157" ht="15" customHeight="1">
      <c r="A157" t="inlineStr">
        <is>
          <t>A 61952-2021</t>
        </is>
      </c>
      <c r="B157" s="1" t="n">
        <v>44502</v>
      </c>
      <c r="C157" s="1" t="n">
        <v>46084</v>
      </c>
      <c r="D157" t="inlineStr">
        <is>
          <t>UPPSALA LÄN</t>
        </is>
      </c>
      <c r="E157" t="inlineStr">
        <is>
          <t>ENKÖPING</t>
        </is>
      </c>
      <c r="G157" t="n">
        <v>2.3</v>
      </c>
      <c r="H157" t="n">
        <v>0</v>
      </c>
      <c r="I157" t="n">
        <v>0</v>
      </c>
      <c r="J157" t="n">
        <v>0</v>
      </c>
      <c r="K157" t="n">
        <v>0</v>
      </c>
      <c r="L157" t="n">
        <v>0</v>
      </c>
      <c r="M157" t="n">
        <v>0</v>
      </c>
      <c r="N157" t="n">
        <v>0</v>
      </c>
      <c r="O157" t="n">
        <v>0</v>
      </c>
      <c r="P157" t="n">
        <v>0</v>
      </c>
      <c r="Q157" t="n">
        <v>0</v>
      </c>
      <c r="R157" s="2" t="inlineStr"/>
    </row>
    <row r="158" ht="15" customHeight="1">
      <c r="A158" t="inlineStr">
        <is>
          <t>A 14083-2025</t>
        </is>
      </c>
      <c r="B158" s="1" t="n">
        <v>45740</v>
      </c>
      <c r="C158" s="1" t="n">
        <v>46084</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15942-2022</t>
        </is>
      </c>
      <c r="B159" s="1" t="n">
        <v>44664</v>
      </c>
      <c r="C159" s="1" t="n">
        <v>46084</v>
      </c>
      <c r="D159" t="inlineStr">
        <is>
          <t>UPPSALA LÄN</t>
        </is>
      </c>
      <c r="E159" t="inlineStr">
        <is>
          <t>ENKÖPING</t>
        </is>
      </c>
      <c r="G159" t="n">
        <v>6.6</v>
      </c>
      <c r="H159" t="n">
        <v>0</v>
      </c>
      <c r="I159" t="n">
        <v>0</v>
      </c>
      <c r="J159" t="n">
        <v>0</v>
      </c>
      <c r="K159" t="n">
        <v>0</v>
      </c>
      <c r="L159" t="n">
        <v>0</v>
      </c>
      <c r="M159" t="n">
        <v>0</v>
      </c>
      <c r="N159" t="n">
        <v>0</v>
      </c>
      <c r="O159" t="n">
        <v>0</v>
      </c>
      <c r="P159" t="n">
        <v>0</v>
      </c>
      <c r="Q159" t="n">
        <v>0</v>
      </c>
      <c r="R159" s="2" t="inlineStr"/>
    </row>
    <row r="160" ht="15" customHeight="1">
      <c r="A160" t="inlineStr">
        <is>
          <t>A 2974-2025</t>
        </is>
      </c>
      <c r="B160" s="1" t="n">
        <v>45678.47168981482</v>
      </c>
      <c r="C160" s="1" t="n">
        <v>46084</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69879-2021</t>
        </is>
      </c>
      <c r="B161" s="1" t="n">
        <v>44532</v>
      </c>
      <c r="C161" s="1" t="n">
        <v>46084</v>
      </c>
      <c r="D161" t="inlineStr">
        <is>
          <t>UPPSALA LÄN</t>
        </is>
      </c>
      <c r="E161" t="inlineStr">
        <is>
          <t>ENKÖPING</t>
        </is>
      </c>
      <c r="G161" t="n">
        <v>4.2</v>
      </c>
      <c r="H161" t="n">
        <v>0</v>
      </c>
      <c r="I161" t="n">
        <v>0</v>
      </c>
      <c r="J161" t="n">
        <v>0</v>
      </c>
      <c r="K161" t="n">
        <v>0</v>
      </c>
      <c r="L161" t="n">
        <v>0</v>
      </c>
      <c r="M161" t="n">
        <v>0</v>
      </c>
      <c r="N161" t="n">
        <v>0</v>
      </c>
      <c r="O161" t="n">
        <v>0</v>
      </c>
      <c r="P161" t="n">
        <v>0</v>
      </c>
      <c r="Q161" t="n">
        <v>0</v>
      </c>
      <c r="R161" s="2" t="inlineStr"/>
    </row>
    <row r="162" ht="15" customHeight="1">
      <c r="A162" t="inlineStr">
        <is>
          <t>A 22981-2025</t>
        </is>
      </c>
      <c r="B162" s="1" t="n">
        <v>45790.56964120371</v>
      </c>
      <c r="C162" s="1" t="n">
        <v>46084</v>
      </c>
      <c r="D162" t="inlineStr">
        <is>
          <t>UPPSALA LÄN</t>
        </is>
      </c>
      <c r="E162" t="inlineStr">
        <is>
          <t>ENKÖPING</t>
        </is>
      </c>
      <c r="G162" t="n">
        <v>1.5</v>
      </c>
      <c r="H162" t="n">
        <v>0</v>
      </c>
      <c r="I162" t="n">
        <v>0</v>
      </c>
      <c r="J162" t="n">
        <v>0</v>
      </c>
      <c r="K162" t="n">
        <v>0</v>
      </c>
      <c r="L162" t="n">
        <v>0</v>
      </c>
      <c r="M162" t="n">
        <v>0</v>
      </c>
      <c r="N162" t="n">
        <v>0</v>
      </c>
      <c r="O162" t="n">
        <v>0</v>
      </c>
      <c r="P162" t="n">
        <v>0</v>
      </c>
      <c r="Q162" t="n">
        <v>0</v>
      </c>
      <c r="R162" s="2" t="inlineStr"/>
    </row>
    <row r="163" ht="15" customHeight="1">
      <c r="A163" t="inlineStr">
        <is>
          <t>A 45956-2024</t>
        </is>
      </c>
      <c r="B163" s="1" t="n">
        <v>45580</v>
      </c>
      <c r="C163" s="1" t="n">
        <v>46084</v>
      </c>
      <c r="D163" t="inlineStr">
        <is>
          <t>UPPSALA LÄN</t>
        </is>
      </c>
      <c r="E163" t="inlineStr">
        <is>
          <t>ENKÖPING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10831-2024</t>
        </is>
      </c>
      <c r="B164" s="1" t="n">
        <v>45369</v>
      </c>
      <c r="C164" s="1" t="n">
        <v>46084</v>
      </c>
      <c r="D164" t="inlineStr">
        <is>
          <t>UPPSALA LÄN</t>
        </is>
      </c>
      <c r="E164" t="inlineStr">
        <is>
          <t>ENKÖPING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8020-2022</t>
        </is>
      </c>
      <c r="B165" s="1" t="n">
        <v>44609</v>
      </c>
      <c r="C165" s="1" t="n">
        <v>46084</v>
      </c>
      <c r="D165" t="inlineStr">
        <is>
          <t>UPPSALA LÄN</t>
        </is>
      </c>
      <c r="E165" t="inlineStr">
        <is>
          <t>ENKÖPING</t>
        </is>
      </c>
      <c r="G165" t="n">
        <v>6</v>
      </c>
      <c r="H165" t="n">
        <v>0</v>
      </c>
      <c r="I165" t="n">
        <v>0</v>
      </c>
      <c r="J165" t="n">
        <v>0</v>
      </c>
      <c r="K165" t="n">
        <v>0</v>
      </c>
      <c r="L165" t="n">
        <v>0</v>
      </c>
      <c r="M165" t="n">
        <v>0</v>
      </c>
      <c r="N165" t="n">
        <v>0</v>
      </c>
      <c r="O165" t="n">
        <v>0</v>
      </c>
      <c r="P165" t="n">
        <v>0</v>
      </c>
      <c r="Q165" t="n">
        <v>0</v>
      </c>
      <c r="R165" s="2" t="inlineStr"/>
    </row>
    <row r="166" ht="15" customHeight="1">
      <c r="A166" t="inlineStr">
        <is>
          <t>A 74090-2021</t>
        </is>
      </c>
      <c r="B166" s="1" t="n">
        <v>44557</v>
      </c>
      <c r="C166" s="1" t="n">
        <v>46084</v>
      </c>
      <c r="D166" t="inlineStr">
        <is>
          <t>UPPSALA LÄN</t>
        </is>
      </c>
      <c r="E166" t="inlineStr">
        <is>
          <t>ENKÖPING</t>
        </is>
      </c>
      <c r="G166" t="n">
        <v>2.1</v>
      </c>
      <c r="H166" t="n">
        <v>0</v>
      </c>
      <c r="I166" t="n">
        <v>0</v>
      </c>
      <c r="J166" t="n">
        <v>0</v>
      </c>
      <c r="K166" t="n">
        <v>0</v>
      </c>
      <c r="L166" t="n">
        <v>0</v>
      </c>
      <c r="M166" t="n">
        <v>0</v>
      </c>
      <c r="N166" t="n">
        <v>0</v>
      </c>
      <c r="O166" t="n">
        <v>0</v>
      </c>
      <c r="P166" t="n">
        <v>0</v>
      </c>
      <c r="Q166" t="n">
        <v>0</v>
      </c>
      <c r="R166" s="2" t="inlineStr"/>
    </row>
    <row r="167" ht="15" customHeight="1">
      <c r="A167" t="inlineStr">
        <is>
          <t>A 34805-2024</t>
        </is>
      </c>
      <c r="B167" s="1" t="n">
        <v>45526</v>
      </c>
      <c r="C167" s="1" t="n">
        <v>46084</v>
      </c>
      <c r="D167" t="inlineStr">
        <is>
          <t>UPPSALA LÄN</t>
        </is>
      </c>
      <c r="E167" t="inlineStr">
        <is>
          <t>ENKÖPING</t>
        </is>
      </c>
      <c r="G167" t="n">
        <v>3.6</v>
      </c>
      <c r="H167" t="n">
        <v>0</v>
      </c>
      <c r="I167" t="n">
        <v>0</v>
      </c>
      <c r="J167" t="n">
        <v>0</v>
      </c>
      <c r="K167" t="n">
        <v>0</v>
      </c>
      <c r="L167" t="n">
        <v>0</v>
      </c>
      <c r="M167" t="n">
        <v>0</v>
      </c>
      <c r="N167" t="n">
        <v>0</v>
      </c>
      <c r="O167" t="n">
        <v>0</v>
      </c>
      <c r="P167" t="n">
        <v>0</v>
      </c>
      <c r="Q167" t="n">
        <v>0</v>
      </c>
      <c r="R167" s="2" t="inlineStr"/>
    </row>
    <row r="168" ht="15" customHeight="1">
      <c r="A168" t="inlineStr">
        <is>
          <t>A 15757-2023</t>
        </is>
      </c>
      <c r="B168" s="1" t="n">
        <v>45021</v>
      </c>
      <c r="C168" s="1" t="n">
        <v>46084</v>
      </c>
      <c r="D168" t="inlineStr">
        <is>
          <t>UPPSALA LÄN</t>
        </is>
      </c>
      <c r="E168" t="inlineStr">
        <is>
          <t>ENKÖPING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17729-2023</t>
        </is>
      </c>
      <c r="B169" s="1" t="n">
        <v>45037</v>
      </c>
      <c r="C169" s="1" t="n">
        <v>46084</v>
      </c>
      <c r="D169" t="inlineStr">
        <is>
          <t>UPPSALA LÄN</t>
        </is>
      </c>
      <c r="E169" t="inlineStr">
        <is>
          <t>ENKÖPING</t>
        </is>
      </c>
      <c r="G169" t="n">
        <v>10.2</v>
      </c>
      <c r="H169" t="n">
        <v>0</v>
      </c>
      <c r="I169" t="n">
        <v>0</v>
      </c>
      <c r="J169" t="n">
        <v>0</v>
      </c>
      <c r="K169" t="n">
        <v>0</v>
      </c>
      <c r="L169" t="n">
        <v>0</v>
      </c>
      <c r="M169" t="n">
        <v>0</v>
      </c>
      <c r="N169" t="n">
        <v>0</v>
      </c>
      <c r="O169" t="n">
        <v>0</v>
      </c>
      <c r="P169" t="n">
        <v>0</v>
      </c>
      <c r="Q169" t="n">
        <v>0</v>
      </c>
      <c r="R169" s="2" t="inlineStr"/>
    </row>
    <row r="170" ht="15" customHeight="1">
      <c r="A170" t="inlineStr">
        <is>
          <t>A 2161-2023</t>
        </is>
      </c>
      <c r="B170" s="1" t="n">
        <v>44941</v>
      </c>
      <c r="C170" s="1" t="n">
        <v>46084</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2165-2023</t>
        </is>
      </c>
      <c r="B171" s="1" t="n">
        <v>44941</v>
      </c>
      <c r="C171" s="1" t="n">
        <v>46084</v>
      </c>
      <c r="D171" t="inlineStr">
        <is>
          <t>UPPSALA LÄN</t>
        </is>
      </c>
      <c r="E171" t="inlineStr">
        <is>
          <t>ENKÖPING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5712-2025</t>
        </is>
      </c>
      <c r="B172" s="1" t="n">
        <v>45694</v>
      </c>
      <c r="C172" s="1" t="n">
        <v>46084</v>
      </c>
      <c r="D172" t="inlineStr">
        <is>
          <t>UPPSALA LÄN</t>
        </is>
      </c>
      <c r="E172" t="inlineStr">
        <is>
          <t>ENKÖPING</t>
        </is>
      </c>
      <c r="G172" t="n">
        <v>5.1</v>
      </c>
      <c r="H172" t="n">
        <v>0</v>
      </c>
      <c r="I172" t="n">
        <v>0</v>
      </c>
      <c r="J172" t="n">
        <v>0</v>
      </c>
      <c r="K172" t="n">
        <v>0</v>
      </c>
      <c r="L172" t="n">
        <v>0</v>
      </c>
      <c r="M172" t="n">
        <v>0</v>
      </c>
      <c r="N172" t="n">
        <v>0</v>
      </c>
      <c r="O172" t="n">
        <v>0</v>
      </c>
      <c r="P172" t="n">
        <v>0</v>
      </c>
      <c r="Q172" t="n">
        <v>0</v>
      </c>
      <c r="R172" s="2" t="inlineStr"/>
    </row>
    <row r="173" ht="15" customHeight="1">
      <c r="A173" t="inlineStr">
        <is>
          <t>A 5749-2025</t>
        </is>
      </c>
      <c r="B173" s="1" t="n">
        <v>45694</v>
      </c>
      <c r="C173" s="1" t="n">
        <v>46084</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314-2025</t>
        </is>
      </c>
      <c r="B174" s="1" t="n">
        <v>45656</v>
      </c>
      <c r="C174" s="1" t="n">
        <v>46084</v>
      </c>
      <c r="D174" t="inlineStr">
        <is>
          <t>UPPSALA LÄN</t>
        </is>
      </c>
      <c r="E174" t="inlineStr">
        <is>
          <t>ENKÖPING</t>
        </is>
      </c>
      <c r="G174" t="n">
        <v>9</v>
      </c>
      <c r="H174" t="n">
        <v>0</v>
      </c>
      <c r="I174" t="n">
        <v>0</v>
      </c>
      <c r="J174" t="n">
        <v>0</v>
      </c>
      <c r="K174" t="n">
        <v>0</v>
      </c>
      <c r="L174" t="n">
        <v>0</v>
      </c>
      <c r="M174" t="n">
        <v>0</v>
      </c>
      <c r="N174" t="n">
        <v>0</v>
      </c>
      <c r="O174" t="n">
        <v>0</v>
      </c>
      <c r="P174" t="n">
        <v>0</v>
      </c>
      <c r="Q174" t="n">
        <v>0</v>
      </c>
      <c r="R174" s="2" t="inlineStr"/>
    </row>
    <row r="175" ht="15" customHeight="1">
      <c r="A175" t="inlineStr">
        <is>
          <t>A 39746-2025</t>
        </is>
      </c>
      <c r="B175" s="1" t="n">
        <v>45891</v>
      </c>
      <c r="C175" s="1" t="n">
        <v>46084</v>
      </c>
      <c r="D175" t="inlineStr">
        <is>
          <t>UPPSALA LÄN</t>
        </is>
      </c>
      <c r="E175" t="inlineStr">
        <is>
          <t>ENKÖPING</t>
        </is>
      </c>
      <c r="G175" t="n">
        <v>7.4</v>
      </c>
      <c r="H175" t="n">
        <v>0</v>
      </c>
      <c r="I175" t="n">
        <v>0</v>
      </c>
      <c r="J175" t="n">
        <v>0</v>
      </c>
      <c r="K175" t="n">
        <v>0</v>
      </c>
      <c r="L175" t="n">
        <v>0</v>
      </c>
      <c r="M175" t="n">
        <v>0</v>
      </c>
      <c r="N175" t="n">
        <v>0</v>
      </c>
      <c r="O175" t="n">
        <v>0</v>
      </c>
      <c r="P175" t="n">
        <v>0</v>
      </c>
      <c r="Q175" t="n">
        <v>0</v>
      </c>
      <c r="R175" s="2" t="inlineStr"/>
    </row>
    <row r="176" ht="15" customHeight="1">
      <c r="A176" t="inlineStr">
        <is>
          <t>A 20112-2024</t>
        </is>
      </c>
      <c r="B176" s="1" t="n">
        <v>45434</v>
      </c>
      <c r="C176" s="1" t="n">
        <v>46084</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11627-2025</t>
        </is>
      </c>
      <c r="B177" s="1" t="n">
        <v>45727</v>
      </c>
      <c r="C177" s="1" t="n">
        <v>46084</v>
      </c>
      <c r="D177" t="inlineStr">
        <is>
          <t>UPPSALA LÄN</t>
        </is>
      </c>
      <c r="E177" t="inlineStr">
        <is>
          <t>ENKÖPING</t>
        </is>
      </c>
      <c r="G177" t="n">
        <v>5.5</v>
      </c>
      <c r="H177" t="n">
        <v>0</v>
      </c>
      <c r="I177" t="n">
        <v>0</v>
      </c>
      <c r="J177" t="n">
        <v>0</v>
      </c>
      <c r="K177" t="n">
        <v>0</v>
      </c>
      <c r="L177" t="n">
        <v>0</v>
      </c>
      <c r="M177" t="n">
        <v>0</v>
      </c>
      <c r="N177" t="n">
        <v>0</v>
      </c>
      <c r="O177" t="n">
        <v>0</v>
      </c>
      <c r="P177" t="n">
        <v>0</v>
      </c>
      <c r="Q177" t="n">
        <v>0</v>
      </c>
      <c r="R177" s="2" t="inlineStr"/>
    </row>
    <row r="178" ht="15" customHeight="1">
      <c r="A178" t="inlineStr">
        <is>
          <t>A 24411-2024</t>
        </is>
      </c>
      <c r="B178" s="1" t="n">
        <v>45457</v>
      </c>
      <c r="C178" s="1" t="n">
        <v>46084</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2162-2023</t>
        </is>
      </c>
      <c r="B179" s="1" t="n">
        <v>44941</v>
      </c>
      <c r="C179" s="1" t="n">
        <v>46084</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32081-2024</t>
        </is>
      </c>
      <c r="B180" s="1" t="n">
        <v>45511.34605324074</v>
      </c>
      <c r="C180" s="1" t="n">
        <v>46084</v>
      </c>
      <c r="D180" t="inlineStr">
        <is>
          <t>UPPSALA LÄN</t>
        </is>
      </c>
      <c r="E180" t="inlineStr">
        <is>
          <t>ENKÖPING</t>
        </is>
      </c>
      <c r="G180" t="n">
        <v>5.4</v>
      </c>
      <c r="H180" t="n">
        <v>0</v>
      </c>
      <c r="I180" t="n">
        <v>0</v>
      </c>
      <c r="J180" t="n">
        <v>0</v>
      </c>
      <c r="K180" t="n">
        <v>0</v>
      </c>
      <c r="L180" t="n">
        <v>0</v>
      </c>
      <c r="M180" t="n">
        <v>0</v>
      </c>
      <c r="N180" t="n">
        <v>0</v>
      </c>
      <c r="O180" t="n">
        <v>0</v>
      </c>
      <c r="P180" t="n">
        <v>0</v>
      </c>
      <c r="Q180" t="n">
        <v>0</v>
      </c>
      <c r="R180" s="2" t="inlineStr"/>
    </row>
    <row r="181" ht="15" customHeight="1">
      <c r="A181" t="inlineStr">
        <is>
          <t>A 41616-2025</t>
        </is>
      </c>
      <c r="B181" s="1" t="n">
        <v>45901.69684027778</v>
      </c>
      <c r="C181" s="1" t="n">
        <v>46084</v>
      </c>
      <c r="D181" t="inlineStr">
        <is>
          <t>UPPSALA LÄN</t>
        </is>
      </c>
      <c r="E181" t="inlineStr">
        <is>
          <t>ENKÖPING</t>
        </is>
      </c>
      <c r="F181" t="inlineStr">
        <is>
          <t>Allmännings- och besparingsskogar</t>
        </is>
      </c>
      <c r="G181" t="n">
        <v>17.3</v>
      </c>
      <c r="H181" t="n">
        <v>0</v>
      </c>
      <c r="I181" t="n">
        <v>0</v>
      </c>
      <c r="J181" t="n">
        <v>0</v>
      </c>
      <c r="K181" t="n">
        <v>0</v>
      </c>
      <c r="L181" t="n">
        <v>0</v>
      </c>
      <c r="M181" t="n">
        <v>0</v>
      </c>
      <c r="N181" t="n">
        <v>0</v>
      </c>
      <c r="O181" t="n">
        <v>0</v>
      </c>
      <c r="P181" t="n">
        <v>0</v>
      </c>
      <c r="Q181" t="n">
        <v>0</v>
      </c>
      <c r="R181" s="2" t="inlineStr"/>
    </row>
    <row r="182" ht="15" customHeight="1">
      <c r="A182" t="inlineStr">
        <is>
          <t>A 58092-2024</t>
        </is>
      </c>
      <c r="B182" s="1" t="n">
        <v>45632</v>
      </c>
      <c r="C182" s="1" t="n">
        <v>46084</v>
      </c>
      <c r="D182" t="inlineStr">
        <is>
          <t>UPPSALA LÄN</t>
        </is>
      </c>
      <c r="E182" t="inlineStr">
        <is>
          <t>ENKÖPING</t>
        </is>
      </c>
      <c r="G182" t="n">
        <v>4.8</v>
      </c>
      <c r="H182" t="n">
        <v>0</v>
      </c>
      <c r="I182" t="n">
        <v>0</v>
      </c>
      <c r="J182" t="n">
        <v>0</v>
      </c>
      <c r="K182" t="n">
        <v>0</v>
      </c>
      <c r="L182" t="n">
        <v>0</v>
      </c>
      <c r="M182" t="n">
        <v>0</v>
      </c>
      <c r="N182" t="n">
        <v>0</v>
      </c>
      <c r="O182" t="n">
        <v>0</v>
      </c>
      <c r="P182" t="n">
        <v>0</v>
      </c>
      <c r="Q182" t="n">
        <v>0</v>
      </c>
      <c r="R182" s="2" t="inlineStr"/>
    </row>
    <row r="183" ht="15" customHeight="1">
      <c r="A183" t="inlineStr">
        <is>
          <t>A 41637-2025</t>
        </is>
      </c>
      <c r="B183" s="1" t="n">
        <v>45901</v>
      </c>
      <c r="C183" s="1" t="n">
        <v>46084</v>
      </c>
      <c r="D183" t="inlineStr">
        <is>
          <t>UPPSALA LÄN</t>
        </is>
      </c>
      <c r="E183" t="inlineStr">
        <is>
          <t>ENKÖPING</t>
        </is>
      </c>
      <c r="F183" t="inlineStr">
        <is>
          <t>Allmännings- och besparingsskogar</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27786-2023</t>
        </is>
      </c>
      <c r="B184" s="1" t="n">
        <v>45098</v>
      </c>
      <c r="C184" s="1" t="n">
        <v>46084</v>
      </c>
      <c r="D184" t="inlineStr">
        <is>
          <t>UPPSALA LÄN</t>
        </is>
      </c>
      <c r="E184" t="inlineStr">
        <is>
          <t>ENKÖPING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26024-2025</t>
        </is>
      </c>
      <c r="B185" s="1" t="n">
        <v>45804.6831712963</v>
      </c>
      <c r="C185" s="1" t="n">
        <v>46084</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26042-2025</t>
        </is>
      </c>
      <c r="B186" s="1" t="n">
        <v>45804.70018518518</v>
      </c>
      <c r="C186" s="1" t="n">
        <v>46084</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41618-2025</t>
        </is>
      </c>
      <c r="B187" s="1" t="n">
        <v>45901.70085648148</v>
      </c>
      <c r="C187" s="1" t="n">
        <v>46084</v>
      </c>
      <c r="D187" t="inlineStr">
        <is>
          <t>UPPSALA LÄN</t>
        </is>
      </c>
      <c r="E187" t="inlineStr">
        <is>
          <t>ENKÖPING</t>
        </is>
      </c>
      <c r="F187" t="inlineStr">
        <is>
          <t>Allmännings- och besparingsskogar</t>
        </is>
      </c>
      <c r="G187" t="n">
        <v>5.3</v>
      </c>
      <c r="H187" t="n">
        <v>0</v>
      </c>
      <c r="I187" t="n">
        <v>0</v>
      </c>
      <c r="J187" t="n">
        <v>0</v>
      </c>
      <c r="K187" t="n">
        <v>0</v>
      </c>
      <c r="L187" t="n">
        <v>0</v>
      </c>
      <c r="M187" t="n">
        <v>0</v>
      </c>
      <c r="N187" t="n">
        <v>0</v>
      </c>
      <c r="O187" t="n">
        <v>0</v>
      </c>
      <c r="P187" t="n">
        <v>0</v>
      </c>
      <c r="Q187" t="n">
        <v>0</v>
      </c>
      <c r="R187" s="2" t="inlineStr"/>
    </row>
    <row r="188" ht="15" customHeight="1">
      <c r="A188" t="inlineStr">
        <is>
          <t>A 2968-2025</t>
        </is>
      </c>
      <c r="B188" s="1" t="n">
        <v>45678</v>
      </c>
      <c r="C188" s="1" t="n">
        <v>46084</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49525-2021</t>
        </is>
      </c>
      <c r="B189" s="1" t="n">
        <v>44455</v>
      </c>
      <c r="C189" s="1" t="n">
        <v>46084</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26005-2025</t>
        </is>
      </c>
      <c r="B190" s="1" t="n">
        <v>45804.67055555555</v>
      </c>
      <c r="C190" s="1" t="n">
        <v>46084</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26026-2025</t>
        </is>
      </c>
      <c r="B191" s="1" t="n">
        <v>45804.68510416667</v>
      </c>
      <c r="C191" s="1" t="n">
        <v>46084</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26030-2025</t>
        </is>
      </c>
      <c r="B192" s="1" t="n">
        <v>45804.68815972222</v>
      </c>
      <c r="C192" s="1" t="n">
        <v>46084</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6959-2025</t>
        </is>
      </c>
      <c r="B193" s="1" t="n">
        <v>45701.49315972222</v>
      </c>
      <c r="C193" s="1" t="n">
        <v>46084</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26022-2025</t>
        </is>
      </c>
      <c r="B194" s="1" t="n">
        <v>45804.68006944445</v>
      </c>
      <c r="C194" s="1" t="n">
        <v>46084</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25988-2025</t>
        </is>
      </c>
      <c r="B195" s="1" t="n">
        <v>45804.64814814815</v>
      </c>
      <c r="C195" s="1" t="n">
        <v>46084</v>
      </c>
      <c r="D195" t="inlineStr">
        <is>
          <t>UPPSALA LÄN</t>
        </is>
      </c>
      <c r="E195" t="inlineStr">
        <is>
          <t>ENKÖPING</t>
        </is>
      </c>
      <c r="G195" t="n">
        <v>4.7</v>
      </c>
      <c r="H195" t="n">
        <v>0</v>
      </c>
      <c r="I195" t="n">
        <v>0</v>
      </c>
      <c r="J195" t="n">
        <v>0</v>
      </c>
      <c r="K195" t="n">
        <v>0</v>
      </c>
      <c r="L195" t="n">
        <v>0</v>
      </c>
      <c r="M195" t="n">
        <v>0</v>
      </c>
      <c r="N195" t="n">
        <v>0</v>
      </c>
      <c r="O195" t="n">
        <v>0</v>
      </c>
      <c r="P195" t="n">
        <v>0</v>
      </c>
      <c r="Q195" t="n">
        <v>0</v>
      </c>
      <c r="R195" s="2" t="inlineStr"/>
    </row>
    <row r="196" ht="15" customHeight="1">
      <c r="A196" t="inlineStr">
        <is>
          <t>A 26031-2025</t>
        </is>
      </c>
      <c r="B196" s="1" t="n">
        <v>45804.69050925926</v>
      </c>
      <c r="C196" s="1" t="n">
        <v>46084</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26041-2025</t>
        </is>
      </c>
      <c r="B197" s="1" t="n">
        <v>45804.69883101852</v>
      </c>
      <c r="C197" s="1" t="n">
        <v>46084</v>
      </c>
      <c r="D197" t="inlineStr">
        <is>
          <t>UPPSALA LÄN</t>
        </is>
      </c>
      <c r="E197" t="inlineStr">
        <is>
          <t>ENKÖPING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25847-2025</t>
        </is>
      </c>
      <c r="B198" s="1" t="n">
        <v>45804</v>
      </c>
      <c r="C198" s="1" t="n">
        <v>46084</v>
      </c>
      <c r="D198" t="inlineStr">
        <is>
          <t>UPPSALA LÄN</t>
        </is>
      </c>
      <c r="E198" t="inlineStr">
        <is>
          <t>ENKÖPING</t>
        </is>
      </c>
      <c r="G198" t="n">
        <v>3.6</v>
      </c>
      <c r="H198" t="n">
        <v>0</v>
      </c>
      <c r="I198" t="n">
        <v>0</v>
      </c>
      <c r="J198" t="n">
        <v>0</v>
      </c>
      <c r="K198" t="n">
        <v>0</v>
      </c>
      <c r="L198" t="n">
        <v>0</v>
      </c>
      <c r="M198" t="n">
        <v>0</v>
      </c>
      <c r="N198" t="n">
        <v>0</v>
      </c>
      <c r="O198" t="n">
        <v>0</v>
      </c>
      <c r="P198" t="n">
        <v>0</v>
      </c>
      <c r="Q198" t="n">
        <v>0</v>
      </c>
      <c r="R198" s="2" t="inlineStr"/>
    </row>
    <row r="199" ht="15" customHeight="1">
      <c r="A199" t="inlineStr">
        <is>
          <t>A 26047-2025</t>
        </is>
      </c>
      <c r="B199" s="1" t="n">
        <v>45804.70835648148</v>
      </c>
      <c r="C199" s="1" t="n">
        <v>46084</v>
      </c>
      <c r="D199" t="inlineStr">
        <is>
          <t>UPPSALA LÄN</t>
        </is>
      </c>
      <c r="E199" t="inlineStr">
        <is>
          <t>ENKÖPING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42029-2025</t>
        </is>
      </c>
      <c r="B200" s="1" t="n">
        <v>45903</v>
      </c>
      <c r="C200" s="1" t="n">
        <v>46084</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41765-2025</t>
        </is>
      </c>
      <c r="B201" s="1" t="n">
        <v>45902</v>
      </c>
      <c r="C201" s="1" t="n">
        <v>46084</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48864-2022</t>
        </is>
      </c>
      <c r="B202" s="1" t="n">
        <v>44859</v>
      </c>
      <c r="C202" s="1" t="n">
        <v>46084</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30437-2022</t>
        </is>
      </c>
      <c r="B203" s="1" t="n">
        <v>44761</v>
      </c>
      <c r="C203" s="1" t="n">
        <v>46084</v>
      </c>
      <c r="D203" t="inlineStr">
        <is>
          <t>UPPSALA LÄN</t>
        </is>
      </c>
      <c r="E203" t="inlineStr">
        <is>
          <t>ENKÖPING</t>
        </is>
      </c>
      <c r="G203" t="n">
        <v>3.4</v>
      </c>
      <c r="H203" t="n">
        <v>0</v>
      </c>
      <c r="I203" t="n">
        <v>0</v>
      </c>
      <c r="J203" t="n">
        <v>0</v>
      </c>
      <c r="K203" t="n">
        <v>0</v>
      </c>
      <c r="L203" t="n">
        <v>0</v>
      </c>
      <c r="M203" t="n">
        <v>0</v>
      </c>
      <c r="N203" t="n">
        <v>0</v>
      </c>
      <c r="O203" t="n">
        <v>0</v>
      </c>
      <c r="P203" t="n">
        <v>0</v>
      </c>
      <c r="Q203" t="n">
        <v>0</v>
      </c>
      <c r="R203" s="2" t="inlineStr"/>
    </row>
    <row r="204" ht="15" customHeight="1">
      <c r="A204" t="inlineStr">
        <is>
          <t>A 51011-2024</t>
        </is>
      </c>
      <c r="B204" s="1" t="n">
        <v>45603.39427083333</v>
      </c>
      <c r="C204" s="1" t="n">
        <v>46084</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26319-2022</t>
        </is>
      </c>
      <c r="B205" s="1" t="n">
        <v>44735</v>
      </c>
      <c r="C205" s="1" t="n">
        <v>46084</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47516-2022</t>
        </is>
      </c>
      <c r="B206" s="1" t="n">
        <v>44853.68895833333</v>
      </c>
      <c r="C206" s="1" t="n">
        <v>46084</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35067-2024</t>
        </is>
      </c>
      <c r="B207" s="1" t="n">
        <v>45527.66153935185</v>
      </c>
      <c r="C207" s="1" t="n">
        <v>46084</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29918-2023</t>
        </is>
      </c>
      <c r="B208" s="1" t="n">
        <v>45099</v>
      </c>
      <c r="C208" s="1" t="n">
        <v>46084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41764-2025</t>
        </is>
      </c>
      <c r="B209" s="1" t="n">
        <v>45902</v>
      </c>
      <c r="C209" s="1" t="n">
        <v>46084</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6242-2025</t>
        </is>
      </c>
      <c r="B210" s="1" t="n">
        <v>45697</v>
      </c>
      <c r="C210" s="1" t="n">
        <v>46084</v>
      </c>
      <c r="D210" t="inlineStr">
        <is>
          <t>UPPSALA LÄN</t>
        </is>
      </c>
      <c r="E210" t="inlineStr">
        <is>
          <t>ENKÖPING</t>
        </is>
      </c>
      <c r="G210" t="n">
        <v>17.9</v>
      </c>
      <c r="H210" t="n">
        <v>0</v>
      </c>
      <c r="I210" t="n">
        <v>0</v>
      </c>
      <c r="J210" t="n">
        <v>0</v>
      </c>
      <c r="K210" t="n">
        <v>0</v>
      </c>
      <c r="L210" t="n">
        <v>0</v>
      </c>
      <c r="M210" t="n">
        <v>0</v>
      </c>
      <c r="N210" t="n">
        <v>0</v>
      </c>
      <c r="O210" t="n">
        <v>0</v>
      </c>
      <c r="P210" t="n">
        <v>0</v>
      </c>
      <c r="Q210" t="n">
        <v>0</v>
      </c>
      <c r="R210" s="2" t="inlineStr"/>
    </row>
    <row r="211" ht="15" customHeight="1">
      <c r="A211" t="inlineStr">
        <is>
          <t>A 24291-2024</t>
        </is>
      </c>
      <c r="B211" s="1" t="n">
        <v>45457.4584837963</v>
      </c>
      <c r="C211" s="1" t="n">
        <v>46084</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42459-2024</t>
        </is>
      </c>
      <c r="B212" s="1" t="n">
        <v>45565</v>
      </c>
      <c r="C212" s="1" t="n">
        <v>46084</v>
      </c>
      <c r="D212" t="inlineStr">
        <is>
          <t>UPPSALA LÄN</t>
        </is>
      </c>
      <c r="E212" t="inlineStr">
        <is>
          <t>ENKÖPING</t>
        </is>
      </c>
      <c r="G212" t="n">
        <v>3.6</v>
      </c>
      <c r="H212" t="n">
        <v>0</v>
      </c>
      <c r="I212" t="n">
        <v>0</v>
      </c>
      <c r="J212" t="n">
        <v>0</v>
      </c>
      <c r="K212" t="n">
        <v>0</v>
      </c>
      <c r="L212" t="n">
        <v>0</v>
      </c>
      <c r="M212" t="n">
        <v>0</v>
      </c>
      <c r="N212" t="n">
        <v>0</v>
      </c>
      <c r="O212" t="n">
        <v>0</v>
      </c>
      <c r="P212" t="n">
        <v>0</v>
      </c>
      <c r="Q212" t="n">
        <v>0</v>
      </c>
      <c r="R212" s="2" t="inlineStr"/>
    </row>
    <row r="213" ht="15" customHeight="1">
      <c r="A213" t="inlineStr">
        <is>
          <t>A 51042-2024</t>
        </is>
      </c>
      <c r="B213" s="1" t="n">
        <v>45603.4342824074</v>
      </c>
      <c r="C213" s="1" t="n">
        <v>46084</v>
      </c>
      <c r="D213" t="inlineStr">
        <is>
          <t>UPPSALA LÄN</t>
        </is>
      </c>
      <c r="E213" t="inlineStr">
        <is>
          <t>ENKÖPING</t>
        </is>
      </c>
      <c r="G213" t="n">
        <v>4.6</v>
      </c>
      <c r="H213" t="n">
        <v>0</v>
      </c>
      <c r="I213" t="n">
        <v>0</v>
      </c>
      <c r="J213" t="n">
        <v>0</v>
      </c>
      <c r="K213" t="n">
        <v>0</v>
      </c>
      <c r="L213" t="n">
        <v>0</v>
      </c>
      <c r="M213" t="n">
        <v>0</v>
      </c>
      <c r="N213" t="n">
        <v>0</v>
      </c>
      <c r="O213" t="n">
        <v>0</v>
      </c>
      <c r="P213" t="n">
        <v>0</v>
      </c>
      <c r="Q213" t="n">
        <v>0</v>
      </c>
      <c r="R213" s="2" t="inlineStr"/>
    </row>
    <row r="214" ht="15" customHeight="1">
      <c r="A214" t="inlineStr">
        <is>
          <t>A 51037-2024</t>
        </is>
      </c>
      <c r="B214" s="1" t="n">
        <v>45603.43005787037</v>
      </c>
      <c r="C214" s="1" t="n">
        <v>46084</v>
      </c>
      <c r="D214" t="inlineStr">
        <is>
          <t>UPPSALA LÄN</t>
        </is>
      </c>
      <c r="E214" t="inlineStr">
        <is>
          <t>ENKÖPING</t>
        </is>
      </c>
      <c r="G214" t="n">
        <v>5.7</v>
      </c>
      <c r="H214" t="n">
        <v>0</v>
      </c>
      <c r="I214" t="n">
        <v>0</v>
      </c>
      <c r="J214" t="n">
        <v>0</v>
      </c>
      <c r="K214" t="n">
        <v>0</v>
      </c>
      <c r="L214" t="n">
        <v>0</v>
      </c>
      <c r="M214" t="n">
        <v>0</v>
      </c>
      <c r="N214" t="n">
        <v>0</v>
      </c>
      <c r="O214" t="n">
        <v>0</v>
      </c>
      <c r="P214" t="n">
        <v>0</v>
      </c>
      <c r="Q214" t="n">
        <v>0</v>
      </c>
      <c r="R214" s="2" t="inlineStr"/>
    </row>
    <row r="215" ht="15" customHeight="1">
      <c r="A215" t="inlineStr">
        <is>
          <t>A 42756-2025</t>
        </is>
      </c>
      <c r="B215" s="1" t="n">
        <v>45908</v>
      </c>
      <c r="C215" s="1" t="n">
        <v>46084</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60125-2024</t>
        </is>
      </c>
      <c r="B216" s="1" t="n">
        <v>45642</v>
      </c>
      <c r="C216" s="1" t="n">
        <v>46084</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22632-2025</t>
        </is>
      </c>
      <c r="B217" s="1" t="n">
        <v>45789.44361111111</v>
      </c>
      <c r="C217" s="1" t="n">
        <v>46084</v>
      </c>
      <c r="D217" t="inlineStr">
        <is>
          <t>UPPSALA LÄN</t>
        </is>
      </c>
      <c r="E217" t="inlineStr">
        <is>
          <t>ENKÖPING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10468-2025</t>
        </is>
      </c>
      <c r="B218" s="1" t="n">
        <v>45720</v>
      </c>
      <c r="C218" s="1" t="n">
        <v>46084</v>
      </c>
      <c r="D218" t="inlineStr">
        <is>
          <t>UPPSALA LÄN</t>
        </is>
      </c>
      <c r="E218" t="inlineStr">
        <is>
          <t>ENKÖPING</t>
        </is>
      </c>
      <c r="G218" t="n">
        <v>1.6</v>
      </c>
      <c r="H218" t="n">
        <v>0</v>
      </c>
      <c r="I218" t="n">
        <v>0</v>
      </c>
      <c r="J218" t="n">
        <v>0</v>
      </c>
      <c r="K218" t="n">
        <v>0</v>
      </c>
      <c r="L218" t="n">
        <v>0</v>
      </c>
      <c r="M218" t="n">
        <v>0</v>
      </c>
      <c r="N218" t="n">
        <v>0</v>
      </c>
      <c r="O218" t="n">
        <v>0</v>
      </c>
      <c r="P218" t="n">
        <v>0</v>
      </c>
      <c r="Q218" t="n">
        <v>0</v>
      </c>
      <c r="R218" s="2" t="inlineStr"/>
    </row>
    <row r="219" ht="15" customHeight="1">
      <c r="A219" t="inlineStr">
        <is>
          <t>A 27829-2025</t>
        </is>
      </c>
      <c r="B219" s="1" t="n">
        <v>45817</v>
      </c>
      <c r="C219" s="1" t="n">
        <v>46084</v>
      </c>
      <c r="D219" t="inlineStr">
        <is>
          <t>UPPSALA LÄN</t>
        </is>
      </c>
      <c r="E219" t="inlineStr">
        <is>
          <t>ENKÖPING</t>
        </is>
      </c>
      <c r="G219" t="n">
        <v>2.1</v>
      </c>
      <c r="H219" t="n">
        <v>0</v>
      </c>
      <c r="I219" t="n">
        <v>0</v>
      </c>
      <c r="J219" t="n">
        <v>0</v>
      </c>
      <c r="K219" t="n">
        <v>0</v>
      </c>
      <c r="L219" t="n">
        <v>0</v>
      </c>
      <c r="M219" t="n">
        <v>0</v>
      </c>
      <c r="N219" t="n">
        <v>0</v>
      </c>
      <c r="O219" t="n">
        <v>0</v>
      </c>
      <c r="P219" t="n">
        <v>0</v>
      </c>
      <c r="Q219" t="n">
        <v>0</v>
      </c>
      <c r="R219" s="2" t="inlineStr"/>
    </row>
    <row r="220" ht="15" customHeight="1">
      <c r="A220" t="inlineStr">
        <is>
          <t>A 5211-2024</t>
        </is>
      </c>
      <c r="B220" s="1" t="n">
        <v>45330</v>
      </c>
      <c r="C220" s="1" t="n">
        <v>46084</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51027-2024</t>
        </is>
      </c>
      <c r="B221" s="1" t="n">
        <v>45603</v>
      </c>
      <c r="C221" s="1" t="n">
        <v>46084</v>
      </c>
      <c r="D221" t="inlineStr">
        <is>
          <t>UPPSALA LÄN</t>
        </is>
      </c>
      <c r="E221" t="inlineStr">
        <is>
          <t>ENKÖPING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10409-2025</t>
        </is>
      </c>
      <c r="B222" s="1" t="n">
        <v>45720.631875</v>
      </c>
      <c r="C222" s="1" t="n">
        <v>46084</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39009-2024</t>
        </is>
      </c>
      <c r="B223" s="1" t="n">
        <v>45548</v>
      </c>
      <c r="C223" s="1" t="n">
        <v>46084</v>
      </c>
      <c r="D223" t="inlineStr">
        <is>
          <t>UPPSALA LÄN</t>
        </is>
      </c>
      <c r="E223" t="inlineStr">
        <is>
          <t>ENKÖPING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8537-2025</t>
        </is>
      </c>
      <c r="B224" s="1" t="n">
        <v>45709</v>
      </c>
      <c r="C224" s="1" t="n">
        <v>46084</v>
      </c>
      <c r="D224" t="inlineStr">
        <is>
          <t>UPPSALA LÄN</t>
        </is>
      </c>
      <c r="E224" t="inlineStr">
        <is>
          <t>ENKÖPING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18299-2025</t>
        </is>
      </c>
      <c r="B225" s="1" t="n">
        <v>45762</v>
      </c>
      <c r="C225" s="1" t="n">
        <v>46084</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43999-2025</t>
        </is>
      </c>
      <c r="B226" s="1" t="n">
        <v>45915.45158564814</v>
      </c>
      <c r="C226" s="1" t="n">
        <v>46084</v>
      </c>
      <c r="D226" t="inlineStr">
        <is>
          <t>UPPSALA LÄN</t>
        </is>
      </c>
      <c r="E226" t="inlineStr">
        <is>
          <t>ENKÖPING</t>
        </is>
      </c>
      <c r="G226" t="n">
        <v>4.1</v>
      </c>
      <c r="H226" t="n">
        <v>0</v>
      </c>
      <c r="I226" t="n">
        <v>0</v>
      </c>
      <c r="J226" t="n">
        <v>0</v>
      </c>
      <c r="K226" t="n">
        <v>0</v>
      </c>
      <c r="L226" t="n">
        <v>0</v>
      </c>
      <c r="M226" t="n">
        <v>0</v>
      </c>
      <c r="N226" t="n">
        <v>0</v>
      </c>
      <c r="O226" t="n">
        <v>0</v>
      </c>
      <c r="P226" t="n">
        <v>0</v>
      </c>
      <c r="Q226" t="n">
        <v>0</v>
      </c>
      <c r="R226" s="2" t="inlineStr"/>
    </row>
    <row r="227" ht="15" customHeight="1">
      <c r="A227" t="inlineStr">
        <is>
          <t>A 2833-2025</t>
        </is>
      </c>
      <c r="B227" s="1" t="n">
        <v>45677.63206018518</v>
      </c>
      <c r="C227" s="1" t="n">
        <v>46084</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28758-2025</t>
        </is>
      </c>
      <c r="B228" s="1" t="n">
        <v>45820.41212962963</v>
      </c>
      <c r="C228" s="1" t="n">
        <v>46084</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28862-2025</t>
        </is>
      </c>
      <c r="B229" s="1" t="n">
        <v>45820.59189814814</v>
      </c>
      <c r="C229" s="1" t="n">
        <v>46084</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21686-2022</t>
        </is>
      </c>
      <c r="B230" s="1" t="n">
        <v>44707</v>
      </c>
      <c r="C230" s="1" t="n">
        <v>46084</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28855-2025</t>
        </is>
      </c>
      <c r="B231" s="1" t="n">
        <v>45820.58274305556</v>
      </c>
      <c r="C231" s="1" t="n">
        <v>46084</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18831-2023</t>
        </is>
      </c>
      <c r="B232" s="1" t="n">
        <v>45044.40798611111</v>
      </c>
      <c r="C232" s="1" t="n">
        <v>46084</v>
      </c>
      <c r="D232" t="inlineStr">
        <is>
          <t>UPPSALA LÄN</t>
        </is>
      </c>
      <c r="E232" t="inlineStr">
        <is>
          <t>ENKÖPING</t>
        </is>
      </c>
      <c r="G232" t="n">
        <v>4.3</v>
      </c>
      <c r="H232" t="n">
        <v>0</v>
      </c>
      <c r="I232" t="n">
        <v>0</v>
      </c>
      <c r="J232" t="n">
        <v>0</v>
      </c>
      <c r="K232" t="n">
        <v>0</v>
      </c>
      <c r="L232" t="n">
        <v>0</v>
      </c>
      <c r="M232" t="n">
        <v>0</v>
      </c>
      <c r="N232" t="n">
        <v>0</v>
      </c>
      <c r="O232" t="n">
        <v>0</v>
      </c>
      <c r="P232" t="n">
        <v>0</v>
      </c>
      <c r="Q232" t="n">
        <v>0</v>
      </c>
      <c r="R232" s="2" t="inlineStr"/>
    </row>
    <row r="233" ht="15" customHeight="1">
      <c r="A233" t="inlineStr">
        <is>
          <t>A 44419-2025</t>
        </is>
      </c>
      <c r="B233" s="1" t="n">
        <v>45916.54671296296</v>
      </c>
      <c r="C233" s="1" t="n">
        <v>46084</v>
      </c>
      <c r="D233" t="inlineStr">
        <is>
          <t>UPPSALA LÄN</t>
        </is>
      </c>
      <c r="E233" t="inlineStr">
        <is>
          <t>ENKÖPING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29093-2025</t>
        </is>
      </c>
      <c r="B234" s="1" t="n">
        <v>45821.55743055556</v>
      </c>
      <c r="C234" s="1" t="n">
        <v>46084</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50006-2023</t>
        </is>
      </c>
      <c r="B235" s="1" t="n">
        <v>45215</v>
      </c>
      <c r="C235" s="1" t="n">
        <v>46084</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32477-2025</t>
        </is>
      </c>
      <c r="B236" s="1" t="n">
        <v>45838.43098379629</v>
      </c>
      <c r="C236" s="1" t="n">
        <v>46084</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6172-2023</t>
        </is>
      </c>
      <c r="B237" s="1" t="n">
        <v>44964.68663194445</v>
      </c>
      <c r="C237" s="1" t="n">
        <v>46084</v>
      </c>
      <c r="D237" t="inlineStr">
        <is>
          <t>UPPSALA LÄN</t>
        </is>
      </c>
      <c r="E237" t="inlineStr">
        <is>
          <t>ENKÖPING</t>
        </is>
      </c>
      <c r="G237" t="n">
        <v>2.6</v>
      </c>
      <c r="H237" t="n">
        <v>0</v>
      </c>
      <c r="I237" t="n">
        <v>0</v>
      </c>
      <c r="J237" t="n">
        <v>0</v>
      </c>
      <c r="K237" t="n">
        <v>0</v>
      </c>
      <c r="L237" t="n">
        <v>0</v>
      </c>
      <c r="M237" t="n">
        <v>0</v>
      </c>
      <c r="N237" t="n">
        <v>0</v>
      </c>
      <c r="O237" t="n">
        <v>0</v>
      </c>
      <c r="P237" t="n">
        <v>0</v>
      </c>
      <c r="Q237" t="n">
        <v>0</v>
      </c>
      <c r="R237" s="2" t="inlineStr"/>
    </row>
    <row r="238" ht="15" customHeight="1">
      <c r="A238" t="inlineStr">
        <is>
          <t>A 14402-2023</t>
        </is>
      </c>
      <c r="B238" s="1" t="n">
        <v>45012</v>
      </c>
      <c r="C238" s="1" t="n">
        <v>46084</v>
      </c>
      <c r="D238" t="inlineStr">
        <is>
          <t>UPPSALA LÄN</t>
        </is>
      </c>
      <c r="E238" t="inlineStr">
        <is>
          <t>ENKÖPING</t>
        </is>
      </c>
      <c r="G238" t="n">
        <v>9.5</v>
      </c>
      <c r="H238" t="n">
        <v>0</v>
      </c>
      <c r="I238" t="n">
        <v>0</v>
      </c>
      <c r="J238" t="n">
        <v>0</v>
      </c>
      <c r="K238" t="n">
        <v>0</v>
      </c>
      <c r="L238" t="n">
        <v>0</v>
      </c>
      <c r="M238" t="n">
        <v>0</v>
      </c>
      <c r="N238" t="n">
        <v>0</v>
      </c>
      <c r="O238" t="n">
        <v>0</v>
      </c>
      <c r="P238" t="n">
        <v>0</v>
      </c>
      <c r="Q238" t="n">
        <v>0</v>
      </c>
      <c r="R238" s="2" t="inlineStr"/>
    </row>
    <row r="239" ht="15" customHeight="1">
      <c r="A239" t="inlineStr">
        <is>
          <t>A 56526-2022</t>
        </is>
      </c>
      <c r="B239" s="1" t="n">
        <v>44893</v>
      </c>
      <c r="C239" s="1" t="n">
        <v>46084</v>
      </c>
      <c r="D239" t="inlineStr">
        <is>
          <t>UPPSALA LÄN</t>
        </is>
      </c>
      <c r="E239" t="inlineStr">
        <is>
          <t>ENKÖPING</t>
        </is>
      </c>
      <c r="G239" t="n">
        <v>3.8</v>
      </c>
      <c r="H239" t="n">
        <v>0</v>
      </c>
      <c r="I239" t="n">
        <v>0</v>
      </c>
      <c r="J239" t="n">
        <v>0</v>
      </c>
      <c r="K239" t="n">
        <v>0</v>
      </c>
      <c r="L239" t="n">
        <v>0</v>
      </c>
      <c r="M239" t="n">
        <v>0</v>
      </c>
      <c r="N239" t="n">
        <v>0</v>
      </c>
      <c r="O239" t="n">
        <v>0</v>
      </c>
      <c r="P239" t="n">
        <v>0</v>
      </c>
      <c r="Q239" t="n">
        <v>0</v>
      </c>
      <c r="R239" s="2" t="inlineStr"/>
    </row>
    <row r="240" ht="15" customHeight="1">
      <c r="A240" t="inlineStr">
        <is>
          <t>A 39858-2024</t>
        </is>
      </c>
      <c r="B240" s="1" t="n">
        <v>45553</v>
      </c>
      <c r="C240" s="1" t="n">
        <v>46084</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60289-2022</t>
        </is>
      </c>
      <c r="B241" s="1" t="n">
        <v>44910.53026620371</v>
      </c>
      <c r="C241" s="1" t="n">
        <v>46084</v>
      </c>
      <c r="D241" t="inlineStr">
        <is>
          <t>UPPSALA LÄN</t>
        </is>
      </c>
      <c r="E241" t="inlineStr">
        <is>
          <t>ENKÖPING</t>
        </is>
      </c>
      <c r="G241" t="n">
        <v>3.2</v>
      </c>
      <c r="H241" t="n">
        <v>0</v>
      </c>
      <c r="I241" t="n">
        <v>0</v>
      </c>
      <c r="J241" t="n">
        <v>0</v>
      </c>
      <c r="K241" t="n">
        <v>0</v>
      </c>
      <c r="L241" t="n">
        <v>0</v>
      </c>
      <c r="M241" t="n">
        <v>0</v>
      </c>
      <c r="N241" t="n">
        <v>0</v>
      </c>
      <c r="O241" t="n">
        <v>0</v>
      </c>
      <c r="P241" t="n">
        <v>0</v>
      </c>
      <c r="Q241" t="n">
        <v>0</v>
      </c>
      <c r="R241" s="2" t="inlineStr"/>
    </row>
    <row r="242" ht="15" customHeight="1">
      <c r="A242" t="inlineStr">
        <is>
          <t>A 13110-2023</t>
        </is>
      </c>
      <c r="B242" s="1" t="n">
        <v>45001</v>
      </c>
      <c r="C242" s="1" t="n">
        <v>46084</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58384-2022</t>
        </is>
      </c>
      <c r="B243" s="1" t="n">
        <v>44901</v>
      </c>
      <c r="C243" s="1" t="n">
        <v>46084</v>
      </c>
      <c r="D243" t="inlineStr">
        <is>
          <t>UPPSALA LÄN</t>
        </is>
      </c>
      <c r="E243" t="inlineStr">
        <is>
          <t>ENKÖPING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59602-2022</t>
        </is>
      </c>
      <c r="B244" s="1" t="n">
        <v>44907.72241898148</v>
      </c>
      <c r="C244" s="1" t="n">
        <v>46084</v>
      </c>
      <c r="D244" t="inlineStr">
        <is>
          <t>UPPSALA LÄN</t>
        </is>
      </c>
      <c r="E244" t="inlineStr">
        <is>
          <t>ENKÖPING</t>
        </is>
      </c>
      <c r="G244" t="n">
        <v>14.2</v>
      </c>
      <c r="H244" t="n">
        <v>0</v>
      </c>
      <c r="I244" t="n">
        <v>0</v>
      </c>
      <c r="J244" t="n">
        <v>0</v>
      </c>
      <c r="K244" t="n">
        <v>0</v>
      </c>
      <c r="L244" t="n">
        <v>0</v>
      </c>
      <c r="M244" t="n">
        <v>0</v>
      </c>
      <c r="N244" t="n">
        <v>0</v>
      </c>
      <c r="O244" t="n">
        <v>0</v>
      </c>
      <c r="P244" t="n">
        <v>0</v>
      </c>
      <c r="Q244" t="n">
        <v>0</v>
      </c>
      <c r="R244" s="2" t="inlineStr"/>
    </row>
    <row r="245" ht="15" customHeight="1">
      <c r="A245" t="inlineStr">
        <is>
          <t>A 31965-2021</t>
        </is>
      </c>
      <c r="B245" s="1" t="n">
        <v>44370.56901620371</v>
      </c>
      <c r="C245" s="1" t="n">
        <v>46084</v>
      </c>
      <c r="D245" t="inlineStr">
        <is>
          <t>UPPSALA LÄN</t>
        </is>
      </c>
      <c r="E245" t="inlineStr">
        <is>
          <t>ENKÖPING</t>
        </is>
      </c>
      <c r="G245" t="n">
        <v>0.9</v>
      </c>
      <c r="H245" t="n">
        <v>0</v>
      </c>
      <c r="I245" t="n">
        <v>0</v>
      </c>
      <c r="J245" t="n">
        <v>0</v>
      </c>
      <c r="K245" t="n">
        <v>0</v>
      </c>
      <c r="L245" t="n">
        <v>0</v>
      </c>
      <c r="M245" t="n">
        <v>0</v>
      </c>
      <c r="N245" t="n">
        <v>0</v>
      </c>
      <c r="O245" t="n">
        <v>0</v>
      </c>
      <c r="P245" t="n">
        <v>0</v>
      </c>
      <c r="Q245" t="n">
        <v>0</v>
      </c>
      <c r="R245" s="2" t="inlineStr"/>
    </row>
    <row r="246" ht="15" customHeight="1">
      <c r="A246" t="inlineStr">
        <is>
          <t>A 67984-2021</t>
        </is>
      </c>
      <c r="B246" s="1" t="n">
        <v>44525.70237268518</v>
      </c>
      <c r="C246" s="1" t="n">
        <v>46084</v>
      </c>
      <c r="D246" t="inlineStr">
        <is>
          <t>UPPSALA LÄN</t>
        </is>
      </c>
      <c r="E246" t="inlineStr">
        <is>
          <t>ENKÖPING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30837-2025</t>
        </is>
      </c>
      <c r="B247" s="1" t="n">
        <v>45831.7063425926</v>
      </c>
      <c r="C247" s="1" t="n">
        <v>46084</v>
      </c>
      <c r="D247" t="inlineStr">
        <is>
          <t>UPPSALA LÄN</t>
        </is>
      </c>
      <c r="E247" t="inlineStr">
        <is>
          <t>ENKÖPING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27983-2024</t>
        </is>
      </c>
      <c r="B248" s="1" t="n">
        <v>45476</v>
      </c>
      <c r="C248" s="1" t="n">
        <v>46084</v>
      </c>
      <c r="D248" t="inlineStr">
        <is>
          <t>UPPSALA LÄN</t>
        </is>
      </c>
      <c r="E248" t="inlineStr">
        <is>
          <t>ENKÖPING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45755-2025</t>
        </is>
      </c>
      <c r="B249" s="1" t="n">
        <v>45923.50240740741</v>
      </c>
      <c r="C249" s="1" t="n">
        <v>46084</v>
      </c>
      <c r="D249" t="inlineStr">
        <is>
          <t>UPPSALA LÄN</t>
        </is>
      </c>
      <c r="E249" t="inlineStr">
        <is>
          <t>ENKÖPING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33619-2022</t>
        </is>
      </c>
      <c r="B250" s="1" t="n">
        <v>44789</v>
      </c>
      <c r="C250" s="1" t="n">
        <v>46084</v>
      </c>
      <c r="D250" t="inlineStr">
        <is>
          <t>UPPSALA LÄN</t>
        </is>
      </c>
      <c r="E250" t="inlineStr">
        <is>
          <t>ENKÖPING</t>
        </is>
      </c>
      <c r="F250" t="inlineStr">
        <is>
          <t>Allmännings- och besparingsskogar</t>
        </is>
      </c>
      <c r="G250" t="n">
        <v>4.5</v>
      </c>
      <c r="H250" t="n">
        <v>0</v>
      </c>
      <c r="I250" t="n">
        <v>0</v>
      </c>
      <c r="J250" t="n">
        <v>0</v>
      </c>
      <c r="K250" t="n">
        <v>0</v>
      </c>
      <c r="L250" t="n">
        <v>0</v>
      </c>
      <c r="M250" t="n">
        <v>0</v>
      </c>
      <c r="N250" t="n">
        <v>0</v>
      </c>
      <c r="O250" t="n">
        <v>0</v>
      </c>
      <c r="P250" t="n">
        <v>0</v>
      </c>
      <c r="Q250" t="n">
        <v>0</v>
      </c>
      <c r="R250" s="2" t="inlineStr"/>
    </row>
    <row r="251" ht="15" customHeight="1">
      <c r="A251" t="inlineStr">
        <is>
          <t>A 34989-2025</t>
        </is>
      </c>
      <c r="B251" s="1" t="n">
        <v>45849</v>
      </c>
      <c r="C251" s="1" t="n">
        <v>46084</v>
      </c>
      <c r="D251" t="inlineStr">
        <is>
          <t>UPPSALA LÄN</t>
        </is>
      </c>
      <c r="E251" t="inlineStr">
        <is>
          <t>ENKÖPING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34990-2025</t>
        </is>
      </c>
      <c r="B252" s="1" t="n">
        <v>45849.78916666667</v>
      </c>
      <c r="C252" s="1" t="n">
        <v>46084</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10829-2024</t>
        </is>
      </c>
      <c r="B253" s="1" t="n">
        <v>45369</v>
      </c>
      <c r="C253" s="1" t="n">
        <v>46084</v>
      </c>
      <c r="D253" t="inlineStr">
        <is>
          <t>UPPSALA LÄN</t>
        </is>
      </c>
      <c r="E253" t="inlineStr">
        <is>
          <t>ENKÖPING</t>
        </is>
      </c>
      <c r="G253" t="n">
        <v>2.1</v>
      </c>
      <c r="H253" t="n">
        <v>0</v>
      </c>
      <c r="I253" t="n">
        <v>0</v>
      </c>
      <c r="J253" t="n">
        <v>0</v>
      </c>
      <c r="K253" t="n">
        <v>0</v>
      </c>
      <c r="L253" t="n">
        <v>0</v>
      </c>
      <c r="M253" t="n">
        <v>0</v>
      </c>
      <c r="N253" t="n">
        <v>0</v>
      </c>
      <c r="O253" t="n">
        <v>0</v>
      </c>
      <c r="P253" t="n">
        <v>0</v>
      </c>
      <c r="Q253" t="n">
        <v>0</v>
      </c>
      <c r="R253" s="2" t="inlineStr"/>
    </row>
    <row r="254" ht="15" customHeight="1">
      <c r="A254" t="inlineStr">
        <is>
          <t>A 32111-2025</t>
        </is>
      </c>
      <c r="B254" s="1" t="n">
        <v>45835</v>
      </c>
      <c r="C254" s="1" t="n">
        <v>46084</v>
      </c>
      <c r="D254" t="inlineStr">
        <is>
          <t>UPPSALA LÄN</t>
        </is>
      </c>
      <c r="E254" t="inlineStr">
        <is>
          <t>ENKÖPING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32031-2025</t>
        </is>
      </c>
      <c r="B255" s="1" t="n">
        <v>45835.41712962963</v>
      </c>
      <c r="C255" s="1" t="n">
        <v>46084</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67982-2021</t>
        </is>
      </c>
      <c r="B256" s="1" t="n">
        <v>44525</v>
      </c>
      <c r="C256" s="1" t="n">
        <v>46084</v>
      </c>
      <c r="D256" t="inlineStr">
        <is>
          <t>UPPSALA LÄN</t>
        </is>
      </c>
      <c r="E256" t="inlineStr">
        <is>
          <t>ENKÖPING</t>
        </is>
      </c>
      <c r="G256" t="n">
        <v>1.7</v>
      </c>
      <c r="H256" t="n">
        <v>0</v>
      </c>
      <c r="I256" t="n">
        <v>0</v>
      </c>
      <c r="J256" t="n">
        <v>0</v>
      </c>
      <c r="K256" t="n">
        <v>0</v>
      </c>
      <c r="L256" t="n">
        <v>0</v>
      </c>
      <c r="M256" t="n">
        <v>0</v>
      </c>
      <c r="N256" t="n">
        <v>0</v>
      </c>
      <c r="O256" t="n">
        <v>0</v>
      </c>
      <c r="P256" t="n">
        <v>0</v>
      </c>
      <c r="Q256" t="n">
        <v>0</v>
      </c>
      <c r="R256" s="2" t="inlineStr"/>
    </row>
    <row r="257" ht="15" customHeight="1">
      <c r="A257" t="inlineStr">
        <is>
          <t>A 19298-2023</t>
        </is>
      </c>
      <c r="B257" s="1" t="n">
        <v>45048</v>
      </c>
      <c r="C257" s="1" t="n">
        <v>46084</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46940-2025</t>
        </is>
      </c>
      <c r="B258" s="1" t="n">
        <v>45929.45483796296</v>
      </c>
      <c r="C258" s="1" t="n">
        <v>46084</v>
      </c>
      <c r="D258" t="inlineStr">
        <is>
          <t>UPPSALA LÄN</t>
        </is>
      </c>
      <c r="E258" t="inlineStr">
        <is>
          <t>ENKÖPING</t>
        </is>
      </c>
      <c r="G258" t="n">
        <v>5.3</v>
      </c>
      <c r="H258" t="n">
        <v>0</v>
      </c>
      <c r="I258" t="n">
        <v>0</v>
      </c>
      <c r="J258" t="n">
        <v>0</v>
      </c>
      <c r="K258" t="n">
        <v>0</v>
      </c>
      <c r="L258" t="n">
        <v>0</v>
      </c>
      <c r="M258" t="n">
        <v>0</v>
      </c>
      <c r="N258" t="n">
        <v>0</v>
      </c>
      <c r="O258" t="n">
        <v>0</v>
      </c>
      <c r="P258" t="n">
        <v>0</v>
      </c>
      <c r="Q258" t="n">
        <v>0</v>
      </c>
      <c r="R258" s="2" t="inlineStr"/>
    </row>
    <row r="259" ht="15" customHeight="1">
      <c r="A259" t="inlineStr">
        <is>
          <t>A 46590-2025</t>
        </is>
      </c>
      <c r="B259" s="1" t="n">
        <v>45926.39542824074</v>
      </c>
      <c r="C259" s="1" t="n">
        <v>46084</v>
      </c>
      <c r="D259" t="inlineStr">
        <is>
          <t>UPPSALA LÄN</t>
        </is>
      </c>
      <c r="E259" t="inlineStr">
        <is>
          <t>ENKÖPING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51034-2024</t>
        </is>
      </c>
      <c r="B260" s="1" t="n">
        <v>45603.4262037037</v>
      </c>
      <c r="C260" s="1" t="n">
        <v>46084</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51036-2024</t>
        </is>
      </c>
      <c r="B261" s="1" t="n">
        <v>45603.42839120371</v>
      </c>
      <c r="C261" s="1" t="n">
        <v>46084</v>
      </c>
      <c r="D261" t="inlineStr">
        <is>
          <t>UPPSALA LÄN</t>
        </is>
      </c>
      <c r="E261" t="inlineStr">
        <is>
          <t>ENKÖPING</t>
        </is>
      </c>
      <c r="G261" t="n">
        <v>2.6</v>
      </c>
      <c r="H261" t="n">
        <v>0</v>
      </c>
      <c r="I261" t="n">
        <v>0</v>
      </c>
      <c r="J261" t="n">
        <v>0</v>
      </c>
      <c r="K261" t="n">
        <v>0</v>
      </c>
      <c r="L261" t="n">
        <v>0</v>
      </c>
      <c r="M261" t="n">
        <v>0</v>
      </c>
      <c r="N261" t="n">
        <v>0</v>
      </c>
      <c r="O261" t="n">
        <v>0</v>
      </c>
      <c r="P261" t="n">
        <v>0</v>
      </c>
      <c r="Q261" t="n">
        <v>0</v>
      </c>
      <c r="R261" s="2" t="inlineStr"/>
    </row>
    <row r="262" ht="15" customHeight="1">
      <c r="A262" t="inlineStr">
        <is>
          <t>A 55876-2024</t>
        </is>
      </c>
      <c r="B262" s="1" t="n">
        <v>45623.5546412037</v>
      </c>
      <c r="C262" s="1" t="n">
        <v>46084</v>
      </c>
      <c r="D262" t="inlineStr">
        <is>
          <t>UPPSALA LÄN</t>
        </is>
      </c>
      <c r="E262" t="inlineStr">
        <is>
          <t>ENKÖPING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47441-2025</t>
        </is>
      </c>
      <c r="B263" s="1" t="n">
        <v>45930.63986111111</v>
      </c>
      <c r="C263" s="1" t="n">
        <v>46084</v>
      </c>
      <c r="D263" t="inlineStr">
        <is>
          <t>UPPSALA LÄN</t>
        </is>
      </c>
      <c r="E263" t="inlineStr">
        <is>
          <t>ENKÖPING</t>
        </is>
      </c>
      <c r="F263" t="inlineStr">
        <is>
          <t>Allmännings- och besparingsskogar</t>
        </is>
      </c>
      <c r="G263" t="n">
        <v>11.5</v>
      </c>
      <c r="H263" t="n">
        <v>0</v>
      </c>
      <c r="I263" t="n">
        <v>0</v>
      </c>
      <c r="J263" t="n">
        <v>0</v>
      </c>
      <c r="K263" t="n">
        <v>0</v>
      </c>
      <c r="L263" t="n">
        <v>0</v>
      </c>
      <c r="M263" t="n">
        <v>0</v>
      </c>
      <c r="N263" t="n">
        <v>0</v>
      </c>
      <c r="O263" t="n">
        <v>0</v>
      </c>
      <c r="P263" t="n">
        <v>0</v>
      </c>
      <c r="Q263" t="n">
        <v>0</v>
      </c>
      <c r="R263" s="2" t="inlineStr"/>
    </row>
    <row r="264" ht="15" customHeight="1">
      <c r="A264" t="inlineStr">
        <is>
          <t>A 11005-2023</t>
        </is>
      </c>
      <c r="B264" s="1" t="n">
        <v>44991</v>
      </c>
      <c r="C264" s="1" t="n">
        <v>46084</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15740-2025</t>
        </is>
      </c>
      <c r="B265" s="1" t="n">
        <v>45748</v>
      </c>
      <c r="C265" s="1" t="n">
        <v>46084</v>
      </c>
      <c r="D265" t="inlineStr">
        <is>
          <t>UPPSALA LÄN</t>
        </is>
      </c>
      <c r="E265" t="inlineStr">
        <is>
          <t>ENKÖPING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57142-2021</t>
        </is>
      </c>
      <c r="B266" s="1" t="n">
        <v>44482</v>
      </c>
      <c r="C266" s="1" t="n">
        <v>46084</v>
      </c>
      <c r="D266" t="inlineStr">
        <is>
          <t>UPPSALA LÄN</t>
        </is>
      </c>
      <c r="E266" t="inlineStr">
        <is>
          <t>ENKÖPING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57147-2021</t>
        </is>
      </c>
      <c r="B267" s="1" t="n">
        <v>44482</v>
      </c>
      <c r="C267" s="1" t="n">
        <v>46084</v>
      </c>
      <c r="D267" t="inlineStr">
        <is>
          <t>UPPSALA LÄN</t>
        </is>
      </c>
      <c r="E267" t="inlineStr">
        <is>
          <t>ENKÖPING</t>
        </is>
      </c>
      <c r="G267" t="n">
        <v>5.7</v>
      </c>
      <c r="H267" t="n">
        <v>0</v>
      </c>
      <c r="I267" t="n">
        <v>0</v>
      </c>
      <c r="J267" t="n">
        <v>0</v>
      </c>
      <c r="K267" t="n">
        <v>0</v>
      </c>
      <c r="L267" t="n">
        <v>0</v>
      </c>
      <c r="M267" t="n">
        <v>0</v>
      </c>
      <c r="N267" t="n">
        <v>0</v>
      </c>
      <c r="O267" t="n">
        <v>0</v>
      </c>
      <c r="P267" t="n">
        <v>0</v>
      </c>
      <c r="Q267" t="n">
        <v>0</v>
      </c>
      <c r="R267" s="2" t="inlineStr"/>
    </row>
    <row r="268" ht="15" customHeight="1">
      <c r="A268" t="inlineStr">
        <is>
          <t>A 7868-2024</t>
        </is>
      </c>
      <c r="B268" s="1" t="n">
        <v>45350.33020833333</v>
      </c>
      <c r="C268" s="1" t="n">
        <v>46084</v>
      </c>
      <c r="D268" t="inlineStr">
        <is>
          <t>UPPSALA LÄN</t>
        </is>
      </c>
      <c r="E268" t="inlineStr">
        <is>
          <t>ENKÖPING</t>
        </is>
      </c>
      <c r="G268" t="n">
        <v>0.3</v>
      </c>
      <c r="H268" t="n">
        <v>0</v>
      </c>
      <c r="I268" t="n">
        <v>0</v>
      </c>
      <c r="J268" t="n">
        <v>0</v>
      </c>
      <c r="K268" t="n">
        <v>0</v>
      </c>
      <c r="L268" t="n">
        <v>0</v>
      </c>
      <c r="M268" t="n">
        <v>0</v>
      </c>
      <c r="N268" t="n">
        <v>0</v>
      </c>
      <c r="O268" t="n">
        <v>0</v>
      </c>
      <c r="P268" t="n">
        <v>0</v>
      </c>
      <c r="Q268" t="n">
        <v>0</v>
      </c>
      <c r="R268" s="2" t="inlineStr"/>
    </row>
    <row r="269" ht="15" customHeight="1">
      <c r="A269" t="inlineStr">
        <is>
          <t>A 7870-2024</t>
        </is>
      </c>
      <c r="B269" s="1" t="n">
        <v>45350.33349537037</v>
      </c>
      <c r="C269" s="1" t="n">
        <v>46084</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9231-2023</t>
        </is>
      </c>
      <c r="B270" s="1" t="n">
        <v>44980</v>
      </c>
      <c r="C270" s="1" t="n">
        <v>46084</v>
      </c>
      <c r="D270" t="inlineStr">
        <is>
          <t>UPPSALA LÄN</t>
        </is>
      </c>
      <c r="E270" t="inlineStr">
        <is>
          <t>ENKÖPING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15939-2022</t>
        </is>
      </c>
      <c r="B271" s="1" t="n">
        <v>44664</v>
      </c>
      <c r="C271" s="1" t="n">
        <v>46084</v>
      </c>
      <c r="D271" t="inlineStr">
        <is>
          <t>UPPSALA LÄN</t>
        </is>
      </c>
      <c r="E271" t="inlineStr">
        <is>
          <t>ENKÖPING</t>
        </is>
      </c>
      <c r="G271" t="n">
        <v>2</v>
      </c>
      <c r="H271" t="n">
        <v>0</v>
      </c>
      <c r="I271" t="n">
        <v>0</v>
      </c>
      <c r="J271" t="n">
        <v>0</v>
      </c>
      <c r="K271" t="n">
        <v>0</v>
      </c>
      <c r="L271" t="n">
        <v>0</v>
      </c>
      <c r="M271" t="n">
        <v>0</v>
      </c>
      <c r="N271" t="n">
        <v>0</v>
      </c>
      <c r="O271" t="n">
        <v>0</v>
      </c>
      <c r="P271" t="n">
        <v>0</v>
      </c>
      <c r="Q271" t="n">
        <v>0</v>
      </c>
      <c r="R271" s="2" t="inlineStr"/>
    </row>
    <row r="272" ht="15" customHeight="1">
      <c r="A272" t="inlineStr">
        <is>
          <t>A 39439-2025</t>
        </is>
      </c>
      <c r="B272" s="1" t="n">
        <v>45889</v>
      </c>
      <c r="C272" s="1" t="n">
        <v>46084</v>
      </c>
      <c r="D272" t="inlineStr">
        <is>
          <t>UPPSALA LÄN</t>
        </is>
      </c>
      <c r="E272" t="inlineStr">
        <is>
          <t>ENKÖPING</t>
        </is>
      </c>
      <c r="G272" t="n">
        <v>0.4</v>
      </c>
      <c r="H272" t="n">
        <v>0</v>
      </c>
      <c r="I272" t="n">
        <v>0</v>
      </c>
      <c r="J272" t="n">
        <v>0</v>
      </c>
      <c r="K272" t="n">
        <v>0</v>
      </c>
      <c r="L272" t="n">
        <v>0</v>
      </c>
      <c r="M272" t="n">
        <v>0</v>
      </c>
      <c r="N272" t="n">
        <v>0</v>
      </c>
      <c r="O272" t="n">
        <v>0</v>
      </c>
      <c r="P272" t="n">
        <v>0</v>
      </c>
      <c r="Q272" t="n">
        <v>0</v>
      </c>
      <c r="R272" s="2" t="inlineStr"/>
    </row>
    <row r="273" ht="15" customHeight="1">
      <c r="A273" t="inlineStr">
        <is>
          <t>A 16916-2022</t>
        </is>
      </c>
      <c r="B273" s="1" t="n">
        <v>44676</v>
      </c>
      <c r="C273" s="1" t="n">
        <v>46084</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48678-2025</t>
        </is>
      </c>
      <c r="B274" s="1" t="n">
        <v>45936.59168981481</v>
      </c>
      <c r="C274" s="1" t="n">
        <v>46084</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57153-2021</t>
        </is>
      </c>
      <c r="B275" s="1" t="n">
        <v>44482</v>
      </c>
      <c r="C275" s="1" t="n">
        <v>46084</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48423-2025</t>
        </is>
      </c>
      <c r="B276" s="1" t="n">
        <v>45934.68024305555</v>
      </c>
      <c r="C276" s="1" t="n">
        <v>46084</v>
      </c>
      <c r="D276" t="inlineStr">
        <is>
          <t>UPPSALA LÄN</t>
        </is>
      </c>
      <c r="E276" t="inlineStr">
        <is>
          <t>ENKÖPING</t>
        </is>
      </c>
      <c r="G276" t="n">
        <v>4.3</v>
      </c>
      <c r="H276" t="n">
        <v>0</v>
      </c>
      <c r="I276" t="n">
        <v>0</v>
      </c>
      <c r="J276" t="n">
        <v>0</v>
      </c>
      <c r="K276" t="n">
        <v>0</v>
      </c>
      <c r="L276" t="n">
        <v>0</v>
      </c>
      <c r="M276" t="n">
        <v>0</v>
      </c>
      <c r="N276" t="n">
        <v>0</v>
      </c>
      <c r="O276" t="n">
        <v>0</v>
      </c>
      <c r="P276" t="n">
        <v>0</v>
      </c>
      <c r="Q276" t="n">
        <v>0</v>
      </c>
      <c r="R276" s="2" t="inlineStr"/>
    </row>
    <row r="277" ht="15" customHeight="1">
      <c r="A277" t="inlineStr">
        <is>
          <t>A 48424-2025</t>
        </is>
      </c>
      <c r="B277" s="1" t="n">
        <v>45934.69131944444</v>
      </c>
      <c r="C277" s="1" t="n">
        <v>46084</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49073-2025</t>
        </is>
      </c>
      <c r="B278" s="1" t="n">
        <v>45937.65512731481</v>
      </c>
      <c r="C278" s="1" t="n">
        <v>46084</v>
      </c>
      <c r="D278" t="inlineStr">
        <is>
          <t>UPPSALA LÄN</t>
        </is>
      </c>
      <c r="E278" t="inlineStr">
        <is>
          <t>ENKÖPING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18994-2025</t>
        </is>
      </c>
      <c r="B279" s="1" t="n">
        <v>45764.57350694444</v>
      </c>
      <c r="C279" s="1" t="n">
        <v>46084</v>
      </c>
      <c r="D279" t="inlineStr">
        <is>
          <t>UPPSALA LÄN</t>
        </is>
      </c>
      <c r="E279" t="inlineStr">
        <is>
          <t>ENKÖPING</t>
        </is>
      </c>
      <c r="G279" t="n">
        <v>3.8</v>
      </c>
      <c r="H279" t="n">
        <v>0</v>
      </c>
      <c r="I279" t="n">
        <v>0</v>
      </c>
      <c r="J279" t="n">
        <v>0</v>
      </c>
      <c r="K279" t="n">
        <v>0</v>
      </c>
      <c r="L279" t="n">
        <v>0</v>
      </c>
      <c r="M279" t="n">
        <v>0</v>
      </c>
      <c r="N279" t="n">
        <v>0</v>
      </c>
      <c r="O279" t="n">
        <v>0</v>
      </c>
      <c r="P279" t="n">
        <v>0</v>
      </c>
      <c r="Q279" t="n">
        <v>0</v>
      </c>
      <c r="R279" s="2" t="inlineStr"/>
    </row>
    <row r="280" ht="15" customHeight="1">
      <c r="A280" t="inlineStr">
        <is>
          <t>A 30514-2021</t>
        </is>
      </c>
      <c r="B280" s="1" t="n">
        <v>44364</v>
      </c>
      <c r="C280" s="1" t="n">
        <v>46084</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31604-2023</t>
        </is>
      </c>
      <c r="B281" s="1" t="n">
        <v>45117.50368055556</v>
      </c>
      <c r="C281" s="1" t="n">
        <v>46084</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57848-2024</t>
        </is>
      </c>
      <c r="B282" s="1" t="n">
        <v>45631.40947916666</v>
      </c>
      <c r="C282" s="1" t="n">
        <v>46084</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49601-2024</t>
        </is>
      </c>
      <c r="B283" s="1" t="n">
        <v>45596.56288194445</v>
      </c>
      <c r="C283" s="1" t="n">
        <v>46084</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25598-2021</t>
        </is>
      </c>
      <c r="B284" s="1" t="n">
        <v>44343.4558912037</v>
      </c>
      <c r="C284" s="1" t="n">
        <v>46084</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15162-2025</t>
        </is>
      </c>
      <c r="B285" s="1" t="n">
        <v>45744</v>
      </c>
      <c r="C285" s="1" t="n">
        <v>46084</v>
      </c>
      <c r="D285" t="inlineStr">
        <is>
          <t>UPPSALA LÄN</t>
        </is>
      </c>
      <c r="E285" t="inlineStr">
        <is>
          <t>ENKÖPING</t>
        </is>
      </c>
      <c r="G285" t="n">
        <v>4.2</v>
      </c>
      <c r="H285" t="n">
        <v>0</v>
      </c>
      <c r="I285" t="n">
        <v>0</v>
      </c>
      <c r="J285" t="n">
        <v>0</v>
      </c>
      <c r="K285" t="n">
        <v>0</v>
      </c>
      <c r="L285" t="n">
        <v>0</v>
      </c>
      <c r="M285" t="n">
        <v>0</v>
      </c>
      <c r="N285" t="n">
        <v>0</v>
      </c>
      <c r="O285" t="n">
        <v>0</v>
      </c>
      <c r="P285" t="n">
        <v>0</v>
      </c>
      <c r="Q285" t="n">
        <v>0</v>
      </c>
      <c r="R285" s="2" t="inlineStr"/>
    </row>
    <row r="286" ht="15" customHeight="1">
      <c r="A286" t="inlineStr">
        <is>
          <t>A 43103-2025</t>
        </is>
      </c>
      <c r="B286" s="1" t="n">
        <v>45909</v>
      </c>
      <c r="C286" s="1" t="n">
        <v>46084</v>
      </c>
      <c r="D286" t="inlineStr">
        <is>
          <t>UPPSALA LÄN</t>
        </is>
      </c>
      <c r="E286" t="inlineStr">
        <is>
          <t>ENKÖPING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43697-2024</t>
        </is>
      </c>
      <c r="B287" s="1" t="n">
        <v>45569</v>
      </c>
      <c r="C287" s="1" t="n">
        <v>46084</v>
      </c>
      <c r="D287" t="inlineStr">
        <is>
          <t>UPPSALA LÄN</t>
        </is>
      </c>
      <c r="E287" t="inlineStr">
        <is>
          <t>ENKÖPING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49068-2025</t>
        </is>
      </c>
      <c r="B288" s="1" t="n">
        <v>45937.64766203704</v>
      </c>
      <c r="C288" s="1" t="n">
        <v>46084</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52388-2024</t>
        </is>
      </c>
      <c r="B289" s="1" t="n">
        <v>45609.42939814815</v>
      </c>
      <c r="C289" s="1" t="n">
        <v>46084</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53607-2023</t>
        </is>
      </c>
      <c r="B290" s="1" t="n">
        <v>45230</v>
      </c>
      <c r="C290" s="1" t="n">
        <v>46084</v>
      </c>
      <c r="D290" t="inlineStr">
        <is>
          <t>UPPSALA LÄN</t>
        </is>
      </c>
      <c r="E290" t="inlineStr">
        <is>
          <t>ENKÖPING</t>
        </is>
      </c>
      <c r="F290" t="inlineStr">
        <is>
          <t>Allmännings- och besparingsskogar</t>
        </is>
      </c>
      <c r="G290" t="n">
        <v>6.3</v>
      </c>
      <c r="H290" t="n">
        <v>0</v>
      </c>
      <c r="I290" t="n">
        <v>0</v>
      </c>
      <c r="J290" t="n">
        <v>0</v>
      </c>
      <c r="K290" t="n">
        <v>0</v>
      </c>
      <c r="L290" t="n">
        <v>0</v>
      </c>
      <c r="M290" t="n">
        <v>0</v>
      </c>
      <c r="N290" t="n">
        <v>0</v>
      </c>
      <c r="O290" t="n">
        <v>0</v>
      </c>
      <c r="P290" t="n">
        <v>0</v>
      </c>
      <c r="Q290" t="n">
        <v>0</v>
      </c>
      <c r="R290" s="2" t="inlineStr"/>
    </row>
    <row r="291" ht="15" customHeight="1">
      <c r="A291" t="inlineStr">
        <is>
          <t>A 40202-2024</t>
        </is>
      </c>
      <c r="B291" s="1" t="n">
        <v>45554</v>
      </c>
      <c r="C291" s="1" t="n">
        <v>46084</v>
      </c>
      <c r="D291" t="inlineStr">
        <is>
          <t>UPPSALA LÄN</t>
        </is>
      </c>
      <c r="E291" t="inlineStr">
        <is>
          <t>ENKÖPING</t>
        </is>
      </c>
      <c r="G291" t="n">
        <v>6.2</v>
      </c>
      <c r="H291" t="n">
        <v>0</v>
      </c>
      <c r="I291" t="n">
        <v>0</v>
      </c>
      <c r="J291" t="n">
        <v>0</v>
      </c>
      <c r="K291" t="n">
        <v>0</v>
      </c>
      <c r="L291" t="n">
        <v>0</v>
      </c>
      <c r="M291" t="n">
        <v>0</v>
      </c>
      <c r="N291" t="n">
        <v>0</v>
      </c>
      <c r="O291" t="n">
        <v>0</v>
      </c>
      <c r="P291" t="n">
        <v>0</v>
      </c>
      <c r="Q291" t="n">
        <v>0</v>
      </c>
      <c r="R291" s="2" t="inlineStr"/>
    </row>
    <row r="292" ht="15" customHeight="1">
      <c r="A292" t="inlineStr">
        <is>
          <t>A 29513-2025</t>
        </is>
      </c>
      <c r="B292" s="1" t="n">
        <v>45825</v>
      </c>
      <c r="C292" s="1" t="n">
        <v>46084</v>
      </c>
      <c r="D292" t="inlineStr">
        <is>
          <t>UPPSALA LÄN</t>
        </is>
      </c>
      <c r="E292" t="inlineStr">
        <is>
          <t>ENKÖPING</t>
        </is>
      </c>
      <c r="G292" t="n">
        <v>2.6</v>
      </c>
      <c r="H292" t="n">
        <v>0</v>
      </c>
      <c r="I292" t="n">
        <v>0</v>
      </c>
      <c r="J292" t="n">
        <v>0</v>
      </c>
      <c r="K292" t="n">
        <v>0</v>
      </c>
      <c r="L292" t="n">
        <v>0</v>
      </c>
      <c r="M292" t="n">
        <v>0</v>
      </c>
      <c r="N292" t="n">
        <v>0</v>
      </c>
      <c r="O292" t="n">
        <v>0</v>
      </c>
      <c r="P292" t="n">
        <v>0</v>
      </c>
      <c r="Q292" t="n">
        <v>0</v>
      </c>
      <c r="R292" s="2" t="inlineStr"/>
    </row>
    <row r="293" ht="15" customHeight="1">
      <c r="A293" t="inlineStr">
        <is>
          <t>A 17844-2025</t>
        </is>
      </c>
      <c r="B293" s="1" t="n">
        <v>45758.59920138889</v>
      </c>
      <c r="C293" s="1" t="n">
        <v>46084</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45283-2022</t>
        </is>
      </c>
      <c r="B294" s="1" t="n">
        <v>44844</v>
      </c>
      <c r="C294" s="1" t="n">
        <v>46084</v>
      </c>
      <c r="D294" t="inlineStr">
        <is>
          <t>UPPSALA LÄN</t>
        </is>
      </c>
      <c r="E294" t="inlineStr">
        <is>
          <t>ENKÖPING</t>
        </is>
      </c>
      <c r="G294" t="n">
        <v>5.9</v>
      </c>
      <c r="H294" t="n">
        <v>0</v>
      </c>
      <c r="I294" t="n">
        <v>0</v>
      </c>
      <c r="J294" t="n">
        <v>0</v>
      </c>
      <c r="K294" t="n">
        <v>0</v>
      </c>
      <c r="L294" t="n">
        <v>0</v>
      </c>
      <c r="M294" t="n">
        <v>0</v>
      </c>
      <c r="N294" t="n">
        <v>0</v>
      </c>
      <c r="O294" t="n">
        <v>0</v>
      </c>
      <c r="P294" t="n">
        <v>0</v>
      </c>
      <c r="Q294" t="n">
        <v>0</v>
      </c>
      <c r="R294" s="2" t="inlineStr"/>
    </row>
    <row r="295" ht="15" customHeight="1">
      <c r="A295" t="inlineStr">
        <is>
          <t>A 27837-2025</t>
        </is>
      </c>
      <c r="B295" s="1" t="n">
        <v>45817.37207175926</v>
      </c>
      <c r="C295" s="1" t="n">
        <v>46084</v>
      </c>
      <c r="D295" t="inlineStr">
        <is>
          <t>UPPSALA LÄN</t>
        </is>
      </c>
      <c r="E295" t="inlineStr">
        <is>
          <t>ENKÖPING</t>
        </is>
      </c>
      <c r="G295" t="n">
        <v>7.3</v>
      </c>
      <c r="H295" t="n">
        <v>0</v>
      </c>
      <c r="I295" t="n">
        <v>0</v>
      </c>
      <c r="J295" t="n">
        <v>0</v>
      </c>
      <c r="K295" t="n">
        <v>0</v>
      </c>
      <c r="L295" t="n">
        <v>0</v>
      </c>
      <c r="M295" t="n">
        <v>0</v>
      </c>
      <c r="N295" t="n">
        <v>0</v>
      </c>
      <c r="O295" t="n">
        <v>0</v>
      </c>
      <c r="P295" t="n">
        <v>0</v>
      </c>
      <c r="Q295" t="n">
        <v>0</v>
      </c>
      <c r="R295" s="2" t="inlineStr"/>
    </row>
    <row r="296" ht="15" customHeight="1">
      <c r="A296" t="inlineStr">
        <is>
          <t>A 57152-2021</t>
        </is>
      </c>
      <c r="B296" s="1" t="n">
        <v>44482</v>
      </c>
      <c r="C296" s="1" t="n">
        <v>46084</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41826-2024</t>
        </is>
      </c>
      <c r="B297" s="1" t="n">
        <v>45561</v>
      </c>
      <c r="C297" s="1" t="n">
        <v>46084</v>
      </c>
      <c r="D297" t="inlineStr">
        <is>
          <t>UPPSALA LÄN</t>
        </is>
      </c>
      <c r="E297" t="inlineStr">
        <is>
          <t>ENKÖPING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51162-2025</t>
        </is>
      </c>
      <c r="B298" s="1" t="n">
        <v>45947.58820601852</v>
      </c>
      <c r="C298" s="1" t="n">
        <v>46084</v>
      </c>
      <c r="D298" t="inlineStr">
        <is>
          <t>UPPSALA LÄN</t>
        </is>
      </c>
      <c r="E298" t="inlineStr">
        <is>
          <t>ENKÖPING</t>
        </is>
      </c>
      <c r="G298" t="n">
        <v>3.4</v>
      </c>
      <c r="H298" t="n">
        <v>0</v>
      </c>
      <c r="I298" t="n">
        <v>0</v>
      </c>
      <c r="J298" t="n">
        <v>0</v>
      </c>
      <c r="K298" t="n">
        <v>0</v>
      </c>
      <c r="L298" t="n">
        <v>0</v>
      </c>
      <c r="M298" t="n">
        <v>0</v>
      </c>
      <c r="N298" t="n">
        <v>0</v>
      </c>
      <c r="O298" t="n">
        <v>0</v>
      </c>
      <c r="P298" t="n">
        <v>0</v>
      </c>
      <c r="Q298" t="n">
        <v>0</v>
      </c>
      <c r="R298" s="2" t="inlineStr"/>
    </row>
    <row r="299" ht="15" customHeight="1">
      <c r="A299" t="inlineStr">
        <is>
          <t>A 51133-2025</t>
        </is>
      </c>
      <c r="B299" s="1" t="n">
        <v>45947.55598379629</v>
      </c>
      <c r="C299" s="1" t="n">
        <v>46084</v>
      </c>
      <c r="D299" t="inlineStr">
        <is>
          <t>UPPSALA LÄN</t>
        </is>
      </c>
      <c r="E299" t="inlineStr">
        <is>
          <t>ENKÖPING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34124-2021</t>
        </is>
      </c>
      <c r="B300" s="1" t="n">
        <v>44379</v>
      </c>
      <c r="C300" s="1" t="n">
        <v>46084</v>
      </c>
      <c r="D300" t="inlineStr">
        <is>
          <t>UPPSALA LÄN</t>
        </is>
      </c>
      <c r="E300" t="inlineStr">
        <is>
          <t>ENKÖPING</t>
        </is>
      </c>
      <c r="G300" t="n">
        <v>2.2</v>
      </c>
      <c r="H300" t="n">
        <v>0</v>
      </c>
      <c r="I300" t="n">
        <v>0</v>
      </c>
      <c r="J300" t="n">
        <v>0</v>
      </c>
      <c r="K300" t="n">
        <v>0</v>
      </c>
      <c r="L300" t="n">
        <v>0</v>
      </c>
      <c r="M300" t="n">
        <v>0</v>
      </c>
      <c r="N300" t="n">
        <v>0</v>
      </c>
      <c r="O300" t="n">
        <v>0</v>
      </c>
      <c r="P300" t="n">
        <v>0</v>
      </c>
      <c r="Q300" t="n">
        <v>0</v>
      </c>
      <c r="R300" s="2" t="inlineStr"/>
    </row>
    <row r="301" ht="15" customHeight="1">
      <c r="A301" t="inlineStr">
        <is>
          <t>A 28518-2024</t>
        </is>
      </c>
      <c r="B301" s="1" t="n">
        <v>45477</v>
      </c>
      <c r="C301" s="1" t="n">
        <v>46084</v>
      </c>
      <c r="D301" t="inlineStr">
        <is>
          <t>UPPSALA LÄN</t>
        </is>
      </c>
      <c r="E301" t="inlineStr">
        <is>
          <t>ENKÖPING</t>
        </is>
      </c>
      <c r="G301" t="n">
        <v>3.4</v>
      </c>
      <c r="H301" t="n">
        <v>0</v>
      </c>
      <c r="I301" t="n">
        <v>0</v>
      </c>
      <c r="J301" t="n">
        <v>0</v>
      </c>
      <c r="K301" t="n">
        <v>0</v>
      </c>
      <c r="L301" t="n">
        <v>0</v>
      </c>
      <c r="M301" t="n">
        <v>0</v>
      </c>
      <c r="N301" t="n">
        <v>0</v>
      </c>
      <c r="O301" t="n">
        <v>0</v>
      </c>
      <c r="P301" t="n">
        <v>0</v>
      </c>
      <c r="Q301" t="n">
        <v>0</v>
      </c>
      <c r="R301" s="2" t="inlineStr"/>
    </row>
    <row r="302" ht="15" customHeight="1">
      <c r="A302" t="inlineStr">
        <is>
          <t>A 52299-2023</t>
        </is>
      </c>
      <c r="B302" s="1" t="n">
        <v>45224.61636574074</v>
      </c>
      <c r="C302" s="1" t="n">
        <v>46084</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42589-2022</t>
        </is>
      </c>
      <c r="B303" s="1" t="n">
        <v>44831</v>
      </c>
      <c r="C303" s="1" t="n">
        <v>46084</v>
      </c>
      <c r="D303" t="inlineStr">
        <is>
          <t>UPPSALA LÄN</t>
        </is>
      </c>
      <c r="E303" t="inlineStr">
        <is>
          <t>ENKÖPING</t>
        </is>
      </c>
      <c r="G303" t="n">
        <v>20</v>
      </c>
      <c r="H303" t="n">
        <v>0</v>
      </c>
      <c r="I303" t="n">
        <v>0</v>
      </c>
      <c r="J303" t="n">
        <v>0</v>
      </c>
      <c r="K303" t="n">
        <v>0</v>
      </c>
      <c r="L303" t="n">
        <v>0</v>
      </c>
      <c r="M303" t="n">
        <v>0</v>
      </c>
      <c r="N303" t="n">
        <v>0</v>
      </c>
      <c r="O303" t="n">
        <v>0</v>
      </c>
      <c r="P303" t="n">
        <v>0</v>
      </c>
      <c r="Q303" t="n">
        <v>0</v>
      </c>
      <c r="R303" s="2" t="inlineStr"/>
    </row>
    <row r="304" ht="15" customHeight="1">
      <c r="A304" t="inlineStr">
        <is>
          <t>A 21501-2025</t>
        </is>
      </c>
      <c r="B304" s="1" t="n">
        <v>45782</v>
      </c>
      <c r="C304" s="1" t="n">
        <v>46084</v>
      </c>
      <c r="D304" t="inlineStr">
        <is>
          <t>UPPSALA LÄN</t>
        </is>
      </c>
      <c r="E304" t="inlineStr">
        <is>
          <t>ENKÖPING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840-2025</t>
        </is>
      </c>
      <c r="B305" s="1" t="n">
        <v>45665</v>
      </c>
      <c r="C305" s="1" t="n">
        <v>46084</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30634-2022</t>
        </is>
      </c>
      <c r="B306" s="1" t="n">
        <v>44763.45711805556</v>
      </c>
      <c r="C306" s="1" t="n">
        <v>46084</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37115-2024</t>
        </is>
      </c>
      <c r="B307" s="1" t="n">
        <v>45539</v>
      </c>
      <c r="C307" s="1" t="n">
        <v>46084</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34988-2025</t>
        </is>
      </c>
      <c r="B308" s="1" t="n">
        <v>45849</v>
      </c>
      <c r="C308" s="1" t="n">
        <v>46084</v>
      </c>
      <c r="D308" t="inlineStr">
        <is>
          <t>UPPSALA LÄN</t>
        </is>
      </c>
      <c r="E308" t="inlineStr">
        <is>
          <t>ENKÖPING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34987-2025</t>
        </is>
      </c>
      <c r="B309" s="1" t="n">
        <v>45849</v>
      </c>
      <c r="C309" s="1" t="n">
        <v>46084</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26017-2025</t>
        </is>
      </c>
      <c r="B310" s="1" t="n">
        <v>45804</v>
      </c>
      <c r="C310" s="1" t="n">
        <v>46084</v>
      </c>
      <c r="D310" t="inlineStr">
        <is>
          <t>UPPSALA LÄN</t>
        </is>
      </c>
      <c r="E310" t="inlineStr">
        <is>
          <t>ENKÖPING</t>
        </is>
      </c>
      <c r="G310" t="n">
        <v>0.4</v>
      </c>
      <c r="H310" t="n">
        <v>0</v>
      </c>
      <c r="I310" t="n">
        <v>0</v>
      </c>
      <c r="J310" t="n">
        <v>0</v>
      </c>
      <c r="K310" t="n">
        <v>0</v>
      </c>
      <c r="L310" t="n">
        <v>0</v>
      </c>
      <c r="M310" t="n">
        <v>0</v>
      </c>
      <c r="N310" t="n">
        <v>0</v>
      </c>
      <c r="O310" t="n">
        <v>0</v>
      </c>
      <c r="P310" t="n">
        <v>0</v>
      </c>
      <c r="Q310" t="n">
        <v>0</v>
      </c>
      <c r="R310" s="2" t="inlineStr"/>
    </row>
    <row r="311" ht="15" customHeight="1">
      <c r="A311" t="inlineStr">
        <is>
          <t>A 18259-2025</t>
        </is>
      </c>
      <c r="B311" s="1" t="n">
        <v>45762</v>
      </c>
      <c r="C311" s="1" t="n">
        <v>46084</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14004-2023</t>
        </is>
      </c>
      <c r="B312" s="1" t="n">
        <v>45008</v>
      </c>
      <c r="C312" s="1" t="n">
        <v>46084</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36492-2025</t>
        </is>
      </c>
      <c r="B313" s="1" t="n">
        <v>45869</v>
      </c>
      <c r="C313" s="1" t="n">
        <v>46084</v>
      </c>
      <c r="D313" t="inlineStr">
        <is>
          <t>UPPSALA LÄN</t>
        </is>
      </c>
      <c r="E313" t="inlineStr">
        <is>
          <t>ENKÖPING</t>
        </is>
      </c>
      <c r="G313" t="n">
        <v>6.3</v>
      </c>
      <c r="H313" t="n">
        <v>0</v>
      </c>
      <c r="I313" t="n">
        <v>0</v>
      </c>
      <c r="J313" t="n">
        <v>0</v>
      </c>
      <c r="K313" t="n">
        <v>0</v>
      </c>
      <c r="L313" t="n">
        <v>0</v>
      </c>
      <c r="M313" t="n">
        <v>0</v>
      </c>
      <c r="N313" t="n">
        <v>0</v>
      </c>
      <c r="O313" t="n">
        <v>0</v>
      </c>
      <c r="P313" t="n">
        <v>0</v>
      </c>
      <c r="Q313" t="n">
        <v>0</v>
      </c>
      <c r="R313" s="2" t="inlineStr"/>
    </row>
    <row r="314" ht="15" customHeight="1">
      <c r="A314" t="inlineStr">
        <is>
          <t>A 52005-2024</t>
        </is>
      </c>
      <c r="B314" s="1" t="n">
        <v>45607.7627662037</v>
      </c>
      <c r="C314" s="1" t="n">
        <v>46084</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1960-2022</t>
        </is>
      </c>
      <c r="B315" s="1" t="n">
        <v>44575</v>
      </c>
      <c r="C315" s="1" t="n">
        <v>46084</v>
      </c>
      <c r="D315" t="inlineStr">
        <is>
          <t>UPPSALA LÄN</t>
        </is>
      </c>
      <c r="E315" t="inlineStr">
        <is>
          <t>ENKÖPING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45142-2023</t>
        </is>
      </c>
      <c r="B316" s="1" t="n">
        <v>45191.4702662037</v>
      </c>
      <c r="C316" s="1" t="n">
        <v>46084</v>
      </c>
      <c r="D316" t="inlineStr">
        <is>
          <t>UPPSALA LÄN</t>
        </is>
      </c>
      <c r="E316" t="inlineStr">
        <is>
          <t>ENKÖPING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36350-2025</t>
        </is>
      </c>
      <c r="B317" s="1" t="n">
        <v>45868</v>
      </c>
      <c r="C317" s="1" t="n">
        <v>46084</v>
      </c>
      <c r="D317" t="inlineStr">
        <is>
          <t>UPPSALA LÄN</t>
        </is>
      </c>
      <c r="E317" t="inlineStr">
        <is>
          <t>ENKÖPING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11918-2025</t>
        </is>
      </c>
      <c r="B318" s="1" t="n">
        <v>45728.49331018519</v>
      </c>
      <c r="C318" s="1" t="n">
        <v>46084</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49627-2024</t>
        </is>
      </c>
      <c r="B319" s="1" t="n">
        <v>45596.59140046296</v>
      </c>
      <c r="C319" s="1" t="n">
        <v>46084</v>
      </c>
      <c r="D319" t="inlineStr">
        <is>
          <t>UPPSALA LÄN</t>
        </is>
      </c>
      <c r="E319" t="inlineStr">
        <is>
          <t>ENKÖPING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57998-2024</t>
        </is>
      </c>
      <c r="B320" s="1" t="n">
        <v>45631</v>
      </c>
      <c r="C320" s="1" t="n">
        <v>46084</v>
      </c>
      <c r="D320" t="inlineStr">
        <is>
          <t>UPPSALA LÄN</t>
        </is>
      </c>
      <c r="E320" t="inlineStr">
        <is>
          <t>ENKÖPING</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9667-2024</t>
        </is>
      </c>
      <c r="B321" s="1" t="n">
        <v>45362.45130787037</v>
      </c>
      <c r="C321" s="1" t="n">
        <v>46084</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35645-2021</t>
        </is>
      </c>
      <c r="B322" s="1" t="n">
        <v>44386.42</v>
      </c>
      <c r="C322" s="1" t="n">
        <v>46084</v>
      </c>
      <c r="D322" t="inlineStr">
        <is>
          <t>UPPSALA LÄN</t>
        </is>
      </c>
      <c r="E322" t="inlineStr">
        <is>
          <t>ENKÖPING</t>
        </is>
      </c>
      <c r="G322" t="n">
        <v>2.7</v>
      </c>
      <c r="H322" t="n">
        <v>0</v>
      </c>
      <c r="I322" t="n">
        <v>0</v>
      </c>
      <c r="J322" t="n">
        <v>0</v>
      </c>
      <c r="K322" t="n">
        <v>0</v>
      </c>
      <c r="L322" t="n">
        <v>0</v>
      </c>
      <c r="M322" t="n">
        <v>0</v>
      </c>
      <c r="N322" t="n">
        <v>0</v>
      </c>
      <c r="O322" t="n">
        <v>0</v>
      </c>
      <c r="P322" t="n">
        <v>0</v>
      </c>
      <c r="Q322" t="n">
        <v>0</v>
      </c>
      <c r="R322" s="2" t="inlineStr"/>
    </row>
    <row r="323" ht="15" customHeight="1">
      <c r="A323" t="inlineStr">
        <is>
          <t>A 26011-2025</t>
        </is>
      </c>
      <c r="B323" s="1" t="n">
        <v>45804.67412037037</v>
      </c>
      <c r="C323" s="1" t="n">
        <v>46084</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36599-2025</t>
        </is>
      </c>
      <c r="B324" s="1" t="n">
        <v>45870.51723379629</v>
      </c>
      <c r="C324" s="1" t="n">
        <v>46084</v>
      </c>
      <c r="D324" t="inlineStr">
        <is>
          <t>UPPSALA LÄN</t>
        </is>
      </c>
      <c r="E324" t="inlineStr">
        <is>
          <t>ENKÖPING</t>
        </is>
      </c>
      <c r="G324" t="n">
        <v>5.9</v>
      </c>
      <c r="H324" t="n">
        <v>0</v>
      </c>
      <c r="I324" t="n">
        <v>0</v>
      </c>
      <c r="J324" t="n">
        <v>0</v>
      </c>
      <c r="K324" t="n">
        <v>0</v>
      </c>
      <c r="L324" t="n">
        <v>0</v>
      </c>
      <c r="M324" t="n">
        <v>0</v>
      </c>
      <c r="N324" t="n">
        <v>0</v>
      </c>
      <c r="O324" t="n">
        <v>0</v>
      </c>
      <c r="P324" t="n">
        <v>0</v>
      </c>
      <c r="Q324" t="n">
        <v>0</v>
      </c>
      <c r="R324" s="2" t="inlineStr"/>
    </row>
    <row r="325" ht="15" customHeight="1">
      <c r="A325" t="inlineStr">
        <is>
          <t>A 31242-2024</t>
        </is>
      </c>
      <c r="B325" s="1" t="n">
        <v>45503</v>
      </c>
      <c r="C325" s="1" t="n">
        <v>46084</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15711-2025</t>
        </is>
      </c>
      <c r="B326" s="1" t="n">
        <v>45748</v>
      </c>
      <c r="C326" s="1" t="n">
        <v>46084</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2850-2025</t>
        </is>
      </c>
      <c r="B327" s="1" t="n">
        <v>45677</v>
      </c>
      <c r="C327" s="1" t="n">
        <v>46084</v>
      </c>
      <c r="D327" t="inlineStr">
        <is>
          <t>UPPSALA LÄN</t>
        </is>
      </c>
      <c r="E327" t="inlineStr">
        <is>
          <t>ENKÖPING</t>
        </is>
      </c>
      <c r="G327" t="n">
        <v>0.3</v>
      </c>
      <c r="H327" t="n">
        <v>0</v>
      </c>
      <c r="I327" t="n">
        <v>0</v>
      </c>
      <c r="J327" t="n">
        <v>0</v>
      </c>
      <c r="K327" t="n">
        <v>0</v>
      </c>
      <c r="L327" t="n">
        <v>0</v>
      </c>
      <c r="M327" t="n">
        <v>0</v>
      </c>
      <c r="N327" t="n">
        <v>0</v>
      </c>
      <c r="O327" t="n">
        <v>0</v>
      </c>
      <c r="P327" t="n">
        <v>0</v>
      </c>
      <c r="Q327" t="n">
        <v>0</v>
      </c>
      <c r="R327" s="2" t="inlineStr"/>
    </row>
    <row r="328" ht="15" customHeight="1">
      <c r="A328" t="inlineStr">
        <is>
          <t>A 28318-2024</t>
        </is>
      </c>
      <c r="B328" s="1" t="n">
        <v>45477</v>
      </c>
      <c r="C328" s="1" t="n">
        <v>46084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54541-2025</t>
        </is>
      </c>
      <c r="B329" s="1" t="n">
        <v>45965.64733796296</v>
      </c>
      <c r="C329" s="1" t="n">
        <v>46084</v>
      </c>
      <c r="D329" t="inlineStr">
        <is>
          <t>UPPSALA LÄN</t>
        </is>
      </c>
      <c r="E329" t="inlineStr">
        <is>
          <t>ENKÖPING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54263-2025</t>
        </is>
      </c>
      <c r="B330" s="1" t="n">
        <v>45964.66271990741</v>
      </c>
      <c r="C330" s="1" t="n">
        <v>46084</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69344-2021</t>
        </is>
      </c>
      <c r="B331" s="1" t="n">
        <v>44531</v>
      </c>
      <c r="C331" s="1" t="n">
        <v>46084</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37498-2025</t>
        </is>
      </c>
      <c r="B332" s="1" t="n">
        <v>45877</v>
      </c>
      <c r="C332" s="1" t="n">
        <v>46084</v>
      </c>
      <c r="D332" t="inlineStr">
        <is>
          <t>UPPSALA LÄN</t>
        </is>
      </c>
      <c r="E332" t="inlineStr">
        <is>
          <t>ENKÖPING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845-2025</t>
        </is>
      </c>
      <c r="B333" s="1" t="n">
        <v>45665</v>
      </c>
      <c r="C333" s="1" t="n">
        <v>46084</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849-2025</t>
        </is>
      </c>
      <c r="B334" s="1" t="n">
        <v>45665</v>
      </c>
      <c r="C334" s="1" t="n">
        <v>46084</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37296-2025</t>
        </is>
      </c>
      <c r="B335" s="1" t="n">
        <v>45876</v>
      </c>
      <c r="C335" s="1" t="n">
        <v>46084</v>
      </c>
      <c r="D335" t="inlineStr">
        <is>
          <t>UPPSALA LÄN</t>
        </is>
      </c>
      <c r="E335" t="inlineStr">
        <is>
          <t>ENKÖPING</t>
        </is>
      </c>
      <c r="G335" t="n">
        <v>9.5</v>
      </c>
      <c r="H335" t="n">
        <v>0</v>
      </c>
      <c r="I335" t="n">
        <v>0</v>
      </c>
      <c r="J335" t="n">
        <v>0</v>
      </c>
      <c r="K335" t="n">
        <v>0</v>
      </c>
      <c r="L335" t="n">
        <v>0</v>
      </c>
      <c r="M335" t="n">
        <v>0</v>
      </c>
      <c r="N335" t="n">
        <v>0</v>
      </c>
      <c r="O335" t="n">
        <v>0</v>
      </c>
      <c r="P335" t="n">
        <v>0</v>
      </c>
      <c r="Q335" t="n">
        <v>0</v>
      </c>
      <c r="R335" s="2" t="inlineStr"/>
    </row>
    <row r="336" ht="15" customHeight="1">
      <c r="A336" t="inlineStr">
        <is>
          <t>A 51524-2022</t>
        </is>
      </c>
      <c r="B336" s="1" t="n">
        <v>44869</v>
      </c>
      <c r="C336" s="1" t="n">
        <v>46084</v>
      </c>
      <c r="D336" t="inlineStr">
        <is>
          <t>UPPSALA LÄN</t>
        </is>
      </c>
      <c r="E336" t="inlineStr">
        <is>
          <t>ENKÖPING</t>
        </is>
      </c>
      <c r="G336" t="n">
        <v>6.6</v>
      </c>
      <c r="H336" t="n">
        <v>0</v>
      </c>
      <c r="I336" t="n">
        <v>0</v>
      </c>
      <c r="J336" t="n">
        <v>0</v>
      </c>
      <c r="K336" t="n">
        <v>0</v>
      </c>
      <c r="L336" t="n">
        <v>0</v>
      </c>
      <c r="M336" t="n">
        <v>0</v>
      </c>
      <c r="N336" t="n">
        <v>0</v>
      </c>
      <c r="O336" t="n">
        <v>0</v>
      </c>
      <c r="P336" t="n">
        <v>0</v>
      </c>
      <c r="Q336" t="n">
        <v>0</v>
      </c>
      <c r="R336" s="2" t="inlineStr"/>
    </row>
    <row r="337" ht="15" customHeight="1">
      <c r="A337" t="inlineStr">
        <is>
          <t>A 37319-2025</t>
        </is>
      </c>
      <c r="B337" s="1" t="n">
        <v>45876</v>
      </c>
      <c r="C337" s="1" t="n">
        <v>46084</v>
      </c>
      <c r="D337" t="inlineStr">
        <is>
          <t>UPPSALA LÄN</t>
        </is>
      </c>
      <c r="E337" t="inlineStr">
        <is>
          <t>ENKÖPING</t>
        </is>
      </c>
      <c r="G337" t="n">
        <v>9.5</v>
      </c>
      <c r="H337" t="n">
        <v>0</v>
      </c>
      <c r="I337" t="n">
        <v>0</v>
      </c>
      <c r="J337" t="n">
        <v>0</v>
      </c>
      <c r="K337" t="n">
        <v>0</v>
      </c>
      <c r="L337" t="n">
        <v>0</v>
      </c>
      <c r="M337" t="n">
        <v>0</v>
      </c>
      <c r="N337" t="n">
        <v>0</v>
      </c>
      <c r="O337" t="n">
        <v>0</v>
      </c>
      <c r="P337" t="n">
        <v>0</v>
      </c>
      <c r="Q337" t="n">
        <v>0</v>
      </c>
      <c r="R337" s="2" t="inlineStr"/>
    </row>
    <row r="338" ht="15" customHeight="1">
      <c r="A338" t="inlineStr">
        <is>
          <t>A 54844-2025</t>
        </is>
      </c>
      <c r="B338" s="1" t="n">
        <v>45966.69570601852</v>
      </c>
      <c r="C338" s="1" t="n">
        <v>46084</v>
      </c>
      <c r="D338" t="inlineStr">
        <is>
          <t>UPPSALA LÄN</t>
        </is>
      </c>
      <c r="E338" t="inlineStr">
        <is>
          <t>ENKÖPING</t>
        </is>
      </c>
      <c r="G338" t="n">
        <v>5.5</v>
      </c>
      <c r="H338" t="n">
        <v>0</v>
      </c>
      <c r="I338" t="n">
        <v>0</v>
      </c>
      <c r="J338" t="n">
        <v>0</v>
      </c>
      <c r="K338" t="n">
        <v>0</v>
      </c>
      <c r="L338" t="n">
        <v>0</v>
      </c>
      <c r="M338" t="n">
        <v>0</v>
      </c>
      <c r="N338" t="n">
        <v>0</v>
      </c>
      <c r="O338" t="n">
        <v>0</v>
      </c>
      <c r="P338" t="n">
        <v>0</v>
      </c>
      <c r="Q338" t="n">
        <v>0</v>
      </c>
      <c r="R338" s="2" t="inlineStr"/>
    </row>
    <row r="339" ht="15" customHeight="1">
      <c r="A339" t="inlineStr">
        <is>
          <t>A 49622-2024</t>
        </is>
      </c>
      <c r="B339" s="1" t="n">
        <v>45596.58372685185</v>
      </c>
      <c r="C339" s="1" t="n">
        <v>46084</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46103-2023</t>
        </is>
      </c>
      <c r="B340" s="1" t="n">
        <v>45190</v>
      </c>
      <c r="C340" s="1" t="n">
        <v>46084</v>
      </c>
      <c r="D340" t="inlineStr">
        <is>
          <t>UPPSALA LÄN</t>
        </is>
      </c>
      <c r="E340" t="inlineStr">
        <is>
          <t>ENKÖPING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41737-2022</t>
        </is>
      </c>
      <c r="B341" s="1" t="n">
        <v>44827.63826388889</v>
      </c>
      <c r="C341" s="1" t="n">
        <v>46084</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8137-2025</t>
        </is>
      </c>
      <c r="B342" s="1" t="n">
        <v>45707.8561574074</v>
      </c>
      <c r="C342" s="1" t="n">
        <v>46084</v>
      </c>
      <c r="D342" t="inlineStr">
        <is>
          <t>UPPSALA LÄN</t>
        </is>
      </c>
      <c r="E342" t="inlineStr">
        <is>
          <t>ENKÖPING</t>
        </is>
      </c>
      <c r="G342" t="n">
        <v>0.4</v>
      </c>
      <c r="H342" t="n">
        <v>0</v>
      </c>
      <c r="I342" t="n">
        <v>0</v>
      </c>
      <c r="J342" t="n">
        <v>0</v>
      </c>
      <c r="K342" t="n">
        <v>0</v>
      </c>
      <c r="L342" t="n">
        <v>0</v>
      </c>
      <c r="M342" t="n">
        <v>0</v>
      </c>
      <c r="N342" t="n">
        <v>0</v>
      </c>
      <c r="O342" t="n">
        <v>0</v>
      </c>
      <c r="P342" t="n">
        <v>0</v>
      </c>
      <c r="Q342" t="n">
        <v>0</v>
      </c>
      <c r="R342" s="2" t="inlineStr"/>
    </row>
    <row r="343" ht="15" customHeight="1">
      <c r="A343" t="inlineStr">
        <is>
          <t>A 54758-2025</t>
        </is>
      </c>
      <c r="B343" s="1" t="n">
        <v>45966.59737268519</v>
      </c>
      <c r="C343" s="1" t="n">
        <v>46084</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55567-2025</t>
        </is>
      </c>
      <c r="B344" s="1" t="n">
        <v>45971.65589120371</v>
      </c>
      <c r="C344" s="1" t="n">
        <v>46084</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23301-2024</t>
        </is>
      </c>
      <c r="B345" s="1" t="n">
        <v>45453.4396412037</v>
      </c>
      <c r="C345" s="1" t="n">
        <v>46084</v>
      </c>
      <c r="D345" t="inlineStr">
        <is>
          <t>UPPSALA LÄN</t>
        </is>
      </c>
      <c r="E345" t="inlineStr">
        <is>
          <t>ENKÖPING</t>
        </is>
      </c>
      <c r="G345" t="n">
        <v>4.3</v>
      </c>
      <c r="H345" t="n">
        <v>0</v>
      </c>
      <c r="I345" t="n">
        <v>0</v>
      </c>
      <c r="J345" t="n">
        <v>0</v>
      </c>
      <c r="K345" t="n">
        <v>0</v>
      </c>
      <c r="L345" t="n">
        <v>0</v>
      </c>
      <c r="M345" t="n">
        <v>0</v>
      </c>
      <c r="N345" t="n">
        <v>0</v>
      </c>
      <c r="O345" t="n">
        <v>0</v>
      </c>
      <c r="P345" t="n">
        <v>0</v>
      </c>
      <c r="Q345" t="n">
        <v>0</v>
      </c>
      <c r="R345" s="2" t="inlineStr"/>
    </row>
    <row r="346" ht="15" customHeight="1">
      <c r="A346" t="inlineStr">
        <is>
          <t>A 52380-2024</t>
        </is>
      </c>
      <c r="B346" s="1" t="n">
        <v>45609</v>
      </c>
      <c r="C346" s="1" t="n">
        <v>46084</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30098-2024</t>
        </is>
      </c>
      <c r="B347" s="1" t="n">
        <v>45489.41609953704</v>
      </c>
      <c r="C347" s="1" t="n">
        <v>46084</v>
      </c>
      <c r="D347" t="inlineStr">
        <is>
          <t>UPPSALA LÄN</t>
        </is>
      </c>
      <c r="E347" t="inlineStr">
        <is>
          <t>ENKÖPING</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34735-2023</t>
        </is>
      </c>
      <c r="B348" s="1" t="n">
        <v>45139</v>
      </c>
      <c r="C348" s="1" t="n">
        <v>46084</v>
      </c>
      <c r="D348" t="inlineStr">
        <is>
          <t>UPPSALA LÄN</t>
        </is>
      </c>
      <c r="E348" t="inlineStr">
        <is>
          <t>ENKÖPING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8309-2026</t>
        </is>
      </c>
      <c r="B349" s="1" t="n">
        <v>46064.59081018518</v>
      </c>
      <c r="C349" s="1" t="n">
        <v>46084</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62158-2023</t>
        </is>
      </c>
      <c r="B350" s="1" t="n">
        <v>45267</v>
      </c>
      <c r="C350" s="1" t="n">
        <v>46084</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57328-2024</t>
        </is>
      </c>
      <c r="B351" s="1" t="n">
        <v>45629.62798611111</v>
      </c>
      <c r="C351" s="1" t="n">
        <v>46084</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60350-2022</t>
        </is>
      </c>
      <c r="B352" s="1" t="n">
        <v>44910</v>
      </c>
      <c r="C352" s="1" t="n">
        <v>46084</v>
      </c>
      <c r="D352" t="inlineStr">
        <is>
          <t>UPPSALA LÄN</t>
        </is>
      </c>
      <c r="E352" t="inlineStr">
        <is>
          <t>ENKÖPING</t>
        </is>
      </c>
      <c r="F352" t="inlineStr">
        <is>
          <t>Allmännings- och besparingsskogar</t>
        </is>
      </c>
      <c r="G352" t="n">
        <v>3.5</v>
      </c>
      <c r="H352" t="n">
        <v>0</v>
      </c>
      <c r="I352" t="n">
        <v>0</v>
      </c>
      <c r="J352" t="n">
        <v>0</v>
      </c>
      <c r="K352" t="n">
        <v>0</v>
      </c>
      <c r="L352" t="n">
        <v>0</v>
      </c>
      <c r="M352" t="n">
        <v>0</v>
      </c>
      <c r="N352" t="n">
        <v>0</v>
      </c>
      <c r="O352" t="n">
        <v>0</v>
      </c>
      <c r="P352" t="n">
        <v>0</v>
      </c>
      <c r="Q352" t="n">
        <v>0</v>
      </c>
      <c r="R352" s="2" t="inlineStr"/>
    </row>
    <row r="353" ht="15" customHeight="1">
      <c r="A353" t="inlineStr">
        <is>
          <t>A 56625-2025</t>
        </is>
      </c>
      <c r="B353" s="1" t="n">
        <v>45975.60608796297</v>
      </c>
      <c r="C353" s="1" t="n">
        <v>46084</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57294-2025</t>
        </is>
      </c>
      <c r="B354" s="1" t="n">
        <v>45979</v>
      </c>
      <c r="C354" s="1" t="n">
        <v>46084</v>
      </c>
      <c r="D354" t="inlineStr">
        <is>
          <t>UPPSALA LÄN</t>
        </is>
      </c>
      <c r="E354" t="inlineStr">
        <is>
          <t>ENKÖPING</t>
        </is>
      </c>
      <c r="G354" t="n">
        <v>6.2</v>
      </c>
      <c r="H354" t="n">
        <v>0</v>
      </c>
      <c r="I354" t="n">
        <v>0</v>
      </c>
      <c r="J354" t="n">
        <v>0</v>
      </c>
      <c r="K354" t="n">
        <v>0</v>
      </c>
      <c r="L354" t="n">
        <v>0</v>
      </c>
      <c r="M354" t="n">
        <v>0</v>
      </c>
      <c r="N354" t="n">
        <v>0</v>
      </c>
      <c r="O354" t="n">
        <v>0</v>
      </c>
      <c r="P354" t="n">
        <v>0</v>
      </c>
      <c r="Q354" t="n">
        <v>0</v>
      </c>
      <c r="R354" s="2" t="inlineStr"/>
    </row>
    <row r="355" ht="15" customHeight="1">
      <c r="A355" t="inlineStr">
        <is>
          <t>A 29482-2022</t>
        </is>
      </c>
      <c r="B355" s="1" t="n">
        <v>44753.57703703704</v>
      </c>
      <c r="C355" s="1" t="n">
        <v>46084</v>
      </c>
      <c r="D355" t="inlineStr">
        <is>
          <t>UPPSALA LÄN</t>
        </is>
      </c>
      <c r="E355" t="inlineStr">
        <is>
          <t>ENKÖPING</t>
        </is>
      </c>
      <c r="G355" t="n">
        <v>1</v>
      </c>
      <c r="H355" t="n">
        <v>0</v>
      </c>
      <c r="I355" t="n">
        <v>0</v>
      </c>
      <c r="J355" t="n">
        <v>0</v>
      </c>
      <c r="K355" t="n">
        <v>0</v>
      </c>
      <c r="L355" t="n">
        <v>0</v>
      </c>
      <c r="M355" t="n">
        <v>0</v>
      </c>
      <c r="N355" t="n">
        <v>0</v>
      </c>
      <c r="O355" t="n">
        <v>0</v>
      </c>
      <c r="P355" t="n">
        <v>0</v>
      </c>
      <c r="Q355" t="n">
        <v>0</v>
      </c>
      <c r="R355" s="2" t="inlineStr"/>
    </row>
    <row r="356" ht="15" customHeight="1">
      <c r="A356" t="inlineStr">
        <is>
          <t>A 29483-2022</t>
        </is>
      </c>
      <c r="B356" s="1" t="n">
        <v>44753.57829861111</v>
      </c>
      <c r="C356" s="1" t="n">
        <v>46084</v>
      </c>
      <c r="D356" t="inlineStr">
        <is>
          <t>UPPSALA LÄN</t>
        </is>
      </c>
      <c r="E356" t="inlineStr">
        <is>
          <t>ENKÖPING</t>
        </is>
      </c>
      <c r="G356" t="n">
        <v>3.6</v>
      </c>
      <c r="H356" t="n">
        <v>0</v>
      </c>
      <c r="I356" t="n">
        <v>0</v>
      </c>
      <c r="J356" t="n">
        <v>0</v>
      </c>
      <c r="K356" t="n">
        <v>0</v>
      </c>
      <c r="L356" t="n">
        <v>0</v>
      </c>
      <c r="M356" t="n">
        <v>0</v>
      </c>
      <c r="N356" t="n">
        <v>0</v>
      </c>
      <c r="O356" t="n">
        <v>0</v>
      </c>
      <c r="P356" t="n">
        <v>0</v>
      </c>
      <c r="Q356" t="n">
        <v>0</v>
      </c>
      <c r="R356" s="2" t="inlineStr"/>
    </row>
    <row r="357" ht="15" customHeight="1">
      <c r="A357" t="inlineStr">
        <is>
          <t>A 35647-2021</t>
        </is>
      </c>
      <c r="B357" s="1" t="n">
        <v>44386</v>
      </c>
      <c r="C357" s="1" t="n">
        <v>46084</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44232-2022</t>
        </is>
      </c>
      <c r="B358" s="1" t="n">
        <v>44839</v>
      </c>
      <c r="C358" s="1" t="n">
        <v>46084</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61106-2022</t>
        </is>
      </c>
      <c r="B359" s="1" t="n">
        <v>44915.4128587963</v>
      </c>
      <c r="C359" s="1" t="n">
        <v>46084</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192-2026</t>
        </is>
      </c>
      <c r="B360" s="1" t="n">
        <v>46025</v>
      </c>
      <c r="C360" s="1" t="n">
        <v>46084</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39624-2023</t>
        </is>
      </c>
      <c r="B361" s="1" t="n">
        <v>45164</v>
      </c>
      <c r="C361" s="1" t="n">
        <v>46084</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9469-2026</t>
        </is>
      </c>
      <c r="B362" s="1" t="n">
        <v>46071.51248842593</v>
      </c>
      <c r="C362" s="1" t="n">
        <v>46084</v>
      </c>
      <c r="D362" t="inlineStr">
        <is>
          <t>UPPSALA LÄN</t>
        </is>
      </c>
      <c r="E362" t="inlineStr">
        <is>
          <t>ENKÖPING</t>
        </is>
      </c>
      <c r="G362" t="n">
        <v>3</v>
      </c>
      <c r="H362" t="n">
        <v>0</v>
      </c>
      <c r="I362" t="n">
        <v>0</v>
      </c>
      <c r="J362" t="n">
        <v>0</v>
      </c>
      <c r="K362" t="n">
        <v>0</v>
      </c>
      <c r="L362" t="n">
        <v>0</v>
      </c>
      <c r="M362" t="n">
        <v>0</v>
      </c>
      <c r="N362" t="n">
        <v>0</v>
      </c>
      <c r="O362" t="n">
        <v>0</v>
      </c>
      <c r="P362" t="n">
        <v>0</v>
      </c>
      <c r="Q362" t="n">
        <v>0</v>
      </c>
      <c r="R362" s="2" t="inlineStr"/>
    </row>
    <row r="363" ht="15" customHeight="1">
      <c r="A363" t="inlineStr">
        <is>
          <t>A 20184-2023</t>
        </is>
      </c>
      <c r="B363" s="1" t="n">
        <v>45055.5670949074</v>
      </c>
      <c r="C363" s="1" t="n">
        <v>46084</v>
      </c>
      <c r="D363" t="inlineStr">
        <is>
          <t>UPPSALA LÄN</t>
        </is>
      </c>
      <c r="E363" t="inlineStr">
        <is>
          <t>ENKÖPING</t>
        </is>
      </c>
      <c r="G363" t="n">
        <v>3.2</v>
      </c>
      <c r="H363" t="n">
        <v>0</v>
      </c>
      <c r="I363" t="n">
        <v>0</v>
      </c>
      <c r="J363" t="n">
        <v>0</v>
      </c>
      <c r="K363" t="n">
        <v>0</v>
      </c>
      <c r="L363" t="n">
        <v>0</v>
      </c>
      <c r="M363" t="n">
        <v>0</v>
      </c>
      <c r="N363" t="n">
        <v>0</v>
      </c>
      <c r="O363" t="n">
        <v>0</v>
      </c>
      <c r="P363" t="n">
        <v>0</v>
      </c>
      <c r="Q363" t="n">
        <v>0</v>
      </c>
      <c r="R363" s="2" t="inlineStr"/>
    </row>
    <row r="364" ht="15" customHeight="1">
      <c r="A364" t="inlineStr">
        <is>
          <t>A 8152-2022</t>
        </is>
      </c>
      <c r="B364" s="1" t="n">
        <v>44609</v>
      </c>
      <c r="C364" s="1" t="n">
        <v>46084</v>
      </c>
      <c r="D364" t="inlineStr">
        <is>
          <t>UPPSALA LÄN</t>
        </is>
      </c>
      <c r="E364" t="inlineStr">
        <is>
          <t>ENKÖPING</t>
        </is>
      </c>
      <c r="F364" t="inlineStr">
        <is>
          <t>Kyrkan</t>
        </is>
      </c>
      <c r="G364" t="n">
        <v>1.3</v>
      </c>
      <c r="H364" t="n">
        <v>0</v>
      </c>
      <c r="I364" t="n">
        <v>0</v>
      </c>
      <c r="J364" t="n">
        <v>0</v>
      </c>
      <c r="K364" t="n">
        <v>0</v>
      </c>
      <c r="L364" t="n">
        <v>0</v>
      </c>
      <c r="M364" t="n">
        <v>0</v>
      </c>
      <c r="N364" t="n">
        <v>0</v>
      </c>
      <c r="O364" t="n">
        <v>0</v>
      </c>
      <c r="P364" t="n">
        <v>0</v>
      </c>
      <c r="Q364" t="n">
        <v>0</v>
      </c>
      <c r="R364" s="2" t="inlineStr"/>
    </row>
    <row r="365" ht="15" customHeight="1">
      <c r="A365" t="inlineStr">
        <is>
          <t>A 58025-2025</t>
        </is>
      </c>
      <c r="B365" s="1" t="n">
        <v>45982</v>
      </c>
      <c r="C365" s="1" t="n">
        <v>46084</v>
      </c>
      <c r="D365" t="inlineStr">
        <is>
          <t>UPPSALA LÄN</t>
        </is>
      </c>
      <c r="E365" t="inlineStr">
        <is>
          <t>ENKÖPING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9467-2026</t>
        </is>
      </c>
      <c r="B366" s="1" t="n">
        <v>46071.50694444445</v>
      </c>
      <c r="C366" s="1" t="n">
        <v>46084</v>
      </c>
      <c r="D366" t="inlineStr">
        <is>
          <t>UPPSALA LÄN</t>
        </is>
      </c>
      <c r="E366" t="inlineStr">
        <is>
          <t>ENKÖPING</t>
        </is>
      </c>
      <c r="G366" t="n">
        <v>5.9</v>
      </c>
      <c r="H366" t="n">
        <v>0</v>
      </c>
      <c r="I366" t="n">
        <v>0</v>
      </c>
      <c r="J366" t="n">
        <v>0</v>
      </c>
      <c r="K366" t="n">
        <v>0</v>
      </c>
      <c r="L366" t="n">
        <v>0</v>
      </c>
      <c r="M366" t="n">
        <v>0</v>
      </c>
      <c r="N366" t="n">
        <v>0</v>
      </c>
      <c r="O366" t="n">
        <v>0</v>
      </c>
      <c r="P366" t="n">
        <v>0</v>
      </c>
      <c r="Q366" t="n">
        <v>0</v>
      </c>
      <c r="R366" s="2" t="inlineStr"/>
    </row>
    <row r="367" ht="15" customHeight="1">
      <c r="A367" t="inlineStr">
        <is>
          <t>A 40223-2024</t>
        </is>
      </c>
      <c r="B367" s="1" t="n">
        <v>45554</v>
      </c>
      <c r="C367" s="1" t="n">
        <v>46084</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57188-2025</t>
        </is>
      </c>
      <c r="B368" s="1" t="n">
        <v>45979</v>
      </c>
      <c r="C368" s="1" t="n">
        <v>46084</v>
      </c>
      <c r="D368" t="inlineStr">
        <is>
          <t>UPPSALA LÄN</t>
        </is>
      </c>
      <c r="E368" t="inlineStr">
        <is>
          <t>ENKÖPING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37035-2023</t>
        </is>
      </c>
      <c r="B369" s="1" t="n">
        <v>45155</v>
      </c>
      <c r="C369" s="1" t="n">
        <v>46084</v>
      </c>
      <c r="D369" t="inlineStr">
        <is>
          <t>UPPSALA LÄN</t>
        </is>
      </c>
      <c r="E369" t="inlineStr">
        <is>
          <t>ENKÖPING</t>
        </is>
      </c>
      <c r="G369" t="n">
        <v>1.2</v>
      </c>
      <c r="H369" t="n">
        <v>0</v>
      </c>
      <c r="I369" t="n">
        <v>0</v>
      </c>
      <c r="J369" t="n">
        <v>0</v>
      </c>
      <c r="K369" t="n">
        <v>0</v>
      </c>
      <c r="L369" t="n">
        <v>0</v>
      </c>
      <c r="M369" t="n">
        <v>0</v>
      </c>
      <c r="N369" t="n">
        <v>0</v>
      </c>
      <c r="O369" t="n">
        <v>0</v>
      </c>
      <c r="P369" t="n">
        <v>0</v>
      </c>
      <c r="Q369" t="n">
        <v>0</v>
      </c>
      <c r="R369" s="2" t="inlineStr"/>
    </row>
    <row r="370" ht="15" customHeight="1">
      <c r="A370" t="inlineStr">
        <is>
          <t>A 9148-2026</t>
        </is>
      </c>
      <c r="B370" s="1" t="n">
        <v>46070.30946759259</v>
      </c>
      <c r="C370" s="1" t="n">
        <v>46084</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9474-2026</t>
        </is>
      </c>
      <c r="B371" s="1" t="n">
        <v>46071.52324074074</v>
      </c>
      <c r="C371" s="1" t="n">
        <v>46084</v>
      </c>
      <c r="D371" t="inlineStr">
        <is>
          <t>UPPSALA LÄN</t>
        </is>
      </c>
      <c r="E371" t="inlineStr">
        <is>
          <t>ENKÖPING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25990-2025</t>
        </is>
      </c>
      <c r="B372" s="1" t="n">
        <v>45804.65229166667</v>
      </c>
      <c r="C372" s="1" t="n">
        <v>46084</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9257-2026</t>
        </is>
      </c>
      <c r="B373" s="1" t="n">
        <v>46070.51166666667</v>
      </c>
      <c r="C373" s="1" t="n">
        <v>46084</v>
      </c>
      <c r="D373" t="inlineStr">
        <is>
          <t>UPPSALA LÄN</t>
        </is>
      </c>
      <c r="E373" t="inlineStr">
        <is>
          <t>ENKÖPING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52889-2022</t>
        </is>
      </c>
      <c r="B374" s="1" t="n">
        <v>44875</v>
      </c>
      <c r="C374" s="1" t="n">
        <v>46084</v>
      </c>
      <c r="D374" t="inlineStr">
        <is>
          <t>UPPSALA LÄN</t>
        </is>
      </c>
      <c r="E374" t="inlineStr">
        <is>
          <t>ENKÖPING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51030-2024</t>
        </is>
      </c>
      <c r="B375" s="1" t="n">
        <v>45603</v>
      </c>
      <c r="C375" s="1" t="n">
        <v>46084</v>
      </c>
      <c r="D375" t="inlineStr">
        <is>
          <t>UPPSALA LÄN</t>
        </is>
      </c>
      <c r="E375" t="inlineStr">
        <is>
          <t>ENKÖPING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25989-2025</t>
        </is>
      </c>
      <c r="B376" s="1" t="n">
        <v>45804.65050925926</v>
      </c>
      <c r="C376" s="1" t="n">
        <v>46084</v>
      </c>
      <c r="D376" t="inlineStr">
        <is>
          <t>UPPSALA LÄN</t>
        </is>
      </c>
      <c r="E376" t="inlineStr">
        <is>
          <t>ENKÖPING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26292-2022</t>
        </is>
      </c>
      <c r="B377" s="1" t="n">
        <v>44735</v>
      </c>
      <c r="C377" s="1" t="n">
        <v>46084</v>
      </c>
      <c r="D377" t="inlineStr">
        <is>
          <t>UPPSALA LÄN</t>
        </is>
      </c>
      <c r="E377" t="inlineStr">
        <is>
          <t>ENKÖPING</t>
        </is>
      </c>
      <c r="F377" t="inlineStr">
        <is>
          <t>Kyrkan</t>
        </is>
      </c>
      <c r="G377" t="n">
        <v>4.6</v>
      </c>
      <c r="H377" t="n">
        <v>0</v>
      </c>
      <c r="I377" t="n">
        <v>0</v>
      </c>
      <c r="J377" t="n">
        <v>0</v>
      </c>
      <c r="K377" t="n">
        <v>0</v>
      </c>
      <c r="L377" t="n">
        <v>0</v>
      </c>
      <c r="M377" t="n">
        <v>0</v>
      </c>
      <c r="N377" t="n">
        <v>0</v>
      </c>
      <c r="O377" t="n">
        <v>0</v>
      </c>
      <c r="P377" t="n">
        <v>0</v>
      </c>
      <c r="Q377" t="n">
        <v>0</v>
      </c>
      <c r="R377" s="2" t="inlineStr"/>
    </row>
    <row r="378" ht="15" customHeight="1">
      <c r="A378" t="inlineStr">
        <is>
          <t>A 4044-2024</t>
        </is>
      </c>
      <c r="B378" s="1" t="n">
        <v>45323.45954861111</v>
      </c>
      <c r="C378" s="1" t="n">
        <v>46084</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33349-2024</t>
        </is>
      </c>
      <c r="B379" s="1" t="n">
        <v>45519</v>
      </c>
      <c r="C379" s="1" t="n">
        <v>46084</v>
      </c>
      <c r="D379" t="inlineStr">
        <is>
          <t>UPPSALA LÄN</t>
        </is>
      </c>
      <c r="E379" t="inlineStr">
        <is>
          <t>ENKÖPING</t>
        </is>
      </c>
      <c r="G379" t="n">
        <v>3.6</v>
      </c>
      <c r="H379" t="n">
        <v>0</v>
      </c>
      <c r="I379" t="n">
        <v>0</v>
      </c>
      <c r="J379" t="n">
        <v>0</v>
      </c>
      <c r="K379" t="n">
        <v>0</v>
      </c>
      <c r="L379" t="n">
        <v>0</v>
      </c>
      <c r="M379" t="n">
        <v>0</v>
      </c>
      <c r="N379" t="n">
        <v>0</v>
      </c>
      <c r="O379" t="n">
        <v>0</v>
      </c>
      <c r="P379" t="n">
        <v>0</v>
      </c>
      <c r="Q379" t="n">
        <v>0</v>
      </c>
      <c r="R379" s="2" t="inlineStr"/>
    </row>
    <row r="380" ht="15" customHeight="1">
      <c r="A380" t="inlineStr">
        <is>
          <t>A 22912-2024</t>
        </is>
      </c>
      <c r="B380" s="1" t="n">
        <v>45448.73118055556</v>
      </c>
      <c r="C380" s="1" t="n">
        <v>46084</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21612-2023</t>
        </is>
      </c>
      <c r="B381" s="1" t="n">
        <v>45063</v>
      </c>
      <c r="C381" s="1" t="n">
        <v>46084</v>
      </c>
      <c r="D381" t="inlineStr">
        <is>
          <t>UPPSALA LÄN</t>
        </is>
      </c>
      <c r="E381" t="inlineStr">
        <is>
          <t>ENKÖPING</t>
        </is>
      </c>
      <c r="F381" t="inlineStr">
        <is>
          <t>Allmännings- och besparingsskogar</t>
        </is>
      </c>
      <c r="G381" t="n">
        <v>1</v>
      </c>
      <c r="H381" t="n">
        <v>0</v>
      </c>
      <c r="I381" t="n">
        <v>0</v>
      </c>
      <c r="J381" t="n">
        <v>0</v>
      </c>
      <c r="K381" t="n">
        <v>0</v>
      </c>
      <c r="L381" t="n">
        <v>0</v>
      </c>
      <c r="M381" t="n">
        <v>0</v>
      </c>
      <c r="N381" t="n">
        <v>0</v>
      </c>
      <c r="O381" t="n">
        <v>0</v>
      </c>
      <c r="P381" t="n">
        <v>0</v>
      </c>
      <c r="Q381" t="n">
        <v>0</v>
      </c>
      <c r="R381" s="2" t="inlineStr"/>
    </row>
    <row r="382" ht="15" customHeight="1">
      <c r="A382" t="inlineStr">
        <is>
          <t>A 861-2026</t>
        </is>
      </c>
      <c r="B382" s="1" t="n">
        <v>46030</v>
      </c>
      <c r="C382" s="1" t="n">
        <v>46084</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10458-2022</t>
        </is>
      </c>
      <c r="B383" s="1" t="n">
        <v>44623.56711805556</v>
      </c>
      <c r="C383" s="1" t="n">
        <v>46084</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14243-2025</t>
        </is>
      </c>
      <c r="B384" s="1" t="n">
        <v>45740.61288194444</v>
      </c>
      <c r="C384" s="1" t="n">
        <v>46084</v>
      </c>
      <c r="D384" t="inlineStr">
        <is>
          <t>UPPSALA LÄN</t>
        </is>
      </c>
      <c r="E384" t="inlineStr">
        <is>
          <t>ENKÖPING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33343-2024</t>
        </is>
      </c>
      <c r="B385" s="1" t="n">
        <v>45519</v>
      </c>
      <c r="C385" s="1" t="n">
        <v>46084</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59668-2025</t>
        </is>
      </c>
      <c r="B386" s="1" t="n">
        <v>45992.45567129629</v>
      </c>
      <c r="C386" s="1" t="n">
        <v>46084</v>
      </c>
      <c r="D386" t="inlineStr">
        <is>
          <t>UPPSALA LÄN</t>
        </is>
      </c>
      <c r="E386" t="inlineStr">
        <is>
          <t>ENKÖPING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59964-2025</t>
        </is>
      </c>
      <c r="B387" s="1" t="n">
        <v>45993.48043981481</v>
      </c>
      <c r="C387" s="1" t="n">
        <v>46084</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44115-2024</t>
        </is>
      </c>
      <c r="B388" s="1" t="n">
        <v>45572</v>
      </c>
      <c r="C388" s="1" t="n">
        <v>46084</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60340-2025</t>
        </is>
      </c>
      <c r="B389" s="1" t="n">
        <v>45994.83415509259</v>
      </c>
      <c r="C389" s="1" t="n">
        <v>46084</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18302-2025</t>
        </is>
      </c>
      <c r="B390" s="1" t="n">
        <v>45762</v>
      </c>
      <c r="C390" s="1" t="n">
        <v>46084</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28243-2023</t>
        </is>
      </c>
      <c r="B391" s="1" t="n">
        <v>45099.58885416666</v>
      </c>
      <c r="C391" s="1" t="n">
        <v>46084</v>
      </c>
      <c r="D391" t="inlineStr">
        <is>
          <t>UPPSALA LÄN</t>
        </is>
      </c>
      <c r="E391" t="inlineStr">
        <is>
          <t>ENKÖPING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9957-2023</t>
        </is>
      </c>
      <c r="B392" s="1" t="n">
        <v>44978</v>
      </c>
      <c r="C392" s="1" t="n">
        <v>46084</v>
      </c>
      <c r="D392" t="inlineStr">
        <is>
          <t>UPPSALA LÄN</t>
        </is>
      </c>
      <c r="E392" t="inlineStr">
        <is>
          <t>ENKÖPING</t>
        </is>
      </c>
      <c r="G392" t="n">
        <v>5.9</v>
      </c>
      <c r="H392" t="n">
        <v>0</v>
      </c>
      <c r="I392" t="n">
        <v>0</v>
      </c>
      <c r="J392" t="n">
        <v>0</v>
      </c>
      <c r="K392" t="n">
        <v>0</v>
      </c>
      <c r="L392" t="n">
        <v>0</v>
      </c>
      <c r="M392" t="n">
        <v>0</v>
      </c>
      <c r="N392" t="n">
        <v>0</v>
      </c>
      <c r="O392" t="n">
        <v>0</v>
      </c>
      <c r="P392" t="n">
        <v>0</v>
      </c>
      <c r="Q392" t="n">
        <v>0</v>
      </c>
      <c r="R392" s="2" t="inlineStr"/>
    </row>
    <row r="393" ht="15" customHeight="1">
      <c r="A393" t="inlineStr">
        <is>
          <t>A 60174-2025</t>
        </is>
      </c>
      <c r="B393" s="1" t="n">
        <v>45994.45039351852</v>
      </c>
      <c r="C393" s="1" t="n">
        <v>46084</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60175-2025</t>
        </is>
      </c>
      <c r="B394" s="1" t="n">
        <v>45994.45378472222</v>
      </c>
      <c r="C394" s="1" t="n">
        <v>46084</v>
      </c>
      <c r="D394" t="inlineStr">
        <is>
          <t>UPPSALA LÄN</t>
        </is>
      </c>
      <c r="E394" t="inlineStr">
        <is>
          <t>ENKÖPING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60947-2025</t>
        </is>
      </c>
      <c r="B395" s="1" t="n">
        <v>45999</v>
      </c>
      <c r="C395" s="1" t="n">
        <v>46084</v>
      </c>
      <c r="D395" t="inlineStr">
        <is>
          <t>UPPSALA LÄN</t>
        </is>
      </c>
      <c r="E395" t="inlineStr">
        <is>
          <t>ENKÖPING</t>
        </is>
      </c>
      <c r="G395" t="n">
        <v>4</v>
      </c>
      <c r="H395" t="n">
        <v>0</v>
      </c>
      <c r="I395" t="n">
        <v>0</v>
      </c>
      <c r="J395" t="n">
        <v>0</v>
      </c>
      <c r="K395" t="n">
        <v>0</v>
      </c>
      <c r="L395" t="n">
        <v>0</v>
      </c>
      <c r="M395" t="n">
        <v>0</v>
      </c>
      <c r="N395" t="n">
        <v>0</v>
      </c>
      <c r="O395" t="n">
        <v>0</v>
      </c>
      <c r="P395" t="n">
        <v>0</v>
      </c>
      <c r="Q395" t="n">
        <v>0</v>
      </c>
      <c r="R395" s="2" t="inlineStr"/>
    </row>
    <row r="396" ht="15" customHeight="1">
      <c r="A396" t="inlineStr">
        <is>
          <t>A 3235-2025</t>
        </is>
      </c>
      <c r="B396" s="1" t="n">
        <v>45679</v>
      </c>
      <c r="C396" s="1" t="n">
        <v>46084</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41828-2024</t>
        </is>
      </c>
      <c r="B397" s="1" t="n">
        <v>45561</v>
      </c>
      <c r="C397" s="1" t="n">
        <v>46084</v>
      </c>
      <c r="D397" t="inlineStr">
        <is>
          <t>UPPSALA LÄN</t>
        </is>
      </c>
      <c r="E397" t="inlineStr">
        <is>
          <t>ENKÖPING</t>
        </is>
      </c>
      <c r="G397" t="n">
        <v>2.5</v>
      </c>
      <c r="H397" t="n">
        <v>0</v>
      </c>
      <c r="I397" t="n">
        <v>0</v>
      </c>
      <c r="J397" t="n">
        <v>0</v>
      </c>
      <c r="K397" t="n">
        <v>0</v>
      </c>
      <c r="L397" t="n">
        <v>0</v>
      </c>
      <c r="M397" t="n">
        <v>0</v>
      </c>
      <c r="N397" t="n">
        <v>0</v>
      </c>
      <c r="O397" t="n">
        <v>0</v>
      </c>
      <c r="P397" t="n">
        <v>0</v>
      </c>
      <c r="Q397" t="n">
        <v>0</v>
      </c>
      <c r="R397" s="2" t="inlineStr"/>
    </row>
    <row r="398" ht="15" customHeight="1">
      <c r="A398" t="inlineStr">
        <is>
          <t>A 1536-2024</t>
        </is>
      </c>
      <c r="B398" s="1" t="n">
        <v>45306</v>
      </c>
      <c r="C398" s="1" t="n">
        <v>46084</v>
      </c>
      <c r="D398" t="inlineStr">
        <is>
          <t>UPPSALA LÄN</t>
        </is>
      </c>
      <c r="E398" t="inlineStr">
        <is>
          <t>ENKÖPING</t>
        </is>
      </c>
      <c r="F398" t="inlineStr">
        <is>
          <t>Kyrkan</t>
        </is>
      </c>
      <c r="G398" t="n">
        <v>5.6</v>
      </c>
      <c r="H398" t="n">
        <v>0</v>
      </c>
      <c r="I398" t="n">
        <v>0</v>
      </c>
      <c r="J398" t="n">
        <v>0</v>
      </c>
      <c r="K398" t="n">
        <v>0</v>
      </c>
      <c r="L398" t="n">
        <v>0</v>
      </c>
      <c r="M398" t="n">
        <v>0</v>
      </c>
      <c r="N398" t="n">
        <v>0</v>
      </c>
      <c r="O398" t="n">
        <v>0</v>
      </c>
      <c r="P398" t="n">
        <v>0</v>
      </c>
      <c r="Q398" t="n">
        <v>0</v>
      </c>
      <c r="R398" s="2" t="inlineStr"/>
    </row>
    <row r="399" ht="15" customHeight="1">
      <c r="A399" t="inlineStr">
        <is>
          <t>A 60934-2025</t>
        </is>
      </c>
      <c r="B399" s="1" t="n">
        <v>45999</v>
      </c>
      <c r="C399" s="1" t="n">
        <v>46084</v>
      </c>
      <c r="D399" t="inlineStr">
        <is>
          <t>UPPSALA LÄN</t>
        </is>
      </c>
      <c r="E399" t="inlineStr">
        <is>
          <t>ENKÖPING</t>
        </is>
      </c>
      <c r="G399" t="n">
        <v>2.5</v>
      </c>
      <c r="H399" t="n">
        <v>0</v>
      </c>
      <c r="I399" t="n">
        <v>0</v>
      </c>
      <c r="J399" t="n">
        <v>0</v>
      </c>
      <c r="K399" t="n">
        <v>0</v>
      </c>
      <c r="L399" t="n">
        <v>0</v>
      </c>
      <c r="M399" t="n">
        <v>0</v>
      </c>
      <c r="N399" t="n">
        <v>0</v>
      </c>
      <c r="O399" t="n">
        <v>0</v>
      </c>
      <c r="P399" t="n">
        <v>0</v>
      </c>
      <c r="Q399" t="n">
        <v>0</v>
      </c>
      <c r="R399" s="2" t="inlineStr"/>
    </row>
    <row r="400" ht="15" customHeight="1">
      <c r="A400" t="inlineStr">
        <is>
          <t>A 42564-2024</t>
        </is>
      </c>
      <c r="B400" s="1" t="n">
        <v>45565.63358796296</v>
      </c>
      <c r="C400" s="1" t="n">
        <v>46084</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63402-2023</t>
        </is>
      </c>
      <c r="B401" s="1" t="n">
        <v>45274.50646990741</v>
      </c>
      <c r="C401" s="1" t="n">
        <v>46084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61437-2025</t>
        </is>
      </c>
      <c r="B402" s="1" t="n">
        <v>46001.5659375</v>
      </c>
      <c r="C402" s="1" t="n">
        <v>46084</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43492-2023</t>
        </is>
      </c>
      <c r="B403" s="1" t="n">
        <v>45181</v>
      </c>
      <c r="C403" s="1" t="n">
        <v>46084</v>
      </c>
      <c r="D403" t="inlineStr">
        <is>
          <t>UPPSALA LÄN</t>
        </is>
      </c>
      <c r="E403" t="inlineStr">
        <is>
          <t>ENKÖPING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6626-2023</t>
        </is>
      </c>
      <c r="B404" s="1" t="n">
        <v>44966.55946759259</v>
      </c>
      <c r="C404" s="1" t="n">
        <v>46084</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29477-2025</t>
        </is>
      </c>
      <c r="B405" s="1" t="n">
        <v>45824.71537037037</v>
      </c>
      <c r="C405" s="1" t="n">
        <v>46084</v>
      </c>
      <c r="D405" t="inlineStr">
        <is>
          <t>UPPSALA LÄN</t>
        </is>
      </c>
      <c r="E405" t="inlineStr">
        <is>
          <t>ENKÖPING</t>
        </is>
      </c>
      <c r="G405" t="n">
        <v>13.4</v>
      </c>
      <c r="H405" t="n">
        <v>0</v>
      </c>
      <c r="I405" t="n">
        <v>0</v>
      </c>
      <c r="J405" t="n">
        <v>0</v>
      </c>
      <c r="K405" t="n">
        <v>0</v>
      </c>
      <c r="L405" t="n">
        <v>0</v>
      </c>
      <c r="M405" t="n">
        <v>0</v>
      </c>
      <c r="N405" t="n">
        <v>0</v>
      </c>
      <c r="O405" t="n">
        <v>0</v>
      </c>
      <c r="P405" t="n">
        <v>0</v>
      </c>
      <c r="Q405" t="n">
        <v>0</v>
      </c>
      <c r="R405" s="2" t="inlineStr"/>
    </row>
    <row r="406" ht="15" customHeight="1">
      <c r="A406" t="inlineStr">
        <is>
          <t>A 61778-2025</t>
        </is>
      </c>
      <c r="B406" s="1" t="n">
        <v>46002.66555555556</v>
      </c>
      <c r="C406" s="1" t="n">
        <v>46084</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16916-2023</t>
        </is>
      </c>
      <c r="B407" s="1" t="n">
        <v>45033.58347222222</v>
      </c>
      <c r="C407" s="1" t="n">
        <v>46084</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2258-2026</t>
        </is>
      </c>
      <c r="B408" s="1" t="n">
        <v>46036</v>
      </c>
      <c r="C408" s="1" t="n">
        <v>46084</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61811-2025</t>
        </is>
      </c>
      <c r="B409" s="1" t="n">
        <v>46002.90059027778</v>
      </c>
      <c r="C409" s="1" t="n">
        <v>46084</v>
      </c>
      <c r="D409" t="inlineStr">
        <is>
          <t>UPPSALA LÄN</t>
        </is>
      </c>
      <c r="E409" t="inlineStr">
        <is>
          <t>ENKÖPING</t>
        </is>
      </c>
      <c r="F409" t="inlineStr">
        <is>
          <t>Allmännings- och besparingsskogar</t>
        </is>
      </c>
      <c r="G409" t="n">
        <v>4.7</v>
      </c>
      <c r="H409" t="n">
        <v>0</v>
      </c>
      <c r="I409" t="n">
        <v>0</v>
      </c>
      <c r="J409" t="n">
        <v>0</v>
      </c>
      <c r="K409" t="n">
        <v>0</v>
      </c>
      <c r="L409" t="n">
        <v>0</v>
      </c>
      <c r="M409" t="n">
        <v>0</v>
      </c>
      <c r="N409" t="n">
        <v>0</v>
      </c>
      <c r="O409" t="n">
        <v>0</v>
      </c>
      <c r="P409" t="n">
        <v>0</v>
      </c>
      <c r="Q409" t="n">
        <v>0</v>
      </c>
      <c r="R409" s="2" t="inlineStr"/>
    </row>
    <row r="410" ht="15" customHeight="1">
      <c r="A410" t="inlineStr">
        <is>
          <t>A 38941-2025</t>
        </is>
      </c>
      <c r="B410" s="1" t="n">
        <v>45887</v>
      </c>
      <c r="C410" s="1" t="n">
        <v>46084</v>
      </c>
      <c r="D410" t="inlineStr">
        <is>
          <t>UPPSALA LÄN</t>
        </is>
      </c>
      <c r="E410" t="inlineStr">
        <is>
          <t>ENKÖPING</t>
        </is>
      </c>
      <c r="F410" t="inlineStr">
        <is>
          <t>Övriga statliga verk och myndigheter</t>
        </is>
      </c>
      <c r="G410" t="n">
        <v>0.6</v>
      </c>
      <c r="H410" t="n">
        <v>0</v>
      </c>
      <c r="I410" t="n">
        <v>0</v>
      </c>
      <c r="J410" t="n">
        <v>0</v>
      </c>
      <c r="K410" t="n">
        <v>0</v>
      </c>
      <c r="L410" t="n">
        <v>0</v>
      </c>
      <c r="M410" t="n">
        <v>0</v>
      </c>
      <c r="N410" t="n">
        <v>0</v>
      </c>
      <c r="O410" t="n">
        <v>0</v>
      </c>
      <c r="P410" t="n">
        <v>0</v>
      </c>
      <c r="Q410" t="n">
        <v>0</v>
      </c>
      <c r="R410" s="2" t="inlineStr"/>
    </row>
    <row r="411" ht="15" customHeight="1">
      <c r="A411" t="inlineStr">
        <is>
          <t>A 56886-2023</t>
        </is>
      </c>
      <c r="B411" s="1" t="n">
        <v>45239</v>
      </c>
      <c r="C411" s="1" t="n">
        <v>46084</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2218-2026</t>
        </is>
      </c>
      <c r="B412" s="1" t="n">
        <v>46036.50010416667</v>
      </c>
      <c r="C412" s="1" t="n">
        <v>46084</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17165-2025</t>
        </is>
      </c>
      <c r="B413" s="1" t="n">
        <v>45756</v>
      </c>
      <c r="C413" s="1" t="n">
        <v>46084</v>
      </c>
      <c r="D413" t="inlineStr">
        <is>
          <t>UPPSALA LÄN</t>
        </is>
      </c>
      <c r="E413" t="inlineStr">
        <is>
          <t>ENKÖPING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5013-2025</t>
        </is>
      </c>
      <c r="B414" s="1" t="n">
        <v>45691</v>
      </c>
      <c r="C414" s="1" t="n">
        <v>46084</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61889-2025</t>
        </is>
      </c>
      <c r="B415" s="1" t="n">
        <v>46003.44765046296</v>
      </c>
      <c r="C415" s="1" t="n">
        <v>46084</v>
      </c>
      <c r="D415" t="inlineStr">
        <is>
          <t>UPPSALA LÄN</t>
        </is>
      </c>
      <c r="E415" t="inlineStr">
        <is>
          <t>ENKÖPING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37170-2021</t>
        </is>
      </c>
      <c r="B416" s="1" t="n">
        <v>44395</v>
      </c>
      <c r="C416" s="1" t="n">
        <v>46084</v>
      </c>
      <c r="D416" t="inlineStr">
        <is>
          <t>UPPSALA LÄN</t>
        </is>
      </c>
      <c r="E416" t="inlineStr">
        <is>
          <t>ENKÖPING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58147-2024</t>
        </is>
      </c>
      <c r="B417" s="1" t="n">
        <v>45632.4334375</v>
      </c>
      <c r="C417" s="1" t="n">
        <v>46084</v>
      </c>
      <c r="D417" t="inlineStr">
        <is>
          <t>UPPSALA LÄN</t>
        </is>
      </c>
      <c r="E417" t="inlineStr">
        <is>
          <t>ENKÖPING</t>
        </is>
      </c>
      <c r="G417" t="n">
        <v>3</v>
      </c>
      <c r="H417" t="n">
        <v>0</v>
      </c>
      <c r="I417" t="n">
        <v>0</v>
      </c>
      <c r="J417" t="n">
        <v>0</v>
      </c>
      <c r="K417" t="n">
        <v>0</v>
      </c>
      <c r="L417" t="n">
        <v>0</v>
      </c>
      <c r="M417" t="n">
        <v>0</v>
      </c>
      <c r="N417" t="n">
        <v>0</v>
      </c>
      <c r="O417" t="n">
        <v>0</v>
      </c>
      <c r="P417" t="n">
        <v>0</v>
      </c>
      <c r="Q417" t="n">
        <v>0</v>
      </c>
      <c r="R417" s="2" t="inlineStr"/>
    </row>
    <row r="418" ht="15" customHeight="1">
      <c r="A418" t="inlineStr">
        <is>
          <t>A 3550-2023</t>
        </is>
      </c>
      <c r="B418" s="1" t="n">
        <v>44950</v>
      </c>
      <c r="C418" s="1" t="n">
        <v>46084</v>
      </c>
      <c r="D418" t="inlineStr">
        <is>
          <t>UPPSALA LÄN</t>
        </is>
      </c>
      <c r="E418" t="inlineStr">
        <is>
          <t>ENKÖPING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5104-2026</t>
        </is>
      </c>
      <c r="B419" s="1" t="n">
        <v>46049.56914351852</v>
      </c>
      <c r="C419" s="1" t="n">
        <v>46084</v>
      </c>
      <c r="D419" t="inlineStr">
        <is>
          <t>UPPSALA LÄN</t>
        </is>
      </c>
      <c r="E419" t="inlineStr">
        <is>
          <t>ENKÖPING</t>
        </is>
      </c>
      <c r="G419" t="n">
        <v>2.3</v>
      </c>
      <c r="H419" t="n">
        <v>0</v>
      </c>
      <c r="I419" t="n">
        <v>0</v>
      </c>
      <c r="J419" t="n">
        <v>0</v>
      </c>
      <c r="K419" t="n">
        <v>0</v>
      </c>
      <c r="L419" t="n">
        <v>0</v>
      </c>
      <c r="M419" t="n">
        <v>0</v>
      </c>
      <c r="N419" t="n">
        <v>0</v>
      </c>
      <c r="O419" t="n">
        <v>0</v>
      </c>
      <c r="P419" t="n">
        <v>0</v>
      </c>
      <c r="Q419" t="n">
        <v>0</v>
      </c>
      <c r="R419" s="2" t="inlineStr"/>
    </row>
    <row r="420" ht="15" customHeight="1">
      <c r="A420" t="inlineStr">
        <is>
          <t>A 19014-2025</t>
        </is>
      </c>
      <c r="B420" s="1" t="n">
        <v>45764.59631944444</v>
      </c>
      <c r="C420" s="1" t="n">
        <v>46084</v>
      </c>
      <c r="D420" t="inlineStr">
        <is>
          <t>UPPSALA LÄN</t>
        </is>
      </c>
      <c r="E420" t="inlineStr">
        <is>
          <t>ENKÖPING</t>
        </is>
      </c>
      <c r="G420" t="n">
        <v>0.2</v>
      </c>
      <c r="H420" t="n">
        <v>0</v>
      </c>
      <c r="I420" t="n">
        <v>0</v>
      </c>
      <c r="J420" t="n">
        <v>0</v>
      </c>
      <c r="K420" t="n">
        <v>0</v>
      </c>
      <c r="L420" t="n">
        <v>0</v>
      </c>
      <c r="M420" t="n">
        <v>0</v>
      </c>
      <c r="N420" t="n">
        <v>0</v>
      </c>
      <c r="O420" t="n">
        <v>0</v>
      </c>
      <c r="P420" t="n">
        <v>0</v>
      </c>
      <c r="Q420" t="n">
        <v>0</v>
      </c>
      <c r="R420" s="2" t="inlineStr"/>
    </row>
    <row r="421" ht="15" customHeight="1">
      <c r="A421" t="inlineStr">
        <is>
          <t>A 62599-2025</t>
        </is>
      </c>
      <c r="B421" s="1" t="n">
        <v>46007.91961805556</v>
      </c>
      <c r="C421" s="1" t="n">
        <v>46084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5569-2026</t>
        </is>
      </c>
      <c r="B422" s="1" t="n">
        <v>46050.89431712963</v>
      </c>
      <c r="C422" s="1" t="n">
        <v>46084</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62772-2025</t>
        </is>
      </c>
      <c r="B423" s="1" t="n">
        <v>46008.60365740741</v>
      </c>
      <c r="C423" s="1" t="n">
        <v>46084</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63128-2025</t>
        </is>
      </c>
      <c r="B424" s="1" t="n">
        <v>46009</v>
      </c>
      <c r="C424" s="1" t="n">
        <v>46084</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12958-2024</t>
        </is>
      </c>
      <c r="B425" s="1" t="n">
        <v>45385</v>
      </c>
      <c r="C425" s="1" t="n">
        <v>46084</v>
      </c>
      <c r="D425" t="inlineStr">
        <is>
          <t>UPPSALA LÄN</t>
        </is>
      </c>
      <c r="E425" t="inlineStr">
        <is>
          <t>ENKÖPING</t>
        </is>
      </c>
      <c r="G425" t="n">
        <v>2.1</v>
      </c>
      <c r="H425" t="n">
        <v>0</v>
      </c>
      <c r="I425" t="n">
        <v>0</v>
      </c>
      <c r="J425" t="n">
        <v>0</v>
      </c>
      <c r="K425" t="n">
        <v>0</v>
      </c>
      <c r="L425" t="n">
        <v>0</v>
      </c>
      <c r="M425" t="n">
        <v>0</v>
      </c>
      <c r="N425" t="n">
        <v>0</v>
      </c>
      <c r="O425" t="n">
        <v>0</v>
      </c>
      <c r="P425" t="n">
        <v>0</v>
      </c>
      <c r="Q425" t="n">
        <v>0</v>
      </c>
      <c r="R425" s="2" t="inlineStr"/>
    </row>
    <row r="426" ht="15" customHeight="1">
      <c r="A426" t="inlineStr">
        <is>
          <t>A 62600-2025</t>
        </is>
      </c>
      <c r="B426" s="1" t="n">
        <v>46007.92175925926</v>
      </c>
      <c r="C426" s="1" t="n">
        <v>46084</v>
      </c>
      <c r="D426" t="inlineStr">
        <is>
          <t>UPPSALA LÄN</t>
        </is>
      </c>
      <c r="E426" t="inlineStr">
        <is>
          <t>ENKÖPING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62602-2025</t>
        </is>
      </c>
      <c r="B427" s="1" t="n">
        <v>46007.92581018519</v>
      </c>
      <c r="C427" s="1" t="n">
        <v>46084</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1651-2024</t>
        </is>
      </c>
      <c r="B428" s="1" t="n">
        <v>45306.73770833333</v>
      </c>
      <c r="C428" s="1" t="n">
        <v>46084</v>
      </c>
      <c r="D428" t="inlineStr">
        <is>
          <t>UPPSALA LÄN</t>
        </is>
      </c>
      <c r="E428" t="inlineStr">
        <is>
          <t>ENKÖPING</t>
        </is>
      </c>
      <c r="G428" t="n">
        <v>10.2</v>
      </c>
      <c r="H428" t="n">
        <v>0</v>
      </c>
      <c r="I428" t="n">
        <v>0</v>
      </c>
      <c r="J428" t="n">
        <v>0</v>
      </c>
      <c r="K428" t="n">
        <v>0</v>
      </c>
      <c r="L428" t="n">
        <v>0</v>
      </c>
      <c r="M428" t="n">
        <v>0</v>
      </c>
      <c r="N428" t="n">
        <v>0</v>
      </c>
      <c r="O428" t="n">
        <v>0</v>
      </c>
      <c r="P428" t="n">
        <v>0</v>
      </c>
      <c r="Q428" t="n">
        <v>0</v>
      </c>
      <c r="R428" s="2" t="inlineStr"/>
    </row>
    <row r="429" ht="15" customHeight="1">
      <c r="A429" t="inlineStr">
        <is>
          <t>A 62601-2025</t>
        </is>
      </c>
      <c r="B429" s="1" t="n">
        <v>46007.92395833333</v>
      </c>
      <c r="C429" s="1" t="n">
        <v>46084</v>
      </c>
      <c r="D429" t="inlineStr">
        <is>
          <t>UPPSALA LÄN</t>
        </is>
      </c>
      <c r="E429" t="inlineStr">
        <is>
          <t>ENKÖPING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51012-2024</t>
        </is>
      </c>
      <c r="B430" s="1" t="n">
        <v>45603.39686342593</v>
      </c>
      <c r="C430" s="1" t="n">
        <v>46084</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18592-2021</t>
        </is>
      </c>
      <c r="B431" s="1" t="n">
        <v>44306</v>
      </c>
      <c r="C431" s="1" t="n">
        <v>46084</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57940-2022</t>
        </is>
      </c>
      <c r="B432" s="1" t="n">
        <v>44900</v>
      </c>
      <c r="C432" s="1" t="n">
        <v>46084</v>
      </c>
      <c r="D432" t="inlineStr">
        <is>
          <t>UPPSALA LÄN</t>
        </is>
      </c>
      <c r="E432" t="inlineStr">
        <is>
          <t>ENKÖPING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6356-2022</t>
        </is>
      </c>
      <c r="B433" s="1" t="n">
        <v>44600</v>
      </c>
      <c r="C433" s="1" t="n">
        <v>46084</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6047-2026</t>
        </is>
      </c>
      <c r="B434" s="1" t="n">
        <v>46052.62738425926</v>
      </c>
      <c r="C434" s="1" t="n">
        <v>46084</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6031-2026</t>
        </is>
      </c>
      <c r="B435" s="1" t="n">
        <v>46052.61201388889</v>
      </c>
      <c r="C435" s="1" t="n">
        <v>46084</v>
      </c>
      <c r="D435" t="inlineStr">
        <is>
          <t>UPPSALA LÄN</t>
        </is>
      </c>
      <c r="E435" t="inlineStr">
        <is>
          <t>ENKÖPING</t>
        </is>
      </c>
      <c r="G435" t="n">
        <v>4.1</v>
      </c>
      <c r="H435" t="n">
        <v>0</v>
      </c>
      <c r="I435" t="n">
        <v>0</v>
      </c>
      <c r="J435" t="n">
        <v>0</v>
      </c>
      <c r="K435" t="n">
        <v>0</v>
      </c>
      <c r="L435" t="n">
        <v>0</v>
      </c>
      <c r="M435" t="n">
        <v>0</v>
      </c>
      <c r="N435" t="n">
        <v>0</v>
      </c>
      <c r="O435" t="n">
        <v>0</v>
      </c>
      <c r="P435" t="n">
        <v>0</v>
      </c>
      <c r="Q435" t="n">
        <v>0</v>
      </c>
      <c r="R435" s="2" t="inlineStr"/>
    </row>
    <row r="436" ht="15" customHeight="1">
      <c r="A436" t="inlineStr">
        <is>
          <t>A 63310-2021</t>
        </is>
      </c>
      <c r="B436" s="1" t="n">
        <v>44508</v>
      </c>
      <c r="C436" s="1" t="n">
        <v>46084</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6049-2026</t>
        </is>
      </c>
      <c r="B437" s="1" t="n">
        <v>46052.63005787037</v>
      </c>
      <c r="C437" s="1" t="n">
        <v>46084</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20440-2025</t>
        </is>
      </c>
      <c r="B438" s="1" t="n">
        <v>45775</v>
      </c>
      <c r="C438" s="1" t="n">
        <v>46084</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13816-2021</t>
        </is>
      </c>
      <c r="B439" s="1" t="n">
        <v>44276</v>
      </c>
      <c r="C439" s="1" t="n">
        <v>46084</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5953-2026</t>
        </is>
      </c>
      <c r="B440" s="1" t="n">
        <v>46052.49119212963</v>
      </c>
      <c r="C440" s="1" t="n">
        <v>46084</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6041-2026</t>
        </is>
      </c>
      <c r="B441" s="1" t="n">
        <v>46052.62184027778</v>
      </c>
      <c r="C441" s="1" t="n">
        <v>46084</v>
      </c>
      <c r="D441" t="inlineStr">
        <is>
          <t>UPPSALA LÄN</t>
        </is>
      </c>
      <c r="E441" t="inlineStr">
        <is>
          <t>ENKÖPING</t>
        </is>
      </c>
      <c r="G441" t="n">
        <v>4</v>
      </c>
      <c r="H441" t="n">
        <v>0</v>
      </c>
      <c r="I441" t="n">
        <v>0</v>
      </c>
      <c r="J441" t="n">
        <v>0</v>
      </c>
      <c r="K441" t="n">
        <v>0</v>
      </c>
      <c r="L441" t="n">
        <v>0</v>
      </c>
      <c r="M441" t="n">
        <v>0</v>
      </c>
      <c r="N441" t="n">
        <v>0</v>
      </c>
      <c r="O441" t="n">
        <v>0</v>
      </c>
      <c r="P441" t="n">
        <v>0</v>
      </c>
      <c r="Q441" t="n">
        <v>0</v>
      </c>
      <c r="R441" s="2" t="inlineStr"/>
    </row>
    <row r="442" ht="15" customHeight="1">
      <c r="A442" t="inlineStr">
        <is>
          <t>A 6044-2026</t>
        </is>
      </c>
      <c r="B442" s="1" t="n">
        <v>46052.62506944445</v>
      </c>
      <c r="C442" s="1" t="n">
        <v>46084</v>
      </c>
      <c r="D442" t="inlineStr">
        <is>
          <t>UPPSALA LÄN</t>
        </is>
      </c>
      <c r="E442" t="inlineStr">
        <is>
          <t>ENKÖPING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19488-2022</t>
        </is>
      </c>
      <c r="B443" s="1" t="n">
        <v>44693</v>
      </c>
      <c r="C443" s="1" t="n">
        <v>46084</v>
      </c>
      <c r="D443" t="inlineStr">
        <is>
          <t>UPPSALA LÄN</t>
        </is>
      </c>
      <c r="E443" t="inlineStr">
        <is>
          <t>ENKÖPING</t>
        </is>
      </c>
      <c r="G443" t="n">
        <v>7.8</v>
      </c>
      <c r="H443" t="n">
        <v>0</v>
      </c>
      <c r="I443" t="n">
        <v>0</v>
      </c>
      <c r="J443" t="n">
        <v>0</v>
      </c>
      <c r="K443" t="n">
        <v>0</v>
      </c>
      <c r="L443" t="n">
        <v>0</v>
      </c>
      <c r="M443" t="n">
        <v>0</v>
      </c>
      <c r="N443" t="n">
        <v>0</v>
      </c>
      <c r="O443" t="n">
        <v>0</v>
      </c>
      <c r="P443" t="n">
        <v>0</v>
      </c>
      <c r="Q443" t="n">
        <v>0</v>
      </c>
      <c r="R443" s="2" t="inlineStr"/>
    </row>
    <row r="444" ht="15" customHeight="1">
      <c r="A444" t="inlineStr">
        <is>
          <t>A 5188-2022</t>
        </is>
      </c>
      <c r="B444" s="1" t="n">
        <v>44594.4471412037</v>
      </c>
      <c r="C444" s="1" t="n">
        <v>46084</v>
      </c>
      <c r="D444" t="inlineStr">
        <is>
          <t>UPPSALA LÄN</t>
        </is>
      </c>
      <c r="E444" t="inlineStr">
        <is>
          <t>ENKÖPING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5948-2026</t>
        </is>
      </c>
      <c r="B445" s="1" t="n">
        <v>46052</v>
      </c>
      <c r="C445" s="1" t="n">
        <v>46084</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31622-2022</t>
        </is>
      </c>
      <c r="B446" s="1" t="n">
        <v>44775</v>
      </c>
      <c r="C446" s="1" t="n">
        <v>46084</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7008-2026</t>
        </is>
      </c>
      <c r="B447" s="1" t="n">
        <v>46057.63806712963</v>
      </c>
      <c r="C447" s="1" t="n">
        <v>46084</v>
      </c>
      <c r="D447" t="inlineStr">
        <is>
          <t>UPPSALA LÄN</t>
        </is>
      </c>
      <c r="E447" t="inlineStr">
        <is>
          <t>ENKÖPING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7003-2026</t>
        </is>
      </c>
      <c r="B448" s="1" t="n">
        <v>46057.63243055555</v>
      </c>
      <c r="C448" s="1" t="n">
        <v>46084</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12102-2024</t>
        </is>
      </c>
      <c r="B449" s="1" t="n">
        <v>45377</v>
      </c>
      <c r="C449" s="1" t="n">
        <v>46084</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59602-2024</t>
        </is>
      </c>
      <c r="B450" s="1" t="n">
        <v>45638</v>
      </c>
      <c r="C450" s="1" t="n">
        <v>46084</v>
      </c>
      <c r="D450" t="inlineStr">
        <is>
          <t>UPPSALA LÄN</t>
        </is>
      </c>
      <c r="E450" t="inlineStr">
        <is>
          <t>ENKÖPING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7167-2026</t>
        </is>
      </c>
      <c r="B451" s="1" t="n">
        <v>46058.45677083333</v>
      </c>
      <c r="C451" s="1" t="n">
        <v>46084</v>
      </c>
      <c r="D451" t="inlineStr">
        <is>
          <t>UPPSALA LÄN</t>
        </is>
      </c>
      <c r="E451" t="inlineStr">
        <is>
          <t>ENKÖPING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7168-2026</t>
        </is>
      </c>
      <c r="B452" s="1" t="n">
        <v>46058.45831018518</v>
      </c>
      <c r="C452" s="1" t="n">
        <v>46084</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7175-2026</t>
        </is>
      </c>
      <c r="B453" s="1" t="n">
        <v>46058.46399305556</v>
      </c>
      <c r="C453" s="1" t="n">
        <v>46084</v>
      </c>
      <c r="D453" t="inlineStr">
        <is>
          <t>UPPSALA LÄN</t>
        </is>
      </c>
      <c r="E453" t="inlineStr">
        <is>
          <t>ENKÖPING</t>
        </is>
      </c>
      <c r="G453" t="n">
        <v>2</v>
      </c>
      <c r="H453" t="n">
        <v>0</v>
      </c>
      <c r="I453" t="n">
        <v>0</v>
      </c>
      <c r="J453" t="n">
        <v>0</v>
      </c>
      <c r="K453" t="n">
        <v>0</v>
      </c>
      <c r="L453" t="n">
        <v>0</v>
      </c>
      <c r="M453" t="n">
        <v>0</v>
      </c>
      <c r="N453" t="n">
        <v>0</v>
      </c>
      <c r="O453" t="n">
        <v>0</v>
      </c>
      <c r="P453" t="n">
        <v>0</v>
      </c>
      <c r="Q453" t="n">
        <v>0</v>
      </c>
      <c r="R453" s="2" t="inlineStr"/>
    </row>
    <row r="454" ht="15" customHeight="1">
      <c r="A454" t="inlineStr">
        <is>
          <t>A 12434-2021</t>
        </is>
      </c>
      <c r="B454" s="1" t="n">
        <v>44267</v>
      </c>
      <c r="C454" s="1" t="n">
        <v>46084</v>
      </c>
      <c r="D454" t="inlineStr">
        <is>
          <t>UPPSALA LÄN</t>
        </is>
      </c>
      <c r="E454" t="inlineStr">
        <is>
          <t>ENKÖPING</t>
        </is>
      </c>
      <c r="G454" t="n">
        <v>5.3</v>
      </c>
      <c r="H454" t="n">
        <v>0</v>
      </c>
      <c r="I454" t="n">
        <v>0</v>
      </c>
      <c r="J454" t="n">
        <v>0</v>
      </c>
      <c r="K454" t="n">
        <v>0</v>
      </c>
      <c r="L454" t="n">
        <v>0</v>
      </c>
      <c r="M454" t="n">
        <v>0</v>
      </c>
      <c r="N454" t="n">
        <v>0</v>
      </c>
      <c r="O454" t="n">
        <v>0</v>
      </c>
      <c r="P454" t="n">
        <v>0</v>
      </c>
      <c r="Q454" t="n">
        <v>0</v>
      </c>
      <c r="R454" s="2" t="inlineStr"/>
    </row>
    <row r="455" ht="15" customHeight="1">
      <c r="A455" t="inlineStr">
        <is>
          <t>A 7172-2026</t>
        </is>
      </c>
      <c r="B455" s="1" t="n">
        <v>46058.46113425926</v>
      </c>
      <c r="C455" s="1" t="n">
        <v>46084</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49614-2024</t>
        </is>
      </c>
      <c r="B456" s="1" t="n">
        <v>45596.57716435185</v>
      </c>
      <c r="C456" s="1" t="n">
        <v>46084</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49632-2024</t>
        </is>
      </c>
      <c r="B457" s="1" t="n">
        <v>45596</v>
      </c>
      <c r="C457" s="1" t="n">
        <v>46084</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29479-2022</t>
        </is>
      </c>
      <c r="B458" s="1" t="n">
        <v>44753.57265046296</v>
      </c>
      <c r="C458" s="1" t="n">
        <v>46084</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60848-2025</t>
        </is>
      </c>
      <c r="B459" s="1" t="n">
        <v>45999</v>
      </c>
      <c r="C459" s="1" t="n">
        <v>46084</v>
      </c>
      <c r="D459" t="inlineStr">
        <is>
          <t>UPPSALA LÄN</t>
        </is>
      </c>
      <c r="E459" t="inlineStr">
        <is>
          <t>ENKÖPING</t>
        </is>
      </c>
      <c r="G459" t="n">
        <v>2.5</v>
      </c>
      <c r="H459" t="n">
        <v>0</v>
      </c>
      <c r="I459" t="n">
        <v>0</v>
      </c>
      <c r="J459" t="n">
        <v>0</v>
      </c>
      <c r="K459" t="n">
        <v>0</v>
      </c>
      <c r="L459" t="n">
        <v>0</v>
      </c>
      <c r="M459" t="n">
        <v>0</v>
      </c>
      <c r="N459" t="n">
        <v>0</v>
      </c>
      <c r="O459" t="n">
        <v>0</v>
      </c>
      <c r="P459" t="n">
        <v>0</v>
      </c>
      <c r="Q459" t="n">
        <v>0</v>
      </c>
      <c r="R459" s="2" t="inlineStr"/>
    </row>
    <row r="460" ht="15" customHeight="1">
      <c r="A460" t="inlineStr">
        <is>
          <t>A 27538-2023</t>
        </is>
      </c>
      <c r="B460" s="1" t="n">
        <v>45097</v>
      </c>
      <c r="C460" s="1" t="n">
        <v>46084</v>
      </c>
      <c r="D460" t="inlineStr">
        <is>
          <t>UPPSALA LÄN</t>
        </is>
      </c>
      <c r="E460" t="inlineStr">
        <is>
          <t>ENKÖPING</t>
        </is>
      </c>
      <c r="G460" t="n">
        <v>5.8</v>
      </c>
      <c r="H460" t="n">
        <v>0</v>
      </c>
      <c r="I460" t="n">
        <v>0</v>
      </c>
      <c r="J460" t="n">
        <v>0</v>
      </c>
      <c r="K460" t="n">
        <v>0</v>
      </c>
      <c r="L460" t="n">
        <v>0</v>
      </c>
      <c r="M460" t="n">
        <v>0</v>
      </c>
      <c r="N460" t="n">
        <v>0</v>
      </c>
      <c r="O460" t="n">
        <v>0</v>
      </c>
      <c r="P460" t="n">
        <v>0</v>
      </c>
      <c r="Q460" t="n">
        <v>0</v>
      </c>
      <c r="R460" s="2" t="inlineStr"/>
    </row>
    <row r="461" ht="15" customHeight="1">
      <c r="A461" t="inlineStr">
        <is>
          <t>A 15409-2025</t>
        </is>
      </c>
      <c r="B461" s="1" t="n">
        <v>45747</v>
      </c>
      <c r="C461" s="1" t="n">
        <v>46084</v>
      </c>
      <c r="D461" t="inlineStr">
        <is>
          <t>UPPSALA LÄN</t>
        </is>
      </c>
      <c r="E461" t="inlineStr">
        <is>
          <t>ENKÖPING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60874-2023</t>
        </is>
      </c>
      <c r="B462" s="1" t="n">
        <v>45261.06280092592</v>
      </c>
      <c r="C462" s="1" t="n">
        <v>46084</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50394-2024</t>
        </is>
      </c>
      <c r="B463" s="1" t="n">
        <v>45600</v>
      </c>
      <c r="C463" s="1" t="n">
        <v>46084</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51010-2024</t>
        </is>
      </c>
      <c r="B464" s="1" t="n">
        <v>45603.39285879629</v>
      </c>
      <c r="C464" s="1" t="n">
        <v>46084</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43016-2021</t>
        </is>
      </c>
      <c r="B465" s="1" t="n">
        <v>44431</v>
      </c>
      <c r="C465" s="1" t="n">
        <v>46084</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19147-2024</t>
        </is>
      </c>
      <c r="B466" s="1" t="n">
        <v>45428</v>
      </c>
      <c r="C466" s="1" t="n">
        <v>46084</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57209-2024</t>
        </is>
      </c>
      <c r="B467" s="1" t="n">
        <v>45629.49311342592</v>
      </c>
      <c r="C467" s="1" t="n">
        <v>46084</v>
      </c>
      <c r="D467" t="inlineStr">
        <is>
          <t>UPPSALA LÄN</t>
        </is>
      </c>
      <c r="E467" t="inlineStr">
        <is>
          <t>ENKÖPING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51120-2023</t>
        </is>
      </c>
      <c r="B468" s="1" t="n">
        <v>45219.3088425926</v>
      </c>
      <c r="C468" s="1" t="n">
        <v>46084</v>
      </c>
      <c r="D468" t="inlineStr">
        <is>
          <t>UPPSALA LÄN</t>
        </is>
      </c>
      <c r="E468" t="inlineStr">
        <is>
          <t>ENKÖPING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12878-2025</t>
        </is>
      </c>
      <c r="B469" s="1" t="n">
        <v>45733.68571759259</v>
      </c>
      <c r="C469" s="1" t="n">
        <v>46084</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43896-2022</t>
        </is>
      </c>
      <c r="B470" s="1" t="n">
        <v>44838</v>
      </c>
      <c r="C470" s="1" t="n">
        <v>46084</v>
      </c>
      <c r="D470" t="inlineStr">
        <is>
          <t>UPPSALA LÄN</t>
        </is>
      </c>
      <c r="E470" t="inlineStr">
        <is>
          <t>ENKÖPING</t>
        </is>
      </c>
      <c r="G470" t="n">
        <v>5.3</v>
      </c>
      <c r="H470" t="n">
        <v>0</v>
      </c>
      <c r="I470" t="n">
        <v>0</v>
      </c>
      <c r="J470" t="n">
        <v>0</v>
      </c>
      <c r="K470" t="n">
        <v>0</v>
      </c>
      <c r="L470" t="n">
        <v>0</v>
      </c>
      <c r="M470" t="n">
        <v>0</v>
      </c>
      <c r="N470" t="n">
        <v>0</v>
      </c>
      <c r="O470" t="n">
        <v>0</v>
      </c>
      <c r="P470" t="n">
        <v>0</v>
      </c>
      <c r="Q470" t="n">
        <v>0</v>
      </c>
      <c r="R470" s="2" t="inlineStr"/>
    </row>
    <row r="471" ht="15" customHeight="1">
      <c r="A471" t="inlineStr">
        <is>
          <t>A 7090-2022</t>
        </is>
      </c>
      <c r="B471" s="1" t="n">
        <v>44603.59520833333</v>
      </c>
      <c r="C471" s="1" t="n">
        <v>46084</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9487-2025</t>
        </is>
      </c>
      <c r="B472" s="1" t="n">
        <v>45715.49331018519</v>
      </c>
      <c r="C472" s="1" t="n">
        <v>46084</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6144-2024</t>
        </is>
      </c>
      <c r="B473" s="1" t="n">
        <v>45337.4684837963</v>
      </c>
      <c r="C473" s="1" t="n">
        <v>46084</v>
      </c>
      <c r="D473" t="inlineStr">
        <is>
          <t>UPPSALA LÄN</t>
        </is>
      </c>
      <c r="E473" t="inlineStr">
        <is>
          <t>ENKÖPING</t>
        </is>
      </c>
      <c r="G473" t="n">
        <v>13.8</v>
      </c>
      <c r="H473" t="n">
        <v>0</v>
      </c>
      <c r="I473" t="n">
        <v>0</v>
      </c>
      <c r="J473" t="n">
        <v>0</v>
      </c>
      <c r="K473" t="n">
        <v>0</v>
      </c>
      <c r="L473" t="n">
        <v>0</v>
      </c>
      <c r="M473" t="n">
        <v>0</v>
      </c>
      <c r="N473" t="n">
        <v>0</v>
      </c>
      <c r="O473" t="n">
        <v>0</v>
      </c>
      <c r="P473" t="n">
        <v>0</v>
      </c>
      <c r="Q473" t="n">
        <v>0</v>
      </c>
      <c r="R473" s="2" t="inlineStr"/>
    </row>
    <row r="474" ht="15" customHeight="1">
      <c r="A474" t="inlineStr">
        <is>
          <t>A 33955-2024</t>
        </is>
      </c>
      <c r="B474" s="1" t="n">
        <v>45523.46952546296</v>
      </c>
      <c r="C474" s="1" t="n">
        <v>46084</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16920-2023</t>
        </is>
      </c>
      <c r="B475" s="1" t="n">
        <v>45033.59030092593</v>
      </c>
      <c r="C475" s="1" t="n">
        <v>46084</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53586-2024</t>
        </is>
      </c>
      <c r="B476" s="1" t="n">
        <v>45614</v>
      </c>
      <c r="C476" s="1" t="n">
        <v>46084</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43506-2023</t>
        </is>
      </c>
      <c r="B477" s="1" t="n">
        <v>45181</v>
      </c>
      <c r="C477" s="1" t="n">
        <v>46084</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46186-2023</t>
        </is>
      </c>
      <c r="B478" s="1" t="n">
        <v>45196</v>
      </c>
      <c r="C478" s="1" t="n">
        <v>46084</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54595-2021</t>
        </is>
      </c>
      <c r="B479" s="1" t="n">
        <v>44473.58824074074</v>
      </c>
      <c r="C479" s="1" t="n">
        <v>46084</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54588-2024</t>
        </is>
      </c>
      <c r="B480" s="1" t="n">
        <v>45617</v>
      </c>
      <c r="C480" s="1" t="n">
        <v>46084</v>
      </c>
      <c r="D480" t="inlineStr">
        <is>
          <t>UPPSALA LÄN</t>
        </is>
      </c>
      <c r="E480" t="inlineStr">
        <is>
          <t>ENKÖPING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47428-2023</t>
        </is>
      </c>
      <c r="B481" s="1" t="n">
        <v>45202.66664351852</v>
      </c>
      <c r="C481" s="1" t="n">
        <v>46084</v>
      </c>
      <c r="D481" t="inlineStr">
        <is>
          <t>UPPSALA LÄN</t>
        </is>
      </c>
      <c r="E481" t="inlineStr">
        <is>
          <t>ENKÖPING</t>
        </is>
      </c>
      <c r="G481" t="n">
        <v>3</v>
      </c>
      <c r="H481" t="n">
        <v>0</v>
      </c>
      <c r="I481" t="n">
        <v>0</v>
      </c>
      <c r="J481" t="n">
        <v>0</v>
      </c>
      <c r="K481" t="n">
        <v>0</v>
      </c>
      <c r="L481" t="n">
        <v>0</v>
      </c>
      <c r="M481" t="n">
        <v>0</v>
      </c>
      <c r="N481" t="n">
        <v>0</v>
      </c>
      <c r="O481" t="n">
        <v>0</v>
      </c>
      <c r="P481" t="n">
        <v>0</v>
      </c>
      <c r="Q481" t="n">
        <v>0</v>
      </c>
      <c r="R481" s="2" t="inlineStr"/>
    </row>
    <row r="482" ht="15" customHeight="1">
      <c r="A482" t="inlineStr">
        <is>
          <t>A 5892-2023</t>
        </is>
      </c>
      <c r="B482" s="1" t="n">
        <v>44963.64883101852</v>
      </c>
      <c r="C482" s="1" t="n">
        <v>46084</v>
      </c>
      <c r="D482" t="inlineStr">
        <is>
          <t>UPPSALA LÄN</t>
        </is>
      </c>
      <c r="E482" t="inlineStr">
        <is>
          <t>ENKÖPING</t>
        </is>
      </c>
      <c r="G482" t="n">
        <v>5.5</v>
      </c>
      <c r="H482" t="n">
        <v>0</v>
      </c>
      <c r="I482" t="n">
        <v>0</v>
      </c>
      <c r="J482" t="n">
        <v>0</v>
      </c>
      <c r="K482" t="n">
        <v>0</v>
      </c>
      <c r="L482" t="n">
        <v>0</v>
      </c>
      <c r="M482" t="n">
        <v>0</v>
      </c>
      <c r="N482" t="n">
        <v>0</v>
      </c>
      <c r="O482" t="n">
        <v>0</v>
      </c>
      <c r="P482" t="n">
        <v>0</v>
      </c>
      <c r="Q482" t="n">
        <v>0</v>
      </c>
      <c r="R482" s="2" t="inlineStr"/>
    </row>
    <row r="483" ht="15" customHeight="1">
      <c r="A483" t="inlineStr">
        <is>
          <t>A 12572-2021</t>
        </is>
      </c>
      <c r="B483" s="1" t="n">
        <v>44270.36438657407</v>
      </c>
      <c r="C483" s="1" t="n">
        <v>46084</v>
      </c>
      <c r="D483" t="inlineStr">
        <is>
          <t>UPPSALA LÄN</t>
        </is>
      </c>
      <c r="E483" t="inlineStr">
        <is>
          <t>ENKÖPING</t>
        </is>
      </c>
      <c r="G483" t="n">
        <v>3.3</v>
      </c>
      <c r="H483" t="n">
        <v>0</v>
      </c>
      <c r="I483" t="n">
        <v>0</v>
      </c>
      <c r="J483" t="n">
        <v>0</v>
      </c>
      <c r="K483" t="n">
        <v>0</v>
      </c>
      <c r="L483" t="n">
        <v>0</v>
      </c>
      <c r="M483" t="n">
        <v>0</v>
      </c>
      <c r="N483" t="n">
        <v>0</v>
      </c>
      <c r="O483" t="n">
        <v>0</v>
      </c>
      <c r="P483" t="n">
        <v>0</v>
      </c>
      <c r="Q483" t="n">
        <v>0</v>
      </c>
      <c r="R483" s="2" t="inlineStr"/>
    </row>
    <row r="484" ht="15" customHeight="1">
      <c r="A484" t="inlineStr">
        <is>
          <t>A 671-2022</t>
        </is>
      </c>
      <c r="B484" s="1" t="n">
        <v>44568</v>
      </c>
      <c r="C484" s="1" t="n">
        <v>46084</v>
      </c>
      <c r="D484" t="inlineStr">
        <is>
          <t>UPPSALA LÄN</t>
        </is>
      </c>
      <c r="E484" t="inlineStr">
        <is>
          <t>ENKÖPING</t>
        </is>
      </c>
      <c r="G484" t="n">
        <v>3.5</v>
      </c>
      <c r="H484" t="n">
        <v>0</v>
      </c>
      <c r="I484" t="n">
        <v>0</v>
      </c>
      <c r="J484" t="n">
        <v>0</v>
      </c>
      <c r="K484" t="n">
        <v>0</v>
      </c>
      <c r="L484" t="n">
        <v>0</v>
      </c>
      <c r="M484" t="n">
        <v>0</v>
      </c>
      <c r="N484" t="n">
        <v>0</v>
      </c>
      <c r="O484" t="n">
        <v>0</v>
      </c>
      <c r="P484" t="n">
        <v>0</v>
      </c>
      <c r="Q484" t="n">
        <v>0</v>
      </c>
      <c r="R484" s="2" t="inlineStr"/>
    </row>
    <row r="485" ht="15" customHeight="1">
      <c r="A485" t="inlineStr">
        <is>
          <t>A 43488-2023</t>
        </is>
      </c>
      <c r="B485" s="1" t="n">
        <v>45181</v>
      </c>
      <c r="C485" s="1" t="n">
        <v>46084</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9171-2024</t>
        </is>
      </c>
      <c r="B486" s="1" t="n">
        <v>45358</v>
      </c>
      <c r="C486" s="1" t="n">
        <v>46084</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43230-2023</t>
        </is>
      </c>
      <c r="B487" s="1" t="n">
        <v>45183</v>
      </c>
      <c r="C487" s="1" t="n">
        <v>46084</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45362-2022</t>
        </is>
      </c>
      <c r="B488" s="1" t="n">
        <v>44844.62366898148</v>
      </c>
      <c r="C488" s="1" t="n">
        <v>46084</v>
      </c>
      <c r="D488" t="inlineStr">
        <is>
          <t>UPPSALA LÄN</t>
        </is>
      </c>
      <c r="E488" t="inlineStr">
        <is>
          <t>ENKÖPING</t>
        </is>
      </c>
      <c r="G488" t="n">
        <v>1.8</v>
      </c>
      <c r="H488" t="n">
        <v>0</v>
      </c>
      <c r="I488" t="n">
        <v>0</v>
      </c>
      <c r="J488" t="n">
        <v>0</v>
      </c>
      <c r="K488" t="n">
        <v>0</v>
      </c>
      <c r="L488" t="n">
        <v>0</v>
      </c>
      <c r="M488" t="n">
        <v>0</v>
      </c>
      <c r="N488" t="n">
        <v>0</v>
      </c>
      <c r="O488" t="n">
        <v>0</v>
      </c>
      <c r="P488" t="n">
        <v>0</v>
      </c>
      <c r="Q488" t="n">
        <v>0</v>
      </c>
      <c r="R488" s="2" t="inlineStr"/>
    </row>
    <row r="489" ht="15" customHeight="1">
      <c r="A489" t="inlineStr">
        <is>
          <t>A 72840-2021</t>
        </is>
      </c>
      <c r="B489" s="1" t="n">
        <v>44547</v>
      </c>
      <c r="C489" s="1" t="n">
        <v>46084</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34617-2022</t>
        </is>
      </c>
      <c r="B490" s="1" t="n">
        <v>44795</v>
      </c>
      <c r="C490" s="1" t="n">
        <v>46084</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1992-2022</t>
        </is>
      </c>
      <c r="B491" s="1" t="n">
        <v>44575.56153935185</v>
      </c>
      <c r="C491" s="1" t="n">
        <v>46084</v>
      </c>
      <c r="D491" t="inlineStr">
        <is>
          <t>UPPSALA LÄN</t>
        </is>
      </c>
      <c r="E491" t="inlineStr">
        <is>
          <t>ENKÖPING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18583-2021</t>
        </is>
      </c>
      <c r="B492" s="1" t="n">
        <v>44306</v>
      </c>
      <c r="C492" s="1" t="n">
        <v>46084</v>
      </c>
      <c r="D492" t="inlineStr">
        <is>
          <t>UPPSALA LÄN</t>
        </is>
      </c>
      <c r="E492" t="inlineStr">
        <is>
          <t>ENKÖPING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1695-2025</t>
        </is>
      </c>
      <c r="B493" s="1" t="n">
        <v>45670</v>
      </c>
      <c r="C493" s="1" t="n">
        <v>46084</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54357-2023</t>
        </is>
      </c>
      <c r="B494" s="1" t="n">
        <v>45225</v>
      </c>
      <c r="C494" s="1" t="n">
        <v>46084</v>
      </c>
      <c r="D494" t="inlineStr">
        <is>
          <t>UPPSALA LÄN</t>
        </is>
      </c>
      <c r="E494" t="inlineStr">
        <is>
          <t>ENKÖPING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24962-2023</t>
        </is>
      </c>
      <c r="B495" s="1" t="n">
        <v>45085.60123842592</v>
      </c>
      <c r="C495" s="1" t="n">
        <v>46084</v>
      </c>
      <c r="D495" t="inlineStr">
        <is>
          <t>UPPSALA LÄN</t>
        </is>
      </c>
      <c r="E495" t="inlineStr">
        <is>
          <t>ENKÖPING</t>
        </is>
      </c>
      <c r="G495" t="n">
        <v>2.8</v>
      </c>
      <c r="H495" t="n">
        <v>0</v>
      </c>
      <c r="I495" t="n">
        <v>0</v>
      </c>
      <c r="J495" t="n">
        <v>0</v>
      </c>
      <c r="K495" t="n">
        <v>0</v>
      </c>
      <c r="L495" t="n">
        <v>0</v>
      </c>
      <c r="M495" t="n">
        <v>0</v>
      </c>
      <c r="N495" t="n">
        <v>0</v>
      </c>
      <c r="O495" t="n">
        <v>0</v>
      </c>
      <c r="P495" t="n">
        <v>0</v>
      </c>
      <c r="Q495" t="n">
        <v>0</v>
      </c>
      <c r="R495" s="2" t="inlineStr"/>
    </row>
    <row r="496" ht="15" customHeight="1">
      <c r="A496" t="inlineStr">
        <is>
          <t>A 58961-2024</t>
        </is>
      </c>
      <c r="B496" s="1" t="n">
        <v>45636.585</v>
      </c>
      <c r="C496" s="1" t="n">
        <v>46084</v>
      </c>
      <c r="D496" t="inlineStr">
        <is>
          <t>UPPSALA LÄN</t>
        </is>
      </c>
      <c r="E496" t="inlineStr">
        <is>
          <t>ENKÖPING</t>
        </is>
      </c>
      <c r="G496" t="n">
        <v>4</v>
      </c>
      <c r="H496" t="n">
        <v>0</v>
      </c>
      <c r="I496" t="n">
        <v>0</v>
      </c>
      <c r="J496" t="n">
        <v>0</v>
      </c>
      <c r="K496" t="n">
        <v>0</v>
      </c>
      <c r="L496" t="n">
        <v>0</v>
      </c>
      <c r="M496" t="n">
        <v>0</v>
      </c>
      <c r="N496" t="n">
        <v>0</v>
      </c>
      <c r="O496" t="n">
        <v>0</v>
      </c>
      <c r="P496" t="n">
        <v>0</v>
      </c>
      <c r="Q496" t="n">
        <v>0</v>
      </c>
      <c r="R496" s="2" t="inlineStr"/>
    </row>
    <row r="497" ht="15" customHeight="1">
      <c r="A497" t="inlineStr">
        <is>
          <t>A 53595-2023</t>
        </is>
      </c>
      <c r="B497" s="1" t="n">
        <v>45223</v>
      </c>
      <c r="C497" s="1" t="n">
        <v>46084</v>
      </c>
      <c r="D497" t="inlineStr">
        <is>
          <t>UPPSALA LÄN</t>
        </is>
      </c>
      <c r="E497" t="inlineStr">
        <is>
          <t>ENKÖPING</t>
        </is>
      </c>
      <c r="G497" t="n">
        <v>2.6</v>
      </c>
      <c r="H497" t="n">
        <v>0</v>
      </c>
      <c r="I497" t="n">
        <v>0</v>
      </c>
      <c r="J497" t="n">
        <v>0</v>
      </c>
      <c r="K497" t="n">
        <v>0</v>
      </c>
      <c r="L497" t="n">
        <v>0</v>
      </c>
      <c r="M497" t="n">
        <v>0</v>
      </c>
      <c r="N497" t="n">
        <v>0</v>
      </c>
      <c r="O497" t="n">
        <v>0</v>
      </c>
      <c r="P497" t="n">
        <v>0</v>
      </c>
      <c r="Q497" t="n">
        <v>0</v>
      </c>
      <c r="R497" s="2" t="inlineStr"/>
    </row>
    <row r="498" ht="15" customHeight="1">
      <c r="A498" t="inlineStr">
        <is>
          <t>A 15893-2024</t>
        </is>
      </c>
      <c r="B498" s="1" t="n">
        <v>45405</v>
      </c>
      <c r="C498" s="1" t="n">
        <v>46084</v>
      </c>
      <c r="D498" t="inlineStr">
        <is>
          <t>UPPSALA LÄN</t>
        </is>
      </c>
      <c r="E498" t="inlineStr">
        <is>
          <t>ENKÖPING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18028-2023</t>
        </is>
      </c>
      <c r="B499" s="1" t="n">
        <v>45040</v>
      </c>
      <c r="C499" s="1" t="n">
        <v>46084</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48843-2023</t>
        </is>
      </c>
      <c r="B500" s="1" t="n">
        <v>45209</v>
      </c>
      <c r="C500" s="1" t="n">
        <v>46084</v>
      </c>
      <c r="D500" t="inlineStr">
        <is>
          <t>UPPSALA LÄN</t>
        </is>
      </c>
      <c r="E500" t="inlineStr">
        <is>
          <t>ENKÖPING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33670-2024</t>
        </is>
      </c>
      <c r="B501" s="1" t="n">
        <v>45520</v>
      </c>
      <c r="C501" s="1" t="n">
        <v>46084</v>
      </c>
      <c r="D501" t="inlineStr">
        <is>
          <t>UPPSALA LÄN</t>
        </is>
      </c>
      <c r="E501" t="inlineStr">
        <is>
          <t>ENKÖPING</t>
        </is>
      </c>
      <c r="G501" t="n">
        <v>1.9</v>
      </c>
      <c r="H501" t="n">
        <v>0</v>
      </c>
      <c r="I501" t="n">
        <v>0</v>
      </c>
      <c r="J501" t="n">
        <v>0</v>
      </c>
      <c r="K501" t="n">
        <v>0</v>
      </c>
      <c r="L501" t="n">
        <v>0</v>
      </c>
      <c r="M501" t="n">
        <v>0</v>
      </c>
      <c r="N501" t="n">
        <v>0</v>
      </c>
      <c r="O501" t="n">
        <v>0</v>
      </c>
      <c r="P501" t="n">
        <v>0</v>
      </c>
      <c r="Q501" t="n">
        <v>0</v>
      </c>
      <c r="R501" s="2" t="inlineStr"/>
    </row>
    <row r="502" ht="15" customHeight="1">
      <c r="A502" t="inlineStr">
        <is>
          <t>A 19376-2024</t>
        </is>
      </c>
      <c r="B502" s="1" t="n">
        <v>45429</v>
      </c>
      <c r="C502" s="1" t="n">
        <v>46084</v>
      </c>
      <c r="D502" t="inlineStr">
        <is>
          <t>UPPSALA LÄN</t>
        </is>
      </c>
      <c r="E502" t="inlineStr">
        <is>
          <t>ENKÖPING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12020-2024</t>
        </is>
      </c>
      <c r="B503" s="1" t="n">
        <v>45377</v>
      </c>
      <c r="C503" s="1" t="n">
        <v>46084</v>
      </c>
      <c r="D503" t="inlineStr">
        <is>
          <t>UPPSALA LÄN</t>
        </is>
      </c>
      <c r="E503" t="inlineStr">
        <is>
          <t>ENKÖPING</t>
        </is>
      </c>
      <c r="G503" t="n">
        <v>2</v>
      </c>
      <c r="H503" t="n">
        <v>0</v>
      </c>
      <c r="I503" t="n">
        <v>0</v>
      </c>
      <c r="J503" t="n">
        <v>0</v>
      </c>
      <c r="K503" t="n">
        <v>0</v>
      </c>
      <c r="L503" t="n">
        <v>0</v>
      </c>
      <c r="M503" t="n">
        <v>0</v>
      </c>
      <c r="N503" t="n">
        <v>0</v>
      </c>
      <c r="O503" t="n">
        <v>0</v>
      </c>
      <c r="P503" t="n">
        <v>0</v>
      </c>
      <c r="Q503" t="n">
        <v>0</v>
      </c>
      <c r="R503" s="2" t="inlineStr"/>
    </row>
    <row r="504" ht="15" customHeight="1">
      <c r="A504" t="inlineStr">
        <is>
          <t>A 10465-2022</t>
        </is>
      </c>
      <c r="B504" s="1" t="n">
        <v>44623</v>
      </c>
      <c r="C504" s="1" t="n">
        <v>46084</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14332-2024</t>
        </is>
      </c>
      <c r="B505" s="1" t="n">
        <v>45393</v>
      </c>
      <c r="C505" s="1" t="n">
        <v>46084</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61207-2023</t>
        </is>
      </c>
      <c r="B506" s="1" t="n">
        <v>45264.39444444444</v>
      </c>
      <c r="C506" s="1" t="n">
        <v>46084</v>
      </c>
      <c r="D506" t="inlineStr">
        <is>
          <t>UPPSALA LÄN</t>
        </is>
      </c>
      <c r="E506" t="inlineStr">
        <is>
          <t>ENKÖPING</t>
        </is>
      </c>
      <c r="G506" t="n">
        <v>10.8</v>
      </c>
      <c r="H506" t="n">
        <v>0</v>
      </c>
      <c r="I506" t="n">
        <v>0</v>
      </c>
      <c r="J506" t="n">
        <v>0</v>
      </c>
      <c r="K506" t="n">
        <v>0</v>
      </c>
      <c r="L506" t="n">
        <v>0</v>
      </c>
      <c r="M506" t="n">
        <v>0</v>
      </c>
      <c r="N506" t="n">
        <v>0</v>
      </c>
      <c r="O506" t="n">
        <v>0</v>
      </c>
      <c r="P506" t="n">
        <v>0</v>
      </c>
      <c r="Q506" t="n">
        <v>0</v>
      </c>
      <c r="R506" s="2" t="inlineStr"/>
    </row>
    <row r="507" ht="15" customHeight="1">
      <c r="A507" t="inlineStr">
        <is>
          <t>A 40812-2022</t>
        </is>
      </c>
      <c r="B507" s="1" t="n">
        <v>44824.68791666667</v>
      </c>
      <c r="C507" s="1" t="n">
        <v>46084</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43691-2024</t>
        </is>
      </c>
      <c r="B508" s="1" t="n">
        <v>45569</v>
      </c>
      <c r="C508" s="1" t="n">
        <v>46084</v>
      </c>
      <c r="D508" t="inlineStr">
        <is>
          <t>UPPSALA LÄN</t>
        </is>
      </c>
      <c r="E508" t="inlineStr">
        <is>
          <t>ENKÖPING</t>
        </is>
      </c>
      <c r="G508" t="n">
        <v>1.8</v>
      </c>
      <c r="H508" t="n">
        <v>0</v>
      </c>
      <c r="I508" t="n">
        <v>0</v>
      </c>
      <c r="J508" t="n">
        <v>0</v>
      </c>
      <c r="K508" t="n">
        <v>0</v>
      </c>
      <c r="L508" t="n">
        <v>0</v>
      </c>
      <c r="M508" t="n">
        <v>0</v>
      </c>
      <c r="N508" t="n">
        <v>0</v>
      </c>
      <c r="O508" t="n">
        <v>0</v>
      </c>
      <c r="P508" t="n">
        <v>0</v>
      </c>
      <c r="Q508" t="n">
        <v>0</v>
      </c>
      <c r="R508" s="2" t="inlineStr"/>
    </row>
    <row r="509" ht="15" customHeight="1">
      <c r="A509" t="inlineStr">
        <is>
          <t>A 25333-2023</t>
        </is>
      </c>
      <c r="B509" s="1" t="n">
        <v>45083</v>
      </c>
      <c r="C509" s="1" t="n">
        <v>46084</v>
      </c>
      <c r="D509" t="inlineStr">
        <is>
          <t>UPPSALA LÄN</t>
        </is>
      </c>
      <c r="E509" t="inlineStr">
        <is>
          <t>ENKÖPING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3300-2025</t>
        </is>
      </c>
      <c r="B510" s="1" t="n">
        <v>45679</v>
      </c>
      <c r="C510" s="1" t="n">
        <v>46084</v>
      </c>
      <c r="D510" t="inlineStr">
        <is>
          <t>UPPSALA LÄN</t>
        </is>
      </c>
      <c r="E510" t="inlineStr">
        <is>
          <t>ENKÖPING</t>
        </is>
      </c>
      <c r="G510" t="n">
        <v>8.9</v>
      </c>
      <c r="H510" t="n">
        <v>0</v>
      </c>
      <c r="I510" t="n">
        <v>0</v>
      </c>
      <c r="J510" t="n">
        <v>0</v>
      </c>
      <c r="K510" t="n">
        <v>0</v>
      </c>
      <c r="L510" t="n">
        <v>0</v>
      </c>
      <c r="M510" t="n">
        <v>0</v>
      </c>
      <c r="N510" t="n">
        <v>0</v>
      </c>
      <c r="O510" t="n">
        <v>0</v>
      </c>
      <c r="P510" t="n">
        <v>0</v>
      </c>
      <c r="Q510" t="n">
        <v>0</v>
      </c>
      <c r="R510" s="2" t="inlineStr"/>
    </row>
    <row r="511" ht="15" customHeight="1">
      <c r="A511" t="inlineStr">
        <is>
          <t>A 12754-2025</t>
        </is>
      </c>
      <c r="B511" s="1" t="n">
        <v>45733.56331018519</v>
      </c>
      <c r="C511" s="1" t="n">
        <v>46084</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16176-2025</t>
        </is>
      </c>
      <c r="B512" s="1" t="n">
        <v>45750</v>
      </c>
      <c r="C512" s="1" t="n">
        <v>46084</v>
      </c>
      <c r="D512" t="inlineStr">
        <is>
          <t>UPPSALA LÄN</t>
        </is>
      </c>
      <c r="E512" t="inlineStr">
        <is>
          <t>ENKÖPING</t>
        </is>
      </c>
      <c r="G512" t="n">
        <v>3.9</v>
      </c>
      <c r="H512" t="n">
        <v>0</v>
      </c>
      <c r="I512" t="n">
        <v>0</v>
      </c>
      <c r="J512" t="n">
        <v>0</v>
      </c>
      <c r="K512" t="n">
        <v>0</v>
      </c>
      <c r="L512" t="n">
        <v>0</v>
      </c>
      <c r="M512" t="n">
        <v>0</v>
      </c>
      <c r="N512" t="n">
        <v>0</v>
      </c>
      <c r="O512" t="n">
        <v>0</v>
      </c>
      <c r="P512" t="n">
        <v>0</v>
      </c>
      <c r="Q512" t="n">
        <v>0</v>
      </c>
      <c r="R512" s="2" t="inlineStr"/>
    </row>
    <row r="513" ht="15" customHeight="1">
      <c r="A513" t="inlineStr">
        <is>
          <t>A 56713-2024</t>
        </is>
      </c>
      <c r="B513" s="1" t="n">
        <v>45628</v>
      </c>
      <c r="C513" s="1" t="n">
        <v>46084</v>
      </c>
      <c r="D513" t="inlineStr">
        <is>
          <t>UPPSALA LÄN</t>
        </is>
      </c>
      <c r="E513" t="inlineStr">
        <is>
          <t>ENKÖPING</t>
        </is>
      </c>
      <c r="G513" t="n">
        <v>1.7</v>
      </c>
      <c r="H513" t="n">
        <v>0</v>
      </c>
      <c r="I513" t="n">
        <v>0</v>
      </c>
      <c r="J513" t="n">
        <v>0</v>
      </c>
      <c r="K513" t="n">
        <v>0</v>
      </c>
      <c r="L513" t="n">
        <v>0</v>
      </c>
      <c r="M513" t="n">
        <v>0</v>
      </c>
      <c r="N513" t="n">
        <v>0</v>
      </c>
      <c r="O513" t="n">
        <v>0</v>
      </c>
      <c r="P513" t="n">
        <v>0</v>
      </c>
      <c r="Q513" t="n">
        <v>0</v>
      </c>
      <c r="R513" s="2" t="inlineStr"/>
    </row>
    <row r="514" ht="15" customHeight="1">
      <c r="A514" t="inlineStr">
        <is>
          <t>A 37870-2023</t>
        </is>
      </c>
      <c r="B514" s="1" t="n">
        <v>45160.41996527778</v>
      </c>
      <c r="C514" s="1" t="n">
        <v>46084</v>
      </c>
      <c r="D514" t="inlineStr">
        <is>
          <t>UPPSALA LÄN</t>
        </is>
      </c>
      <c r="E514" t="inlineStr">
        <is>
          <t>ENKÖPING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22094-2023</t>
        </is>
      </c>
      <c r="B515" s="1" t="n">
        <v>45069</v>
      </c>
      <c r="C515" s="1" t="n">
        <v>46084</v>
      </c>
      <c r="D515" t="inlineStr">
        <is>
          <t>UPPSALA LÄN</t>
        </is>
      </c>
      <c r="E515" t="inlineStr">
        <is>
          <t>ENKÖPING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15405-2025</t>
        </is>
      </c>
      <c r="B516" s="1" t="n">
        <v>45747.44670138889</v>
      </c>
      <c r="C516" s="1" t="n">
        <v>46084</v>
      </c>
      <c r="D516" t="inlineStr">
        <is>
          <t>UPPSALA LÄN</t>
        </is>
      </c>
      <c r="E516" t="inlineStr">
        <is>
          <t>ENKÖPING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35079-2024</t>
        </is>
      </c>
      <c r="B517" s="1" t="n">
        <v>45527.66770833333</v>
      </c>
      <c r="C517" s="1" t="n">
        <v>46084</v>
      </c>
      <c r="D517" t="inlineStr">
        <is>
          <t>UPPSALA LÄN</t>
        </is>
      </c>
      <c r="E517" t="inlineStr">
        <is>
          <t>ENKÖPING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33581-2023</t>
        </is>
      </c>
      <c r="B518" s="1" t="n">
        <v>45131</v>
      </c>
      <c r="C518" s="1" t="n">
        <v>46084</v>
      </c>
      <c r="D518" t="inlineStr">
        <is>
          <t>UPPSALA LÄN</t>
        </is>
      </c>
      <c r="E518" t="inlineStr">
        <is>
          <t>ENKÖPING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56163-2021</t>
        </is>
      </c>
      <c r="B519" s="1" t="n">
        <v>44477</v>
      </c>
      <c r="C519" s="1" t="n">
        <v>46084</v>
      </c>
      <c r="D519" t="inlineStr">
        <is>
          <t>UPPSALA LÄN</t>
        </is>
      </c>
      <c r="E519" t="inlineStr">
        <is>
          <t>ENKÖPING</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47909-2024</t>
        </is>
      </c>
      <c r="B520" s="1" t="n">
        <v>45589.31866898148</v>
      </c>
      <c r="C520" s="1" t="n">
        <v>46084</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c r="A521" t="inlineStr">
        <is>
          <t>A 51932-2022</t>
        </is>
      </c>
      <c r="B521" s="1" t="n">
        <v>44872</v>
      </c>
      <c r="C521" s="1" t="n">
        <v>46084</v>
      </c>
      <c r="D521" t="inlineStr">
        <is>
          <t>UPPSALA LÄN</t>
        </is>
      </c>
      <c r="E521" t="inlineStr">
        <is>
          <t>ENKÖPING</t>
        </is>
      </c>
      <c r="G521" t="n">
        <v>5.5</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2026-03-03T11:09:33Z</dcterms:created>
  <dcterms:modified xmlns:dcterms="http://purl.org/dc/terms/" xmlns:xsi="http://www.w3.org/2001/XMLSchema-instance" xsi:type="dcterms:W3CDTF">2026-03-03T11:09:34Z</dcterms:modified>
</cp:coreProperties>
</file>