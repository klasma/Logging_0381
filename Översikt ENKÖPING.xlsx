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45967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45967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45967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45967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45967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45967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45967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45967</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45967</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45967</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45967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45967</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45967</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45967</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45967</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45967</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45967</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45967</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45967</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45967</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45967</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45116-2023</t>
        </is>
      </c>
      <c r="B23" s="1" t="n">
        <v>45191</v>
      </c>
      <c r="C23" s="1" t="n">
        <v>45967</v>
      </c>
      <c r="D23" t="inlineStr">
        <is>
          <t>UPPSALA LÄN</t>
        </is>
      </c>
      <c r="E23" t="inlineStr">
        <is>
          <t>ENKÖPING</t>
        </is>
      </c>
      <c r="G23" t="n">
        <v>2</v>
      </c>
      <c r="H23" t="n">
        <v>0</v>
      </c>
      <c r="I23" t="n">
        <v>1</v>
      </c>
      <c r="J23" t="n">
        <v>0</v>
      </c>
      <c r="K23" t="n">
        <v>0</v>
      </c>
      <c r="L23" t="n">
        <v>0</v>
      </c>
      <c r="M23" t="n">
        <v>0</v>
      </c>
      <c r="N23" t="n">
        <v>0</v>
      </c>
      <c r="O23" t="n">
        <v>0</v>
      </c>
      <c r="P23" t="n">
        <v>0</v>
      </c>
      <c r="Q23" t="n">
        <v>1</v>
      </c>
      <c r="R23" s="2" t="inlineStr">
        <is>
          <t>Rävticka</t>
        </is>
      </c>
      <c r="S23">
        <f>HYPERLINK("https://klasma.github.io/Logging_0381/artfynd/A 45116-2023 artfynd.xlsx", "A 45116-2023")</f>
        <v/>
      </c>
      <c r="T23">
        <f>HYPERLINK("https://klasma.github.io/Logging_0381/kartor/A 45116-2023 karta.png", "A 45116-2023")</f>
        <v/>
      </c>
      <c r="V23">
        <f>HYPERLINK("https://klasma.github.io/Logging_0381/klagomål/A 45116-2023 FSC-klagomål.docx", "A 45116-2023")</f>
        <v/>
      </c>
      <c r="W23">
        <f>HYPERLINK("https://klasma.github.io/Logging_0381/klagomålsmail/A 45116-2023 FSC-klagomål mail.docx", "A 45116-2023")</f>
        <v/>
      </c>
      <c r="X23">
        <f>HYPERLINK("https://klasma.github.io/Logging_0381/tillsyn/A 45116-2023 tillsynsbegäran.docx", "A 45116-2023")</f>
        <v/>
      </c>
      <c r="Y23">
        <f>HYPERLINK("https://klasma.github.io/Logging_0381/tillsynsmail/A 45116-2023 tillsynsbegäran mail.docx", "A 45116-2023")</f>
        <v/>
      </c>
    </row>
    <row r="24" ht="15" customHeight="1">
      <c r="A24" t="inlineStr">
        <is>
          <t>A 23961-2022</t>
        </is>
      </c>
      <c r="B24" s="1" t="n">
        <v>44722</v>
      </c>
      <c r="C24" s="1" t="n">
        <v>45967</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45967</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45967</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45967</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52439-2025</t>
        </is>
      </c>
      <c r="B28" s="1" t="n">
        <v>45954.40697916667</v>
      </c>
      <c r="C28" s="1" t="n">
        <v>45967</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29510-2025</t>
        </is>
      </c>
      <c r="B29" s="1" t="n">
        <v>45825</v>
      </c>
      <c r="C29" s="1" t="n">
        <v>45967</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26347-2025</t>
        </is>
      </c>
      <c r="B30" s="1" t="n">
        <v>45805.7403125</v>
      </c>
      <c r="C30" s="1" t="n">
        <v>45967</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33339-2024</t>
        </is>
      </c>
      <c r="B31" s="1" t="n">
        <v>45519</v>
      </c>
      <c r="C31" s="1" t="n">
        <v>45967</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27060-2025</t>
        </is>
      </c>
      <c r="B32" s="1" t="n">
        <v>45811.63590277778</v>
      </c>
      <c r="C32" s="1" t="n">
        <v>45967</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46749-2024</t>
        </is>
      </c>
      <c r="B33" s="1" t="n">
        <v>45583.48347222222</v>
      </c>
      <c r="C33" s="1" t="n">
        <v>45967</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45967</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45967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45967</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45967</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45967</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45967</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45967</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45967</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45967</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45967</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45967</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45967</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45967</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45967</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45967</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45967</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45967</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45967</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45967</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45967</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45967</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45967</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45967</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45967</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45967</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45967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45967</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45967</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45967</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45967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45967</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45967</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45967</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45967</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45967</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45967</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45967</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45967</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45967</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45967</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45967</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45967</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45967</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45967</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45967</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45967</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67713-2020</t>
        </is>
      </c>
      <c r="B80" s="1" t="n">
        <v>44182</v>
      </c>
      <c r="C80" s="1" t="n">
        <v>45967</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1979-2022</t>
        </is>
      </c>
      <c r="B81" s="1" t="n">
        <v>44575</v>
      </c>
      <c r="C81" s="1" t="n">
        <v>45967</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45967</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52014-2021</t>
        </is>
      </c>
      <c r="B83" s="1" t="n">
        <v>44463.3425462963</v>
      </c>
      <c r="C83" s="1" t="n">
        <v>45967</v>
      </c>
      <c r="D83" t="inlineStr">
        <is>
          <t>UPPSALA LÄN</t>
        </is>
      </c>
      <c r="E83" t="inlineStr">
        <is>
          <t>ENKÖPING</t>
        </is>
      </c>
      <c r="G83" t="n">
        <v>5.8</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45967</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45967</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45967</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45967</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45967</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58798-2020</t>
        </is>
      </c>
      <c r="B89" s="1" t="n">
        <v>44146</v>
      </c>
      <c r="C89" s="1" t="n">
        <v>45967</v>
      </c>
      <c r="D89" t="inlineStr">
        <is>
          <t>UPPSALA LÄN</t>
        </is>
      </c>
      <c r="E89" t="inlineStr">
        <is>
          <t>ENKÖPING</t>
        </is>
      </c>
      <c r="G89" t="n">
        <v>1.8</v>
      </c>
      <c r="H89" t="n">
        <v>0</v>
      </c>
      <c r="I89" t="n">
        <v>0</v>
      </c>
      <c r="J89" t="n">
        <v>0</v>
      </c>
      <c r="K89" t="n">
        <v>0</v>
      </c>
      <c r="L89" t="n">
        <v>0</v>
      </c>
      <c r="M89" t="n">
        <v>0</v>
      </c>
      <c r="N89" t="n">
        <v>0</v>
      </c>
      <c r="O89" t="n">
        <v>0</v>
      </c>
      <c r="P89" t="n">
        <v>0</v>
      </c>
      <c r="Q89" t="n">
        <v>0</v>
      </c>
      <c r="R89" s="2" t="inlineStr"/>
    </row>
    <row r="90" ht="15" customHeight="1">
      <c r="A90" t="inlineStr">
        <is>
          <t>A 31013-2022</t>
        </is>
      </c>
      <c r="B90" s="1" t="n">
        <v>44768</v>
      </c>
      <c r="C90" s="1" t="n">
        <v>45967</v>
      </c>
      <c r="D90" t="inlineStr">
        <is>
          <t>UPPSALA LÄN</t>
        </is>
      </c>
      <c r="E90" t="inlineStr">
        <is>
          <t>ENKÖPING</t>
        </is>
      </c>
      <c r="F90" t="inlineStr">
        <is>
          <t>Allmännings- och besparingsskogar</t>
        </is>
      </c>
      <c r="G90" t="n">
        <v>0.5</v>
      </c>
      <c r="H90" t="n">
        <v>0</v>
      </c>
      <c r="I90" t="n">
        <v>0</v>
      </c>
      <c r="J90" t="n">
        <v>0</v>
      </c>
      <c r="K90" t="n">
        <v>0</v>
      </c>
      <c r="L90" t="n">
        <v>0</v>
      </c>
      <c r="M90" t="n">
        <v>0</v>
      </c>
      <c r="N90" t="n">
        <v>0</v>
      </c>
      <c r="O90" t="n">
        <v>0</v>
      </c>
      <c r="P90" t="n">
        <v>0</v>
      </c>
      <c r="Q90" t="n">
        <v>0</v>
      </c>
      <c r="R90" s="2" t="inlineStr"/>
    </row>
    <row r="91" ht="15" customHeight="1">
      <c r="A91" t="inlineStr">
        <is>
          <t>A 68107-2021</t>
        </is>
      </c>
      <c r="B91" s="1" t="n">
        <v>44526</v>
      </c>
      <c r="C91" s="1" t="n">
        <v>45967</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45967</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45967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45967</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45967</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45967</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45967</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57055-2021</t>
        </is>
      </c>
      <c r="B98" s="1" t="n">
        <v>44482.55201388889</v>
      </c>
      <c r="C98" s="1" t="n">
        <v>45967</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20067-2021</t>
        </is>
      </c>
      <c r="B99" s="1" t="n">
        <v>44314</v>
      </c>
      <c r="C99" s="1" t="n">
        <v>45967</v>
      </c>
      <c r="D99" t="inlineStr">
        <is>
          <t>UPPSALA LÄN</t>
        </is>
      </c>
      <c r="E99" t="inlineStr">
        <is>
          <t>ENKÖPING</t>
        </is>
      </c>
      <c r="G99" t="n">
        <v>0.9</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45967</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15924-2022</t>
        </is>
      </c>
      <c r="B101" s="1" t="n">
        <v>44664</v>
      </c>
      <c r="C101" s="1" t="n">
        <v>45967</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15943-2022</t>
        </is>
      </c>
      <c r="B102" s="1" t="n">
        <v>44664.66428240741</v>
      </c>
      <c r="C102" s="1" t="n">
        <v>45967</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47106-2021</t>
        </is>
      </c>
      <c r="B103" s="1" t="n">
        <v>44446</v>
      </c>
      <c r="C103" s="1" t="n">
        <v>45967</v>
      </c>
      <c r="D103" t="inlineStr">
        <is>
          <t>UPPSALA LÄN</t>
        </is>
      </c>
      <c r="E103" t="inlineStr">
        <is>
          <t>ENKÖPING</t>
        </is>
      </c>
      <c r="G103" t="n">
        <v>7.6</v>
      </c>
      <c r="H103" t="n">
        <v>0</v>
      </c>
      <c r="I103" t="n">
        <v>0</v>
      </c>
      <c r="J103" t="n">
        <v>0</v>
      </c>
      <c r="K103" t="n">
        <v>0</v>
      </c>
      <c r="L103" t="n">
        <v>0</v>
      </c>
      <c r="M103" t="n">
        <v>0</v>
      </c>
      <c r="N103" t="n">
        <v>0</v>
      </c>
      <c r="O103" t="n">
        <v>0</v>
      </c>
      <c r="P103" t="n">
        <v>0</v>
      </c>
      <c r="Q103" t="n">
        <v>0</v>
      </c>
      <c r="R103" s="2" t="inlineStr"/>
    </row>
    <row r="104" ht="15" customHeight="1">
      <c r="A104" t="inlineStr">
        <is>
          <t>A 19731-2022</t>
        </is>
      </c>
      <c r="B104" s="1" t="n">
        <v>44694</v>
      </c>
      <c r="C104" s="1" t="n">
        <v>45967</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45967</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57043-2021</t>
        </is>
      </c>
      <c r="B106" s="1" t="n">
        <v>44482.53399305556</v>
      </c>
      <c r="C106" s="1" t="n">
        <v>45967</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15021-2022</t>
        </is>
      </c>
      <c r="B107" s="1" t="n">
        <v>44657</v>
      </c>
      <c r="C107" s="1" t="n">
        <v>45967</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57802-2020</t>
        </is>
      </c>
      <c r="B108" s="1" t="n">
        <v>44141</v>
      </c>
      <c r="C108" s="1" t="n">
        <v>45967</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1651-2024</t>
        </is>
      </c>
      <c r="B109" s="1" t="n">
        <v>45306.73770833333</v>
      </c>
      <c r="C109" s="1" t="n">
        <v>45967</v>
      </c>
      <c r="D109" t="inlineStr">
        <is>
          <t>UPPSALA LÄN</t>
        </is>
      </c>
      <c r="E109" t="inlineStr">
        <is>
          <t>ENKÖPING</t>
        </is>
      </c>
      <c r="G109" t="n">
        <v>10.2</v>
      </c>
      <c r="H109" t="n">
        <v>0</v>
      </c>
      <c r="I109" t="n">
        <v>0</v>
      </c>
      <c r="J109" t="n">
        <v>0</v>
      </c>
      <c r="K109" t="n">
        <v>0</v>
      </c>
      <c r="L109" t="n">
        <v>0</v>
      </c>
      <c r="M109" t="n">
        <v>0</v>
      </c>
      <c r="N109" t="n">
        <v>0</v>
      </c>
      <c r="O109" t="n">
        <v>0</v>
      </c>
      <c r="P109" t="n">
        <v>0</v>
      </c>
      <c r="Q109" t="n">
        <v>0</v>
      </c>
      <c r="R109" s="2" t="inlineStr"/>
    </row>
    <row r="110" ht="15" customHeight="1">
      <c r="A110" t="inlineStr">
        <is>
          <t>A 60289-2022</t>
        </is>
      </c>
      <c r="B110" s="1" t="n">
        <v>44910.53026620371</v>
      </c>
      <c r="C110" s="1" t="n">
        <v>45967</v>
      </c>
      <c r="D110" t="inlineStr">
        <is>
          <t>UPPSALA LÄN</t>
        </is>
      </c>
      <c r="E110" t="inlineStr">
        <is>
          <t>ENKÖPING</t>
        </is>
      </c>
      <c r="G110" t="n">
        <v>3.2</v>
      </c>
      <c r="H110" t="n">
        <v>0</v>
      </c>
      <c r="I110" t="n">
        <v>0</v>
      </c>
      <c r="J110" t="n">
        <v>0</v>
      </c>
      <c r="K110" t="n">
        <v>0</v>
      </c>
      <c r="L110" t="n">
        <v>0</v>
      </c>
      <c r="M110" t="n">
        <v>0</v>
      </c>
      <c r="N110" t="n">
        <v>0</v>
      </c>
      <c r="O110" t="n">
        <v>0</v>
      </c>
      <c r="P110" t="n">
        <v>0</v>
      </c>
      <c r="Q110" t="n">
        <v>0</v>
      </c>
      <c r="R110" s="2" t="inlineStr"/>
    </row>
    <row r="111" ht="15" customHeight="1">
      <c r="A111" t="inlineStr">
        <is>
          <t>A 33670-2024</t>
        </is>
      </c>
      <c r="B111" s="1" t="n">
        <v>45520</v>
      </c>
      <c r="C111" s="1" t="n">
        <v>45967</v>
      </c>
      <c r="D111" t="inlineStr">
        <is>
          <t>UPPSALA LÄN</t>
        </is>
      </c>
      <c r="E111" t="inlineStr">
        <is>
          <t>ENKÖPING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45967</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19147-2024</t>
        </is>
      </c>
      <c r="B113" s="1" t="n">
        <v>45428</v>
      </c>
      <c r="C113" s="1" t="n">
        <v>45967</v>
      </c>
      <c r="D113" t="inlineStr">
        <is>
          <t>UPPSALA LÄN</t>
        </is>
      </c>
      <c r="E113" t="inlineStr">
        <is>
          <t>ENKÖPING</t>
        </is>
      </c>
      <c r="G113" t="n">
        <v>1.9</v>
      </c>
      <c r="H113" t="n">
        <v>0</v>
      </c>
      <c r="I113" t="n">
        <v>0</v>
      </c>
      <c r="J113" t="n">
        <v>0</v>
      </c>
      <c r="K113" t="n">
        <v>0</v>
      </c>
      <c r="L113" t="n">
        <v>0</v>
      </c>
      <c r="M113" t="n">
        <v>0</v>
      </c>
      <c r="N113" t="n">
        <v>0</v>
      </c>
      <c r="O113" t="n">
        <v>0</v>
      </c>
      <c r="P113" t="n">
        <v>0</v>
      </c>
      <c r="Q113" t="n">
        <v>0</v>
      </c>
      <c r="R113" s="2" t="inlineStr"/>
    </row>
    <row r="114" ht="15" customHeight="1">
      <c r="A114" t="inlineStr">
        <is>
          <t>A 31965-2021</t>
        </is>
      </c>
      <c r="B114" s="1" t="n">
        <v>44370.56901620371</v>
      </c>
      <c r="C114" s="1" t="n">
        <v>45967</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67982-2021</t>
        </is>
      </c>
      <c r="B115" s="1" t="n">
        <v>44525</v>
      </c>
      <c r="C115" s="1" t="n">
        <v>45967</v>
      </c>
      <c r="D115" t="inlineStr">
        <is>
          <t>UPPSALA LÄN</t>
        </is>
      </c>
      <c r="E115" t="inlineStr">
        <is>
          <t>ENKÖPING</t>
        </is>
      </c>
      <c r="G115" t="n">
        <v>1.7</v>
      </c>
      <c r="H115" t="n">
        <v>0</v>
      </c>
      <c r="I115" t="n">
        <v>0</v>
      </c>
      <c r="J115" t="n">
        <v>0</v>
      </c>
      <c r="K115" t="n">
        <v>0</v>
      </c>
      <c r="L115" t="n">
        <v>0</v>
      </c>
      <c r="M115" t="n">
        <v>0</v>
      </c>
      <c r="N115" t="n">
        <v>0</v>
      </c>
      <c r="O115" t="n">
        <v>0</v>
      </c>
      <c r="P115" t="n">
        <v>0</v>
      </c>
      <c r="Q115" t="n">
        <v>0</v>
      </c>
      <c r="R115" s="2" t="inlineStr"/>
    </row>
    <row r="116" ht="15" customHeight="1">
      <c r="A116" t="inlineStr">
        <is>
          <t>A 31242-2024</t>
        </is>
      </c>
      <c r="B116" s="1" t="n">
        <v>45503</v>
      </c>
      <c r="C116" s="1" t="n">
        <v>45967</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10468-2025</t>
        </is>
      </c>
      <c r="B117" s="1" t="n">
        <v>45720</v>
      </c>
      <c r="C117" s="1" t="n">
        <v>45967</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43488-2023</t>
        </is>
      </c>
      <c r="B118" s="1" t="n">
        <v>45181</v>
      </c>
      <c r="C118" s="1" t="n">
        <v>45967</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57835-2024</t>
        </is>
      </c>
      <c r="B119" s="1" t="n">
        <v>45631.39947916667</v>
      </c>
      <c r="C119" s="1" t="n">
        <v>45967</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12755-2025</t>
        </is>
      </c>
      <c r="B120" s="1" t="n">
        <v>45733.56541666666</v>
      </c>
      <c r="C120" s="1" t="n">
        <v>45967</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2162-2023</t>
        </is>
      </c>
      <c r="B121" s="1" t="n">
        <v>44941</v>
      </c>
      <c r="C121" s="1" t="n">
        <v>45967</v>
      </c>
      <c r="D121" t="inlineStr">
        <is>
          <t>UPPSALA LÄN</t>
        </is>
      </c>
      <c r="E121" t="inlineStr">
        <is>
          <t>ENKÖPING</t>
        </is>
      </c>
      <c r="G121" t="n">
        <v>2.4</v>
      </c>
      <c r="H121" t="n">
        <v>0</v>
      </c>
      <c r="I121" t="n">
        <v>0</v>
      </c>
      <c r="J121" t="n">
        <v>0</v>
      </c>
      <c r="K121" t="n">
        <v>0</v>
      </c>
      <c r="L121" t="n">
        <v>0</v>
      </c>
      <c r="M121" t="n">
        <v>0</v>
      </c>
      <c r="N121" t="n">
        <v>0</v>
      </c>
      <c r="O121" t="n">
        <v>0</v>
      </c>
      <c r="P121" t="n">
        <v>0</v>
      </c>
      <c r="Q121" t="n">
        <v>0</v>
      </c>
      <c r="R121" s="2" t="inlineStr"/>
    </row>
    <row r="122" ht="15" customHeight="1">
      <c r="A122" t="inlineStr">
        <is>
          <t>A 56163-2021</t>
        </is>
      </c>
      <c r="B122" s="1" t="n">
        <v>44477</v>
      </c>
      <c r="C122" s="1" t="n">
        <v>45967</v>
      </c>
      <c r="D122" t="inlineStr">
        <is>
          <t>UPPSALA LÄN</t>
        </is>
      </c>
      <c r="E122" t="inlineStr">
        <is>
          <t>ENKÖPING</t>
        </is>
      </c>
      <c r="F122" t="inlineStr">
        <is>
          <t>Allmännings- och besparingsskogar</t>
        </is>
      </c>
      <c r="G122" t="n">
        <v>0.6</v>
      </c>
      <c r="H122" t="n">
        <v>0</v>
      </c>
      <c r="I122" t="n">
        <v>0</v>
      </c>
      <c r="J122" t="n">
        <v>0</v>
      </c>
      <c r="K122" t="n">
        <v>0</v>
      </c>
      <c r="L122" t="n">
        <v>0</v>
      </c>
      <c r="M122" t="n">
        <v>0</v>
      </c>
      <c r="N122" t="n">
        <v>0</v>
      </c>
      <c r="O122" t="n">
        <v>0</v>
      </c>
      <c r="P122" t="n">
        <v>0</v>
      </c>
      <c r="Q122" t="n">
        <v>0</v>
      </c>
      <c r="R122" s="2" t="inlineStr"/>
    </row>
    <row r="123" ht="15" customHeight="1">
      <c r="A123" t="inlineStr">
        <is>
          <t>A 21612-2023</t>
        </is>
      </c>
      <c r="B123" s="1" t="n">
        <v>45063</v>
      </c>
      <c r="C123" s="1" t="n">
        <v>45967</v>
      </c>
      <c r="D123" t="inlineStr">
        <is>
          <t>UPPSALA LÄN</t>
        </is>
      </c>
      <c r="E123" t="inlineStr">
        <is>
          <t>ENKÖPING</t>
        </is>
      </c>
      <c r="F123" t="inlineStr">
        <is>
          <t>Allmännings- och besparingsskogar</t>
        </is>
      </c>
      <c r="G123" t="n">
        <v>1</v>
      </c>
      <c r="H123" t="n">
        <v>0</v>
      </c>
      <c r="I123" t="n">
        <v>0</v>
      </c>
      <c r="J123" t="n">
        <v>0</v>
      </c>
      <c r="K123" t="n">
        <v>0</v>
      </c>
      <c r="L123" t="n">
        <v>0</v>
      </c>
      <c r="M123" t="n">
        <v>0</v>
      </c>
      <c r="N123" t="n">
        <v>0</v>
      </c>
      <c r="O123" t="n">
        <v>0</v>
      </c>
      <c r="P123" t="n">
        <v>0</v>
      </c>
      <c r="Q123" t="n">
        <v>0</v>
      </c>
      <c r="R123" s="2" t="inlineStr"/>
    </row>
    <row r="124" ht="15" customHeight="1">
      <c r="A124" t="inlineStr">
        <is>
          <t>A 39624-2023</t>
        </is>
      </c>
      <c r="B124" s="1" t="n">
        <v>45164</v>
      </c>
      <c r="C124" s="1" t="n">
        <v>45967</v>
      </c>
      <c r="D124" t="inlineStr">
        <is>
          <t>UPPSALA LÄN</t>
        </is>
      </c>
      <c r="E124" t="inlineStr">
        <is>
          <t>ENKÖPING</t>
        </is>
      </c>
      <c r="G124" t="n">
        <v>0.9</v>
      </c>
      <c r="H124" t="n">
        <v>0</v>
      </c>
      <c r="I124" t="n">
        <v>0</v>
      </c>
      <c r="J124" t="n">
        <v>0</v>
      </c>
      <c r="K124" t="n">
        <v>0</v>
      </c>
      <c r="L124" t="n">
        <v>0</v>
      </c>
      <c r="M124" t="n">
        <v>0</v>
      </c>
      <c r="N124" t="n">
        <v>0</v>
      </c>
      <c r="O124" t="n">
        <v>0</v>
      </c>
      <c r="P124" t="n">
        <v>0</v>
      </c>
      <c r="Q124" t="n">
        <v>0</v>
      </c>
      <c r="R124" s="2" t="inlineStr"/>
    </row>
    <row r="125" ht="15" customHeight="1">
      <c r="A125" t="inlineStr">
        <is>
          <t>A 28318-2024</t>
        </is>
      </c>
      <c r="B125" s="1" t="n">
        <v>45477</v>
      </c>
      <c r="C125" s="1" t="n">
        <v>45967</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42021-2021</t>
        </is>
      </c>
      <c r="B126" s="1" t="n">
        <v>44426</v>
      </c>
      <c r="C126" s="1" t="n">
        <v>45967</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4044-2024</t>
        </is>
      </c>
      <c r="B127" s="1" t="n">
        <v>45323.45954861111</v>
      </c>
      <c r="C127" s="1" t="n">
        <v>45967</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5892-2023</t>
        </is>
      </c>
      <c r="B128" s="1" t="n">
        <v>44963.64883101852</v>
      </c>
      <c r="C128" s="1" t="n">
        <v>45967</v>
      </c>
      <c r="D128" t="inlineStr">
        <is>
          <t>UPPSALA LÄN</t>
        </is>
      </c>
      <c r="E128" t="inlineStr">
        <is>
          <t>ENKÖPING</t>
        </is>
      </c>
      <c r="G128" t="n">
        <v>5.5</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45967</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39858-2024</t>
        </is>
      </c>
      <c r="B130" s="1" t="n">
        <v>45553</v>
      </c>
      <c r="C130" s="1" t="n">
        <v>45967</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46103-2023</t>
        </is>
      </c>
      <c r="B131" s="1" t="n">
        <v>45190</v>
      </c>
      <c r="C131" s="1" t="n">
        <v>45967</v>
      </c>
      <c r="D131" t="inlineStr">
        <is>
          <t>UPPSALA LÄN</t>
        </is>
      </c>
      <c r="E131" t="inlineStr">
        <is>
          <t>ENKÖPING</t>
        </is>
      </c>
      <c r="G131" t="n">
        <v>4.6</v>
      </c>
      <c r="H131" t="n">
        <v>0</v>
      </c>
      <c r="I131" t="n">
        <v>0</v>
      </c>
      <c r="J131" t="n">
        <v>0</v>
      </c>
      <c r="K131" t="n">
        <v>0</v>
      </c>
      <c r="L131" t="n">
        <v>0</v>
      </c>
      <c r="M131" t="n">
        <v>0</v>
      </c>
      <c r="N131" t="n">
        <v>0</v>
      </c>
      <c r="O131" t="n">
        <v>0</v>
      </c>
      <c r="P131" t="n">
        <v>0</v>
      </c>
      <c r="Q131" t="n">
        <v>0</v>
      </c>
      <c r="R131" s="2" t="inlineStr"/>
    </row>
    <row r="132" ht="15" customHeight="1">
      <c r="A132" t="inlineStr">
        <is>
          <t>A 14402-2023</t>
        </is>
      </c>
      <c r="B132" s="1" t="n">
        <v>45012</v>
      </c>
      <c r="C132" s="1" t="n">
        <v>45967</v>
      </c>
      <c r="D132" t="inlineStr">
        <is>
          <t>UPPSALA LÄN</t>
        </is>
      </c>
      <c r="E132" t="inlineStr">
        <is>
          <t>ENKÖPING</t>
        </is>
      </c>
      <c r="G132" t="n">
        <v>9.5</v>
      </c>
      <c r="H132" t="n">
        <v>0</v>
      </c>
      <c r="I132" t="n">
        <v>0</v>
      </c>
      <c r="J132" t="n">
        <v>0</v>
      </c>
      <c r="K132" t="n">
        <v>0</v>
      </c>
      <c r="L132" t="n">
        <v>0</v>
      </c>
      <c r="M132" t="n">
        <v>0</v>
      </c>
      <c r="N132" t="n">
        <v>0</v>
      </c>
      <c r="O132" t="n">
        <v>0</v>
      </c>
      <c r="P132" t="n">
        <v>0</v>
      </c>
      <c r="Q132" t="n">
        <v>0</v>
      </c>
      <c r="R132" s="2" t="inlineStr"/>
    </row>
    <row r="133" ht="15" customHeight="1">
      <c r="A133" t="inlineStr">
        <is>
          <t>A 17467-2022</t>
        </is>
      </c>
      <c r="B133" s="1" t="n">
        <v>44679</v>
      </c>
      <c r="C133" s="1" t="n">
        <v>45967</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9957-2023</t>
        </is>
      </c>
      <c r="B134" s="1" t="n">
        <v>44978</v>
      </c>
      <c r="C134" s="1" t="n">
        <v>45967</v>
      </c>
      <c r="D134" t="inlineStr">
        <is>
          <t>UPPSALA LÄN</t>
        </is>
      </c>
      <c r="E134" t="inlineStr">
        <is>
          <t>ENKÖPING</t>
        </is>
      </c>
      <c r="G134" t="n">
        <v>5.9</v>
      </c>
      <c r="H134" t="n">
        <v>0</v>
      </c>
      <c r="I134" t="n">
        <v>0</v>
      </c>
      <c r="J134" t="n">
        <v>0</v>
      </c>
      <c r="K134" t="n">
        <v>0</v>
      </c>
      <c r="L134" t="n">
        <v>0</v>
      </c>
      <c r="M134" t="n">
        <v>0</v>
      </c>
      <c r="N134" t="n">
        <v>0</v>
      </c>
      <c r="O134" t="n">
        <v>0</v>
      </c>
      <c r="P134" t="n">
        <v>0</v>
      </c>
      <c r="Q134" t="n">
        <v>0</v>
      </c>
      <c r="R134" s="2" t="inlineStr"/>
    </row>
    <row r="135" ht="15" customHeight="1">
      <c r="A135" t="inlineStr">
        <is>
          <t>A 39115-2024</t>
        </is>
      </c>
      <c r="B135" s="1" t="n">
        <v>45548</v>
      </c>
      <c r="C135" s="1" t="n">
        <v>45967</v>
      </c>
      <c r="D135" t="inlineStr">
        <is>
          <t>UPPSALA LÄN</t>
        </is>
      </c>
      <c r="E135" t="inlineStr">
        <is>
          <t>ENKÖPING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12020-2024</t>
        </is>
      </c>
      <c r="B136" s="1" t="n">
        <v>45377</v>
      </c>
      <c r="C136" s="1" t="n">
        <v>45967</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25333-2023</t>
        </is>
      </c>
      <c r="B137" s="1" t="n">
        <v>45083</v>
      </c>
      <c r="C137" s="1" t="n">
        <v>45967</v>
      </c>
      <c r="D137" t="inlineStr">
        <is>
          <t>UPPSALA LÄN</t>
        </is>
      </c>
      <c r="E137" t="inlineStr">
        <is>
          <t>ENKÖPING</t>
        </is>
      </c>
      <c r="G137" t="n">
        <v>2.7</v>
      </c>
      <c r="H137" t="n">
        <v>0</v>
      </c>
      <c r="I137" t="n">
        <v>0</v>
      </c>
      <c r="J137" t="n">
        <v>0</v>
      </c>
      <c r="K137" t="n">
        <v>0</v>
      </c>
      <c r="L137" t="n">
        <v>0</v>
      </c>
      <c r="M137" t="n">
        <v>0</v>
      </c>
      <c r="N137" t="n">
        <v>0</v>
      </c>
      <c r="O137" t="n">
        <v>0</v>
      </c>
      <c r="P137" t="n">
        <v>0</v>
      </c>
      <c r="Q137" t="n">
        <v>0</v>
      </c>
      <c r="R137" s="2" t="inlineStr"/>
    </row>
    <row r="138" ht="15" customHeight="1">
      <c r="A138" t="inlineStr">
        <is>
          <t>A 50747-2022</t>
        </is>
      </c>
      <c r="B138" s="1" t="n">
        <v>44867.40162037037</v>
      </c>
      <c r="C138" s="1" t="n">
        <v>45967</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57152-2021</t>
        </is>
      </c>
      <c r="B139" s="1" t="n">
        <v>44482</v>
      </c>
      <c r="C139" s="1" t="n">
        <v>45967</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69344-2021</t>
        </is>
      </c>
      <c r="B140" s="1" t="n">
        <v>44531</v>
      </c>
      <c r="C140" s="1" t="n">
        <v>45967</v>
      </c>
      <c r="D140" t="inlineStr">
        <is>
          <t>UPPSALA LÄN</t>
        </is>
      </c>
      <c r="E140" t="inlineStr">
        <is>
          <t>ENKÖPING</t>
        </is>
      </c>
      <c r="G140" t="n">
        <v>2.9</v>
      </c>
      <c r="H140" t="n">
        <v>0</v>
      </c>
      <c r="I140" t="n">
        <v>0</v>
      </c>
      <c r="J140" t="n">
        <v>0</v>
      </c>
      <c r="K140" t="n">
        <v>0</v>
      </c>
      <c r="L140" t="n">
        <v>0</v>
      </c>
      <c r="M140" t="n">
        <v>0</v>
      </c>
      <c r="N140" t="n">
        <v>0</v>
      </c>
      <c r="O140" t="n">
        <v>0</v>
      </c>
      <c r="P140" t="n">
        <v>0</v>
      </c>
      <c r="Q140" t="n">
        <v>0</v>
      </c>
      <c r="R140" s="2" t="inlineStr"/>
    </row>
    <row r="141" ht="15" customHeight="1">
      <c r="A141" t="inlineStr">
        <is>
          <t>A 30437-2022</t>
        </is>
      </c>
      <c r="B141" s="1" t="n">
        <v>44761</v>
      </c>
      <c r="C141" s="1" t="n">
        <v>45967</v>
      </c>
      <c r="D141" t="inlineStr">
        <is>
          <t>UPPSALA LÄN</t>
        </is>
      </c>
      <c r="E141" t="inlineStr">
        <is>
          <t>ENKÖPING</t>
        </is>
      </c>
      <c r="G141" t="n">
        <v>3.4</v>
      </c>
      <c r="H141" t="n">
        <v>0</v>
      </c>
      <c r="I141" t="n">
        <v>0</v>
      </c>
      <c r="J141" t="n">
        <v>0</v>
      </c>
      <c r="K141" t="n">
        <v>0</v>
      </c>
      <c r="L141" t="n">
        <v>0</v>
      </c>
      <c r="M141" t="n">
        <v>0</v>
      </c>
      <c r="N141" t="n">
        <v>0</v>
      </c>
      <c r="O141" t="n">
        <v>0</v>
      </c>
      <c r="P141" t="n">
        <v>0</v>
      </c>
      <c r="Q141" t="n">
        <v>0</v>
      </c>
      <c r="R141" s="2" t="inlineStr"/>
    </row>
    <row r="142" ht="15" customHeight="1">
      <c r="A142" t="inlineStr">
        <is>
          <t>A 8152-2022</t>
        </is>
      </c>
      <c r="B142" s="1" t="n">
        <v>44609</v>
      </c>
      <c r="C142" s="1" t="n">
        <v>45967</v>
      </c>
      <c r="D142" t="inlineStr">
        <is>
          <t>UPPSALA LÄN</t>
        </is>
      </c>
      <c r="E142" t="inlineStr">
        <is>
          <t>ENKÖPING</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12572-2021</t>
        </is>
      </c>
      <c r="B143" s="1" t="n">
        <v>44270.36438657407</v>
      </c>
      <c r="C143" s="1" t="n">
        <v>45967</v>
      </c>
      <c r="D143" t="inlineStr">
        <is>
          <t>UPPSALA LÄN</t>
        </is>
      </c>
      <c r="E143" t="inlineStr">
        <is>
          <t>ENKÖPING</t>
        </is>
      </c>
      <c r="G143" t="n">
        <v>3.3</v>
      </c>
      <c r="H143" t="n">
        <v>0</v>
      </c>
      <c r="I143" t="n">
        <v>0</v>
      </c>
      <c r="J143" t="n">
        <v>0</v>
      </c>
      <c r="K143" t="n">
        <v>0</v>
      </c>
      <c r="L143" t="n">
        <v>0</v>
      </c>
      <c r="M143" t="n">
        <v>0</v>
      </c>
      <c r="N143" t="n">
        <v>0</v>
      </c>
      <c r="O143" t="n">
        <v>0</v>
      </c>
      <c r="P143" t="n">
        <v>0</v>
      </c>
      <c r="Q143" t="n">
        <v>0</v>
      </c>
      <c r="R143" s="2" t="inlineStr"/>
    </row>
    <row r="144" ht="15" customHeight="1">
      <c r="A144" t="inlineStr">
        <is>
          <t>A 34124-2021</t>
        </is>
      </c>
      <c r="B144" s="1" t="n">
        <v>44379</v>
      </c>
      <c r="C144" s="1" t="n">
        <v>45967</v>
      </c>
      <c r="D144" t="inlineStr">
        <is>
          <t>UPPSALA LÄN</t>
        </is>
      </c>
      <c r="E144" t="inlineStr">
        <is>
          <t>ENKÖPING</t>
        </is>
      </c>
      <c r="G144" t="n">
        <v>2.2</v>
      </c>
      <c r="H144" t="n">
        <v>0</v>
      </c>
      <c r="I144" t="n">
        <v>0</v>
      </c>
      <c r="J144" t="n">
        <v>0</v>
      </c>
      <c r="K144" t="n">
        <v>0</v>
      </c>
      <c r="L144" t="n">
        <v>0</v>
      </c>
      <c r="M144" t="n">
        <v>0</v>
      </c>
      <c r="N144" t="n">
        <v>0</v>
      </c>
      <c r="O144" t="n">
        <v>0</v>
      </c>
      <c r="P144" t="n">
        <v>0</v>
      </c>
      <c r="Q144" t="n">
        <v>0</v>
      </c>
      <c r="R144" s="2" t="inlineStr"/>
    </row>
    <row r="145" ht="15" customHeight="1">
      <c r="A145" t="inlineStr">
        <is>
          <t>A 43697-2024</t>
        </is>
      </c>
      <c r="B145" s="1" t="n">
        <v>45569</v>
      </c>
      <c r="C145" s="1" t="n">
        <v>45967</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27983-2024</t>
        </is>
      </c>
      <c r="B146" s="1" t="n">
        <v>45476</v>
      </c>
      <c r="C146" s="1" t="n">
        <v>45967</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51010-2024</t>
        </is>
      </c>
      <c r="B147" s="1" t="n">
        <v>45603.39285879629</v>
      </c>
      <c r="C147" s="1" t="n">
        <v>45967</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17657-2025</t>
        </is>
      </c>
      <c r="B148" s="1" t="n">
        <v>45758.35006944444</v>
      </c>
      <c r="C148" s="1" t="n">
        <v>45967</v>
      </c>
      <c r="D148" t="inlineStr">
        <is>
          <t>UPPSALA LÄN</t>
        </is>
      </c>
      <c r="E148" t="inlineStr">
        <is>
          <t>ENKÖPING</t>
        </is>
      </c>
      <c r="G148" t="n">
        <v>3</v>
      </c>
      <c r="H148" t="n">
        <v>0</v>
      </c>
      <c r="I148" t="n">
        <v>0</v>
      </c>
      <c r="J148" t="n">
        <v>0</v>
      </c>
      <c r="K148" t="n">
        <v>0</v>
      </c>
      <c r="L148" t="n">
        <v>0</v>
      </c>
      <c r="M148" t="n">
        <v>0</v>
      </c>
      <c r="N148" t="n">
        <v>0</v>
      </c>
      <c r="O148" t="n">
        <v>0</v>
      </c>
      <c r="P148" t="n">
        <v>0</v>
      </c>
      <c r="Q148" t="n">
        <v>0</v>
      </c>
      <c r="R148" s="2" t="inlineStr"/>
    </row>
    <row r="149" ht="15" customHeight="1">
      <c r="A149" t="inlineStr">
        <is>
          <t>A 59121-2021</t>
        </is>
      </c>
      <c r="B149" s="1" t="n">
        <v>44490</v>
      </c>
      <c r="C149" s="1" t="n">
        <v>45967</v>
      </c>
      <c r="D149" t="inlineStr">
        <is>
          <t>UPPSALA LÄN</t>
        </is>
      </c>
      <c r="E149" t="inlineStr">
        <is>
          <t>ENKÖPING</t>
        </is>
      </c>
      <c r="G149" t="n">
        <v>2.4</v>
      </c>
      <c r="H149" t="n">
        <v>0</v>
      </c>
      <c r="I149" t="n">
        <v>0</v>
      </c>
      <c r="J149" t="n">
        <v>0</v>
      </c>
      <c r="K149" t="n">
        <v>0</v>
      </c>
      <c r="L149" t="n">
        <v>0</v>
      </c>
      <c r="M149" t="n">
        <v>0</v>
      </c>
      <c r="N149" t="n">
        <v>0</v>
      </c>
      <c r="O149" t="n">
        <v>0</v>
      </c>
      <c r="P149" t="n">
        <v>0</v>
      </c>
      <c r="Q149" t="n">
        <v>0</v>
      </c>
      <c r="R149" s="2" t="inlineStr"/>
    </row>
    <row r="150" ht="15" customHeight="1">
      <c r="A150" t="inlineStr">
        <is>
          <t>A 24815-2022</t>
        </is>
      </c>
      <c r="B150" s="1" t="n">
        <v>44728</v>
      </c>
      <c r="C150" s="1" t="n">
        <v>45967</v>
      </c>
      <c r="D150" t="inlineStr">
        <is>
          <t>UPPSALA LÄN</t>
        </is>
      </c>
      <c r="E150" t="inlineStr">
        <is>
          <t>ENKÖPING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57078-2021</t>
        </is>
      </c>
      <c r="B151" s="1" t="n">
        <v>44482.57855324074</v>
      </c>
      <c r="C151" s="1" t="n">
        <v>45967</v>
      </c>
      <c r="D151" t="inlineStr">
        <is>
          <t>UPPSALA LÄN</t>
        </is>
      </c>
      <c r="E151" t="inlineStr">
        <is>
          <t>ENKÖPING</t>
        </is>
      </c>
      <c r="G151" t="n">
        <v>3</v>
      </c>
      <c r="H151" t="n">
        <v>0</v>
      </c>
      <c r="I151" t="n">
        <v>0</v>
      </c>
      <c r="J151" t="n">
        <v>0</v>
      </c>
      <c r="K151" t="n">
        <v>0</v>
      </c>
      <c r="L151" t="n">
        <v>0</v>
      </c>
      <c r="M151" t="n">
        <v>0</v>
      </c>
      <c r="N151" t="n">
        <v>0</v>
      </c>
      <c r="O151" t="n">
        <v>0</v>
      </c>
      <c r="P151" t="n">
        <v>0</v>
      </c>
      <c r="Q151" t="n">
        <v>0</v>
      </c>
      <c r="R151" s="2" t="inlineStr"/>
    </row>
    <row r="152" ht="15" customHeight="1">
      <c r="A152" t="inlineStr">
        <is>
          <t>A 12878-2025</t>
        </is>
      </c>
      <c r="B152" s="1" t="n">
        <v>45733.68571759259</v>
      </c>
      <c r="C152" s="1" t="n">
        <v>45967</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20112-2024</t>
        </is>
      </c>
      <c r="B153" s="1" t="n">
        <v>45434</v>
      </c>
      <c r="C153" s="1" t="n">
        <v>45967</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22912-2024</t>
        </is>
      </c>
      <c r="B154" s="1" t="n">
        <v>45448.73118055556</v>
      </c>
      <c r="C154" s="1" t="n">
        <v>45967</v>
      </c>
      <c r="D154" t="inlineStr">
        <is>
          <t>UPPSALA LÄN</t>
        </is>
      </c>
      <c r="E154" t="inlineStr">
        <is>
          <t>ENKÖPING</t>
        </is>
      </c>
      <c r="G154" t="n">
        <v>2.8</v>
      </c>
      <c r="H154" t="n">
        <v>0</v>
      </c>
      <c r="I154" t="n">
        <v>0</v>
      </c>
      <c r="J154" t="n">
        <v>0</v>
      </c>
      <c r="K154" t="n">
        <v>0</v>
      </c>
      <c r="L154" t="n">
        <v>0</v>
      </c>
      <c r="M154" t="n">
        <v>0</v>
      </c>
      <c r="N154" t="n">
        <v>0</v>
      </c>
      <c r="O154" t="n">
        <v>0</v>
      </c>
      <c r="P154" t="n">
        <v>0</v>
      </c>
      <c r="Q154" t="n">
        <v>0</v>
      </c>
      <c r="R154" s="2" t="inlineStr"/>
    </row>
    <row r="155" ht="15" customHeight="1">
      <c r="A155" t="inlineStr">
        <is>
          <t>A 52889-2022</t>
        </is>
      </c>
      <c r="B155" s="1" t="n">
        <v>44875</v>
      </c>
      <c r="C155" s="1" t="n">
        <v>45967</v>
      </c>
      <c r="D155" t="inlineStr">
        <is>
          <t>UPPSALA LÄN</t>
        </is>
      </c>
      <c r="E155" t="inlineStr">
        <is>
          <t>ENKÖPING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51932-2022</t>
        </is>
      </c>
      <c r="B156" s="1" t="n">
        <v>44872</v>
      </c>
      <c r="C156" s="1" t="n">
        <v>45967</v>
      </c>
      <c r="D156" t="inlineStr">
        <is>
          <t>UPPSALA LÄN</t>
        </is>
      </c>
      <c r="E156" t="inlineStr">
        <is>
          <t>ENKÖPING</t>
        </is>
      </c>
      <c r="G156" t="n">
        <v>5.5</v>
      </c>
      <c r="H156" t="n">
        <v>0</v>
      </c>
      <c r="I156" t="n">
        <v>0</v>
      </c>
      <c r="J156" t="n">
        <v>0</v>
      </c>
      <c r="K156" t="n">
        <v>0</v>
      </c>
      <c r="L156" t="n">
        <v>0</v>
      </c>
      <c r="M156" t="n">
        <v>0</v>
      </c>
      <c r="N156" t="n">
        <v>0</v>
      </c>
      <c r="O156" t="n">
        <v>0</v>
      </c>
      <c r="P156" t="n">
        <v>0</v>
      </c>
      <c r="Q156" t="n">
        <v>0</v>
      </c>
      <c r="R156" s="2" t="inlineStr"/>
    </row>
    <row r="157" ht="15" customHeight="1">
      <c r="A157" t="inlineStr">
        <is>
          <t>A 9667-2024</t>
        </is>
      </c>
      <c r="B157" s="1" t="n">
        <v>45362.45130787037</v>
      </c>
      <c r="C157" s="1" t="n">
        <v>45967</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15939-2022</t>
        </is>
      </c>
      <c r="B158" s="1" t="n">
        <v>44664</v>
      </c>
      <c r="C158" s="1" t="n">
        <v>45967</v>
      </c>
      <c r="D158" t="inlineStr">
        <is>
          <t>UPPSALA LÄN</t>
        </is>
      </c>
      <c r="E158" t="inlineStr">
        <is>
          <t>ENKÖPING</t>
        </is>
      </c>
      <c r="G158" t="n">
        <v>2</v>
      </c>
      <c r="H158" t="n">
        <v>0</v>
      </c>
      <c r="I158" t="n">
        <v>0</v>
      </c>
      <c r="J158" t="n">
        <v>0</v>
      </c>
      <c r="K158" t="n">
        <v>0</v>
      </c>
      <c r="L158" t="n">
        <v>0</v>
      </c>
      <c r="M158" t="n">
        <v>0</v>
      </c>
      <c r="N158" t="n">
        <v>0</v>
      </c>
      <c r="O158" t="n">
        <v>0</v>
      </c>
      <c r="P158" t="n">
        <v>0</v>
      </c>
      <c r="Q158" t="n">
        <v>0</v>
      </c>
      <c r="R158" s="2" t="inlineStr"/>
    </row>
    <row r="159" ht="15" customHeight="1">
      <c r="A159" t="inlineStr">
        <is>
          <t>A 12958-2024</t>
        </is>
      </c>
      <c r="B159" s="1" t="n">
        <v>45385</v>
      </c>
      <c r="C159" s="1" t="n">
        <v>45967</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50394-2024</t>
        </is>
      </c>
      <c r="B160" s="1" t="n">
        <v>45600</v>
      </c>
      <c r="C160" s="1" t="n">
        <v>45967</v>
      </c>
      <c r="D160" t="inlineStr">
        <is>
          <t>UPPSALA LÄN</t>
        </is>
      </c>
      <c r="E160" t="inlineStr">
        <is>
          <t>ENKÖPING</t>
        </is>
      </c>
      <c r="G160" t="n">
        <v>1.2</v>
      </c>
      <c r="H160" t="n">
        <v>0</v>
      </c>
      <c r="I160" t="n">
        <v>0</v>
      </c>
      <c r="J160" t="n">
        <v>0</v>
      </c>
      <c r="K160" t="n">
        <v>0</v>
      </c>
      <c r="L160" t="n">
        <v>0</v>
      </c>
      <c r="M160" t="n">
        <v>0</v>
      </c>
      <c r="N160" t="n">
        <v>0</v>
      </c>
      <c r="O160" t="n">
        <v>0</v>
      </c>
      <c r="P160" t="n">
        <v>0</v>
      </c>
      <c r="Q160" t="n">
        <v>0</v>
      </c>
      <c r="R160" s="2" t="inlineStr"/>
    </row>
    <row r="161" ht="15" customHeight="1">
      <c r="A161" t="inlineStr">
        <is>
          <t>A 72840-2021</t>
        </is>
      </c>
      <c r="B161" s="1" t="n">
        <v>44547</v>
      </c>
      <c r="C161" s="1" t="n">
        <v>45967</v>
      </c>
      <c r="D161" t="inlineStr">
        <is>
          <t>UPPSALA LÄN</t>
        </is>
      </c>
      <c r="E161" t="inlineStr">
        <is>
          <t>ENKÖPING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43506-2023</t>
        </is>
      </c>
      <c r="B162" s="1" t="n">
        <v>45181</v>
      </c>
      <c r="C162" s="1" t="n">
        <v>45967</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14004-2023</t>
        </is>
      </c>
      <c r="B163" s="1" t="n">
        <v>45008</v>
      </c>
      <c r="C163" s="1" t="n">
        <v>45967</v>
      </c>
      <c r="D163" t="inlineStr">
        <is>
          <t>UPPSALA LÄN</t>
        </is>
      </c>
      <c r="E163" t="inlineStr">
        <is>
          <t>ENKÖPING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40812-2022</t>
        </is>
      </c>
      <c r="B164" s="1" t="n">
        <v>44824.68791666667</v>
      </c>
      <c r="C164" s="1" t="n">
        <v>45967</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37870-2023</t>
        </is>
      </c>
      <c r="B165" s="1" t="n">
        <v>45160.41996527778</v>
      </c>
      <c r="C165" s="1" t="n">
        <v>45967</v>
      </c>
      <c r="D165" t="inlineStr">
        <is>
          <t>UPPSALA LÄN</t>
        </is>
      </c>
      <c r="E165" t="inlineStr">
        <is>
          <t>ENKÖPING</t>
        </is>
      </c>
      <c r="G165" t="n">
        <v>3.5</v>
      </c>
      <c r="H165" t="n">
        <v>0</v>
      </c>
      <c r="I165" t="n">
        <v>0</v>
      </c>
      <c r="J165" t="n">
        <v>0</v>
      </c>
      <c r="K165" t="n">
        <v>0</v>
      </c>
      <c r="L165" t="n">
        <v>0</v>
      </c>
      <c r="M165" t="n">
        <v>0</v>
      </c>
      <c r="N165" t="n">
        <v>0</v>
      </c>
      <c r="O165" t="n">
        <v>0</v>
      </c>
      <c r="P165" t="n">
        <v>0</v>
      </c>
      <c r="Q165" t="n">
        <v>0</v>
      </c>
      <c r="R165" s="2" t="inlineStr"/>
    </row>
    <row r="166" ht="15" customHeight="1">
      <c r="A166" t="inlineStr">
        <is>
          <t>A 7090-2022</t>
        </is>
      </c>
      <c r="B166" s="1" t="n">
        <v>44603.59520833333</v>
      </c>
      <c r="C166" s="1" t="n">
        <v>45967</v>
      </c>
      <c r="D166" t="inlineStr">
        <is>
          <t>UPPSALA LÄN</t>
        </is>
      </c>
      <c r="E166" t="inlineStr">
        <is>
          <t>ENKÖPING</t>
        </is>
      </c>
      <c r="G166" t="n">
        <v>2.8</v>
      </c>
      <c r="H166" t="n">
        <v>0</v>
      </c>
      <c r="I166" t="n">
        <v>0</v>
      </c>
      <c r="J166" t="n">
        <v>0</v>
      </c>
      <c r="K166" t="n">
        <v>0</v>
      </c>
      <c r="L166" t="n">
        <v>0</v>
      </c>
      <c r="M166" t="n">
        <v>0</v>
      </c>
      <c r="N166" t="n">
        <v>0</v>
      </c>
      <c r="O166" t="n">
        <v>0</v>
      </c>
      <c r="P166" t="n">
        <v>0</v>
      </c>
      <c r="Q166" t="n">
        <v>0</v>
      </c>
      <c r="R166" s="2" t="inlineStr"/>
    </row>
    <row r="167" ht="15" customHeight="1">
      <c r="A167" t="inlineStr">
        <is>
          <t>A 24291-2024</t>
        </is>
      </c>
      <c r="B167" s="1" t="n">
        <v>45457.4584837963</v>
      </c>
      <c r="C167" s="1" t="n">
        <v>45967</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49063-2024</t>
        </is>
      </c>
      <c r="B168" s="1" t="n">
        <v>45594.59869212963</v>
      </c>
      <c r="C168" s="1" t="n">
        <v>45967</v>
      </c>
      <c r="D168" t="inlineStr">
        <is>
          <t>UPPSALA LÄN</t>
        </is>
      </c>
      <c r="E168" t="inlineStr">
        <is>
          <t>ENKÖPING</t>
        </is>
      </c>
      <c r="G168" t="n">
        <v>1.5</v>
      </c>
      <c r="H168" t="n">
        <v>0</v>
      </c>
      <c r="I168" t="n">
        <v>0</v>
      </c>
      <c r="J168" t="n">
        <v>0</v>
      </c>
      <c r="K168" t="n">
        <v>0</v>
      </c>
      <c r="L168" t="n">
        <v>0</v>
      </c>
      <c r="M168" t="n">
        <v>0</v>
      </c>
      <c r="N168" t="n">
        <v>0</v>
      </c>
      <c r="O168" t="n">
        <v>0</v>
      </c>
      <c r="P168" t="n">
        <v>0</v>
      </c>
      <c r="Q168" t="n">
        <v>0</v>
      </c>
      <c r="R168" s="2" t="inlineStr"/>
    </row>
    <row r="169" ht="15" customHeight="1">
      <c r="A169" t="inlineStr">
        <is>
          <t>A 51012-2024</t>
        </is>
      </c>
      <c r="B169" s="1" t="n">
        <v>45603.39686342593</v>
      </c>
      <c r="C169" s="1" t="n">
        <v>45967</v>
      </c>
      <c r="D169" t="inlineStr">
        <is>
          <t>UPPSALA LÄN</t>
        </is>
      </c>
      <c r="E169" t="inlineStr">
        <is>
          <t>ENKÖPING</t>
        </is>
      </c>
      <c r="G169" t="n">
        <v>2.7</v>
      </c>
      <c r="H169" t="n">
        <v>0</v>
      </c>
      <c r="I169" t="n">
        <v>0</v>
      </c>
      <c r="J169" t="n">
        <v>0</v>
      </c>
      <c r="K169" t="n">
        <v>0</v>
      </c>
      <c r="L169" t="n">
        <v>0</v>
      </c>
      <c r="M169" t="n">
        <v>0</v>
      </c>
      <c r="N169" t="n">
        <v>0</v>
      </c>
      <c r="O169" t="n">
        <v>0</v>
      </c>
      <c r="P169" t="n">
        <v>0</v>
      </c>
      <c r="Q169" t="n">
        <v>0</v>
      </c>
      <c r="R169" s="2" t="inlineStr"/>
    </row>
    <row r="170" ht="15" customHeight="1">
      <c r="A170" t="inlineStr">
        <is>
          <t>A 14083-2025</t>
        </is>
      </c>
      <c r="B170" s="1" t="n">
        <v>45740</v>
      </c>
      <c r="C170" s="1" t="n">
        <v>45967</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19298-2023</t>
        </is>
      </c>
      <c r="B171" s="1" t="n">
        <v>45048</v>
      </c>
      <c r="C171" s="1" t="n">
        <v>45967</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44232-2022</t>
        </is>
      </c>
      <c r="B172" s="1" t="n">
        <v>44839</v>
      </c>
      <c r="C172" s="1" t="n">
        <v>45967</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47428-2023</t>
        </is>
      </c>
      <c r="B173" s="1" t="n">
        <v>45202.66664351852</v>
      </c>
      <c r="C173" s="1" t="n">
        <v>45967</v>
      </c>
      <c r="D173" t="inlineStr">
        <is>
          <t>UPPSALA LÄN</t>
        </is>
      </c>
      <c r="E173" t="inlineStr">
        <is>
          <t>ENKÖPING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41828-2024</t>
        </is>
      </c>
      <c r="B174" s="1" t="n">
        <v>45561</v>
      </c>
      <c r="C174" s="1" t="n">
        <v>45967</v>
      </c>
      <c r="D174" t="inlineStr">
        <is>
          <t>UPPSALA LÄN</t>
        </is>
      </c>
      <c r="E174" t="inlineStr">
        <is>
          <t>ENKÖPING</t>
        </is>
      </c>
      <c r="G174" t="n">
        <v>2.5</v>
      </c>
      <c r="H174" t="n">
        <v>0</v>
      </c>
      <c r="I174" t="n">
        <v>0</v>
      </c>
      <c r="J174" t="n">
        <v>0</v>
      </c>
      <c r="K174" t="n">
        <v>0</v>
      </c>
      <c r="L174" t="n">
        <v>0</v>
      </c>
      <c r="M174" t="n">
        <v>0</v>
      </c>
      <c r="N174" t="n">
        <v>0</v>
      </c>
      <c r="O174" t="n">
        <v>0</v>
      </c>
      <c r="P174" t="n">
        <v>0</v>
      </c>
      <c r="Q174" t="n">
        <v>0</v>
      </c>
      <c r="R174" s="2" t="inlineStr"/>
    </row>
    <row r="175" ht="15" customHeight="1">
      <c r="A175" t="inlineStr">
        <is>
          <t>A 45362-2022</t>
        </is>
      </c>
      <c r="B175" s="1" t="n">
        <v>44844.62366898148</v>
      </c>
      <c r="C175" s="1" t="n">
        <v>45967</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56526-2022</t>
        </is>
      </c>
      <c r="B176" s="1" t="n">
        <v>44893</v>
      </c>
      <c r="C176" s="1" t="n">
        <v>45967</v>
      </c>
      <c r="D176" t="inlineStr">
        <is>
          <t>UPPSALA LÄN</t>
        </is>
      </c>
      <c r="E176" t="inlineStr">
        <is>
          <t>ENKÖPING</t>
        </is>
      </c>
      <c r="G176" t="n">
        <v>3.8</v>
      </c>
      <c r="H176" t="n">
        <v>0</v>
      </c>
      <c r="I176" t="n">
        <v>0</v>
      </c>
      <c r="J176" t="n">
        <v>0</v>
      </c>
      <c r="K176" t="n">
        <v>0</v>
      </c>
      <c r="L176" t="n">
        <v>0</v>
      </c>
      <c r="M176" t="n">
        <v>0</v>
      </c>
      <c r="N176" t="n">
        <v>0</v>
      </c>
      <c r="O176" t="n">
        <v>0</v>
      </c>
      <c r="P176" t="n">
        <v>0</v>
      </c>
      <c r="Q176" t="n">
        <v>0</v>
      </c>
      <c r="R176" s="2" t="inlineStr"/>
    </row>
    <row r="177" ht="15" customHeight="1">
      <c r="A177" t="inlineStr">
        <is>
          <t>A 15409-2025</t>
        </is>
      </c>
      <c r="B177" s="1" t="n">
        <v>45747</v>
      </c>
      <c r="C177" s="1" t="n">
        <v>45967</v>
      </c>
      <c r="D177" t="inlineStr">
        <is>
          <t>UPPSALA LÄN</t>
        </is>
      </c>
      <c r="E177" t="inlineStr">
        <is>
          <t>ENKÖPING</t>
        </is>
      </c>
      <c r="G177" t="n">
        <v>2.5</v>
      </c>
      <c r="H177" t="n">
        <v>0</v>
      </c>
      <c r="I177" t="n">
        <v>0</v>
      </c>
      <c r="J177" t="n">
        <v>0</v>
      </c>
      <c r="K177" t="n">
        <v>0</v>
      </c>
      <c r="L177" t="n">
        <v>0</v>
      </c>
      <c r="M177" t="n">
        <v>0</v>
      </c>
      <c r="N177" t="n">
        <v>0</v>
      </c>
      <c r="O177" t="n">
        <v>0</v>
      </c>
      <c r="P177" t="n">
        <v>0</v>
      </c>
      <c r="Q177" t="n">
        <v>0</v>
      </c>
      <c r="R177" s="2" t="inlineStr"/>
    </row>
    <row r="178" ht="15" customHeight="1">
      <c r="A178" t="inlineStr">
        <is>
          <t>A 47681-2024</t>
        </is>
      </c>
      <c r="B178" s="1" t="n">
        <v>45588</v>
      </c>
      <c r="C178" s="1" t="n">
        <v>45967</v>
      </c>
      <c r="D178" t="inlineStr">
        <is>
          <t>UPPSALA LÄN</t>
        </is>
      </c>
      <c r="E178" t="inlineStr">
        <is>
          <t>ENKÖPING</t>
        </is>
      </c>
      <c r="G178" t="n">
        <v>4.2</v>
      </c>
      <c r="H178" t="n">
        <v>0</v>
      </c>
      <c r="I178" t="n">
        <v>0</v>
      </c>
      <c r="J178" t="n">
        <v>0</v>
      </c>
      <c r="K178" t="n">
        <v>0</v>
      </c>
      <c r="L178" t="n">
        <v>0</v>
      </c>
      <c r="M178" t="n">
        <v>0</v>
      </c>
      <c r="N178" t="n">
        <v>0</v>
      </c>
      <c r="O178" t="n">
        <v>0</v>
      </c>
      <c r="P178" t="n">
        <v>0</v>
      </c>
      <c r="Q178" t="n">
        <v>0</v>
      </c>
      <c r="R178" s="2" t="inlineStr"/>
    </row>
    <row r="179" ht="15" customHeight="1">
      <c r="A179" t="inlineStr">
        <is>
          <t>A 10465-2022</t>
        </is>
      </c>
      <c r="B179" s="1" t="n">
        <v>44623</v>
      </c>
      <c r="C179" s="1" t="n">
        <v>45967</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60350-2022</t>
        </is>
      </c>
      <c r="B180" s="1" t="n">
        <v>44910</v>
      </c>
      <c r="C180" s="1" t="n">
        <v>45967</v>
      </c>
      <c r="D180" t="inlineStr">
        <is>
          <t>UPPSALA LÄN</t>
        </is>
      </c>
      <c r="E180" t="inlineStr">
        <is>
          <t>ENKÖPING</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28518-2024</t>
        </is>
      </c>
      <c r="B181" s="1" t="n">
        <v>45477</v>
      </c>
      <c r="C181" s="1" t="n">
        <v>45967</v>
      </c>
      <c r="D181" t="inlineStr">
        <is>
          <t>UPPSALA LÄN</t>
        </is>
      </c>
      <c r="E181" t="inlineStr">
        <is>
          <t>ENKÖPING</t>
        </is>
      </c>
      <c r="G181" t="n">
        <v>3.4</v>
      </c>
      <c r="H181" t="n">
        <v>0</v>
      </c>
      <c r="I181" t="n">
        <v>0</v>
      </c>
      <c r="J181" t="n">
        <v>0</v>
      </c>
      <c r="K181" t="n">
        <v>0</v>
      </c>
      <c r="L181" t="n">
        <v>0</v>
      </c>
      <c r="M181" t="n">
        <v>0</v>
      </c>
      <c r="N181" t="n">
        <v>0</v>
      </c>
      <c r="O181" t="n">
        <v>0</v>
      </c>
      <c r="P181" t="n">
        <v>0</v>
      </c>
      <c r="Q181" t="n">
        <v>0</v>
      </c>
      <c r="R181" s="2" t="inlineStr"/>
    </row>
    <row r="182" ht="15" customHeight="1">
      <c r="A182" t="inlineStr">
        <is>
          <t>A 12754-2025</t>
        </is>
      </c>
      <c r="B182" s="1" t="n">
        <v>45733.56331018519</v>
      </c>
      <c r="C182" s="1" t="n">
        <v>45967</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30098-2024</t>
        </is>
      </c>
      <c r="B183" s="1" t="n">
        <v>45489.41609953704</v>
      </c>
      <c r="C183" s="1" t="n">
        <v>45967</v>
      </c>
      <c r="D183" t="inlineStr">
        <is>
          <t>UPPSALA LÄN</t>
        </is>
      </c>
      <c r="E183" t="inlineStr">
        <is>
          <t>ENKÖPING</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54588-2024</t>
        </is>
      </c>
      <c r="B184" s="1" t="n">
        <v>45617</v>
      </c>
      <c r="C184" s="1" t="n">
        <v>45967</v>
      </c>
      <c r="D184" t="inlineStr">
        <is>
          <t>UPPSALA LÄN</t>
        </is>
      </c>
      <c r="E184" t="inlineStr">
        <is>
          <t>ENKÖPING</t>
        </is>
      </c>
      <c r="G184" t="n">
        <v>3.7</v>
      </c>
      <c r="H184" t="n">
        <v>0</v>
      </c>
      <c r="I184" t="n">
        <v>0</v>
      </c>
      <c r="J184" t="n">
        <v>0</v>
      </c>
      <c r="K184" t="n">
        <v>0</v>
      </c>
      <c r="L184" t="n">
        <v>0</v>
      </c>
      <c r="M184" t="n">
        <v>0</v>
      </c>
      <c r="N184" t="n">
        <v>0</v>
      </c>
      <c r="O184" t="n">
        <v>0</v>
      </c>
      <c r="P184" t="n">
        <v>0</v>
      </c>
      <c r="Q184" t="n">
        <v>0</v>
      </c>
      <c r="R184" s="2" t="inlineStr"/>
    </row>
    <row r="185" ht="15" customHeight="1">
      <c r="A185" t="inlineStr">
        <is>
          <t>A 56713-2024</t>
        </is>
      </c>
      <c r="B185" s="1" t="n">
        <v>45628</v>
      </c>
      <c r="C185" s="1" t="n">
        <v>45967</v>
      </c>
      <c r="D185" t="inlineStr">
        <is>
          <t>UPPSALA LÄN</t>
        </is>
      </c>
      <c r="E185" t="inlineStr">
        <is>
          <t>ENKÖPING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5013-2025</t>
        </is>
      </c>
      <c r="B186" s="1" t="n">
        <v>45691</v>
      </c>
      <c r="C186" s="1" t="n">
        <v>45967</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11503-2024</t>
        </is>
      </c>
      <c r="B187" s="1" t="n">
        <v>45372.68020833333</v>
      </c>
      <c r="C187" s="1" t="n">
        <v>45967</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46590-2025</t>
        </is>
      </c>
      <c r="B188" s="1" t="n">
        <v>45926.39542824074</v>
      </c>
      <c r="C188" s="1" t="n">
        <v>45967</v>
      </c>
      <c r="D188" t="inlineStr">
        <is>
          <t>UPPSALA LÄN</t>
        </is>
      </c>
      <c r="E188" t="inlineStr">
        <is>
          <t>ENKÖPING</t>
        </is>
      </c>
      <c r="G188" t="n">
        <v>2.7</v>
      </c>
      <c r="H188" t="n">
        <v>0</v>
      </c>
      <c r="I188" t="n">
        <v>0</v>
      </c>
      <c r="J188" t="n">
        <v>0</v>
      </c>
      <c r="K188" t="n">
        <v>0</v>
      </c>
      <c r="L188" t="n">
        <v>0</v>
      </c>
      <c r="M188" t="n">
        <v>0</v>
      </c>
      <c r="N188" t="n">
        <v>0</v>
      </c>
      <c r="O188" t="n">
        <v>0</v>
      </c>
      <c r="P188" t="n">
        <v>0</v>
      </c>
      <c r="Q188" t="n">
        <v>0</v>
      </c>
      <c r="R188" s="2" t="inlineStr"/>
    </row>
    <row r="189" ht="15" customHeight="1">
      <c r="A189" t="inlineStr">
        <is>
          <t>A 34617-2022</t>
        </is>
      </c>
      <c r="B189" s="1" t="n">
        <v>44795</v>
      </c>
      <c r="C189" s="1" t="n">
        <v>45967</v>
      </c>
      <c r="D189" t="inlineStr">
        <is>
          <t>UPPSALA LÄN</t>
        </is>
      </c>
      <c r="E189" t="inlineStr">
        <is>
          <t>ENKÖPING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56176-2021</t>
        </is>
      </c>
      <c r="B190" s="1" t="n">
        <v>44477</v>
      </c>
      <c r="C190" s="1" t="n">
        <v>45967</v>
      </c>
      <c r="D190" t="inlineStr">
        <is>
          <t>UPPSALA LÄN</t>
        </is>
      </c>
      <c r="E190" t="inlineStr">
        <is>
          <t>ENKÖPING</t>
        </is>
      </c>
      <c r="G190" t="n">
        <v>2.9</v>
      </c>
      <c r="H190" t="n">
        <v>0</v>
      </c>
      <c r="I190" t="n">
        <v>0</v>
      </c>
      <c r="J190" t="n">
        <v>0</v>
      </c>
      <c r="K190" t="n">
        <v>0</v>
      </c>
      <c r="L190" t="n">
        <v>0</v>
      </c>
      <c r="M190" t="n">
        <v>0</v>
      </c>
      <c r="N190" t="n">
        <v>0</v>
      </c>
      <c r="O190" t="n">
        <v>0</v>
      </c>
      <c r="P190" t="n">
        <v>0</v>
      </c>
      <c r="Q190" t="n">
        <v>0</v>
      </c>
      <c r="R190" s="2" t="inlineStr"/>
    </row>
    <row r="191" ht="15" customHeight="1">
      <c r="A191" t="inlineStr">
        <is>
          <t>A 40202-2024</t>
        </is>
      </c>
      <c r="B191" s="1" t="n">
        <v>45554</v>
      </c>
      <c r="C191" s="1" t="n">
        <v>45967</v>
      </c>
      <c r="D191" t="inlineStr">
        <is>
          <t>UPPSALA LÄN</t>
        </is>
      </c>
      <c r="E191" t="inlineStr">
        <is>
          <t>ENKÖPING</t>
        </is>
      </c>
      <c r="G191" t="n">
        <v>6.2</v>
      </c>
      <c r="H191" t="n">
        <v>0</v>
      </c>
      <c r="I191" t="n">
        <v>0</v>
      </c>
      <c r="J191" t="n">
        <v>0</v>
      </c>
      <c r="K191" t="n">
        <v>0</v>
      </c>
      <c r="L191" t="n">
        <v>0</v>
      </c>
      <c r="M191" t="n">
        <v>0</v>
      </c>
      <c r="N191" t="n">
        <v>0</v>
      </c>
      <c r="O191" t="n">
        <v>0</v>
      </c>
      <c r="P191" t="n">
        <v>0</v>
      </c>
      <c r="Q191" t="n">
        <v>0</v>
      </c>
      <c r="R191" s="2" t="inlineStr"/>
    </row>
    <row r="192" ht="15" customHeight="1">
      <c r="A192" t="inlineStr">
        <is>
          <t>A 40223-2024</t>
        </is>
      </c>
      <c r="B192" s="1" t="n">
        <v>45554</v>
      </c>
      <c r="C192" s="1" t="n">
        <v>45967</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69879-2021</t>
        </is>
      </c>
      <c r="B193" s="1" t="n">
        <v>44532</v>
      </c>
      <c r="C193" s="1" t="n">
        <v>45967</v>
      </c>
      <c r="D193" t="inlineStr">
        <is>
          <t>UPPSALA LÄN</t>
        </is>
      </c>
      <c r="E193" t="inlineStr">
        <is>
          <t>ENKÖPING</t>
        </is>
      </c>
      <c r="G193" t="n">
        <v>4.2</v>
      </c>
      <c r="H193" t="n">
        <v>0</v>
      </c>
      <c r="I193" t="n">
        <v>0</v>
      </c>
      <c r="J193" t="n">
        <v>0</v>
      </c>
      <c r="K193" t="n">
        <v>0</v>
      </c>
      <c r="L193" t="n">
        <v>0</v>
      </c>
      <c r="M193" t="n">
        <v>0</v>
      </c>
      <c r="N193" t="n">
        <v>0</v>
      </c>
      <c r="O193" t="n">
        <v>0</v>
      </c>
      <c r="P193" t="n">
        <v>0</v>
      </c>
      <c r="Q193" t="n">
        <v>0</v>
      </c>
      <c r="R193" s="2" t="inlineStr"/>
    </row>
    <row r="194" ht="15" customHeight="1">
      <c r="A194" t="inlineStr">
        <is>
          <t>A 19013-2025</t>
        </is>
      </c>
      <c r="B194" s="1" t="n">
        <v>45764.59533564815</v>
      </c>
      <c r="C194" s="1" t="n">
        <v>45967</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2164-2023</t>
        </is>
      </c>
      <c r="B195" s="1" t="n">
        <v>44941</v>
      </c>
      <c r="C195" s="1" t="n">
        <v>45967</v>
      </c>
      <c r="D195" t="inlineStr">
        <is>
          <t>UPPSALA LÄN</t>
        </is>
      </c>
      <c r="E195" t="inlineStr">
        <is>
          <t>ENKÖPING</t>
        </is>
      </c>
      <c r="G195" t="n">
        <v>2.5</v>
      </c>
      <c r="H195" t="n">
        <v>0</v>
      </c>
      <c r="I195" t="n">
        <v>0</v>
      </c>
      <c r="J195" t="n">
        <v>0</v>
      </c>
      <c r="K195" t="n">
        <v>0</v>
      </c>
      <c r="L195" t="n">
        <v>0</v>
      </c>
      <c r="M195" t="n">
        <v>0</v>
      </c>
      <c r="N195" t="n">
        <v>0</v>
      </c>
      <c r="O195" t="n">
        <v>0</v>
      </c>
      <c r="P195" t="n">
        <v>0</v>
      </c>
      <c r="Q195" t="n">
        <v>0</v>
      </c>
      <c r="R195" s="2" t="inlineStr"/>
    </row>
    <row r="196" ht="15" customHeight="1">
      <c r="A196" t="inlineStr">
        <is>
          <t>A 57335-2024</t>
        </is>
      </c>
      <c r="B196" s="1" t="n">
        <v>45629.63302083333</v>
      </c>
      <c r="C196" s="1" t="n">
        <v>45967</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51524-2022</t>
        </is>
      </c>
      <c r="B197" s="1" t="n">
        <v>44869</v>
      </c>
      <c r="C197" s="1" t="n">
        <v>45967</v>
      </c>
      <c r="D197" t="inlineStr">
        <is>
          <t>UPPSALA LÄN</t>
        </is>
      </c>
      <c r="E197" t="inlineStr">
        <is>
          <t>ENKÖPING</t>
        </is>
      </c>
      <c r="G197" t="n">
        <v>6.6</v>
      </c>
      <c r="H197" t="n">
        <v>0</v>
      </c>
      <c r="I197" t="n">
        <v>0</v>
      </c>
      <c r="J197" t="n">
        <v>0</v>
      </c>
      <c r="K197" t="n">
        <v>0</v>
      </c>
      <c r="L197" t="n">
        <v>0</v>
      </c>
      <c r="M197" t="n">
        <v>0</v>
      </c>
      <c r="N197" t="n">
        <v>0</v>
      </c>
      <c r="O197" t="n">
        <v>0</v>
      </c>
      <c r="P197" t="n">
        <v>0</v>
      </c>
      <c r="Q197" t="n">
        <v>0</v>
      </c>
      <c r="R197" s="2" t="inlineStr"/>
    </row>
    <row r="198" ht="15" customHeight="1">
      <c r="A198" t="inlineStr">
        <is>
          <t>A 23301-2024</t>
        </is>
      </c>
      <c r="B198" s="1" t="n">
        <v>45453.4396412037</v>
      </c>
      <c r="C198" s="1" t="n">
        <v>45967</v>
      </c>
      <c r="D198" t="inlineStr">
        <is>
          <t>UPPSALA LÄN</t>
        </is>
      </c>
      <c r="E198" t="inlineStr">
        <is>
          <t>ENKÖPING</t>
        </is>
      </c>
      <c r="G198" t="n">
        <v>4.3</v>
      </c>
      <c r="H198" t="n">
        <v>0</v>
      </c>
      <c r="I198" t="n">
        <v>0</v>
      </c>
      <c r="J198" t="n">
        <v>0</v>
      </c>
      <c r="K198" t="n">
        <v>0</v>
      </c>
      <c r="L198" t="n">
        <v>0</v>
      </c>
      <c r="M198" t="n">
        <v>0</v>
      </c>
      <c r="N198" t="n">
        <v>0</v>
      </c>
      <c r="O198" t="n">
        <v>0</v>
      </c>
      <c r="P198" t="n">
        <v>0</v>
      </c>
      <c r="Q198" t="n">
        <v>0</v>
      </c>
      <c r="R198" s="2" t="inlineStr"/>
    </row>
    <row r="199" ht="15" customHeight="1">
      <c r="A199" t="inlineStr">
        <is>
          <t>A 33955-2024</t>
        </is>
      </c>
      <c r="B199" s="1" t="n">
        <v>45523.46952546296</v>
      </c>
      <c r="C199" s="1" t="n">
        <v>45967</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2833-2025</t>
        </is>
      </c>
      <c r="B200" s="1" t="n">
        <v>45677.63206018518</v>
      </c>
      <c r="C200" s="1" t="n">
        <v>45967</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6172-2023</t>
        </is>
      </c>
      <c r="B201" s="1" t="n">
        <v>44964.68663194445</v>
      </c>
      <c r="C201" s="1" t="n">
        <v>45967</v>
      </c>
      <c r="D201" t="inlineStr">
        <is>
          <t>UPPSALA LÄN</t>
        </is>
      </c>
      <c r="E201" t="inlineStr">
        <is>
          <t>ENKÖPING</t>
        </is>
      </c>
      <c r="G201" t="n">
        <v>2.6</v>
      </c>
      <c r="H201" t="n">
        <v>0</v>
      </c>
      <c r="I201" t="n">
        <v>0</v>
      </c>
      <c r="J201" t="n">
        <v>0</v>
      </c>
      <c r="K201" t="n">
        <v>0</v>
      </c>
      <c r="L201" t="n">
        <v>0</v>
      </c>
      <c r="M201" t="n">
        <v>0</v>
      </c>
      <c r="N201" t="n">
        <v>0</v>
      </c>
      <c r="O201" t="n">
        <v>0</v>
      </c>
      <c r="P201" t="n">
        <v>0</v>
      </c>
      <c r="Q201" t="n">
        <v>0</v>
      </c>
      <c r="R201" s="2" t="inlineStr"/>
    </row>
    <row r="202" ht="15" customHeight="1">
      <c r="A202" t="inlineStr">
        <is>
          <t>A 10409-2025</t>
        </is>
      </c>
      <c r="B202" s="1" t="n">
        <v>45720.631875</v>
      </c>
      <c r="C202" s="1" t="n">
        <v>45967</v>
      </c>
      <c r="D202" t="inlineStr">
        <is>
          <t>UPPSALA LÄN</t>
        </is>
      </c>
      <c r="E202" t="inlineStr">
        <is>
          <t>ENKÖPING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69344-2021</t>
        </is>
      </c>
      <c r="B203" s="1" t="n">
        <v>44531</v>
      </c>
      <c r="C203" s="1" t="n">
        <v>45967</v>
      </c>
      <c r="D203" t="inlineStr">
        <is>
          <t>UPPSALA LÄN</t>
        </is>
      </c>
      <c r="E203" t="inlineStr">
        <is>
          <t>ENKÖPING</t>
        </is>
      </c>
      <c r="G203" t="n">
        <v>2.9</v>
      </c>
      <c r="H203" t="n">
        <v>0</v>
      </c>
      <c r="I203" t="n">
        <v>0</v>
      </c>
      <c r="J203" t="n">
        <v>0</v>
      </c>
      <c r="K203" t="n">
        <v>0</v>
      </c>
      <c r="L203" t="n">
        <v>0</v>
      </c>
      <c r="M203" t="n">
        <v>0</v>
      </c>
      <c r="N203" t="n">
        <v>0</v>
      </c>
      <c r="O203" t="n">
        <v>0</v>
      </c>
      <c r="P203" t="n">
        <v>0</v>
      </c>
      <c r="Q203" t="n">
        <v>0</v>
      </c>
      <c r="R203" s="2" t="inlineStr"/>
    </row>
    <row r="204" ht="15" customHeight="1">
      <c r="A204" t="inlineStr">
        <is>
          <t>A 33619-2022</t>
        </is>
      </c>
      <c r="B204" s="1" t="n">
        <v>44789</v>
      </c>
      <c r="C204" s="1" t="n">
        <v>45967</v>
      </c>
      <c r="D204" t="inlineStr">
        <is>
          <t>UPPSALA LÄN</t>
        </is>
      </c>
      <c r="E204" t="inlineStr">
        <is>
          <t>ENKÖPING</t>
        </is>
      </c>
      <c r="F204" t="inlineStr">
        <is>
          <t>Allmännings- och besparingsskogar</t>
        </is>
      </c>
      <c r="G204" t="n">
        <v>4.5</v>
      </c>
      <c r="H204" t="n">
        <v>0</v>
      </c>
      <c r="I204" t="n">
        <v>0</v>
      </c>
      <c r="J204" t="n">
        <v>0</v>
      </c>
      <c r="K204" t="n">
        <v>0</v>
      </c>
      <c r="L204" t="n">
        <v>0</v>
      </c>
      <c r="M204" t="n">
        <v>0</v>
      </c>
      <c r="N204" t="n">
        <v>0</v>
      </c>
      <c r="O204" t="n">
        <v>0</v>
      </c>
      <c r="P204" t="n">
        <v>0</v>
      </c>
      <c r="Q204" t="n">
        <v>0</v>
      </c>
      <c r="R204" s="2" t="inlineStr"/>
    </row>
    <row r="205" ht="15" customHeight="1">
      <c r="A205" t="inlineStr">
        <is>
          <t>A 31604-2023</t>
        </is>
      </c>
      <c r="B205" s="1" t="n">
        <v>45117.50368055556</v>
      </c>
      <c r="C205" s="1" t="n">
        <v>45967</v>
      </c>
      <c r="D205" t="inlineStr">
        <is>
          <t>UPPSALA LÄN</t>
        </is>
      </c>
      <c r="E205" t="inlineStr">
        <is>
          <t>ENKÖPING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69567-2020</t>
        </is>
      </c>
      <c r="B206" s="1" t="n">
        <v>44194</v>
      </c>
      <c r="C206" s="1" t="n">
        <v>45967</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8137-2025</t>
        </is>
      </c>
      <c r="B207" s="1" t="n">
        <v>45707.8561574074</v>
      </c>
      <c r="C207" s="1" t="n">
        <v>45967</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7868-2024</t>
        </is>
      </c>
      <c r="B208" s="1" t="n">
        <v>45350.33020833333</v>
      </c>
      <c r="C208" s="1" t="n">
        <v>45967</v>
      </c>
      <c r="D208" t="inlineStr">
        <is>
          <t>UPPSALA LÄN</t>
        </is>
      </c>
      <c r="E208" t="inlineStr">
        <is>
          <t>ENKÖPING</t>
        </is>
      </c>
      <c r="G208" t="n">
        <v>0.3</v>
      </c>
      <c r="H208" t="n">
        <v>0</v>
      </c>
      <c r="I208" t="n">
        <v>0</v>
      </c>
      <c r="J208" t="n">
        <v>0</v>
      </c>
      <c r="K208" t="n">
        <v>0</v>
      </c>
      <c r="L208" t="n">
        <v>0</v>
      </c>
      <c r="M208" t="n">
        <v>0</v>
      </c>
      <c r="N208" t="n">
        <v>0</v>
      </c>
      <c r="O208" t="n">
        <v>0</v>
      </c>
      <c r="P208" t="n">
        <v>0</v>
      </c>
      <c r="Q208" t="n">
        <v>0</v>
      </c>
      <c r="R208" s="2" t="inlineStr"/>
    </row>
    <row r="209" ht="15" customHeight="1">
      <c r="A209" t="inlineStr">
        <is>
          <t>A 21686-2022</t>
        </is>
      </c>
      <c r="B209" s="1" t="n">
        <v>44707</v>
      </c>
      <c r="C209" s="1" t="n">
        <v>45967</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59602-2024</t>
        </is>
      </c>
      <c r="B210" s="1" t="n">
        <v>45638</v>
      </c>
      <c r="C210" s="1" t="n">
        <v>45967</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29479-2022</t>
        </is>
      </c>
      <c r="B211" s="1" t="n">
        <v>44753.57265046296</v>
      </c>
      <c r="C211" s="1" t="n">
        <v>45967</v>
      </c>
      <c r="D211" t="inlineStr">
        <is>
          <t>UPPSALA LÄN</t>
        </is>
      </c>
      <c r="E211" t="inlineStr">
        <is>
          <t>ENKÖPING</t>
        </is>
      </c>
      <c r="G211" t="n">
        <v>0.9</v>
      </c>
      <c r="H211" t="n">
        <v>0</v>
      </c>
      <c r="I211" t="n">
        <v>0</v>
      </c>
      <c r="J211" t="n">
        <v>0</v>
      </c>
      <c r="K211" t="n">
        <v>0</v>
      </c>
      <c r="L211" t="n">
        <v>0</v>
      </c>
      <c r="M211" t="n">
        <v>0</v>
      </c>
      <c r="N211" t="n">
        <v>0</v>
      </c>
      <c r="O211" t="n">
        <v>0</v>
      </c>
      <c r="P211" t="n">
        <v>0</v>
      </c>
      <c r="Q211" t="n">
        <v>0</v>
      </c>
      <c r="R211" s="2" t="inlineStr"/>
    </row>
    <row r="212" ht="15" customHeight="1">
      <c r="A212" t="inlineStr">
        <is>
          <t>A 14243-2025</t>
        </is>
      </c>
      <c r="B212" s="1" t="n">
        <v>45740.61288194444</v>
      </c>
      <c r="C212" s="1" t="n">
        <v>45967</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19488-2022</t>
        </is>
      </c>
      <c r="B213" s="1" t="n">
        <v>44693</v>
      </c>
      <c r="C213" s="1" t="n">
        <v>45967</v>
      </c>
      <c r="D213" t="inlineStr">
        <is>
          <t>UPPSALA LÄN</t>
        </is>
      </c>
      <c r="E213" t="inlineStr">
        <is>
          <t>ENKÖPING</t>
        </is>
      </c>
      <c r="G213" t="n">
        <v>7.8</v>
      </c>
      <c r="H213" t="n">
        <v>0</v>
      </c>
      <c r="I213" t="n">
        <v>0</v>
      </c>
      <c r="J213" t="n">
        <v>0</v>
      </c>
      <c r="K213" t="n">
        <v>0</v>
      </c>
      <c r="L213" t="n">
        <v>0</v>
      </c>
      <c r="M213" t="n">
        <v>0</v>
      </c>
      <c r="N213" t="n">
        <v>0</v>
      </c>
      <c r="O213" t="n">
        <v>0</v>
      </c>
      <c r="P213" t="n">
        <v>0</v>
      </c>
      <c r="Q213" t="n">
        <v>0</v>
      </c>
      <c r="R213" s="2" t="inlineStr"/>
    </row>
    <row r="214" ht="15" customHeight="1">
      <c r="A214" t="inlineStr">
        <is>
          <t>A 49525-2021</t>
        </is>
      </c>
      <c r="B214" s="1" t="n">
        <v>44455</v>
      </c>
      <c r="C214" s="1" t="n">
        <v>45967</v>
      </c>
      <c r="D214" t="inlineStr">
        <is>
          <t>UPPSALA LÄN</t>
        </is>
      </c>
      <c r="E214" t="inlineStr">
        <is>
          <t>ENKÖPING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6298-2021</t>
        </is>
      </c>
      <c r="B215" s="1" t="n">
        <v>44235</v>
      </c>
      <c r="C215" s="1" t="n">
        <v>45967</v>
      </c>
      <c r="D215" t="inlineStr">
        <is>
          <t>UPPSALA LÄN</t>
        </is>
      </c>
      <c r="E215" t="inlineStr">
        <is>
          <t>ENKÖPING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46940-2025</t>
        </is>
      </c>
      <c r="B216" s="1" t="n">
        <v>45929.45483796296</v>
      </c>
      <c r="C216" s="1" t="n">
        <v>45967</v>
      </c>
      <c r="D216" t="inlineStr">
        <is>
          <t>UPPSALA LÄN</t>
        </is>
      </c>
      <c r="E216" t="inlineStr">
        <is>
          <t>ENKÖPING</t>
        </is>
      </c>
      <c r="G216" t="n">
        <v>5.3</v>
      </c>
      <c r="H216" t="n">
        <v>0</v>
      </c>
      <c r="I216" t="n">
        <v>0</v>
      </c>
      <c r="J216" t="n">
        <v>0</v>
      </c>
      <c r="K216" t="n">
        <v>0</v>
      </c>
      <c r="L216" t="n">
        <v>0</v>
      </c>
      <c r="M216" t="n">
        <v>0</v>
      </c>
      <c r="N216" t="n">
        <v>0</v>
      </c>
      <c r="O216" t="n">
        <v>0</v>
      </c>
      <c r="P216" t="n">
        <v>0</v>
      </c>
      <c r="Q216" t="n">
        <v>0</v>
      </c>
      <c r="R216" s="2" t="inlineStr"/>
    </row>
    <row r="217" ht="15" customHeight="1">
      <c r="A217" t="inlineStr">
        <is>
          <t>A 47441-2025</t>
        </is>
      </c>
      <c r="B217" s="1" t="n">
        <v>45930.63986111111</v>
      </c>
      <c r="C217" s="1" t="n">
        <v>45967</v>
      </c>
      <c r="D217" t="inlineStr">
        <is>
          <t>UPPSALA LÄN</t>
        </is>
      </c>
      <c r="E217" t="inlineStr">
        <is>
          <t>ENKÖPING</t>
        </is>
      </c>
      <c r="F217" t="inlineStr">
        <is>
          <t>Allmännings- och besparingsskogar</t>
        </is>
      </c>
      <c r="G217" t="n">
        <v>11.5</v>
      </c>
      <c r="H217" t="n">
        <v>0</v>
      </c>
      <c r="I217" t="n">
        <v>0</v>
      </c>
      <c r="J217" t="n">
        <v>0</v>
      </c>
      <c r="K217" t="n">
        <v>0</v>
      </c>
      <c r="L217" t="n">
        <v>0</v>
      </c>
      <c r="M217" t="n">
        <v>0</v>
      </c>
      <c r="N217" t="n">
        <v>0</v>
      </c>
      <c r="O217" t="n">
        <v>0</v>
      </c>
      <c r="P217" t="n">
        <v>0</v>
      </c>
      <c r="Q217" t="n">
        <v>0</v>
      </c>
      <c r="R217" s="2" t="inlineStr"/>
    </row>
    <row r="218" ht="15" customHeight="1">
      <c r="A218" t="inlineStr">
        <is>
          <t>A 41826-2024</t>
        </is>
      </c>
      <c r="B218" s="1" t="n">
        <v>45561</v>
      </c>
      <c r="C218" s="1" t="n">
        <v>45967</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38941-2025</t>
        </is>
      </c>
      <c r="B219" s="1" t="n">
        <v>45887</v>
      </c>
      <c r="C219" s="1" t="n">
        <v>45967</v>
      </c>
      <c r="D219" t="inlineStr">
        <is>
          <t>UPPSALA LÄN</t>
        </is>
      </c>
      <c r="E219" t="inlineStr">
        <is>
          <t>ENKÖPING</t>
        </is>
      </c>
      <c r="F219" t="inlineStr">
        <is>
          <t>Övriga statliga verk och myndigheter</t>
        </is>
      </c>
      <c r="G219" t="n">
        <v>0.6</v>
      </c>
      <c r="H219" t="n">
        <v>0</v>
      </c>
      <c r="I219" t="n">
        <v>0</v>
      </c>
      <c r="J219" t="n">
        <v>0</v>
      </c>
      <c r="K219" t="n">
        <v>0</v>
      </c>
      <c r="L219" t="n">
        <v>0</v>
      </c>
      <c r="M219" t="n">
        <v>0</v>
      </c>
      <c r="N219" t="n">
        <v>0</v>
      </c>
      <c r="O219" t="n">
        <v>0</v>
      </c>
      <c r="P219" t="n">
        <v>0</v>
      </c>
      <c r="Q219" t="n">
        <v>0</v>
      </c>
      <c r="R219" s="2" t="inlineStr"/>
    </row>
    <row r="220" ht="15" customHeight="1">
      <c r="A220" t="inlineStr">
        <is>
          <t>A 16916-2022</t>
        </is>
      </c>
      <c r="B220" s="1" t="n">
        <v>44676</v>
      </c>
      <c r="C220" s="1" t="n">
        <v>45967</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59441-2020</t>
        </is>
      </c>
      <c r="B221" s="1" t="n">
        <v>44148</v>
      </c>
      <c r="C221" s="1" t="n">
        <v>45967</v>
      </c>
      <c r="D221" t="inlineStr">
        <is>
          <t>UPPSALA LÄN</t>
        </is>
      </c>
      <c r="E221" t="inlineStr">
        <is>
          <t>ENKÖPING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57328-2024</t>
        </is>
      </c>
      <c r="B222" s="1" t="n">
        <v>45629.62798611111</v>
      </c>
      <c r="C222" s="1" t="n">
        <v>45967</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44115-2024</t>
        </is>
      </c>
      <c r="B223" s="1" t="n">
        <v>45572</v>
      </c>
      <c r="C223" s="1" t="n">
        <v>45967</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39439-2025</t>
        </is>
      </c>
      <c r="B224" s="1" t="n">
        <v>45889</v>
      </c>
      <c r="C224" s="1" t="n">
        <v>45967</v>
      </c>
      <c r="D224" t="inlineStr">
        <is>
          <t>UPPSALA LÄN</t>
        </is>
      </c>
      <c r="E224" t="inlineStr">
        <is>
          <t>ENKÖPING</t>
        </is>
      </c>
      <c r="G224" t="n">
        <v>0.4</v>
      </c>
      <c r="H224" t="n">
        <v>0</v>
      </c>
      <c r="I224" t="n">
        <v>0</v>
      </c>
      <c r="J224" t="n">
        <v>0</v>
      </c>
      <c r="K224" t="n">
        <v>0</v>
      </c>
      <c r="L224" t="n">
        <v>0</v>
      </c>
      <c r="M224" t="n">
        <v>0</v>
      </c>
      <c r="N224" t="n">
        <v>0</v>
      </c>
      <c r="O224" t="n">
        <v>0</v>
      </c>
      <c r="P224" t="n">
        <v>0</v>
      </c>
      <c r="Q224" t="n">
        <v>0</v>
      </c>
      <c r="R224" s="2" t="inlineStr"/>
    </row>
    <row r="225" ht="15" customHeight="1">
      <c r="A225" t="inlineStr">
        <is>
          <t>A 30634-2022</t>
        </is>
      </c>
      <c r="B225" s="1" t="n">
        <v>44763.45711805556</v>
      </c>
      <c r="C225" s="1" t="n">
        <v>45967</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56837-2024</t>
        </is>
      </c>
      <c r="B226" s="1" t="n">
        <v>45628</v>
      </c>
      <c r="C226" s="1" t="n">
        <v>45967</v>
      </c>
      <c r="D226" t="inlineStr">
        <is>
          <t>UPPSALA LÄN</t>
        </is>
      </c>
      <c r="E226" t="inlineStr">
        <is>
          <t>ENKÖPING</t>
        </is>
      </c>
      <c r="G226" t="n">
        <v>2.2</v>
      </c>
      <c r="H226" t="n">
        <v>0</v>
      </c>
      <c r="I226" t="n">
        <v>0</v>
      </c>
      <c r="J226" t="n">
        <v>0</v>
      </c>
      <c r="K226" t="n">
        <v>0</v>
      </c>
      <c r="L226" t="n">
        <v>0</v>
      </c>
      <c r="M226" t="n">
        <v>0</v>
      </c>
      <c r="N226" t="n">
        <v>0</v>
      </c>
      <c r="O226" t="n">
        <v>0</v>
      </c>
      <c r="P226" t="n">
        <v>0</v>
      </c>
      <c r="Q226" t="n">
        <v>0</v>
      </c>
      <c r="R226" s="2" t="inlineStr"/>
    </row>
    <row r="227" ht="15" customHeight="1">
      <c r="A227" t="inlineStr">
        <is>
          <t>A 3300-2025</t>
        </is>
      </c>
      <c r="B227" s="1" t="n">
        <v>45679</v>
      </c>
      <c r="C227" s="1" t="n">
        <v>45967</v>
      </c>
      <c r="D227" t="inlineStr">
        <is>
          <t>UPPSALA LÄN</t>
        </is>
      </c>
      <c r="E227" t="inlineStr">
        <is>
          <t>ENKÖPING</t>
        </is>
      </c>
      <c r="G227" t="n">
        <v>8.9</v>
      </c>
      <c r="H227" t="n">
        <v>0</v>
      </c>
      <c r="I227" t="n">
        <v>0</v>
      </c>
      <c r="J227" t="n">
        <v>0</v>
      </c>
      <c r="K227" t="n">
        <v>0</v>
      </c>
      <c r="L227" t="n">
        <v>0</v>
      </c>
      <c r="M227" t="n">
        <v>0</v>
      </c>
      <c r="N227" t="n">
        <v>0</v>
      </c>
      <c r="O227" t="n">
        <v>0</v>
      </c>
      <c r="P227" t="n">
        <v>0</v>
      </c>
      <c r="Q227" t="n">
        <v>0</v>
      </c>
      <c r="R227" s="2" t="inlineStr"/>
    </row>
    <row r="228" ht="15" customHeight="1">
      <c r="A228" t="inlineStr">
        <is>
          <t>A 55876-2024</t>
        </is>
      </c>
      <c r="B228" s="1" t="n">
        <v>45623.5546412037</v>
      </c>
      <c r="C228" s="1" t="n">
        <v>45967</v>
      </c>
      <c r="D228" t="inlineStr">
        <is>
          <t>UPPSALA LÄN</t>
        </is>
      </c>
      <c r="E228" t="inlineStr">
        <is>
          <t>ENKÖPING</t>
        </is>
      </c>
      <c r="G228" t="n">
        <v>0.7</v>
      </c>
      <c r="H228" t="n">
        <v>0</v>
      </c>
      <c r="I228" t="n">
        <v>0</v>
      </c>
      <c r="J228" t="n">
        <v>0</v>
      </c>
      <c r="K228" t="n">
        <v>0</v>
      </c>
      <c r="L228" t="n">
        <v>0</v>
      </c>
      <c r="M228" t="n">
        <v>0</v>
      </c>
      <c r="N228" t="n">
        <v>0</v>
      </c>
      <c r="O228" t="n">
        <v>0</v>
      </c>
      <c r="P228" t="n">
        <v>0</v>
      </c>
      <c r="Q228" t="n">
        <v>0</v>
      </c>
      <c r="R228" s="2" t="inlineStr"/>
    </row>
    <row r="229" ht="15" customHeight="1">
      <c r="A229" t="inlineStr">
        <is>
          <t>A 51008-2024</t>
        </is>
      </c>
      <c r="B229" s="1" t="n">
        <v>45603.39041666667</v>
      </c>
      <c r="C229" s="1" t="n">
        <v>45967</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35052-2024</t>
        </is>
      </c>
      <c r="B230" s="1" t="n">
        <v>45527.6516087963</v>
      </c>
      <c r="C230" s="1" t="n">
        <v>45967</v>
      </c>
      <c r="D230" t="inlineStr">
        <is>
          <t>UPPSALA LÄN</t>
        </is>
      </c>
      <c r="E230" t="inlineStr">
        <is>
          <t>ENKÖPING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25334-2023</t>
        </is>
      </c>
      <c r="B231" s="1" t="n">
        <v>45083</v>
      </c>
      <c r="C231" s="1" t="n">
        <v>45967</v>
      </c>
      <c r="D231" t="inlineStr">
        <is>
          <t>UPPSALA LÄN</t>
        </is>
      </c>
      <c r="E231" t="inlineStr">
        <is>
          <t>ENKÖPING</t>
        </is>
      </c>
      <c r="G231" t="n">
        <v>0.2</v>
      </c>
      <c r="H231" t="n">
        <v>0</v>
      </c>
      <c r="I231" t="n">
        <v>0</v>
      </c>
      <c r="J231" t="n">
        <v>0</v>
      </c>
      <c r="K231" t="n">
        <v>0</v>
      </c>
      <c r="L231" t="n">
        <v>0</v>
      </c>
      <c r="M231" t="n">
        <v>0</v>
      </c>
      <c r="N231" t="n">
        <v>0</v>
      </c>
      <c r="O231" t="n">
        <v>0</v>
      </c>
      <c r="P231" t="n">
        <v>0</v>
      </c>
      <c r="Q231" t="n">
        <v>0</v>
      </c>
      <c r="R231" s="2" t="inlineStr"/>
    </row>
    <row r="232" ht="15" customHeight="1">
      <c r="A232" t="inlineStr">
        <is>
          <t>A 51120-2023</t>
        </is>
      </c>
      <c r="B232" s="1" t="n">
        <v>45219.3088425926</v>
      </c>
      <c r="C232" s="1" t="n">
        <v>45967</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33349-2024</t>
        </is>
      </c>
      <c r="B233" s="1" t="n">
        <v>45519</v>
      </c>
      <c r="C233" s="1" t="n">
        <v>45967</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26319-2022</t>
        </is>
      </c>
      <c r="B234" s="1" t="n">
        <v>44735</v>
      </c>
      <c r="C234" s="1" t="n">
        <v>45967</v>
      </c>
      <c r="D234" t="inlineStr">
        <is>
          <t>UPPSALA LÄN</t>
        </is>
      </c>
      <c r="E234" t="inlineStr">
        <is>
          <t>ENKÖPING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54357-2023</t>
        </is>
      </c>
      <c r="B235" s="1" t="n">
        <v>45225</v>
      </c>
      <c r="C235" s="1" t="n">
        <v>45967</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4203-2021</t>
        </is>
      </c>
      <c r="B236" s="1" t="n">
        <v>44223</v>
      </c>
      <c r="C236" s="1" t="n">
        <v>45967</v>
      </c>
      <c r="D236" t="inlineStr">
        <is>
          <t>UPPSALA LÄN</t>
        </is>
      </c>
      <c r="E236" t="inlineStr">
        <is>
          <t>ENKÖPING</t>
        </is>
      </c>
      <c r="G236" t="n">
        <v>11.6</v>
      </c>
      <c r="H236" t="n">
        <v>0</v>
      </c>
      <c r="I236" t="n">
        <v>0</v>
      </c>
      <c r="J236" t="n">
        <v>0</v>
      </c>
      <c r="K236" t="n">
        <v>0</v>
      </c>
      <c r="L236" t="n">
        <v>0</v>
      </c>
      <c r="M236" t="n">
        <v>0</v>
      </c>
      <c r="N236" t="n">
        <v>0</v>
      </c>
      <c r="O236" t="n">
        <v>0</v>
      </c>
      <c r="P236" t="n">
        <v>0</v>
      </c>
      <c r="Q236" t="n">
        <v>0</v>
      </c>
      <c r="R236" s="2" t="inlineStr"/>
    </row>
    <row r="237" ht="15" customHeight="1">
      <c r="A237" t="inlineStr">
        <is>
          <t>A 13816-2021</t>
        </is>
      </c>
      <c r="B237" s="1" t="n">
        <v>44276</v>
      </c>
      <c r="C237" s="1" t="n">
        <v>45967</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48424-2025</t>
        </is>
      </c>
      <c r="B238" s="1" t="n">
        <v>45934.69131944444</v>
      </c>
      <c r="C238" s="1" t="n">
        <v>45967</v>
      </c>
      <c r="D238" t="inlineStr">
        <is>
          <t>UPPSALA LÄN</t>
        </is>
      </c>
      <c r="E238" t="inlineStr">
        <is>
          <t>ENKÖPING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63402-2023</t>
        </is>
      </c>
      <c r="B239" s="1" t="n">
        <v>45274.50646990741</v>
      </c>
      <c r="C239" s="1" t="n">
        <v>45967</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53587-2024</t>
        </is>
      </c>
      <c r="B240" s="1" t="n">
        <v>45614.66953703704</v>
      </c>
      <c r="C240" s="1" t="n">
        <v>45967</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39746-2025</t>
        </is>
      </c>
      <c r="B241" s="1" t="n">
        <v>45891</v>
      </c>
      <c r="C241" s="1" t="n">
        <v>45967</v>
      </c>
      <c r="D241" t="inlineStr">
        <is>
          <t>UPPSALA LÄN</t>
        </is>
      </c>
      <c r="E241" t="inlineStr">
        <is>
          <t>ENKÖPING</t>
        </is>
      </c>
      <c r="G241" t="n">
        <v>7.4</v>
      </c>
      <c r="H241" t="n">
        <v>0</v>
      </c>
      <c r="I241" t="n">
        <v>0</v>
      </c>
      <c r="J241" t="n">
        <v>0</v>
      </c>
      <c r="K241" t="n">
        <v>0</v>
      </c>
      <c r="L241" t="n">
        <v>0</v>
      </c>
      <c r="M241" t="n">
        <v>0</v>
      </c>
      <c r="N241" t="n">
        <v>0</v>
      </c>
      <c r="O241" t="n">
        <v>0</v>
      </c>
      <c r="P241" t="n">
        <v>0</v>
      </c>
      <c r="Q241" t="n">
        <v>0</v>
      </c>
      <c r="R241" s="2" t="inlineStr"/>
    </row>
    <row r="242" ht="15" customHeight="1">
      <c r="A242" t="inlineStr">
        <is>
          <t>A 48423-2025</t>
        </is>
      </c>
      <c r="B242" s="1" t="n">
        <v>45934.68024305555</v>
      </c>
      <c r="C242" s="1" t="n">
        <v>45967</v>
      </c>
      <c r="D242" t="inlineStr">
        <is>
          <t>UPPSALA LÄN</t>
        </is>
      </c>
      <c r="E242" t="inlineStr">
        <is>
          <t>ENKÖPING</t>
        </is>
      </c>
      <c r="G242" t="n">
        <v>4.3</v>
      </c>
      <c r="H242" t="n">
        <v>0</v>
      </c>
      <c r="I242" t="n">
        <v>0</v>
      </c>
      <c r="J242" t="n">
        <v>0</v>
      </c>
      <c r="K242" t="n">
        <v>0</v>
      </c>
      <c r="L242" t="n">
        <v>0</v>
      </c>
      <c r="M242" t="n">
        <v>0</v>
      </c>
      <c r="N242" t="n">
        <v>0</v>
      </c>
      <c r="O242" t="n">
        <v>0</v>
      </c>
      <c r="P242" t="n">
        <v>0</v>
      </c>
      <c r="Q242" t="n">
        <v>0</v>
      </c>
      <c r="R242" s="2" t="inlineStr"/>
    </row>
    <row r="243" ht="15" customHeight="1">
      <c r="A243" t="inlineStr">
        <is>
          <t>A 53208-2023</t>
        </is>
      </c>
      <c r="B243" s="1" t="n">
        <v>45226</v>
      </c>
      <c r="C243" s="1" t="n">
        <v>45967</v>
      </c>
      <c r="D243" t="inlineStr">
        <is>
          <t>UPPSALA LÄN</t>
        </is>
      </c>
      <c r="E243" t="inlineStr">
        <is>
          <t>ENKÖPING</t>
        </is>
      </c>
      <c r="G243" t="n">
        <v>4.3</v>
      </c>
      <c r="H243" t="n">
        <v>0</v>
      </c>
      <c r="I243" t="n">
        <v>0</v>
      </c>
      <c r="J243" t="n">
        <v>0</v>
      </c>
      <c r="K243" t="n">
        <v>0</v>
      </c>
      <c r="L243" t="n">
        <v>0</v>
      </c>
      <c r="M243" t="n">
        <v>0</v>
      </c>
      <c r="N243" t="n">
        <v>0</v>
      </c>
      <c r="O243" t="n">
        <v>0</v>
      </c>
      <c r="P243" t="n">
        <v>0</v>
      </c>
      <c r="Q243" t="n">
        <v>0</v>
      </c>
      <c r="R243" s="2" t="inlineStr"/>
    </row>
    <row r="244" ht="15" customHeight="1">
      <c r="A244" t="inlineStr">
        <is>
          <t>A 48678-2025</t>
        </is>
      </c>
      <c r="B244" s="1" t="n">
        <v>45936.59168981481</v>
      </c>
      <c r="C244" s="1" t="n">
        <v>45967</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18583-2021</t>
        </is>
      </c>
      <c r="B245" s="1" t="n">
        <v>44306</v>
      </c>
      <c r="C245" s="1" t="n">
        <v>45967</v>
      </c>
      <c r="D245" t="inlineStr">
        <is>
          <t>UPPSALA LÄN</t>
        </is>
      </c>
      <c r="E245" t="inlineStr">
        <is>
          <t>ENKÖPING</t>
        </is>
      </c>
      <c r="G245" t="n">
        <v>0.4</v>
      </c>
      <c r="H245" t="n">
        <v>0</v>
      </c>
      <c r="I245" t="n">
        <v>0</v>
      </c>
      <c r="J245" t="n">
        <v>0</v>
      </c>
      <c r="K245" t="n">
        <v>0</v>
      </c>
      <c r="L245" t="n">
        <v>0</v>
      </c>
      <c r="M245" t="n">
        <v>0</v>
      </c>
      <c r="N245" t="n">
        <v>0</v>
      </c>
      <c r="O245" t="n">
        <v>0</v>
      </c>
      <c r="P245" t="n">
        <v>0</v>
      </c>
      <c r="Q245" t="n">
        <v>0</v>
      </c>
      <c r="R245" s="2" t="inlineStr"/>
    </row>
    <row r="246" ht="15" customHeight="1">
      <c r="A246" t="inlineStr">
        <is>
          <t>A 49068-2025</t>
        </is>
      </c>
      <c r="B246" s="1" t="n">
        <v>45937.64766203704</v>
      </c>
      <c r="C246" s="1" t="n">
        <v>45967</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60125-2024</t>
        </is>
      </c>
      <c r="B247" s="1" t="n">
        <v>45642</v>
      </c>
      <c r="C247" s="1" t="n">
        <v>45967</v>
      </c>
      <c r="D247" t="inlineStr">
        <is>
          <t>UPPSALA LÄN</t>
        </is>
      </c>
      <c r="E247" t="inlineStr">
        <is>
          <t>ENKÖPING</t>
        </is>
      </c>
      <c r="G247" t="n">
        <v>2.1</v>
      </c>
      <c r="H247" t="n">
        <v>0</v>
      </c>
      <c r="I247" t="n">
        <v>0</v>
      </c>
      <c r="J247" t="n">
        <v>0</v>
      </c>
      <c r="K247" t="n">
        <v>0</v>
      </c>
      <c r="L247" t="n">
        <v>0</v>
      </c>
      <c r="M247" t="n">
        <v>0</v>
      </c>
      <c r="N247" t="n">
        <v>0</v>
      </c>
      <c r="O247" t="n">
        <v>0</v>
      </c>
      <c r="P247" t="n">
        <v>0</v>
      </c>
      <c r="Q247" t="n">
        <v>0</v>
      </c>
      <c r="R247" s="2" t="inlineStr"/>
    </row>
    <row r="248" ht="15" customHeight="1">
      <c r="A248" t="inlineStr">
        <is>
          <t>A 1695-2025</t>
        </is>
      </c>
      <c r="B248" s="1" t="n">
        <v>45670</v>
      </c>
      <c r="C248" s="1" t="n">
        <v>45967</v>
      </c>
      <c r="D248" t="inlineStr">
        <is>
          <t>UPPSALA LÄN</t>
        </is>
      </c>
      <c r="E248" t="inlineStr">
        <is>
          <t>ENKÖPING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59027-2024</t>
        </is>
      </c>
      <c r="B249" s="1" t="n">
        <v>45636.68755787037</v>
      </c>
      <c r="C249" s="1" t="n">
        <v>45967</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49073-2025</t>
        </is>
      </c>
      <c r="B250" s="1" t="n">
        <v>45937.65512731481</v>
      </c>
      <c r="C250" s="1" t="n">
        <v>45967</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42564-2024</t>
        </is>
      </c>
      <c r="B251" s="1" t="n">
        <v>45565.63358796296</v>
      </c>
      <c r="C251" s="1" t="n">
        <v>45967</v>
      </c>
      <c r="D251" t="inlineStr">
        <is>
          <t>UPPSALA LÄN</t>
        </is>
      </c>
      <c r="E251" t="inlineStr">
        <is>
          <t>ENKÖPING</t>
        </is>
      </c>
      <c r="G251" t="n">
        <v>1.7</v>
      </c>
      <c r="H251" t="n">
        <v>0</v>
      </c>
      <c r="I251" t="n">
        <v>0</v>
      </c>
      <c r="J251" t="n">
        <v>0</v>
      </c>
      <c r="K251" t="n">
        <v>0</v>
      </c>
      <c r="L251" t="n">
        <v>0</v>
      </c>
      <c r="M251" t="n">
        <v>0</v>
      </c>
      <c r="N251" t="n">
        <v>0</v>
      </c>
      <c r="O251" t="n">
        <v>0</v>
      </c>
      <c r="P251" t="n">
        <v>0</v>
      </c>
      <c r="Q251" t="n">
        <v>0</v>
      </c>
      <c r="R251" s="2" t="inlineStr"/>
    </row>
    <row r="252" ht="15" customHeight="1">
      <c r="A252" t="inlineStr">
        <is>
          <t>A 18259-2025</t>
        </is>
      </c>
      <c r="B252" s="1" t="n">
        <v>45762</v>
      </c>
      <c r="C252" s="1" t="n">
        <v>45967</v>
      </c>
      <c r="D252" t="inlineStr">
        <is>
          <t>UPPSALA LÄN</t>
        </is>
      </c>
      <c r="E252" t="inlineStr">
        <is>
          <t>ENKÖPING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3235-2025</t>
        </is>
      </c>
      <c r="B253" s="1" t="n">
        <v>45679</v>
      </c>
      <c r="C253" s="1" t="n">
        <v>45967</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62158-2023</t>
        </is>
      </c>
      <c r="B254" s="1" t="n">
        <v>45267</v>
      </c>
      <c r="C254" s="1" t="n">
        <v>45967</v>
      </c>
      <c r="D254" t="inlineStr">
        <is>
          <t>UPPSALA LÄN</t>
        </is>
      </c>
      <c r="E254" t="inlineStr">
        <is>
          <t>ENKÖPING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15711-2025</t>
        </is>
      </c>
      <c r="B255" s="1" t="n">
        <v>45748</v>
      </c>
      <c r="C255" s="1" t="n">
        <v>45967</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60874-2023</t>
        </is>
      </c>
      <c r="B256" s="1" t="n">
        <v>45261.06280092592</v>
      </c>
      <c r="C256" s="1" t="n">
        <v>45967</v>
      </c>
      <c r="D256" t="inlineStr">
        <is>
          <t>UPPSALA LÄN</t>
        </is>
      </c>
      <c r="E256" t="inlineStr">
        <is>
          <t>ENKÖPING</t>
        </is>
      </c>
      <c r="G256" t="n">
        <v>1.5</v>
      </c>
      <c r="H256" t="n">
        <v>0</v>
      </c>
      <c r="I256" t="n">
        <v>0</v>
      </c>
      <c r="J256" t="n">
        <v>0</v>
      </c>
      <c r="K256" t="n">
        <v>0</v>
      </c>
      <c r="L256" t="n">
        <v>0</v>
      </c>
      <c r="M256" t="n">
        <v>0</v>
      </c>
      <c r="N256" t="n">
        <v>0</v>
      </c>
      <c r="O256" t="n">
        <v>0</v>
      </c>
      <c r="P256" t="n">
        <v>0</v>
      </c>
      <c r="Q256" t="n">
        <v>0</v>
      </c>
      <c r="R256" s="2" t="inlineStr"/>
    </row>
    <row r="257" ht="15" customHeight="1">
      <c r="A257" t="inlineStr">
        <is>
          <t>A 6959-2025</t>
        </is>
      </c>
      <c r="B257" s="1" t="n">
        <v>45701.49315972222</v>
      </c>
      <c r="C257" s="1" t="n">
        <v>45967</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45967</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17165-2025</t>
        </is>
      </c>
      <c r="B259" s="1" t="n">
        <v>45756</v>
      </c>
      <c r="C259" s="1" t="n">
        <v>45967</v>
      </c>
      <c r="D259" t="inlineStr">
        <is>
          <t>UPPSALA LÄN</t>
        </is>
      </c>
      <c r="E259" t="inlineStr">
        <is>
          <t>ENKÖPING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14518-2025</t>
        </is>
      </c>
      <c r="B260" s="1" t="n">
        <v>45741</v>
      </c>
      <c r="C260" s="1" t="n">
        <v>45967</v>
      </c>
      <c r="D260" t="inlineStr">
        <is>
          <t>UPPSALA LÄN</t>
        </is>
      </c>
      <c r="E260" t="inlineStr">
        <is>
          <t>ENKÖPING</t>
        </is>
      </c>
      <c r="G260" t="n">
        <v>2</v>
      </c>
      <c r="H260" t="n">
        <v>0</v>
      </c>
      <c r="I260" t="n">
        <v>0</v>
      </c>
      <c r="J260" t="n">
        <v>0</v>
      </c>
      <c r="K260" t="n">
        <v>0</v>
      </c>
      <c r="L260" t="n">
        <v>0</v>
      </c>
      <c r="M260" t="n">
        <v>0</v>
      </c>
      <c r="N260" t="n">
        <v>0</v>
      </c>
      <c r="O260" t="n">
        <v>0</v>
      </c>
      <c r="P260" t="n">
        <v>0</v>
      </c>
      <c r="Q260" t="n">
        <v>0</v>
      </c>
      <c r="R260" s="2" t="inlineStr"/>
    </row>
    <row r="261" ht="15" customHeight="1">
      <c r="A261" t="inlineStr">
        <is>
          <t>A 3550-2023</t>
        </is>
      </c>
      <c r="B261" s="1" t="n">
        <v>44950</v>
      </c>
      <c r="C261" s="1" t="n">
        <v>45967</v>
      </c>
      <c r="D261" t="inlineStr">
        <is>
          <t>UPPSALA LÄN</t>
        </is>
      </c>
      <c r="E261" t="inlineStr">
        <is>
          <t>ENKÖPING</t>
        </is>
      </c>
      <c r="G261" t="n">
        <v>0.9</v>
      </c>
      <c r="H261" t="n">
        <v>0</v>
      </c>
      <c r="I261" t="n">
        <v>0</v>
      </c>
      <c r="J261" t="n">
        <v>0</v>
      </c>
      <c r="K261" t="n">
        <v>0</v>
      </c>
      <c r="L261" t="n">
        <v>0</v>
      </c>
      <c r="M261" t="n">
        <v>0</v>
      </c>
      <c r="N261" t="n">
        <v>0</v>
      </c>
      <c r="O261" t="n">
        <v>0</v>
      </c>
      <c r="P261" t="n">
        <v>0</v>
      </c>
      <c r="Q261" t="n">
        <v>0</v>
      </c>
      <c r="R261" s="2" t="inlineStr"/>
    </row>
    <row r="262" ht="15" customHeight="1">
      <c r="A262" t="inlineStr">
        <is>
          <t>A 54776-2024</t>
        </is>
      </c>
      <c r="B262" s="1" t="n">
        <v>45618</v>
      </c>
      <c r="C262" s="1" t="n">
        <v>45967</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22150-2025</t>
        </is>
      </c>
      <c r="B263" s="1" t="n">
        <v>45785.56398148148</v>
      </c>
      <c r="C263" s="1" t="n">
        <v>45967</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52299-2023</t>
        </is>
      </c>
      <c r="B264" s="1" t="n">
        <v>45224.61636574074</v>
      </c>
      <c r="C264" s="1" t="n">
        <v>45967</v>
      </c>
      <c r="D264" t="inlineStr">
        <is>
          <t>UPPSALA LÄN</t>
        </is>
      </c>
      <c r="E264" t="inlineStr">
        <is>
          <t>ENKÖPING</t>
        </is>
      </c>
      <c r="G264" t="n">
        <v>2.2</v>
      </c>
      <c r="H264" t="n">
        <v>0</v>
      </c>
      <c r="I264" t="n">
        <v>0</v>
      </c>
      <c r="J264" t="n">
        <v>0</v>
      </c>
      <c r="K264" t="n">
        <v>0</v>
      </c>
      <c r="L264" t="n">
        <v>0</v>
      </c>
      <c r="M264" t="n">
        <v>0</v>
      </c>
      <c r="N264" t="n">
        <v>0</v>
      </c>
      <c r="O264" t="n">
        <v>0</v>
      </c>
      <c r="P264" t="n">
        <v>0</v>
      </c>
      <c r="Q264" t="n">
        <v>0</v>
      </c>
      <c r="R264" s="2" t="inlineStr"/>
    </row>
    <row r="265" ht="15" customHeight="1">
      <c r="A265" t="inlineStr">
        <is>
          <t>A 25598-2021</t>
        </is>
      </c>
      <c r="B265" s="1" t="n">
        <v>44343.4558912037</v>
      </c>
      <c r="C265" s="1" t="n">
        <v>45967</v>
      </c>
      <c r="D265" t="inlineStr">
        <is>
          <t>UPPSALA LÄN</t>
        </is>
      </c>
      <c r="E265" t="inlineStr">
        <is>
          <t>ENKÖPING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26292-2022</t>
        </is>
      </c>
      <c r="B266" s="1" t="n">
        <v>44735</v>
      </c>
      <c r="C266" s="1" t="n">
        <v>45967</v>
      </c>
      <c r="D266" t="inlineStr">
        <is>
          <t>UPPSALA LÄN</t>
        </is>
      </c>
      <c r="E266" t="inlineStr">
        <is>
          <t>ENKÖPING</t>
        </is>
      </c>
      <c r="F266" t="inlineStr">
        <is>
          <t>Kyrkan</t>
        </is>
      </c>
      <c r="G266" t="n">
        <v>4.6</v>
      </c>
      <c r="H266" t="n">
        <v>0</v>
      </c>
      <c r="I266" t="n">
        <v>0</v>
      </c>
      <c r="J266" t="n">
        <v>0</v>
      </c>
      <c r="K266" t="n">
        <v>0</v>
      </c>
      <c r="L266" t="n">
        <v>0</v>
      </c>
      <c r="M266" t="n">
        <v>0</v>
      </c>
      <c r="N266" t="n">
        <v>0</v>
      </c>
      <c r="O266" t="n">
        <v>0</v>
      </c>
      <c r="P266" t="n">
        <v>0</v>
      </c>
      <c r="Q266" t="n">
        <v>0</v>
      </c>
      <c r="R266" s="2" t="inlineStr"/>
    </row>
    <row r="267" ht="15" customHeight="1">
      <c r="A267" t="inlineStr">
        <is>
          <t>A 32081-2024</t>
        </is>
      </c>
      <c r="B267" s="1" t="n">
        <v>45511.34605324074</v>
      </c>
      <c r="C267" s="1" t="n">
        <v>45967</v>
      </c>
      <c r="D267" t="inlineStr">
        <is>
          <t>UPPSALA LÄN</t>
        </is>
      </c>
      <c r="E267" t="inlineStr">
        <is>
          <t>ENKÖPING</t>
        </is>
      </c>
      <c r="G267" t="n">
        <v>5.4</v>
      </c>
      <c r="H267" t="n">
        <v>0</v>
      </c>
      <c r="I267" t="n">
        <v>0</v>
      </c>
      <c r="J267" t="n">
        <v>0</v>
      </c>
      <c r="K267" t="n">
        <v>0</v>
      </c>
      <c r="L267" t="n">
        <v>0</v>
      </c>
      <c r="M267" t="n">
        <v>0</v>
      </c>
      <c r="N267" t="n">
        <v>0</v>
      </c>
      <c r="O267" t="n">
        <v>0</v>
      </c>
      <c r="P267" t="n">
        <v>0</v>
      </c>
      <c r="Q267" t="n">
        <v>0</v>
      </c>
      <c r="R267" s="2" t="inlineStr"/>
    </row>
    <row r="268" ht="15" customHeight="1">
      <c r="A268" t="inlineStr">
        <is>
          <t>A 22156-2025</t>
        </is>
      </c>
      <c r="B268" s="1" t="n">
        <v>45785.57512731481</v>
      </c>
      <c r="C268" s="1" t="n">
        <v>45967</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41618-2025</t>
        </is>
      </c>
      <c r="B269" s="1" t="n">
        <v>45901.70085648148</v>
      </c>
      <c r="C269" s="1" t="n">
        <v>45967</v>
      </c>
      <c r="D269" t="inlineStr">
        <is>
          <t>UPPSALA LÄN</t>
        </is>
      </c>
      <c r="E269" t="inlineStr">
        <is>
          <t>ENKÖPING</t>
        </is>
      </c>
      <c r="F269" t="inlineStr">
        <is>
          <t>Allmännings- och besparingsskogar</t>
        </is>
      </c>
      <c r="G269" t="n">
        <v>5.3</v>
      </c>
      <c r="H269" t="n">
        <v>0</v>
      </c>
      <c r="I269" t="n">
        <v>0</v>
      </c>
      <c r="J269" t="n">
        <v>0</v>
      </c>
      <c r="K269" t="n">
        <v>0</v>
      </c>
      <c r="L269" t="n">
        <v>0</v>
      </c>
      <c r="M269" t="n">
        <v>0</v>
      </c>
      <c r="N269" t="n">
        <v>0</v>
      </c>
      <c r="O269" t="n">
        <v>0</v>
      </c>
      <c r="P269" t="n">
        <v>0</v>
      </c>
      <c r="Q269" t="n">
        <v>0</v>
      </c>
      <c r="R269" s="2" t="inlineStr"/>
    </row>
    <row r="270" ht="15" customHeight="1">
      <c r="A270" t="inlineStr">
        <is>
          <t>A 61207-2023</t>
        </is>
      </c>
      <c r="B270" s="1" t="n">
        <v>45264.39444444444</v>
      </c>
      <c r="C270" s="1" t="n">
        <v>45967</v>
      </c>
      <c r="D270" t="inlineStr">
        <is>
          <t>UPPSALA LÄN</t>
        </is>
      </c>
      <c r="E270" t="inlineStr">
        <is>
          <t>ENKÖPING</t>
        </is>
      </c>
      <c r="G270" t="n">
        <v>10.8</v>
      </c>
      <c r="H270" t="n">
        <v>0</v>
      </c>
      <c r="I270" t="n">
        <v>0</v>
      </c>
      <c r="J270" t="n">
        <v>0</v>
      </c>
      <c r="K270" t="n">
        <v>0</v>
      </c>
      <c r="L270" t="n">
        <v>0</v>
      </c>
      <c r="M270" t="n">
        <v>0</v>
      </c>
      <c r="N270" t="n">
        <v>0</v>
      </c>
      <c r="O270" t="n">
        <v>0</v>
      </c>
      <c r="P270" t="n">
        <v>0</v>
      </c>
      <c r="Q270" t="n">
        <v>0</v>
      </c>
      <c r="R270" s="2" t="inlineStr"/>
    </row>
    <row r="271" ht="15" customHeight="1">
      <c r="A271" t="inlineStr">
        <is>
          <t>A 20184-2023</t>
        </is>
      </c>
      <c r="B271" s="1" t="n">
        <v>45055.5670949074</v>
      </c>
      <c r="C271" s="1" t="n">
        <v>45967</v>
      </c>
      <c r="D271" t="inlineStr">
        <is>
          <t>UPPSALA LÄN</t>
        </is>
      </c>
      <c r="E271" t="inlineStr">
        <is>
          <t>ENKÖPING</t>
        </is>
      </c>
      <c r="G271" t="n">
        <v>3.2</v>
      </c>
      <c r="H271" t="n">
        <v>0</v>
      </c>
      <c r="I271" t="n">
        <v>0</v>
      </c>
      <c r="J271" t="n">
        <v>0</v>
      </c>
      <c r="K271" t="n">
        <v>0</v>
      </c>
      <c r="L271" t="n">
        <v>0</v>
      </c>
      <c r="M271" t="n">
        <v>0</v>
      </c>
      <c r="N271" t="n">
        <v>0</v>
      </c>
      <c r="O271" t="n">
        <v>0</v>
      </c>
      <c r="P271" t="n">
        <v>0</v>
      </c>
      <c r="Q271" t="n">
        <v>0</v>
      </c>
      <c r="R271" s="2" t="inlineStr"/>
    </row>
    <row r="272" ht="15" customHeight="1">
      <c r="A272" t="inlineStr">
        <is>
          <t>A 30087-2024</t>
        </is>
      </c>
      <c r="B272" s="1" t="n">
        <v>45489.39447916667</v>
      </c>
      <c r="C272" s="1" t="n">
        <v>45967</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41765-2025</t>
        </is>
      </c>
      <c r="B273" s="1" t="n">
        <v>45902</v>
      </c>
      <c r="C273" s="1" t="n">
        <v>45967</v>
      </c>
      <c r="D273" t="inlineStr">
        <is>
          <t>UPPSALA LÄN</t>
        </is>
      </c>
      <c r="E273" t="inlineStr">
        <is>
          <t>ENKÖPING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61952-2021</t>
        </is>
      </c>
      <c r="B274" s="1" t="n">
        <v>44502</v>
      </c>
      <c r="C274" s="1" t="n">
        <v>45967</v>
      </c>
      <c r="D274" t="inlineStr">
        <is>
          <t>UPPSALA LÄN</t>
        </is>
      </c>
      <c r="E274" t="inlineStr">
        <is>
          <t>ENKÖPING</t>
        </is>
      </c>
      <c r="G274" t="n">
        <v>2.3</v>
      </c>
      <c r="H274" t="n">
        <v>0</v>
      </c>
      <c r="I274" t="n">
        <v>0</v>
      </c>
      <c r="J274" t="n">
        <v>0</v>
      </c>
      <c r="K274" t="n">
        <v>0</v>
      </c>
      <c r="L274" t="n">
        <v>0</v>
      </c>
      <c r="M274" t="n">
        <v>0</v>
      </c>
      <c r="N274" t="n">
        <v>0</v>
      </c>
      <c r="O274" t="n">
        <v>0</v>
      </c>
      <c r="P274" t="n">
        <v>0</v>
      </c>
      <c r="Q274" t="n">
        <v>0</v>
      </c>
      <c r="R274" s="2" t="inlineStr"/>
    </row>
    <row r="275" ht="15" customHeight="1">
      <c r="A275" t="inlineStr">
        <is>
          <t>A 41616-2025</t>
        </is>
      </c>
      <c r="B275" s="1" t="n">
        <v>45901.69684027778</v>
      </c>
      <c r="C275" s="1" t="n">
        <v>45967</v>
      </c>
      <c r="D275" t="inlineStr">
        <is>
          <t>UPPSALA LÄN</t>
        </is>
      </c>
      <c r="E275" t="inlineStr">
        <is>
          <t>ENKÖPING</t>
        </is>
      </c>
      <c r="F275" t="inlineStr">
        <is>
          <t>Allmännings- och besparingsskogar</t>
        </is>
      </c>
      <c r="G275" t="n">
        <v>17.3</v>
      </c>
      <c r="H275" t="n">
        <v>0</v>
      </c>
      <c r="I275" t="n">
        <v>0</v>
      </c>
      <c r="J275" t="n">
        <v>0</v>
      </c>
      <c r="K275" t="n">
        <v>0</v>
      </c>
      <c r="L275" t="n">
        <v>0</v>
      </c>
      <c r="M275" t="n">
        <v>0</v>
      </c>
      <c r="N275" t="n">
        <v>0</v>
      </c>
      <c r="O275" t="n">
        <v>0</v>
      </c>
      <c r="P275" t="n">
        <v>0</v>
      </c>
      <c r="Q275" t="n">
        <v>0</v>
      </c>
      <c r="R275" s="2" t="inlineStr"/>
    </row>
    <row r="276" ht="15" customHeight="1">
      <c r="A276" t="inlineStr">
        <is>
          <t>A 22677-2025</t>
        </is>
      </c>
      <c r="B276" s="1" t="n">
        <v>45789.49515046296</v>
      </c>
      <c r="C276" s="1" t="n">
        <v>45967</v>
      </c>
      <c r="D276" t="inlineStr">
        <is>
          <t>UPPSALA LÄN</t>
        </is>
      </c>
      <c r="E276" t="inlineStr">
        <is>
          <t>ENKÖPING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22679-2025</t>
        </is>
      </c>
      <c r="B277" s="1" t="n">
        <v>45789.49747685185</v>
      </c>
      <c r="C277" s="1" t="n">
        <v>45967</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22729-2025</t>
        </is>
      </c>
      <c r="B278" s="1" t="n">
        <v>45789.57790509259</v>
      </c>
      <c r="C278" s="1" t="n">
        <v>45967</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22786-2025</t>
        </is>
      </c>
      <c r="B279" s="1" t="n">
        <v>45789.64643518518</v>
      </c>
      <c r="C279" s="1" t="n">
        <v>45967</v>
      </c>
      <c r="D279" t="inlineStr">
        <is>
          <t>UPPSALA LÄN</t>
        </is>
      </c>
      <c r="E279" t="inlineStr">
        <is>
          <t>ENKÖPING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22795-2025</t>
        </is>
      </c>
      <c r="B280" s="1" t="n">
        <v>45789.65944444444</v>
      </c>
      <c r="C280" s="1" t="n">
        <v>45967</v>
      </c>
      <c r="D280" t="inlineStr">
        <is>
          <t>UPPSALA LÄN</t>
        </is>
      </c>
      <c r="E280" t="inlineStr">
        <is>
          <t>ENKÖPING</t>
        </is>
      </c>
      <c r="G280" t="n">
        <v>10.4</v>
      </c>
      <c r="H280" t="n">
        <v>0</v>
      </c>
      <c r="I280" t="n">
        <v>0</v>
      </c>
      <c r="J280" t="n">
        <v>0</v>
      </c>
      <c r="K280" t="n">
        <v>0</v>
      </c>
      <c r="L280" t="n">
        <v>0</v>
      </c>
      <c r="M280" t="n">
        <v>0</v>
      </c>
      <c r="N280" t="n">
        <v>0</v>
      </c>
      <c r="O280" t="n">
        <v>0</v>
      </c>
      <c r="P280" t="n">
        <v>0</v>
      </c>
      <c r="Q280" t="n">
        <v>0</v>
      </c>
      <c r="R280" s="2" t="inlineStr"/>
    </row>
    <row r="281" ht="15" customHeight="1">
      <c r="A281" t="inlineStr">
        <is>
          <t>A 22802-2025</t>
        </is>
      </c>
      <c r="B281" s="1" t="n">
        <v>45789.6686574074</v>
      </c>
      <c r="C281" s="1" t="n">
        <v>45967</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41637-2025</t>
        </is>
      </c>
      <c r="B282" s="1" t="n">
        <v>45901</v>
      </c>
      <c r="C282" s="1" t="n">
        <v>45967</v>
      </c>
      <c r="D282" t="inlineStr">
        <is>
          <t>UPPSALA LÄN</t>
        </is>
      </c>
      <c r="E282" t="inlineStr">
        <is>
          <t>ENKÖPING</t>
        </is>
      </c>
      <c r="F282" t="inlineStr">
        <is>
          <t>Allmännings- och besparingsskogar</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840-2025</t>
        </is>
      </c>
      <c r="B283" s="1" t="n">
        <v>45665</v>
      </c>
      <c r="C283" s="1" t="n">
        <v>45967</v>
      </c>
      <c r="D283" t="inlineStr">
        <is>
          <t>UPPSALA LÄN</t>
        </is>
      </c>
      <c r="E283" t="inlineStr">
        <is>
          <t>ENKÖPING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59602-2022</t>
        </is>
      </c>
      <c r="B284" s="1" t="n">
        <v>44907.72241898148</v>
      </c>
      <c r="C284" s="1" t="n">
        <v>45967</v>
      </c>
      <c r="D284" t="inlineStr">
        <is>
          <t>UPPSALA LÄN</t>
        </is>
      </c>
      <c r="E284" t="inlineStr">
        <is>
          <t>ENKÖPING</t>
        </is>
      </c>
      <c r="G284" t="n">
        <v>14.2</v>
      </c>
      <c r="H284" t="n">
        <v>0</v>
      </c>
      <c r="I284" t="n">
        <v>0</v>
      </c>
      <c r="J284" t="n">
        <v>0</v>
      </c>
      <c r="K284" t="n">
        <v>0</v>
      </c>
      <c r="L284" t="n">
        <v>0</v>
      </c>
      <c r="M284" t="n">
        <v>0</v>
      </c>
      <c r="N284" t="n">
        <v>0</v>
      </c>
      <c r="O284" t="n">
        <v>0</v>
      </c>
      <c r="P284" t="n">
        <v>0</v>
      </c>
      <c r="Q284" t="n">
        <v>0</v>
      </c>
      <c r="R284" s="2" t="inlineStr"/>
    </row>
    <row r="285" ht="15" customHeight="1">
      <c r="A285" t="inlineStr">
        <is>
          <t>A 42589-2022</t>
        </is>
      </c>
      <c r="B285" s="1" t="n">
        <v>44831</v>
      </c>
      <c r="C285" s="1" t="n">
        <v>45967</v>
      </c>
      <c r="D285" t="inlineStr">
        <is>
          <t>UPPSALA LÄN</t>
        </is>
      </c>
      <c r="E285" t="inlineStr">
        <is>
          <t>ENKÖPING</t>
        </is>
      </c>
      <c r="G285" t="n">
        <v>20</v>
      </c>
      <c r="H285" t="n">
        <v>0</v>
      </c>
      <c r="I285" t="n">
        <v>0</v>
      </c>
      <c r="J285" t="n">
        <v>0</v>
      </c>
      <c r="K285" t="n">
        <v>0</v>
      </c>
      <c r="L285" t="n">
        <v>0</v>
      </c>
      <c r="M285" t="n">
        <v>0</v>
      </c>
      <c r="N285" t="n">
        <v>0</v>
      </c>
      <c r="O285" t="n">
        <v>0</v>
      </c>
      <c r="P285" t="n">
        <v>0</v>
      </c>
      <c r="Q285" t="n">
        <v>0</v>
      </c>
      <c r="R285" s="2" t="inlineStr"/>
    </row>
    <row r="286" ht="15" customHeight="1">
      <c r="A286" t="inlineStr">
        <is>
          <t>A 22680-2025</t>
        </is>
      </c>
      <c r="B286" s="1" t="n">
        <v>45789.5005787037</v>
      </c>
      <c r="C286" s="1" t="n">
        <v>45967</v>
      </c>
      <c r="D286" t="inlineStr">
        <is>
          <t>UPPSALA LÄN</t>
        </is>
      </c>
      <c r="E286" t="inlineStr">
        <is>
          <t>ENKÖPING</t>
        </is>
      </c>
      <c r="G286" t="n">
        <v>1</v>
      </c>
      <c r="H286" t="n">
        <v>0</v>
      </c>
      <c r="I286" t="n">
        <v>0</v>
      </c>
      <c r="J286" t="n">
        <v>0</v>
      </c>
      <c r="K286" t="n">
        <v>0</v>
      </c>
      <c r="L286" t="n">
        <v>0</v>
      </c>
      <c r="M286" t="n">
        <v>0</v>
      </c>
      <c r="N286" t="n">
        <v>0</v>
      </c>
      <c r="O286" t="n">
        <v>0</v>
      </c>
      <c r="P286" t="n">
        <v>0</v>
      </c>
      <c r="Q286" t="n">
        <v>0</v>
      </c>
      <c r="R286" s="2" t="inlineStr"/>
    </row>
    <row r="287" ht="15" customHeight="1">
      <c r="A287" t="inlineStr">
        <is>
          <t>A 35645-2021</t>
        </is>
      </c>
      <c r="B287" s="1" t="n">
        <v>44386.42</v>
      </c>
      <c r="C287" s="1" t="n">
        <v>45967</v>
      </c>
      <c r="D287" t="inlineStr">
        <is>
          <t>UPPSALA LÄN</t>
        </is>
      </c>
      <c r="E287" t="inlineStr">
        <is>
          <t>ENKÖPING</t>
        </is>
      </c>
      <c r="G287" t="n">
        <v>2.7</v>
      </c>
      <c r="H287" t="n">
        <v>0</v>
      </c>
      <c r="I287" t="n">
        <v>0</v>
      </c>
      <c r="J287" t="n">
        <v>0</v>
      </c>
      <c r="K287" t="n">
        <v>0</v>
      </c>
      <c r="L287" t="n">
        <v>0</v>
      </c>
      <c r="M287" t="n">
        <v>0</v>
      </c>
      <c r="N287" t="n">
        <v>0</v>
      </c>
      <c r="O287" t="n">
        <v>0</v>
      </c>
      <c r="P287" t="n">
        <v>0</v>
      </c>
      <c r="Q287" t="n">
        <v>0</v>
      </c>
      <c r="R287" s="2" t="inlineStr"/>
    </row>
    <row r="288" ht="15" customHeight="1">
      <c r="A288" t="inlineStr">
        <is>
          <t>A 10458-2022</t>
        </is>
      </c>
      <c r="B288" s="1" t="n">
        <v>44623.56711805556</v>
      </c>
      <c r="C288" s="1" t="n">
        <v>45967</v>
      </c>
      <c r="D288" t="inlineStr">
        <is>
          <t>UPPSALA LÄN</t>
        </is>
      </c>
      <c r="E288" t="inlineStr">
        <is>
          <t>ENKÖPING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2968-2025</t>
        </is>
      </c>
      <c r="B289" s="1" t="n">
        <v>45678</v>
      </c>
      <c r="C289" s="1" t="n">
        <v>45967</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6981-2025</t>
        </is>
      </c>
      <c r="B290" s="1" t="n">
        <v>45701</v>
      </c>
      <c r="C290" s="1" t="n">
        <v>45967</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45142-2023</t>
        </is>
      </c>
      <c r="B291" s="1" t="n">
        <v>45191.4702662037</v>
      </c>
      <c r="C291" s="1" t="n">
        <v>45967</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22770-2025</t>
        </is>
      </c>
      <c r="B292" s="1" t="n">
        <v>45789.63454861111</v>
      </c>
      <c r="C292" s="1" t="n">
        <v>45967</v>
      </c>
      <c r="D292" t="inlineStr">
        <is>
          <t>UPPSALA LÄN</t>
        </is>
      </c>
      <c r="E292" t="inlineStr">
        <is>
          <t>ENKÖPING</t>
        </is>
      </c>
      <c r="G292" t="n">
        <v>4.5</v>
      </c>
      <c r="H292" t="n">
        <v>0</v>
      </c>
      <c r="I292" t="n">
        <v>0</v>
      </c>
      <c r="J292" t="n">
        <v>0</v>
      </c>
      <c r="K292" t="n">
        <v>0</v>
      </c>
      <c r="L292" t="n">
        <v>0</v>
      </c>
      <c r="M292" t="n">
        <v>0</v>
      </c>
      <c r="N292" t="n">
        <v>0</v>
      </c>
      <c r="O292" t="n">
        <v>0</v>
      </c>
      <c r="P292" t="n">
        <v>0</v>
      </c>
      <c r="Q292" t="n">
        <v>0</v>
      </c>
      <c r="R292" s="2" t="inlineStr"/>
    </row>
    <row r="293" ht="15" customHeight="1">
      <c r="A293" t="inlineStr">
        <is>
          <t>A 47516-2022</t>
        </is>
      </c>
      <c r="B293" s="1" t="n">
        <v>44853.68895833333</v>
      </c>
      <c r="C293" s="1" t="n">
        <v>45967</v>
      </c>
      <c r="D293" t="inlineStr">
        <is>
          <t>UPPSALA LÄN</t>
        </is>
      </c>
      <c r="E293" t="inlineStr">
        <is>
          <t>ENKÖPING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22725-2025</t>
        </is>
      </c>
      <c r="B294" s="1" t="n">
        <v>45789.57371527778</v>
      </c>
      <c r="C294" s="1" t="n">
        <v>45967</v>
      </c>
      <c r="D294" t="inlineStr">
        <is>
          <t>UPPSALA LÄN</t>
        </is>
      </c>
      <c r="E294" t="inlineStr">
        <is>
          <t>ENKÖPING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57998-2024</t>
        </is>
      </c>
      <c r="B295" s="1" t="n">
        <v>45631</v>
      </c>
      <c r="C295" s="1" t="n">
        <v>45967</v>
      </c>
      <c r="D295" t="inlineStr">
        <is>
          <t>UPPSALA LÄN</t>
        </is>
      </c>
      <c r="E295" t="inlineStr">
        <is>
          <t>ENKÖPING</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9487-2025</t>
        </is>
      </c>
      <c r="B296" s="1" t="n">
        <v>45715.49331018519</v>
      </c>
      <c r="C296" s="1" t="n">
        <v>45967</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14332-2024</t>
        </is>
      </c>
      <c r="B297" s="1" t="n">
        <v>45393</v>
      </c>
      <c r="C297" s="1" t="n">
        <v>45967</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22981-2025</t>
        </is>
      </c>
      <c r="B298" s="1" t="n">
        <v>45790.56964120371</v>
      </c>
      <c r="C298" s="1" t="n">
        <v>45967</v>
      </c>
      <c r="D298" t="inlineStr">
        <is>
          <t>UPPSALA LÄN</t>
        </is>
      </c>
      <c r="E298" t="inlineStr">
        <is>
          <t>ENKÖPING</t>
        </is>
      </c>
      <c r="G298" t="n">
        <v>1.5</v>
      </c>
      <c r="H298" t="n">
        <v>0</v>
      </c>
      <c r="I298" t="n">
        <v>0</v>
      </c>
      <c r="J298" t="n">
        <v>0</v>
      </c>
      <c r="K298" t="n">
        <v>0</v>
      </c>
      <c r="L298" t="n">
        <v>0</v>
      </c>
      <c r="M298" t="n">
        <v>0</v>
      </c>
      <c r="N298" t="n">
        <v>0</v>
      </c>
      <c r="O298" t="n">
        <v>0</v>
      </c>
      <c r="P298" t="n">
        <v>0</v>
      </c>
      <c r="Q298" t="n">
        <v>0</v>
      </c>
      <c r="R298" s="2" t="inlineStr"/>
    </row>
    <row r="299" ht="15" customHeight="1">
      <c r="A299" t="inlineStr">
        <is>
          <t>A 16176-2025</t>
        </is>
      </c>
      <c r="B299" s="1" t="n">
        <v>45750</v>
      </c>
      <c r="C299" s="1" t="n">
        <v>45967</v>
      </c>
      <c r="D299" t="inlineStr">
        <is>
          <t>UPPSALA LÄN</t>
        </is>
      </c>
      <c r="E299" t="inlineStr">
        <is>
          <t>ENKÖPING</t>
        </is>
      </c>
      <c r="G299" t="n">
        <v>3.9</v>
      </c>
      <c r="H299" t="n">
        <v>0</v>
      </c>
      <c r="I299" t="n">
        <v>0</v>
      </c>
      <c r="J299" t="n">
        <v>0</v>
      </c>
      <c r="K299" t="n">
        <v>0</v>
      </c>
      <c r="L299" t="n">
        <v>0</v>
      </c>
      <c r="M299" t="n">
        <v>0</v>
      </c>
      <c r="N299" t="n">
        <v>0</v>
      </c>
      <c r="O299" t="n">
        <v>0</v>
      </c>
      <c r="P299" t="n">
        <v>0</v>
      </c>
      <c r="Q299" t="n">
        <v>0</v>
      </c>
      <c r="R299" s="2" t="inlineStr"/>
    </row>
    <row r="300" ht="15" customHeight="1">
      <c r="A300" t="inlineStr">
        <is>
          <t>A 18831-2023</t>
        </is>
      </c>
      <c r="B300" s="1" t="n">
        <v>45044.40798611111</v>
      </c>
      <c r="C300" s="1" t="n">
        <v>45967</v>
      </c>
      <c r="D300" t="inlineStr">
        <is>
          <t>UPPSALA LÄN</t>
        </is>
      </c>
      <c r="E300" t="inlineStr">
        <is>
          <t>ENKÖPING</t>
        </is>
      </c>
      <c r="G300" t="n">
        <v>4.3</v>
      </c>
      <c r="H300" t="n">
        <v>0</v>
      </c>
      <c r="I300" t="n">
        <v>0</v>
      </c>
      <c r="J300" t="n">
        <v>0</v>
      </c>
      <c r="K300" t="n">
        <v>0</v>
      </c>
      <c r="L300" t="n">
        <v>0</v>
      </c>
      <c r="M300" t="n">
        <v>0</v>
      </c>
      <c r="N300" t="n">
        <v>0</v>
      </c>
      <c r="O300" t="n">
        <v>0</v>
      </c>
      <c r="P300" t="n">
        <v>0</v>
      </c>
      <c r="Q300" t="n">
        <v>0</v>
      </c>
      <c r="R300" s="2" t="inlineStr"/>
    </row>
    <row r="301" ht="15" customHeight="1">
      <c r="A301" t="inlineStr">
        <is>
          <t>A 68123-2021</t>
        </is>
      </c>
      <c r="B301" s="1" t="n">
        <v>44526.39126157408</v>
      </c>
      <c r="C301" s="1" t="n">
        <v>45967</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22793-2025</t>
        </is>
      </c>
      <c r="B302" s="1" t="n">
        <v>45789.65693287037</v>
      </c>
      <c r="C302" s="1" t="n">
        <v>45967</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37035-2023</t>
        </is>
      </c>
      <c r="B303" s="1" t="n">
        <v>45155</v>
      </c>
      <c r="C303" s="1" t="n">
        <v>45967</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22800-2025</t>
        </is>
      </c>
      <c r="B304" s="1" t="n">
        <v>45789.6669212963</v>
      </c>
      <c r="C304" s="1" t="n">
        <v>45967</v>
      </c>
      <c r="D304" t="inlineStr">
        <is>
          <t>UPPSALA LÄN</t>
        </is>
      </c>
      <c r="E304" t="inlineStr">
        <is>
          <t>ENKÖPING</t>
        </is>
      </c>
      <c r="G304" t="n">
        <v>2</v>
      </c>
      <c r="H304" t="n">
        <v>0</v>
      </c>
      <c r="I304" t="n">
        <v>0</v>
      </c>
      <c r="J304" t="n">
        <v>0</v>
      </c>
      <c r="K304" t="n">
        <v>0</v>
      </c>
      <c r="L304" t="n">
        <v>0</v>
      </c>
      <c r="M304" t="n">
        <v>0</v>
      </c>
      <c r="N304" t="n">
        <v>0</v>
      </c>
      <c r="O304" t="n">
        <v>0</v>
      </c>
      <c r="P304" t="n">
        <v>0</v>
      </c>
      <c r="Q304" t="n">
        <v>0</v>
      </c>
      <c r="R304" s="2" t="inlineStr"/>
    </row>
    <row r="305" ht="15" customHeight="1">
      <c r="A305" t="inlineStr">
        <is>
          <t>A 42029-2025</t>
        </is>
      </c>
      <c r="B305" s="1" t="n">
        <v>45903</v>
      </c>
      <c r="C305" s="1" t="n">
        <v>45967</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46186-2023</t>
        </is>
      </c>
      <c r="B306" s="1" t="n">
        <v>45196</v>
      </c>
      <c r="C306" s="1" t="n">
        <v>45967</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15162-2025</t>
        </is>
      </c>
      <c r="B307" s="1" t="n">
        <v>45744</v>
      </c>
      <c r="C307" s="1" t="n">
        <v>45967</v>
      </c>
      <c r="D307" t="inlineStr">
        <is>
          <t>UPPSALA LÄN</t>
        </is>
      </c>
      <c r="E307" t="inlineStr">
        <is>
          <t>ENKÖPING</t>
        </is>
      </c>
      <c r="G307" t="n">
        <v>4.2</v>
      </c>
      <c r="H307" t="n">
        <v>0</v>
      </c>
      <c r="I307" t="n">
        <v>0</v>
      </c>
      <c r="J307" t="n">
        <v>0</v>
      </c>
      <c r="K307" t="n">
        <v>0</v>
      </c>
      <c r="L307" t="n">
        <v>0</v>
      </c>
      <c r="M307" t="n">
        <v>0</v>
      </c>
      <c r="N307" t="n">
        <v>0</v>
      </c>
      <c r="O307" t="n">
        <v>0</v>
      </c>
      <c r="P307" t="n">
        <v>0</v>
      </c>
      <c r="Q307" t="n">
        <v>0</v>
      </c>
      <c r="R307" s="2" t="inlineStr"/>
    </row>
    <row r="308" ht="15" customHeight="1">
      <c r="A308" t="inlineStr">
        <is>
          <t>A 18299-2025</t>
        </is>
      </c>
      <c r="B308" s="1" t="n">
        <v>45762</v>
      </c>
      <c r="C308" s="1" t="n">
        <v>45967</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6242-2025</t>
        </is>
      </c>
      <c r="B309" s="1" t="n">
        <v>45697</v>
      </c>
      <c r="C309" s="1" t="n">
        <v>45967</v>
      </c>
      <c r="D309" t="inlineStr">
        <is>
          <t>UPPSALA LÄN</t>
        </is>
      </c>
      <c r="E309" t="inlineStr">
        <is>
          <t>ENKÖPING</t>
        </is>
      </c>
      <c r="G309" t="n">
        <v>17.9</v>
      </c>
      <c r="H309" t="n">
        <v>0</v>
      </c>
      <c r="I309" t="n">
        <v>0</v>
      </c>
      <c r="J309" t="n">
        <v>0</v>
      </c>
      <c r="K309" t="n">
        <v>0</v>
      </c>
      <c r="L309" t="n">
        <v>0</v>
      </c>
      <c r="M309" t="n">
        <v>0</v>
      </c>
      <c r="N309" t="n">
        <v>0</v>
      </c>
      <c r="O309" t="n">
        <v>0</v>
      </c>
      <c r="P309" t="n">
        <v>0</v>
      </c>
      <c r="Q309" t="n">
        <v>0</v>
      </c>
      <c r="R309" s="2" t="inlineStr"/>
    </row>
    <row r="310" ht="15" customHeight="1">
      <c r="A310" t="inlineStr">
        <is>
          <t>A 6144-2024</t>
        </is>
      </c>
      <c r="B310" s="1" t="n">
        <v>45337.4684837963</v>
      </c>
      <c r="C310" s="1" t="n">
        <v>45967</v>
      </c>
      <c r="D310" t="inlineStr">
        <is>
          <t>UPPSALA LÄN</t>
        </is>
      </c>
      <c r="E310" t="inlineStr">
        <is>
          <t>ENKÖPING</t>
        </is>
      </c>
      <c r="G310" t="n">
        <v>13.8</v>
      </c>
      <c r="H310" t="n">
        <v>0</v>
      </c>
      <c r="I310" t="n">
        <v>0</v>
      </c>
      <c r="J310" t="n">
        <v>0</v>
      </c>
      <c r="K310" t="n">
        <v>0</v>
      </c>
      <c r="L310" t="n">
        <v>0</v>
      </c>
      <c r="M310" t="n">
        <v>0</v>
      </c>
      <c r="N310" t="n">
        <v>0</v>
      </c>
      <c r="O310" t="n">
        <v>0</v>
      </c>
      <c r="P310" t="n">
        <v>0</v>
      </c>
      <c r="Q310" t="n">
        <v>0</v>
      </c>
      <c r="R310" s="2" t="inlineStr"/>
    </row>
    <row r="311" ht="15" customHeight="1">
      <c r="A311" t="inlineStr">
        <is>
          <t>A 33581-2023</t>
        </is>
      </c>
      <c r="B311" s="1" t="n">
        <v>45131</v>
      </c>
      <c r="C311" s="1" t="n">
        <v>45967</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67984-2021</t>
        </is>
      </c>
      <c r="B312" s="1" t="n">
        <v>44525.70237268518</v>
      </c>
      <c r="C312" s="1" t="n">
        <v>45967</v>
      </c>
      <c r="D312" t="inlineStr">
        <is>
          <t>UPPSALA LÄN</t>
        </is>
      </c>
      <c r="E312" t="inlineStr">
        <is>
          <t>ENKÖPING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42756-2025</t>
        </is>
      </c>
      <c r="B313" s="1" t="n">
        <v>45908</v>
      </c>
      <c r="C313" s="1" t="n">
        <v>45967</v>
      </c>
      <c r="D313" t="inlineStr">
        <is>
          <t>UPPSALA LÄN</t>
        </is>
      </c>
      <c r="E313" t="inlineStr">
        <is>
          <t>ENKÖPING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51133-2025</t>
        </is>
      </c>
      <c r="B314" s="1" t="n">
        <v>45947.55598379629</v>
      </c>
      <c r="C314" s="1" t="n">
        <v>45967</v>
      </c>
      <c r="D314" t="inlineStr">
        <is>
          <t>UPPSALA LÄN</t>
        </is>
      </c>
      <c r="E314" t="inlineStr">
        <is>
          <t>ENKÖPING</t>
        </is>
      </c>
      <c r="G314" t="n">
        <v>2.4</v>
      </c>
      <c r="H314" t="n">
        <v>0</v>
      </c>
      <c r="I314" t="n">
        <v>0</v>
      </c>
      <c r="J314" t="n">
        <v>0</v>
      </c>
      <c r="K314" t="n">
        <v>0</v>
      </c>
      <c r="L314" t="n">
        <v>0</v>
      </c>
      <c r="M314" t="n">
        <v>0</v>
      </c>
      <c r="N314" t="n">
        <v>0</v>
      </c>
      <c r="O314" t="n">
        <v>0</v>
      </c>
      <c r="P314" t="n">
        <v>0</v>
      </c>
      <c r="Q314" t="n">
        <v>0</v>
      </c>
      <c r="R314" s="2" t="inlineStr"/>
    </row>
    <row r="315" ht="15" customHeight="1">
      <c r="A315" t="inlineStr">
        <is>
          <t>A 58896-2020</t>
        </is>
      </c>
      <c r="B315" s="1" t="n">
        <v>44146</v>
      </c>
      <c r="C315" s="1" t="n">
        <v>45967</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37115-2024</t>
        </is>
      </c>
      <c r="B316" s="1" t="n">
        <v>45539</v>
      </c>
      <c r="C316" s="1" t="n">
        <v>45967</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18592-2021</t>
        </is>
      </c>
      <c r="B317" s="1" t="n">
        <v>44306</v>
      </c>
      <c r="C317" s="1" t="n">
        <v>45967</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11918-2025</t>
        </is>
      </c>
      <c r="B318" s="1" t="n">
        <v>45728.49331018519</v>
      </c>
      <c r="C318" s="1" t="n">
        <v>45967</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58062-2020</t>
        </is>
      </c>
      <c r="B319" s="1" t="n">
        <v>44144</v>
      </c>
      <c r="C319" s="1" t="n">
        <v>45967</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17729-2023</t>
        </is>
      </c>
      <c r="B320" s="1" t="n">
        <v>45037</v>
      </c>
      <c r="C320" s="1" t="n">
        <v>45967</v>
      </c>
      <c r="D320" t="inlineStr">
        <is>
          <t>UPPSALA LÄN</t>
        </is>
      </c>
      <c r="E320" t="inlineStr">
        <is>
          <t>ENKÖPING</t>
        </is>
      </c>
      <c r="G320" t="n">
        <v>10.2</v>
      </c>
      <c r="H320" t="n">
        <v>0</v>
      </c>
      <c r="I320" t="n">
        <v>0</v>
      </c>
      <c r="J320" t="n">
        <v>0</v>
      </c>
      <c r="K320" t="n">
        <v>0</v>
      </c>
      <c r="L320" t="n">
        <v>0</v>
      </c>
      <c r="M320" t="n">
        <v>0</v>
      </c>
      <c r="N320" t="n">
        <v>0</v>
      </c>
      <c r="O320" t="n">
        <v>0</v>
      </c>
      <c r="P320" t="n">
        <v>0</v>
      </c>
      <c r="Q320" t="n">
        <v>0</v>
      </c>
      <c r="R320" s="2" t="inlineStr"/>
    </row>
    <row r="321" ht="15" customHeight="1">
      <c r="A321" t="inlineStr">
        <is>
          <t>A 5749-2025</t>
        </is>
      </c>
      <c r="B321" s="1" t="n">
        <v>45694</v>
      </c>
      <c r="C321" s="1" t="n">
        <v>45967</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6147-2021</t>
        </is>
      </c>
      <c r="B322" s="1" t="n">
        <v>44232</v>
      </c>
      <c r="C322" s="1" t="n">
        <v>45967</v>
      </c>
      <c r="D322" t="inlineStr">
        <is>
          <t>UPPSALA LÄN</t>
        </is>
      </c>
      <c r="E322" t="inlineStr">
        <is>
          <t>ENKÖPING</t>
        </is>
      </c>
      <c r="G322" t="n">
        <v>1.6</v>
      </c>
      <c r="H322" t="n">
        <v>0</v>
      </c>
      <c r="I322" t="n">
        <v>0</v>
      </c>
      <c r="J322" t="n">
        <v>0</v>
      </c>
      <c r="K322" t="n">
        <v>0</v>
      </c>
      <c r="L322" t="n">
        <v>0</v>
      </c>
      <c r="M322" t="n">
        <v>0</v>
      </c>
      <c r="N322" t="n">
        <v>0</v>
      </c>
      <c r="O322" t="n">
        <v>0</v>
      </c>
      <c r="P322" t="n">
        <v>0</v>
      </c>
      <c r="Q322" t="n">
        <v>0</v>
      </c>
      <c r="R322" s="2" t="inlineStr"/>
    </row>
    <row r="323" ht="15" customHeight="1">
      <c r="A323" t="inlineStr">
        <is>
          <t>A 1960-2022</t>
        </is>
      </c>
      <c r="B323" s="1" t="n">
        <v>44575</v>
      </c>
      <c r="C323" s="1" t="n">
        <v>45967</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8020-2022</t>
        </is>
      </c>
      <c r="B324" s="1" t="n">
        <v>44609</v>
      </c>
      <c r="C324" s="1" t="n">
        <v>45967</v>
      </c>
      <c r="D324" t="inlineStr">
        <is>
          <t>UPPSALA LÄN</t>
        </is>
      </c>
      <c r="E324" t="inlineStr">
        <is>
          <t>ENKÖPING</t>
        </is>
      </c>
      <c r="G324" t="n">
        <v>6</v>
      </c>
      <c r="H324" t="n">
        <v>0</v>
      </c>
      <c r="I324" t="n">
        <v>0</v>
      </c>
      <c r="J324" t="n">
        <v>0</v>
      </c>
      <c r="K324" t="n">
        <v>0</v>
      </c>
      <c r="L324" t="n">
        <v>0</v>
      </c>
      <c r="M324" t="n">
        <v>0</v>
      </c>
      <c r="N324" t="n">
        <v>0</v>
      </c>
      <c r="O324" t="n">
        <v>0</v>
      </c>
      <c r="P324" t="n">
        <v>0</v>
      </c>
      <c r="Q324" t="n">
        <v>0</v>
      </c>
      <c r="R324" s="2" t="inlineStr"/>
    </row>
    <row r="325" ht="15" customHeight="1">
      <c r="A325" t="inlineStr">
        <is>
          <t>A 51162-2025</t>
        </is>
      </c>
      <c r="B325" s="1" t="n">
        <v>45947.58820601852</v>
      </c>
      <c r="C325" s="1" t="n">
        <v>45967</v>
      </c>
      <c r="D325" t="inlineStr">
        <is>
          <t>UPPSALA LÄN</t>
        </is>
      </c>
      <c r="E325" t="inlineStr">
        <is>
          <t>ENKÖPING</t>
        </is>
      </c>
      <c r="G325" t="n">
        <v>3.4</v>
      </c>
      <c r="H325" t="n">
        <v>0</v>
      </c>
      <c r="I325" t="n">
        <v>0</v>
      </c>
      <c r="J325" t="n">
        <v>0</v>
      </c>
      <c r="K325" t="n">
        <v>0</v>
      </c>
      <c r="L325" t="n">
        <v>0</v>
      </c>
      <c r="M325" t="n">
        <v>0</v>
      </c>
      <c r="N325" t="n">
        <v>0</v>
      </c>
      <c r="O325" t="n">
        <v>0</v>
      </c>
      <c r="P325" t="n">
        <v>0</v>
      </c>
      <c r="Q325" t="n">
        <v>0</v>
      </c>
      <c r="R325" s="2" t="inlineStr"/>
    </row>
    <row r="326" ht="15" customHeight="1">
      <c r="A326" t="inlineStr">
        <is>
          <t>A 43896-2022</t>
        </is>
      </c>
      <c r="B326" s="1" t="n">
        <v>44838</v>
      </c>
      <c r="C326" s="1" t="n">
        <v>45967</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34805-2024</t>
        </is>
      </c>
      <c r="B327" s="1" t="n">
        <v>45526</v>
      </c>
      <c r="C327" s="1" t="n">
        <v>45967</v>
      </c>
      <c r="D327" t="inlineStr">
        <is>
          <t>UPPSALA LÄN</t>
        </is>
      </c>
      <c r="E327" t="inlineStr">
        <is>
          <t>ENKÖPING</t>
        </is>
      </c>
      <c r="G327" t="n">
        <v>3.6</v>
      </c>
      <c r="H327" t="n">
        <v>0</v>
      </c>
      <c r="I327" t="n">
        <v>0</v>
      </c>
      <c r="J327" t="n">
        <v>0</v>
      </c>
      <c r="K327" t="n">
        <v>0</v>
      </c>
      <c r="L327" t="n">
        <v>0</v>
      </c>
      <c r="M327" t="n">
        <v>0</v>
      </c>
      <c r="N327" t="n">
        <v>0</v>
      </c>
      <c r="O327" t="n">
        <v>0</v>
      </c>
      <c r="P327" t="n">
        <v>0</v>
      </c>
      <c r="Q327" t="n">
        <v>0</v>
      </c>
      <c r="R327" s="2" t="inlineStr"/>
    </row>
    <row r="328" ht="15" customHeight="1">
      <c r="A328" t="inlineStr">
        <is>
          <t>A 18028-2023</t>
        </is>
      </c>
      <c r="B328" s="1" t="n">
        <v>45040</v>
      </c>
      <c r="C328" s="1" t="n">
        <v>45967</v>
      </c>
      <c r="D328" t="inlineStr">
        <is>
          <t>UPPSALA LÄN</t>
        </is>
      </c>
      <c r="E328" t="inlineStr">
        <is>
          <t>ENKÖPING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314-2025</t>
        </is>
      </c>
      <c r="B329" s="1" t="n">
        <v>45656</v>
      </c>
      <c r="C329" s="1" t="n">
        <v>45967</v>
      </c>
      <c r="D329" t="inlineStr">
        <is>
          <t>UPPSALA LÄN</t>
        </is>
      </c>
      <c r="E329" t="inlineStr">
        <is>
          <t>ENKÖPING</t>
        </is>
      </c>
      <c r="G329" t="n">
        <v>9</v>
      </c>
      <c r="H329" t="n">
        <v>0</v>
      </c>
      <c r="I329" t="n">
        <v>0</v>
      </c>
      <c r="J329" t="n">
        <v>0</v>
      </c>
      <c r="K329" t="n">
        <v>0</v>
      </c>
      <c r="L329" t="n">
        <v>0</v>
      </c>
      <c r="M329" t="n">
        <v>0</v>
      </c>
      <c r="N329" t="n">
        <v>0</v>
      </c>
      <c r="O329" t="n">
        <v>0</v>
      </c>
      <c r="P329" t="n">
        <v>0</v>
      </c>
      <c r="Q329" t="n">
        <v>0</v>
      </c>
      <c r="R329" s="2" t="inlineStr"/>
    </row>
    <row r="330" ht="15" customHeight="1">
      <c r="A330" t="inlineStr">
        <is>
          <t>A 20440-2025</t>
        </is>
      </c>
      <c r="B330" s="1" t="n">
        <v>45775</v>
      </c>
      <c r="C330" s="1" t="n">
        <v>45967</v>
      </c>
      <c r="D330" t="inlineStr">
        <is>
          <t>UPPSALA LÄN</t>
        </is>
      </c>
      <c r="E330" t="inlineStr">
        <is>
          <t>ENKÖPING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10831-2024</t>
        </is>
      </c>
      <c r="B331" s="1" t="n">
        <v>45369</v>
      </c>
      <c r="C331" s="1" t="n">
        <v>45967</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5712-2025</t>
        </is>
      </c>
      <c r="B332" s="1" t="n">
        <v>45694</v>
      </c>
      <c r="C332" s="1" t="n">
        <v>45967</v>
      </c>
      <c r="D332" t="inlineStr">
        <is>
          <t>UPPSALA LÄN</t>
        </is>
      </c>
      <c r="E332" t="inlineStr">
        <is>
          <t>ENKÖPING</t>
        </is>
      </c>
      <c r="G332" t="n">
        <v>5.1</v>
      </c>
      <c r="H332" t="n">
        <v>0</v>
      </c>
      <c r="I332" t="n">
        <v>0</v>
      </c>
      <c r="J332" t="n">
        <v>0</v>
      </c>
      <c r="K332" t="n">
        <v>0</v>
      </c>
      <c r="L332" t="n">
        <v>0</v>
      </c>
      <c r="M332" t="n">
        <v>0</v>
      </c>
      <c r="N332" t="n">
        <v>0</v>
      </c>
      <c r="O332" t="n">
        <v>0</v>
      </c>
      <c r="P332" t="n">
        <v>0</v>
      </c>
      <c r="Q332" t="n">
        <v>0</v>
      </c>
      <c r="R332" s="2" t="inlineStr"/>
    </row>
    <row r="333" ht="15" customHeight="1">
      <c r="A333" t="inlineStr">
        <is>
          <t>A 43103-2025</t>
        </is>
      </c>
      <c r="B333" s="1" t="n">
        <v>45909</v>
      </c>
      <c r="C333" s="1" t="n">
        <v>45967</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45956-2024</t>
        </is>
      </c>
      <c r="B334" s="1" t="n">
        <v>45580</v>
      </c>
      <c r="C334" s="1" t="n">
        <v>45967</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41737-2022</t>
        </is>
      </c>
      <c r="B335" s="1" t="n">
        <v>44827.63826388889</v>
      </c>
      <c r="C335" s="1" t="n">
        <v>45967</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11627-2025</t>
        </is>
      </c>
      <c r="B336" s="1" t="n">
        <v>45727</v>
      </c>
      <c r="C336" s="1" t="n">
        <v>45967</v>
      </c>
      <c r="D336" t="inlineStr">
        <is>
          <t>UPPSALA LÄN</t>
        </is>
      </c>
      <c r="E336" t="inlineStr">
        <is>
          <t>ENKÖPING</t>
        </is>
      </c>
      <c r="G336" t="n">
        <v>5.5</v>
      </c>
      <c r="H336" t="n">
        <v>0</v>
      </c>
      <c r="I336" t="n">
        <v>0</v>
      </c>
      <c r="J336" t="n">
        <v>0</v>
      </c>
      <c r="K336" t="n">
        <v>0</v>
      </c>
      <c r="L336" t="n">
        <v>0</v>
      </c>
      <c r="M336" t="n">
        <v>0</v>
      </c>
      <c r="N336" t="n">
        <v>0</v>
      </c>
      <c r="O336" t="n">
        <v>0</v>
      </c>
      <c r="P336" t="n">
        <v>0</v>
      </c>
      <c r="Q336" t="n">
        <v>0</v>
      </c>
      <c r="R336" s="2" t="inlineStr"/>
    </row>
    <row r="337" ht="15" customHeight="1">
      <c r="A337" t="inlineStr">
        <is>
          <t>A 74090-2021</t>
        </is>
      </c>
      <c r="B337" s="1" t="n">
        <v>44557</v>
      </c>
      <c r="C337" s="1" t="n">
        <v>45967</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49568-2022</t>
        </is>
      </c>
      <c r="B338" s="1" t="n">
        <v>44862.32791666667</v>
      </c>
      <c r="C338" s="1" t="n">
        <v>45967</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42459-2024</t>
        </is>
      </c>
      <c r="B339" s="1" t="n">
        <v>45565</v>
      </c>
      <c r="C339" s="1" t="n">
        <v>45967</v>
      </c>
      <c r="D339" t="inlineStr">
        <is>
          <t>UPPSALA LÄN</t>
        </is>
      </c>
      <c r="E339" t="inlineStr">
        <is>
          <t>ENKÖPING</t>
        </is>
      </c>
      <c r="G339" t="n">
        <v>3.6</v>
      </c>
      <c r="H339" t="n">
        <v>0</v>
      </c>
      <c r="I339" t="n">
        <v>0</v>
      </c>
      <c r="J339" t="n">
        <v>0</v>
      </c>
      <c r="K339" t="n">
        <v>0</v>
      </c>
      <c r="L339" t="n">
        <v>0</v>
      </c>
      <c r="M339" t="n">
        <v>0</v>
      </c>
      <c r="N339" t="n">
        <v>0</v>
      </c>
      <c r="O339" t="n">
        <v>0</v>
      </c>
      <c r="P339" t="n">
        <v>0</v>
      </c>
      <c r="Q339" t="n">
        <v>0</v>
      </c>
      <c r="R339" s="2" t="inlineStr"/>
    </row>
    <row r="340" ht="15" customHeight="1">
      <c r="A340" t="inlineStr">
        <is>
          <t>A 54595-2021</t>
        </is>
      </c>
      <c r="B340" s="1" t="n">
        <v>44473.58824074074</v>
      </c>
      <c r="C340" s="1" t="n">
        <v>45967</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22094-2023</t>
        </is>
      </c>
      <c r="B341" s="1" t="n">
        <v>45069</v>
      </c>
      <c r="C341" s="1" t="n">
        <v>45967</v>
      </c>
      <c r="D341" t="inlineStr">
        <is>
          <t>UPPSALA LÄN</t>
        </is>
      </c>
      <c r="E341" t="inlineStr">
        <is>
          <t>ENKÖPING</t>
        </is>
      </c>
      <c r="G341" t="n">
        <v>2.1</v>
      </c>
      <c r="H341" t="n">
        <v>0</v>
      </c>
      <c r="I341" t="n">
        <v>0</v>
      </c>
      <c r="J341" t="n">
        <v>0</v>
      </c>
      <c r="K341" t="n">
        <v>0</v>
      </c>
      <c r="L341" t="n">
        <v>0</v>
      </c>
      <c r="M341" t="n">
        <v>0</v>
      </c>
      <c r="N341" t="n">
        <v>0</v>
      </c>
      <c r="O341" t="n">
        <v>0</v>
      </c>
      <c r="P341" t="n">
        <v>0</v>
      </c>
      <c r="Q341" t="n">
        <v>0</v>
      </c>
      <c r="R341" s="2" t="inlineStr"/>
    </row>
    <row r="342" ht="15" customHeight="1">
      <c r="A342" t="inlineStr">
        <is>
          <t>A 48864-2022</t>
        </is>
      </c>
      <c r="B342" s="1" t="n">
        <v>44859</v>
      </c>
      <c r="C342" s="1" t="n">
        <v>45967</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41764-2025</t>
        </is>
      </c>
      <c r="B343" s="1" t="n">
        <v>45902</v>
      </c>
      <c r="C343" s="1" t="n">
        <v>45967</v>
      </c>
      <c r="D343" t="inlineStr">
        <is>
          <t>UPPSALA LÄN</t>
        </is>
      </c>
      <c r="E343" t="inlineStr">
        <is>
          <t>ENKÖPING</t>
        </is>
      </c>
      <c r="G343" t="n">
        <v>2.7</v>
      </c>
      <c r="H343" t="n">
        <v>0</v>
      </c>
      <c r="I343" t="n">
        <v>0</v>
      </c>
      <c r="J343" t="n">
        <v>0</v>
      </c>
      <c r="K343" t="n">
        <v>0</v>
      </c>
      <c r="L343" t="n">
        <v>0</v>
      </c>
      <c r="M343" t="n">
        <v>0</v>
      </c>
      <c r="N343" t="n">
        <v>0</v>
      </c>
      <c r="O343" t="n">
        <v>0</v>
      </c>
      <c r="P343" t="n">
        <v>0</v>
      </c>
      <c r="Q343" t="n">
        <v>0</v>
      </c>
      <c r="R343" s="2" t="inlineStr"/>
    </row>
    <row r="344" ht="15" customHeight="1">
      <c r="A344" t="inlineStr">
        <is>
          <t>A 31622-2022</t>
        </is>
      </c>
      <c r="B344" s="1" t="n">
        <v>44775</v>
      </c>
      <c r="C344" s="1" t="n">
        <v>45967</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51042-2024</t>
        </is>
      </c>
      <c r="B345" s="1" t="n">
        <v>45603.4342824074</v>
      </c>
      <c r="C345" s="1" t="n">
        <v>45967</v>
      </c>
      <c r="D345" t="inlineStr">
        <is>
          <t>UPPSALA LÄN</t>
        </is>
      </c>
      <c r="E345" t="inlineStr">
        <is>
          <t>ENKÖPING</t>
        </is>
      </c>
      <c r="G345" t="n">
        <v>4.6</v>
      </c>
      <c r="H345" t="n">
        <v>0</v>
      </c>
      <c r="I345" t="n">
        <v>0</v>
      </c>
      <c r="J345" t="n">
        <v>0</v>
      </c>
      <c r="K345" t="n">
        <v>0</v>
      </c>
      <c r="L345" t="n">
        <v>0</v>
      </c>
      <c r="M345" t="n">
        <v>0</v>
      </c>
      <c r="N345" t="n">
        <v>0</v>
      </c>
      <c r="O345" t="n">
        <v>0</v>
      </c>
      <c r="P345" t="n">
        <v>0</v>
      </c>
      <c r="Q345" t="n">
        <v>0</v>
      </c>
      <c r="R345" s="2" t="inlineStr"/>
    </row>
    <row r="346" ht="15" customHeight="1">
      <c r="A346" t="inlineStr">
        <is>
          <t>A 35647-2021</t>
        </is>
      </c>
      <c r="B346" s="1" t="n">
        <v>44386</v>
      </c>
      <c r="C346" s="1" t="n">
        <v>45967</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22632-2025</t>
        </is>
      </c>
      <c r="B347" s="1" t="n">
        <v>45789.44361111111</v>
      </c>
      <c r="C347" s="1" t="n">
        <v>45967</v>
      </c>
      <c r="D347" t="inlineStr">
        <is>
          <t>UPPSALA LÄN</t>
        </is>
      </c>
      <c r="E347" t="inlineStr">
        <is>
          <t>ENKÖPING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51037-2024</t>
        </is>
      </c>
      <c r="B348" s="1" t="n">
        <v>45603.43005787037</v>
      </c>
      <c r="C348" s="1" t="n">
        <v>45967</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24962-2023</t>
        </is>
      </c>
      <c r="B349" s="1" t="n">
        <v>45085.60123842592</v>
      </c>
      <c r="C349" s="1" t="n">
        <v>45967</v>
      </c>
      <c r="D349" t="inlineStr">
        <is>
          <t>UPPSALA LÄN</t>
        </is>
      </c>
      <c r="E349" t="inlineStr">
        <is>
          <t>ENKÖPING</t>
        </is>
      </c>
      <c r="G349" t="n">
        <v>2.8</v>
      </c>
      <c r="H349" t="n">
        <v>0</v>
      </c>
      <c r="I349" t="n">
        <v>0</v>
      </c>
      <c r="J349" t="n">
        <v>0</v>
      </c>
      <c r="K349" t="n">
        <v>0</v>
      </c>
      <c r="L349" t="n">
        <v>0</v>
      </c>
      <c r="M349" t="n">
        <v>0</v>
      </c>
      <c r="N349" t="n">
        <v>0</v>
      </c>
      <c r="O349" t="n">
        <v>0</v>
      </c>
      <c r="P349" t="n">
        <v>0</v>
      </c>
      <c r="Q349" t="n">
        <v>0</v>
      </c>
      <c r="R349" s="2" t="inlineStr"/>
    </row>
    <row r="350" ht="15" customHeight="1">
      <c r="A350" t="inlineStr">
        <is>
          <t>A 44131-2023</t>
        </is>
      </c>
      <c r="B350" s="1" t="n">
        <v>45188</v>
      </c>
      <c r="C350" s="1" t="n">
        <v>45967</v>
      </c>
      <c r="D350" t="inlineStr">
        <is>
          <t>UPPSALA LÄN</t>
        </is>
      </c>
      <c r="E350" t="inlineStr">
        <is>
          <t>ENKÖPING</t>
        </is>
      </c>
      <c r="G350" t="n">
        <v>0.3</v>
      </c>
      <c r="H350" t="n">
        <v>0</v>
      </c>
      <c r="I350" t="n">
        <v>0</v>
      </c>
      <c r="J350" t="n">
        <v>0</v>
      </c>
      <c r="K350" t="n">
        <v>0</v>
      </c>
      <c r="L350" t="n">
        <v>0</v>
      </c>
      <c r="M350" t="n">
        <v>0</v>
      </c>
      <c r="N350" t="n">
        <v>0</v>
      </c>
      <c r="O350" t="n">
        <v>0</v>
      </c>
      <c r="P350" t="n">
        <v>0</v>
      </c>
      <c r="Q350" t="n">
        <v>0</v>
      </c>
      <c r="R350" s="2" t="inlineStr"/>
    </row>
    <row r="351" ht="15" customHeight="1">
      <c r="A351" t="inlineStr">
        <is>
          <t>A 29482-2022</t>
        </is>
      </c>
      <c r="B351" s="1" t="n">
        <v>44753.57703703704</v>
      </c>
      <c r="C351" s="1" t="n">
        <v>45967</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29483-2022</t>
        </is>
      </c>
      <c r="B352" s="1" t="n">
        <v>44753.57829861111</v>
      </c>
      <c r="C352" s="1" t="n">
        <v>45967</v>
      </c>
      <c r="D352" t="inlineStr">
        <is>
          <t>UPPSALA LÄN</t>
        </is>
      </c>
      <c r="E352" t="inlineStr">
        <is>
          <t>ENKÖPING</t>
        </is>
      </c>
      <c r="G352" t="n">
        <v>3.6</v>
      </c>
      <c r="H352" t="n">
        <v>0</v>
      </c>
      <c r="I352" t="n">
        <v>0</v>
      </c>
      <c r="J352" t="n">
        <v>0</v>
      </c>
      <c r="K352" t="n">
        <v>0</v>
      </c>
      <c r="L352" t="n">
        <v>0</v>
      </c>
      <c r="M352" t="n">
        <v>0</v>
      </c>
      <c r="N352" t="n">
        <v>0</v>
      </c>
      <c r="O352" t="n">
        <v>0</v>
      </c>
      <c r="P352" t="n">
        <v>0</v>
      </c>
      <c r="Q352" t="n">
        <v>0</v>
      </c>
      <c r="R352" s="2" t="inlineStr"/>
    </row>
    <row r="353" ht="15" customHeight="1">
      <c r="A353" t="inlineStr">
        <is>
          <t>A 37170-2021</t>
        </is>
      </c>
      <c r="B353" s="1" t="n">
        <v>44395</v>
      </c>
      <c r="C353" s="1" t="n">
        <v>45967</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66517-2020</t>
        </is>
      </c>
      <c r="B354" s="1" t="n">
        <v>44178</v>
      </c>
      <c r="C354" s="1" t="n">
        <v>45967</v>
      </c>
      <c r="D354" t="inlineStr">
        <is>
          <t>UPPSALA LÄN</t>
        </is>
      </c>
      <c r="E354" t="inlineStr">
        <is>
          <t>ENKÖPING</t>
        </is>
      </c>
      <c r="G354" t="n">
        <v>4</v>
      </c>
      <c r="H354" t="n">
        <v>0</v>
      </c>
      <c r="I354" t="n">
        <v>0</v>
      </c>
      <c r="J354" t="n">
        <v>0</v>
      </c>
      <c r="K354" t="n">
        <v>0</v>
      </c>
      <c r="L354" t="n">
        <v>0</v>
      </c>
      <c r="M354" t="n">
        <v>0</v>
      </c>
      <c r="N354" t="n">
        <v>0</v>
      </c>
      <c r="O354" t="n">
        <v>0</v>
      </c>
      <c r="P354" t="n">
        <v>0</v>
      </c>
      <c r="Q354" t="n">
        <v>0</v>
      </c>
      <c r="R354" s="2" t="inlineStr"/>
    </row>
    <row r="355" ht="15" customHeight="1">
      <c r="A355" t="inlineStr">
        <is>
          <t>A 51027-2024</t>
        </is>
      </c>
      <c r="B355" s="1" t="n">
        <v>45603</v>
      </c>
      <c r="C355" s="1" t="n">
        <v>45967</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6356-2022</t>
        </is>
      </c>
      <c r="B356" s="1" t="n">
        <v>44600</v>
      </c>
      <c r="C356" s="1" t="n">
        <v>45967</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53496-2022</t>
        </is>
      </c>
      <c r="B357" s="1" t="n">
        <v>44879.57217592592</v>
      </c>
      <c r="C357" s="1" t="n">
        <v>45967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58092-2024</t>
        </is>
      </c>
      <c r="B358" s="1" t="n">
        <v>45632</v>
      </c>
      <c r="C358" s="1" t="n">
        <v>45967</v>
      </c>
      <c r="D358" t="inlineStr">
        <is>
          <t>UPPSALA LÄN</t>
        </is>
      </c>
      <c r="E358" t="inlineStr">
        <is>
          <t>ENKÖPING</t>
        </is>
      </c>
      <c r="G358" t="n">
        <v>4.8</v>
      </c>
      <c r="H358" t="n">
        <v>0</v>
      </c>
      <c r="I358" t="n">
        <v>0</v>
      </c>
      <c r="J358" t="n">
        <v>0</v>
      </c>
      <c r="K358" t="n">
        <v>0</v>
      </c>
      <c r="L358" t="n">
        <v>0</v>
      </c>
      <c r="M358" t="n">
        <v>0</v>
      </c>
      <c r="N358" t="n">
        <v>0</v>
      </c>
      <c r="O358" t="n">
        <v>0</v>
      </c>
      <c r="P358" t="n">
        <v>0</v>
      </c>
      <c r="Q358" t="n">
        <v>0</v>
      </c>
      <c r="R358" s="2" t="inlineStr"/>
    </row>
    <row r="359" ht="15" customHeight="1">
      <c r="A359" t="inlineStr">
        <is>
          <t>A 7870-2024</t>
        </is>
      </c>
      <c r="B359" s="1" t="n">
        <v>45350.33349537037</v>
      </c>
      <c r="C359" s="1" t="n">
        <v>45967</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45967</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28243-2023</t>
        </is>
      </c>
      <c r="B361" s="1" t="n">
        <v>45099.58885416666</v>
      </c>
      <c r="C361" s="1" t="n">
        <v>45967</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10829-2024</t>
        </is>
      </c>
      <c r="B362" s="1" t="n">
        <v>45369</v>
      </c>
      <c r="C362" s="1" t="n">
        <v>45967</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2161-2023</t>
        </is>
      </c>
      <c r="B363" s="1" t="n">
        <v>44941</v>
      </c>
      <c r="C363" s="1" t="n">
        <v>45967</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2165-2023</t>
        </is>
      </c>
      <c r="B364" s="1" t="n">
        <v>44941</v>
      </c>
      <c r="C364" s="1" t="n">
        <v>45967</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24411-2024</t>
        </is>
      </c>
      <c r="B365" s="1" t="n">
        <v>45457</v>
      </c>
      <c r="C365" s="1" t="n">
        <v>45967</v>
      </c>
      <c r="D365" t="inlineStr">
        <is>
          <t>UPPSALA LÄN</t>
        </is>
      </c>
      <c r="E365" t="inlineStr">
        <is>
          <t>ENKÖPING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25988-2025</t>
        </is>
      </c>
      <c r="B366" s="1" t="n">
        <v>45804.64814814815</v>
      </c>
      <c r="C366" s="1" t="n">
        <v>45967</v>
      </c>
      <c r="D366" t="inlineStr">
        <is>
          <t>UPPSALA LÄN</t>
        </is>
      </c>
      <c r="E366" t="inlineStr">
        <is>
          <t>ENKÖPING</t>
        </is>
      </c>
      <c r="G366" t="n">
        <v>4.7</v>
      </c>
      <c r="H366" t="n">
        <v>0</v>
      </c>
      <c r="I366" t="n">
        <v>0</v>
      </c>
      <c r="J366" t="n">
        <v>0</v>
      </c>
      <c r="K366" t="n">
        <v>0</v>
      </c>
      <c r="L366" t="n">
        <v>0</v>
      </c>
      <c r="M366" t="n">
        <v>0</v>
      </c>
      <c r="N366" t="n">
        <v>0</v>
      </c>
      <c r="O366" t="n">
        <v>0</v>
      </c>
      <c r="P366" t="n">
        <v>0</v>
      </c>
      <c r="Q366" t="n">
        <v>0</v>
      </c>
      <c r="R366" s="2" t="inlineStr"/>
    </row>
    <row r="367" ht="15" customHeight="1">
      <c r="A367" t="inlineStr">
        <is>
          <t>A 8306-2021</t>
        </is>
      </c>
      <c r="B367" s="1" t="n">
        <v>44244</v>
      </c>
      <c r="C367" s="1" t="n">
        <v>45967</v>
      </c>
      <c r="D367" t="inlineStr">
        <is>
          <t>UPPSALA LÄN</t>
        </is>
      </c>
      <c r="E367" t="inlineStr">
        <is>
          <t>ENKÖPING</t>
        </is>
      </c>
      <c r="G367" t="n">
        <v>14.9</v>
      </c>
      <c r="H367" t="n">
        <v>0</v>
      </c>
      <c r="I367" t="n">
        <v>0</v>
      </c>
      <c r="J367" t="n">
        <v>0</v>
      </c>
      <c r="K367" t="n">
        <v>0</v>
      </c>
      <c r="L367" t="n">
        <v>0</v>
      </c>
      <c r="M367" t="n">
        <v>0</v>
      </c>
      <c r="N367" t="n">
        <v>0</v>
      </c>
      <c r="O367" t="n">
        <v>0</v>
      </c>
      <c r="P367" t="n">
        <v>0</v>
      </c>
      <c r="Q367" t="n">
        <v>0</v>
      </c>
      <c r="R367" s="2" t="inlineStr"/>
    </row>
    <row r="368" ht="15" customHeight="1">
      <c r="A368" t="inlineStr">
        <is>
          <t>A 26017-2025</t>
        </is>
      </c>
      <c r="B368" s="1" t="n">
        <v>45804</v>
      </c>
      <c r="C368" s="1" t="n">
        <v>45967</v>
      </c>
      <c r="D368" t="inlineStr">
        <is>
          <t>UPPSALA LÄN</t>
        </is>
      </c>
      <c r="E368" t="inlineStr">
        <is>
          <t>ENKÖPING</t>
        </is>
      </c>
      <c r="G368" t="n">
        <v>0.4</v>
      </c>
      <c r="H368" t="n">
        <v>0</v>
      </c>
      <c r="I368" t="n">
        <v>0</v>
      </c>
      <c r="J368" t="n">
        <v>0</v>
      </c>
      <c r="K368" t="n">
        <v>0</v>
      </c>
      <c r="L368" t="n">
        <v>0</v>
      </c>
      <c r="M368" t="n">
        <v>0</v>
      </c>
      <c r="N368" t="n">
        <v>0</v>
      </c>
      <c r="O368" t="n">
        <v>0</v>
      </c>
      <c r="P368" t="n">
        <v>0</v>
      </c>
      <c r="Q368" t="n">
        <v>0</v>
      </c>
      <c r="R368" s="2" t="inlineStr"/>
    </row>
    <row r="369" ht="15" customHeight="1">
      <c r="A369" t="inlineStr">
        <is>
          <t>A 26024-2025</t>
        </is>
      </c>
      <c r="B369" s="1" t="n">
        <v>45804.6831712963</v>
      </c>
      <c r="C369" s="1" t="n">
        <v>45967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26042-2025</t>
        </is>
      </c>
      <c r="B370" s="1" t="n">
        <v>45804.70018518518</v>
      </c>
      <c r="C370" s="1" t="n">
        <v>45967</v>
      </c>
      <c r="D370" t="inlineStr">
        <is>
          <t>UPPSALA LÄN</t>
        </is>
      </c>
      <c r="E370" t="inlineStr">
        <is>
          <t>ENKÖPING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25990-2025</t>
        </is>
      </c>
      <c r="B371" s="1" t="n">
        <v>45804.65229166667</v>
      </c>
      <c r="C371" s="1" t="n">
        <v>45967</v>
      </c>
      <c r="D371" t="inlineStr">
        <is>
          <t>UPPSALA LÄN</t>
        </is>
      </c>
      <c r="E371" t="inlineStr">
        <is>
          <t>ENKÖPING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26030-2025</t>
        </is>
      </c>
      <c r="B372" s="1" t="n">
        <v>45804.68815972222</v>
      </c>
      <c r="C372" s="1" t="n">
        <v>45967</v>
      </c>
      <c r="D372" t="inlineStr">
        <is>
          <t>UPPSALA LÄN</t>
        </is>
      </c>
      <c r="E372" t="inlineStr">
        <is>
          <t>ENKÖPING</t>
        </is>
      </c>
      <c r="G372" t="n">
        <v>0.3</v>
      </c>
      <c r="H372" t="n">
        <v>0</v>
      </c>
      <c r="I372" t="n">
        <v>0</v>
      </c>
      <c r="J372" t="n">
        <v>0</v>
      </c>
      <c r="K372" t="n">
        <v>0</v>
      </c>
      <c r="L372" t="n">
        <v>0</v>
      </c>
      <c r="M372" t="n">
        <v>0</v>
      </c>
      <c r="N372" t="n">
        <v>0</v>
      </c>
      <c r="O372" t="n">
        <v>0</v>
      </c>
      <c r="P372" t="n">
        <v>0</v>
      </c>
      <c r="Q372" t="n">
        <v>0</v>
      </c>
      <c r="R372" s="2" t="inlineStr"/>
    </row>
    <row r="373" ht="15" customHeight="1">
      <c r="A373" t="inlineStr">
        <is>
          <t>A 26026-2025</t>
        </is>
      </c>
      <c r="B373" s="1" t="n">
        <v>45804.68510416667</v>
      </c>
      <c r="C373" s="1" t="n">
        <v>45967</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26047-2025</t>
        </is>
      </c>
      <c r="B374" s="1" t="n">
        <v>45804.70835648148</v>
      </c>
      <c r="C374" s="1" t="n">
        <v>45967</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25847-2025</t>
        </is>
      </c>
      <c r="B375" s="1" t="n">
        <v>45804</v>
      </c>
      <c r="C375" s="1" t="n">
        <v>45967</v>
      </c>
      <c r="D375" t="inlineStr">
        <is>
          <t>UPPSALA LÄN</t>
        </is>
      </c>
      <c r="E375" t="inlineStr">
        <is>
          <t>ENKÖPING</t>
        </is>
      </c>
      <c r="G375" t="n">
        <v>3.6</v>
      </c>
      <c r="H375" t="n">
        <v>0</v>
      </c>
      <c r="I375" t="n">
        <v>0</v>
      </c>
      <c r="J375" t="n">
        <v>0</v>
      </c>
      <c r="K375" t="n">
        <v>0</v>
      </c>
      <c r="L375" t="n">
        <v>0</v>
      </c>
      <c r="M375" t="n">
        <v>0</v>
      </c>
      <c r="N375" t="n">
        <v>0</v>
      </c>
      <c r="O375" t="n">
        <v>0</v>
      </c>
      <c r="P375" t="n">
        <v>0</v>
      </c>
      <c r="Q375" t="n">
        <v>0</v>
      </c>
      <c r="R375" s="2" t="inlineStr"/>
    </row>
    <row r="376" ht="15" customHeight="1">
      <c r="A376" t="inlineStr">
        <is>
          <t>A 26005-2025</t>
        </is>
      </c>
      <c r="B376" s="1" t="n">
        <v>45804.67055555555</v>
      </c>
      <c r="C376" s="1" t="n">
        <v>45967</v>
      </c>
      <c r="D376" t="inlineStr">
        <is>
          <t>UPPSALA LÄN</t>
        </is>
      </c>
      <c r="E376" t="inlineStr">
        <is>
          <t>ENKÖPING</t>
        </is>
      </c>
      <c r="G376" t="n">
        <v>0.3</v>
      </c>
      <c r="H376" t="n">
        <v>0</v>
      </c>
      <c r="I376" t="n">
        <v>0</v>
      </c>
      <c r="J376" t="n">
        <v>0</v>
      </c>
      <c r="K376" t="n">
        <v>0</v>
      </c>
      <c r="L376" t="n">
        <v>0</v>
      </c>
      <c r="M376" t="n">
        <v>0</v>
      </c>
      <c r="N376" t="n">
        <v>0</v>
      </c>
      <c r="O376" t="n">
        <v>0</v>
      </c>
      <c r="P376" t="n">
        <v>0</v>
      </c>
      <c r="Q376" t="n">
        <v>0</v>
      </c>
      <c r="R376" s="2" t="inlineStr"/>
    </row>
    <row r="377" ht="15" customHeight="1">
      <c r="A377" t="inlineStr">
        <is>
          <t>A 26031-2025</t>
        </is>
      </c>
      <c r="B377" s="1" t="n">
        <v>45804.69050925926</v>
      </c>
      <c r="C377" s="1" t="n">
        <v>45967</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26041-2025</t>
        </is>
      </c>
      <c r="B378" s="1" t="n">
        <v>45804.69883101852</v>
      </c>
      <c r="C378" s="1" t="n">
        <v>45967</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26022-2025</t>
        </is>
      </c>
      <c r="B379" s="1" t="n">
        <v>45804.68006944445</v>
      </c>
      <c r="C379" s="1" t="n">
        <v>45967</v>
      </c>
      <c r="D379" t="inlineStr">
        <is>
          <t>UPPSALA LÄN</t>
        </is>
      </c>
      <c r="E379" t="inlineStr">
        <is>
          <t>ENKÖPING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26011-2025</t>
        </is>
      </c>
      <c r="B380" s="1" t="n">
        <v>45804.67412037037</v>
      </c>
      <c r="C380" s="1" t="n">
        <v>45967</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44419-2025</t>
        </is>
      </c>
      <c r="B381" s="1" t="n">
        <v>45916.54671296296</v>
      </c>
      <c r="C381" s="1" t="n">
        <v>45967</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61711-2020</t>
        </is>
      </c>
      <c r="B382" s="1" t="n">
        <v>44158</v>
      </c>
      <c r="C382" s="1" t="n">
        <v>45967</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2850-2025</t>
        </is>
      </c>
      <c r="B383" s="1" t="n">
        <v>45677</v>
      </c>
      <c r="C383" s="1" t="n">
        <v>45967</v>
      </c>
      <c r="D383" t="inlineStr">
        <is>
          <t>UPPSALA LÄN</t>
        </is>
      </c>
      <c r="E383" t="inlineStr">
        <is>
          <t>ENKÖPING</t>
        </is>
      </c>
      <c r="G383" t="n">
        <v>0.3</v>
      </c>
      <c r="H383" t="n">
        <v>0</v>
      </c>
      <c r="I383" t="n">
        <v>0</v>
      </c>
      <c r="J383" t="n">
        <v>0</v>
      </c>
      <c r="K383" t="n">
        <v>0</v>
      </c>
      <c r="L383" t="n">
        <v>0</v>
      </c>
      <c r="M383" t="n">
        <v>0</v>
      </c>
      <c r="N383" t="n">
        <v>0</v>
      </c>
      <c r="O383" t="n">
        <v>0</v>
      </c>
      <c r="P383" t="n">
        <v>0</v>
      </c>
      <c r="Q383" t="n">
        <v>0</v>
      </c>
      <c r="R383" s="2" t="inlineStr"/>
    </row>
    <row r="384" ht="15" customHeight="1">
      <c r="A384" t="inlineStr">
        <is>
          <t>A 47909-2024</t>
        </is>
      </c>
      <c r="B384" s="1" t="n">
        <v>45589.31866898148</v>
      </c>
      <c r="C384" s="1" t="n">
        <v>45967</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13853-2023</t>
        </is>
      </c>
      <c r="B385" s="1" t="n">
        <v>45007</v>
      </c>
      <c r="C385" s="1" t="n">
        <v>45967</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6157-2021</t>
        </is>
      </c>
      <c r="B386" s="1" t="n">
        <v>44232</v>
      </c>
      <c r="C386" s="1" t="n">
        <v>45967</v>
      </c>
      <c r="D386" t="inlineStr">
        <is>
          <t>UPPSALA LÄN</t>
        </is>
      </c>
      <c r="E386" t="inlineStr">
        <is>
          <t>ENKÖPING</t>
        </is>
      </c>
      <c r="G386" t="n">
        <v>3.9</v>
      </c>
      <c r="H386" t="n">
        <v>0</v>
      </c>
      <c r="I386" t="n">
        <v>0</v>
      </c>
      <c r="J386" t="n">
        <v>0</v>
      </c>
      <c r="K386" t="n">
        <v>0</v>
      </c>
      <c r="L386" t="n">
        <v>0</v>
      </c>
      <c r="M386" t="n">
        <v>0</v>
      </c>
      <c r="N386" t="n">
        <v>0</v>
      </c>
      <c r="O386" t="n">
        <v>0</v>
      </c>
      <c r="P386" t="n">
        <v>0</v>
      </c>
      <c r="Q386" t="n">
        <v>0</v>
      </c>
      <c r="R386" s="2" t="inlineStr"/>
    </row>
    <row r="387" ht="15" customHeight="1">
      <c r="A387" t="inlineStr">
        <is>
          <t>A 52005-2024</t>
        </is>
      </c>
      <c r="B387" s="1" t="n">
        <v>45607.7627662037</v>
      </c>
      <c r="C387" s="1" t="n">
        <v>45967</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35067-2024</t>
        </is>
      </c>
      <c r="B388" s="1" t="n">
        <v>45527.66153935185</v>
      </c>
      <c r="C388" s="1" t="n">
        <v>45967</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43999-2025</t>
        </is>
      </c>
      <c r="B389" s="1" t="n">
        <v>45915.45158564814</v>
      </c>
      <c r="C389" s="1" t="n">
        <v>45967</v>
      </c>
      <c r="D389" t="inlineStr">
        <is>
          <t>UPPSALA LÄN</t>
        </is>
      </c>
      <c r="E389" t="inlineStr">
        <is>
          <t>ENKÖPING</t>
        </is>
      </c>
      <c r="G389" t="n">
        <v>4.1</v>
      </c>
      <c r="H389" t="n">
        <v>0</v>
      </c>
      <c r="I389" t="n">
        <v>0</v>
      </c>
      <c r="J389" t="n">
        <v>0</v>
      </c>
      <c r="K389" t="n">
        <v>0</v>
      </c>
      <c r="L389" t="n">
        <v>0</v>
      </c>
      <c r="M389" t="n">
        <v>0</v>
      </c>
      <c r="N389" t="n">
        <v>0</v>
      </c>
      <c r="O389" t="n">
        <v>0</v>
      </c>
      <c r="P389" t="n">
        <v>0</v>
      </c>
      <c r="Q389" t="n">
        <v>0</v>
      </c>
      <c r="R389" s="2" t="inlineStr"/>
    </row>
    <row r="390" ht="15" customHeight="1">
      <c r="A390" t="inlineStr">
        <is>
          <t>A 63310-2021</t>
        </is>
      </c>
      <c r="B390" s="1" t="n">
        <v>44508</v>
      </c>
      <c r="C390" s="1" t="n">
        <v>45967</v>
      </c>
      <c r="D390" t="inlineStr">
        <is>
          <t>UPPSALA LÄN</t>
        </is>
      </c>
      <c r="E390" t="inlineStr">
        <is>
          <t>ENKÖPING</t>
        </is>
      </c>
      <c r="G390" t="n">
        <v>3.5</v>
      </c>
      <c r="H390" t="n">
        <v>0</v>
      </c>
      <c r="I390" t="n">
        <v>0</v>
      </c>
      <c r="J390" t="n">
        <v>0</v>
      </c>
      <c r="K390" t="n">
        <v>0</v>
      </c>
      <c r="L390" t="n">
        <v>0</v>
      </c>
      <c r="M390" t="n">
        <v>0</v>
      </c>
      <c r="N390" t="n">
        <v>0</v>
      </c>
      <c r="O390" t="n">
        <v>0</v>
      </c>
      <c r="P390" t="n">
        <v>0</v>
      </c>
      <c r="Q390" t="n">
        <v>0</v>
      </c>
      <c r="R390" s="2" t="inlineStr"/>
    </row>
    <row r="391" ht="15" customHeight="1">
      <c r="A391" t="inlineStr">
        <is>
          <t>A 32477-2025</t>
        </is>
      </c>
      <c r="B391" s="1" t="n">
        <v>45838.43098379629</v>
      </c>
      <c r="C391" s="1" t="n">
        <v>45967</v>
      </c>
      <c r="D391" t="inlineStr">
        <is>
          <t>UPPSALA LÄN</t>
        </is>
      </c>
      <c r="E391" t="inlineStr">
        <is>
          <t>ENKÖPING</t>
        </is>
      </c>
      <c r="G391" t="n">
        <v>2.7</v>
      </c>
      <c r="H391" t="n">
        <v>0</v>
      </c>
      <c r="I391" t="n">
        <v>0</v>
      </c>
      <c r="J391" t="n">
        <v>0</v>
      </c>
      <c r="K391" t="n">
        <v>0</v>
      </c>
      <c r="L391" t="n">
        <v>0</v>
      </c>
      <c r="M391" t="n">
        <v>0</v>
      </c>
      <c r="N391" t="n">
        <v>0</v>
      </c>
      <c r="O391" t="n">
        <v>0</v>
      </c>
      <c r="P391" t="n">
        <v>0</v>
      </c>
      <c r="Q391" t="n">
        <v>0</v>
      </c>
      <c r="R391" s="2" t="inlineStr"/>
    </row>
    <row r="392" ht="15" customHeight="1">
      <c r="A392" t="inlineStr">
        <is>
          <t>A 61106-2022</t>
        </is>
      </c>
      <c r="B392" s="1" t="n">
        <v>44915.4128587963</v>
      </c>
      <c r="C392" s="1" t="n">
        <v>45967</v>
      </c>
      <c r="D392" t="inlineStr">
        <is>
          <t>UPPSALA LÄN</t>
        </is>
      </c>
      <c r="E392" t="inlineStr">
        <is>
          <t>ENKÖPING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9171-2024</t>
        </is>
      </c>
      <c r="B393" s="1" t="n">
        <v>45358</v>
      </c>
      <c r="C393" s="1" t="n">
        <v>45967</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671-2022</t>
        </is>
      </c>
      <c r="B394" s="1" t="n">
        <v>44568</v>
      </c>
      <c r="C394" s="1" t="n">
        <v>45967</v>
      </c>
      <c r="D394" t="inlineStr">
        <is>
          <t>UPPSALA LÄN</t>
        </is>
      </c>
      <c r="E394" t="inlineStr">
        <is>
          <t>ENKÖPING</t>
        </is>
      </c>
      <c r="G394" t="n">
        <v>3.5</v>
      </c>
      <c r="H394" t="n">
        <v>0</v>
      </c>
      <c r="I394" t="n">
        <v>0</v>
      </c>
      <c r="J394" t="n">
        <v>0</v>
      </c>
      <c r="K394" t="n">
        <v>0</v>
      </c>
      <c r="L394" t="n">
        <v>0</v>
      </c>
      <c r="M394" t="n">
        <v>0</v>
      </c>
      <c r="N394" t="n">
        <v>0</v>
      </c>
      <c r="O394" t="n">
        <v>0</v>
      </c>
      <c r="P394" t="n">
        <v>0</v>
      </c>
      <c r="Q394" t="n">
        <v>0</v>
      </c>
      <c r="R394" s="2" t="inlineStr"/>
    </row>
    <row r="395" ht="15" customHeight="1">
      <c r="A395" t="inlineStr">
        <is>
          <t>A 11005-2023</t>
        </is>
      </c>
      <c r="B395" s="1" t="n">
        <v>44991</v>
      </c>
      <c r="C395" s="1" t="n">
        <v>45967</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53586-2024</t>
        </is>
      </c>
      <c r="B396" s="1" t="n">
        <v>45614</v>
      </c>
      <c r="C396" s="1" t="n">
        <v>45967</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51034-2024</t>
        </is>
      </c>
      <c r="B397" s="1" t="n">
        <v>45603.4262037037</v>
      </c>
      <c r="C397" s="1" t="n">
        <v>45967</v>
      </c>
      <c r="D397" t="inlineStr">
        <is>
          <t>UPPSALA LÄN</t>
        </is>
      </c>
      <c r="E397" t="inlineStr">
        <is>
          <t>ENKÖPING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51036-2024</t>
        </is>
      </c>
      <c r="B398" s="1" t="n">
        <v>45603.42839120371</v>
      </c>
      <c r="C398" s="1" t="n">
        <v>45967</v>
      </c>
      <c r="D398" t="inlineStr">
        <is>
          <t>UPPSALA LÄN</t>
        </is>
      </c>
      <c r="E398" t="inlineStr">
        <is>
          <t>ENKÖPING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43492-2023</t>
        </is>
      </c>
      <c r="B399" s="1" t="n">
        <v>45181</v>
      </c>
      <c r="C399" s="1" t="n">
        <v>45967</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29918-2023</t>
        </is>
      </c>
      <c r="B400" s="1" t="n">
        <v>45099</v>
      </c>
      <c r="C400" s="1" t="n">
        <v>45967</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1536-2024</t>
        </is>
      </c>
      <c r="B401" s="1" t="n">
        <v>45306</v>
      </c>
      <c r="C401" s="1" t="n">
        <v>45967</v>
      </c>
      <c r="D401" t="inlineStr">
        <is>
          <t>UPPSALA LÄN</t>
        </is>
      </c>
      <c r="E401" t="inlineStr">
        <is>
          <t>ENKÖPING</t>
        </is>
      </c>
      <c r="F401" t="inlineStr">
        <is>
          <t>Kyrkan</t>
        </is>
      </c>
      <c r="G401" t="n">
        <v>5.6</v>
      </c>
      <c r="H401" t="n">
        <v>0</v>
      </c>
      <c r="I401" t="n">
        <v>0</v>
      </c>
      <c r="J401" t="n">
        <v>0</v>
      </c>
      <c r="K401" t="n">
        <v>0</v>
      </c>
      <c r="L401" t="n">
        <v>0</v>
      </c>
      <c r="M401" t="n">
        <v>0</v>
      </c>
      <c r="N401" t="n">
        <v>0</v>
      </c>
      <c r="O401" t="n">
        <v>0</v>
      </c>
      <c r="P401" t="n">
        <v>0</v>
      </c>
      <c r="Q401" t="n">
        <v>0</v>
      </c>
      <c r="R401" s="2" t="inlineStr"/>
    </row>
    <row r="402" ht="15" customHeight="1">
      <c r="A402" t="inlineStr">
        <is>
          <t>A 58384-2022</t>
        </is>
      </c>
      <c r="B402" s="1" t="n">
        <v>44901</v>
      </c>
      <c r="C402" s="1" t="n">
        <v>45967</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43016-2021</t>
        </is>
      </c>
      <c r="B403" s="1" t="n">
        <v>44431</v>
      </c>
      <c r="C403" s="1" t="n">
        <v>45967</v>
      </c>
      <c r="D403" t="inlineStr">
        <is>
          <t>UPPSALA LÄN</t>
        </is>
      </c>
      <c r="E403" t="inlineStr">
        <is>
          <t>ENKÖPING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15893-2024</t>
        </is>
      </c>
      <c r="B404" s="1" t="n">
        <v>45405</v>
      </c>
      <c r="C404" s="1" t="n">
        <v>45967</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2974-2025</t>
        </is>
      </c>
      <c r="B405" s="1" t="n">
        <v>45678.47168981482</v>
      </c>
      <c r="C405" s="1" t="n">
        <v>45967</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33343-2024</t>
        </is>
      </c>
      <c r="B406" s="1" t="n">
        <v>45519</v>
      </c>
      <c r="C406" s="1" t="n">
        <v>45967</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16916-2023</t>
        </is>
      </c>
      <c r="B407" s="1" t="n">
        <v>45033.58347222222</v>
      </c>
      <c r="C407" s="1" t="n">
        <v>45967</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16920-2023</t>
        </is>
      </c>
      <c r="B408" s="1" t="n">
        <v>45033.59030092593</v>
      </c>
      <c r="C408" s="1" t="n">
        <v>45967</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57142-2021</t>
        </is>
      </c>
      <c r="B409" s="1" t="n">
        <v>44482</v>
      </c>
      <c r="C409" s="1" t="n">
        <v>45967</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57153-2021</t>
        </is>
      </c>
      <c r="B410" s="1" t="n">
        <v>44482</v>
      </c>
      <c r="C410" s="1" t="n">
        <v>45967</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5188-2022</t>
        </is>
      </c>
      <c r="B411" s="1" t="n">
        <v>44594.4471412037</v>
      </c>
      <c r="C411" s="1" t="n">
        <v>45967</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19014-2025</t>
        </is>
      </c>
      <c r="B412" s="1" t="n">
        <v>45764.59631944444</v>
      </c>
      <c r="C412" s="1" t="n">
        <v>45967</v>
      </c>
      <c r="D412" t="inlineStr">
        <is>
          <t>UPPSALA LÄN</t>
        </is>
      </c>
      <c r="E412" t="inlineStr">
        <is>
          <t>ENKÖPING</t>
        </is>
      </c>
      <c r="G412" t="n">
        <v>0.2</v>
      </c>
      <c r="H412" t="n">
        <v>0</v>
      </c>
      <c r="I412" t="n">
        <v>0</v>
      </c>
      <c r="J412" t="n">
        <v>0</v>
      </c>
      <c r="K412" t="n">
        <v>0</v>
      </c>
      <c r="L412" t="n">
        <v>0</v>
      </c>
      <c r="M412" t="n">
        <v>0</v>
      </c>
      <c r="N412" t="n">
        <v>0</v>
      </c>
      <c r="O412" t="n">
        <v>0</v>
      </c>
      <c r="P412" t="n">
        <v>0</v>
      </c>
      <c r="Q412" t="n">
        <v>0</v>
      </c>
      <c r="R412" s="2" t="inlineStr"/>
    </row>
    <row r="413" ht="15" customHeight="1">
      <c r="A413" t="inlineStr">
        <is>
          <t>A 43691-2024</t>
        </is>
      </c>
      <c r="B413" s="1" t="n">
        <v>45569</v>
      </c>
      <c r="C413" s="1" t="n">
        <v>45967</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52388-2024</t>
        </is>
      </c>
      <c r="B414" s="1" t="n">
        <v>45609.42939814815</v>
      </c>
      <c r="C414" s="1" t="n">
        <v>45967</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12434-2021</t>
        </is>
      </c>
      <c r="B415" s="1" t="n">
        <v>44267</v>
      </c>
      <c r="C415" s="1" t="n">
        <v>45967</v>
      </c>
      <c r="D415" t="inlineStr">
        <is>
          <t>UPPSALA LÄN</t>
        </is>
      </c>
      <c r="E415" t="inlineStr">
        <is>
          <t>ENKÖPING</t>
        </is>
      </c>
      <c r="G415" t="n">
        <v>5.3</v>
      </c>
      <c r="H415" t="n">
        <v>0</v>
      </c>
      <c r="I415" t="n">
        <v>0</v>
      </c>
      <c r="J415" t="n">
        <v>0</v>
      </c>
      <c r="K415" t="n">
        <v>0</v>
      </c>
      <c r="L415" t="n">
        <v>0</v>
      </c>
      <c r="M415" t="n">
        <v>0</v>
      </c>
      <c r="N415" t="n">
        <v>0</v>
      </c>
      <c r="O415" t="n">
        <v>0</v>
      </c>
      <c r="P415" t="n">
        <v>0</v>
      </c>
      <c r="Q415" t="n">
        <v>0</v>
      </c>
      <c r="R415" s="2" t="inlineStr"/>
    </row>
    <row r="416" ht="15" customHeight="1">
      <c r="A416" t="inlineStr">
        <is>
          <t>A 19376-2024</t>
        </is>
      </c>
      <c r="B416" s="1" t="n">
        <v>45429</v>
      </c>
      <c r="C416" s="1" t="n">
        <v>45967</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1992-2022</t>
        </is>
      </c>
      <c r="B417" s="1" t="n">
        <v>44575.56153935185</v>
      </c>
      <c r="C417" s="1" t="n">
        <v>45967</v>
      </c>
      <c r="D417" t="inlineStr">
        <is>
          <t>UPPSALA LÄN</t>
        </is>
      </c>
      <c r="E417" t="inlineStr">
        <is>
          <t>ENKÖPING</t>
        </is>
      </c>
      <c r="G417" t="n">
        <v>2.8</v>
      </c>
      <c r="H417" t="n">
        <v>0</v>
      </c>
      <c r="I417" t="n">
        <v>0</v>
      </c>
      <c r="J417" t="n">
        <v>0</v>
      </c>
      <c r="K417" t="n">
        <v>0</v>
      </c>
      <c r="L417" t="n">
        <v>0</v>
      </c>
      <c r="M417" t="n">
        <v>0</v>
      </c>
      <c r="N417" t="n">
        <v>0</v>
      </c>
      <c r="O417" t="n">
        <v>0</v>
      </c>
      <c r="P417" t="n">
        <v>0</v>
      </c>
      <c r="Q417" t="n">
        <v>0</v>
      </c>
      <c r="R417" s="2" t="inlineStr"/>
    </row>
    <row r="418" ht="15" customHeight="1">
      <c r="A418" t="inlineStr">
        <is>
          <t>A 6626-2023</t>
        </is>
      </c>
      <c r="B418" s="1" t="n">
        <v>44966.55946759259</v>
      </c>
      <c r="C418" s="1" t="n">
        <v>45967</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48843-2023</t>
        </is>
      </c>
      <c r="B419" s="1" t="n">
        <v>45209</v>
      </c>
      <c r="C419" s="1" t="n">
        <v>45967</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57940-2022</t>
        </is>
      </c>
      <c r="B420" s="1" t="n">
        <v>44900</v>
      </c>
      <c r="C420" s="1" t="n">
        <v>45967</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35079-2024</t>
        </is>
      </c>
      <c r="B421" s="1" t="n">
        <v>45527.66770833333</v>
      </c>
      <c r="C421" s="1" t="n">
        <v>45967</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53595-2023</t>
        </is>
      </c>
      <c r="B422" s="1" t="n">
        <v>45223</v>
      </c>
      <c r="C422" s="1" t="n">
        <v>45967</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54263-2025</t>
        </is>
      </c>
      <c r="B423" s="1" t="n">
        <v>45964.66271990741</v>
      </c>
      <c r="C423" s="1" t="n">
        <v>45967</v>
      </c>
      <c r="D423" t="inlineStr">
        <is>
          <t>UPPSALA LÄN</t>
        </is>
      </c>
      <c r="E423" t="inlineStr">
        <is>
          <t>ENKÖPING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54758-2025</t>
        </is>
      </c>
      <c r="B424" s="1" t="n">
        <v>45966.59737268519</v>
      </c>
      <c r="C424" s="1" t="n">
        <v>45967</v>
      </c>
      <c r="D424" t="inlineStr">
        <is>
          <t>UPPSALA LÄN</t>
        </is>
      </c>
      <c r="E424" t="inlineStr">
        <is>
          <t>ENKÖPING</t>
        </is>
      </c>
      <c r="G424" t="n">
        <v>3.3</v>
      </c>
      <c r="H424" t="n">
        <v>0</v>
      </c>
      <c r="I424" t="n">
        <v>0</v>
      </c>
      <c r="J424" t="n">
        <v>0</v>
      </c>
      <c r="K424" t="n">
        <v>0</v>
      </c>
      <c r="L424" t="n">
        <v>0</v>
      </c>
      <c r="M424" t="n">
        <v>0</v>
      </c>
      <c r="N424" t="n">
        <v>0</v>
      </c>
      <c r="O424" t="n">
        <v>0</v>
      </c>
      <c r="P424" t="n">
        <v>0</v>
      </c>
      <c r="Q424" t="n">
        <v>0</v>
      </c>
      <c r="R424" s="2" t="inlineStr"/>
    </row>
    <row r="425" ht="15" customHeight="1">
      <c r="A425" t="inlineStr">
        <is>
          <t>A 60533-2021</t>
        </is>
      </c>
      <c r="B425" s="1" t="n">
        <v>44496</v>
      </c>
      <c r="C425" s="1" t="n">
        <v>45967</v>
      </c>
      <c r="D425" t="inlineStr">
        <is>
          <t>UPPSALA LÄN</t>
        </is>
      </c>
      <c r="E425" t="inlineStr">
        <is>
          <t>ENKÖPING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15757-2023</t>
        </is>
      </c>
      <c r="B426" s="1" t="n">
        <v>45021</v>
      </c>
      <c r="C426" s="1" t="n">
        <v>45967</v>
      </c>
      <c r="D426" t="inlineStr">
        <is>
          <t>UPPSALA LÄN</t>
        </is>
      </c>
      <c r="E426" t="inlineStr">
        <is>
          <t>ENKÖPING</t>
        </is>
      </c>
      <c r="G426" t="n">
        <v>3</v>
      </c>
      <c r="H426" t="n">
        <v>0</v>
      </c>
      <c r="I426" t="n">
        <v>0</v>
      </c>
      <c r="J426" t="n">
        <v>0</v>
      </c>
      <c r="K426" t="n">
        <v>0</v>
      </c>
      <c r="L426" t="n">
        <v>0</v>
      </c>
      <c r="M426" t="n">
        <v>0</v>
      </c>
      <c r="N426" t="n">
        <v>0</v>
      </c>
      <c r="O426" t="n">
        <v>0</v>
      </c>
      <c r="P426" t="n">
        <v>0</v>
      </c>
      <c r="Q426" t="n">
        <v>0</v>
      </c>
      <c r="R426" s="2" t="inlineStr"/>
    </row>
    <row r="427" ht="15" customHeight="1">
      <c r="A427" t="inlineStr">
        <is>
          <t>A 54541-2025</t>
        </is>
      </c>
      <c r="B427" s="1" t="n">
        <v>45965.64733796296</v>
      </c>
      <c r="C427" s="1" t="n">
        <v>45967</v>
      </c>
      <c r="D427" t="inlineStr">
        <is>
          <t>UPPSALA LÄN</t>
        </is>
      </c>
      <c r="E427" t="inlineStr">
        <is>
          <t>ENKÖPING</t>
        </is>
      </c>
      <c r="G427" t="n">
        <v>3.1</v>
      </c>
      <c r="H427" t="n">
        <v>0</v>
      </c>
      <c r="I427" t="n">
        <v>0</v>
      </c>
      <c r="J427" t="n">
        <v>0</v>
      </c>
      <c r="K427" t="n">
        <v>0</v>
      </c>
      <c r="L427" t="n">
        <v>0</v>
      </c>
      <c r="M427" t="n">
        <v>0</v>
      </c>
      <c r="N427" t="n">
        <v>0</v>
      </c>
      <c r="O427" t="n">
        <v>0</v>
      </c>
      <c r="P427" t="n">
        <v>0</v>
      </c>
      <c r="Q427" t="n">
        <v>0</v>
      </c>
      <c r="R427" s="2" t="inlineStr"/>
    </row>
    <row r="428" ht="15" customHeight="1">
      <c r="A428" t="inlineStr">
        <is>
          <t>A 43230-2023</t>
        </is>
      </c>
      <c r="B428" s="1" t="n">
        <v>45183</v>
      </c>
      <c r="C428" s="1" t="n">
        <v>45967</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56886-2023</t>
        </is>
      </c>
      <c r="B429" s="1" t="n">
        <v>45239</v>
      </c>
      <c r="C429" s="1" t="n">
        <v>45967</v>
      </c>
      <c r="D429" t="inlineStr">
        <is>
          <t>UPPSALA LÄN</t>
        </is>
      </c>
      <c r="E429" t="inlineStr">
        <is>
          <t>ENKÖPING</t>
        </is>
      </c>
      <c r="G429" t="n">
        <v>2</v>
      </c>
      <c r="H429" t="n">
        <v>0</v>
      </c>
      <c r="I429" t="n">
        <v>0</v>
      </c>
      <c r="J429" t="n">
        <v>0</v>
      </c>
      <c r="K429" t="n">
        <v>0</v>
      </c>
      <c r="L429" t="n">
        <v>0</v>
      </c>
      <c r="M429" t="n">
        <v>0</v>
      </c>
      <c r="N429" t="n">
        <v>0</v>
      </c>
      <c r="O429" t="n">
        <v>0</v>
      </c>
      <c r="P429" t="n">
        <v>0</v>
      </c>
      <c r="Q429" t="n">
        <v>0</v>
      </c>
      <c r="R429" s="2" t="inlineStr"/>
    </row>
    <row r="430" ht="15" customHeight="1">
      <c r="A430" t="inlineStr">
        <is>
          <t>A 51011-2024</t>
        </is>
      </c>
      <c r="B430" s="1" t="n">
        <v>45603.39427083333</v>
      </c>
      <c r="C430" s="1" t="n">
        <v>45967</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34990-2025</t>
        </is>
      </c>
      <c r="B431" s="1" t="n">
        <v>45849.78916666667</v>
      </c>
      <c r="C431" s="1" t="n">
        <v>45967</v>
      </c>
      <c r="D431" t="inlineStr">
        <is>
          <t>UPPSALA LÄN</t>
        </is>
      </c>
      <c r="E431" t="inlineStr">
        <is>
          <t>ENKÖPING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27829-2025</t>
        </is>
      </c>
      <c r="B432" s="1" t="n">
        <v>45817</v>
      </c>
      <c r="C432" s="1" t="n">
        <v>45967</v>
      </c>
      <c r="D432" t="inlineStr">
        <is>
          <t>UPPSALA LÄN</t>
        </is>
      </c>
      <c r="E432" t="inlineStr">
        <is>
          <t>ENKÖPING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34989-2025</t>
        </is>
      </c>
      <c r="B433" s="1" t="n">
        <v>45849</v>
      </c>
      <c r="C433" s="1" t="n">
        <v>45967</v>
      </c>
      <c r="D433" t="inlineStr">
        <is>
          <t>UPPSALA LÄN</t>
        </is>
      </c>
      <c r="E433" t="inlineStr">
        <is>
          <t>ENKÖPING</t>
        </is>
      </c>
      <c r="G433" t="n">
        <v>2.4</v>
      </c>
      <c r="H433" t="n">
        <v>0</v>
      </c>
      <c r="I433" t="n">
        <v>0</v>
      </c>
      <c r="J433" t="n">
        <v>0</v>
      </c>
      <c r="K433" t="n">
        <v>0</v>
      </c>
      <c r="L433" t="n">
        <v>0</v>
      </c>
      <c r="M433" t="n">
        <v>0</v>
      </c>
      <c r="N433" t="n">
        <v>0</v>
      </c>
      <c r="O433" t="n">
        <v>0</v>
      </c>
      <c r="P433" t="n">
        <v>0</v>
      </c>
      <c r="Q433" t="n">
        <v>0</v>
      </c>
      <c r="R433" s="2" t="inlineStr"/>
    </row>
    <row r="434" ht="15" customHeight="1">
      <c r="A434" t="inlineStr">
        <is>
          <t>A 12102-2024</t>
        </is>
      </c>
      <c r="B434" s="1" t="n">
        <v>45377</v>
      </c>
      <c r="C434" s="1" t="n">
        <v>45967</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54844-2025</t>
        </is>
      </c>
      <c r="B435" s="1" t="n">
        <v>45966.69570601852</v>
      </c>
      <c r="C435" s="1" t="n">
        <v>45967</v>
      </c>
      <c r="D435" t="inlineStr">
        <is>
          <t>UPPSALA LÄN</t>
        </is>
      </c>
      <c r="E435" t="inlineStr">
        <is>
          <t>ENKÖPING</t>
        </is>
      </c>
      <c r="G435" t="n">
        <v>5.5</v>
      </c>
      <c r="H435" t="n">
        <v>0</v>
      </c>
      <c r="I435" t="n">
        <v>0</v>
      </c>
      <c r="J435" t="n">
        <v>0</v>
      </c>
      <c r="K435" t="n">
        <v>0</v>
      </c>
      <c r="L435" t="n">
        <v>0</v>
      </c>
      <c r="M435" t="n">
        <v>0</v>
      </c>
      <c r="N435" t="n">
        <v>0</v>
      </c>
      <c r="O435" t="n">
        <v>0</v>
      </c>
      <c r="P435" t="n">
        <v>0</v>
      </c>
      <c r="Q435" t="n">
        <v>0</v>
      </c>
      <c r="R435" s="2" t="inlineStr"/>
    </row>
    <row r="436" ht="15" customHeight="1">
      <c r="A436" t="inlineStr">
        <is>
          <t>A 45755-2025</t>
        </is>
      </c>
      <c r="B436" s="1" t="n">
        <v>45923.50240740741</v>
      </c>
      <c r="C436" s="1" t="n">
        <v>45967</v>
      </c>
      <c r="D436" t="inlineStr">
        <is>
          <t>UPPSALA LÄN</t>
        </is>
      </c>
      <c r="E436" t="inlineStr">
        <is>
          <t>ENKÖPING</t>
        </is>
      </c>
      <c r="G436" t="n">
        <v>2.2</v>
      </c>
      <c r="H436" t="n">
        <v>0</v>
      </c>
      <c r="I436" t="n">
        <v>0</v>
      </c>
      <c r="J436" t="n">
        <v>0</v>
      </c>
      <c r="K436" t="n">
        <v>0</v>
      </c>
      <c r="L436" t="n">
        <v>0</v>
      </c>
      <c r="M436" t="n">
        <v>0</v>
      </c>
      <c r="N436" t="n">
        <v>0</v>
      </c>
      <c r="O436" t="n">
        <v>0</v>
      </c>
      <c r="P436" t="n">
        <v>0</v>
      </c>
      <c r="Q436" t="n">
        <v>0</v>
      </c>
      <c r="R436" s="2" t="inlineStr"/>
    </row>
    <row r="437" ht="15" customHeight="1">
      <c r="A437" t="inlineStr">
        <is>
          <t>A 58961-2024</t>
        </is>
      </c>
      <c r="B437" s="1" t="n">
        <v>45636.585</v>
      </c>
      <c r="C437" s="1" t="n">
        <v>45967</v>
      </c>
      <c r="D437" t="inlineStr">
        <is>
          <t>UPPSALA LÄN</t>
        </is>
      </c>
      <c r="E437" t="inlineStr">
        <is>
          <t>ENKÖPING</t>
        </is>
      </c>
      <c r="G437" t="n">
        <v>4</v>
      </c>
      <c r="H437" t="n">
        <v>0</v>
      </c>
      <c r="I437" t="n">
        <v>0</v>
      </c>
      <c r="J437" t="n">
        <v>0</v>
      </c>
      <c r="K437" t="n">
        <v>0</v>
      </c>
      <c r="L437" t="n">
        <v>0</v>
      </c>
      <c r="M437" t="n">
        <v>0</v>
      </c>
      <c r="N437" t="n">
        <v>0</v>
      </c>
      <c r="O437" t="n">
        <v>0</v>
      </c>
      <c r="P437" t="n">
        <v>0</v>
      </c>
      <c r="Q437" t="n">
        <v>0</v>
      </c>
      <c r="R437" s="2" t="inlineStr"/>
    </row>
    <row r="438" ht="15" customHeight="1">
      <c r="A438" t="inlineStr">
        <is>
          <t>A 45283-2022</t>
        </is>
      </c>
      <c r="B438" s="1" t="n">
        <v>44844</v>
      </c>
      <c r="C438" s="1" t="n">
        <v>45967</v>
      </c>
      <c r="D438" t="inlineStr">
        <is>
          <t>UPPSALA LÄN</t>
        </is>
      </c>
      <c r="E438" t="inlineStr">
        <is>
          <t>ENKÖPING</t>
        </is>
      </c>
      <c r="G438" t="n">
        <v>5.9</v>
      </c>
      <c r="H438" t="n">
        <v>0</v>
      </c>
      <c r="I438" t="n">
        <v>0</v>
      </c>
      <c r="J438" t="n">
        <v>0</v>
      </c>
      <c r="K438" t="n">
        <v>0</v>
      </c>
      <c r="L438" t="n">
        <v>0</v>
      </c>
      <c r="M438" t="n">
        <v>0</v>
      </c>
      <c r="N438" t="n">
        <v>0</v>
      </c>
      <c r="O438" t="n">
        <v>0</v>
      </c>
      <c r="P438" t="n">
        <v>0</v>
      </c>
      <c r="Q438" t="n">
        <v>0</v>
      </c>
      <c r="R438" s="2" t="inlineStr"/>
    </row>
    <row r="439" ht="15" customHeight="1">
      <c r="A439" t="inlineStr">
        <is>
          <t>A 845-2025</t>
        </is>
      </c>
      <c r="B439" s="1" t="n">
        <v>45665</v>
      </c>
      <c r="C439" s="1" t="n">
        <v>45967</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849-2025</t>
        </is>
      </c>
      <c r="B440" s="1" t="n">
        <v>45665</v>
      </c>
      <c r="C440" s="1" t="n">
        <v>45967</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28855-2025</t>
        </is>
      </c>
      <c r="B441" s="1" t="n">
        <v>45820.58274305556</v>
      </c>
      <c r="C441" s="1" t="n">
        <v>45967</v>
      </c>
      <c r="D441" t="inlineStr">
        <is>
          <t>UPPSALA LÄN</t>
        </is>
      </c>
      <c r="E441" t="inlineStr">
        <is>
          <t>ENKÖPING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28758-2025</t>
        </is>
      </c>
      <c r="B442" s="1" t="n">
        <v>45820.41212962963</v>
      </c>
      <c r="C442" s="1" t="n">
        <v>45967</v>
      </c>
      <c r="D442" t="inlineStr">
        <is>
          <t>UPPSALA LÄN</t>
        </is>
      </c>
      <c r="E442" t="inlineStr">
        <is>
          <t>ENKÖPING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39009-2024</t>
        </is>
      </c>
      <c r="B443" s="1" t="n">
        <v>45548</v>
      </c>
      <c r="C443" s="1" t="n">
        <v>45967</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8537-2025</t>
        </is>
      </c>
      <c r="B444" s="1" t="n">
        <v>45709</v>
      </c>
      <c r="C444" s="1" t="n">
        <v>45967</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28862-2025</t>
        </is>
      </c>
      <c r="B445" s="1" t="n">
        <v>45820.59189814814</v>
      </c>
      <c r="C445" s="1" t="n">
        <v>45967</v>
      </c>
      <c r="D445" t="inlineStr">
        <is>
          <t>UPPSALA LÄN</t>
        </is>
      </c>
      <c r="E445" t="inlineStr">
        <is>
          <t>ENKÖPING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58147-2024</t>
        </is>
      </c>
      <c r="B446" s="1" t="n">
        <v>45632.4334375</v>
      </c>
      <c r="C446" s="1" t="n">
        <v>45967</v>
      </c>
      <c r="D446" t="inlineStr">
        <is>
          <t>UPPSALA LÄN</t>
        </is>
      </c>
      <c r="E446" t="inlineStr">
        <is>
          <t>ENKÖPING</t>
        </is>
      </c>
      <c r="G446" t="n">
        <v>3</v>
      </c>
      <c r="H446" t="n">
        <v>0</v>
      </c>
      <c r="I446" t="n">
        <v>0</v>
      </c>
      <c r="J446" t="n">
        <v>0</v>
      </c>
      <c r="K446" t="n">
        <v>0</v>
      </c>
      <c r="L446" t="n">
        <v>0</v>
      </c>
      <c r="M446" t="n">
        <v>0</v>
      </c>
      <c r="N446" t="n">
        <v>0</v>
      </c>
      <c r="O446" t="n">
        <v>0</v>
      </c>
      <c r="P446" t="n">
        <v>0</v>
      </c>
      <c r="Q446" t="n">
        <v>0</v>
      </c>
      <c r="R446" s="2" t="inlineStr"/>
    </row>
    <row r="447" ht="15" customHeight="1">
      <c r="A447" t="inlineStr">
        <is>
          <t>A 29093-2025</t>
        </is>
      </c>
      <c r="B447" s="1" t="n">
        <v>45821.55743055556</v>
      </c>
      <c r="C447" s="1" t="n">
        <v>45967</v>
      </c>
      <c r="D447" t="inlineStr">
        <is>
          <t>UPPSALA LÄN</t>
        </is>
      </c>
      <c r="E447" t="inlineStr">
        <is>
          <t>ENKÖPING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29477-2025</t>
        </is>
      </c>
      <c r="B448" s="1" t="n">
        <v>45824.71537037037</v>
      </c>
      <c r="C448" s="1" t="n">
        <v>45967</v>
      </c>
      <c r="D448" t="inlineStr">
        <is>
          <t>UPPSALA LÄN</t>
        </is>
      </c>
      <c r="E448" t="inlineStr">
        <is>
          <t>ENKÖPING</t>
        </is>
      </c>
      <c r="G448" t="n">
        <v>13.4</v>
      </c>
      <c r="H448" t="n">
        <v>0</v>
      </c>
      <c r="I448" t="n">
        <v>0</v>
      </c>
      <c r="J448" t="n">
        <v>0</v>
      </c>
      <c r="K448" t="n">
        <v>0</v>
      </c>
      <c r="L448" t="n">
        <v>0</v>
      </c>
      <c r="M448" t="n">
        <v>0</v>
      </c>
      <c r="N448" t="n">
        <v>0</v>
      </c>
      <c r="O448" t="n">
        <v>0</v>
      </c>
      <c r="P448" t="n">
        <v>0</v>
      </c>
      <c r="Q448" t="n">
        <v>0</v>
      </c>
      <c r="R448" s="2" t="inlineStr"/>
    </row>
    <row r="449" ht="15" customHeight="1">
      <c r="A449" t="inlineStr">
        <is>
          <t>A 18302-2025</t>
        </is>
      </c>
      <c r="B449" s="1" t="n">
        <v>45762</v>
      </c>
      <c r="C449" s="1" t="n">
        <v>45967</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34735-2023</t>
        </is>
      </c>
      <c r="B450" s="1" t="n">
        <v>45139</v>
      </c>
      <c r="C450" s="1" t="n">
        <v>45967</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30514-2021</t>
        </is>
      </c>
      <c r="B451" s="1" t="n">
        <v>44364</v>
      </c>
      <c r="C451" s="1" t="n">
        <v>45967</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30837-2025</t>
        </is>
      </c>
      <c r="B452" s="1" t="n">
        <v>45831.7063425926</v>
      </c>
      <c r="C452" s="1" t="n">
        <v>45967</v>
      </c>
      <c r="D452" t="inlineStr">
        <is>
          <t>UPPSALA LÄN</t>
        </is>
      </c>
      <c r="E452" t="inlineStr">
        <is>
          <t>ENKÖPING</t>
        </is>
      </c>
      <c r="G452" t="n">
        <v>3.8</v>
      </c>
      <c r="H452" t="n">
        <v>0</v>
      </c>
      <c r="I452" t="n">
        <v>0</v>
      </c>
      <c r="J452" t="n">
        <v>0</v>
      </c>
      <c r="K452" t="n">
        <v>0</v>
      </c>
      <c r="L452" t="n">
        <v>0</v>
      </c>
      <c r="M452" t="n">
        <v>0</v>
      </c>
      <c r="N452" t="n">
        <v>0</v>
      </c>
      <c r="O452" t="n">
        <v>0</v>
      </c>
      <c r="P452" t="n">
        <v>0</v>
      </c>
      <c r="Q452" t="n">
        <v>0</v>
      </c>
      <c r="R452" s="2" t="inlineStr"/>
    </row>
    <row r="453" ht="15" customHeight="1">
      <c r="A453" t="inlineStr">
        <is>
          <t>A 57209-2024</t>
        </is>
      </c>
      <c r="B453" s="1" t="n">
        <v>45629.49311342592</v>
      </c>
      <c r="C453" s="1" t="n">
        <v>45967</v>
      </c>
      <c r="D453" t="inlineStr">
        <is>
          <t>UPPSALA LÄN</t>
        </is>
      </c>
      <c r="E453" t="inlineStr">
        <is>
          <t>ENKÖPING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13110-2023</t>
        </is>
      </c>
      <c r="B454" s="1" t="n">
        <v>45001</v>
      </c>
      <c r="C454" s="1" t="n">
        <v>45967</v>
      </c>
      <c r="D454" t="inlineStr">
        <is>
          <t>UPPSALA LÄN</t>
        </is>
      </c>
      <c r="E454" t="inlineStr">
        <is>
          <t>ENKÖPING</t>
        </is>
      </c>
      <c r="G454" t="n">
        <v>2.5</v>
      </c>
      <c r="H454" t="n">
        <v>0</v>
      </c>
      <c r="I454" t="n">
        <v>0</v>
      </c>
      <c r="J454" t="n">
        <v>0</v>
      </c>
      <c r="K454" t="n">
        <v>0</v>
      </c>
      <c r="L454" t="n">
        <v>0</v>
      </c>
      <c r="M454" t="n">
        <v>0</v>
      </c>
      <c r="N454" t="n">
        <v>0</v>
      </c>
      <c r="O454" t="n">
        <v>0</v>
      </c>
      <c r="P454" t="n">
        <v>0</v>
      </c>
      <c r="Q454" t="n">
        <v>0</v>
      </c>
      <c r="R454" s="2" t="inlineStr"/>
    </row>
    <row r="455" ht="15" customHeight="1">
      <c r="A455" t="inlineStr">
        <is>
          <t>A 49627-2024</t>
        </is>
      </c>
      <c r="B455" s="1" t="n">
        <v>45596.59140046296</v>
      </c>
      <c r="C455" s="1" t="n">
        <v>45967</v>
      </c>
      <c r="D455" t="inlineStr">
        <is>
          <t>UPPSALA LÄN</t>
        </is>
      </c>
      <c r="E455" t="inlineStr">
        <is>
          <t>ENKÖPING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9231-2023</t>
        </is>
      </c>
      <c r="B456" s="1" t="n">
        <v>44980</v>
      </c>
      <c r="C456" s="1" t="n">
        <v>45967</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27538-2023</t>
        </is>
      </c>
      <c r="B457" s="1" t="n">
        <v>45097</v>
      </c>
      <c r="C457" s="1" t="n">
        <v>45967</v>
      </c>
      <c r="D457" t="inlineStr">
        <is>
          <t>UPPSALA LÄN</t>
        </is>
      </c>
      <c r="E457" t="inlineStr">
        <is>
          <t>ENKÖPING</t>
        </is>
      </c>
      <c r="G457" t="n">
        <v>5.8</v>
      </c>
      <c r="H457" t="n">
        <v>0</v>
      </c>
      <c r="I457" t="n">
        <v>0</v>
      </c>
      <c r="J457" t="n">
        <v>0</v>
      </c>
      <c r="K457" t="n">
        <v>0</v>
      </c>
      <c r="L457" t="n">
        <v>0</v>
      </c>
      <c r="M457" t="n">
        <v>0</v>
      </c>
      <c r="N457" t="n">
        <v>0</v>
      </c>
      <c r="O457" t="n">
        <v>0</v>
      </c>
      <c r="P457" t="n">
        <v>0</v>
      </c>
      <c r="Q457" t="n">
        <v>0</v>
      </c>
      <c r="R457" s="2" t="inlineStr"/>
    </row>
    <row r="458" ht="15" customHeight="1">
      <c r="A458" t="inlineStr">
        <is>
          <t>A 18821-2023</t>
        </is>
      </c>
      <c r="B458" s="1" t="n">
        <v>45044.3782175926</v>
      </c>
      <c r="C458" s="1" t="n">
        <v>45967</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52380-2024</t>
        </is>
      </c>
      <c r="B459" s="1" t="n">
        <v>45609</v>
      </c>
      <c r="C459" s="1" t="n">
        <v>45967</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9041-2023</t>
        </is>
      </c>
      <c r="B460" s="1" t="n">
        <v>44979</v>
      </c>
      <c r="C460" s="1" t="n">
        <v>45967</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27786-2023</t>
        </is>
      </c>
      <c r="B461" s="1" t="n">
        <v>45098</v>
      </c>
      <c r="C461" s="1" t="n">
        <v>45967</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15942-2022</t>
        </is>
      </c>
      <c r="B462" s="1" t="n">
        <v>44664</v>
      </c>
      <c r="C462" s="1" t="n">
        <v>45967</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32031-2025</t>
        </is>
      </c>
      <c r="B463" s="1" t="n">
        <v>45835.41712962963</v>
      </c>
      <c r="C463" s="1" t="n">
        <v>45967</v>
      </c>
      <c r="D463" t="inlineStr">
        <is>
          <t>UPPSALA LÄN</t>
        </is>
      </c>
      <c r="E463" t="inlineStr">
        <is>
          <t>ENKÖPING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32111-2025</t>
        </is>
      </c>
      <c r="B464" s="1" t="n">
        <v>45835</v>
      </c>
      <c r="C464" s="1" t="n">
        <v>45967</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50006-2023</t>
        </is>
      </c>
      <c r="B465" s="1" t="n">
        <v>45215</v>
      </c>
      <c r="C465" s="1" t="n">
        <v>45967</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53607-2023</t>
        </is>
      </c>
      <c r="B466" s="1" t="n">
        <v>45230</v>
      </c>
      <c r="C466" s="1" t="n">
        <v>45967</v>
      </c>
      <c r="D466" t="inlineStr">
        <is>
          <t>UPPSALA LÄN</t>
        </is>
      </c>
      <c r="E466" t="inlineStr">
        <is>
          <t>ENKÖPING</t>
        </is>
      </c>
      <c r="F466" t="inlineStr">
        <is>
          <t>Allmännings- och besparingsskogar</t>
        </is>
      </c>
      <c r="G466" t="n">
        <v>6.3</v>
      </c>
      <c r="H466" t="n">
        <v>0</v>
      </c>
      <c r="I466" t="n">
        <v>0</v>
      </c>
      <c r="J466" t="n">
        <v>0</v>
      </c>
      <c r="K466" t="n">
        <v>0</v>
      </c>
      <c r="L466" t="n">
        <v>0</v>
      </c>
      <c r="M466" t="n">
        <v>0</v>
      </c>
      <c r="N466" t="n">
        <v>0</v>
      </c>
      <c r="O466" t="n">
        <v>0</v>
      </c>
      <c r="P466" t="n">
        <v>0</v>
      </c>
      <c r="Q466" t="n">
        <v>0</v>
      </c>
      <c r="R466" s="2" t="inlineStr"/>
    </row>
    <row r="467" ht="15" customHeight="1">
      <c r="A467" t="inlineStr">
        <is>
          <t>A 59497-2022</t>
        </is>
      </c>
      <c r="B467" s="1" t="n">
        <v>44907.48258101852</v>
      </c>
      <c r="C467" s="1" t="n">
        <v>45967</v>
      </c>
      <c r="D467" t="inlineStr">
        <is>
          <t>UPPSALA LÄN</t>
        </is>
      </c>
      <c r="E467" t="inlineStr">
        <is>
          <t>ENKÖPING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49614-2024</t>
        </is>
      </c>
      <c r="B468" s="1" t="n">
        <v>45596.57716435185</v>
      </c>
      <c r="C468" s="1" t="n">
        <v>45967</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49632-2024</t>
        </is>
      </c>
      <c r="B469" s="1" t="n">
        <v>45596</v>
      </c>
      <c r="C469" s="1" t="n">
        <v>45967</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51030-2024</t>
        </is>
      </c>
      <c r="B470" s="1" t="n">
        <v>45603</v>
      </c>
      <c r="C470" s="1" t="n">
        <v>45967</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15740-2025</t>
        </is>
      </c>
      <c r="B471" s="1" t="n">
        <v>45748</v>
      </c>
      <c r="C471" s="1" t="n">
        <v>45967</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57848-2024</t>
        </is>
      </c>
      <c r="B472" s="1" t="n">
        <v>45631.40947916666</v>
      </c>
      <c r="C472" s="1" t="n">
        <v>45967</v>
      </c>
      <c r="D472" t="inlineStr">
        <is>
          <t>UPPSALA LÄN</t>
        </is>
      </c>
      <c r="E472" t="inlineStr">
        <is>
          <t>ENKÖPING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18994-2025</t>
        </is>
      </c>
      <c r="B473" s="1" t="n">
        <v>45764.57350694444</v>
      </c>
      <c r="C473" s="1" t="n">
        <v>45967</v>
      </c>
      <c r="D473" t="inlineStr">
        <is>
          <t>UPPSALA LÄN</t>
        </is>
      </c>
      <c r="E473" t="inlineStr">
        <is>
          <t>ENKÖPING</t>
        </is>
      </c>
      <c r="G473" t="n">
        <v>3.8</v>
      </c>
      <c r="H473" t="n">
        <v>0</v>
      </c>
      <c r="I473" t="n">
        <v>0</v>
      </c>
      <c r="J473" t="n">
        <v>0</v>
      </c>
      <c r="K473" t="n">
        <v>0</v>
      </c>
      <c r="L473" t="n">
        <v>0</v>
      </c>
      <c r="M473" t="n">
        <v>0</v>
      </c>
      <c r="N473" t="n">
        <v>0</v>
      </c>
      <c r="O473" t="n">
        <v>0</v>
      </c>
      <c r="P473" t="n">
        <v>0</v>
      </c>
      <c r="Q473" t="n">
        <v>0</v>
      </c>
      <c r="R473" s="2" t="inlineStr"/>
    </row>
    <row r="474" ht="15" customHeight="1">
      <c r="A474" t="inlineStr">
        <is>
          <t>A 49601-2024</t>
        </is>
      </c>
      <c r="B474" s="1" t="n">
        <v>45596.56288194445</v>
      </c>
      <c r="C474" s="1" t="n">
        <v>45967</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15405-2025</t>
        </is>
      </c>
      <c r="B475" s="1" t="n">
        <v>45747.44670138889</v>
      </c>
      <c r="C475" s="1" t="n">
        <v>45967</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17844-2025</t>
        </is>
      </c>
      <c r="B476" s="1" t="n">
        <v>45758.59920138889</v>
      </c>
      <c r="C476" s="1" t="n">
        <v>45967</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27837-2025</t>
        </is>
      </c>
      <c r="B477" s="1" t="n">
        <v>45817.37207175926</v>
      </c>
      <c r="C477" s="1" t="n">
        <v>45967</v>
      </c>
      <c r="D477" t="inlineStr">
        <is>
          <t>UPPSALA LÄN</t>
        </is>
      </c>
      <c r="E477" t="inlineStr">
        <is>
          <t>ENKÖPING</t>
        </is>
      </c>
      <c r="G477" t="n">
        <v>7.3</v>
      </c>
      <c r="H477" t="n">
        <v>0</v>
      </c>
      <c r="I477" t="n">
        <v>0</v>
      </c>
      <c r="J477" t="n">
        <v>0</v>
      </c>
      <c r="K477" t="n">
        <v>0</v>
      </c>
      <c r="L477" t="n">
        <v>0</v>
      </c>
      <c r="M477" t="n">
        <v>0</v>
      </c>
      <c r="N477" t="n">
        <v>0</v>
      </c>
      <c r="O477" t="n">
        <v>0</v>
      </c>
      <c r="P477" t="n">
        <v>0</v>
      </c>
      <c r="Q477" t="n">
        <v>0</v>
      </c>
      <c r="R477" s="2" t="inlineStr"/>
    </row>
    <row r="478" ht="15" customHeight="1">
      <c r="A478" t="inlineStr">
        <is>
          <t>A 29513-2025</t>
        </is>
      </c>
      <c r="B478" s="1" t="n">
        <v>45825</v>
      </c>
      <c r="C478" s="1" t="n">
        <v>45967</v>
      </c>
      <c r="D478" t="inlineStr">
        <is>
          <t>UPPSALA LÄN</t>
        </is>
      </c>
      <c r="E478" t="inlineStr">
        <is>
          <t>ENKÖPING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21501-2025</t>
        </is>
      </c>
      <c r="B479" s="1" t="n">
        <v>45782</v>
      </c>
      <c r="C479" s="1" t="n">
        <v>45967</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34987-2025</t>
        </is>
      </c>
      <c r="B480" s="1" t="n">
        <v>45849</v>
      </c>
      <c r="C480" s="1" t="n">
        <v>45967</v>
      </c>
      <c r="D480" t="inlineStr">
        <is>
          <t>UPPSALA LÄN</t>
        </is>
      </c>
      <c r="E480" t="inlineStr">
        <is>
          <t>ENKÖPING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34988-2025</t>
        </is>
      </c>
      <c r="B481" s="1" t="n">
        <v>45849</v>
      </c>
      <c r="C481" s="1" t="n">
        <v>45967</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36350-2025</t>
        </is>
      </c>
      <c r="B482" s="1" t="n">
        <v>45868</v>
      </c>
      <c r="C482" s="1" t="n">
        <v>45967</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25989-2025</t>
        </is>
      </c>
      <c r="B483" s="1" t="n">
        <v>45804.65050925926</v>
      </c>
      <c r="C483" s="1" t="n">
        <v>45967</v>
      </c>
      <c r="D483" t="inlineStr">
        <is>
          <t>UPPSALA LÄN</t>
        </is>
      </c>
      <c r="E483" t="inlineStr">
        <is>
          <t>ENKÖPING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36599-2025</t>
        </is>
      </c>
      <c r="B484" s="1" t="n">
        <v>45870.51723379629</v>
      </c>
      <c r="C484" s="1" t="n">
        <v>45967</v>
      </c>
      <c r="D484" t="inlineStr">
        <is>
          <t>UPPSALA LÄN</t>
        </is>
      </c>
      <c r="E484" t="inlineStr">
        <is>
          <t>ENKÖPING</t>
        </is>
      </c>
      <c r="G484" t="n">
        <v>5.9</v>
      </c>
      <c r="H484" t="n">
        <v>0</v>
      </c>
      <c r="I484" t="n">
        <v>0</v>
      </c>
      <c r="J484" t="n">
        <v>0</v>
      </c>
      <c r="K484" t="n">
        <v>0</v>
      </c>
      <c r="L484" t="n">
        <v>0</v>
      </c>
      <c r="M484" t="n">
        <v>0</v>
      </c>
      <c r="N484" t="n">
        <v>0</v>
      </c>
      <c r="O484" t="n">
        <v>0</v>
      </c>
      <c r="P484" t="n">
        <v>0</v>
      </c>
      <c r="Q484" t="n">
        <v>0</v>
      </c>
      <c r="R484" s="2" t="inlineStr"/>
    </row>
    <row r="485" ht="15" customHeight="1">
      <c r="A485" t="inlineStr">
        <is>
          <t>A 36492-2025</t>
        </is>
      </c>
      <c r="B485" s="1" t="n">
        <v>45869</v>
      </c>
      <c r="C485" s="1" t="n">
        <v>45967</v>
      </c>
      <c r="D485" t="inlineStr">
        <is>
          <t>UPPSALA LÄN</t>
        </is>
      </c>
      <c r="E485" t="inlineStr">
        <is>
          <t>ENKÖPING</t>
        </is>
      </c>
      <c r="G485" t="n">
        <v>6.3</v>
      </c>
      <c r="H485" t="n">
        <v>0</v>
      </c>
      <c r="I485" t="n">
        <v>0</v>
      </c>
      <c r="J485" t="n">
        <v>0</v>
      </c>
      <c r="K485" t="n">
        <v>0</v>
      </c>
      <c r="L485" t="n">
        <v>0</v>
      </c>
      <c r="M485" t="n">
        <v>0</v>
      </c>
      <c r="N485" t="n">
        <v>0</v>
      </c>
      <c r="O485" t="n">
        <v>0</v>
      </c>
      <c r="P485" t="n">
        <v>0</v>
      </c>
      <c r="Q485" t="n">
        <v>0</v>
      </c>
      <c r="R485" s="2" t="inlineStr"/>
    </row>
    <row r="486" ht="15" customHeight="1">
      <c r="A486" t="inlineStr">
        <is>
          <t>A 37319-2025</t>
        </is>
      </c>
      <c r="B486" s="1" t="n">
        <v>45876</v>
      </c>
      <c r="C486" s="1" t="n">
        <v>45967</v>
      </c>
      <c r="D486" t="inlineStr">
        <is>
          <t>UPPSALA LÄN</t>
        </is>
      </c>
      <c r="E486" t="inlineStr">
        <is>
          <t>ENKÖPING</t>
        </is>
      </c>
      <c r="G486" t="n">
        <v>9.5</v>
      </c>
      <c r="H486" t="n">
        <v>0</v>
      </c>
      <c r="I486" t="n">
        <v>0</v>
      </c>
      <c r="J486" t="n">
        <v>0</v>
      </c>
      <c r="K486" t="n">
        <v>0</v>
      </c>
      <c r="L486" t="n">
        <v>0</v>
      </c>
      <c r="M486" t="n">
        <v>0</v>
      </c>
      <c r="N486" t="n">
        <v>0</v>
      </c>
      <c r="O486" t="n">
        <v>0</v>
      </c>
      <c r="P486" t="n">
        <v>0</v>
      </c>
      <c r="Q486" t="n">
        <v>0</v>
      </c>
      <c r="R486" s="2" t="inlineStr"/>
    </row>
    <row r="487" ht="15" customHeight="1">
      <c r="A487" t="inlineStr">
        <is>
          <t>A 37296-2025</t>
        </is>
      </c>
      <c r="B487" s="1" t="n">
        <v>45876</v>
      </c>
      <c r="C487" s="1" t="n">
        <v>45967</v>
      </c>
      <c r="D487" t="inlineStr">
        <is>
          <t>UPPSALA LÄN</t>
        </is>
      </c>
      <c r="E487" t="inlineStr">
        <is>
          <t>ENKÖPING</t>
        </is>
      </c>
      <c r="G487" t="n">
        <v>9.5</v>
      </c>
      <c r="H487" t="n">
        <v>0</v>
      </c>
      <c r="I487" t="n">
        <v>0</v>
      </c>
      <c r="J487" t="n">
        <v>0</v>
      </c>
      <c r="K487" t="n">
        <v>0</v>
      </c>
      <c r="L487" t="n">
        <v>0</v>
      </c>
      <c r="M487" t="n">
        <v>0</v>
      </c>
      <c r="N487" t="n">
        <v>0</v>
      </c>
      <c r="O487" t="n">
        <v>0</v>
      </c>
      <c r="P487" t="n">
        <v>0</v>
      </c>
      <c r="Q487" t="n">
        <v>0</v>
      </c>
      <c r="R487" s="2" t="inlineStr"/>
    </row>
    <row r="488" ht="15" customHeight="1">
      <c r="A488" t="inlineStr">
        <is>
          <t>A 37498-2025</t>
        </is>
      </c>
      <c r="B488" s="1" t="n">
        <v>45877</v>
      </c>
      <c r="C488" s="1" t="n">
        <v>45967</v>
      </c>
      <c r="D488" t="inlineStr">
        <is>
          <t>UPPSALA LÄN</t>
        </is>
      </c>
      <c r="E488" t="inlineStr">
        <is>
          <t>ENKÖPING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49622-2024</t>
        </is>
      </c>
      <c r="B489" s="1" t="n">
        <v>45596.58372685185</v>
      </c>
      <c r="C489" s="1" t="n">
        <v>45967</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row r="490">
      <c r="A490" t="inlineStr">
        <is>
          <t>A 21017-2023</t>
        </is>
      </c>
      <c r="B490" s="1" t="n">
        <v>45061</v>
      </c>
      <c r="C490" s="1" t="n">
        <v>45967</v>
      </c>
      <c r="D490" t="inlineStr">
        <is>
          <t>UPPSALA LÄN</t>
        </is>
      </c>
      <c r="E490" t="inlineStr">
        <is>
          <t>ENKÖPING</t>
        </is>
      </c>
      <c r="G490" t="n">
        <v>4.8</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2025-11-06T10:19:37Z</dcterms:created>
  <dcterms:modified xmlns:dcterms="http://purl.org/dc/terms/" xmlns:xsi="http://www.w3.org/2001/XMLSchema-instance" xsi:type="dcterms:W3CDTF">2025-11-06T10:19:37Z</dcterms:modified>
</cp:coreProperties>
</file>